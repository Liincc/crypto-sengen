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12A7EED-7E01-4C7C-9CF7-2C37F5562C7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1" i="1"/>
  <c r="Q761" i="1" s="1"/>
  <c r="R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1" i="1"/>
  <c r="T761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D136" i="4" s="1"/>
  <c r="C116" i="4"/>
  <c r="C118" i="4"/>
  <c r="C122" i="3"/>
  <c r="C133" i="3" s="1"/>
  <c r="C136" i="3" s="1"/>
  <c r="C118" i="3"/>
  <c r="R760" i="1"/>
  <c r="C136" i="5" l="1"/>
  <c r="C138" i="5" s="1"/>
  <c r="C136" i="4"/>
  <c r="C138" i="4" s="1"/>
  <c r="D136" i="3"/>
  <c r="C138" i="3" s="1"/>
  <c r="R759" i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S607" i="1" l="1"/>
  <c r="T607" i="1" s="1"/>
  <c r="R606" i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S463" i="1" l="1"/>
  <c r="T463" i="1" s="1"/>
  <c r="R462" i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R122" i="1" l="1"/>
  <c r="S123" i="1"/>
  <c r="T123" i="1" s="1"/>
  <c r="S122" i="1" l="1"/>
  <c r="T122" i="1" s="1"/>
  <c r="R121" i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<sst xmlns="http://schemas.openxmlformats.org/spreadsheetml/2006/main" count="4631" uniqueCount="34">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</sst>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1.4919999999999999E-2</c:v>
                </c:pt>
                <c:pt idx="1">
                  <c:v>1.5180000000000001E-2</c:v>
                </c:pt>
                <c:pt idx="2">
                  <c:v>1.456E-2</c:v>
                </c:pt>
                <c:pt idx="3">
                  <c:v>1.4030000000000001E-2</c:v>
                </c:pt>
                <c:pt idx="4">
                  <c:v>1.495E-2</c:v>
                </c:pt>
                <c:pt idx="5">
                  <c:v>1.3899999999999999E-2</c:v>
                </c:pt>
                <c:pt idx="6">
                  <c:v>1.519E-2</c:v>
                </c:pt>
                <c:pt idx="7">
                  <c:v>1.9179999999999999E-2</c:v>
                </c:pt>
                <c:pt idx="8">
                  <c:v>1.9890000000000001E-2</c:v>
                </c:pt>
                <c:pt idx="9">
                  <c:v>2.01E-2</c:v>
                </c:pt>
                <c:pt idx="10">
                  <c:v>2.1440000000000001E-2</c:v>
                </c:pt>
                <c:pt idx="11">
                  <c:v>2.129E-2</c:v>
                </c:pt>
                <c:pt idx="12">
                  <c:v>2.1530000000000001E-2</c:v>
                </c:pt>
                <c:pt idx="13">
                  <c:v>2.0910000000000002E-2</c:v>
                </c:pt>
                <c:pt idx="14">
                  <c:v>2.0029999999999999E-2</c:v>
                </c:pt>
                <c:pt idx="15">
                  <c:v>2.0490000000000001E-2</c:v>
                </c:pt>
                <c:pt idx="16">
                  <c:v>1.941E-2</c:v>
                </c:pt>
                <c:pt idx="17">
                  <c:v>1.8180000000000002E-2</c:v>
                </c:pt>
                <c:pt idx="18">
                  <c:v>1.9220000000000001E-2</c:v>
                </c:pt>
                <c:pt idx="19">
                  <c:v>1.898E-2</c:v>
                </c:pt>
                <c:pt idx="20">
                  <c:v>1.967E-2</c:v>
                </c:pt>
                <c:pt idx="21">
                  <c:v>2.1270000000000001E-2</c:v>
                </c:pt>
                <c:pt idx="22">
                  <c:v>2.035E-2</c:v>
                </c:pt>
                <c:pt idx="23">
                  <c:v>2.2429999999999999E-2</c:v>
                </c:pt>
                <c:pt idx="24">
                  <c:v>2.2679999999999999E-2</c:v>
                </c:pt>
                <c:pt idx="25">
                  <c:v>2.4080000000000001E-2</c:v>
                </c:pt>
                <c:pt idx="26">
                  <c:v>2.3109999999999999E-2</c:v>
                </c:pt>
                <c:pt idx="27">
                  <c:v>2.2239999999999999E-2</c:v>
                </c:pt>
                <c:pt idx="28">
                  <c:v>2.2630000000000001E-2</c:v>
                </c:pt>
                <c:pt idx="29">
                  <c:v>2.1659999999999999E-2</c:v>
                </c:pt>
                <c:pt idx="30">
                  <c:v>2.213E-2</c:v>
                </c:pt>
                <c:pt idx="31">
                  <c:v>2.4199999999999999E-2</c:v>
                </c:pt>
                <c:pt idx="32">
                  <c:v>2.3959999999999999E-2</c:v>
                </c:pt>
                <c:pt idx="33">
                  <c:v>2.3179999999999999E-2</c:v>
                </c:pt>
                <c:pt idx="34">
                  <c:v>2.1239999999999998E-2</c:v>
                </c:pt>
                <c:pt idx="35">
                  <c:v>2.1870000000000001E-2</c:v>
                </c:pt>
                <c:pt idx="36">
                  <c:v>2.0049999999999998E-2</c:v>
                </c:pt>
                <c:pt idx="37">
                  <c:v>1.9820000000000001E-2</c:v>
                </c:pt>
                <c:pt idx="38">
                  <c:v>1.9290000000000002E-2</c:v>
                </c:pt>
                <c:pt idx="39">
                  <c:v>2.0140000000000002E-2</c:v>
                </c:pt>
                <c:pt idx="40">
                  <c:v>1.9E-2</c:v>
                </c:pt>
                <c:pt idx="41">
                  <c:v>1.857E-2</c:v>
                </c:pt>
                <c:pt idx="42">
                  <c:v>1.9699999999999999E-2</c:v>
                </c:pt>
                <c:pt idx="43">
                  <c:v>2.019E-2</c:v>
                </c:pt>
                <c:pt idx="44">
                  <c:v>1.9990000000000001E-2</c:v>
                </c:pt>
                <c:pt idx="45">
                  <c:v>2.017E-2</c:v>
                </c:pt>
                <c:pt idx="46">
                  <c:v>2.3269999999999999E-2</c:v>
                </c:pt>
                <c:pt idx="47">
                  <c:v>2.2210000000000001E-2</c:v>
                </c:pt>
                <c:pt idx="48">
                  <c:v>2.2280000000000001E-2</c:v>
                </c:pt>
                <c:pt idx="49">
                  <c:v>2.257E-2</c:v>
                </c:pt>
                <c:pt idx="50">
                  <c:v>2.5399999999999999E-2</c:v>
                </c:pt>
                <c:pt idx="51">
                  <c:v>2.5510000000000001E-2</c:v>
                </c:pt>
                <c:pt idx="52">
                  <c:v>2.3279999999999999E-2</c:v>
                </c:pt>
                <c:pt idx="53">
                  <c:v>2.2630000000000001E-2</c:v>
                </c:pt>
                <c:pt idx="54">
                  <c:v>2.5520000000000001E-2</c:v>
                </c:pt>
                <c:pt idx="55">
                  <c:v>2.9010000000000001E-2</c:v>
                </c:pt>
                <c:pt idx="56">
                  <c:v>2.869E-2</c:v>
                </c:pt>
                <c:pt idx="57">
                  <c:v>3.049E-2</c:v>
                </c:pt>
                <c:pt idx="58">
                  <c:v>2.9960000000000001E-2</c:v>
                </c:pt>
                <c:pt idx="59">
                  <c:v>3.058E-2</c:v>
                </c:pt>
                <c:pt idx="60">
                  <c:v>3.2370000000000003E-2</c:v>
                </c:pt>
                <c:pt idx="61">
                  <c:v>3.4610000000000002E-2</c:v>
                </c:pt>
                <c:pt idx="62">
                  <c:v>2.6870000000000002E-2</c:v>
                </c:pt>
                <c:pt idx="63">
                  <c:v>2.9680000000000002E-2</c:v>
                </c:pt>
                <c:pt idx="64">
                  <c:v>2.4309999999999998E-2</c:v>
                </c:pt>
                <c:pt idx="65">
                  <c:v>2.4809999999999999E-2</c:v>
                </c:pt>
                <c:pt idx="66">
                  <c:v>2.402E-2</c:v>
                </c:pt>
                <c:pt idx="67">
                  <c:v>2.5950000000000001E-2</c:v>
                </c:pt>
                <c:pt idx="68">
                  <c:v>2.6890000000000001E-2</c:v>
                </c:pt>
                <c:pt idx="69">
                  <c:v>2.6190000000000001E-2</c:v>
                </c:pt>
                <c:pt idx="70">
                  <c:v>2.2960000000000001E-2</c:v>
                </c:pt>
                <c:pt idx="71">
                  <c:v>2.47E-2</c:v>
                </c:pt>
                <c:pt idx="72">
                  <c:v>2.503E-2</c:v>
                </c:pt>
                <c:pt idx="73">
                  <c:v>2.743E-2</c:v>
                </c:pt>
                <c:pt idx="74">
                  <c:v>2.9270000000000001E-2</c:v>
                </c:pt>
                <c:pt idx="75">
                  <c:v>2.9409999999999999E-2</c:v>
                </c:pt>
                <c:pt idx="76">
                  <c:v>2.7140000000000001E-2</c:v>
                </c:pt>
                <c:pt idx="77">
                  <c:v>2.913E-2</c:v>
                </c:pt>
                <c:pt idx="78">
                  <c:v>2.7390000000000001E-2</c:v>
                </c:pt>
                <c:pt idx="79">
                  <c:v>2.5350000000000001E-2</c:v>
                </c:pt>
                <c:pt idx="80">
                  <c:v>2.6440000000000002E-2</c:v>
                </c:pt>
                <c:pt idx="81">
                  <c:v>2.7949999999999999E-2</c:v>
                </c:pt>
                <c:pt idx="82">
                  <c:v>3.0210000000000001E-2</c:v>
                </c:pt>
                <c:pt idx="83">
                  <c:v>2.3099999999999999E-2</c:v>
                </c:pt>
                <c:pt idx="84">
                  <c:v>2.0279999999999999E-2</c:v>
                </c:pt>
                <c:pt idx="85">
                  <c:v>2.061E-2</c:v>
                </c:pt>
                <c:pt idx="86">
                  <c:v>1.9810000000000001E-2</c:v>
                </c:pt>
                <c:pt idx="87">
                  <c:v>1.9449999999999999E-2</c:v>
                </c:pt>
                <c:pt idx="88">
                  <c:v>2.0080000000000001E-2</c:v>
                </c:pt>
                <c:pt idx="89">
                  <c:v>1.9009999999999999E-2</c:v>
                </c:pt>
                <c:pt idx="90">
                  <c:v>1.9650000000000001E-2</c:v>
                </c:pt>
                <c:pt idx="91">
                  <c:v>1.9720000000000001E-2</c:v>
                </c:pt>
                <c:pt idx="92">
                  <c:v>1.874E-2</c:v>
                </c:pt>
                <c:pt idx="93">
                  <c:v>2.1059999999999999E-2</c:v>
                </c:pt>
                <c:pt idx="94">
                  <c:v>2.2100000000000002E-2</c:v>
                </c:pt>
                <c:pt idx="95">
                  <c:v>1.9269999999999999E-2</c:v>
                </c:pt>
                <c:pt idx="96">
                  <c:v>1.9349999999999999E-2</c:v>
                </c:pt>
                <c:pt idx="97">
                  <c:v>1.9310000000000001E-2</c:v>
                </c:pt>
                <c:pt idx="98">
                  <c:v>1.9769999999999999E-2</c:v>
                </c:pt>
                <c:pt idx="99">
                  <c:v>2.1069999999999998E-2</c:v>
                </c:pt>
                <c:pt idx="100">
                  <c:v>2.0799999999999999E-2</c:v>
                </c:pt>
                <c:pt idx="101">
                  <c:v>1.8429999999999998E-2</c:v>
                </c:pt>
                <c:pt idx="102">
                  <c:v>1.6580000000000001E-2</c:v>
                </c:pt>
                <c:pt idx="103">
                  <c:v>1.6389999999999998E-2</c:v>
                </c:pt>
                <c:pt idx="104">
                  <c:v>1.6109999999999999E-2</c:v>
                </c:pt>
                <c:pt idx="105">
                  <c:v>1.554E-2</c:v>
                </c:pt>
                <c:pt idx="106">
                  <c:v>1.461E-2</c:v>
                </c:pt>
                <c:pt idx="107">
                  <c:v>1.502E-2</c:v>
                </c:pt>
                <c:pt idx="108">
                  <c:v>1.4760000000000001E-2</c:v>
                </c:pt>
                <c:pt idx="109">
                  <c:v>1.4760000000000001E-2</c:v>
                </c:pt>
                <c:pt idx="110">
                  <c:v>1.5480000000000001E-2</c:v>
                </c:pt>
                <c:pt idx="111">
                  <c:v>1.4930000000000001E-2</c:v>
                </c:pt>
                <c:pt idx="112">
                  <c:v>1.4250000000000001E-2</c:v>
                </c:pt>
                <c:pt idx="113">
                  <c:v>1.438E-2</c:v>
                </c:pt>
                <c:pt idx="114">
                  <c:v>1.4460000000000001E-2</c:v>
                </c:pt>
                <c:pt idx="115">
                  <c:v>1.3599999999999999E-2</c:v>
                </c:pt>
                <c:pt idx="116">
                  <c:v>1.3339999999999999E-2</c:v>
                </c:pt>
                <c:pt idx="117">
                  <c:v>1.35E-2</c:v>
                </c:pt>
                <c:pt idx="118">
                  <c:v>1.341E-2</c:v>
                </c:pt>
                <c:pt idx="119">
                  <c:v>1.2239999999999999E-2</c:v>
                </c:pt>
                <c:pt idx="120">
                  <c:v>1.2409999999999999E-2</c:v>
                </c:pt>
                <c:pt idx="121">
                  <c:v>1.1639999999999999E-2</c:v>
                </c:pt>
                <c:pt idx="122">
                  <c:v>1.184E-2</c:v>
                </c:pt>
                <c:pt idx="123">
                  <c:v>1.2200000000000001E-2</c:v>
                </c:pt>
                <c:pt idx="124">
                  <c:v>1.2930000000000001E-2</c:v>
                </c:pt>
                <c:pt idx="125">
                  <c:v>1.294E-2</c:v>
                </c:pt>
                <c:pt idx="126">
                  <c:v>1.4420000000000001E-2</c:v>
                </c:pt>
                <c:pt idx="127">
                  <c:v>1.409E-2</c:v>
                </c:pt>
                <c:pt idx="128">
                  <c:v>1.2319999999999999E-2</c:v>
                </c:pt>
                <c:pt idx="129">
                  <c:v>1.489E-2</c:v>
                </c:pt>
                <c:pt idx="130">
                  <c:v>1.5939999999999999E-2</c:v>
                </c:pt>
                <c:pt idx="131">
                  <c:v>1.5689999999999999E-2</c:v>
                </c:pt>
                <c:pt idx="132">
                  <c:v>1.5049999999999999E-2</c:v>
                </c:pt>
                <c:pt idx="133">
                  <c:v>1.542E-2</c:v>
                </c:pt>
                <c:pt idx="134">
                  <c:v>1.66E-2</c:v>
                </c:pt>
                <c:pt idx="135">
                  <c:v>1.6289999999999999E-2</c:v>
                </c:pt>
                <c:pt idx="136">
                  <c:v>1.651E-2</c:v>
                </c:pt>
                <c:pt idx="137">
                  <c:v>1.78E-2</c:v>
                </c:pt>
                <c:pt idx="138">
                  <c:v>1.7389999999999999E-2</c:v>
                </c:pt>
                <c:pt idx="139">
                  <c:v>1.755E-2</c:v>
                </c:pt>
                <c:pt idx="140">
                  <c:v>2.01E-2</c:v>
                </c:pt>
                <c:pt idx="141">
                  <c:v>1.5310000000000001E-2</c:v>
                </c:pt>
                <c:pt idx="142">
                  <c:v>1.5310000000000001E-2</c:v>
                </c:pt>
                <c:pt idx="143">
                  <c:v>1.9E-2</c:v>
                </c:pt>
                <c:pt idx="144">
                  <c:v>1.7239999999999998E-2</c:v>
                </c:pt>
                <c:pt idx="145">
                  <c:v>1.6209999999999999E-2</c:v>
                </c:pt>
                <c:pt idx="146">
                  <c:v>1.585E-2</c:v>
                </c:pt>
                <c:pt idx="147">
                  <c:v>1.566E-2</c:v>
                </c:pt>
                <c:pt idx="148">
                  <c:v>1.5520000000000001E-2</c:v>
                </c:pt>
                <c:pt idx="149">
                  <c:v>1.439E-2</c:v>
                </c:pt>
                <c:pt idx="150">
                  <c:v>1.401E-2</c:v>
                </c:pt>
                <c:pt idx="151">
                  <c:v>1.472E-2</c:v>
                </c:pt>
                <c:pt idx="152">
                  <c:v>1.4760000000000001E-2</c:v>
                </c:pt>
                <c:pt idx="153">
                  <c:v>1.524E-2</c:v>
                </c:pt>
                <c:pt idx="154">
                  <c:v>1.4019999999999999E-2</c:v>
                </c:pt>
                <c:pt idx="155">
                  <c:v>1.5654999999999999E-2</c:v>
                </c:pt>
                <c:pt idx="156">
                  <c:v>1.5254999999999999E-2</c:v>
                </c:pt>
                <c:pt idx="157">
                  <c:v>1.6795000000000001E-2</c:v>
                </c:pt>
                <c:pt idx="158">
                  <c:v>1.5113E-2</c:v>
                </c:pt>
                <c:pt idx="159">
                  <c:v>1.4670000000000001E-2</c:v>
                </c:pt>
                <c:pt idx="160">
                  <c:v>1.4947E-2</c:v>
                </c:pt>
                <c:pt idx="161">
                  <c:v>1.4333E-2</c:v>
                </c:pt>
                <c:pt idx="162">
                  <c:v>1.3316E-2</c:v>
                </c:pt>
                <c:pt idx="163">
                  <c:v>1.3540999999999999E-2</c:v>
                </c:pt>
                <c:pt idx="164">
                  <c:v>1.4370000000000001E-2</c:v>
                </c:pt>
                <c:pt idx="165">
                  <c:v>1.4937000000000001E-2</c:v>
                </c:pt>
                <c:pt idx="166">
                  <c:v>1.4765E-2</c:v>
                </c:pt>
                <c:pt idx="167">
                  <c:v>1.5173000000000001E-2</c:v>
                </c:pt>
                <c:pt idx="168">
                  <c:v>1.3414000000000001E-2</c:v>
                </c:pt>
                <c:pt idx="169">
                  <c:v>1.3998E-2</c:v>
                </c:pt>
                <c:pt idx="170">
                  <c:v>1.3270000000000001E-2</c:v>
                </c:pt>
                <c:pt idx="171">
                  <c:v>1.2933E-2</c:v>
                </c:pt>
                <c:pt idx="172">
                  <c:v>1.221E-2</c:v>
                </c:pt>
                <c:pt idx="173">
                  <c:v>1.2769000000000001E-2</c:v>
                </c:pt>
                <c:pt idx="174">
                  <c:v>1.2048E-2</c:v>
                </c:pt>
                <c:pt idx="175">
                  <c:v>1.1547E-2</c:v>
                </c:pt>
                <c:pt idx="176">
                  <c:v>1.0572E-2</c:v>
                </c:pt>
                <c:pt idx="177">
                  <c:v>1.0291E-2</c:v>
                </c:pt>
                <c:pt idx="178">
                  <c:v>1.048E-2</c:v>
                </c:pt>
                <c:pt idx="179">
                  <c:v>1.0585000000000001E-2</c:v>
                </c:pt>
                <c:pt idx="180">
                  <c:v>1.0416999999999999E-2</c:v>
                </c:pt>
                <c:pt idx="181">
                  <c:v>1.0506E-2</c:v>
                </c:pt>
                <c:pt idx="182">
                  <c:v>1.0206E-2</c:v>
                </c:pt>
                <c:pt idx="183">
                  <c:v>1.0241E-2</c:v>
                </c:pt>
                <c:pt idx="184">
                  <c:v>1.0669E-2</c:v>
                </c:pt>
                <c:pt idx="185">
                  <c:v>1.0097999999999999E-2</c:v>
                </c:pt>
                <c:pt idx="186">
                  <c:v>1.0083E-2</c:v>
                </c:pt>
                <c:pt idx="187">
                  <c:v>1.0083E-2</c:v>
                </c:pt>
                <c:pt idx="188">
                  <c:v>9.3559999999999997E-3</c:v>
                </c:pt>
                <c:pt idx="189">
                  <c:v>9.3469999999999994E-3</c:v>
                </c:pt>
                <c:pt idx="190">
                  <c:v>8.9149999999999993E-3</c:v>
                </c:pt>
                <c:pt idx="191">
                  <c:v>8.2410000000000001E-3</c:v>
                </c:pt>
                <c:pt idx="192">
                  <c:v>8.7500000000000008E-3</c:v>
                </c:pt>
                <c:pt idx="193">
                  <c:v>9.1610000000000007E-3</c:v>
                </c:pt>
                <c:pt idx="194">
                  <c:v>9.1310000000000002E-3</c:v>
                </c:pt>
                <c:pt idx="195">
                  <c:v>9.1400000000000006E-3</c:v>
                </c:pt>
                <c:pt idx="196">
                  <c:v>9.2929999999999992E-3</c:v>
                </c:pt>
                <c:pt idx="197">
                  <c:v>9.9909999999999999E-3</c:v>
                </c:pt>
                <c:pt idx="198">
                  <c:v>9.9080000000000001E-3</c:v>
                </c:pt>
                <c:pt idx="199">
                  <c:v>1.0553999999999999E-2</c:v>
                </c:pt>
                <c:pt idx="200">
                  <c:v>1.1128000000000001E-2</c:v>
                </c:pt>
                <c:pt idx="201">
                  <c:v>1.0926E-2</c:v>
                </c:pt>
                <c:pt idx="202">
                  <c:v>1.1245E-2</c:v>
                </c:pt>
                <c:pt idx="203">
                  <c:v>1.0611000000000001E-2</c:v>
                </c:pt>
                <c:pt idx="204">
                  <c:v>1.1488E-2</c:v>
                </c:pt>
                <c:pt idx="205">
                  <c:v>1.1572000000000001E-2</c:v>
                </c:pt>
                <c:pt idx="206">
                  <c:v>1.1771E-2</c:v>
                </c:pt>
                <c:pt idx="207">
                  <c:v>1.2291E-2</c:v>
                </c:pt>
                <c:pt idx="208">
                  <c:v>1.2266000000000001E-2</c:v>
                </c:pt>
                <c:pt idx="209">
                  <c:v>1.1996E-2</c:v>
                </c:pt>
                <c:pt idx="210">
                  <c:v>1.1990000000000001E-2</c:v>
                </c:pt>
                <c:pt idx="211">
                  <c:v>1.2583E-2</c:v>
                </c:pt>
                <c:pt idx="212">
                  <c:v>1.2945E-2</c:v>
                </c:pt>
                <c:pt idx="213">
                  <c:v>1.2573000000000001E-2</c:v>
                </c:pt>
                <c:pt idx="214">
                  <c:v>1.2409999999999999E-2</c:v>
                </c:pt>
                <c:pt idx="215">
                  <c:v>1.1767E-2</c:v>
                </c:pt>
                <c:pt idx="216">
                  <c:v>1.1494000000000001E-2</c:v>
                </c:pt>
                <c:pt idx="217">
                  <c:v>1.282E-2</c:v>
                </c:pt>
                <c:pt idx="218">
                  <c:v>1.2274999999999999E-2</c:v>
                </c:pt>
                <c:pt idx="219">
                  <c:v>1.2154E-2</c:v>
                </c:pt>
                <c:pt idx="220">
                  <c:v>1.1821999999999999E-2</c:v>
                </c:pt>
                <c:pt idx="221">
                  <c:v>1.562E-2</c:v>
                </c:pt>
                <c:pt idx="222">
                  <c:v>1.5931000000000001E-2</c:v>
                </c:pt>
                <c:pt idx="223">
                  <c:v>1.6049000000000001E-2</c:v>
                </c:pt>
                <c:pt idx="224">
                  <c:v>1.7415E-2</c:v>
                </c:pt>
                <c:pt idx="225">
                  <c:v>1.7125000000000001E-2</c:v>
                </c:pt>
                <c:pt idx="226">
                  <c:v>1.8127999999999998E-2</c:v>
                </c:pt>
                <c:pt idx="227">
                  <c:v>1.8593999999999999E-2</c:v>
                </c:pt>
                <c:pt idx="228">
                  <c:v>1.8686000000000001E-2</c:v>
                </c:pt>
                <c:pt idx="229">
                  <c:v>1.8024999999999999E-2</c:v>
                </c:pt>
                <c:pt idx="230">
                  <c:v>1.7337000000000002E-2</c:v>
                </c:pt>
                <c:pt idx="231">
                  <c:v>1.8443999999999999E-2</c:v>
                </c:pt>
                <c:pt idx="232">
                  <c:v>2.0552999999999998E-2</c:v>
                </c:pt>
                <c:pt idx="233">
                  <c:v>1.7659999999999999E-2</c:v>
                </c:pt>
                <c:pt idx="234">
                  <c:v>1.8057E-2</c:v>
                </c:pt>
                <c:pt idx="235">
                  <c:v>2.0915E-2</c:v>
                </c:pt>
                <c:pt idx="236">
                  <c:v>2.2509999999999999E-2</c:v>
                </c:pt>
                <c:pt idx="237">
                  <c:v>1.8568999999999999E-2</c:v>
                </c:pt>
                <c:pt idx="238">
                  <c:v>2.1062000000000001E-2</c:v>
                </c:pt>
                <c:pt idx="239">
                  <c:v>1.6733999999999999E-2</c:v>
                </c:pt>
                <c:pt idx="240">
                  <c:v>1.3960999999999999E-2</c:v>
                </c:pt>
                <c:pt idx="241">
                  <c:v>1.4642000000000001E-2</c:v>
                </c:pt>
                <c:pt idx="242">
                  <c:v>1.4269E-2</c:v>
                </c:pt>
                <c:pt idx="243">
                  <c:v>1.3842E-2</c:v>
                </c:pt>
                <c:pt idx="244">
                  <c:v>1.4347E-2</c:v>
                </c:pt>
                <c:pt idx="245">
                  <c:v>1.6080000000000001E-2</c:v>
                </c:pt>
                <c:pt idx="246">
                  <c:v>1.72E-2</c:v>
                </c:pt>
                <c:pt idx="247">
                  <c:v>1.4685999999999999E-2</c:v>
                </c:pt>
                <c:pt idx="248">
                  <c:v>1.5554999999999999E-2</c:v>
                </c:pt>
                <c:pt idx="249">
                  <c:v>1.1623E-2</c:v>
                </c:pt>
                <c:pt idx="250">
                  <c:v>1.4186000000000001E-2</c:v>
                </c:pt>
                <c:pt idx="251">
                  <c:v>1.5107000000000001E-2</c:v>
                </c:pt>
                <c:pt idx="252">
                  <c:v>1.9172999999999999E-2</c:v>
                </c:pt>
                <c:pt idx="253">
                  <c:v>1.6247999999999999E-2</c:v>
                </c:pt>
                <c:pt idx="254">
                  <c:v>2.23E-2</c:v>
                </c:pt>
                <c:pt idx="255">
                  <c:v>2.164E-2</c:v>
                </c:pt>
                <c:pt idx="256">
                  <c:v>2.2766000000000002E-2</c:v>
                </c:pt>
                <c:pt idx="257">
                  <c:v>2.3165999999999999E-2</c:v>
                </c:pt>
                <c:pt idx="258">
                  <c:v>2.5767999999999999E-2</c:v>
                </c:pt>
                <c:pt idx="259">
                  <c:v>2.5182E-2</c:v>
                </c:pt>
                <c:pt idx="260">
                  <c:v>2.4500000000000001E-2</c:v>
                </c:pt>
                <c:pt idx="261">
                  <c:v>3.1130000000000001E-2</c:v>
                </c:pt>
                <c:pt idx="262">
                  <c:v>3.4369999999999998E-2</c:v>
                </c:pt>
                <c:pt idx="263">
                  <c:v>2.4028999999999998E-2</c:v>
                </c:pt>
                <c:pt idx="264">
                  <c:v>2.4617E-2</c:v>
                </c:pt>
                <c:pt idx="265">
                  <c:v>2.5106E-2</c:v>
                </c:pt>
                <c:pt idx="266">
                  <c:v>2.4875999999999999E-2</c:v>
                </c:pt>
                <c:pt idx="267">
                  <c:v>2.5734E-2</c:v>
                </c:pt>
                <c:pt idx="268">
                  <c:v>2.3574999999999999E-2</c:v>
                </c:pt>
                <c:pt idx="269">
                  <c:v>2.5943999999999998E-2</c:v>
                </c:pt>
                <c:pt idx="270">
                  <c:v>2.7300999999999999E-2</c:v>
                </c:pt>
                <c:pt idx="271">
                  <c:v>2.9134E-2</c:v>
                </c:pt>
                <c:pt idx="272">
                  <c:v>2.6041000000000002E-2</c:v>
                </c:pt>
                <c:pt idx="273">
                  <c:v>2.4421999999999999E-2</c:v>
                </c:pt>
                <c:pt idx="274">
                  <c:v>2.5019E-2</c:v>
                </c:pt>
                <c:pt idx="275">
                  <c:v>2.7442000000000001E-2</c:v>
                </c:pt>
                <c:pt idx="276">
                  <c:v>2.2348E-2</c:v>
                </c:pt>
                <c:pt idx="277">
                  <c:v>2.0501999999999999E-2</c:v>
                </c:pt>
                <c:pt idx="278">
                  <c:v>2.0774999999999998E-2</c:v>
                </c:pt>
                <c:pt idx="279">
                  <c:v>2.4199999999999999E-2</c:v>
                </c:pt>
                <c:pt idx="280">
                  <c:v>1.9800000000000002E-2</c:v>
                </c:pt>
                <c:pt idx="281">
                  <c:v>2.1045999999999999E-2</c:v>
                </c:pt>
                <c:pt idx="282">
                  <c:v>2.4931999999999999E-2</c:v>
                </c:pt>
                <c:pt idx="283">
                  <c:v>2.4650999999999999E-2</c:v>
                </c:pt>
                <c:pt idx="284">
                  <c:v>2.7796000000000001E-2</c:v>
                </c:pt>
                <c:pt idx="285">
                  <c:v>2.9786E-2</c:v>
                </c:pt>
                <c:pt idx="286">
                  <c:v>2.7961E-2</c:v>
                </c:pt>
                <c:pt idx="287">
                  <c:v>3.0026000000000001E-2</c:v>
                </c:pt>
                <c:pt idx="288">
                  <c:v>3.0110999999999999E-2</c:v>
                </c:pt>
                <c:pt idx="289">
                  <c:v>2.9184999999999999E-2</c:v>
                </c:pt>
                <c:pt idx="290">
                  <c:v>2.9741E-2</c:v>
                </c:pt>
                <c:pt idx="291">
                  <c:v>3.2892999999999999E-2</c:v>
                </c:pt>
                <c:pt idx="292">
                  <c:v>2.9232999999999999E-2</c:v>
                </c:pt>
                <c:pt idx="293">
                  <c:v>3.0303E-2</c:v>
                </c:pt>
                <c:pt idx="294">
                  <c:v>3.1074000000000001E-2</c:v>
                </c:pt>
                <c:pt idx="295">
                  <c:v>2.8468E-2</c:v>
                </c:pt>
                <c:pt idx="296">
                  <c:v>3.2500000000000001E-2</c:v>
                </c:pt>
                <c:pt idx="297">
                  <c:v>3.4972999999999997E-2</c:v>
                </c:pt>
                <c:pt idx="298">
                  <c:v>3.6242000000000003E-2</c:v>
                </c:pt>
                <c:pt idx="299">
                  <c:v>3.0188E-2</c:v>
                </c:pt>
                <c:pt idx="300">
                  <c:v>3.5145000000000003E-2</c:v>
                </c:pt>
                <c:pt idx="301">
                  <c:v>3.7805999999999999E-2</c:v>
                </c:pt>
                <c:pt idx="302">
                  <c:v>4.1963E-2</c:v>
                </c:pt>
                <c:pt idx="303">
                  <c:v>3.4999000000000002E-2</c:v>
                </c:pt>
                <c:pt idx="304">
                  <c:v>2.98E-2</c:v>
                </c:pt>
                <c:pt idx="305">
                  <c:v>2.7043000000000001E-2</c:v>
                </c:pt>
                <c:pt idx="306">
                  <c:v>2.7807999999999999E-2</c:v>
                </c:pt>
                <c:pt idx="307">
                  <c:v>2.6189E-2</c:v>
                </c:pt>
                <c:pt idx="308">
                  <c:v>2.0490999999999999E-2</c:v>
                </c:pt>
                <c:pt idx="309">
                  <c:v>2.0839E-2</c:v>
                </c:pt>
                <c:pt idx="310">
                  <c:v>2.1551000000000001E-2</c:v>
                </c:pt>
                <c:pt idx="311">
                  <c:v>2.3290999999999999E-2</c:v>
                </c:pt>
                <c:pt idx="312">
                  <c:v>2.129E-2</c:v>
                </c:pt>
                <c:pt idx="313">
                  <c:v>2.0896999999999999E-2</c:v>
                </c:pt>
                <c:pt idx="314">
                  <c:v>2.1149999999999999E-2</c:v>
                </c:pt>
                <c:pt idx="315">
                  <c:v>1.5604E-2</c:v>
                </c:pt>
                <c:pt idx="316">
                  <c:v>1.6043000000000002E-2</c:v>
                </c:pt>
                <c:pt idx="317">
                  <c:v>1.5952999999999998E-2</c:v>
                </c:pt>
                <c:pt idx="318">
                  <c:v>1.5865000000000001E-2</c:v>
                </c:pt>
                <c:pt idx="319">
                  <c:v>1.5865000000000001E-2</c:v>
                </c:pt>
                <c:pt idx="320">
                  <c:v>1.6206000000000002E-2</c:v>
                </c:pt>
                <c:pt idx="321">
                  <c:v>1.6694000000000001E-2</c:v>
                </c:pt>
                <c:pt idx="322">
                  <c:v>1.5765000000000001E-2</c:v>
                </c:pt>
                <c:pt idx="323">
                  <c:v>1.3355000000000001E-2</c:v>
                </c:pt>
                <c:pt idx="324">
                  <c:v>1.2113000000000001E-2</c:v>
                </c:pt>
                <c:pt idx="325">
                  <c:v>1.0551E-2</c:v>
                </c:pt>
                <c:pt idx="326">
                  <c:v>1.0773E-2</c:v>
                </c:pt>
                <c:pt idx="327">
                  <c:v>1.0666999999999999E-2</c:v>
                </c:pt>
                <c:pt idx="328">
                  <c:v>1.0245000000000001E-2</c:v>
                </c:pt>
                <c:pt idx="329">
                  <c:v>1.0329E-2</c:v>
                </c:pt>
                <c:pt idx="330">
                  <c:v>1.1480000000000001E-2</c:v>
                </c:pt>
                <c:pt idx="331">
                  <c:v>1.0833000000000001E-2</c:v>
                </c:pt>
                <c:pt idx="332">
                  <c:v>1.065E-2</c:v>
                </c:pt>
                <c:pt idx="333">
                  <c:v>1.0035000000000001E-2</c:v>
                </c:pt>
                <c:pt idx="334">
                  <c:v>1.0670000000000001E-2</c:v>
                </c:pt>
                <c:pt idx="335">
                  <c:v>1.1778E-2</c:v>
                </c:pt>
                <c:pt idx="336">
                  <c:v>1.3213000000000001E-2</c:v>
                </c:pt>
                <c:pt idx="337">
                  <c:v>9.0919999999999994E-3</c:v>
                </c:pt>
                <c:pt idx="338">
                  <c:v>8.3079999999999994E-3</c:v>
                </c:pt>
                <c:pt idx="339">
                  <c:v>9.8829999999999994E-3</c:v>
                </c:pt>
                <c:pt idx="340">
                  <c:v>1.0584E-2</c:v>
                </c:pt>
                <c:pt idx="341">
                  <c:v>0.01</c:v>
                </c:pt>
                <c:pt idx="342">
                  <c:v>1.0052999999999999E-2</c:v>
                </c:pt>
                <c:pt idx="343">
                  <c:v>1.0214000000000001E-2</c:v>
                </c:pt>
                <c:pt idx="344">
                  <c:v>9.9860000000000001E-3</c:v>
                </c:pt>
                <c:pt idx="345">
                  <c:v>1.0115000000000001E-2</c:v>
                </c:pt>
                <c:pt idx="346">
                  <c:v>1.0432E-2</c:v>
                </c:pt>
                <c:pt idx="347">
                  <c:v>1.1266999999999999E-2</c:v>
                </c:pt>
                <c:pt idx="348">
                  <c:v>1.0276E-2</c:v>
                </c:pt>
                <c:pt idx="349">
                  <c:v>9.9050000000000006E-3</c:v>
                </c:pt>
                <c:pt idx="350">
                  <c:v>9.4640000000000002E-3</c:v>
                </c:pt>
                <c:pt idx="351">
                  <c:v>7.9719999999999999E-3</c:v>
                </c:pt>
                <c:pt idx="352">
                  <c:v>8.1550000000000008E-3</c:v>
                </c:pt>
                <c:pt idx="353">
                  <c:v>7.7210000000000004E-3</c:v>
                </c:pt>
                <c:pt idx="354">
                  <c:v>7.7790000000000003E-3</c:v>
                </c:pt>
                <c:pt idx="355">
                  <c:v>6.3049999999999998E-3</c:v>
                </c:pt>
                <c:pt idx="356">
                  <c:v>6.5900000000000004E-3</c:v>
                </c:pt>
                <c:pt idx="357">
                  <c:v>6.202E-3</c:v>
                </c:pt>
                <c:pt idx="358">
                  <c:v>6.3800000000000003E-3</c:v>
                </c:pt>
                <c:pt idx="359">
                  <c:v>6.045E-3</c:v>
                </c:pt>
                <c:pt idx="360">
                  <c:v>5.6750000000000004E-3</c:v>
                </c:pt>
                <c:pt idx="361">
                  <c:v>5.313E-3</c:v>
                </c:pt>
                <c:pt idx="362">
                  <c:v>5.4720000000000003E-3</c:v>
                </c:pt>
                <c:pt idx="363">
                  <c:v>5.2370000000000003E-3</c:v>
                </c:pt>
                <c:pt idx="364">
                  <c:v>5.2620000000000002E-3</c:v>
                </c:pt>
                <c:pt idx="365">
                  <c:v>5.11E-3</c:v>
                </c:pt>
                <c:pt idx="366">
                  <c:v>5.7809999999999997E-3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4A37-B540-810AB1C9BF1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-108.37234900606255</c:v>
                </c:pt>
                <c:pt idx="1">
                  <c:v>-108.23670735833527</c:v>
                </c:pt>
                <c:pt idx="2">
                  <c:v>-104.87595379705589</c:v>
                </c:pt>
                <c:pt idx="3">
                  <c:v>-106.03226282077489</c:v>
                </c:pt>
                <c:pt idx="4">
                  <c:v>-107.1416528760975</c:v>
                </c:pt>
                <c:pt idx="5">
                  <c:v>-109.43507452016529</c:v>
                </c:pt>
                <c:pt idx="6">
                  <c:v>-106.22743058772083</c:v>
                </c:pt>
                <c:pt idx="7">
                  <c:v>-101.54992714417244</c:v>
                </c:pt>
                <c:pt idx="8">
                  <c:v>-99.701406146725645</c:v>
                </c:pt>
                <c:pt idx="9">
                  <c:v>-100.37477955451192</c:v>
                </c:pt>
                <c:pt idx="10">
                  <c:v>-99.718931215259573</c:v>
                </c:pt>
                <c:pt idx="11">
                  <c:v>-101.45690977114194</c:v>
                </c:pt>
                <c:pt idx="12">
                  <c:v>-100.61130642104669</c:v>
                </c:pt>
                <c:pt idx="13">
                  <c:v>-101.96223893416145</c:v>
                </c:pt>
                <c:pt idx="14">
                  <c:v>-102.75914027314451</c:v>
                </c:pt>
                <c:pt idx="15">
                  <c:v>-101.07026464933499</c:v>
                </c:pt>
                <c:pt idx="16">
                  <c:v>-101.95228080431011</c:v>
                </c:pt>
                <c:pt idx="17">
                  <c:v>-103.26981154714029</c:v>
                </c:pt>
                <c:pt idx="18">
                  <c:v>-101.90759285011552</c:v>
                </c:pt>
                <c:pt idx="19">
                  <c:v>-101.6736151715441</c:v>
                </c:pt>
                <c:pt idx="20">
                  <c:v>-100.62719614027242</c:v>
                </c:pt>
                <c:pt idx="21">
                  <c:v>-98.667050481372414</c:v>
                </c:pt>
                <c:pt idx="22">
                  <c:v>-100.24688234062616</c:v>
                </c:pt>
                <c:pt idx="23">
                  <c:v>-97.867735213524711</c:v>
                </c:pt>
                <c:pt idx="24">
                  <c:v>-96.549023800524694</c:v>
                </c:pt>
                <c:pt idx="25">
                  <c:v>-94.523907747728487</c:v>
                </c:pt>
                <c:pt idx="26">
                  <c:v>-96.057762677358113</c:v>
                </c:pt>
                <c:pt idx="27">
                  <c:v>-96.836826599358105</c:v>
                </c:pt>
                <c:pt idx="28">
                  <c:v>-96.619992710686759</c:v>
                </c:pt>
                <c:pt idx="29">
                  <c:v>-97.391068385904163</c:v>
                </c:pt>
                <c:pt idx="30">
                  <c:v>-96.361670072860676</c:v>
                </c:pt>
                <c:pt idx="31">
                  <c:v>-94.762475581562441</c:v>
                </c:pt>
                <c:pt idx="32">
                  <c:v>-95.724834753350535</c:v>
                </c:pt>
                <c:pt idx="33">
                  <c:v>-98.031036002417181</c:v>
                </c:pt>
                <c:pt idx="34">
                  <c:v>-99.710041691352544</c:v>
                </c:pt>
                <c:pt idx="35">
                  <c:v>-97.650246450140415</c:v>
                </c:pt>
                <c:pt idx="36">
                  <c:v>-100.28433386341477</c:v>
                </c:pt>
                <c:pt idx="37">
                  <c:v>-100.18476471681282</c:v>
                </c:pt>
                <c:pt idx="38">
                  <c:v>-101.31908268647575</c:v>
                </c:pt>
                <c:pt idx="39">
                  <c:v>-100.03839251786334</c:v>
                </c:pt>
                <c:pt idx="40">
                  <c:v>-100.15057759444326</c:v>
                </c:pt>
                <c:pt idx="41">
                  <c:v>-100.38711107116893</c:v>
                </c:pt>
                <c:pt idx="42">
                  <c:v>-98.997748969568917</c:v>
                </c:pt>
                <c:pt idx="43">
                  <c:v>-97.183954736960217</c:v>
                </c:pt>
                <c:pt idx="44">
                  <c:v>-100.04972282453109</c:v>
                </c:pt>
                <c:pt idx="45">
                  <c:v>-100.309616008622</c:v>
                </c:pt>
                <c:pt idx="46">
                  <c:v>-97.635639510934141</c:v>
                </c:pt>
                <c:pt idx="47">
                  <c:v>-97.300603813807697</c:v>
                </c:pt>
                <c:pt idx="48">
                  <c:v>-97.3796529383132</c:v>
                </c:pt>
                <c:pt idx="49">
                  <c:v>-94.821456395089143</c:v>
                </c:pt>
                <c:pt idx="50">
                  <c:v>-90.592308973146288</c:v>
                </c:pt>
                <c:pt idx="51">
                  <c:v>-89.790771173146297</c:v>
                </c:pt>
                <c:pt idx="52">
                  <c:v>-90.311418086463718</c:v>
                </c:pt>
                <c:pt idx="53">
                  <c:v>-93.545677667580222</c:v>
                </c:pt>
                <c:pt idx="54">
                  <c:v>-90.665190153058262</c:v>
                </c:pt>
                <c:pt idx="55">
                  <c:v>-91.488721707221828</c:v>
                </c:pt>
                <c:pt idx="56">
                  <c:v>-90.093482960834407</c:v>
                </c:pt>
                <c:pt idx="57">
                  <c:v>-88.36524616136775</c:v>
                </c:pt>
                <c:pt idx="58">
                  <c:v>-87.721663227161102</c:v>
                </c:pt>
                <c:pt idx="59">
                  <c:v>-84.551645068186758</c:v>
                </c:pt>
                <c:pt idx="60">
                  <c:v>-81.601979026368568</c:v>
                </c:pt>
                <c:pt idx="61">
                  <c:v>-83.421074041944905</c:v>
                </c:pt>
                <c:pt idx="62">
                  <c:v>-94.512431135117012</c:v>
                </c:pt>
                <c:pt idx="63">
                  <c:v>-85.517547009503588</c:v>
                </c:pt>
                <c:pt idx="64">
                  <c:v>-91.12071157256409</c:v>
                </c:pt>
                <c:pt idx="65">
                  <c:v>-90.986311030442863</c:v>
                </c:pt>
                <c:pt idx="66">
                  <c:v>-90.825046152035796</c:v>
                </c:pt>
                <c:pt idx="67">
                  <c:v>-88.139044463322904</c:v>
                </c:pt>
                <c:pt idx="68">
                  <c:v>-86.273664210508841</c:v>
                </c:pt>
                <c:pt idx="69">
                  <c:v>-87.201683146826142</c:v>
                </c:pt>
                <c:pt idx="70">
                  <c:v>-90.310531600428391</c:v>
                </c:pt>
                <c:pt idx="71">
                  <c:v>-89.053661944760904</c:v>
                </c:pt>
                <c:pt idx="72">
                  <c:v>-88.736008782049026</c:v>
                </c:pt>
                <c:pt idx="73">
                  <c:v>-86.627458143295229</c:v>
                </c:pt>
                <c:pt idx="74">
                  <c:v>-83.807146190303769</c:v>
                </c:pt>
                <c:pt idx="75">
                  <c:v>-78.842136626471444</c:v>
                </c:pt>
                <c:pt idx="76">
                  <c:v>-82.104434508381544</c:v>
                </c:pt>
                <c:pt idx="77">
                  <c:v>-79.873882620376165</c:v>
                </c:pt>
                <c:pt idx="78">
                  <c:v>-73.916214958960637</c:v>
                </c:pt>
                <c:pt idx="79">
                  <c:v>-70.835803233630131</c:v>
                </c:pt>
                <c:pt idx="80">
                  <c:v>-66.48264438466461</c:v>
                </c:pt>
                <c:pt idx="81">
                  <c:v>-64.818409102154973</c:v>
                </c:pt>
                <c:pt idx="82">
                  <c:v>-51.263016496925182</c:v>
                </c:pt>
                <c:pt idx="83">
                  <c:v>-77.292330264686882</c:v>
                </c:pt>
                <c:pt idx="84">
                  <c:v>-82.672634193380063</c:v>
                </c:pt>
                <c:pt idx="85">
                  <c:v>-81.92379751199708</c:v>
                </c:pt>
                <c:pt idx="86">
                  <c:v>-81.853313542216057</c:v>
                </c:pt>
                <c:pt idx="87">
                  <c:v>-80.875813264898994</c:v>
                </c:pt>
                <c:pt idx="88">
                  <c:v>-79.003524947800543</c:v>
                </c:pt>
                <c:pt idx="89">
                  <c:v>-81.069762946035837</c:v>
                </c:pt>
                <c:pt idx="90">
                  <c:v>-80.598910668856348</c:v>
                </c:pt>
                <c:pt idx="91">
                  <c:v>-80.178131143256351</c:v>
                </c:pt>
                <c:pt idx="92">
                  <c:v>-82.415066276640985</c:v>
                </c:pt>
                <c:pt idx="93">
                  <c:v>-77.490198605378836</c:v>
                </c:pt>
                <c:pt idx="94">
                  <c:v>-73.419002001994215</c:v>
                </c:pt>
                <c:pt idx="95">
                  <c:v>-80.790337702777933</c:v>
                </c:pt>
                <c:pt idx="96">
                  <c:v>-80.75003072729011</c:v>
                </c:pt>
                <c:pt idx="97">
                  <c:v>-79.428506581548177</c:v>
                </c:pt>
                <c:pt idx="98">
                  <c:v>-76.603724060603298</c:v>
                </c:pt>
                <c:pt idx="99">
                  <c:v>-69.921697053288469</c:v>
                </c:pt>
                <c:pt idx="100">
                  <c:v>-51.191310289811057</c:v>
                </c:pt>
                <c:pt idx="101">
                  <c:v>-65.261846126601171</c:v>
                </c:pt>
                <c:pt idx="102">
                  <c:v>-67.067287805442461</c:v>
                </c:pt>
                <c:pt idx="103">
                  <c:v>-67.966057332109131</c:v>
                </c:pt>
                <c:pt idx="104">
                  <c:v>-67.672621342788744</c:v>
                </c:pt>
                <c:pt idx="105">
                  <c:v>-68.135958700258612</c:v>
                </c:pt>
                <c:pt idx="106">
                  <c:v>-69.895687189895924</c:v>
                </c:pt>
                <c:pt idx="107">
                  <c:v>-71.004106482137303</c:v>
                </c:pt>
                <c:pt idx="108">
                  <c:v>-72.460520458237298</c:v>
                </c:pt>
                <c:pt idx="109">
                  <c:v>-72.545490992479728</c:v>
                </c:pt>
                <c:pt idx="110">
                  <c:v>-70.326226451189399</c:v>
                </c:pt>
                <c:pt idx="111">
                  <c:v>-67.022069627374975</c:v>
                </c:pt>
                <c:pt idx="112">
                  <c:v>-63.552078795405293</c:v>
                </c:pt>
                <c:pt idx="113">
                  <c:v>-63.618998238482227</c:v>
                </c:pt>
                <c:pt idx="114">
                  <c:v>-64.660884177257742</c:v>
                </c:pt>
                <c:pt idx="115">
                  <c:v>-70.019803041257745</c:v>
                </c:pt>
                <c:pt idx="116">
                  <c:v>-72.895098192368863</c:v>
                </c:pt>
                <c:pt idx="117">
                  <c:v>-73.233208022671889</c:v>
                </c:pt>
                <c:pt idx="118">
                  <c:v>-74.430418759814742</c:v>
                </c:pt>
                <c:pt idx="119">
                  <c:v>-77.142854061879959</c:v>
                </c:pt>
                <c:pt idx="120">
                  <c:v>-73.678908413079952</c:v>
                </c:pt>
                <c:pt idx="121">
                  <c:v>-66.020206058847961</c:v>
                </c:pt>
                <c:pt idx="122">
                  <c:v>-67.436738898847963</c:v>
                </c:pt>
                <c:pt idx="123">
                  <c:v>-64.733976475127022</c:v>
                </c:pt>
                <c:pt idx="124">
                  <c:v>-65.944124960855675</c:v>
                </c:pt>
                <c:pt idx="125">
                  <c:v>-66.769361700661506</c:v>
                </c:pt>
                <c:pt idx="126">
                  <c:v>-64.335042754804803</c:v>
                </c:pt>
                <c:pt idx="127">
                  <c:v>-66.673687798270151</c:v>
                </c:pt>
                <c:pt idx="128">
                  <c:v>-70.873140532600871</c:v>
                </c:pt>
                <c:pt idx="129">
                  <c:v>-63.297053336184675</c:v>
                </c:pt>
                <c:pt idx="130">
                  <c:v>-59.809056532548311</c:v>
                </c:pt>
                <c:pt idx="131">
                  <c:v>-44.511512705776653</c:v>
                </c:pt>
                <c:pt idx="132">
                  <c:v>-47.865991511188419</c:v>
                </c:pt>
                <c:pt idx="133">
                  <c:v>-47.919461464179065</c:v>
                </c:pt>
                <c:pt idx="134">
                  <c:v>-44.072255132331932</c:v>
                </c:pt>
                <c:pt idx="135">
                  <c:v>-47.201970902174466</c:v>
                </c:pt>
                <c:pt idx="136">
                  <c:v>-45.632064273747488</c:v>
                </c:pt>
                <c:pt idx="137">
                  <c:v>-45.250390130937582</c:v>
                </c:pt>
                <c:pt idx="138">
                  <c:v>-47.92354994103858</c:v>
                </c:pt>
                <c:pt idx="139">
                  <c:v>-44.493462329914308</c:v>
                </c:pt>
                <c:pt idx="140">
                  <c:v>-27.242632464882448</c:v>
                </c:pt>
                <c:pt idx="141">
                  <c:v>-35.423467083517131</c:v>
                </c:pt>
                <c:pt idx="142">
                  <c:v>-37.344279695392146</c:v>
                </c:pt>
                <c:pt idx="143">
                  <c:v>-35.58776097304731</c:v>
                </c:pt>
                <c:pt idx="144">
                  <c:v>-40.63075343304731</c:v>
                </c:pt>
                <c:pt idx="145">
                  <c:v>-42.519275786190157</c:v>
                </c:pt>
                <c:pt idx="146">
                  <c:v>-41.575969706745703</c:v>
                </c:pt>
                <c:pt idx="147">
                  <c:v>-43.495370743197313</c:v>
                </c:pt>
                <c:pt idx="148">
                  <c:v>-44.589823059863981</c:v>
                </c:pt>
                <c:pt idx="149">
                  <c:v>-48.152896637197301</c:v>
                </c:pt>
                <c:pt idx="150">
                  <c:v>-48.491693116039407</c:v>
                </c:pt>
                <c:pt idx="151">
                  <c:v>-46.914481888347105</c:v>
                </c:pt>
                <c:pt idx="152">
                  <c:v>-47.051805052671419</c:v>
                </c:pt>
                <c:pt idx="153">
                  <c:v>-45.531182338385719</c:v>
                </c:pt>
                <c:pt idx="154">
                  <c:v>-47.157412722932207</c:v>
                </c:pt>
                <c:pt idx="155">
                  <c:v>-41.887036603492952</c:v>
                </c:pt>
                <c:pt idx="156">
                  <c:v>-43.848129399733217</c:v>
                </c:pt>
                <c:pt idx="157">
                  <c:v>-41.152028932325621</c:v>
                </c:pt>
                <c:pt idx="158">
                  <c:v>-36.381277154276844</c:v>
                </c:pt>
                <c:pt idx="159">
                  <c:v>-36.712295241540765</c:v>
                </c:pt>
                <c:pt idx="160">
                  <c:v>-36.921346273040086</c:v>
                </c:pt>
                <c:pt idx="161">
                  <c:v>-38.768747302988231</c:v>
                </c:pt>
                <c:pt idx="162">
                  <c:v>-40.733834714028227</c:v>
                </c:pt>
                <c:pt idx="163">
                  <c:v>-38.705519084094568</c:v>
                </c:pt>
                <c:pt idx="164">
                  <c:v>-36.162185053077508</c:v>
                </c:pt>
                <c:pt idx="165">
                  <c:v>-32.736201480051534</c:v>
                </c:pt>
                <c:pt idx="166">
                  <c:v>-33.829268331655634</c:v>
                </c:pt>
                <c:pt idx="167">
                  <c:v>-33.150041754111776</c:v>
                </c:pt>
                <c:pt idx="168">
                  <c:v>-35.284029948143917</c:v>
                </c:pt>
                <c:pt idx="169">
                  <c:v>-34.35669259922485</c:v>
                </c:pt>
                <c:pt idx="170">
                  <c:v>-34.121401161643576</c:v>
                </c:pt>
                <c:pt idx="171">
                  <c:v>-34.565722810419558</c:v>
                </c:pt>
                <c:pt idx="172">
                  <c:v>-37.975023351395663</c:v>
                </c:pt>
                <c:pt idx="173">
                  <c:v>-36.653323752922383</c:v>
                </c:pt>
                <c:pt idx="174">
                  <c:v>-38.655705714356287</c:v>
                </c:pt>
                <c:pt idx="175">
                  <c:v>-39.414879144444008</c:v>
                </c:pt>
                <c:pt idx="176">
                  <c:v>-41.174909088739483</c:v>
                </c:pt>
                <c:pt idx="177">
                  <c:v>-41.92663324198427</c:v>
                </c:pt>
                <c:pt idx="178">
                  <c:v>-41.591644684141492</c:v>
                </c:pt>
                <c:pt idx="179">
                  <c:v>-41.079240682392765</c:v>
                </c:pt>
                <c:pt idx="180">
                  <c:v>-39.050454593044307</c:v>
                </c:pt>
                <c:pt idx="181">
                  <c:v>-39.375398715270002</c:v>
                </c:pt>
                <c:pt idx="182">
                  <c:v>-44.951573777144986</c:v>
                </c:pt>
                <c:pt idx="183">
                  <c:v>-45.502651445688024</c:v>
                </c:pt>
                <c:pt idx="184">
                  <c:v>-44.028526967357323</c:v>
                </c:pt>
                <c:pt idx="185">
                  <c:v>-45.755927845823066</c:v>
                </c:pt>
                <c:pt idx="186">
                  <c:v>-42.811554631480853</c:v>
                </c:pt>
                <c:pt idx="187">
                  <c:v>-45.116119552827001</c:v>
                </c:pt>
                <c:pt idx="188">
                  <c:v>-47.420684474173164</c:v>
                </c:pt>
                <c:pt idx="189">
                  <c:v>-48.482864270893167</c:v>
                </c:pt>
                <c:pt idx="190">
                  <c:v>-49.370874004698834</c:v>
                </c:pt>
                <c:pt idx="191">
                  <c:v>-50.387417599242703</c:v>
                </c:pt>
                <c:pt idx="192">
                  <c:v>-50.06161802795684</c:v>
                </c:pt>
                <c:pt idx="193">
                  <c:v>-48.916947193090941</c:v>
                </c:pt>
                <c:pt idx="194">
                  <c:v>-48.630978546490958</c:v>
                </c:pt>
                <c:pt idx="195">
                  <c:v>-47.469443611230091</c:v>
                </c:pt>
                <c:pt idx="196">
                  <c:v>-45.75534079497055</c:v>
                </c:pt>
                <c:pt idx="197">
                  <c:v>-44.398612862037211</c:v>
                </c:pt>
                <c:pt idx="198">
                  <c:v>-47.508663088644916</c:v>
                </c:pt>
                <c:pt idx="199">
                  <c:v>-46.265244596575172</c:v>
                </c:pt>
                <c:pt idx="200">
                  <c:v>-44.314890470856518</c:v>
                </c:pt>
                <c:pt idx="201">
                  <c:v>-45.810263843305506</c:v>
                </c:pt>
                <c:pt idx="202">
                  <c:v>-45.127027352396411</c:v>
                </c:pt>
                <c:pt idx="203">
                  <c:v>-46.291172629201533</c:v>
                </c:pt>
                <c:pt idx="204">
                  <c:v>-44.255406591596632</c:v>
                </c:pt>
                <c:pt idx="205">
                  <c:v>-43.740931379652842</c:v>
                </c:pt>
                <c:pt idx="206">
                  <c:v>-45.163913486196307</c:v>
                </c:pt>
                <c:pt idx="207">
                  <c:v>-44.737248942308113</c:v>
                </c:pt>
                <c:pt idx="208">
                  <c:v>-44.759835799825588</c:v>
                </c:pt>
                <c:pt idx="209">
                  <c:v>-45.527578678302554</c:v>
                </c:pt>
                <c:pt idx="210">
                  <c:v>-45.818987389086871</c:v>
                </c:pt>
                <c:pt idx="211">
                  <c:v>-45.233056690266707</c:v>
                </c:pt>
                <c:pt idx="212">
                  <c:v>-46.028200645028612</c:v>
                </c:pt>
                <c:pt idx="213">
                  <c:v>-45.735351621559218</c:v>
                </c:pt>
                <c:pt idx="214">
                  <c:v>-46.298449913311721</c:v>
                </c:pt>
                <c:pt idx="215">
                  <c:v>-47.673033520678352</c:v>
                </c:pt>
                <c:pt idx="216">
                  <c:v>-48.843711271118799</c:v>
                </c:pt>
                <c:pt idx="217">
                  <c:v>-46.973796736528854</c:v>
                </c:pt>
                <c:pt idx="218">
                  <c:v>-48.828833878522808</c:v>
                </c:pt>
                <c:pt idx="219">
                  <c:v>-48.902933085296532</c:v>
                </c:pt>
                <c:pt idx="220">
                  <c:v>-51.726809507386378</c:v>
                </c:pt>
                <c:pt idx="221">
                  <c:v>-48.16004780875155</c:v>
                </c:pt>
                <c:pt idx="222">
                  <c:v>-49.673542347329125</c:v>
                </c:pt>
                <c:pt idx="223">
                  <c:v>-49.144018408185985</c:v>
                </c:pt>
                <c:pt idx="224">
                  <c:v>-47.3049217391019</c:v>
                </c:pt>
                <c:pt idx="225">
                  <c:v>-45.935365889710205</c:v>
                </c:pt>
                <c:pt idx="226">
                  <c:v>-43.643489828290953</c:v>
                </c:pt>
                <c:pt idx="227">
                  <c:v>-40.635259812949151</c:v>
                </c:pt>
                <c:pt idx="228">
                  <c:v>-40.626644403293227</c:v>
                </c:pt>
                <c:pt idx="229">
                  <c:v>-43.35499996511858</c:v>
                </c:pt>
                <c:pt idx="230">
                  <c:v>-43.839167514541543</c:v>
                </c:pt>
                <c:pt idx="231">
                  <c:v>-41.564392354863948</c:v>
                </c:pt>
                <c:pt idx="232">
                  <c:v>-37.170103473520655</c:v>
                </c:pt>
                <c:pt idx="233">
                  <c:v>-43.530565674516147</c:v>
                </c:pt>
                <c:pt idx="234">
                  <c:v>-45.45851777210099</c:v>
                </c:pt>
                <c:pt idx="235">
                  <c:v>-38.524432356407395</c:v>
                </c:pt>
                <c:pt idx="236">
                  <c:v>-26.238865346877876</c:v>
                </c:pt>
                <c:pt idx="237">
                  <c:v>-38.18458014867042</c:v>
                </c:pt>
                <c:pt idx="238">
                  <c:v>-33.678229168576642</c:v>
                </c:pt>
                <c:pt idx="239">
                  <c:v>-40.810945507170757</c:v>
                </c:pt>
                <c:pt idx="240">
                  <c:v>-44.548900293091762</c:v>
                </c:pt>
                <c:pt idx="241">
                  <c:v>-43.242756873814422</c:v>
                </c:pt>
                <c:pt idx="242">
                  <c:v>-44.308164758054502</c:v>
                </c:pt>
                <c:pt idx="243">
                  <c:v>-45.584892298160391</c:v>
                </c:pt>
                <c:pt idx="244">
                  <c:v>-44.225548879667755</c:v>
                </c:pt>
                <c:pt idx="245">
                  <c:v>-42.409014360082324</c:v>
                </c:pt>
                <c:pt idx="246">
                  <c:v>-42.905414914558939</c:v>
                </c:pt>
                <c:pt idx="247">
                  <c:v>-49.977953413166532</c:v>
                </c:pt>
                <c:pt idx="248">
                  <c:v>-49.71093119060933</c:v>
                </c:pt>
                <c:pt idx="249">
                  <c:v>-56.757715696945198</c:v>
                </c:pt>
                <c:pt idx="250">
                  <c:v>-53.531661917344671</c:v>
                </c:pt>
                <c:pt idx="251">
                  <c:v>-49.741484981419028</c:v>
                </c:pt>
                <c:pt idx="252">
                  <c:v>-45.970520400525572</c:v>
                </c:pt>
                <c:pt idx="253">
                  <c:v>-51.842426729968089</c:v>
                </c:pt>
                <c:pt idx="254">
                  <c:v>-38.782633504966469</c:v>
                </c:pt>
                <c:pt idx="255">
                  <c:v>-37.429027492432049</c:v>
                </c:pt>
                <c:pt idx="256">
                  <c:v>-38.727363104424455</c:v>
                </c:pt>
                <c:pt idx="257">
                  <c:v>-37.425731339539539</c:v>
                </c:pt>
                <c:pt idx="258">
                  <c:v>-32.99365830780247</c:v>
                </c:pt>
                <c:pt idx="259">
                  <c:v>-31.538784275915887</c:v>
                </c:pt>
                <c:pt idx="260">
                  <c:v>-33.725563541048906</c:v>
                </c:pt>
                <c:pt idx="261">
                  <c:v>-24.878401723456495</c:v>
                </c:pt>
                <c:pt idx="262">
                  <c:v>-4.4335568112165387</c:v>
                </c:pt>
                <c:pt idx="263">
                  <c:v>-19.253335457976963</c:v>
                </c:pt>
                <c:pt idx="264">
                  <c:v>-19.879006970469032</c:v>
                </c:pt>
                <c:pt idx="265">
                  <c:v>-18.832029973568883</c:v>
                </c:pt>
                <c:pt idx="266">
                  <c:v>-17.830056196325533</c:v>
                </c:pt>
                <c:pt idx="267">
                  <c:v>-15.34582272064025</c:v>
                </c:pt>
                <c:pt idx="268">
                  <c:v>-17.990094973518175</c:v>
                </c:pt>
                <c:pt idx="269">
                  <c:v>-12.216760702810785</c:v>
                </c:pt>
                <c:pt idx="270">
                  <c:v>-8.6902082183082427</c:v>
                </c:pt>
                <c:pt idx="271">
                  <c:v>-7.1024091411377803</c:v>
                </c:pt>
                <c:pt idx="272">
                  <c:v>-10.844490153419009</c:v>
                </c:pt>
                <c:pt idx="273">
                  <c:v>-13.552493216181427</c:v>
                </c:pt>
                <c:pt idx="274">
                  <c:v>-13.192529867003397</c:v>
                </c:pt>
                <c:pt idx="275">
                  <c:v>-10.028734803873036</c:v>
                </c:pt>
                <c:pt idx="276">
                  <c:v>-16.132119766912961</c:v>
                </c:pt>
                <c:pt idx="277">
                  <c:v>-17.418669076248399</c:v>
                </c:pt>
                <c:pt idx="278">
                  <c:v>-17.304489416815237</c:v>
                </c:pt>
                <c:pt idx="279">
                  <c:v>-12.550427935451903</c:v>
                </c:pt>
                <c:pt idx="280">
                  <c:v>-20.422806758266404</c:v>
                </c:pt>
                <c:pt idx="281">
                  <c:v>-15.729622789779487</c:v>
                </c:pt>
                <c:pt idx="282">
                  <c:v>-11.753628131946648</c:v>
                </c:pt>
                <c:pt idx="283">
                  <c:v>-19.76780485011593</c:v>
                </c:pt>
                <c:pt idx="284">
                  <c:v>-16.189641192651766</c:v>
                </c:pt>
                <c:pt idx="285">
                  <c:v>-17.089538557829453</c:v>
                </c:pt>
                <c:pt idx="286">
                  <c:v>-14.809480079802674</c:v>
                </c:pt>
                <c:pt idx="287">
                  <c:v>-11.013935367117588</c:v>
                </c:pt>
                <c:pt idx="288">
                  <c:v>-8.2696811533717245</c:v>
                </c:pt>
                <c:pt idx="289">
                  <c:v>-7.9683692558381685</c:v>
                </c:pt>
                <c:pt idx="290">
                  <c:v>-5.7840848723493439</c:v>
                </c:pt>
                <c:pt idx="291">
                  <c:v>-3.0611693129504132</c:v>
                </c:pt>
                <c:pt idx="292">
                  <c:v>-4.9082200509290344</c:v>
                </c:pt>
                <c:pt idx="293">
                  <c:v>-2.4591335815955127</c:v>
                </c:pt>
                <c:pt idx="294">
                  <c:v>-0.29359914121141223</c:v>
                </c:pt>
                <c:pt idx="295">
                  <c:v>-2.046916308555494</c:v>
                </c:pt>
                <c:pt idx="296">
                  <c:v>0.8148319859099743</c:v>
                </c:pt>
                <c:pt idx="297">
                  <c:v>2.8214936846699086</c:v>
                </c:pt>
                <c:pt idx="298">
                  <c:v>0.79944829039319809</c:v>
                </c:pt>
                <c:pt idx="299">
                  <c:v>-2.2235142088474666</c:v>
                </c:pt>
                <c:pt idx="300">
                  <c:v>3.385043029423132</c:v>
                </c:pt>
                <c:pt idx="301">
                  <c:v>4.4299341128979535</c:v>
                </c:pt>
                <c:pt idx="302">
                  <c:v>6.3659570860830934</c:v>
                </c:pt>
                <c:pt idx="303">
                  <c:v>-4.6029655368995437</c:v>
                </c:pt>
                <c:pt idx="304">
                  <c:v>-12.346238658031025</c:v>
                </c:pt>
                <c:pt idx="305">
                  <c:v>-16.255930888016</c:v>
                </c:pt>
                <c:pt idx="306">
                  <c:v>-14.437843836346216</c:v>
                </c:pt>
                <c:pt idx="307">
                  <c:v>-17.453123807137928</c:v>
                </c:pt>
                <c:pt idx="308">
                  <c:v>-23.69229263801699</c:v>
                </c:pt>
                <c:pt idx="309">
                  <c:v>-26.150798509438378</c:v>
                </c:pt>
                <c:pt idx="310">
                  <c:v>-22.425741779706211</c:v>
                </c:pt>
                <c:pt idx="311">
                  <c:v>-15.88654596598732</c:v>
                </c:pt>
                <c:pt idx="312">
                  <c:v>-11.097364421318071</c:v>
                </c:pt>
                <c:pt idx="313">
                  <c:v>-11.042488493200118</c:v>
                </c:pt>
                <c:pt idx="314">
                  <c:v>-4.0578859265742864</c:v>
                </c:pt>
                <c:pt idx="315">
                  <c:v>-12.755936196792987</c:v>
                </c:pt>
                <c:pt idx="316">
                  <c:v>-9.188189167422852</c:v>
                </c:pt>
                <c:pt idx="317">
                  <c:v>-8.5466355910384966</c:v>
                </c:pt>
                <c:pt idx="318">
                  <c:v>-8.3382267400140613</c:v>
                </c:pt>
                <c:pt idx="319">
                  <c:v>-11.830647667655127</c:v>
                </c:pt>
                <c:pt idx="320">
                  <c:v>-9.0442608289203399</c:v>
                </c:pt>
                <c:pt idx="321">
                  <c:v>-7.6860969468890188</c:v>
                </c:pt>
                <c:pt idx="322">
                  <c:v>-16.967079936179715</c:v>
                </c:pt>
                <c:pt idx="323">
                  <c:v>-28.152808920895865</c:v>
                </c:pt>
                <c:pt idx="324">
                  <c:v>-32.119931989639561</c:v>
                </c:pt>
                <c:pt idx="325">
                  <c:v>-36.870793462018419</c:v>
                </c:pt>
                <c:pt idx="326">
                  <c:v>-36.079070056809101</c:v>
                </c:pt>
                <c:pt idx="327">
                  <c:v>-35.604694610655258</c:v>
                </c:pt>
                <c:pt idx="328">
                  <c:v>-35.000964745321916</c:v>
                </c:pt>
                <c:pt idx="329">
                  <c:v>-36.89534030277796</c:v>
                </c:pt>
                <c:pt idx="330">
                  <c:v>-32.277448015018074</c:v>
                </c:pt>
                <c:pt idx="331">
                  <c:v>-36.469885376661921</c:v>
                </c:pt>
                <c:pt idx="332">
                  <c:v>-37.646384625290956</c:v>
                </c:pt>
                <c:pt idx="333">
                  <c:v>-38.230624865772057</c:v>
                </c:pt>
                <c:pt idx="334">
                  <c:v>-37.978014825038862</c:v>
                </c:pt>
                <c:pt idx="335">
                  <c:v>-31.322431151506677</c:v>
                </c:pt>
                <c:pt idx="336">
                  <c:v>-12.906336611026131</c:v>
                </c:pt>
                <c:pt idx="337">
                  <c:v>-8.5988674273410055</c:v>
                </c:pt>
                <c:pt idx="338">
                  <c:v>-10.724825317778452</c:v>
                </c:pt>
                <c:pt idx="339">
                  <c:v>-8.619288603246428</c:v>
                </c:pt>
                <c:pt idx="340">
                  <c:v>-8.2645912971173967</c:v>
                </c:pt>
                <c:pt idx="341">
                  <c:v>-8.8196835196803711</c:v>
                </c:pt>
                <c:pt idx="342">
                  <c:v>-6.6487200396161148</c:v>
                </c:pt>
                <c:pt idx="343">
                  <c:v>-8.3434294029581899</c:v>
                </c:pt>
                <c:pt idx="344">
                  <c:v>-7.8367826603241113</c:v>
                </c:pt>
                <c:pt idx="345">
                  <c:v>-8.4043347479023183</c:v>
                </c:pt>
                <c:pt idx="346">
                  <c:v>-6.1227833423023243</c:v>
                </c:pt>
                <c:pt idx="347">
                  <c:v>-5.1978898360397006</c:v>
                </c:pt>
                <c:pt idx="348">
                  <c:v>-9.8179555498447026</c:v>
                </c:pt>
                <c:pt idx="349">
                  <c:v>-10.588186918012644</c:v>
                </c:pt>
                <c:pt idx="350">
                  <c:v>-11.236023405977798</c:v>
                </c:pt>
                <c:pt idx="351">
                  <c:v>-12.719825088139963</c:v>
                </c:pt>
                <c:pt idx="352">
                  <c:v>-13.204430589301531</c:v>
                </c:pt>
                <c:pt idx="353">
                  <c:v>-14.107032120194519</c:v>
                </c:pt>
                <c:pt idx="354">
                  <c:v>-12.071764267133888</c:v>
                </c:pt>
                <c:pt idx="355">
                  <c:v>-20.681332087156022</c:v>
                </c:pt>
                <c:pt idx="356">
                  <c:v>-19.180350151394428</c:v>
                </c:pt>
                <c:pt idx="357">
                  <c:v>-20.531588295909071</c:v>
                </c:pt>
                <c:pt idx="358">
                  <c:v>-20.607496370109075</c:v>
                </c:pt>
                <c:pt idx="359">
                  <c:v>-20.514711420429357</c:v>
                </c:pt>
                <c:pt idx="360">
                  <c:v>-24.050882156585711</c:v>
                </c:pt>
                <c:pt idx="361">
                  <c:v>-27.48031457423512</c:v>
                </c:pt>
                <c:pt idx="362">
                  <c:v>-25.389469980739193</c:v>
                </c:pt>
                <c:pt idx="363">
                  <c:v>-26.410391693823939</c:v>
                </c:pt>
                <c:pt idx="364">
                  <c:v>-26.457411791734391</c:v>
                </c:pt>
                <c:pt idx="365">
                  <c:v>-22.237588319102812</c:v>
                </c:pt>
                <c:pt idx="366">
                  <c:v>-17.771004562837746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4A37-B540-810AB1C9B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488544"/>
        <c:axId val="1912490624"/>
      </c:lineChart>
      <c:dateAx>
        <c:axId val="1912488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490624"/>
        <c:crosses val="autoZero"/>
        <c:auto val="1"/>
        <c:lblOffset val="100"/>
        <c:baseTimeUnit val="days"/>
      </c:dateAx>
      <c:valAx>
        <c:axId val="191249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48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4169A5-B53F-48FE-BB3D-43686C5700A0}">
  <sheetPr/>
  <sheetViews>
    <sheetView zoomScale="1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111" cy="60775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A3D9E2-1D30-4A34-86B5-D788644CF4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3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MAX(C3:C1907)</f>
        <v>4.4470000000000003E-2</v>
      </c>
      <c r="D2" s="4">
        <f>MIN(D3:D1907)</f>
        <v>4.8500000000000001E-3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1.5169999999999999E-2</v>
      </c>
      <c r="C5">
        <v>1.5310000000000001E-2</v>
      </c>
      <c r="D5">
        <v>1.487E-2</v>
      </c>
      <c r="E5">
        <v>1.4919999999999999E-2</v>
      </c>
      <c r="F5">
        <v>17553625</v>
      </c>
      <c r="G5">
        <v>1.4919999999999999E-2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-0.77272727272727471</v>
      </c>
      <c r="Q5">
        <f t="shared" ref="Q5" si="1">F5*P5</f>
        <v>-13564164.772727307</v>
      </c>
      <c r="R5">
        <f t="shared" ref="R5" si="2">R6+Q5</f>
        <v>-10837234900.606255</v>
      </c>
      <c r="S5">
        <f t="shared" ref="S5" si="3">R5/100000</f>
        <v>-108372.34900606255</v>
      </c>
      <c r="T5">
        <f t="shared" ref="T5" si="4">S5/1000</f>
        <v>-108.37234900606255</v>
      </c>
    </row>
    <row r="6" spans="1:20" x14ac:dyDescent="0.25">
      <c r="A6" s="5">
        <v>44587</v>
      </c>
      <c r="B6">
        <v>1.46E-2</v>
      </c>
      <c r="C6">
        <v>1.7840000000000002E-2</v>
      </c>
      <c r="D6">
        <v>1.401E-2</v>
      </c>
      <c r="E6">
        <v>1.5180000000000001E-2</v>
      </c>
      <c r="F6">
        <v>863871553</v>
      </c>
      <c r="G6">
        <v>1.5180000000000001E-2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-0.38903394255874657</v>
      </c>
      <c r="Q6">
        <f t="shared" ref="Q6" si="6">F6*P6</f>
        <v>-336075356.1279372</v>
      </c>
      <c r="R6">
        <f t="shared" ref="R6" si="7">R7+Q6</f>
        <v>-10823670735.833527</v>
      </c>
      <c r="S6">
        <f t="shared" ref="S6" si="8">R6/100000</f>
        <v>-108236.70735833526</v>
      </c>
      <c r="T6">
        <f t="shared" ref="T6" si="9">S6/1000</f>
        <v>-108.23670735833527</v>
      </c>
    </row>
    <row r="7" spans="1:20" x14ac:dyDescent="0.25">
      <c r="A7" s="5">
        <v>44586</v>
      </c>
      <c r="B7">
        <v>1.401E-2</v>
      </c>
      <c r="C7">
        <v>1.4880000000000001E-2</v>
      </c>
      <c r="D7">
        <v>1.367E-2</v>
      </c>
      <c r="E7">
        <v>1.456E-2</v>
      </c>
      <c r="F7">
        <v>245462091</v>
      </c>
      <c r="G7">
        <v>1.456E-2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0.4710743801652883</v>
      </c>
      <c r="Q7">
        <f t="shared" ref="Q7" si="11">F7*P7</f>
        <v>115630902.37190059</v>
      </c>
      <c r="R7">
        <f t="shared" ref="R7" si="12">R8+Q7</f>
        <v>-10487595379.705589</v>
      </c>
      <c r="S7">
        <f t="shared" ref="S7" si="13">R7/100000</f>
        <v>-104875.95379705589</v>
      </c>
      <c r="T7">
        <f t="shared" ref="T7" si="14">S7/1000</f>
        <v>-104.87595379705589</v>
      </c>
    </row>
    <row r="8" spans="1:20" x14ac:dyDescent="0.25">
      <c r="A8" s="5">
        <v>44585</v>
      </c>
      <c r="B8">
        <v>1.4930000000000001E-2</v>
      </c>
      <c r="C8">
        <v>1.4930000000000001E-2</v>
      </c>
      <c r="D8">
        <v>1.2449999999999999E-2</v>
      </c>
      <c r="E8">
        <v>1.4030000000000001E-2</v>
      </c>
      <c r="F8">
        <v>404601079</v>
      </c>
      <c r="G8">
        <v>1.4030000000000001E-2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0.27419354838709736</v>
      </c>
      <c r="Q8">
        <f t="shared" ref="Q8" si="16">F8*P8</f>
        <v>110939005.5322583</v>
      </c>
      <c r="R8">
        <f t="shared" ref="R8" si="17">R9+Q8</f>
        <v>-10603226282.07749</v>
      </c>
      <c r="S8">
        <f t="shared" ref="S8" si="18">R8/100000</f>
        <v>-106032.26282077489</v>
      </c>
      <c r="T8">
        <f t="shared" ref="T8" si="19">S8/1000</f>
        <v>-106.03226282077489</v>
      </c>
    </row>
    <row r="9" spans="1:20" x14ac:dyDescent="0.25">
      <c r="A9" s="5">
        <v>44584</v>
      </c>
      <c r="B9">
        <v>1.3899999999999999E-2</v>
      </c>
      <c r="C9">
        <v>1.504E-2</v>
      </c>
      <c r="D9">
        <v>1.3860000000000001E-2</v>
      </c>
      <c r="E9">
        <v>1.495E-2</v>
      </c>
      <c r="F9">
        <v>270623754</v>
      </c>
      <c r="G9">
        <v>1.495E-2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0.84745762711864425</v>
      </c>
      <c r="Q9">
        <f t="shared" ref="Q9" si="21">F9*P9</f>
        <v>229342164.40677971</v>
      </c>
      <c r="R9">
        <f t="shared" ref="R9" si="22">R10+Q9</f>
        <v>-10714165287.609749</v>
      </c>
      <c r="S9">
        <f t="shared" ref="S9" si="23">R9/100000</f>
        <v>-107141.65287609749</v>
      </c>
      <c r="T9">
        <f t="shared" ref="T9" si="24">S9/1000</f>
        <v>-107.1416528760975</v>
      </c>
    </row>
    <row r="10" spans="1:20" x14ac:dyDescent="0.25">
      <c r="A10" s="5">
        <v>44583</v>
      </c>
      <c r="B10">
        <v>1.5169999999999999E-2</v>
      </c>
      <c r="C10">
        <v>1.5890000000000001E-2</v>
      </c>
      <c r="D10">
        <v>1.319E-2</v>
      </c>
      <c r="E10">
        <v>1.3899999999999999E-2</v>
      </c>
      <c r="F10">
        <v>676612392</v>
      </c>
      <c r="G10">
        <v>1.3899999999999999E-2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-0.47407407407407515</v>
      </c>
      <c r="Q10">
        <f t="shared" ref="Q10" si="26">F10*P10</f>
        <v>-320764393.24444515</v>
      </c>
      <c r="R10">
        <f t="shared" ref="R10" si="27">R11+Q10</f>
        <v>-10943507452.016529</v>
      </c>
      <c r="S10">
        <f t="shared" ref="S10" si="28">R10/100000</f>
        <v>-109435.07452016529</v>
      </c>
      <c r="T10">
        <f t="shared" ref="T10" si="29">S10/1000</f>
        <v>-109.43507452016529</v>
      </c>
    </row>
    <row r="11" spans="1:20" x14ac:dyDescent="0.25">
      <c r="A11" s="5">
        <v>44582</v>
      </c>
      <c r="B11">
        <v>1.917E-2</v>
      </c>
      <c r="C11">
        <v>1.9390000000000001E-2</v>
      </c>
      <c r="D11">
        <v>1.474E-2</v>
      </c>
      <c r="E11">
        <v>1.519E-2</v>
      </c>
      <c r="F11">
        <v>580010427</v>
      </c>
      <c r="G11">
        <v>1.519E-2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-0.80645161290322553</v>
      </c>
      <c r="Q11">
        <f t="shared" ref="Q11" si="31">F11*P11</f>
        <v>-467750344.35483855</v>
      </c>
      <c r="R11">
        <f t="shared" ref="R11" si="32">R12+Q11</f>
        <v>-10622743058.772083</v>
      </c>
      <c r="S11">
        <f t="shared" ref="S11" si="33">R11/100000</f>
        <v>-106227.43058772084</v>
      </c>
      <c r="T11">
        <f t="shared" ref="T11" si="34">S11/1000</f>
        <v>-106.22743058772083</v>
      </c>
    </row>
    <row r="12" spans="1:20" x14ac:dyDescent="0.25">
      <c r="A12" s="5">
        <v>44581</v>
      </c>
      <c r="B12">
        <v>1.993E-2</v>
      </c>
      <c r="C12">
        <v>2.1000000000000001E-2</v>
      </c>
      <c r="D12">
        <v>1.9120000000000002E-2</v>
      </c>
      <c r="E12">
        <v>1.9179999999999999E-2</v>
      </c>
      <c r="F12">
        <v>197455652</v>
      </c>
      <c r="G12">
        <v>1.9179999999999999E-2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-0.93617021276596002</v>
      </c>
      <c r="Q12">
        <f t="shared" ref="Q12" si="36">F12*P12</f>
        <v>-184852099.74468136</v>
      </c>
      <c r="R12">
        <f t="shared" ref="R12" si="37">R13+Q12</f>
        <v>-10154992714.417244</v>
      </c>
      <c r="S12">
        <f t="shared" ref="S12" si="38">R12/100000</f>
        <v>-101549.92714417244</v>
      </c>
      <c r="T12">
        <f t="shared" ref="T12" si="39">S12/1000</f>
        <v>-101.54992714417244</v>
      </c>
    </row>
    <row r="13" spans="1:20" x14ac:dyDescent="0.25">
      <c r="A13" s="5">
        <v>44580</v>
      </c>
      <c r="B13">
        <v>2.0109999999999999E-2</v>
      </c>
      <c r="C13">
        <v>2.0289999999999999E-2</v>
      </c>
      <c r="D13">
        <v>1.898E-2</v>
      </c>
      <c r="E13">
        <v>1.9890000000000001E-2</v>
      </c>
      <c r="F13">
        <v>172964542</v>
      </c>
      <c r="G13">
        <v>1.9890000000000001E-2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0.38931297709923973</v>
      </c>
      <c r="Q13">
        <f t="shared" ref="Q13" si="41">F13*P13</f>
        <v>67337340.778626487</v>
      </c>
      <c r="R13">
        <f t="shared" ref="R13" si="42">R14+Q13</f>
        <v>-9970140614.6725636</v>
      </c>
      <c r="S13">
        <f t="shared" ref="S13" si="43">R13/100000</f>
        <v>-99701.40614672564</v>
      </c>
      <c r="T13">
        <f t="shared" ref="T13" si="44">S13/1000</f>
        <v>-99.701406146725645</v>
      </c>
    </row>
    <row r="14" spans="1:20" x14ac:dyDescent="0.25">
      <c r="A14" s="5">
        <v>44579</v>
      </c>
      <c r="B14">
        <v>2.1440000000000001E-2</v>
      </c>
      <c r="C14">
        <v>2.147E-2</v>
      </c>
      <c r="D14">
        <v>1.933E-2</v>
      </c>
      <c r="E14">
        <v>2.01E-2</v>
      </c>
      <c r="F14">
        <v>233919241</v>
      </c>
      <c r="G14">
        <v>2.01E-2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-0.28037383177570091</v>
      </c>
      <c r="Q14">
        <f t="shared" ref="Q14" si="46">F14*P14</f>
        <v>-65584833.92523364</v>
      </c>
      <c r="R14">
        <f t="shared" ref="R14" si="47">R15+Q14</f>
        <v>-10037477955.451191</v>
      </c>
      <c r="S14">
        <f t="shared" ref="S14" si="48">R14/100000</f>
        <v>-100374.77955451192</v>
      </c>
      <c r="T14">
        <f t="shared" ref="T14" si="49">S14/1000</f>
        <v>-100.37477955451192</v>
      </c>
    </row>
    <row r="15" spans="1:20" x14ac:dyDescent="0.25">
      <c r="A15" s="5">
        <v>44578</v>
      </c>
      <c r="B15">
        <v>2.129E-2</v>
      </c>
      <c r="C15">
        <v>2.1499999999999998E-2</v>
      </c>
      <c r="D15">
        <v>2.0480000000000002E-2</v>
      </c>
      <c r="E15">
        <v>2.1440000000000001E-2</v>
      </c>
      <c r="F15">
        <v>196970903</v>
      </c>
      <c r="G15">
        <v>2.1440000000000001E-2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0.882352941176475</v>
      </c>
      <c r="Q15">
        <f t="shared" ref="Q15" si="51">F15*P15</f>
        <v>173797855.58823615</v>
      </c>
      <c r="R15">
        <f t="shared" ref="R15" si="52">R16+Q15</f>
        <v>-9971893121.5259571</v>
      </c>
      <c r="S15">
        <f t="shared" ref="S15" si="53">R15/100000</f>
        <v>-99718.931215259567</v>
      </c>
      <c r="T15">
        <f t="shared" ref="T15" si="54">S15/1000</f>
        <v>-99.718931215259573</v>
      </c>
    </row>
    <row r="16" spans="1:20" x14ac:dyDescent="0.25">
      <c r="A16" s="5">
        <v>44577</v>
      </c>
      <c r="B16">
        <v>2.155E-2</v>
      </c>
      <c r="C16">
        <v>2.2079999999999999E-2</v>
      </c>
      <c r="D16">
        <v>2.103E-2</v>
      </c>
      <c r="E16">
        <v>2.129E-2</v>
      </c>
      <c r="F16">
        <v>167525192</v>
      </c>
      <c r="G16">
        <v>2.129E-2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-0.50476190476190452</v>
      </c>
      <c r="Q16">
        <f t="shared" ref="Q16" si="56">F16*P16</f>
        <v>-84560335.009523764</v>
      </c>
      <c r="R16">
        <f t="shared" ref="R16" si="57">R17+Q16</f>
        <v>-10145690977.114193</v>
      </c>
      <c r="S16">
        <f t="shared" ref="S16" si="58">R16/100000</f>
        <v>-101456.90977114193</v>
      </c>
      <c r="T16">
        <f t="shared" ref="T16" si="59">S16/1000</f>
        <v>-101.45690977114194</v>
      </c>
    </row>
    <row r="17" spans="1:20" x14ac:dyDescent="0.25">
      <c r="A17" s="5">
        <v>44576</v>
      </c>
      <c r="B17">
        <v>2.0910000000000002E-2</v>
      </c>
      <c r="C17">
        <v>2.172E-2</v>
      </c>
      <c r="D17">
        <v>2.0500000000000001E-2</v>
      </c>
      <c r="E17">
        <v>2.1530000000000001E-2</v>
      </c>
      <c r="F17">
        <v>196206865</v>
      </c>
      <c r="G17">
        <v>2.1530000000000001E-2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0.68852459016393541</v>
      </c>
      <c r="Q17">
        <f t="shared" ref="Q17" si="61">F17*P17</f>
        <v>135093251.3114756</v>
      </c>
      <c r="R17">
        <f t="shared" ref="R17" si="62">R18+Q17</f>
        <v>-10061130642.10467</v>
      </c>
      <c r="S17">
        <f t="shared" ref="S17" si="63">R17/100000</f>
        <v>-100611.3064210467</v>
      </c>
      <c r="T17">
        <f t="shared" ref="T17" si="64">S17/1000</f>
        <v>-100.61130642104669</v>
      </c>
    </row>
    <row r="18" spans="1:20" x14ac:dyDescent="0.25">
      <c r="A18" s="5">
        <v>44575</v>
      </c>
      <c r="B18">
        <v>2.0029999999999999E-2</v>
      </c>
      <c r="C18">
        <v>2.1420000000000002E-2</v>
      </c>
      <c r="D18">
        <v>1.9650000000000001E-2</v>
      </c>
      <c r="E18">
        <v>2.0910000000000002E-2</v>
      </c>
      <c r="F18">
        <v>188068716</v>
      </c>
      <c r="G18">
        <v>2.0910000000000002E-2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0.42372881355932224</v>
      </c>
      <c r="Q18">
        <f t="shared" ref="Q18" si="66">F18*P18</f>
        <v>79690133.898305118</v>
      </c>
      <c r="R18">
        <f t="shared" ref="R18" si="67">R19+Q18</f>
        <v>-10196223893.416145</v>
      </c>
      <c r="S18">
        <f t="shared" ref="S18" si="68">R18/100000</f>
        <v>-101962.23893416145</v>
      </c>
      <c r="T18">
        <f t="shared" ref="T18" si="69">S18/1000</f>
        <v>-101.96223893416145</v>
      </c>
    </row>
    <row r="19" spans="1:20" x14ac:dyDescent="0.25">
      <c r="A19" s="5">
        <v>44574</v>
      </c>
      <c r="B19">
        <v>2.051E-2</v>
      </c>
      <c r="C19">
        <v>2.1520000000000001E-2</v>
      </c>
      <c r="D19">
        <v>1.984E-2</v>
      </c>
      <c r="E19">
        <v>2.0029999999999999E-2</v>
      </c>
      <c r="F19">
        <v>218254696</v>
      </c>
      <c r="G19">
        <v>2.0029999999999999E-2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-0.77380952380952495</v>
      </c>
      <c r="Q19">
        <f t="shared" ref="Q19" si="71">F19*P19</f>
        <v>-168887562.38095263</v>
      </c>
      <c r="R19">
        <f t="shared" ref="R19" si="72">R20+Q19</f>
        <v>-10275914027.314451</v>
      </c>
      <c r="S19">
        <f t="shared" ref="S19" si="73">R19/100000</f>
        <v>-102759.14027314451</v>
      </c>
      <c r="T19">
        <f t="shared" ref="T19" si="74">S19/1000</f>
        <v>-102.75914027314451</v>
      </c>
    </row>
    <row r="20" spans="1:20" x14ac:dyDescent="0.25">
      <c r="A20" s="5">
        <v>44573</v>
      </c>
      <c r="B20">
        <v>1.941E-2</v>
      </c>
      <c r="C20">
        <v>2.1069999999999998E-2</v>
      </c>
      <c r="D20">
        <v>1.9060000000000001E-2</v>
      </c>
      <c r="E20">
        <v>2.0490000000000001E-2</v>
      </c>
      <c r="F20">
        <v>208570879</v>
      </c>
      <c r="G20">
        <v>2.0490000000000001E-2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0.42288557213930567</v>
      </c>
      <c r="Q20">
        <f t="shared" ref="Q20" si="76">F20*P20</f>
        <v>88201615.497512892</v>
      </c>
      <c r="R20">
        <f t="shared" ref="R20" si="77">R21+Q20</f>
        <v>-10107026464.933498</v>
      </c>
      <c r="S20">
        <f t="shared" ref="S20" si="78">R20/100000</f>
        <v>-101070.26464933499</v>
      </c>
      <c r="T20">
        <f t="shared" ref="T20" si="79">S20/1000</f>
        <v>-101.07026464933499</v>
      </c>
    </row>
    <row r="21" spans="1:20" x14ac:dyDescent="0.25">
      <c r="A21" s="5">
        <v>44572</v>
      </c>
      <c r="B21">
        <v>1.8200000000000001E-2</v>
      </c>
      <c r="C21">
        <v>1.949E-2</v>
      </c>
      <c r="D21">
        <v>1.7899999999999999E-2</v>
      </c>
      <c r="E21">
        <v>1.941E-2</v>
      </c>
      <c r="F21">
        <v>146494677</v>
      </c>
      <c r="G21">
        <v>1.941E-2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0.89937106918238974</v>
      </c>
      <c r="Q21">
        <f t="shared" ref="Q21" si="81">F21*P21</f>
        <v>131753074.28301884</v>
      </c>
      <c r="R21">
        <f t="shared" ref="R21" si="82">R22+Q21</f>
        <v>-10195228080.431011</v>
      </c>
      <c r="S21">
        <f t="shared" ref="S21" si="83">R21/100000</f>
        <v>-101952.28080431011</v>
      </c>
      <c r="T21">
        <f t="shared" ref="T21" si="84">S21/1000</f>
        <v>-101.95228080431011</v>
      </c>
    </row>
    <row r="22" spans="1:20" x14ac:dyDescent="0.25">
      <c r="A22" s="5">
        <v>44571</v>
      </c>
      <c r="B22">
        <v>1.9230000000000001E-2</v>
      </c>
      <c r="C22">
        <v>0.02</v>
      </c>
      <c r="D22">
        <v>1.7579999999999998E-2</v>
      </c>
      <c r="E22">
        <v>1.8180000000000002E-2</v>
      </c>
      <c r="F22">
        <v>270210594</v>
      </c>
      <c r="G22">
        <v>1.8180000000000002E-2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-0.50413223140495633</v>
      </c>
      <c r="Q22">
        <f t="shared" ref="Q22" si="86">F22*P22</f>
        <v>-136221869.70247871</v>
      </c>
      <c r="R22">
        <f t="shared" ref="R22" si="87">R23+Q22</f>
        <v>-10326981154.714029</v>
      </c>
      <c r="S22">
        <f t="shared" ref="S22" si="88">R22/100000</f>
        <v>-103269.8115471403</v>
      </c>
      <c r="T22">
        <f t="shared" ref="T22" si="89">S22/1000</f>
        <v>-103.26981154714029</v>
      </c>
    </row>
    <row r="23" spans="1:20" x14ac:dyDescent="0.25">
      <c r="A23" s="5">
        <v>44570</v>
      </c>
      <c r="B23">
        <v>1.9E-2</v>
      </c>
      <c r="C23">
        <v>1.9859999999999999E-2</v>
      </c>
      <c r="D23">
        <v>1.874E-2</v>
      </c>
      <c r="E23">
        <v>1.9220000000000001E-2</v>
      </c>
      <c r="F23">
        <v>163784375</v>
      </c>
      <c r="G23">
        <v>1.9220000000000001E-2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-0.14285714285714021</v>
      </c>
      <c r="Q23">
        <f t="shared" ref="Q23" si="91">F23*P23</f>
        <v>-23397767.857142422</v>
      </c>
      <c r="R23">
        <f t="shared" ref="R23" si="92">R24+Q23</f>
        <v>-10190759285.011551</v>
      </c>
      <c r="S23">
        <f t="shared" ref="S23" si="93">R23/100000</f>
        <v>-101907.59285011551</v>
      </c>
      <c r="T23">
        <f t="shared" ref="T23" si="94">S23/1000</f>
        <v>-101.90759285011552</v>
      </c>
    </row>
    <row r="24" spans="1:20" x14ac:dyDescent="0.25">
      <c r="A24" s="5">
        <v>44569</v>
      </c>
      <c r="B24">
        <v>1.9689999999999999E-2</v>
      </c>
      <c r="C24">
        <v>2.026E-2</v>
      </c>
      <c r="D24">
        <v>1.8530000000000001E-2</v>
      </c>
      <c r="E24">
        <v>1.898E-2</v>
      </c>
      <c r="F24">
        <v>218109027</v>
      </c>
      <c r="G24">
        <v>1.898E-2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-0.47976878612716845</v>
      </c>
      <c r="Q24">
        <f t="shared" ref="Q24" si="96">F24*P24</f>
        <v>-104641903.12716781</v>
      </c>
      <c r="R24">
        <f t="shared" ref="R24" si="97">R25+Q24</f>
        <v>-10167361517.154409</v>
      </c>
      <c r="S24">
        <f t="shared" ref="S24" si="98">R24/100000</f>
        <v>-101673.61517154409</v>
      </c>
      <c r="T24">
        <f t="shared" ref="T24" si="99">S24/1000</f>
        <v>-101.6736151715441</v>
      </c>
    </row>
    <row r="25" spans="1:20" x14ac:dyDescent="0.25">
      <c r="A25" s="5">
        <v>44568</v>
      </c>
      <c r="B25">
        <v>2.1270000000000001E-2</v>
      </c>
      <c r="C25">
        <v>2.1360000000000001E-2</v>
      </c>
      <c r="D25">
        <v>1.9359999999999999E-2</v>
      </c>
      <c r="E25">
        <v>1.967E-2</v>
      </c>
      <c r="F25">
        <v>284079081</v>
      </c>
      <c r="G25">
        <v>1.967E-2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-0.68999999999999906</v>
      </c>
      <c r="Q25">
        <f t="shared" ref="Q25" si="101">F25*P25</f>
        <v>-196014565.88999975</v>
      </c>
      <c r="R25">
        <f t="shared" ref="R25" si="102">R26+Q25</f>
        <v>-10062719614.027241</v>
      </c>
      <c r="S25">
        <f t="shared" ref="S25" si="103">R25/100000</f>
        <v>-100627.19614027241</v>
      </c>
      <c r="T25">
        <f t="shared" ref="T25" si="104">S25/1000</f>
        <v>-100.62719614027242</v>
      </c>
    </row>
    <row r="26" spans="1:20" x14ac:dyDescent="0.25">
      <c r="A26" s="5">
        <v>44567</v>
      </c>
      <c r="B26">
        <v>2.036E-2</v>
      </c>
      <c r="C26">
        <v>2.1739999999999999E-2</v>
      </c>
      <c r="D26">
        <v>1.9730000000000001E-2</v>
      </c>
      <c r="E26">
        <v>2.1270000000000001E-2</v>
      </c>
      <c r="F26">
        <v>296772153</v>
      </c>
      <c r="G26">
        <v>2.1270000000000001E-2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0.53233830845771279</v>
      </c>
      <c r="Q26">
        <f t="shared" ref="Q26" si="106">F26*P26</f>
        <v>157983185.92537352</v>
      </c>
      <c r="R26">
        <f t="shared" ref="R26" si="107">R27+Q26</f>
        <v>-9866705048.1372414</v>
      </c>
      <c r="S26">
        <f t="shared" ref="S26" si="108">R26/100000</f>
        <v>-98667.050481372411</v>
      </c>
      <c r="T26">
        <f t="shared" ref="T26" si="109">S26/1000</f>
        <v>-98.667050481372414</v>
      </c>
    </row>
    <row r="27" spans="1:20" x14ac:dyDescent="0.25">
      <c r="A27" s="5">
        <v>44566</v>
      </c>
      <c r="B27">
        <v>2.2429999999999999E-2</v>
      </c>
      <c r="C27">
        <v>2.2759999999999999E-2</v>
      </c>
      <c r="D27">
        <v>0.02</v>
      </c>
      <c r="E27">
        <v>2.035E-2</v>
      </c>
      <c r="F27">
        <v>318759518</v>
      </c>
      <c r="G27">
        <v>2.035E-2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-0.74637681159420299</v>
      </c>
      <c r="Q27">
        <f t="shared" ref="Q27" si="111">F27*P27</f>
        <v>-237914712.71014497</v>
      </c>
      <c r="R27">
        <f t="shared" ref="R27" si="112">R28+Q27</f>
        <v>-10024688234.062614</v>
      </c>
      <c r="S27">
        <f t="shared" ref="S27" si="113">R27/100000</f>
        <v>-100246.88234062615</v>
      </c>
      <c r="T27">
        <f t="shared" ref="T27" si="114">S27/1000</f>
        <v>-100.24688234062616</v>
      </c>
    </row>
    <row r="28" spans="1:20" x14ac:dyDescent="0.25">
      <c r="A28" s="5">
        <v>44565</v>
      </c>
      <c r="B28">
        <v>2.2689999999999998E-2</v>
      </c>
      <c r="C28">
        <v>2.3400000000000001E-2</v>
      </c>
      <c r="D28">
        <v>2.2200000000000001E-2</v>
      </c>
      <c r="E28">
        <v>2.2429999999999999E-2</v>
      </c>
      <c r="F28">
        <v>213845094</v>
      </c>
      <c r="G28">
        <v>2.2429999999999999E-2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-0.61666666666667058</v>
      </c>
      <c r="Q28">
        <f t="shared" ref="Q28" si="116">F28*P28</f>
        <v>-131871141.30000083</v>
      </c>
      <c r="R28">
        <f t="shared" ref="R28" si="117">R29+Q28</f>
        <v>-9786773521.3524704</v>
      </c>
      <c r="S28">
        <f t="shared" ref="S28" si="118">R28/100000</f>
        <v>-97867.735213524706</v>
      </c>
      <c r="T28">
        <f t="shared" ref="T28" si="119">S28/1000</f>
        <v>-97.867735213524711</v>
      </c>
    </row>
    <row r="29" spans="1:20" x14ac:dyDescent="0.25">
      <c r="A29" s="5">
        <v>44564</v>
      </c>
      <c r="B29">
        <v>2.4109999999999999E-2</v>
      </c>
      <c r="C29">
        <v>2.47E-2</v>
      </c>
      <c r="D29">
        <v>2.2589999999999999E-2</v>
      </c>
      <c r="E29">
        <v>2.2679999999999999E-2</v>
      </c>
      <c r="F29">
        <v>221398698</v>
      </c>
      <c r="G29">
        <v>2.2679999999999999E-2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-0.91469194312796231</v>
      </c>
      <c r="Q29">
        <f t="shared" ref="Q29" si="121">F29*P29</f>
        <v>-202511605.27962092</v>
      </c>
      <c r="R29">
        <f t="shared" ref="R29" si="122">R30+Q29</f>
        <v>-9654902380.0524693</v>
      </c>
      <c r="S29">
        <f t="shared" ref="S29" si="123">R29/100000</f>
        <v>-96549.023800524694</v>
      </c>
      <c r="T29">
        <f t="shared" ref="T29" si="124">S29/1000</f>
        <v>-96.549023800524694</v>
      </c>
    </row>
    <row r="30" spans="1:20" x14ac:dyDescent="0.25">
      <c r="A30" s="5">
        <v>44563</v>
      </c>
      <c r="B30">
        <v>2.3109999999999999E-2</v>
      </c>
      <c r="C30">
        <v>2.4109999999999999E-2</v>
      </c>
      <c r="D30">
        <v>2.249E-2</v>
      </c>
      <c r="E30">
        <v>2.4080000000000001E-2</v>
      </c>
      <c r="F30">
        <v>159284935</v>
      </c>
      <c r="G30">
        <v>2.4080000000000001E-2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0.96296296296296446</v>
      </c>
      <c r="Q30">
        <f t="shared" ref="Q30" si="126">F30*P30</f>
        <v>153385492.96296319</v>
      </c>
      <c r="R30">
        <f t="shared" ref="R30" si="127">R31+Q30</f>
        <v>-9452390774.7728481</v>
      </c>
      <c r="S30">
        <f t="shared" ref="S30" si="128">R30/100000</f>
        <v>-94523.907747728488</v>
      </c>
      <c r="T30">
        <f t="shared" ref="T30" si="129">S30/1000</f>
        <v>-94.523907747728487</v>
      </c>
    </row>
    <row r="31" spans="1:20" x14ac:dyDescent="0.25">
      <c r="A31" s="5">
        <v>44562</v>
      </c>
      <c r="B31">
        <v>2.2270000000000002E-2</v>
      </c>
      <c r="C31">
        <v>2.3380000000000001E-2</v>
      </c>
      <c r="D31">
        <v>2.2030000000000001E-2</v>
      </c>
      <c r="E31">
        <v>2.3109999999999999E-2</v>
      </c>
      <c r="F31">
        <v>129843987</v>
      </c>
      <c r="G31">
        <v>2.3109999999999999E-2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0.59999999999999587</v>
      </c>
      <c r="Q31">
        <f t="shared" ref="Q31" si="131">F31*P31</f>
        <v>77906392.199999467</v>
      </c>
      <c r="R31">
        <f t="shared" ref="R31" si="132">R32+Q31</f>
        <v>-9605776267.7358112</v>
      </c>
      <c r="S31">
        <f t="shared" ref="S31" si="133">R31/100000</f>
        <v>-96057.762677358114</v>
      </c>
      <c r="T31">
        <f t="shared" ref="T31" si="134">S31/1000</f>
        <v>-96.057762677358113</v>
      </c>
    </row>
    <row r="32" spans="1:20" x14ac:dyDescent="0.25">
      <c r="A32" s="5">
        <v>44561</v>
      </c>
      <c r="B32">
        <v>2.2669999999999999E-2</v>
      </c>
      <c r="C32">
        <v>2.3050000000000001E-2</v>
      </c>
      <c r="D32">
        <v>2.162E-2</v>
      </c>
      <c r="E32">
        <v>2.2239999999999999E-2</v>
      </c>
      <c r="F32">
        <v>163196032</v>
      </c>
      <c r="G32">
        <v>2.2239999999999999E-2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-0.13286713286713467</v>
      </c>
      <c r="Q32">
        <f t="shared" ref="Q32" si="136">F32*P32</f>
        <v>-21683388.867133163</v>
      </c>
      <c r="R32">
        <f t="shared" ref="R32" si="137">R33+Q32</f>
        <v>-9683682659.9358101</v>
      </c>
      <c r="S32">
        <f t="shared" ref="S32" si="138">R32/100000</f>
        <v>-96836.826599358101</v>
      </c>
      <c r="T32">
        <f t="shared" ref="T32" si="139">S32/1000</f>
        <v>-96.836826599358105</v>
      </c>
    </row>
    <row r="33" spans="1:20" x14ac:dyDescent="0.25">
      <c r="A33" s="5">
        <v>44560</v>
      </c>
      <c r="B33">
        <v>2.1659999999999999E-2</v>
      </c>
      <c r="C33">
        <v>2.298E-2</v>
      </c>
      <c r="D33">
        <v>2.137E-2</v>
      </c>
      <c r="E33">
        <v>2.2630000000000001E-2</v>
      </c>
      <c r="F33">
        <v>136421081</v>
      </c>
      <c r="G33">
        <v>2.2630000000000001E-2</v>
      </c>
      <c r="L33" t="s">
        <v>7</v>
      </c>
      <c r="M33" t="s">
        <v>8</v>
      </c>
      <c r="N33" t="s">
        <v>8</v>
      </c>
      <c r="P33">
        <f t="shared" ref="P33" si="140">IF(C33=D33,0,((E33-D33)-(C33-E33))/(C33-D33))</f>
        <v>0.56521739130434834</v>
      </c>
      <c r="Q33">
        <f t="shared" ref="Q33" si="141">F33*P33</f>
        <v>77107567.5217392</v>
      </c>
      <c r="R33">
        <f t="shared" ref="R33" si="142">R34+Q33</f>
        <v>-9661999271.068676</v>
      </c>
      <c r="S33">
        <f t="shared" ref="S33" si="143">R33/100000</f>
        <v>-96619.992710686754</v>
      </c>
      <c r="T33">
        <f t="shared" ref="T33" si="144">S33/1000</f>
        <v>-96.619992710686759</v>
      </c>
    </row>
    <row r="34" spans="1:20" x14ac:dyDescent="0.25">
      <c r="A34" s="5">
        <v>44559</v>
      </c>
      <c r="B34">
        <v>2.2159999999999999E-2</v>
      </c>
      <c r="C34">
        <v>2.2780000000000002E-2</v>
      </c>
      <c r="D34">
        <v>2.1399999999999999E-2</v>
      </c>
      <c r="E34">
        <v>2.1659999999999999E-2</v>
      </c>
      <c r="F34">
        <v>165182520</v>
      </c>
      <c r="G34">
        <v>2.1659999999999999E-2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-0.62318840579710244</v>
      </c>
      <c r="Q34">
        <f t="shared" ref="Q34" si="146">F34*P34</f>
        <v>-102939831.30434799</v>
      </c>
      <c r="R34">
        <f t="shared" ref="R34" si="147">R35+Q34</f>
        <v>-9739106838.590416</v>
      </c>
      <c r="S34">
        <f t="shared" ref="S34" si="148">R34/100000</f>
        <v>-97391.06838590416</v>
      </c>
      <c r="T34">
        <f t="shared" ref="T34" si="149">S34/1000</f>
        <v>-97.391068385904163</v>
      </c>
    </row>
    <row r="35" spans="1:20" x14ac:dyDescent="0.25">
      <c r="A35" s="5">
        <v>44558</v>
      </c>
      <c r="B35">
        <v>2.4199999999999999E-2</v>
      </c>
      <c r="C35">
        <v>2.4240000000000001E-2</v>
      </c>
      <c r="D35">
        <v>2.1389999999999999E-2</v>
      </c>
      <c r="E35">
        <v>2.213E-2</v>
      </c>
      <c r="F35">
        <v>332679146</v>
      </c>
      <c r="G35">
        <v>2.213E-2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-0.48070175438596452</v>
      </c>
      <c r="Q35">
        <f t="shared" ref="Q35" si="151">F35*P35</f>
        <v>-159919449.12982443</v>
      </c>
      <c r="R35">
        <f t="shared" ref="R35" si="152">R36+Q35</f>
        <v>-9636167007.286068</v>
      </c>
      <c r="S35">
        <f t="shared" ref="S35" si="153">R35/100000</f>
        <v>-96361.670072860681</v>
      </c>
      <c r="T35">
        <f t="shared" ref="T35" si="154">S35/1000</f>
        <v>-96.361670072860676</v>
      </c>
    </row>
    <row r="36" spans="1:20" x14ac:dyDescent="0.25">
      <c r="A36" s="5">
        <v>44557</v>
      </c>
      <c r="B36">
        <v>2.3959999999999999E-2</v>
      </c>
      <c r="C36">
        <v>2.47E-2</v>
      </c>
      <c r="D36">
        <v>2.3189999999999999E-2</v>
      </c>
      <c r="E36">
        <v>2.4199999999999999E-2</v>
      </c>
      <c r="F36">
        <v>284933794</v>
      </c>
      <c r="G36">
        <v>2.4199999999999999E-2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0.33774834437086076</v>
      </c>
      <c r="Q36">
        <f t="shared" ref="Q36" si="156">F36*P36</f>
        <v>96235917.178807899</v>
      </c>
      <c r="R36">
        <f t="shared" ref="R36" si="157">R37+Q36</f>
        <v>-9476247558.1562443</v>
      </c>
      <c r="S36">
        <f t="shared" ref="S36" si="158">R36/100000</f>
        <v>-94762.475581562438</v>
      </c>
      <c r="T36">
        <f t="shared" ref="T36" si="159">S36/1000</f>
        <v>-94.762475581562441</v>
      </c>
    </row>
    <row r="37" spans="1:20" x14ac:dyDescent="0.25">
      <c r="A37" s="5">
        <v>44556</v>
      </c>
      <c r="B37">
        <v>2.3179999999999999E-2</v>
      </c>
      <c r="C37">
        <v>2.4E-2</v>
      </c>
      <c r="D37">
        <v>2.2499999999999999E-2</v>
      </c>
      <c r="E37">
        <v>2.3959999999999999E-2</v>
      </c>
      <c r="F37">
        <v>243612808</v>
      </c>
      <c r="G37">
        <v>2.3959999999999999E-2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0.94666666666666421</v>
      </c>
      <c r="Q37">
        <f t="shared" ref="Q37" si="161">F37*P37</f>
        <v>230620124.90666607</v>
      </c>
      <c r="R37">
        <f t="shared" ref="R37" si="162">R38+Q37</f>
        <v>-9572483475.3350525</v>
      </c>
      <c r="S37">
        <f t="shared" ref="S37" si="163">R37/100000</f>
        <v>-95724.834753350529</v>
      </c>
      <c r="T37">
        <f t="shared" ref="T37" si="164">S37/1000</f>
        <v>-95.724834753350535</v>
      </c>
    </row>
    <row r="38" spans="1:20" x14ac:dyDescent="0.25">
      <c r="A38" s="5">
        <v>44555</v>
      </c>
      <c r="B38">
        <v>2.1219999999999999E-2</v>
      </c>
      <c r="C38">
        <v>2.3650000000000001E-2</v>
      </c>
      <c r="D38">
        <v>2.102E-2</v>
      </c>
      <c r="E38">
        <v>2.3179999999999999E-2</v>
      </c>
      <c r="F38">
        <v>261289051</v>
      </c>
      <c r="G38">
        <v>2.3179999999999999E-2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0.64258555133079731</v>
      </c>
      <c r="Q38">
        <f t="shared" ref="Q38" si="166">F38*P38</f>
        <v>167900568.89353582</v>
      </c>
      <c r="R38">
        <f t="shared" ref="R38" si="167">R39+Q38</f>
        <v>-9803103600.2417183</v>
      </c>
      <c r="S38">
        <f t="shared" ref="S38" si="168">R38/100000</f>
        <v>-98031.036002417182</v>
      </c>
      <c r="T38">
        <f t="shared" ref="T38" si="169">S38/1000</f>
        <v>-98.031036002417181</v>
      </c>
    </row>
    <row r="39" spans="1:20" x14ac:dyDescent="0.25">
      <c r="A39" s="5">
        <v>44554</v>
      </c>
      <c r="B39">
        <v>2.1909999999999999E-2</v>
      </c>
      <c r="C39">
        <v>2.2460000000000001E-2</v>
      </c>
      <c r="D39">
        <v>2.1139999999999999E-2</v>
      </c>
      <c r="E39">
        <v>2.1239999999999998E-2</v>
      </c>
      <c r="F39">
        <v>242761582</v>
      </c>
      <c r="G39">
        <v>2.1239999999999998E-2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-0.84848484848484962</v>
      </c>
      <c r="Q39">
        <f t="shared" ref="Q39" si="171">F39*P39</f>
        <v>-205979524.12121239</v>
      </c>
      <c r="R39">
        <f t="shared" ref="R39" si="172">R40+Q39</f>
        <v>-9971004169.1352539</v>
      </c>
      <c r="S39">
        <f t="shared" ref="S39" si="173">R39/100000</f>
        <v>-99710.041691352541</v>
      </c>
      <c r="T39">
        <f t="shared" ref="T39" si="174">S39/1000</f>
        <v>-99.710041691352544</v>
      </c>
    </row>
    <row r="40" spans="1:20" x14ac:dyDescent="0.25">
      <c r="A40" s="5">
        <v>44553</v>
      </c>
      <c r="B40">
        <v>2.0060000000000001E-2</v>
      </c>
      <c r="C40">
        <v>2.205E-2</v>
      </c>
      <c r="D40">
        <v>1.9789999999999999E-2</v>
      </c>
      <c r="E40">
        <v>2.1870000000000001E-2</v>
      </c>
      <c r="F40">
        <v>313317766</v>
      </c>
      <c r="G40">
        <v>2.1870000000000001E-2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0.84070796460177033</v>
      </c>
      <c r="Q40">
        <f t="shared" ref="Q40" si="176">F40*P40</f>
        <v>263408741.32743376</v>
      </c>
      <c r="R40">
        <f t="shared" ref="R40" si="177">R41+Q40</f>
        <v>-9765024645.0140419</v>
      </c>
      <c r="S40">
        <f t="shared" ref="S40" si="178">R40/100000</f>
        <v>-97650.246450140417</v>
      </c>
      <c r="T40">
        <f t="shared" ref="T40" si="179">S40/1000</f>
        <v>-97.650246450140415</v>
      </c>
    </row>
    <row r="41" spans="1:20" x14ac:dyDescent="0.25">
      <c r="A41" s="5">
        <v>44552</v>
      </c>
      <c r="B41">
        <v>1.984E-2</v>
      </c>
      <c r="C41">
        <v>2.0590000000000001E-2</v>
      </c>
      <c r="D41">
        <v>1.9560000000000001E-2</v>
      </c>
      <c r="E41">
        <v>2.0049999999999998E-2</v>
      </c>
      <c r="F41">
        <v>205112442</v>
      </c>
      <c r="G41">
        <v>2.0049999999999998E-2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-4.8543689320393123E-2</v>
      </c>
      <c r="Q41">
        <f t="shared" ref="Q41" si="181">F41*P41</f>
        <v>-9956914.6601951532</v>
      </c>
      <c r="R41">
        <f t="shared" ref="R41" si="182">R42+Q41</f>
        <v>-10028433386.341476</v>
      </c>
      <c r="S41">
        <f t="shared" ref="S41" si="183">R41/100000</f>
        <v>-100284.33386341477</v>
      </c>
      <c r="T41">
        <f t="shared" ref="T41" si="184">S41/1000</f>
        <v>-100.28433386341477</v>
      </c>
    </row>
    <row r="42" spans="1:20" x14ac:dyDescent="0.25">
      <c r="A42" s="5">
        <v>44551</v>
      </c>
      <c r="B42">
        <v>1.933E-2</v>
      </c>
      <c r="C42">
        <v>0.02</v>
      </c>
      <c r="D42">
        <v>1.9109999999999999E-2</v>
      </c>
      <c r="E42">
        <v>1.9820000000000001E-2</v>
      </c>
      <c r="F42">
        <v>190479810</v>
      </c>
      <c r="G42">
        <v>1.9820000000000001E-2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0.59550561797752988</v>
      </c>
      <c r="Q42">
        <f t="shared" ref="Q42" si="186">F42*P42</f>
        <v>113431796.96629247</v>
      </c>
      <c r="R42">
        <f t="shared" ref="R42" si="187">R43+Q42</f>
        <v>-10018476471.681282</v>
      </c>
      <c r="S42">
        <f t="shared" ref="S42" si="188">R42/100000</f>
        <v>-100184.76471681282</v>
      </c>
      <c r="T42">
        <f t="shared" ref="T42" si="189">S42/1000</f>
        <v>-100.18476471681282</v>
      </c>
    </row>
    <row r="43" spans="1:20" x14ac:dyDescent="0.25">
      <c r="A43" s="5">
        <v>44550</v>
      </c>
      <c r="B43">
        <v>2.0140000000000002E-2</v>
      </c>
      <c r="C43">
        <v>2.068E-2</v>
      </c>
      <c r="D43">
        <v>1.8589999999999999E-2</v>
      </c>
      <c r="E43">
        <v>1.9290000000000002E-2</v>
      </c>
      <c r="F43">
        <v>387919196</v>
      </c>
      <c r="G43">
        <v>1.9290000000000002E-2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-0.33014354066985435</v>
      </c>
      <c r="Q43">
        <f t="shared" ref="Q43" si="191">F43*P43</f>
        <v>-128069016.8612432</v>
      </c>
      <c r="R43">
        <f t="shared" ref="R43" si="192">R44+Q43</f>
        <v>-10131908268.647575</v>
      </c>
      <c r="S43">
        <f t="shared" ref="S43" si="193">R43/100000</f>
        <v>-101319.08268647575</v>
      </c>
      <c r="T43">
        <f t="shared" ref="T43" si="194">S43/1000</f>
        <v>-101.31908268647575</v>
      </c>
    </row>
    <row r="44" spans="1:20" x14ac:dyDescent="0.25">
      <c r="A44" s="5">
        <v>44549</v>
      </c>
      <c r="B44">
        <v>1.9009999999999999E-2</v>
      </c>
      <c r="C44">
        <v>2.146E-2</v>
      </c>
      <c r="D44">
        <v>1.8769999999999998E-2</v>
      </c>
      <c r="E44">
        <v>2.0140000000000002E-2</v>
      </c>
      <c r="F44">
        <v>603555712</v>
      </c>
      <c r="G44">
        <v>2.0140000000000002E-2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1.8587360594797351E-2</v>
      </c>
      <c r="Q44">
        <f t="shared" ref="Q44" si="196">F44*P44</f>
        <v>11218507.657993659</v>
      </c>
      <c r="R44">
        <f t="shared" ref="R44" si="197">R45+Q44</f>
        <v>-10003839251.786333</v>
      </c>
      <c r="S44">
        <f t="shared" ref="S44" si="198">R44/100000</f>
        <v>-100038.39251786334</v>
      </c>
      <c r="T44">
        <f t="shared" ref="T44" si="199">S44/1000</f>
        <v>-100.03839251786334</v>
      </c>
    </row>
    <row r="45" spans="1:20" x14ac:dyDescent="0.25">
      <c r="A45" s="5">
        <v>44548</v>
      </c>
      <c r="B45">
        <v>1.8550000000000001E-2</v>
      </c>
      <c r="C45">
        <v>1.9470000000000001E-2</v>
      </c>
      <c r="D45">
        <v>1.8339999999999999E-2</v>
      </c>
      <c r="E45">
        <v>1.9E-2</v>
      </c>
      <c r="F45">
        <v>140675173</v>
      </c>
      <c r="G45">
        <v>1.9E-2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0.16814159292035288</v>
      </c>
      <c r="Q45">
        <f t="shared" ref="Q45" si="201">F45*P45</f>
        <v>23653347.672566216</v>
      </c>
      <c r="R45">
        <f t="shared" ref="R45" si="202">R46+Q45</f>
        <v>-10015057759.444326</v>
      </c>
      <c r="S45">
        <f t="shared" ref="S45" si="203">R45/100000</f>
        <v>-100150.57759444327</v>
      </c>
      <c r="T45">
        <f t="shared" ref="T45" si="204">S45/1000</f>
        <v>-100.15057759444326</v>
      </c>
    </row>
    <row r="46" spans="1:20" x14ac:dyDescent="0.25">
      <c r="A46" s="5">
        <v>44547</v>
      </c>
      <c r="B46">
        <v>1.9740000000000001E-2</v>
      </c>
      <c r="C46">
        <v>2.019E-2</v>
      </c>
      <c r="D46">
        <v>1.7940000000000001E-2</v>
      </c>
      <c r="E46">
        <v>1.857E-2</v>
      </c>
      <c r="F46">
        <v>315764114</v>
      </c>
      <c r="G46">
        <v>1.857E-2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-0.44000000000000089</v>
      </c>
      <c r="Q46">
        <f t="shared" ref="Q46" si="206">F46*P46</f>
        <v>-138936210.16000029</v>
      </c>
      <c r="R46">
        <f t="shared" ref="R46" si="207">R47+Q46</f>
        <v>-10038711107.116892</v>
      </c>
      <c r="S46">
        <f t="shared" ref="S46" si="208">R46/100000</f>
        <v>-100387.11107116893</v>
      </c>
      <c r="T46">
        <f t="shared" ref="T46" si="209">S46/1000</f>
        <v>-100.38711107116893</v>
      </c>
    </row>
    <row r="47" spans="1:20" x14ac:dyDescent="0.25">
      <c r="A47" s="5">
        <v>44546</v>
      </c>
      <c r="B47">
        <v>2.0240000000000001E-2</v>
      </c>
      <c r="C47">
        <v>2.0539999999999999E-2</v>
      </c>
      <c r="D47">
        <v>1.9619999999999999E-2</v>
      </c>
      <c r="E47">
        <v>1.9699999999999999E-2</v>
      </c>
      <c r="F47">
        <v>219564565</v>
      </c>
      <c r="G47">
        <v>1.9699999999999999E-2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-0.8260869565217388</v>
      </c>
      <c r="Q47">
        <f t="shared" ref="Q47" si="211">F47*P47</f>
        <v>-181379423.2608695</v>
      </c>
      <c r="R47">
        <f t="shared" ref="R47" si="212">R48+Q47</f>
        <v>-9899774896.956892</v>
      </c>
      <c r="S47">
        <f t="shared" ref="S47" si="213">R47/100000</f>
        <v>-98997.748969568915</v>
      </c>
      <c r="T47">
        <f t="shared" ref="T47" si="214">S47/1000</f>
        <v>-98.997748969568917</v>
      </c>
    </row>
    <row r="48" spans="1:20" x14ac:dyDescent="0.25">
      <c r="A48" s="5">
        <v>44545</v>
      </c>
      <c r="B48">
        <v>0.02</v>
      </c>
      <c r="C48">
        <v>2.0629999999999999E-2</v>
      </c>
      <c r="D48">
        <v>1.8159999999999999E-2</v>
      </c>
      <c r="E48">
        <v>2.019E-2</v>
      </c>
      <c r="F48">
        <v>445185357</v>
      </c>
      <c r="G48">
        <v>2.019E-2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0.64372469635627572</v>
      </c>
      <c r="Q48">
        <f t="shared" ref="Q48" si="216">F48*P48</f>
        <v>286576808.7570852</v>
      </c>
      <c r="R48">
        <f t="shared" ref="R48" si="217">R49+Q48</f>
        <v>-9718395473.696022</v>
      </c>
      <c r="S48">
        <f t="shared" ref="S48" si="218">R48/100000</f>
        <v>-97183.954736960222</v>
      </c>
      <c r="T48">
        <f t="shared" ref="T48" si="219">S48/1000</f>
        <v>-97.183954736960217</v>
      </c>
    </row>
    <row r="49" spans="1:20" x14ac:dyDescent="0.25">
      <c r="A49" s="5">
        <v>44544</v>
      </c>
      <c r="B49">
        <v>2.017E-2</v>
      </c>
      <c r="C49">
        <v>2.0580000000000001E-2</v>
      </c>
      <c r="D49">
        <v>1.9259999999999999E-2</v>
      </c>
      <c r="E49">
        <v>1.9990000000000001E-2</v>
      </c>
      <c r="F49">
        <v>245042145</v>
      </c>
      <c r="G49">
        <v>1.9990000000000001E-2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0.10606060606060685</v>
      </c>
      <c r="Q49">
        <f t="shared" ref="Q49" si="221">F49*P49</f>
        <v>25989318.409091104</v>
      </c>
      <c r="R49">
        <f t="shared" ref="R49" si="222">R50+Q49</f>
        <v>-10004972282.453108</v>
      </c>
      <c r="S49">
        <f t="shared" ref="S49" si="223">R49/100000</f>
        <v>-100049.72282453108</v>
      </c>
      <c r="T49">
        <f t="shared" ref="T49" si="224">S49/1000</f>
        <v>-100.04972282453109</v>
      </c>
    </row>
    <row r="50" spans="1:20" x14ac:dyDescent="0.25">
      <c r="A50" s="5">
        <v>44543</v>
      </c>
      <c r="B50">
        <v>2.3269999999999999E-2</v>
      </c>
      <c r="C50">
        <v>2.3349999999999999E-2</v>
      </c>
      <c r="D50">
        <v>1.9890000000000001E-2</v>
      </c>
      <c r="E50">
        <v>2.017E-2</v>
      </c>
      <c r="F50">
        <v>319033058</v>
      </c>
      <c r="G50">
        <v>2.017E-2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-0.83815028901734157</v>
      </c>
      <c r="Q50">
        <f t="shared" ref="Q50" si="226">F50*P50</f>
        <v>-267397649.76878628</v>
      </c>
      <c r="R50">
        <f t="shared" ref="R50" si="227">R51+Q50</f>
        <v>-10030961600.8622</v>
      </c>
      <c r="S50">
        <f t="shared" ref="S50" si="228">R50/100000</f>
        <v>-100309.616008622</v>
      </c>
      <c r="T50">
        <f t="shared" ref="T50" si="229">S50/1000</f>
        <v>-100.309616008622</v>
      </c>
    </row>
    <row r="51" spans="1:20" x14ac:dyDescent="0.25">
      <c r="A51" s="5">
        <v>44542</v>
      </c>
      <c r="B51">
        <v>2.375E-2</v>
      </c>
      <c r="C51">
        <v>2.4309999999999998E-2</v>
      </c>
      <c r="D51">
        <v>2.257E-2</v>
      </c>
      <c r="E51">
        <v>2.3269999999999999E-2</v>
      </c>
      <c r="F51">
        <v>171459445</v>
      </c>
      <c r="G51">
        <v>2.3269999999999999E-2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-0.19540229885057489</v>
      </c>
      <c r="Q51">
        <f t="shared" ref="Q51" si="231">F51*P51</f>
        <v>-33503569.712643709</v>
      </c>
      <c r="R51">
        <f t="shared" ref="R51" si="232">R52+Q51</f>
        <v>-9763563951.0934143</v>
      </c>
      <c r="S51">
        <f t="shared" ref="S51" si="233">R51/100000</f>
        <v>-97635.639510934139</v>
      </c>
      <c r="T51">
        <f t="shared" ref="T51" si="234">S51/1000</f>
        <v>-97.635639510934141</v>
      </c>
    </row>
    <row r="52" spans="1:20" x14ac:dyDescent="0.25">
      <c r="A52" s="5">
        <v>44541</v>
      </c>
      <c r="B52">
        <v>2.23E-2</v>
      </c>
      <c r="C52">
        <v>2.2509999999999999E-2</v>
      </c>
      <c r="D52">
        <v>2.1600000000000001E-2</v>
      </c>
      <c r="E52">
        <v>2.2210000000000001E-2</v>
      </c>
      <c r="F52">
        <v>23204743</v>
      </c>
      <c r="G52">
        <v>2.2210000000000001E-2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0.34065934065934295</v>
      </c>
      <c r="Q52">
        <f t="shared" ref="Q52" si="236">F52*P52</f>
        <v>7904912.4505495038</v>
      </c>
      <c r="R52">
        <f t="shared" ref="R52" si="237">R53+Q52</f>
        <v>-9730060381.3807697</v>
      </c>
      <c r="S52">
        <f t="shared" ref="S52" si="238">R52/100000</f>
        <v>-97300.603813807698</v>
      </c>
      <c r="T52">
        <f t="shared" ref="T52" si="239">S52/1000</f>
        <v>-97.300603813807697</v>
      </c>
    </row>
    <row r="53" spans="1:20" x14ac:dyDescent="0.25">
      <c r="A53" s="5">
        <v>44540</v>
      </c>
      <c r="B53">
        <v>2.256E-2</v>
      </c>
      <c r="C53">
        <v>2.5600000000000001E-2</v>
      </c>
      <c r="D53">
        <v>2.1940000000000001E-2</v>
      </c>
      <c r="E53">
        <v>2.2280000000000001E-2</v>
      </c>
      <c r="F53">
        <v>314194609</v>
      </c>
      <c r="G53">
        <v>2.2280000000000001E-2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-0.81420765027322406</v>
      </c>
      <c r="Q53">
        <f t="shared" ref="Q53" si="241">F53*P53</f>
        <v>-255819654.32240438</v>
      </c>
      <c r="R53">
        <f t="shared" ref="R53" si="242">R54+Q53</f>
        <v>-9737965293.8313198</v>
      </c>
      <c r="S53">
        <f t="shared" ref="S53" si="243">R53/100000</f>
        <v>-97379.6529383132</v>
      </c>
      <c r="T53">
        <f t="shared" ref="T53" si="244">S53/1000</f>
        <v>-97.3796529383132</v>
      </c>
    </row>
    <row r="54" spans="1:20" x14ac:dyDescent="0.25">
      <c r="A54" s="5">
        <v>44539</v>
      </c>
      <c r="B54">
        <v>2.5389999999999999E-2</v>
      </c>
      <c r="C54">
        <v>2.588E-2</v>
      </c>
      <c r="D54">
        <v>2.2380000000000001E-2</v>
      </c>
      <c r="E54">
        <v>2.257E-2</v>
      </c>
      <c r="F54">
        <v>474423589</v>
      </c>
      <c r="G54">
        <v>2.257E-2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-0.8914285714285719</v>
      </c>
      <c r="Q54">
        <f t="shared" ref="Q54" si="246">F54*P54</f>
        <v>-422914742.19428593</v>
      </c>
      <c r="R54">
        <f t="shared" ref="R54" si="247">R55+Q54</f>
        <v>-9482145639.5089149</v>
      </c>
      <c r="S54">
        <f t="shared" ref="S54" si="248">R54/100000</f>
        <v>-94821.456395089146</v>
      </c>
      <c r="T54">
        <f t="shared" ref="T54" si="249">S54/1000</f>
        <v>-94.821456395089143</v>
      </c>
    </row>
    <row r="55" spans="1:20" x14ac:dyDescent="0.25">
      <c r="A55" s="5">
        <v>44538</v>
      </c>
      <c r="B55">
        <v>2.554E-2</v>
      </c>
      <c r="C55">
        <v>2.7230000000000001E-2</v>
      </c>
      <c r="D55">
        <v>2.4140000000000002E-2</v>
      </c>
      <c r="E55">
        <v>2.5399999999999999E-2</v>
      </c>
      <c r="F55">
        <v>434517860</v>
      </c>
      <c r="G55">
        <v>2.5399999999999999E-2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-0.18446601941747726</v>
      </c>
      <c r="Q55">
        <f t="shared" ref="Q55" si="251">F55*P55</f>
        <v>-80153780.000000671</v>
      </c>
      <c r="R55">
        <f t="shared" ref="R55" si="252">R56+Q55</f>
        <v>-9059230897.3146286</v>
      </c>
      <c r="S55">
        <f t="shared" ref="S55" si="253">R55/100000</f>
        <v>-90592.308973146282</v>
      </c>
      <c r="T55">
        <f t="shared" ref="T55" si="254">S55/1000</f>
        <v>-90.592308973146288</v>
      </c>
    </row>
    <row r="56" spans="1:20" x14ac:dyDescent="0.25">
      <c r="A56" s="5">
        <v>44537</v>
      </c>
      <c r="B56">
        <v>2.3269999999999999E-2</v>
      </c>
      <c r="C56">
        <v>2.7400000000000001E-2</v>
      </c>
      <c r="D56">
        <v>2.3210000000000001E-2</v>
      </c>
      <c r="E56">
        <v>2.5510000000000001E-2</v>
      </c>
      <c r="F56">
        <v>532075748</v>
      </c>
      <c r="G56">
        <v>2.5510000000000001E-2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9.785202863961831E-2</v>
      </c>
      <c r="Q56">
        <f t="shared" ref="Q56" si="256">F56*P56</f>
        <v>52064691.331742331</v>
      </c>
      <c r="R56">
        <f t="shared" ref="R56" si="257">R57+Q56</f>
        <v>-8979077117.3146286</v>
      </c>
      <c r="S56">
        <f t="shared" ref="S56" si="258">R56/100000</f>
        <v>-89790.771173146291</v>
      </c>
      <c r="T56">
        <f t="shared" ref="T56" si="259">S56/1000</f>
        <v>-89.790771173146297</v>
      </c>
    </row>
    <row r="57" spans="1:20" x14ac:dyDescent="0.25">
      <c r="A57" s="5">
        <v>44536</v>
      </c>
      <c r="B57">
        <v>2.2679999999999999E-2</v>
      </c>
      <c r="C57">
        <v>2.393E-2</v>
      </c>
      <c r="D57">
        <v>1.9810000000000001E-2</v>
      </c>
      <c r="E57">
        <v>2.3279999999999999E-2</v>
      </c>
      <c r="F57">
        <v>472523031</v>
      </c>
      <c r="G57">
        <v>2.3279999999999999E-2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0.68446601941747498</v>
      </c>
      <c r="Q57">
        <f t="shared" ref="Q57" si="261">F57*P57</f>
        <v>323425958.11165011</v>
      </c>
      <c r="R57">
        <f t="shared" ref="R57" si="262">R58+Q57</f>
        <v>-9031141808.6463718</v>
      </c>
      <c r="S57">
        <f t="shared" ref="S57" si="263">R57/100000</f>
        <v>-90311.418086463716</v>
      </c>
      <c r="T57">
        <f t="shared" ref="T57" si="264">S57/1000</f>
        <v>-90.311418086463718</v>
      </c>
    </row>
    <row r="58" spans="1:20" x14ac:dyDescent="0.25">
      <c r="A58" s="5">
        <v>44535</v>
      </c>
      <c r="B58">
        <v>2.555E-2</v>
      </c>
      <c r="C58">
        <v>2.5919999999999999E-2</v>
      </c>
      <c r="D58">
        <v>2.205E-2</v>
      </c>
      <c r="E58">
        <v>2.2630000000000001E-2</v>
      </c>
      <c r="F58">
        <v>411346372</v>
      </c>
      <c r="G58">
        <v>2.2630000000000001E-2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-0.70025839793281608</v>
      </c>
      <c r="Q58">
        <f t="shared" ref="Q58" si="266">F58*P58</f>
        <v>-288048751.45219618</v>
      </c>
      <c r="R58">
        <f t="shared" ref="R58" si="267">R59+Q58</f>
        <v>-9354567766.7580223</v>
      </c>
      <c r="S58">
        <f t="shared" ref="S58" si="268">R58/100000</f>
        <v>-93545.677667580225</v>
      </c>
      <c r="T58">
        <f t="shared" ref="T58" si="269">S58/1000</f>
        <v>-93.545677667580222</v>
      </c>
    </row>
    <row r="59" spans="1:20" x14ac:dyDescent="0.25">
      <c r="A59" s="5">
        <v>44534</v>
      </c>
      <c r="B59">
        <v>2.9069999999999999E-2</v>
      </c>
      <c r="C59">
        <v>2.9069999999999999E-2</v>
      </c>
      <c r="D59">
        <v>2.1000000000000001E-2</v>
      </c>
      <c r="E59">
        <v>2.5520000000000001E-2</v>
      </c>
      <c r="F59">
        <v>685144293</v>
      </c>
      <c r="G59">
        <v>2.5520000000000001E-2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0.12019826517967812</v>
      </c>
      <c r="Q59">
        <f t="shared" ref="Q59" si="271">F59*P59</f>
        <v>82353155.416357085</v>
      </c>
      <c r="R59">
        <f t="shared" ref="R59" si="272">R60+Q59</f>
        <v>-9066519015.3058262</v>
      </c>
      <c r="S59">
        <f t="shared" ref="S59" si="273">R59/100000</f>
        <v>-90665.190153058269</v>
      </c>
      <c r="T59">
        <f t="shared" ref="T59" si="274">S59/1000</f>
        <v>-90.665190153058262</v>
      </c>
    </row>
    <row r="60" spans="1:20" x14ac:dyDescent="0.25">
      <c r="A60" s="5">
        <v>44533</v>
      </c>
      <c r="B60">
        <v>2.869E-2</v>
      </c>
      <c r="C60">
        <v>3.1510000000000003E-2</v>
      </c>
      <c r="D60">
        <v>2.7689999999999999E-2</v>
      </c>
      <c r="E60">
        <v>2.9010000000000001E-2</v>
      </c>
      <c r="F60">
        <v>451678984</v>
      </c>
      <c r="G60">
        <v>2.9010000000000001E-2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-0.30890052356020925</v>
      </c>
      <c r="Q60">
        <f t="shared" ref="Q60" si="276">F60*P60</f>
        <v>-139523874.63874337</v>
      </c>
      <c r="R60">
        <f t="shared" ref="R60" si="277">R61+Q60</f>
        <v>-9148872170.7221832</v>
      </c>
      <c r="S60">
        <f t="shared" ref="S60" si="278">R60/100000</f>
        <v>-91488.721707221834</v>
      </c>
      <c r="T60">
        <f t="shared" ref="T60" si="279">S60/1000</f>
        <v>-91.488721707221828</v>
      </c>
    </row>
    <row r="61" spans="1:20" x14ac:dyDescent="0.25">
      <c r="A61" s="5">
        <v>44532</v>
      </c>
      <c r="B61">
        <v>3.0509999999999999E-2</v>
      </c>
      <c r="C61">
        <v>3.0519999999999999E-2</v>
      </c>
      <c r="D61">
        <v>2.827E-2</v>
      </c>
      <c r="E61">
        <v>2.869E-2</v>
      </c>
      <c r="F61">
        <v>275782468</v>
      </c>
      <c r="G61">
        <v>2.869E-2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-0.62666666666666626</v>
      </c>
      <c r="Q61">
        <f t="shared" ref="Q61" si="281">F61*P61</f>
        <v>-172823679.94666657</v>
      </c>
      <c r="R61">
        <f t="shared" ref="R61" si="282">R62+Q61</f>
        <v>-9009348296.0834408</v>
      </c>
      <c r="S61">
        <f t="shared" ref="S61" si="283">R61/100000</f>
        <v>-90093.482960834401</v>
      </c>
      <c r="T61">
        <f t="shared" ref="T61" si="284">S61/1000</f>
        <v>-90.093482960834407</v>
      </c>
    </row>
    <row r="62" spans="1:20" x14ac:dyDescent="0.25">
      <c r="A62" s="5">
        <v>44531</v>
      </c>
      <c r="B62">
        <v>2.998E-2</v>
      </c>
      <c r="C62">
        <v>3.2059999999999998E-2</v>
      </c>
      <c r="D62">
        <v>2.9350000000000001E-2</v>
      </c>
      <c r="E62">
        <v>3.049E-2</v>
      </c>
      <c r="F62">
        <v>405606919</v>
      </c>
      <c r="G62">
        <v>3.049E-2</v>
      </c>
      <c r="L62" t="s">
        <v>7</v>
      </c>
      <c r="M62" t="s">
        <v>8</v>
      </c>
      <c r="N62" t="s">
        <v>8</v>
      </c>
      <c r="P62">
        <f t="shared" ref="P62" si="285">IF(C62=D62,0,((E62-D62)-(C62-E62))/(C62-D62))</f>
        <v>-0.15867158671586726</v>
      </c>
      <c r="Q62">
        <f t="shared" ref="Q62" si="286">F62*P62</f>
        <v>-64358293.420664243</v>
      </c>
      <c r="R62">
        <f t="shared" ref="R62" si="287">R63+Q62</f>
        <v>-8836524616.1367741</v>
      </c>
      <c r="S62">
        <f t="shared" ref="S62" si="288">R62/100000</f>
        <v>-88365.246161367744</v>
      </c>
      <c r="T62">
        <f t="shared" ref="T62" si="289">S62/1000</f>
        <v>-88.36524616136775</v>
      </c>
    </row>
    <row r="63" spans="1:20" x14ac:dyDescent="0.25">
      <c r="A63" s="5">
        <v>44530</v>
      </c>
      <c r="B63">
        <v>3.057E-2</v>
      </c>
      <c r="C63">
        <v>3.1980000000000001E-2</v>
      </c>
      <c r="D63">
        <v>2.964E-2</v>
      </c>
      <c r="E63">
        <v>2.9960000000000001E-2</v>
      </c>
      <c r="F63">
        <v>436343676</v>
      </c>
      <c r="G63">
        <v>2.9960000000000001E-2</v>
      </c>
      <c r="L63" t="s">
        <v>7</v>
      </c>
      <c r="M63" t="s">
        <v>8</v>
      </c>
      <c r="N63" t="s">
        <v>8</v>
      </c>
      <c r="P63">
        <f t="shared" ref="P63" si="290">IF(C63=D63,0,((E63-D63)-(C63-E63))/(C63-D63))</f>
        <v>-0.72649572649572602</v>
      </c>
      <c r="Q63">
        <f t="shared" ref="Q63" si="291">F63*P63</f>
        <v>-317001815.89743567</v>
      </c>
      <c r="R63">
        <f t="shared" ref="R63" si="292">R64+Q63</f>
        <v>-8772166322.7161102</v>
      </c>
      <c r="S63">
        <f t="shared" ref="S63" si="293">R63/100000</f>
        <v>-87721.663227161102</v>
      </c>
      <c r="T63">
        <f t="shared" ref="T63" si="294">S63/1000</f>
        <v>-87.721663227161102</v>
      </c>
    </row>
    <row r="64" spans="1:20" x14ac:dyDescent="0.25">
      <c r="A64" s="5">
        <v>44529</v>
      </c>
      <c r="B64">
        <v>3.236E-2</v>
      </c>
      <c r="C64">
        <v>3.3230000000000003E-2</v>
      </c>
      <c r="D64">
        <v>3.0259999999999999E-2</v>
      </c>
      <c r="E64">
        <v>3.058E-2</v>
      </c>
      <c r="F64">
        <v>375987474</v>
      </c>
      <c r="G64">
        <v>3.058E-2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-0.78451178451178427</v>
      </c>
      <c r="Q64">
        <f t="shared" ref="Q64" si="296">F64*P64</f>
        <v>-294966604.18181807</v>
      </c>
      <c r="R64">
        <f t="shared" ref="R64" si="297">R65+Q64</f>
        <v>-8455164506.818675</v>
      </c>
      <c r="S64">
        <f t="shared" ref="S64" si="298">R64/100000</f>
        <v>-84551.645068186757</v>
      </c>
      <c r="T64">
        <f t="shared" ref="T64" si="299">S64/1000</f>
        <v>-84.551645068186758</v>
      </c>
    </row>
    <row r="65" spans="1:20" x14ac:dyDescent="0.25">
      <c r="A65" s="5">
        <v>44528</v>
      </c>
      <c r="B65">
        <v>3.465E-2</v>
      </c>
      <c r="C65">
        <v>3.4810000000000001E-2</v>
      </c>
      <c r="D65">
        <v>2.8389999999999999E-2</v>
      </c>
      <c r="E65">
        <v>3.2370000000000003E-2</v>
      </c>
      <c r="F65">
        <v>758350000</v>
      </c>
      <c r="G65">
        <v>3.2370000000000003E-2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0.23987538940810063</v>
      </c>
      <c r="Q65">
        <f t="shared" ref="Q65" si="301">F65*P65</f>
        <v>181909501.5576331</v>
      </c>
      <c r="R65">
        <f t="shared" ref="R65" si="302">R66+Q65</f>
        <v>-8160197902.636857</v>
      </c>
      <c r="S65">
        <f t="shared" ref="S65" si="303">R65/100000</f>
        <v>-81601.979026368572</v>
      </c>
      <c r="T65">
        <f t="shared" ref="T65" si="304">S65/1000</f>
        <v>-81.601979026368568</v>
      </c>
    </row>
    <row r="66" spans="1:20" x14ac:dyDescent="0.25">
      <c r="A66" s="5">
        <v>44527</v>
      </c>
      <c r="B66">
        <v>2.6870000000000002E-2</v>
      </c>
      <c r="C66">
        <v>3.567E-2</v>
      </c>
      <c r="D66">
        <v>2.6780000000000002E-2</v>
      </c>
      <c r="E66">
        <v>3.4610000000000002E-2</v>
      </c>
      <c r="F66">
        <v>1456457379</v>
      </c>
      <c r="G66">
        <v>3.4610000000000002E-2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0.76152980877390353</v>
      </c>
      <c r="Q66">
        <f t="shared" ref="Q66" si="306">F66*P66</f>
        <v>1109135709.3172107</v>
      </c>
      <c r="R66">
        <f t="shared" ref="R66" si="307">R67+Q66</f>
        <v>-8342107404.1944904</v>
      </c>
      <c r="S66">
        <f t="shared" ref="S66" si="308">R66/100000</f>
        <v>-83421.074041944899</v>
      </c>
      <c r="T66">
        <f t="shared" ref="T66" si="309">S66/1000</f>
        <v>-83.421074041944905</v>
      </c>
    </row>
    <row r="67" spans="1:20" x14ac:dyDescent="0.25">
      <c r="A67" s="5">
        <v>44526</v>
      </c>
      <c r="B67">
        <v>2.9690000000000001E-2</v>
      </c>
      <c r="C67">
        <v>3.1960000000000002E-2</v>
      </c>
      <c r="D67">
        <v>2.6009999999999998E-2</v>
      </c>
      <c r="E67">
        <v>2.6870000000000002E-2</v>
      </c>
      <c r="F67">
        <v>1265237838</v>
      </c>
      <c r="G67">
        <v>2.6870000000000002E-2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-0.7109243697478983</v>
      </c>
      <c r="Q67">
        <f t="shared" ref="Q67" si="311">F67*P67</f>
        <v>-899488412.56134343</v>
      </c>
      <c r="R67">
        <f t="shared" ref="R67" si="312">R68+Q67</f>
        <v>-9451243113.5117016</v>
      </c>
      <c r="S67">
        <f t="shared" ref="S67" si="313">R67/100000</f>
        <v>-94512.431135117018</v>
      </c>
      <c r="T67">
        <f t="shared" ref="T67" si="314">S67/1000</f>
        <v>-94.512431135117012</v>
      </c>
    </row>
    <row r="68" spans="1:20" x14ac:dyDescent="0.25">
      <c r="A68" s="5">
        <v>44525</v>
      </c>
      <c r="B68">
        <v>2.546E-2</v>
      </c>
      <c r="C68">
        <v>3.107E-2</v>
      </c>
      <c r="D68">
        <v>2.545E-2</v>
      </c>
      <c r="E68">
        <v>2.9680000000000002E-2</v>
      </c>
      <c r="F68">
        <v>1108795241</v>
      </c>
      <c r="G68">
        <v>2.9680000000000002E-2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0.50533807829181532</v>
      </c>
      <c r="Q68">
        <f t="shared" ref="Q68" si="316">F68*P68</f>
        <v>560316456.30605018</v>
      </c>
      <c r="R68">
        <f t="shared" ref="R68" si="317">R69+Q68</f>
        <v>-8551754700.9503584</v>
      </c>
      <c r="S68">
        <f t="shared" ref="S68" si="318">R68/100000</f>
        <v>-85517.547009503585</v>
      </c>
      <c r="T68">
        <f t="shared" ref="T68" si="319">S68/1000</f>
        <v>-85.517547009503588</v>
      </c>
    </row>
    <row r="69" spans="1:20" x14ac:dyDescent="0.25">
      <c r="A69" s="5">
        <v>44524</v>
      </c>
      <c r="B69">
        <v>2.4830000000000001E-2</v>
      </c>
      <c r="C69">
        <v>2.4889999999999999E-2</v>
      </c>
      <c r="D69">
        <v>2.3900000000000001E-2</v>
      </c>
      <c r="E69">
        <v>2.4309999999999998E-2</v>
      </c>
      <c r="F69">
        <v>78268551</v>
      </c>
      <c r="G69">
        <v>2.4309999999999998E-2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-0.1717171717171756</v>
      </c>
      <c r="Q69">
        <f t="shared" ref="Q69" si="321">F69*P69</f>
        <v>-13440054.212121516</v>
      </c>
      <c r="R69">
        <f t="shared" ref="R69" si="322">R70+Q69</f>
        <v>-9112071157.2564087</v>
      </c>
      <c r="S69">
        <f t="shared" ref="S69" si="323">R69/100000</f>
        <v>-91120.711572564091</v>
      </c>
      <c r="T69">
        <f t="shared" ref="T69" si="324">S69/1000</f>
        <v>-91.12071157256409</v>
      </c>
    </row>
    <row r="70" spans="1:20" x14ac:dyDescent="0.25">
      <c r="A70" s="5">
        <v>44523</v>
      </c>
      <c r="B70">
        <v>2.3980000000000001E-2</v>
      </c>
      <c r="C70">
        <v>2.5999999999999999E-2</v>
      </c>
      <c r="D70">
        <v>2.3740000000000001E-2</v>
      </c>
      <c r="E70">
        <v>2.4809999999999999E-2</v>
      </c>
      <c r="F70">
        <v>303715521</v>
      </c>
      <c r="G70">
        <v>2.4809999999999999E-2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-5.3097345132744313E-2</v>
      </c>
      <c r="Q70">
        <f t="shared" ref="Q70" si="326">F70*P70</f>
        <v>-16126487.840708254</v>
      </c>
      <c r="R70">
        <f t="shared" ref="R70" si="327">R71+Q70</f>
        <v>-9098631103.0442867</v>
      </c>
      <c r="S70">
        <f t="shared" ref="S70" si="328">R70/100000</f>
        <v>-90986.31103044287</v>
      </c>
      <c r="T70">
        <f t="shared" ref="T70" si="329">S70/1000</f>
        <v>-90.986311030442863</v>
      </c>
    </row>
    <row r="71" spans="1:20" x14ac:dyDescent="0.25">
      <c r="A71" s="5">
        <v>44522</v>
      </c>
      <c r="B71">
        <v>2.5899999999999999E-2</v>
      </c>
      <c r="C71">
        <v>2.5989999999999999E-2</v>
      </c>
      <c r="D71">
        <v>2.3970000000000002E-2</v>
      </c>
      <c r="E71">
        <v>2.402E-2</v>
      </c>
      <c r="F71">
        <v>282589761</v>
      </c>
      <c r="G71">
        <v>2.402E-2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-0.95049504950495245</v>
      </c>
      <c r="Q71">
        <f t="shared" ref="Q71" si="331">F71*P71</f>
        <v>-268600168.8712877</v>
      </c>
      <c r="R71">
        <f t="shared" ref="R71" si="332">R72+Q71</f>
        <v>-9082504615.2035789</v>
      </c>
      <c r="S71">
        <f t="shared" ref="S71" si="333">R71/100000</f>
        <v>-90825.046152035793</v>
      </c>
      <c r="T71">
        <f t="shared" ref="T71" si="334">S71/1000</f>
        <v>-90.825046152035796</v>
      </c>
    </row>
    <row r="72" spans="1:20" x14ac:dyDescent="0.25">
      <c r="A72" s="5">
        <v>44521</v>
      </c>
      <c r="B72">
        <v>2.6939999999999999E-2</v>
      </c>
      <c r="C72">
        <v>2.7699999999999999E-2</v>
      </c>
      <c r="D72">
        <v>2.571E-2</v>
      </c>
      <c r="E72">
        <v>2.5950000000000001E-2</v>
      </c>
      <c r="F72">
        <v>245834881</v>
      </c>
      <c r="G72">
        <v>2.5950000000000001E-2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-0.75879396984924541</v>
      </c>
      <c r="Q72">
        <f t="shared" ref="Q72" si="336">F72*P72</f>
        <v>-186538025.28140682</v>
      </c>
      <c r="R72">
        <f t="shared" ref="R72" si="337">R73+Q72</f>
        <v>-8813904446.3322906</v>
      </c>
      <c r="S72">
        <f t="shared" ref="S72" si="338">R72/100000</f>
        <v>-88139.044463322905</v>
      </c>
      <c r="T72">
        <f t="shared" ref="T72" si="339">S72/1000</f>
        <v>-88.139044463322904</v>
      </c>
    </row>
    <row r="73" spans="1:20" x14ac:dyDescent="0.25">
      <c r="A73" s="5">
        <v>44520</v>
      </c>
      <c r="B73">
        <v>2.6239999999999999E-2</v>
      </c>
      <c r="C73">
        <v>2.8309999999999998E-2</v>
      </c>
      <c r="D73">
        <v>2.478E-2</v>
      </c>
      <c r="E73">
        <v>2.6890000000000001E-2</v>
      </c>
      <c r="F73">
        <v>474769108</v>
      </c>
      <c r="G73">
        <v>2.6890000000000001E-2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0.19546742209631826</v>
      </c>
      <c r="Q73">
        <f t="shared" ref="Q73" si="341">F73*P73</f>
        <v>92801893.631728515</v>
      </c>
      <c r="R73">
        <f t="shared" ref="R73" si="342">R74+Q73</f>
        <v>-8627366421.0508842</v>
      </c>
      <c r="S73">
        <f t="shared" ref="S73" si="343">R73/100000</f>
        <v>-86273.664210508839</v>
      </c>
      <c r="T73">
        <f t="shared" ref="T73" si="344">S73/1000</f>
        <v>-86.273664210508841</v>
      </c>
    </row>
    <row r="74" spans="1:20" x14ac:dyDescent="0.25">
      <c r="A74" s="5">
        <v>44519</v>
      </c>
      <c r="B74">
        <v>2.2960000000000001E-2</v>
      </c>
      <c r="C74">
        <v>2.76E-2</v>
      </c>
      <c r="D74">
        <v>2.2270000000000002E-2</v>
      </c>
      <c r="E74">
        <v>2.6190000000000001E-2</v>
      </c>
      <c r="F74">
        <v>660165827</v>
      </c>
      <c r="G74">
        <v>2.6190000000000001E-2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0.47091932457786168</v>
      </c>
      <c r="Q74">
        <f t="shared" ref="Q74" si="346">F74*P74</f>
        <v>310884845.3602255</v>
      </c>
      <c r="R74">
        <f t="shared" ref="R74" si="347">R75+Q74</f>
        <v>-8720168314.6826134</v>
      </c>
      <c r="S74">
        <f t="shared" ref="S74" si="348">R74/100000</f>
        <v>-87201.683146826137</v>
      </c>
      <c r="T74">
        <f t="shared" ref="T74" si="349">S74/1000</f>
        <v>-87.201683146826142</v>
      </c>
    </row>
    <row r="75" spans="1:20" x14ac:dyDescent="0.25">
      <c r="A75" s="5">
        <v>44518</v>
      </c>
      <c r="B75">
        <v>2.4680000000000001E-2</v>
      </c>
      <c r="C75">
        <v>2.5420000000000002E-2</v>
      </c>
      <c r="D75">
        <v>2.145E-2</v>
      </c>
      <c r="E75">
        <v>2.2960000000000001E-2</v>
      </c>
      <c r="F75">
        <v>525239214</v>
      </c>
      <c r="G75">
        <v>2.2960000000000001E-2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-0.2392947103274557</v>
      </c>
      <c r="Q75">
        <f t="shared" ref="Q75" si="351">F75*P75</f>
        <v>-125686965.56675051</v>
      </c>
      <c r="R75">
        <f t="shared" ref="R75" si="352">R76+Q75</f>
        <v>-9031053160.0428391</v>
      </c>
      <c r="S75">
        <f t="shared" ref="S75" si="353">R75/100000</f>
        <v>-90310.531600428396</v>
      </c>
      <c r="T75">
        <f t="shared" ref="T75" si="354">S75/1000</f>
        <v>-90.310531600428391</v>
      </c>
    </row>
    <row r="76" spans="1:20" x14ac:dyDescent="0.25">
      <c r="A76" s="5">
        <v>44517</v>
      </c>
      <c r="B76">
        <v>2.504E-2</v>
      </c>
      <c r="C76">
        <v>2.5659999999999999E-2</v>
      </c>
      <c r="D76">
        <v>2.3890000000000002E-2</v>
      </c>
      <c r="E76">
        <v>2.47E-2</v>
      </c>
      <c r="F76">
        <v>374830732</v>
      </c>
      <c r="G76">
        <v>2.47E-2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-8.4745762711865E-2</v>
      </c>
      <c r="Q76">
        <f t="shared" ref="Q76" si="356">F76*P76</f>
        <v>-31765316.271186665</v>
      </c>
      <c r="R76">
        <f t="shared" ref="R76" si="357">R77+Q76</f>
        <v>-8905366194.4760895</v>
      </c>
      <c r="S76">
        <f t="shared" ref="S76" si="358">R76/100000</f>
        <v>-89053.661944760897</v>
      </c>
      <c r="T76">
        <f t="shared" ref="T76" si="359">S76/1000</f>
        <v>-89.053661944760904</v>
      </c>
    </row>
    <row r="77" spans="1:20" x14ac:dyDescent="0.25">
      <c r="A77" s="5">
        <v>44516</v>
      </c>
      <c r="B77">
        <v>2.7470000000000001E-2</v>
      </c>
      <c r="C77">
        <v>2.7470000000000001E-2</v>
      </c>
      <c r="D77">
        <v>2.418E-2</v>
      </c>
      <c r="E77">
        <v>2.503E-2</v>
      </c>
      <c r="F77">
        <v>436297585</v>
      </c>
      <c r="G77">
        <v>2.503E-2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-0.48328267477203662</v>
      </c>
      <c r="Q77">
        <f t="shared" ref="Q77" si="361">F77*P77</f>
        <v>-210855063.87538001</v>
      </c>
      <c r="R77">
        <f t="shared" ref="R77" si="362">R78+Q77</f>
        <v>-8873600878.2049026</v>
      </c>
      <c r="S77">
        <f t="shared" ref="S77" si="363">R77/100000</f>
        <v>-88736.00878204903</v>
      </c>
      <c r="T77">
        <f t="shared" ref="T77" si="364">S77/1000</f>
        <v>-88.736008782049026</v>
      </c>
    </row>
    <row r="78" spans="1:20" x14ac:dyDescent="0.25">
      <c r="A78" s="5">
        <v>44515</v>
      </c>
      <c r="B78">
        <v>2.9319999999999999E-2</v>
      </c>
      <c r="C78">
        <v>2.9700000000000001E-2</v>
      </c>
      <c r="D78">
        <v>2.7359999999999999E-2</v>
      </c>
      <c r="E78">
        <v>2.743E-2</v>
      </c>
      <c r="F78">
        <v>299978635</v>
      </c>
      <c r="G78">
        <v>2.743E-2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-0.94017094017093972</v>
      </c>
      <c r="Q78">
        <f t="shared" ref="Q78" si="366">F78*P78</f>
        <v>-282031195.29914516</v>
      </c>
      <c r="R78">
        <f t="shared" ref="R78" si="367">R79+Q78</f>
        <v>-8662745814.3295231</v>
      </c>
      <c r="S78">
        <f t="shared" ref="S78" si="368">R78/100000</f>
        <v>-86627.458143295225</v>
      </c>
      <c r="T78">
        <f t="shared" ref="T78" si="369">S78/1000</f>
        <v>-86.627458143295229</v>
      </c>
    </row>
    <row r="79" spans="1:20" x14ac:dyDescent="0.25">
      <c r="A79" s="5">
        <v>44514</v>
      </c>
      <c r="B79">
        <v>2.9399999999999999E-2</v>
      </c>
      <c r="C79">
        <v>3.177E-2</v>
      </c>
      <c r="D79">
        <v>2.843E-2</v>
      </c>
      <c r="E79">
        <v>2.9270000000000001E-2</v>
      </c>
      <c r="F79">
        <v>998983852</v>
      </c>
      <c r="G79">
        <v>2.9270000000000001E-2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-0.49700598802395168</v>
      </c>
      <c r="Q79">
        <f t="shared" ref="Q79" si="371">F79*P79</f>
        <v>-496500956.38323313</v>
      </c>
      <c r="R79">
        <f t="shared" ref="R79" si="372">R80+Q79</f>
        <v>-8380714619.0303774</v>
      </c>
      <c r="S79">
        <f t="shared" ref="S79" si="373">R79/100000</f>
        <v>-83807.146190303771</v>
      </c>
      <c r="T79">
        <f t="shared" ref="T79" si="374">S79/1000</f>
        <v>-83.807146190303769</v>
      </c>
    </row>
    <row r="80" spans="1:20" x14ac:dyDescent="0.25">
      <c r="A80" s="5">
        <v>44513</v>
      </c>
      <c r="B80">
        <v>2.7189999999999999E-2</v>
      </c>
      <c r="C80">
        <v>3.0720000000000001E-2</v>
      </c>
      <c r="D80">
        <v>2.6270000000000002E-2</v>
      </c>
      <c r="E80">
        <v>2.9409999999999999E-2</v>
      </c>
      <c r="F80">
        <v>793291015</v>
      </c>
      <c r="G80">
        <v>2.9409999999999999E-2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0.41123595505617871</v>
      </c>
      <c r="Q80">
        <f t="shared" ref="Q80" si="376">F80*P80</f>
        <v>326229788.19101042</v>
      </c>
      <c r="R80">
        <f t="shared" ref="R80" si="377">R81+Q80</f>
        <v>-7884213662.6471443</v>
      </c>
      <c r="S80">
        <f t="shared" ref="S80" si="378">R80/100000</f>
        <v>-78842.136626471445</v>
      </c>
      <c r="T80">
        <f t="shared" ref="T80" si="379">S80/1000</f>
        <v>-78.842136626471444</v>
      </c>
    </row>
    <row r="81" spans="1:20" x14ac:dyDescent="0.25">
      <c r="A81" s="5">
        <v>44512</v>
      </c>
      <c r="B81">
        <v>2.913E-2</v>
      </c>
      <c r="C81">
        <v>2.972E-2</v>
      </c>
      <c r="D81">
        <v>2.6009999999999998E-2</v>
      </c>
      <c r="E81">
        <v>2.7140000000000001E-2</v>
      </c>
      <c r="F81">
        <v>570713621</v>
      </c>
      <c r="G81">
        <v>2.7140000000000001E-2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-0.39083557951482367</v>
      </c>
      <c r="Q81">
        <f t="shared" ref="Q81" si="381">F81*P81</f>
        <v>-223055188.80053845</v>
      </c>
      <c r="R81">
        <f t="shared" ref="R81" si="382">R82+Q81</f>
        <v>-8210443450.8381548</v>
      </c>
      <c r="S81">
        <f t="shared" ref="S81" si="383">R81/100000</f>
        <v>-82104.434508381542</v>
      </c>
      <c r="T81">
        <f t="shared" ref="T81" si="384">S81/1000</f>
        <v>-82.104434508381544</v>
      </c>
    </row>
    <row r="82" spans="1:20" x14ac:dyDescent="0.25">
      <c r="A82" s="5">
        <v>44511</v>
      </c>
      <c r="B82">
        <v>2.7369999999999998E-2</v>
      </c>
      <c r="C82">
        <v>3.3489999999999999E-2</v>
      </c>
      <c r="D82">
        <v>2.6919999999999999E-2</v>
      </c>
      <c r="E82">
        <v>2.913E-2</v>
      </c>
      <c r="F82">
        <v>1820552397</v>
      </c>
      <c r="G82">
        <v>2.913E-2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-0.3272450532724504</v>
      </c>
      <c r="Q82">
        <f t="shared" ref="Q82" si="386">F82*P82</f>
        <v>-595766766.14155233</v>
      </c>
      <c r="R82">
        <f t="shared" ref="R82" si="387">R83+Q82</f>
        <v>-7987388262.0376167</v>
      </c>
      <c r="S82">
        <f t="shared" ref="S82" si="388">R82/100000</f>
        <v>-79873.882620376171</v>
      </c>
      <c r="T82">
        <f t="shared" ref="T82" si="389">S82/1000</f>
        <v>-79.873882620376165</v>
      </c>
    </row>
    <row r="83" spans="1:20" x14ac:dyDescent="0.25">
      <c r="A83" s="5">
        <v>44510</v>
      </c>
      <c r="B83">
        <v>2.5350000000000001E-2</v>
      </c>
      <c r="C83">
        <v>3.1699999999999999E-2</v>
      </c>
      <c r="D83">
        <v>2.4590000000000001E-2</v>
      </c>
      <c r="E83">
        <v>2.7390000000000001E-2</v>
      </c>
      <c r="F83">
        <v>1450445521</v>
      </c>
      <c r="G83">
        <v>2.7390000000000001E-2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-0.21237693389592094</v>
      </c>
      <c r="Q83">
        <f t="shared" ref="Q83" si="391">F83*P83</f>
        <v>-308041172.53305161</v>
      </c>
      <c r="R83">
        <f t="shared" ref="R83" si="392">R84+Q83</f>
        <v>-7391621495.8960648</v>
      </c>
      <c r="S83">
        <f t="shared" ref="S83" si="393">R83/100000</f>
        <v>-73916.214958960642</v>
      </c>
      <c r="T83">
        <f t="shared" ref="T83" si="394">S83/1000</f>
        <v>-73.916214958960637</v>
      </c>
    </row>
    <row r="84" spans="1:20" x14ac:dyDescent="0.25">
      <c r="A84" s="5">
        <v>44509</v>
      </c>
      <c r="B84">
        <v>2.647E-2</v>
      </c>
      <c r="C84">
        <v>2.7609999999999999E-2</v>
      </c>
      <c r="D84">
        <v>2.5000000000000001E-2</v>
      </c>
      <c r="E84">
        <v>2.5350000000000001E-2</v>
      </c>
      <c r="F84">
        <v>594855738</v>
      </c>
      <c r="G84">
        <v>2.5350000000000001E-2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-0.73180076628352497</v>
      </c>
      <c r="Q84">
        <f t="shared" ref="Q84" si="396">F84*P84</f>
        <v>-435315884.89655179</v>
      </c>
      <c r="R84">
        <f t="shared" ref="R84" si="397">R85+Q84</f>
        <v>-7083580323.3630133</v>
      </c>
      <c r="S84">
        <f t="shared" ref="S84" si="398">R84/100000</f>
        <v>-70835.803233630126</v>
      </c>
      <c r="T84">
        <f t="shared" ref="T84" si="399">S84/1000</f>
        <v>-70.835803233630131</v>
      </c>
    </row>
    <row r="85" spans="1:20" x14ac:dyDescent="0.25">
      <c r="A85" s="5">
        <v>44508</v>
      </c>
      <c r="B85">
        <v>2.7949999999999999E-2</v>
      </c>
      <c r="C85">
        <v>2.7990000000000001E-2</v>
      </c>
      <c r="D85">
        <v>2.5399999999999999E-2</v>
      </c>
      <c r="E85">
        <v>2.6440000000000002E-2</v>
      </c>
      <c r="F85">
        <v>845170467</v>
      </c>
      <c r="G85">
        <v>2.6440000000000002E-2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-0.19691119691119544</v>
      </c>
      <c r="Q85">
        <f t="shared" ref="Q85" si="401">F85*P85</f>
        <v>-166423528.25096402</v>
      </c>
      <c r="R85">
        <f t="shared" ref="R85" si="402">R86+Q85</f>
        <v>-6648264438.4664612</v>
      </c>
      <c r="S85">
        <f t="shared" ref="S85" si="403">R85/100000</f>
        <v>-66482.644384664614</v>
      </c>
      <c r="T85">
        <f t="shared" ref="T85" si="404">S85/1000</f>
        <v>-66.48264438466461</v>
      </c>
    </row>
    <row r="86" spans="1:20" x14ac:dyDescent="0.25">
      <c r="A86" s="5">
        <v>44507</v>
      </c>
      <c r="B86">
        <v>3.0179999999999998E-2</v>
      </c>
      <c r="C86">
        <v>3.2829999999999998E-2</v>
      </c>
      <c r="D86">
        <v>2.6519999999999998E-2</v>
      </c>
      <c r="E86">
        <v>2.7949999999999999E-2</v>
      </c>
      <c r="F86">
        <v>2479261662</v>
      </c>
      <c r="G86">
        <v>2.7949999999999999E-2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-0.54675118858954019</v>
      </c>
      <c r="Q86">
        <f t="shared" ref="Q86" si="406">F86*P86</f>
        <v>-1355539260.5229788</v>
      </c>
      <c r="R86">
        <f t="shared" ref="R86" si="407">R87+Q86</f>
        <v>-6481840910.215497</v>
      </c>
      <c r="S86">
        <f t="shared" ref="S86" si="408">R86/100000</f>
        <v>-64818.409102154968</v>
      </c>
      <c r="T86">
        <f t="shared" ref="T86" si="409">S86/1000</f>
        <v>-64.818409102154973</v>
      </c>
    </row>
    <row r="87" spans="1:20" x14ac:dyDescent="0.25">
      <c r="A87" s="5">
        <v>44506</v>
      </c>
      <c r="B87">
        <v>2.3099999999999999E-2</v>
      </c>
      <c r="C87">
        <v>3.3700000000000001E-2</v>
      </c>
      <c r="D87">
        <v>2.1950000000000001E-2</v>
      </c>
      <c r="E87">
        <v>3.0210000000000001E-2</v>
      </c>
      <c r="F87">
        <v>6411833056</v>
      </c>
      <c r="G87">
        <v>3.0210000000000001E-2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0.40595744680851065</v>
      </c>
      <c r="Q87">
        <f t="shared" ref="Q87" si="411">F87*P87</f>
        <v>2602931376.7761703</v>
      </c>
      <c r="R87">
        <f t="shared" ref="R87" si="412">R88+Q87</f>
        <v>-5126301649.6925182</v>
      </c>
      <c r="S87">
        <f t="shared" ref="S87" si="413">R87/100000</f>
        <v>-51263.016496925185</v>
      </c>
      <c r="T87">
        <f t="shared" ref="T87" si="414">S87/1000</f>
        <v>-51.263016496925182</v>
      </c>
    </row>
    <row r="88" spans="1:20" x14ac:dyDescent="0.25">
      <c r="A88" s="5">
        <v>44505</v>
      </c>
      <c r="B88">
        <v>2.0279999999999999E-2</v>
      </c>
      <c r="C88">
        <v>2.3269999999999999E-2</v>
      </c>
      <c r="D88">
        <v>1.975E-2</v>
      </c>
      <c r="E88">
        <v>2.3099999999999999E-2</v>
      </c>
      <c r="F88">
        <v>595555655</v>
      </c>
      <c r="G88">
        <v>2.3099999999999999E-2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0.90340909090909083</v>
      </c>
      <c r="Q88">
        <f t="shared" ref="Q88" si="416">F88*P88</f>
        <v>538030392.86931813</v>
      </c>
      <c r="R88">
        <f t="shared" ref="R88" si="417">R89+Q88</f>
        <v>-7729233026.468688</v>
      </c>
      <c r="S88">
        <f t="shared" ref="S88" si="418">R88/100000</f>
        <v>-77292.330264686883</v>
      </c>
      <c r="T88">
        <f t="shared" ref="T88" si="419">S88/1000</f>
        <v>-77.292330264686882</v>
      </c>
    </row>
    <row r="89" spans="1:20" x14ac:dyDescent="0.25">
      <c r="A89" s="5">
        <v>44504</v>
      </c>
      <c r="B89">
        <v>2.0590000000000001E-2</v>
      </c>
      <c r="C89">
        <v>2.1409999999999998E-2</v>
      </c>
      <c r="D89">
        <v>1.9529999999999999E-2</v>
      </c>
      <c r="E89">
        <v>2.0279999999999999E-2</v>
      </c>
      <c r="F89">
        <v>370477095</v>
      </c>
      <c r="G89">
        <v>2.0279999999999999E-2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-0.20212765957446727</v>
      </c>
      <c r="Q89">
        <f t="shared" ref="Q89" si="421">F89*P89</f>
        <v>-74883668.138297573</v>
      </c>
      <c r="R89">
        <f t="shared" ref="R89" si="422">R90+Q89</f>
        <v>-8267263419.338006</v>
      </c>
      <c r="S89">
        <f t="shared" ref="S89" si="423">R89/100000</f>
        <v>-82672.634193380058</v>
      </c>
      <c r="T89">
        <f t="shared" ref="T89" si="424">S89/1000</f>
        <v>-82.672634193380063</v>
      </c>
    </row>
    <row r="90" spans="1:20" x14ac:dyDescent="0.25">
      <c r="A90" s="5">
        <v>44503</v>
      </c>
      <c r="B90">
        <v>1.9820000000000001E-2</v>
      </c>
      <c r="C90">
        <v>2.1999999999999999E-2</v>
      </c>
      <c r="D90">
        <v>1.9259999999999999E-2</v>
      </c>
      <c r="E90">
        <v>2.061E-2</v>
      </c>
      <c r="F90">
        <v>482815193</v>
      </c>
      <c r="G90">
        <v>2.061E-2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-1.4598540145984809E-2</v>
      </c>
      <c r="Q90">
        <f t="shared" ref="Q90" si="426">F90*P90</f>
        <v>-7048396.9781019036</v>
      </c>
      <c r="R90">
        <f t="shared" ref="R90" si="427">R91+Q90</f>
        <v>-8192379751.199708</v>
      </c>
      <c r="S90">
        <f t="shared" ref="S90" si="428">R90/100000</f>
        <v>-81923.79751199708</v>
      </c>
      <c r="T90">
        <f t="shared" ref="T90" si="429">S90/1000</f>
        <v>-81.92379751199708</v>
      </c>
    </row>
    <row r="91" spans="1:20" x14ac:dyDescent="0.25">
      <c r="A91" s="5">
        <v>44502</v>
      </c>
      <c r="B91">
        <v>1.9449999999999999E-2</v>
      </c>
      <c r="C91">
        <v>2.0619999999999999E-2</v>
      </c>
      <c r="D91">
        <v>1.9390000000000001E-2</v>
      </c>
      <c r="E91">
        <v>1.9810000000000001E-2</v>
      </c>
      <c r="F91">
        <v>308288549</v>
      </c>
      <c r="G91">
        <v>1.9810000000000001E-2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-0.3170731707317061</v>
      </c>
      <c r="Q91">
        <f t="shared" ref="Q91" si="431">F91*P91</f>
        <v>-97750027.731706947</v>
      </c>
      <c r="R91">
        <f t="shared" ref="R91" si="432">R92+Q91</f>
        <v>-8185331354.2216063</v>
      </c>
      <c r="S91">
        <f t="shared" ref="S91" si="433">R91/100000</f>
        <v>-81853.313542216056</v>
      </c>
      <c r="T91">
        <f t="shared" ref="T91" si="434">S91/1000</f>
        <v>-81.853313542216057</v>
      </c>
    </row>
    <row r="92" spans="1:20" x14ac:dyDescent="0.25">
      <c r="A92" s="5">
        <v>44501</v>
      </c>
      <c r="B92">
        <v>2.01E-2</v>
      </c>
      <c r="C92">
        <v>2.1000000000000001E-2</v>
      </c>
      <c r="D92">
        <v>1.907E-2</v>
      </c>
      <c r="E92">
        <v>1.9449999999999999E-2</v>
      </c>
      <c r="F92">
        <v>308847560</v>
      </c>
      <c r="G92">
        <v>1.9449999999999999E-2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-0.60621761658031281</v>
      </c>
      <c r="Q92">
        <f t="shared" ref="Q92" si="436">F92*P92</f>
        <v>-187228831.70984516</v>
      </c>
      <c r="R92">
        <f t="shared" ref="R92" si="437">R93+Q92</f>
        <v>-8087581326.4898996</v>
      </c>
      <c r="S92">
        <f t="shared" ref="S92" si="438">R92/100000</f>
        <v>-80875.813264898999</v>
      </c>
      <c r="T92">
        <f t="shared" ref="T92" si="439">S92/1000</f>
        <v>-80.875813264898994</v>
      </c>
    </row>
    <row r="93" spans="1:20" x14ac:dyDescent="0.25">
      <c r="A93" s="5">
        <v>44500</v>
      </c>
      <c r="B93">
        <v>1.899E-2</v>
      </c>
      <c r="C93">
        <v>2.0369999999999999E-2</v>
      </c>
      <c r="D93">
        <v>1.8499999999999999E-2</v>
      </c>
      <c r="E93">
        <v>2.0080000000000001E-2</v>
      </c>
      <c r="F93">
        <v>299524423</v>
      </c>
      <c r="G93">
        <v>2.0080000000000001E-2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0.6898395721925149</v>
      </c>
      <c r="Q93">
        <f t="shared" ref="Q93" si="441">F93*P93</f>
        <v>206623799.82352987</v>
      </c>
      <c r="R93">
        <f t="shared" ref="R93" si="442">R94+Q93</f>
        <v>-7900352494.7800541</v>
      </c>
      <c r="S93">
        <f t="shared" ref="S93" si="443">R93/100000</f>
        <v>-79003.524947800543</v>
      </c>
      <c r="T93">
        <f t="shared" ref="T93" si="444">S93/1000</f>
        <v>-79.003524947800543</v>
      </c>
    </row>
    <row r="94" spans="1:20" x14ac:dyDescent="0.25">
      <c r="A94" s="5">
        <v>44499</v>
      </c>
      <c r="B94">
        <v>1.9650000000000001E-2</v>
      </c>
      <c r="C94">
        <v>1.9699999999999999E-2</v>
      </c>
      <c r="D94">
        <v>1.8530000000000001E-2</v>
      </c>
      <c r="E94">
        <v>1.9009999999999999E-2</v>
      </c>
      <c r="F94">
        <v>262331983</v>
      </c>
      <c r="G94">
        <v>1.9009999999999999E-2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-0.17948717948718146</v>
      </c>
      <c r="Q94">
        <f t="shared" ref="Q94" si="446">F94*P94</f>
        <v>-47085227.717949234</v>
      </c>
      <c r="R94">
        <f t="shared" ref="R94" si="447">R95+Q94</f>
        <v>-8106976294.6035843</v>
      </c>
      <c r="S94">
        <f t="shared" ref="S94" si="448">R94/100000</f>
        <v>-81069.762946035844</v>
      </c>
      <c r="T94">
        <f t="shared" ref="T94" si="449">S94/1000</f>
        <v>-81.069762946035837</v>
      </c>
    </row>
    <row r="95" spans="1:20" x14ac:dyDescent="0.25">
      <c r="A95" s="5">
        <v>44498</v>
      </c>
      <c r="B95">
        <v>1.9699999999999999E-2</v>
      </c>
      <c r="C95">
        <v>2.036E-2</v>
      </c>
      <c r="D95">
        <v>1.9109999999999999E-2</v>
      </c>
      <c r="E95">
        <v>1.9650000000000001E-2</v>
      </c>
      <c r="F95">
        <v>309396710</v>
      </c>
      <c r="G95">
        <v>1.9650000000000001E-2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-0.13599999999999712</v>
      </c>
      <c r="Q95">
        <f t="shared" ref="Q95" si="451">F95*P95</f>
        <v>-42077952.559999108</v>
      </c>
      <c r="R95">
        <f t="shared" ref="R95" si="452">R96+Q95</f>
        <v>-8059891066.8856354</v>
      </c>
      <c r="S95">
        <f t="shared" ref="S95" si="453">R95/100000</f>
        <v>-80598.910668856348</v>
      </c>
      <c r="T95">
        <f t="shared" ref="T95" si="454">S95/1000</f>
        <v>-80.598910668856348</v>
      </c>
    </row>
    <row r="96" spans="1:20" x14ac:dyDescent="0.25">
      <c r="A96" s="5">
        <v>44497</v>
      </c>
      <c r="B96">
        <v>1.8710000000000001E-2</v>
      </c>
      <c r="C96">
        <v>0.02</v>
      </c>
      <c r="D96">
        <v>1.8700000000000001E-2</v>
      </c>
      <c r="E96">
        <v>1.9720000000000001E-2</v>
      </c>
      <c r="F96">
        <v>392975091</v>
      </c>
      <c r="G96">
        <v>1.9720000000000001E-2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0.56923076923077043</v>
      </c>
      <c r="Q96">
        <f t="shared" ref="Q96" si="456">F96*P96</f>
        <v>223693513.338462</v>
      </c>
      <c r="R96">
        <f t="shared" ref="R96" si="457">R97+Q96</f>
        <v>-8017813114.3256359</v>
      </c>
      <c r="S96">
        <f t="shared" ref="S96" si="458">R96/100000</f>
        <v>-80178.131143256353</v>
      </c>
      <c r="T96">
        <f t="shared" ref="T96" si="459">S96/1000</f>
        <v>-80.178131143256351</v>
      </c>
    </row>
    <row r="97" spans="1:20" x14ac:dyDescent="0.25">
      <c r="A97" s="5">
        <v>44496</v>
      </c>
      <c r="B97">
        <v>2.1090000000000001E-2</v>
      </c>
      <c r="C97">
        <v>2.172E-2</v>
      </c>
      <c r="D97">
        <v>1.8630000000000001E-2</v>
      </c>
      <c r="E97">
        <v>1.874E-2</v>
      </c>
      <c r="F97">
        <v>530238366</v>
      </c>
      <c r="G97">
        <v>1.874E-2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-0.92880258899676438</v>
      </c>
      <c r="Q97">
        <f t="shared" ref="Q97" si="461">F97*P97</f>
        <v>-492486767.12621391</v>
      </c>
      <c r="R97">
        <f t="shared" ref="R97" si="462">R98+Q97</f>
        <v>-8241506627.6640978</v>
      </c>
      <c r="S97">
        <f t="shared" ref="S97" si="463">R97/100000</f>
        <v>-82415.066276640981</v>
      </c>
      <c r="T97">
        <f t="shared" ref="T97" si="464">S97/1000</f>
        <v>-82.415066276640985</v>
      </c>
    </row>
    <row r="98" spans="1:20" x14ac:dyDescent="0.25">
      <c r="A98" s="5">
        <v>44495</v>
      </c>
      <c r="B98">
        <v>2.2079999999999999E-2</v>
      </c>
      <c r="C98">
        <v>2.3630000000000002E-2</v>
      </c>
      <c r="D98">
        <v>2.0379999999999999E-2</v>
      </c>
      <c r="E98">
        <v>2.1059999999999999E-2</v>
      </c>
      <c r="F98">
        <v>700073490</v>
      </c>
      <c r="G98">
        <v>2.1059999999999999E-2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-0.58153846153846189</v>
      </c>
      <c r="Q98">
        <f t="shared" ref="Q98" si="466">F98*P98</f>
        <v>-407119660.33846176</v>
      </c>
      <c r="R98">
        <f t="shared" ref="R98" si="467">R99+Q98</f>
        <v>-7749019860.5378838</v>
      </c>
      <c r="S98">
        <f t="shared" ref="S98" si="468">R98/100000</f>
        <v>-77490.198605378842</v>
      </c>
      <c r="T98">
        <f t="shared" ref="T98" si="469">S98/1000</f>
        <v>-77.490198605378836</v>
      </c>
    </row>
    <row r="99" spans="1:20" x14ac:dyDescent="0.25">
      <c r="A99" s="5">
        <v>44494</v>
      </c>
      <c r="B99">
        <v>1.9269999999999999E-2</v>
      </c>
      <c r="C99">
        <v>2.231E-2</v>
      </c>
      <c r="D99">
        <v>1.9120000000000002E-2</v>
      </c>
      <c r="E99">
        <v>2.2100000000000002E-2</v>
      </c>
      <c r="F99">
        <v>848901115</v>
      </c>
      <c r="G99">
        <v>2.2100000000000002E-2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0.86833855799373139</v>
      </c>
      <c r="Q99">
        <f t="shared" ref="Q99" si="471">F99*P99</f>
        <v>737133570.07837069</v>
      </c>
      <c r="R99">
        <f t="shared" ref="R99" si="472">R100+Q99</f>
        <v>-7341900200.1994219</v>
      </c>
      <c r="S99">
        <f t="shared" ref="S99" si="473">R99/100000</f>
        <v>-73419.002001994217</v>
      </c>
      <c r="T99">
        <f t="shared" ref="T99" si="474">S99/1000</f>
        <v>-73.419002001994215</v>
      </c>
    </row>
    <row r="100" spans="1:20" x14ac:dyDescent="0.25">
      <c r="A100" s="5">
        <v>44493</v>
      </c>
      <c r="B100">
        <v>1.9380000000000001E-2</v>
      </c>
      <c r="C100">
        <v>2.01E-2</v>
      </c>
      <c r="D100">
        <v>1.8460000000000001E-2</v>
      </c>
      <c r="E100">
        <v>1.9269999999999999E-2</v>
      </c>
      <c r="F100">
        <v>330517199</v>
      </c>
      <c r="G100">
        <v>1.9269999999999999E-2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-1.2195121951221138E-2</v>
      </c>
      <c r="Q100">
        <f t="shared" ref="Q100" si="476">F100*P100</f>
        <v>-4030697.5487810252</v>
      </c>
      <c r="R100">
        <f t="shared" ref="R100" si="477">R101+Q100</f>
        <v>-8079033770.2777929</v>
      </c>
      <c r="S100">
        <f t="shared" ref="S100" si="478">R100/100000</f>
        <v>-80790.337702777935</v>
      </c>
      <c r="T100">
        <f t="shared" ref="T100" si="479">S100/1000</f>
        <v>-80.790337702777933</v>
      </c>
    </row>
    <row r="101" spans="1:20" x14ac:dyDescent="0.25">
      <c r="A101" s="5">
        <v>44492</v>
      </c>
      <c r="B101">
        <v>1.932E-2</v>
      </c>
      <c r="C101">
        <v>2.044E-2</v>
      </c>
      <c r="D101">
        <v>1.8890000000000001E-2</v>
      </c>
      <c r="E101">
        <v>1.9349999999999999E-2</v>
      </c>
      <c r="F101">
        <v>325136893</v>
      </c>
      <c r="G101">
        <v>1.9349999999999999E-2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-0.40645161290322734</v>
      </c>
      <c r="Q101">
        <f t="shared" ref="Q101" si="481">F101*P101</f>
        <v>-132152414.57419404</v>
      </c>
      <c r="R101">
        <f t="shared" ref="R101" si="482">R102+Q101</f>
        <v>-8075003072.7290115</v>
      </c>
      <c r="S101">
        <f t="shared" ref="S101" si="483">R101/100000</f>
        <v>-80750.030727290112</v>
      </c>
      <c r="T101">
        <f t="shared" ref="T101" si="484">S101/1000</f>
        <v>-80.75003072729011</v>
      </c>
    </row>
    <row r="102" spans="1:20" x14ac:dyDescent="0.25">
      <c r="A102" s="5">
        <v>44491</v>
      </c>
      <c r="B102">
        <v>1.975E-2</v>
      </c>
      <c r="C102">
        <v>2.0389999999999998E-2</v>
      </c>
      <c r="D102">
        <v>1.9120000000000002E-2</v>
      </c>
      <c r="E102">
        <v>1.9310000000000001E-2</v>
      </c>
      <c r="F102">
        <v>403086944</v>
      </c>
      <c r="G102">
        <v>1.9310000000000001E-2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-0.70078740157480368</v>
      </c>
      <c r="Q102">
        <f t="shared" ref="Q102" si="486">F102*P102</f>
        <v>-282478252.09448838</v>
      </c>
      <c r="R102">
        <f t="shared" ref="R102" si="487">R103+Q102</f>
        <v>-7942850658.1548176</v>
      </c>
      <c r="S102">
        <f t="shared" ref="S102" si="488">R102/100000</f>
        <v>-79428.506581548179</v>
      </c>
      <c r="T102">
        <f t="shared" ref="T102" si="489">S102/1000</f>
        <v>-79.428506581548177</v>
      </c>
    </row>
    <row r="103" spans="1:20" x14ac:dyDescent="0.25">
      <c r="A103" s="5">
        <v>44490</v>
      </c>
      <c r="B103">
        <v>2.1069999999999998E-2</v>
      </c>
      <c r="C103">
        <v>2.1860000000000001E-2</v>
      </c>
      <c r="D103">
        <v>1.9699999999999999E-2</v>
      </c>
      <c r="E103">
        <v>1.9769999999999999E-2</v>
      </c>
      <c r="F103">
        <v>714513779</v>
      </c>
      <c r="G103">
        <v>1.9769999999999999E-2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-0.93518518518518468</v>
      </c>
      <c r="Q103">
        <f t="shared" ref="Q103" si="491">F103*P103</f>
        <v>-668202700.73148108</v>
      </c>
      <c r="R103">
        <f t="shared" ref="R103" si="492">R104+Q103</f>
        <v>-7660372406.0603294</v>
      </c>
      <c r="S103">
        <f t="shared" ref="S103" si="493">R103/100000</f>
        <v>-76603.724060603301</v>
      </c>
      <c r="T103">
        <f t="shared" ref="T103" si="494">S103/1000</f>
        <v>-76.603724060603298</v>
      </c>
    </row>
    <row r="104" spans="1:20" x14ac:dyDescent="0.25">
      <c r="A104" s="5">
        <v>44489</v>
      </c>
      <c r="B104">
        <v>2.0809999999999999E-2</v>
      </c>
      <c r="C104">
        <v>2.52E-2</v>
      </c>
      <c r="D104">
        <v>2.0109999999999999E-2</v>
      </c>
      <c r="E104">
        <v>2.1069999999999998E-2</v>
      </c>
      <c r="F104">
        <v>3007497433</v>
      </c>
      <c r="G104">
        <v>2.1069999999999998E-2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-0.62278978388998074</v>
      </c>
      <c r="Q104">
        <f t="shared" ref="Q104" si="496">F104*P104</f>
        <v>-1873038676.3477418</v>
      </c>
      <c r="R104">
        <f t="shared" ref="R104" si="497">R105+Q104</f>
        <v>-6992169705.3288479</v>
      </c>
      <c r="S104">
        <f t="shared" ref="S104" si="498">R104/100000</f>
        <v>-69921.697053288473</v>
      </c>
      <c r="T104">
        <f t="shared" ref="T104" si="499">S104/1000</f>
        <v>-69.921697053288469</v>
      </c>
    </row>
    <row r="105" spans="1:20" x14ac:dyDescent="0.25">
      <c r="A105" s="5">
        <v>44488</v>
      </c>
      <c r="B105">
        <v>1.8440000000000002E-2</v>
      </c>
      <c r="C105">
        <v>2.094E-2</v>
      </c>
      <c r="D105">
        <v>1.77E-2</v>
      </c>
      <c r="E105">
        <v>2.0799999999999999E-2</v>
      </c>
      <c r="F105">
        <v>1540153247</v>
      </c>
      <c r="G105">
        <v>2.0799999999999999E-2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0.91358024691357953</v>
      </c>
      <c r="Q105">
        <f t="shared" ref="Q105" si="501">F105*P105</f>
        <v>1407053583.6790113</v>
      </c>
      <c r="R105">
        <f t="shared" ref="R105" si="502">R106+Q105</f>
        <v>-5119131028.9811058</v>
      </c>
      <c r="S105">
        <f t="shared" ref="S105" si="503">R105/100000</f>
        <v>-51191.310289811059</v>
      </c>
      <c r="T105">
        <f t="shared" ref="T105" si="504">S105/1000</f>
        <v>-51.191310289811057</v>
      </c>
    </row>
    <row r="106" spans="1:20" x14ac:dyDescent="0.25">
      <c r="A106" s="5">
        <v>44487</v>
      </c>
      <c r="B106">
        <v>1.6590000000000001E-2</v>
      </c>
      <c r="C106">
        <v>2.0250000000000001E-2</v>
      </c>
      <c r="D106">
        <v>1.6279999999999999E-2</v>
      </c>
      <c r="E106">
        <v>1.8429999999999998E-2</v>
      </c>
      <c r="F106">
        <v>2172001050</v>
      </c>
      <c r="G106">
        <v>1.8429999999999998E-2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8.3123425692694417E-2</v>
      </c>
      <c r="Q106">
        <f t="shared" ref="Q106" si="506">F106*P106</f>
        <v>180544167.88412926</v>
      </c>
      <c r="R106">
        <f t="shared" ref="R106" si="507">R107+Q106</f>
        <v>-6526184612.6601171</v>
      </c>
      <c r="S106">
        <f t="shared" ref="S106" si="508">R106/100000</f>
        <v>-65261.846126601173</v>
      </c>
      <c r="T106">
        <f t="shared" ref="T106" si="509">S106/1000</f>
        <v>-65.261846126601171</v>
      </c>
    </row>
    <row r="107" spans="1:20" x14ac:dyDescent="0.25">
      <c r="A107" s="5">
        <v>44486</v>
      </c>
      <c r="B107">
        <v>1.6369999999999999E-2</v>
      </c>
      <c r="C107">
        <v>1.7000000000000001E-2</v>
      </c>
      <c r="D107">
        <v>1.5740000000000001E-2</v>
      </c>
      <c r="E107">
        <v>1.6580000000000001E-2</v>
      </c>
      <c r="F107">
        <v>269630858</v>
      </c>
      <c r="G107">
        <v>1.6580000000000001E-2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0.33333333333333331</v>
      </c>
      <c r="Q107">
        <f t="shared" ref="Q107" si="511">F107*P107</f>
        <v>89876952.666666657</v>
      </c>
      <c r="R107">
        <f t="shared" ref="R107" si="512">R108+Q107</f>
        <v>-6706728780.5442467</v>
      </c>
      <c r="S107">
        <f t="shared" ref="S107" si="513">R107/100000</f>
        <v>-67067.287805442465</v>
      </c>
      <c r="T107">
        <f t="shared" ref="T107" si="514">S107/1000</f>
        <v>-67.067287805442461</v>
      </c>
    </row>
    <row r="108" spans="1:20" x14ac:dyDescent="0.25">
      <c r="A108" s="5">
        <v>44485</v>
      </c>
      <c r="B108">
        <v>1.6119999999999999E-2</v>
      </c>
      <c r="C108">
        <v>1.6959999999999999E-2</v>
      </c>
      <c r="D108">
        <v>1.593E-2</v>
      </c>
      <c r="E108">
        <v>1.6389999999999998E-2</v>
      </c>
      <c r="F108">
        <v>274762790</v>
      </c>
      <c r="G108">
        <v>1.6389999999999998E-2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-0.10679611650485679</v>
      </c>
      <c r="Q108">
        <f t="shared" ref="Q108" si="516">F108*P108</f>
        <v>-29343598.932039499</v>
      </c>
      <c r="R108">
        <f t="shared" ref="R108" si="517">R109+Q108</f>
        <v>-6796605733.2109137</v>
      </c>
      <c r="S108">
        <f t="shared" ref="S108" si="518">R108/100000</f>
        <v>-67966.057332109136</v>
      </c>
      <c r="T108">
        <f t="shared" ref="T108" si="519">S108/1000</f>
        <v>-67.966057332109131</v>
      </c>
    </row>
    <row r="109" spans="1:20" x14ac:dyDescent="0.25">
      <c r="A109" s="5">
        <v>44484</v>
      </c>
      <c r="B109">
        <v>1.555E-2</v>
      </c>
      <c r="C109">
        <v>1.7299999999999999E-2</v>
      </c>
      <c r="D109">
        <v>1.481E-2</v>
      </c>
      <c r="E109">
        <v>1.6109999999999999E-2</v>
      </c>
      <c r="F109">
        <v>1048827291</v>
      </c>
      <c r="G109">
        <v>1.6109999999999999E-2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4.4176706827308843E-2</v>
      </c>
      <c r="Q109">
        <f t="shared" ref="Q109" si="521">F109*P109</f>
        <v>46333735.746987537</v>
      </c>
      <c r="R109">
        <f t="shared" ref="R109" si="522">R110+Q109</f>
        <v>-6767262134.2788744</v>
      </c>
      <c r="S109">
        <f t="shared" ref="S109" si="523">R109/100000</f>
        <v>-67672.621342788741</v>
      </c>
      <c r="T109">
        <f t="shared" ref="T109" si="524">S109/1000</f>
        <v>-67.672621342788744</v>
      </c>
    </row>
    <row r="110" spans="1:20" x14ac:dyDescent="0.25">
      <c r="A110" s="5">
        <v>44483</v>
      </c>
      <c r="B110">
        <v>1.461E-2</v>
      </c>
      <c r="C110">
        <v>1.6129999999999999E-2</v>
      </c>
      <c r="D110">
        <v>1.4200000000000001E-2</v>
      </c>
      <c r="E110">
        <v>1.554E-2</v>
      </c>
      <c r="F110">
        <v>452836798</v>
      </c>
      <c r="G110">
        <v>1.554E-2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0.38860103626943088</v>
      </c>
      <c r="Q110">
        <f t="shared" ref="Q110" si="526">F110*P110</f>
        <v>175972848.96373093</v>
      </c>
      <c r="R110">
        <f t="shared" ref="R110" si="527">R111+Q110</f>
        <v>-6813595870.0258617</v>
      </c>
      <c r="S110">
        <f t="shared" ref="S110" si="528">R110/100000</f>
        <v>-68135.95870025862</v>
      </c>
      <c r="T110">
        <f t="shared" ref="T110" si="529">S110/1000</f>
        <v>-68.135958700258612</v>
      </c>
    </row>
    <row r="111" spans="1:20" x14ac:dyDescent="0.25">
      <c r="A111" s="5">
        <v>44482</v>
      </c>
      <c r="B111">
        <v>1.502E-2</v>
      </c>
      <c r="C111">
        <v>1.55E-2</v>
      </c>
      <c r="D111">
        <v>1.3180000000000001E-2</v>
      </c>
      <c r="E111">
        <v>1.461E-2</v>
      </c>
      <c r="F111">
        <v>476209770</v>
      </c>
      <c r="G111">
        <v>1.461E-2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0.23275862068965475</v>
      </c>
      <c r="Q111">
        <f t="shared" ref="Q111" si="531">F111*P111</f>
        <v>110841929.22413772</v>
      </c>
      <c r="R111">
        <f t="shared" ref="R111" si="532">R112+Q111</f>
        <v>-6989568718.9895926</v>
      </c>
      <c r="S111">
        <f t="shared" ref="S111" si="533">R111/100000</f>
        <v>-69895.687189895922</v>
      </c>
      <c r="T111">
        <f t="shared" ref="T111" si="534">S111/1000</f>
        <v>-69.895687189895924</v>
      </c>
    </row>
    <row r="112" spans="1:20" x14ac:dyDescent="0.25">
      <c r="A112" s="5">
        <v>44481</v>
      </c>
      <c r="B112">
        <v>1.4760000000000001E-2</v>
      </c>
      <c r="C112">
        <v>1.5610000000000001E-2</v>
      </c>
      <c r="D112">
        <v>1.3610000000000001E-2</v>
      </c>
      <c r="E112">
        <v>1.502E-2</v>
      </c>
      <c r="F112">
        <v>355222921</v>
      </c>
      <c r="G112">
        <v>1.502E-2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0.40999999999999975</v>
      </c>
      <c r="Q112">
        <f t="shared" ref="Q112" si="536">F112*P112</f>
        <v>145641397.60999992</v>
      </c>
      <c r="R112">
        <f t="shared" ref="R112" si="537">R113+Q112</f>
        <v>-7100410648.2137299</v>
      </c>
      <c r="S112">
        <f t="shared" ref="S112" si="538">R112/100000</f>
        <v>-71004.1064821373</v>
      </c>
      <c r="T112">
        <f t="shared" ref="T112" si="539">S112/1000</f>
        <v>-71.004106482137303</v>
      </c>
    </row>
    <row r="113" spans="1:20" x14ac:dyDescent="0.25">
      <c r="A113" s="5">
        <v>44480</v>
      </c>
      <c r="B113">
        <v>1.477E-2</v>
      </c>
      <c r="C113">
        <v>1.508E-2</v>
      </c>
      <c r="D113">
        <v>1.4420000000000001E-2</v>
      </c>
      <c r="E113">
        <v>1.4760000000000001E-2</v>
      </c>
      <c r="F113">
        <v>280402763</v>
      </c>
      <c r="G113">
        <v>1.4760000000000001E-2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3.0303030303031737E-2</v>
      </c>
      <c r="Q113">
        <f t="shared" ref="Q113" si="541">F113*P113</f>
        <v>8497053.4242428262</v>
      </c>
      <c r="R113">
        <f t="shared" ref="R113" si="542">R114+Q113</f>
        <v>-7246052045.8237295</v>
      </c>
      <c r="S113">
        <f t="shared" ref="S113" si="543">R113/100000</f>
        <v>-72460.520458237297</v>
      </c>
      <c r="T113">
        <f t="shared" ref="T113" si="544">S113/1000</f>
        <v>-72.460520458237298</v>
      </c>
    </row>
    <row r="114" spans="1:20" x14ac:dyDescent="0.25">
      <c r="A114" s="5">
        <v>44479</v>
      </c>
      <c r="B114">
        <v>1.5520000000000001E-2</v>
      </c>
      <c r="C114">
        <v>1.5610000000000001E-2</v>
      </c>
      <c r="D114">
        <v>1.468E-2</v>
      </c>
      <c r="E114">
        <v>1.4760000000000001E-2</v>
      </c>
      <c r="F114">
        <v>268041042</v>
      </c>
      <c r="G114">
        <v>1.4760000000000001E-2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-0.82795698924731143</v>
      </c>
      <c r="Q114">
        <f t="shared" ref="Q114" si="546">F114*P114</f>
        <v>-221926454.12903216</v>
      </c>
      <c r="R114">
        <f t="shared" ref="R114" si="547">R115+Q114</f>
        <v>-7254549099.2479725</v>
      </c>
      <c r="S114">
        <f t="shared" ref="S114" si="548">R114/100000</f>
        <v>-72545.490992479725</v>
      </c>
      <c r="T114">
        <f t="shared" ref="T114" si="549">S114/1000</f>
        <v>-72.545490992479728</v>
      </c>
    </row>
    <row r="115" spans="1:20" x14ac:dyDescent="0.25">
      <c r="A115" s="5">
        <v>44478</v>
      </c>
      <c r="B115">
        <v>1.4970000000000001E-2</v>
      </c>
      <c r="C115">
        <v>1.686E-2</v>
      </c>
      <c r="D115">
        <v>1.4919999999999999E-2</v>
      </c>
      <c r="E115">
        <v>1.5480000000000001E-2</v>
      </c>
      <c r="F115">
        <v>781715151</v>
      </c>
      <c r="G115">
        <v>1.5480000000000001E-2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-0.42268041237113274</v>
      </c>
      <c r="Q115">
        <f t="shared" ref="Q115" si="551">F115*P115</f>
        <v>-330415682.38144231</v>
      </c>
      <c r="R115">
        <f t="shared" ref="R115" si="552">R116+Q115</f>
        <v>-7032622645.1189404</v>
      </c>
      <c r="S115">
        <f t="shared" ref="S115" si="553">R115/100000</f>
        <v>-70326.226451189403</v>
      </c>
      <c r="T115">
        <f t="shared" ref="T115" si="554">S115/1000</f>
        <v>-70.326226451189399</v>
      </c>
    </row>
    <row r="116" spans="1:20" x14ac:dyDescent="0.25">
      <c r="A116" s="5">
        <v>44477</v>
      </c>
      <c r="B116">
        <v>1.4250000000000001E-2</v>
      </c>
      <c r="C116">
        <v>1.686E-2</v>
      </c>
      <c r="D116">
        <v>1.422E-2</v>
      </c>
      <c r="E116">
        <v>1.4930000000000001E-2</v>
      </c>
      <c r="F116">
        <v>750883262</v>
      </c>
      <c r="G116">
        <v>1.4930000000000001E-2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-0.46212121212121171</v>
      </c>
      <c r="Q116">
        <f t="shared" ref="Q116" si="556">F116*P116</f>
        <v>-346999083.19696939</v>
      </c>
      <c r="R116">
        <f t="shared" ref="R116" si="557">R117+Q116</f>
        <v>-6702206962.7374983</v>
      </c>
      <c r="S116">
        <f t="shared" ref="S116" si="558">R116/100000</f>
        <v>-67022.069627374978</v>
      </c>
      <c r="T116">
        <f t="shared" ref="T116" si="559">S116/1000</f>
        <v>-67.022069627374975</v>
      </c>
    </row>
    <row r="117" spans="1:20" x14ac:dyDescent="0.25">
      <c r="A117" s="5">
        <v>44476</v>
      </c>
      <c r="B117">
        <v>1.44E-2</v>
      </c>
      <c r="C117">
        <v>1.457E-2</v>
      </c>
      <c r="D117">
        <v>1.392E-2</v>
      </c>
      <c r="E117">
        <v>1.4250000000000001E-2</v>
      </c>
      <c r="F117">
        <v>434976380</v>
      </c>
      <c r="G117">
        <v>1.4250000000000001E-2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1.5384615384617438E-2</v>
      </c>
      <c r="Q117">
        <f t="shared" ref="Q117" si="561">F117*P117</f>
        <v>6691944.3076932011</v>
      </c>
      <c r="R117">
        <f t="shared" ref="R117" si="562">R118+Q117</f>
        <v>-6355207879.5405293</v>
      </c>
      <c r="S117">
        <f t="shared" ref="S117" si="563">R117/100000</f>
        <v>-63552.078795405294</v>
      </c>
      <c r="T117">
        <f t="shared" ref="T117" si="564">S117/1000</f>
        <v>-63.552078795405293</v>
      </c>
    </row>
    <row r="118" spans="1:20" x14ac:dyDescent="0.25">
      <c r="A118" s="5">
        <v>44475</v>
      </c>
      <c r="B118">
        <v>1.4460000000000001E-2</v>
      </c>
      <c r="C118">
        <v>1.502E-2</v>
      </c>
      <c r="D118">
        <v>1.355E-2</v>
      </c>
      <c r="E118">
        <v>1.438E-2</v>
      </c>
      <c r="F118">
        <v>806090700</v>
      </c>
      <c r="G118">
        <v>1.438E-2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0.12925170068027267</v>
      </c>
      <c r="Q118">
        <f t="shared" ref="Q118" si="566">F118*P118</f>
        <v>104188593.87755147</v>
      </c>
      <c r="R118">
        <f t="shared" ref="R118" si="567">R119+Q118</f>
        <v>-6361899823.8482227</v>
      </c>
      <c r="S118">
        <f t="shared" ref="S118" si="568">R118/100000</f>
        <v>-63618.998238482229</v>
      </c>
      <c r="T118">
        <f t="shared" ref="T118" si="569">S118/1000</f>
        <v>-63.618998238482227</v>
      </c>
    </row>
    <row r="119" spans="1:20" x14ac:dyDescent="0.25">
      <c r="A119" s="5">
        <v>44474</v>
      </c>
      <c r="B119">
        <v>1.3480000000000001E-2</v>
      </c>
      <c r="C119">
        <v>1.4489999999999999E-2</v>
      </c>
      <c r="D119">
        <v>1.3390000000000001E-2</v>
      </c>
      <c r="E119">
        <v>1.4460000000000001E-2</v>
      </c>
      <c r="F119">
        <v>566808726</v>
      </c>
      <c r="G119">
        <v>1.4460000000000001E-2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0.94545454545454766</v>
      </c>
      <c r="Q119">
        <f t="shared" ref="Q119" si="571">F119*P119</f>
        <v>535891886.40000123</v>
      </c>
      <c r="R119">
        <f t="shared" ref="R119" si="572">R120+Q119</f>
        <v>-6466088417.7257738</v>
      </c>
      <c r="S119">
        <f t="shared" ref="S119" si="573">R119/100000</f>
        <v>-64660.884177257736</v>
      </c>
      <c r="T119">
        <f t="shared" ref="T119" si="574">S119/1000</f>
        <v>-64.660884177257742</v>
      </c>
    </row>
    <row r="120" spans="1:20" x14ac:dyDescent="0.25">
      <c r="A120" s="5">
        <v>44473</v>
      </c>
      <c r="B120">
        <v>1.342E-2</v>
      </c>
      <c r="C120">
        <v>1.3849999999999999E-2</v>
      </c>
      <c r="D120">
        <v>1.295E-2</v>
      </c>
      <c r="E120">
        <v>1.3599999999999999E-2</v>
      </c>
      <c r="F120">
        <v>646941409</v>
      </c>
      <c r="G120">
        <v>1.3599999999999999E-2</v>
      </c>
      <c r="L120" t="s">
        <v>8</v>
      </c>
      <c r="M120" t="s">
        <v>7</v>
      </c>
      <c r="N120" t="s">
        <v>7</v>
      </c>
      <c r="P120">
        <f t="shared" ref="P120" si="575">IF(C120=D120,0,((E120-D120)-(C120-E120))/(C120-D120))</f>
        <v>0.44444444444444381</v>
      </c>
      <c r="Q120">
        <f t="shared" ref="Q120" si="576">F120*P120</f>
        <v>287529515.11111069</v>
      </c>
      <c r="R120">
        <f t="shared" ref="R120" si="577">R121+Q120</f>
        <v>-7001980304.1257753</v>
      </c>
      <c r="S120">
        <f t="shared" ref="S120" si="578">R120/100000</f>
        <v>-70019.80304125775</v>
      </c>
      <c r="T120">
        <f t="shared" ref="T120" si="579">S120/1000</f>
        <v>-70.019803041257745</v>
      </c>
    </row>
    <row r="121" spans="1:20" x14ac:dyDescent="0.25">
      <c r="A121" s="5">
        <v>44472</v>
      </c>
      <c r="B121">
        <v>1.3509999999999999E-2</v>
      </c>
      <c r="C121">
        <v>1.3650000000000001E-2</v>
      </c>
      <c r="D121">
        <v>1.299E-2</v>
      </c>
      <c r="E121">
        <v>1.3339999999999999E-2</v>
      </c>
      <c r="F121">
        <v>557881220</v>
      </c>
      <c r="G121">
        <v>1.3339999999999999E-2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6.0606060606058054E-2</v>
      </c>
      <c r="Q121">
        <f t="shared" ref="Q121" si="581">F121*P121</f>
        <v>33810983.030301608</v>
      </c>
      <c r="R121">
        <f t="shared" ref="R121" si="582">R122+Q121</f>
        <v>-7289509819.236886</v>
      </c>
      <c r="S121">
        <f t="shared" ref="S121" si="583">R121/100000</f>
        <v>-72895.098192368867</v>
      </c>
      <c r="T121">
        <f t="shared" ref="T121" si="584">S121/1000</f>
        <v>-72.895098192368863</v>
      </c>
    </row>
    <row r="122" spans="1:20" x14ac:dyDescent="0.25">
      <c r="A122" s="5">
        <v>44471</v>
      </c>
      <c r="B122">
        <v>1.342E-2</v>
      </c>
      <c r="C122">
        <v>1.3899999999999999E-2</v>
      </c>
      <c r="D122">
        <v>1.278E-2</v>
      </c>
      <c r="E122">
        <v>1.35E-2</v>
      </c>
      <c r="F122">
        <v>419023758</v>
      </c>
      <c r="G122">
        <v>1.35E-2</v>
      </c>
      <c r="L122" t="s">
        <v>7</v>
      </c>
      <c r="M122" t="s">
        <v>7</v>
      </c>
      <c r="N122" t="s">
        <v>7</v>
      </c>
      <c r="P122">
        <f t="shared" ref="P122" si="585">IF(C122=D122,0,((E122-D122)-(C122-E122))/(C122-D122))</f>
        <v>0.28571428571428659</v>
      </c>
      <c r="Q122">
        <f t="shared" ref="Q122" si="586">F122*P122</f>
        <v>119721073.71428607</v>
      </c>
      <c r="R122">
        <f t="shared" ref="R122" si="587">R123+Q122</f>
        <v>-7323320802.2671881</v>
      </c>
      <c r="S122">
        <f t="shared" ref="S122" si="588">R122/100000</f>
        <v>-73233.208022671883</v>
      </c>
      <c r="T122">
        <f t="shared" ref="T122" si="589">S122/1000</f>
        <v>-73.233208022671889</v>
      </c>
    </row>
    <row r="123" spans="1:20" x14ac:dyDescent="0.25">
      <c r="A123" s="5">
        <v>44470</v>
      </c>
      <c r="B123">
        <v>1.226E-2</v>
      </c>
      <c r="C123">
        <v>1.392E-2</v>
      </c>
      <c r="D123">
        <v>1.208E-2</v>
      </c>
      <c r="E123">
        <v>1.341E-2</v>
      </c>
      <c r="F123">
        <v>608644019</v>
      </c>
      <c r="G123">
        <v>1.341E-2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0.44565217391304335</v>
      </c>
      <c r="Q123">
        <f t="shared" ref="Q123" si="591">F123*P123</f>
        <v>271243530.20652163</v>
      </c>
      <c r="R123">
        <f t="shared" ref="R123" si="592">R124+Q123</f>
        <v>-7443041875.9814739</v>
      </c>
      <c r="S123">
        <f t="shared" ref="S123" si="593">R123/100000</f>
        <v>-74430.41875981474</v>
      </c>
      <c r="T123">
        <f t="shared" ref="T123" si="594">S123/1000</f>
        <v>-74.430418759814742</v>
      </c>
    </row>
    <row r="124" spans="1:20" x14ac:dyDescent="0.25">
      <c r="A124" s="5">
        <v>44469</v>
      </c>
      <c r="B124">
        <v>1.2409999999999999E-2</v>
      </c>
      <c r="C124">
        <v>1.2999999999999999E-2</v>
      </c>
      <c r="D124">
        <v>1.2E-2</v>
      </c>
      <c r="E124">
        <v>1.2239999999999999E-2</v>
      </c>
      <c r="F124">
        <v>666143394</v>
      </c>
      <c r="G124">
        <v>1.2239999999999999E-2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-0.52000000000000179</v>
      </c>
      <c r="Q124">
        <f t="shared" ref="Q124" si="596">F124*P124</f>
        <v>-346394564.88000119</v>
      </c>
      <c r="R124">
        <f t="shared" ref="R124" si="597">R125+Q124</f>
        <v>-7714285406.1879959</v>
      </c>
      <c r="S124">
        <f t="shared" ref="S124" si="598">R124/100000</f>
        <v>-77142.85406187996</v>
      </c>
      <c r="T124">
        <f t="shared" ref="T124" si="599">S124/1000</f>
        <v>-77.142854061879959</v>
      </c>
    </row>
    <row r="125" spans="1:20" x14ac:dyDescent="0.25">
      <c r="A125" s="5">
        <v>44468</v>
      </c>
      <c r="B125">
        <v>1.1639999999999999E-2</v>
      </c>
      <c r="C125">
        <v>1.464E-2</v>
      </c>
      <c r="D125">
        <v>1.145E-2</v>
      </c>
      <c r="E125">
        <v>1.2409999999999999E-2</v>
      </c>
      <c r="F125">
        <v>1923721300</v>
      </c>
      <c r="G125">
        <v>1.2409999999999999E-2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-0.39811912225705393</v>
      </c>
      <c r="Q125">
        <f t="shared" ref="Q125" si="601">F125*P125</f>
        <v>-765870235.4231987</v>
      </c>
      <c r="R125">
        <f t="shared" ref="R125" si="602">R126+Q125</f>
        <v>-7367890841.3079948</v>
      </c>
      <c r="S125">
        <f t="shared" ref="S125" si="603">R125/100000</f>
        <v>-73678.908413079946</v>
      </c>
      <c r="T125">
        <f t="shared" ref="T125" si="604">S125/1000</f>
        <v>-73.678908413079952</v>
      </c>
    </row>
    <row r="126" spans="1:20" x14ac:dyDescent="0.25">
      <c r="A126" s="5">
        <v>44467</v>
      </c>
      <c r="B126">
        <v>1.183E-2</v>
      </c>
      <c r="C126">
        <v>1.2019999999999999E-2</v>
      </c>
      <c r="D126">
        <v>1.0880000000000001E-2</v>
      </c>
      <c r="E126">
        <v>1.1639999999999999E-2</v>
      </c>
      <c r="F126">
        <v>424959852</v>
      </c>
      <c r="G126">
        <v>1.1639999999999999E-2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0.33333333333333232</v>
      </c>
      <c r="Q126">
        <f t="shared" ref="Q126" si="606">F126*P126</f>
        <v>141653283.99999955</v>
      </c>
      <c r="R126">
        <f t="shared" ref="R126" si="607">R127+Q126</f>
        <v>-6602020605.8847961</v>
      </c>
      <c r="S126">
        <f t="shared" ref="S126" si="608">R126/100000</f>
        <v>-66020.206058847965</v>
      </c>
      <c r="T126">
        <f t="shared" ref="T126" si="609">S126/1000</f>
        <v>-66.020206058847961</v>
      </c>
    </row>
    <row r="127" spans="1:20" x14ac:dyDescent="0.25">
      <c r="A127" s="5">
        <v>44466</v>
      </c>
      <c r="B127">
        <v>1.221E-2</v>
      </c>
      <c r="C127">
        <v>1.269E-2</v>
      </c>
      <c r="D127">
        <v>1.183E-2</v>
      </c>
      <c r="E127">
        <v>1.184E-2</v>
      </c>
      <c r="F127">
        <v>276711391</v>
      </c>
      <c r="G127">
        <v>1.184E-2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-0.97674418604651259</v>
      </c>
      <c r="Q127">
        <f t="shared" ref="Q127" si="611">F127*P127</f>
        <v>-270276242.37209326</v>
      </c>
      <c r="R127">
        <f t="shared" ref="R127" si="612">R128+Q127</f>
        <v>-6743673889.8847961</v>
      </c>
      <c r="S127">
        <f t="shared" ref="S127" si="613">R127/100000</f>
        <v>-67436.738898847965</v>
      </c>
      <c r="T127">
        <f t="shared" ref="T127" si="614">S127/1000</f>
        <v>-67.436738898847963</v>
      </c>
    </row>
    <row r="128" spans="1:20" x14ac:dyDescent="0.25">
      <c r="A128" s="5">
        <v>44465</v>
      </c>
      <c r="B128">
        <v>1.29E-2</v>
      </c>
      <c r="C128">
        <v>1.298E-2</v>
      </c>
      <c r="D128">
        <v>1.099E-2</v>
      </c>
      <c r="E128">
        <v>1.2200000000000001E-2</v>
      </c>
      <c r="F128">
        <v>560045462</v>
      </c>
      <c r="G128">
        <v>1.2200000000000001E-2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0.21608040201005099</v>
      </c>
      <c r="Q128">
        <f t="shared" ref="Q128" si="616">F128*P128</f>
        <v>121014848.57286474</v>
      </c>
      <c r="R128">
        <f t="shared" ref="R128" si="617">R129+Q128</f>
        <v>-6473397647.5127029</v>
      </c>
      <c r="S128">
        <f t="shared" ref="S128" si="618">R128/100000</f>
        <v>-64733.976475127027</v>
      </c>
      <c r="T128">
        <f t="shared" ref="T128" si="619">S128/1000</f>
        <v>-64.733976475127022</v>
      </c>
    </row>
    <row r="129" spans="1:20" x14ac:dyDescent="0.25">
      <c r="A129" s="5">
        <v>44464</v>
      </c>
      <c r="B129">
        <v>1.295E-2</v>
      </c>
      <c r="C129">
        <v>1.333E-2</v>
      </c>
      <c r="D129">
        <v>1.23E-2</v>
      </c>
      <c r="E129">
        <v>1.2930000000000001E-2</v>
      </c>
      <c r="F129">
        <v>369562540</v>
      </c>
      <c r="G129">
        <v>1.2930000000000001E-2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0.22330097087378747</v>
      </c>
      <c r="Q129">
        <f t="shared" ref="Q129" si="621">F129*P129</f>
        <v>82523673.980582923</v>
      </c>
      <c r="R129">
        <f t="shared" ref="R129" si="622">R130+Q129</f>
        <v>-6594412496.0855675</v>
      </c>
      <c r="S129">
        <f t="shared" ref="S129" si="623">R129/100000</f>
        <v>-65944.124960855668</v>
      </c>
      <c r="T129">
        <f t="shared" ref="T129" si="624">S129/1000</f>
        <v>-65.944124960855675</v>
      </c>
    </row>
    <row r="130" spans="1:20" x14ac:dyDescent="0.25">
      <c r="A130" s="5">
        <v>44463</v>
      </c>
      <c r="B130">
        <v>1.443E-2</v>
      </c>
      <c r="C130">
        <v>1.4489999999999999E-2</v>
      </c>
      <c r="D130">
        <v>1.1922E-2</v>
      </c>
      <c r="E130">
        <v>1.294E-2</v>
      </c>
      <c r="F130">
        <v>1175062228</v>
      </c>
      <c r="G130">
        <v>1.294E-2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-0.2071651090342678</v>
      </c>
      <c r="Q130">
        <f t="shared" ref="Q130" si="626">F130*P130</f>
        <v>-243431894.58566964</v>
      </c>
      <c r="R130">
        <f t="shared" ref="R130" si="627">R131+Q130</f>
        <v>-6676936170.0661507</v>
      </c>
      <c r="S130">
        <f t="shared" ref="S130" si="628">R130/100000</f>
        <v>-66769.36170066151</v>
      </c>
      <c r="T130">
        <f t="shared" ref="T130" si="629">S130/1000</f>
        <v>-66.769361700661506</v>
      </c>
    </row>
    <row r="131" spans="1:20" x14ac:dyDescent="0.25">
      <c r="A131" s="5">
        <v>44462</v>
      </c>
      <c r="B131">
        <v>1.41E-2</v>
      </c>
      <c r="C131">
        <v>1.4630000000000001E-2</v>
      </c>
      <c r="D131">
        <v>1.362E-2</v>
      </c>
      <c r="E131">
        <v>1.4420000000000001E-2</v>
      </c>
      <c r="F131">
        <v>400344321</v>
      </c>
      <c r="G131">
        <v>1.4420000000000001E-2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0.58415841584158412</v>
      </c>
      <c r="Q131">
        <f t="shared" ref="Q131" si="631">F131*P131</f>
        <v>233864504.34653464</v>
      </c>
      <c r="R131">
        <f t="shared" ref="R131" si="632">R132+Q131</f>
        <v>-6433504275.4804811</v>
      </c>
      <c r="S131">
        <f t="shared" ref="S131" si="633">R131/100000</f>
        <v>-64335.04275480481</v>
      </c>
      <c r="T131">
        <f t="shared" ref="T131" si="634">S131/1000</f>
        <v>-64.335042754804803</v>
      </c>
    </row>
    <row r="132" spans="1:20" x14ac:dyDescent="0.25">
      <c r="A132" s="5">
        <v>44461</v>
      </c>
      <c r="B132">
        <v>1.2330000000000001E-2</v>
      </c>
      <c r="C132">
        <v>1.47E-2</v>
      </c>
      <c r="D132">
        <v>1.2160000000000001E-2</v>
      </c>
      <c r="E132">
        <v>1.409E-2</v>
      </c>
      <c r="F132">
        <v>808076511</v>
      </c>
      <c r="G132">
        <v>1.409E-2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0.51968503937007893</v>
      </c>
      <c r="Q132">
        <f t="shared" ref="Q132" si="636">F132*P132</f>
        <v>419945273.43307102</v>
      </c>
      <c r="R132">
        <f t="shared" ref="R132" si="637">R133+Q132</f>
        <v>-6667368779.8270159</v>
      </c>
      <c r="S132">
        <f t="shared" ref="S132" si="638">R132/100000</f>
        <v>-66673.687798270155</v>
      </c>
      <c r="T132">
        <f t="shared" ref="T132" si="639">S132/1000</f>
        <v>-66.673687798270151</v>
      </c>
    </row>
    <row r="133" spans="1:20" x14ac:dyDescent="0.25">
      <c r="A133" s="5">
        <v>44460</v>
      </c>
      <c r="B133">
        <v>1.3350000000000001E-2</v>
      </c>
      <c r="C133">
        <v>1.3939999999999999E-2</v>
      </c>
      <c r="D133">
        <v>1.221E-2</v>
      </c>
      <c r="E133">
        <v>1.2319999999999999E-2</v>
      </c>
      <c r="F133">
        <v>867988798</v>
      </c>
      <c r="G133">
        <v>1.2319999999999999E-2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-0.87283236994219759</v>
      </c>
      <c r="Q133">
        <f t="shared" ref="Q133" si="641">F133*P133</f>
        <v>-757608719.64161944</v>
      </c>
      <c r="R133">
        <f t="shared" ref="R133" si="642">R134+Q133</f>
        <v>-7087314053.260087</v>
      </c>
      <c r="S133">
        <f t="shared" ref="S133" si="643">R133/100000</f>
        <v>-70873.140532600868</v>
      </c>
      <c r="T133">
        <f t="shared" ref="T133" si="644">S133/1000</f>
        <v>-70.873140532600871</v>
      </c>
    </row>
    <row r="134" spans="1:20" x14ac:dyDescent="0.25">
      <c r="A134" s="5">
        <v>44459</v>
      </c>
      <c r="B134">
        <v>1.5980000000000001E-2</v>
      </c>
      <c r="C134">
        <v>1.6E-2</v>
      </c>
      <c r="D134">
        <v>1.4789999999999999E-2</v>
      </c>
      <c r="E134">
        <v>1.489E-2</v>
      </c>
      <c r="F134">
        <v>417868924</v>
      </c>
      <c r="G134">
        <v>1.489E-2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-0.83471074380165111</v>
      </c>
      <c r="Q134">
        <f t="shared" ref="Q134" si="646">F134*P134</f>
        <v>-348799680.3636356</v>
      </c>
      <c r="R134">
        <f t="shared" ref="R134" si="647">R135+Q134</f>
        <v>-6329705333.6184673</v>
      </c>
      <c r="S134">
        <f t="shared" ref="S134" si="648">R134/100000</f>
        <v>-63297.053336184676</v>
      </c>
      <c r="T134">
        <f t="shared" ref="T134" si="649">S134/1000</f>
        <v>-63.297053336184675</v>
      </c>
    </row>
    <row r="135" spans="1:20" x14ac:dyDescent="0.25">
      <c r="A135" s="5">
        <v>44458</v>
      </c>
      <c r="B135">
        <v>1.5689999999999999E-2</v>
      </c>
      <c r="C135">
        <v>1.8970000000000001E-2</v>
      </c>
      <c r="D135">
        <v>1.516E-2</v>
      </c>
      <c r="E135">
        <v>1.5939999999999999E-2</v>
      </c>
      <c r="F135">
        <v>2590384088</v>
      </c>
      <c r="G135">
        <v>1.5939999999999999E-2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-0.5905511811023626</v>
      </c>
      <c r="Q135">
        <f t="shared" ref="Q135" si="651">F135*P135</f>
        <v>-1529754382.6771665</v>
      </c>
      <c r="R135">
        <f t="shared" ref="R135" si="652">R136+Q135</f>
        <v>-5980905653.2548313</v>
      </c>
      <c r="S135">
        <f t="shared" ref="S135" si="653">R135/100000</f>
        <v>-59809.056532548311</v>
      </c>
      <c r="T135">
        <f t="shared" ref="T135" si="654">S135/1000</f>
        <v>-59.809056532548311</v>
      </c>
    </row>
    <row r="136" spans="1:20" x14ac:dyDescent="0.25">
      <c r="A136" s="5">
        <v>44457</v>
      </c>
      <c r="B136">
        <v>1.506E-2</v>
      </c>
      <c r="C136">
        <v>1.5699999999999999E-2</v>
      </c>
      <c r="D136">
        <v>1.485E-2</v>
      </c>
      <c r="E136">
        <v>1.5689999999999999E-2</v>
      </c>
      <c r="F136">
        <v>343530962</v>
      </c>
      <c r="G136">
        <v>1.5689999999999999E-2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0.97647058823529498</v>
      </c>
      <c r="Q136">
        <f t="shared" ref="Q136" si="656">F136*P136</f>
        <v>335447880.5411768</v>
      </c>
      <c r="R136">
        <f t="shared" ref="R136" si="657">R137+Q136</f>
        <v>-4451151270.5776653</v>
      </c>
      <c r="S136">
        <f t="shared" ref="S136" si="658">R136/100000</f>
        <v>-44511.512705776651</v>
      </c>
      <c r="T136">
        <f t="shared" ref="T136" si="659">S136/1000</f>
        <v>-44.511512705776653</v>
      </c>
    </row>
    <row r="137" spans="1:20" x14ac:dyDescent="0.25">
      <c r="A137" s="5">
        <v>44456</v>
      </c>
      <c r="B137">
        <v>1.541E-2</v>
      </c>
      <c r="C137">
        <v>1.558E-2</v>
      </c>
      <c r="D137">
        <v>1.451E-2</v>
      </c>
      <c r="E137">
        <v>1.5049999999999999E-2</v>
      </c>
      <c r="F137">
        <v>572128497</v>
      </c>
      <c r="G137">
        <v>1.5049999999999999E-2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9.3457943925213637E-3</v>
      </c>
      <c r="Q137">
        <f t="shared" ref="Q137" si="661">F137*P137</f>
        <v>5346995.2990642758</v>
      </c>
      <c r="R137">
        <f t="shared" ref="R137" si="662">R138+Q137</f>
        <v>-4786599151.1188421</v>
      </c>
      <c r="S137">
        <f t="shared" ref="S137" si="663">R137/100000</f>
        <v>-47865.991511188418</v>
      </c>
      <c r="T137">
        <f t="shared" ref="T137" si="664">S137/1000</f>
        <v>-47.865991511188419</v>
      </c>
    </row>
    <row r="138" spans="1:20" x14ac:dyDescent="0.25">
      <c r="A138" s="5">
        <v>44455</v>
      </c>
      <c r="B138">
        <v>1.66E-2</v>
      </c>
      <c r="C138">
        <v>1.6740000000000001E-2</v>
      </c>
      <c r="D138">
        <v>1.5169999999999999E-2</v>
      </c>
      <c r="E138">
        <v>1.542E-2</v>
      </c>
      <c r="F138">
        <v>564496630</v>
      </c>
      <c r="G138">
        <v>1.542E-2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-0.68152866242038224</v>
      </c>
      <c r="Q138">
        <f t="shared" ref="Q138" si="666">F138*P138</f>
        <v>-384720633.18471342</v>
      </c>
      <c r="R138">
        <f t="shared" ref="R138" si="667">R139+Q138</f>
        <v>-4791946146.4179068</v>
      </c>
      <c r="S138">
        <f t="shared" ref="S138" si="668">R138/100000</f>
        <v>-47919.461464179069</v>
      </c>
      <c r="T138">
        <f t="shared" ref="T138" si="669">S138/1000</f>
        <v>-47.919461464179065</v>
      </c>
    </row>
    <row r="139" spans="1:20" x14ac:dyDescent="0.25">
      <c r="A139" s="5">
        <v>44454</v>
      </c>
      <c r="B139">
        <v>1.6279999999999999E-2</v>
      </c>
      <c r="C139">
        <v>1.6899999999999998E-2</v>
      </c>
      <c r="D139">
        <v>1.5630000000000002E-2</v>
      </c>
      <c r="E139">
        <v>1.66E-2</v>
      </c>
      <c r="F139">
        <v>593244631</v>
      </c>
      <c r="G139">
        <v>1.66E-2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0.52755905511811196</v>
      </c>
      <c r="Q139">
        <f t="shared" ref="Q139" si="671">F139*P139</f>
        <v>312971576.98425299</v>
      </c>
      <c r="R139">
        <f t="shared" ref="R139" si="672">R140+Q139</f>
        <v>-4407225513.2331934</v>
      </c>
      <c r="S139">
        <f t="shared" ref="S139" si="673">R139/100000</f>
        <v>-44072.255132331935</v>
      </c>
      <c r="T139">
        <f t="shared" ref="T139" si="674">S139/1000</f>
        <v>-44.072255132331932</v>
      </c>
    </row>
    <row r="140" spans="1:20" x14ac:dyDescent="0.25">
      <c r="A140" s="5">
        <v>44453</v>
      </c>
      <c r="B140">
        <v>1.6500000000000001E-2</v>
      </c>
      <c r="C140">
        <v>1.6920000000000001E-2</v>
      </c>
      <c r="D140">
        <v>1.6029999999999999E-2</v>
      </c>
      <c r="E140">
        <v>1.6289999999999999E-2</v>
      </c>
      <c r="F140">
        <v>377626189</v>
      </c>
      <c r="G140">
        <v>1.6289999999999999E-2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-0.41573033707865337</v>
      </c>
      <c r="Q140">
        <f t="shared" ref="Q140" si="676">F140*P140</f>
        <v>-156990662.84269726</v>
      </c>
      <c r="R140">
        <f t="shared" ref="R140" si="677">R141+Q140</f>
        <v>-4720197090.2174463</v>
      </c>
      <c r="S140">
        <f t="shared" ref="S140" si="678">R140/100000</f>
        <v>-47201.970902174464</v>
      </c>
      <c r="T140">
        <f t="shared" ref="T140" si="679">S140/1000</f>
        <v>-47.201970902174466</v>
      </c>
    </row>
    <row r="141" spans="1:20" x14ac:dyDescent="0.25">
      <c r="A141" s="5">
        <v>44452</v>
      </c>
      <c r="B141">
        <v>1.7780000000000001E-2</v>
      </c>
      <c r="C141">
        <v>1.78E-2</v>
      </c>
      <c r="D141">
        <v>1.538E-2</v>
      </c>
      <c r="E141">
        <v>1.651E-2</v>
      </c>
      <c r="F141">
        <v>577282141</v>
      </c>
      <c r="G141">
        <v>1.651E-2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-6.611570247933829E-2</v>
      </c>
      <c r="Q141">
        <f t="shared" ref="Q141" si="681">F141*P141</f>
        <v>-38167414.280991413</v>
      </c>
      <c r="R141">
        <f t="shared" ref="R141" si="682">R142+Q141</f>
        <v>-4563206427.3747492</v>
      </c>
      <c r="S141">
        <f t="shared" ref="S141" si="683">R141/100000</f>
        <v>-45632.064273747492</v>
      </c>
      <c r="T141">
        <f t="shared" ref="T141" si="684">S141/1000</f>
        <v>-45.632064273747488</v>
      </c>
    </row>
    <row r="142" spans="1:20" x14ac:dyDescent="0.25">
      <c r="A142" s="5">
        <v>44451</v>
      </c>
      <c r="B142">
        <v>1.737E-2</v>
      </c>
      <c r="C142">
        <v>1.848E-2</v>
      </c>
      <c r="D142">
        <v>1.6500000000000001E-2</v>
      </c>
      <c r="E142">
        <v>1.78E-2</v>
      </c>
      <c r="F142">
        <v>853686520</v>
      </c>
      <c r="G142">
        <v>1.78E-2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0.31313131313131276</v>
      </c>
      <c r="Q142">
        <f t="shared" ref="Q142" si="686">F142*P142</f>
        <v>267315981.01010069</v>
      </c>
      <c r="R142">
        <f t="shared" ref="R142" si="687">R143+Q142</f>
        <v>-4525039013.0937576</v>
      </c>
      <c r="S142">
        <f t="shared" ref="S142" si="688">R142/100000</f>
        <v>-45250.39013093758</v>
      </c>
      <c r="T142">
        <f t="shared" ref="T142" si="689">S142/1000</f>
        <v>-45.250390130937582</v>
      </c>
    </row>
    <row r="143" spans="1:20" x14ac:dyDescent="0.25">
      <c r="A143" s="5">
        <v>44450</v>
      </c>
      <c r="B143">
        <v>1.7569999999999999E-2</v>
      </c>
      <c r="C143">
        <v>1.8700000000000001E-2</v>
      </c>
      <c r="D143">
        <v>1.7010000000000001E-2</v>
      </c>
      <c r="E143">
        <v>1.7389999999999999E-2</v>
      </c>
      <c r="F143">
        <v>623316996</v>
      </c>
      <c r="G143">
        <v>1.7389999999999999E-2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-0.55029585798816771</v>
      </c>
      <c r="Q143">
        <f t="shared" ref="Q143" si="691">F143*P143</f>
        <v>-343008761.11242729</v>
      </c>
      <c r="R143">
        <f t="shared" ref="R143" si="692">R144+Q143</f>
        <v>-4792354994.103858</v>
      </c>
      <c r="S143">
        <f t="shared" ref="S143" si="693">R143/100000</f>
        <v>-47923.549941038582</v>
      </c>
      <c r="T143">
        <f t="shared" ref="T143" si="694">S143/1000</f>
        <v>-47.92354994103858</v>
      </c>
    </row>
    <row r="144" spans="1:20" x14ac:dyDescent="0.25">
      <c r="A144" s="5">
        <v>44449</v>
      </c>
      <c r="B144">
        <v>2.0109999999999999E-2</v>
      </c>
      <c r="C144">
        <v>2.1899999999999999E-2</v>
      </c>
      <c r="D144">
        <v>1.719E-2</v>
      </c>
      <c r="E144">
        <v>1.755E-2</v>
      </c>
      <c r="F144">
        <v>2036376157</v>
      </c>
      <c r="G144">
        <v>1.755E-2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-0.8471337579617837</v>
      </c>
      <c r="Q144">
        <f t="shared" ref="Q144" si="696">F144*P144</f>
        <v>-1725082986.5031853</v>
      </c>
      <c r="R144">
        <f t="shared" ref="R144" si="697">R145+Q144</f>
        <v>-4449346232.9914303</v>
      </c>
      <c r="S144">
        <f t="shared" ref="S144" si="698">R144/100000</f>
        <v>-44493.462329914306</v>
      </c>
      <c r="T144">
        <f t="shared" ref="T144" si="699">S144/1000</f>
        <v>-44.493462329914308</v>
      </c>
    </row>
    <row r="145" spans="1:20" x14ac:dyDescent="0.25">
      <c r="A145" s="5">
        <v>44448</v>
      </c>
      <c r="B145">
        <v>1.532E-2</v>
      </c>
      <c r="C145">
        <v>2.3189999999999999E-2</v>
      </c>
      <c r="D145">
        <v>1.506E-2</v>
      </c>
      <c r="E145">
        <v>2.01E-2</v>
      </c>
      <c r="F145">
        <v>3410778741</v>
      </c>
      <c r="G145">
        <v>2.01E-2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0.23985239852398532</v>
      </c>
      <c r="Q145">
        <f t="shared" ref="Q145" si="701">F145*P145</f>
        <v>818083461.86346889</v>
      </c>
      <c r="R145">
        <f t="shared" ref="R145" si="702">R146+Q145</f>
        <v>-2724263246.488245</v>
      </c>
      <c r="S145">
        <f t="shared" ref="S145" si="703">R145/100000</f>
        <v>-27242.632464882448</v>
      </c>
      <c r="T145">
        <f t="shared" ref="T145" si="704">S145/1000</f>
        <v>-27.242632464882448</v>
      </c>
    </row>
    <row r="146" spans="1:20" x14ac:dyDescent="0.25">
      <c r="A146" s="5">
        <v>44447</v>
      </c>
      <c r="B146">
        <v>1.5310000000000001E-2</v>
      </c>
      <c r="C146">
        <v>1.5859999999999999E-2</v>
      </c>
      <c r="D146">
        <v>1.362E-2</v>
      </c>
      <c r="E146">
        <v>1.5310000000000001E-2</v>
      </c>
      <c r="F146">
        <v>377422829</v>
      </c>
      <c r="G146">
        <v>1.5310000000000001E-2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0.50892857142857262</v>
      </c>
      <c r="Q146">
        <f t="shared" ref="Q146" si="706">F146*P146</f>
        <v>192081261.18750045</v>
      </c>
      <c r="R146">
        <f t="shared" ref="R146" si="707">R147+Q146</f>
        <v>-3542346708.3517137</v>
      </c>
      <c r="S146">
        <f t="shared" ref="S146" si="708">R146/100000</f>
        <v>-35423.467083517135</v>
      </c>
      <c r="T146">
        <f t="shared" ref="T146" si="709">S146/1000</f>
        <v>-35.423467083517131</v>
      </c>
    </row>
    <row r="147" spans="1:20" x14ac:dyDescent="0.25">
      <c r="A147" s="5">
        <v>44446</v>
      </c>
      <c r="B147">
        <v>1.8939999999999999E-2</v>
      </c>
      <c r="C147">
        <v>1.9E-2</v>
      </c>
      <c r="D147">
        <v>1.32E-2</v>
      </c>
      <c r="E147">
        <v>1.5310000000000001E-2</v>
      </c>
      <c r="F147">
        <v>644798012</v>
      </c>
      <c r="G147">
        <v>1.5310000000000001E-2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-0.27241379310344799</v>
      </c>
      <c r="Q147">
        <f t="shared" ref="Q147" si="711">F147*P147</f>
        <v>-175651872.23448259</v>
      </c>
      <c r="R147">
        <f t="shared" ref="R147" si="712">R148+Q147</f>
        <v>-3734427969.5392141</v>
      </c>
      <c r="S147">
        <f t="shared" ref="S147" si="713">R147/100000</f>
        <v>-37344.279695392142</v>
      </c>
      <c r="T147">
        <f t="shared" ref="T147" si="714">S147/1000</f>
        <v>-37.344279695392146</v>
      </c>
    </row>
    <row r="148" spans="1:20" x14ac:dyDescent="0.25">
      <c r="A148" s="5">
        <v>44445</v>
      </c>
      <c r="B148">
        <v>1.7250000000000001E-2</v>
      </c>
      <c r="C148">
        <v>1.9E-2</v>
      </c>
      <c r="D148">
        <v>1.6930000000000001E-2</v>
      </c>
      <c r="E148">
        <v>1.9E-2</v>
      </c>
      <c r="F148">
        <v>504299246</v>
      </c>
      <c r="G148">
        <v>1.9E-2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1</v>
      </c>
      <c r="Q148">
        <f t="shared" ref="Q148" si="716">F148*P148</f>
        <v>504299246</v>
      </c>
      <c r="R148">
        <f t="shared" ref="R148" si="717">R149+Q148</f>
        <v>-3558776097.3047314</v>
      </c>
      <c r="S148">
        <f t="shared" ref="S148" si="718">R148/100000</f>
        <v>-35587.760973047312</v>
      </c>
      <c r="T148">
        <f t="shared" ref="T148" si="719">S148/1000</f>
        <v>-35.58776097304731</v>
      </c>
    </row>
    <row r="149" spans="1:20" x14ac:dyDescent="0.25">
      <c r="A149" s="5">
        <v>44444</v>
      </c>
      <c r="B149">
        <v>1.6209999999999999E-2</v>
      </c>
      <c r="C149">
        <v>1.7500000000000002E-2</v>
      </c>
      <c r="D149">
        <v>1.61E-2</v>
      </c>
      <c r="E149">
        <v>1.7239999999999998E-2</v>
      </c>
      <c r="F149">
        <v>300446738</v>
      </c>
      <c r="G149">
        <v>1.7239999999999998E-2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0.62857142857142434</v>
      </c>
      <c r="Q149">
        <f t="shared" ref="Q149" si="721">F149*P149</f>
        <v>188852235.31428444</v>
      </c>
      <c r="R149">
        <f t="shared" ref="R149" si="722">R150+Q149</f>
        <v>-4063075343.3047314</v>
      </c>
      <c r="S149">
        <f t="shared" ref="S149" si="723">R149/100000</f>
        <v>-40630.753433047314</v>
      </c>
      <c r="T149">
        <f t="shared" ref="T149" si="724">S149/1000</f>
        <v>-40.63075343304731</v>
      </c>
    </row>
    <row r="150" spans="1:20" x14ac:dyDescent="0.25">
      <c r="A150" s="5">
        <v>44443</v>
      </c>
      <c r="B150">
        <v>1.5869999999999999E-2</v>
      </c>
      <c r="C150">
        <v>1.6879999999999999E-2</v>
      </c>
      <c r="D150">
        <v>1.5800000000000002E-2</v>
      </c>
      <c r="E150">
        <v>1.6209999999999999E-2</v>
      </c>
      <c r="F150">
        <v>391834833</v>
      </c>
      <c r="G150">
        <v>1.6209999999999999E-2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-0.24074074074074431</v>
      </c>
      <c r="Q150">
        <f t="shared" ref="Q150" si="726">F150*P150</f>
        <v>-94330607.944445848</v>
      </c>
      <c r="R150">
        <f t="shared" ref="R150" si="727">R151+Q150</f>
        <v>-4251927578.6190157</v>
      </c>
      <c r="S150">
        <f t="shared" ref="S150" si="728">R150/100000</f>
        <v>-42519.275786190155</v>
      </c>
      <c r="T150">
        <f t="shared" ref="T150" si="729">S150/1000</f>
        <v>-42.519275786190157</v>
      </c>
    </row>
    <row r="151" spans="1:20" x14ac:dyDescent="0.25">
      <c r="A151" s="5">
        <v>44442</v>
      </c>
      <c r="B151">
        <v>1.5689999999999999E-2</v>
      </c>
      <c r="C151">
        <v>1.5949999999999999E-2</v>
      </c>
      <c r="D151">
        <v>1.533E-2</v>
      </c>
      <c r="E151">
        <v>1.585E-2</v>
      </c>
      <c r="F151">
        <v>283340153</v>
      </c>
      <c r="G151">
        <v>1.585E-2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0.67741935483871107</v>
      </c>
      <c r="Q151">
        <f t="shared" ref="Q151" si="731">F151*P151</f>
        <v>191940103.64516169</v>
      </c>
      <c r="R151">
        <f t="shared" ref="R151" si="732">R152+Q151</f>
        <v>-4157596970.6745701</v>
      </c>
      <c r="S151">
        <f t="shared" ref="S151" si="733">R151/100000</f>
        <v>-41575.969706745702</v>
      </c>
      <c r="T151">
        <f t="shared" ref="T151" si="734">S151/1000</f>
        <v>-41.575969706745703</v>
      </c>
    </row>
    <row r="152" spans="1:20" x14ac:dyDescent="0.25">
      <c r="A152" s="5">
        <v>44441</v>
      </c>
      <c r="B152">
        <v>1.5520000000000001E-2</v>
      </c>
      <c r="C152">
        <v>1.5890000000000001E-2</v>
      </c>
      <c r="D152">
        <v>1.52E-2</v>
      </c>
      <c r="E152">
        <v>1.566E-2</v>
      </c>
      <c r="F152">
        <v>328335695</v>
      </c>
      <c r="G152">
        <v>1.566E-2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0.33333333333333165</v>
      </c>
      <c r="Q152">
        <f t="shared" ref="Q152" si="736">F152*P152</f>
        <v>109445231.66666612</v>
      </c>
      <c r="R152">
        <f t="shared" ref="R152" si="737">R153+Q152</f>
        <v>-4349537074.3197317</v>
      </c>
      <c r="S152">
        <f t="shared" ref="S152" si="738">R152/100000</f>
        <v>-43495.370743197316</v>
      </c>
      <c r="T152">
        <f t="shared" ref="T152" si="739">S152/1000</f>
        <v>-43.495370743197313</v>
      </c>
    </row>
    <row r="153" spans="1:20" x14ac:dyDescent="0.25">
      <c r="A153" s="5">
        <v>44440</v>
      </c>
      <c r="B153">
        <v>1.438E-2</v>
      </c>
      <c r="C153">
        <v>1.5800000000000002E-2</v>
      </c>
      <c r="D153">
        <v>1.4E-2</v>
      </c>
      <c r="E153">
        <v>1.5520000000000001E-2</v>
      </c>
      <c r="F153">
        <v>517220358</v>
      </c>
      <c r="G153">
        <v>1.5520000000000001E-2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0.68888888888888833</v>
      </c>
      <c r="Q153">
        <f t="shared" ref="Q153" si="741">F153*P153</f>
        <v>356307357.73333305</v>
      </c>
      <c r="R153">
        <f t="shared" ref="R153" si="742">R154+Q153</f>
        <v>-4458982305.9863977</v>
      </c>
      <c r="S153">
        <f t="shared" ref="S153" si="743">R153/100000</f>
        <v>-44589.823059863978</v>
      </c>
      <c r="T153">
        <f t="shared" ref="T153" si="744">S153/1000</f>
        <v>-44.589823059863981</v>
      </c>
    </row>
    <row r="154" spans="1:20" x14ac:dyDescent="0.25">
      <c r="A154" s="5">
        <v>44439</v>
      </c>
      <c r="B154">
        <v>1.3990000000000001E-2</v>
      </c>
      <c r="C154">
        <v>1.481E-2</v>
      </c>
      <c r="D154">
        <v>1.3860000000000001E-2</v>
      </c>
      <c r="E154">
        <v>1.439E-2</v>
      </c>
      <c r="F154">
        <v>292596959</v>
      </c>
      <c r="G154">
        <v>1.439E-2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0.11578947368420953</v>
      </c>
      <c r="Q154">
        <f t="shared" ref="Q154" si="746">F154*P154</f>
        <v>33879647.884210236</v>
      </c>
      <c r="R154">
        <f t="shared" ref="R154" si="747">R155+Q154</f>
        <v>-4815289663.7197304</v>
      </c>
      <c r="S154">
        <f t="shared" ref="S154" si="748">R154/100000</f>
        <v>-48152.8966371973</v>
      </c>
      <c r="T154">
        <f t="shared" ref="T154" si="749">S154/1000</f>
        <v>-48.152896637197301</v>
      </c>
    </row>
    <row r="155" spans="1:20" x14ac:dyDescent="0.25">
      <c r="A155" s="5">
        <v>44438</v>
      </c>
      <c r="B155">
        <v>1.472E-2</v>
      </c>
      <c r="C155">
        <v>1.4840000000000001E-2</v>
      </c>
      <c r="D155">
        <v>1.38E-2</v>
      </c>
      <c r="E155">
        <v>1.401E-2</v>
      </c>
      <c r="F155">
        <v>264564464</v>
      </c>
      <c r="G155">
        <v>1.401E-2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-0.59615384615384637</v>
      </c>
      <c r="Q155">
        <f t="shared" ref="Q155" si="751">F155*P155</f>
        <v>-157721122.76923081</v>
      </c>
      <c r="R155">
        <f t="shared" ref="R155" si="752">R156+Q155</f>
        <v>-4849169311.603941</v>
      </c>
      <c r="S155">
        <f t="shared" ref="S155" si="753">R155/100000</f>
        <v>-48491.693116039409</v>
      </c>
      <c r="T155">
        <f t="shared" ref="T155" si="754">S155/1000</f>
        <v>-48.491693116039407</v>
      </c>
    </row>
    <row r="156" spans="1:20" x14ac:dyDescent="0.25">
      <c r="A156" s="5">
        <v>44437</v>
      </c>
      <c r="B156">
        <v>1.478E-2</v>
      </c>
      <c r="C156">
        <v>1.507E-2</v>
      </c>
      <c r="D156">
        <v>1.4330000000000001E-2</v>
      </c>
      <c r="E156">
        <v>1.472E-2</v>
      </c>
      <c r="F156">
        <v>254047854</v>
      </c>
      <c r="G156">
        <v>1.472E-2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5.4054054054054244E-2</v>
      </c>
      <c r="Q156">
        <f t="shared" ref="Q156" si="756">F156*P156</f>
        <v>13732316.43243248</v>
      </c>
      <c r="R156">
        <f t="shared" ref="R156" si="757">R157+Q156</f>
        <v>-4691448188.8347101</v>
      </c>
      <c r="S156">
        <f t="shared" ref="S156" si="758">R156/100000</f>
        <v>-46914.481888347102</v>
      </c>
      <c r="T156">
        <f t="shared" ref="T156" si="759">S156/1000</f>
        <v>-46.914481888347105</v>
      </c>
    </row>
    <row r="157" spans="1:20" x14ac:dyDescent="0.25">
      <c r="A157" s="5">
        <v>44436</v>
      </c>
      <c r="B157">
        <v>1.523E-2</v>
      </c>
      <c r="C157">
        <v>1.5469999999999999E-2</v>
      </c>
      <c r="D157">
        <v>1.4489999999999999E-2</v>
      </c>
      <c r="E157">
        <v>1.4760000000000001E-2</v>
      </c>
      <c r="F157">
        <v>338684150</v>
      </c>
      <c r="G157">
        <v>1.4760000000000001E-2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-0.44897959183673236</v>
      </c>
      <c r="Q157">
        <f t="shared" ref="Q157" si="761">F157*P157</f>
        <v>-152062271.42857063</v>
      </c>
      <c r="R157">
        <f t="shared" ref="R157" si="762">R158+Q157</f>
        <v>-4705180505.2671423</v>
      </c>
      <c r="S157">
        <f t="shared" ref="S157" si="763">R157/100000</f>
        <v>-47051.805052671421</v>
      </c>
      <c r="T157">
        <f t="shared" ref="T157" si="764">S157/1000</f>
        <v>-47.051805052671419</v>
      </c>
    </row>
    <row r="158" spans="1:20" x14ac:dyDescent="0.25">
      <c r="A158" s="5">
        <v>44435</v>
      </c>
      <c r="B158">
        <v>1.405E-2</v>
      </c>
      <c r="C158">
        <v>1.553E-2</v>
      </c>
      <c r="D158">
        <v>1.3776999999999999E-2</v>
      </c>
      <c r="E158">
        <v>1.524E-2</v>
      </c>
      <c r="F158">
        <v>243033407</v>
      </c>
      <c r="G158">
        <v>1.524E-2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0.66913861950941222</v>
      </c>
      <c r="Q158">
        <f t="shared" ref="Q158" si="766">F158*P158</f>
        <v>162623038.45464912</v>
      </c>
      <c r="R158">
        <f t="shared" ref="R158" si="767">R159+Q158</f>
        <v>-4553118233.8385715</v>
      </c>
      <c r="S158">
        <f t="shared" ref="S158" si="768">R158/100000</f>
        <v>-45531.182338385719</v>
      </c>
      <c r="T158">
        <f t="shared" ref="T158" si="769">S158/1000</f>
        <v>-45.531182338385719</v>
      </c>
    </row>
    <row r="159" spans="1:20" x14ac:dyDescent="0.25">
      <c r="A159" s="5">
        <v>44434</v>
      </c>
      <c r="B159">
        <v>1.5687E-2</v>
      </c>
      <c r="C159">
        <v>1.6109999999999999E-2</v>
      </c>
      <c r="D159">
        <v>1.397E-2</v>
      </c>
      <c r="E159">
        <v>1.4019999999999999E-2</v>
      </c>
      <c r="F159">
        <v>552872789</v>
      </c>
      <c r="G159">
        <v>1.4019999999999999E-2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-0.95327102803738351</v>
      </c>
      <c r="Q159">
        <f t="shared" ref="Q159" si="771">F159*P159</f>
        <v>-527037611.94392544</v>
      </c>
      <c r="R159">
        <f t="shared" ref="R159" si="772">R160+Q159</f>
        <v>-4715741272.2932205</v>
      </c>
      <c r="S159">
        <f t="shared" ref="S159" si="773">R159/100000</f>
        <v>-47157.412722932204</v>
      </c>
      <c r="T159">
        <f t="shared" ref="T159" si="774">S159/1000</f>
        <v>-47.157412722932207</v>
      </c>
    </row>
    <row r="160" spans="1:20" x14ac:dyDescent="0.25">
      <c r="A160" s="5">
        <v>44433</v>
      </c>
      <c r="B160">
        <v>1.5198E-2</v>
      </c>
      <c r="C160">
        <v>1.5996E-2</v>
      </c>
      <c r="D160">
        <v>1.4839E-2</v>
      </c>
      <c r="E160">
        <v>1.5654999999999999E-2</v>
      </c>
      <c r="F160">
        <v>477680919</v>
      </c>
      <c r="G160">
        <v>1.5654999999999999E-2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0.41054451166810541</v>
      </c>
      <c r="Q160">
        <f t="shared" ref="Q160" si="776">F160*P160</f>
        <v>196109279.62402681</v>
      </c>
      <c r="R160">
        <f t="shared" ref="R160" si="777">R161+Q160</f>
        <v>-4188703660.3492951</v>
      </c>
      <c r="S160">
        <f t="shared" ref="S160" si="778">R160/100000</f>
        <v>-41887.036603492954</v>
      </c>
      <c r="T160">
        <f t="shared" ref="T160" si="779">S160/1000</f>
        <v>-41.887036603492952</v>
      </c>
    </row>
    <row r="161" spans="1:20" x14ac:dyDescent="0.25">
      <c r="A161" s="5">
        <v>44432</v>
      </c>
      <c r="B161">
        <v>1.677E-2</v>
      </c>
      <c r="C161">
        <v>1.6893999999999999E-2</v>
      </c>
      <c r="D161">
        <v>1.4865E-2</v>
      </c>
      <c r="E161">
        <v>1.5254999999999999E-2</v>
      </c>
      <c r="F161">
        <v>437981413</v>
      </c>
      <c r="G161">
        <v>1.5254999999999999E-2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-0.61557417447018259</v>
      </c>
      <c r="Q161">
        <f t="shared" ref="Q161" si="781">F161*P161</f>
        <v>-269610046.74075907</v>
      </c>
      <c r="R161">
        <f t="shared" ref="R161" si="782">R162+Q161</f>
        <v>-4384812939.9733219</v>
      </c>
      <c r="S161">
        <f t="shared" ref="S161" si="783">R161/100000</f>
        <v>-43848.129399733218</v>
      </c>
      <c r="T161">
        <f t="shared" ref="T161" si="784">S161/1000</f>
        <v>-43.848129399733217</v>
      </c>
    </row>
    <row r="162" spans="1:20" x14ac:dyDescent="0.25">
      <c r="A162" s="5">
        <v>44431</v>
      </c>
      <c r="B162">
        <v>1.8498000000000001E-2</v>
      </c>
      <c r="C162">
        <v>1.8655000000000001E-2</v>
      </c>
      <c r="D162">
        <v>1.6195000000000001E-2</v>
      </c>
      <c r="E162">
        <v>1.6795000000000001E-2</v>
      </c>
      <c r="F162">
        <v>931432490</v>
      </c>
      <c r="G162">
        <v>1.6795000000000001E-2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-0.51219512195121975</v>
      </c>
      <c r="Q162">
        <f t="shared" ref="Q162" si="786">F162*P162</f>
        <v>-477075177.80487829</v>
      </c>
      <c r="R162">
        <f t="shared" ref="R162" si="787">R163+Q162</f>
        <v>-4115202893.2325625</v>
      </c>
      <c r="S162">
        <f t="shared" ref="S162" si="788">R162/100000</f>
        <v>-41152.028932325622</v>
      </c>
      <c r="T162">
        <f t="shared" ref="T162" si="789">S162/1000</f>
        <v>-41.152028932325621</v>
      </c>
    </row>
    <row r="163" spans="1:20" x14ac:dyDescent="0.25">
      <c r="A163" s="5">
        <v>44430</v>
      </c>
      <c r="B163">
        <v>1.4670000000000001E-2</v>
      </c>
      <c r="C163">
        <v>1.5388000000000001E-2</v>
      </c>
      <c r="D163">
        <v>1.4562E-2</v>
      </c>
      <c r="E163">
        <v>1.5113E-2</v>
      </c>
      <c r="F163">
        <v>99065558</v>
      </c>
      <c r="G163">
        <v>1.5113E-2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0.33414043583534908</v>
      </c>
      <c r="Q163">
        <f t="shared" ref="Q163" si="791">F163*P163</f>
        <v>33101808.726392053</v>
      </c>
      <c r="R163">
        <f t="shared" ref="R163" si="792">R164+Q163</f>
        <v>-3638127715.4276843</v>
      </c>
      <c r="S163">
        <f t="shared" ref="S163" si="793">R163/100000</f>
        <v>-36381.277154276846</v>
      </c>
      <c r="T163">
        <f t="shared" ref="T163" si="794">S163/1000</f>
        <v>-36.381277154276844</v>
      </c>
    </row>
    <row r="164" spans="1:20" x14ac:dyDescent="0.25">
      <c r="A164" s="5">
        <v>44429</v>
      </c>
      <c r="B164">
        <v>1.4973E-2</v>
      </c>
      <c r="C164">
        <v>1.4999999999999999E-2</v>
      </c>
      <c r="D164">
        <v>1.4272999999999999E-2</v>
      </c>
      <c r="E164">
        <v>1.4670000000000001E-2</v>
      </c>
      <c r="F164">
        <v>226835970</v>
      </c>
      <c r="G164">
        <v>1.4670000000000001E-2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9.2159559834941951E-2</v>
      </c>
      <c r="Q164">
        <f t="shared" ref="Q164" si="796">F164*P164</f>
        <v>20905103.149932098</v>
      </c>
      <c r="R164">
        <f t="shared" ref="R164" si="797">R165+Q164</f>
        <v>-3671229524.1540766</v>
      </c>
      <c r="S164">
        <f t="shared" ref="S164" si="798">R164/100000</f>
        <v>-36712.295241540764</v>
      </c>
      <c r="T164">
        <f t="shared" ref="T164" si="799">S164/1000</f>
        <v>-36.712295241540765</v>
      </c>
    </row>
    <row r="165" spans="1:20" x14ac:dyDescent="0.25">
      <c r="A165" s="5">
        <v>44428</v>
      </c>
      <c r="B165">
        <v>1.4330000000000001E-2</v>
      </c>
      <c r="C165">
        <v>1.515E-2</v>
      </c>
      <c r="D165">
        <v>1.3993E-2</v>
      </c>
      <c r="E165">
        <v>1.4947E-2</v>
      </c>
      <c r="F165">
        <v>284612915</v>
      </c>
      <c r="G165">
        <v>1.4947E-2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0.6490924805531546</v>
      </c>
      <c r="Q165">
        <f t="shared" ref="Q165" si="801">F165*P165</f>
        <v>184740102.99481416</v>
      </c>
      <c r="R165">
        <f t="shared" ref="R165" si="802">R166+Q165</f>
        <v>-3692134627.3040085</v>
      </c>
      <c r="S165">
        <f t="shared" ref="S165" si="803">R165/100000</f>
        <v>-36921.346273040086</v>
      </c>
      <c r="T165">
        <f t="shared" ref="T165" si="804">S165/1000</f>
        <v>-36.921346273040086</v>
      </c>
    </row>
    <row r="166" spans="1:20" x14ac:dyDescent="0.25">
      <c r="A166" s="5">
        <v>44427</v>
      </c>
      <c r="B166">
        <v>1.3339E-2</v>
      </c>
      <c r="C166">
        <v>1.4420000000000001E-2</v>
      </c>
      <c r="D166">
        <v>1.2919999999999999E-2</v>
      </c>
      <c r="E166">
        <v>1.4333E-2</v>
      </c>
      <c r="F166">
        <v>222294956</v>
      </c>
      <c r="G166">
        <v>1.4333E-2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0.88399999999999979</v>
      </c>
      <c r="Q166">
        <f t="shared" ref="Q166" si="806">F166*P166</f>
        <v>196508741.10399994</v>
      </c>
      <c r="R166">
        <f t="shared" ref="R166" si="807">R167+Q166</f>
        <v>-3876874730.2988229</v>
      </c>
      <c r="S166">
        <f t="shared" ref="S166" si="808">R166/100000</f>
        <v>-38768.747302988231</v>
      </c>
      <c r="T166">
        <f t="shared" ref="T166" si="809">S166/1000</f>
        <v>-38.768747302988231</v>
      </c>
    </row>
    <row r="167" spans="1:20" x14ac:dyDescent="0.25">
      <c r="A167" s="5">
        <v>44426</v>
      </c>
      <c r="B167">
        <v>1.354E-2</v>
      </c>
      <c r="C167">
        <v>1.422E-2</v>
      </c>
      <c r="D167">
        <v>1.3014E-2</v>
      </c>
      <c r="E167">
        <v>1.3316E-2</v>
      </c>
      <c r="F167">
        <v>406336985</v>
      </c>
      <c r="G167">
        <v>1.3316E-2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-0.49917081260364832</v>
      </c>
      <c r="Q167">
        <f t="shared" ref="Q167" si="811">F167*P167</f>
        <v>-202831562.99336645</v>
      </c>
      <c r="R167">
        <f t="shared" ref="R167" si="812">R168+Q167</f>
        <v>-4073383471.402823</v>
      </c>
      <c r="S167">
        <f t="shared" ref="S167" si="813">R167/100000</f>
        <v>-40733.834714028228</v>
      </c>
      <c r="T167">
        <f t="shared" ref="T167" si="814">S167/1000</f>
        <v>-40.733834714028227</v>
      </c>
    </row>
    <row r="168" spans="1:20" x14ac:dyDescent="0.25">
      <c r="A168" s="5">
        <v>44425</v>
      </c>
      <c r="B168">
        <v>1.4381E-2</v>
      </c>
      <c r="C168">
        <v>1.4878000000000001E-2</v>
      </c>
      <c r="D168">
        <v>1.3295E-2</v>
      </c>
      <c r="E168">
        <v>1.3540999999999999E-2</v>
      </c>
      <c r="F168">
        <v>369028210</v>
      </c>
      <c r="G168">
        <v>1.3540999999999999E-2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-0.68919772583701888</v>
      </c>
      <c r="Q168">
        <f t="shared" ref="Q168" si="816">F168*P168</f>
        <v>-254333403.10170582</v>
      </c>
      <c r="R168">
        <f t="shared" ref="R168" si="817">R169+Q168</f>
        <v>-3870551908.4094567</v>
      </c>
      <c r="S168">
        <f t="shared" ref="S168" si="818">R168/100000</f>
        <v>-38705.519084094565</v>
      </c>
      <c r="T168">
        <f t="shared" ref="T168" si="819">S168/1000</f>
        <v>-38.705519084094568</v>
      </c>
    </row>
    <row r="169" spans="1:20" x14ac:dyDescent="0.25">
      <c r="A169" s="5">
        <v>44424</v>
      </c>
      <c r="B169">
        <v>1.4912999999999999E-2</v>
      </c>
      <c r="C169">
        <v>1.5729E-2</v>
      </c>
      <c r="D169">
        <v>1.4189E-2</v>
      </c>
      <c r="E169">
        <v>1.4370000000000001E-2</v>
      </c>
      <c r="F169">
        <v>447879007</v>
      </c>
      <c r="G169">
        <v>1.4370000000000001E-2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-0.76493506493506414</v>
      </c>
      <c r="Q169">
        <f t="shared" ref="Q169" si="821">F169*P169</f>
        <v>-342598357.30259705</v>
      </c>
      <c r="R169">
        <f t="shared" ref="R169" si="822">R170+Q169</f>
        <v>-3616218505.3077507</v>
      </c>
      <c r="S169">
        <f t="shared" ref="S169" si="823">R169/100000</f>
        <v>-36162.185053077505</v>
      </c>
      <c r="T169">
        <f t="shared" ref="T169" si="824">S169/1000</f>
        <v>-36.162185053077508</v>
      </c>
    </row>
    <row r="170" spans="1:20" x14ac:dyDescent="0.25">
      <c r="A170" s="5">
        <v>44423</v>
      </c>
      <c r="B170">
        <v>1.4782E-2</v>
      </c>
      <c r="C170">
        <v>1.5266999999999999E-2</v>
      </c>
      <c r="D170">
        <v>1.4095E-2</v>
      </c>
      <c r="E170">
        <v>1.4937000000000001E-2</v>
      </c>
      <c r="F170">
        <v>250209834</v>
      </c>
      <c r="G170">
        <v>1.4937000000000001E-2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0.43686006825938761</v>
      </c>
      <c r="Q170">
        <f t="shared" ref="Q170" si="826">F170*P170</f>
        <v>109306685.16041005</v>
      </c>
      <c r="R170">
        <f t="shared" ref="R170" si="827">R171+Q170</f>
        <v>-3273620148.0051537</v>
      </c>
      <c r="S170">
        <f t="shared" ref="S170" si="828">R170/100000</f>
        <v>-32736.201480051535</v>
      </c>
      <c r="T170">
        <f t="shared" ref="T170" si="829">S170/1000</f>
        <v>-32.736201480051534</v>
      </c>
    </row>
    <row r="171" spans="1:20" x14ac:dyDescent="0.25">
      <c r="A171" s="5">
        <v>44422</v>
      </c>
      <c r="B171">
        <v>1.5173000000000001E-2</v>
      </c>
      <c r="C171">
        <v>1.5497E-2</v>
      </c>
      <c r="D171">
        <v>1.43E-2</v>
      </c>
      <c r="E171">
        <v>1.4765E-2</v>
      </c>
      <c r="F171">
        <v>304507196</v>
      </c>
      <c r="G171">
        <v>1.4765E-2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-0.22305764411027557</v>
      </c>
      <c r="Q171">
        <f t="shared" ref="Q171" si="831">F171*P171</f>
        <v>-67922657.754385933</v>
      </c>
      <c r="R171">
        <f t="shared" ref="R171" si="832">R172+Q171</f>
        <v>-3382926833.1655636</v>
      </c>
      <c r="S171">
        <f t="shared" ref="S171" si="833">R171/100000</f>
        <v>-33829.268331655636</v>
      </c>
      <c r="T171">
        <f t="shared" ref="T171" si="834">S171/1000</f>
        <v>-33.829268331655634</v>
      </c>
    </row>
    <row r="172" spans="1:20" x14ac:dyDescent="0.25">
      <c r="A172" s="5">
        <v>44421</v>
      </c>
      <c r="B172">
        <v>1.342E-2</v>
      </c>
      <c r="C172">
        <v>1.6E-2</v>
      </c>
      <c r="D172">
        <v>1.3386E-2</v>
      </c>
      <c r="E172">
        <v>1.5173000000000001E-2</v>
      </c>
      <c r="F172">
        <v>581067202</v>
      </c>
      <c r="G172">
        <v>1.5173000000000001E-2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0.36725325172149992</v>
      </c>
      <c r="Q172">
        <f t="shared" ref="Q172" si="836">F172*P172</f>
        <v>213398819.40321365</v>
      </c>
      <c r="R172">
        <f t="shared" ref="R172" si="837">R173+Q172</f>
        <v>-3315004175.4111776</v>
      </c>
      <c r="S172">
        <f t="shared" ref="S172" si="838">R172/100000</f>
        <v>-33150.041754111779</v>
      </c>
      <c r="T172">
        <f t="shared" ref="T172" si="839">S172/1000</f>
        <v>-33.150041754111776</v>
      </c>
    </row>
    <row r="173" spans="1:20" x14ac:dyDescent="0.25">
      <c r="A173" s="5">
        <v>44420</v>
      </c>
      <c r="B173">
        <v>1.3997000000000001E-2</v>
      </c>
      <c r="C173">
        <v>1.4625000000000001E-2</v>
      </c>
      <c r="D173">
        <v>1.2710000000000001E-2</v>
      </c>
      <c r="E173">
        <v>1.3414000000000001E-2</v>
      </c>
      <c r="F173">
        <v>350266474</v>
      </c>
      <c r="G173">
        <v>1.3414000000000001E-2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-0.26475195822454334</v>
      </c>
      <c r="Q173">
        <f t="shared" ref="Q173" si="841">F173*P173</f>
        <v>-92733734.891906098</v>
      </c>
      <c r="R173">
        <f t="shared" ref="R173" si="842">R174+Q173</f>
        <v>-3528402994.8143911</v>
      </c>
      <c r="S173">
        <f t="shared" ref="S173" si="843">R173/100000</f>
        <v>-35284.029948143914</v>
      </c>
      <c r="T173">
        <f t="shared" ref="T173" si="844">S173/1000</f>
        <v>-35.284029948143917</v>
      </c>
    </row>
    <row r="174" spans="1:20" x14ac:dyDescent="0.25">
      <c r="A174" s="5">
        <v>44419</v>
      </c>
      <c r="B174">
        <v>1.3273999999999999E-2</v>
      </c>
      <c r="C174">
        <v>1.4806E-2</v>
      </c>
      <c r="D174">
        <v>1.3268E-2</v>
      </c>
      <c r="E174">
        <v>1.3998E-2</v>
      </c>
      <c r="F174">
        <v>463946450</v>
      </c>
      <c r="G174">
        <v>1.3998E-2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-5.0715214564369296E-2</v>
      </c>
      <c r="Q174">
        <f t="shared" ref="Q174" si="846">F174*P174</f>
        <v>-23529143.758127432</v>
      </c>
      <c r="R174">
        <f t="shared" ref="R174" si="847">R175+Q174</f>
        <v>-3435669259.9224849</v>
      </c>
      <c r="S174">
        <f t="shared" ref="S174" si="848">R174/100000</f>
        <v>-34356.692599224851</v>
      </c>
      <c r="T174">
        <f t="shared" ref="T174" si="849">S174/1000</f>
        <v>-34.35669259922485</v>
      </c>
    </row>
    <row r="175" spans="1:20" x14ac:dyDescent="0.25">
      <c r="A175" s="5">
        <v>44418</v>
      </c>
      <c r="B175">
        <v>1.291E-2</v>
      </c>
      <c r="C175">
        <v>1.3849E-2</v>
      </c>
      <c r="D175">
        <v>1.255E-2</v>
      </c>
      <c r="E175">
        <v>1.3270000000000001E-2</v>
      </c>
      <c r="F175">
        <v>409343136</v>
      </c>
      <c r="G175">
        <v>1.3270000000000001E-2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0.10854503464203273</v>
      </c>
      <c r="Q175">
        <f t="shared" ref="Q175" si="851">F175*P175</f>
        <v>44432164.877598315</v>
      </c>
      <c r="R175">
        <f t="shared" ref="R175" si="852">R176+Q175</f>
        <v>-3412140116.1643577</v>
      </c>
      <c r="S175">
        <f t="shared" ref="S175" si="853">R175/100000</f>
        <v>-34121.401161643575</v>
      </c>
      <c r="T175">
        <f t="shared" ref="T175" si="854">S175/1000</f>
        <v>-34.121401161643576</v>
      </c>
    </row>
    <row r="176" spans="1:20" x14ac:dyDescent="0.25">
      <c r="A176" s="5">
        <v>44417</v>
      </c>
      <c r="B176">
        <v>1.2193000000000001E-2</v>
      </c>
      <c r="C176">
        <v>1.3245E-2</v>
      </c>
      <c r="D176">
        <v>1.1278E-2</v>
      </c>
      <c r="E176">
        <v>1.2933E-2</v>
      </c>
      <c r="F176">
        <v>499336870</v>
      </c>
      <c r="G176">
        <v>1.2933E-2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0.68276563294356907</v>
      </c>
      <c r="Q176">
        <f t="shared" ref="Q176" si="856">F176*P176</f>
        <v>340930054.09761065</v>
      </c>
      <c r="R176">
        <f t="shared" ref="R176" si="857">R177+Q176</f>
        <v>-3456572281.0419559</v>
      </c>
      <c r="S176">
        <f t="shared" ref="S176" si="858">R176/100000</f>
        <v>-34565.72281041956</v>
      </c>
      <c r="T176">
        <f t="shared" ref="T176" si="859">S176/1000</f>
        <v>-34.565722810419558</v>
      </c>
    </row>
    <row r="177" spans="1:20" x14ac:dyDescent="0.25">
      <c r="A177" s="5">
        <v>44416</v>
      </c>
      <c r="B177">
        <v>1.2793000000000001E-2</v>
      </c>
      <c r="C177">
        <v>1.2898E-2</v>
      </c>
      <c r="D177">
        <v>1.1849999999999999E-2</v>
      </c>
      <c r="E177">
        <v>1.221E-2</v>
      </c>
      <c r="F177">
        <v>422299140</v>
      </c>
      <c r="G177">
        <v>1.221E-2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-0.31297709923663963</v>
      </c>
      <c r="Q177">
        <f t="shared" ref="Q177" si="861">F177*P177</f>
        <v>-132169959.84732758</v>
      </c>
      <c r="R177">
        <f t="shared" ref="R177" si="862">R178+Q177</f>
        <v>-3797502335.1395664</v>
      </c>
      <c r="S177">
        <f t="shared" ref="S177" si="863">R177/100000</f>
        <v>-37975.023351395663</v>
      </c>
      <c r="T177">
        <f t="shared" ref="T177" si="864">S177/1000</f>
        <v>-37.975023351395663</v>
      </c>
    </row>
    <row r="178" spans="1:20" x14ac:dyDescent="0.25">
      <c r="A178" s="5">
        <v>44415</v>
      </c>
      <c r="B178">
        <v>1.2056000000000001E-2</v>
      </c>
      <c r="C178">
        <v>1.2959E-2</v>
      </c>
      <c r="D178">
        <v>1.1885E-2</v>
      </c>
      <c r="E178">
        <v>1.2769000000000001E-2</v>
      </c>
      <c r="F178">
        <v>309878707</v>
      </c>
      <c r="G178">
        <v>1.2769000000000001E-2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0.64618249534450811</v>
      </c>
      <c r="Q178">
        <f t="shared" ref="Q178" si="866">F178*P178</f>
        <v>200238196.1433897</v>
      </c>
      <c r="R178">
        <f t="shared" ref="R178" si="867">R179+Q178</f>
        <v>-3665332375.2922387</v>
      </c>
      <c r="S178">
        <f t="shared" ref="S178" si="868">R178/100000</f>
        <v>-36653.323752922384</v>
      </c>
      <c r="T178">
        <f t="shared" ref="T178" si="869">S178/1000</f>
        <v>-36.653323752922383</v>
      </c>
    </row>
    <row r="179" spans="1:20" x14ac:dyDescent="0.25">
      <c r="A179" s="5">
        <v>44414</v>
      </c>
      <c r="B179">
        <v>1.1547E-2</v>
      </c>
      <c r="C179">
        <v>1.2593999999999999E-2</v>
      </c>
      <c r="D179">
        <v>1.1226E-2</v>
      </c>
      <c r="E179">
        <v>1.2048E-2</v>
      </c>
      <c r="F179">
        <v>376285961</v>
      </c>
      <c r="G179">
        <v>1.2048E-2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0.20175438596491252</v>
      </c>
      <c r="Q179">
        <f t="shared" ref="Q179" si="871">F179*P179</f>
        <v>75917343.008772016</v>
      </c>
      <c r="R179">
        <f t="shared" ref="R179" si="872">R180+Q179</f>
        <v>-3865570571.4356284</v>
      </c>
      <c r="S179">
        <f t="shared" ref="S179" si="873">R179/100000</f>
        <v>-38655.705714356285</v>
      </c>
      <c r="T179">
        <f t="shared" ref="T179" si="874">S179/1000</f>
        <v>-38.655705714356287</v>
      </c>
    </row>
    <row r="180" spans="1:20" x14ac:dyDescent="0.25">
      <c r="A180" s="5">
        <v>44413</v>
      </c>
      <c r="B180">
        <v>1.0567E-2</v>
      </c>
      <c r="C180">
        <v>1.1950000000000001E-2</v>
      </c>
      <c r="D180">
        <v>1.0488000000000001E-2</v>
      </c>
      <c r="E180">
        <v>1.1547E-2</v>
      </c>
      <c r="F180">
        <v>392250576</v>
      </c>
      <c r="G180">
        <v>1.1547E-2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0.44870041039671593</v>
      </c>
      <c r="Q180">
        <f t="shared" ref="Q180" si="876">F180*P180</f>
        <v>176002994.4295482</v>
      </c>
      <c r="R180">
        <f t="shared" ref="R180" si="877">R181+Q180</f>
        <v>-3941487914.4444003</v>
      </c>
      <c r="S180">
        <f t="shared" ref="S180" si="878">R180/100000</f>
        <v>-39414.879144444007</v>
      </c>
      <c r="T180">
        <f t="shared" ref="T180" si="879">S180/1000</f>
        <v>-39.414879144444008</v>
      </c>
    </row>
    <row r="181" spans="1:20" x14ac:dyDescent="0.25">
      <c r="A181" s="5">
        <v>44412</v>
      </c>
      <c r="B181">
        <v>1.0295E-2</v>
      </c>
      <c r="C181">
        <v>1.0678999999999999E-2</v>
      </c>
      <c r="D181">
        <v>1.0152E-2</v>
      </c>
      <c r="E181">
        <v>1.0572E-2</v>
      </c>
      <c r="F181">
        <v>126568252</v>
      </c>
      <c r="G181">
        <v>1.0572E-2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0.59392789373814225</v>
      </c>
      <c r="Q181">
        <f t="shared" ref="Q181" si="881">F181*P181</f>
        <v>75172415.324478418</v>
      </c>
      <c r="R181">
        <f t="shared" ref="R181" si="882">R182+Q181</f>
        <v>-4117490908.8739486</v>
      </c>
      <c r="S181">
        <f t="shared" ref="S181" si="883">R181/100000</f>
        <v>-41174.909088739485</v>
      </c>
      <c r="T181">
        <f t="shared" ref="T181" si="884">S181/1000</f>
        <v>-41.174909088739483</v>
      </c>
    </row>
    <row r="182" spans="1:20" x14ac:dyDescent="0.25">
      <c r="A182" s="5">
        <v>44411</v>
      </c>
      <c r="B182">
        <v>1.0477E-2</v>
      </c>
      <c r="C182">
        <v>1.0609E-2</v>
      </c>
      <c r="D182">
        <v>1.0062E-2</v>
      </c>
      <c r="E182">
        <v>1.0291E-2</v>
      </c>
      <c r="F182">
        <v>205886226</v>
      </c>
      <c r="G182">
        <v>1.0291E-2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-0.16270566727605199</v>
      </c>
      <c r="Q182">
        <f t="shared" ref="Q182" si="886">F182*P182</f>
        <v>-33498855.784278043</v>
      </c>
      <c r="R182">
        <f t="shared" ref="R182" si="887">R183+Q182</f>
        <v>-4192663324.1984272</v>
      </c>
      <c r="S182">
        <f t="shared" ref="S182" si="888">R182/100000</f>
        <v>-41926.633241984273</v>
      </c>
      <c r="T182">
        <f t="shared" ref="T182" si="889">S182/1000</f>
        <v>-41.92663324198427</v>
      </c>
    </row>
    <row r="183" spans="1:20" x14ac:dyDescent="0.25">
      <c r="A183" s="5">
        <v>44410</v>
      </c>
      <c r="B183">
        <v>1.0596E-2</v>
      </c>
      <c r="C183">
        <v>1.0843E-2</v>
      </c>
      <c r="D183">
        <v>1.0253999999999999E-2</v>
      </c>
      <c r="E183">
        <v>1.048E-2</v>
      </c>
      <c r="F183">
        <v>220296319</v>
      </c>
      <c r="G183">
        <v>1.048E-2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-0.23259762308998258</v>
      </c>
      <c r="Q183">
        <f t="shared" ref="Q183" si="891">F183*P183</f>
        <v>-51240400.17487257</v>
      </c>
      <c r="R183">
        <f t="shared" ref="R183" si="892">R184+Q183</f>
        <v>-4159164468.4141493</v>
      </c>
      <c r="S183">
        <f t="shared" ref="S183" si="893">R183/100000</f>
        <v>-41591.644684141495</v>
      </c>
      <c r="T183">
        <f t="shared" ref="T183" si="894">S183/1000</f>
        <v>-41.591644684141492</v>
      </c>
    </row>
    <row r="184" spans="1:20" x14ac:dyDescent="0.25">
      <c r="A184" s="5">
        <v>44409</v>
      </c>
      <c r="B184">
        <v>1.0416999999999999E-2</v>
      </c>
      <c r="C184">
        <v>1.1387E-2</v>
      </c>
      <c r="D184">
        <v>1.0374E-2</v>
      </c>
      <c r="E184">
        <v>1.0585000000000001E-2</v>
      </c>
      <c r="F184">
        <v>347742861</v>
      </c>
      <c r="G184">
        <v>1.0585000000000001E-2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-0.58341559723593062</v>
      </c>
      <c r="Q184">
        <f t="shared" ref="Q184" si="896">F184*P184</f>
        <v>-202878608.93484619</v>
      </c>
      <c r="R184">
        <f t="shared" ref="R184" si="897">R185+Q184</f>
        <v>-4107924068.2392769</v>
      </c>
      <c r="S184">
        <f t="shared" ref="S184" si="898">R184/100000</f>
        <v>-41079.240682392767</v>
      </c>
      <c r="T184">
        <f t="shared" ref="T184" si="899">S184/1000</f>
        <v>-41.079240682392765</v>
      </c>
    </row>
    <row r="185" spans="1:20" x14ac:dyDescent="0.25">
      <c r="A185" s="5">
        <v>44408</v>
      </c>
      <c r="B185">
        <v>1.0503999999999999E-2</v>
      </c>
      <c r="C185">
        <v>1.0558E-2</v>
      </c>
      <c r="D185">
        <v>1.0239E-2</v>
      </c>
      <c r="E185">
        <v>1.0416999999999999E-2</v>
      </c>
      <c r="F185">
        <v>280154527</v>
      </c>
      <c r="G185">
        <v>1.0416999999999999E-2</v>
      </c>
      <c r="L185" t="s">
        <v>7</v>
      </c>
      <c r="M185" t="s">
        <v>8</v>
      </c>
      <c r="N185" t="s">
        <v>7</v>
      </c>
      <c r="P185">
        <f t="shared" ref="P185" si="900">IF(C185=D185,0,((E185-D185)-(C185-E185))/(C185-D185))</f>
        <v>0.11598746081504344</v>
      </c>
      <c r="Q185">
        <f t="shared" ref="Q185" si="901">F185*P185</f>
        <v>32494412.222569529</v>
      </c>
      <c r="R185">
        <f t="shared" ref="R185" si="902">R186+Q185</f>
        <v>-3905045459.3044305</v>
      </c>
      <c r="S185">
        <f t="shared" ref="S185" si="903">R185/100000</f>
        <v>-39050.454593044306</v>
      </c>
      <c r="T185">
        <f t="shared" ref="T185" si="904">S185/1000</f>
        <v>-39.050454593044307</v>
      </c>
    </row>
    <row r="186" spans="1:20" x14ac:dyDescent="0.25">
      <c r="A186" s="5">
        <v>44407</v>
      </c>
      <c r="B186">
        <v>1.0205000000000001E-2</v>
      </c>
      <c r="C186">
        <v>1.0576E-2</v>
      </c>
      <c r="D186">
        <v>0.01</v>
      </c>
      <c r="E186">
        <v>1.0506E-2</v>
      </c>
      <c r="F186">
        <v>736668999</v>
      </c>
      <c r="G186">
        <v>1.0506E-2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0.75694444444444231</v>
      </c>
      <c r="Q186">
        <f t="shared" ref="Q186" si="906">F186*P186</f>
        <v>557617506.18749845</v>
      </c>
      <c r="R186">
        <f t="shared" ref="R186" si="907">R187+Q186</f>
        <v>-3937539871.527</v>
      </c>
      <c r="S186">
        <f t="shared" ref="S186" si="908">R186/100000</f>
        <v>-39375.398715269999</v>
      </c>
      <c r="T186">
        <f t="shared" ref="T186:T192" si="909">S186/1000</f>
        <v>-39.375398715270002</v>
      </c>
    </row>
    <row r="187" spans="1:20" x14ac:dyDescent="0.25">
      <c r="A187" s="5">
        <v>44406</v>
      </c>
      <c r="B187">
        <v>1.0241E-2</v>
      </c>
      <c r="C187">
        <v>1.0302E-2</v>
      </c>
      <c r="D187">
        <v>0.01</v>
      </c>
      <c r="E187">
        <v>1.0206E-2</v>
      </c>
      <c r="F187">
        <v>151295869</v>
      </c>
      <c r="G187">
        <v>1.0206E-2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0.36423841059602291</v>
      </c>
      <c r="Q187">
        <f t="shared" ref="Q187" si="911">F187*P187</f>
        <v>55107766.854304098</v>
      </c>
      <c r="R187">
        <f t="shared" ref="R187" si="912">R188+Q187</f>
        <v>-4495157377.7144985</v>
      </c>
      <c r="S187">
        <f t="shared" ref="S187" si="913">R187/100000</f>
        <v>-44951.573777144986</v>
      </c>
      <c r="T187">
        <f t="shared" si="909"/>
        <v>-44.951573777144986</v>
      </c>
    </row>
    <row r="188" spans="1:20" x14ac:dyDescent="0.25">
      <c r="A188" s="5">
        <v>44405</v>
      </c>
      <c r="B188">
        <v>1.0670000000000001E-2</v>
      </c>
      <c r="C188">
        <v>1.0784999999999999E-2</v>
      </c>
      <c r="D188">
        <v>1.0149999999999999E-2</v>
      </c>
      <c r="E188">
        <v>1.0241E-2</v>
      </c>
      <c r="F188">
        <v>206637758</v>
      </c>
      <c r="G188">
        <v>1.0241E-2</v>
      </c>
      <c r="L188" t="s">
        <v>8</v>
      </c>
      <c r="M188" t="s">
        <v>8</v>
      </c>
      <c r="N188" t="s">
        <v>7</v>
      </c>
      <c r="P188">
        <f t="shared" ref="P188" si="914">IF(C188=D188,0,((E188-D188)-(C188-E188))/(C188-D188))</f>
        <v>-0.71338582677165108</v>
      </c>
      <c r="Q188">
        <f t="shared" ref="Q188" si="915">F188*P188</f>
        <v>-147412447.83307037</v>
      </c>
      <c r="R188">
        <f t="shared" ref="R188" si="916">R189+Q188</f>
        <v>-4550265144.5688028</v>
      </c>
      <c r="S188">
        <f t="shared" ref="S188" si="917">R188/100000</f>
        <v>-45502.651445688025</v>
      </c>
      <c r="T188">
        <f t="shared" si="909"/>
        <v>-45.502651445688024</v>
      </c>
    </row>
    <row r="189" spans="1:20" x14ac:dyDescent="0.25">
      <c r="A189" s="5">
        <v>44404</v>
      </c>
      <c r="B189">
        <v>1.0092E-2</v>
      </c>
      <c r="C189">
        <v>1.0847000000000001E-2</v>
      </c>
      <c r="D189">
        <v>9.7520000000000003E-3</v>
      </c>
      <c r="E189">
        <v>1.0669E-2</v>
      </c>
      <c r="F189">
        <v>255954528</v>
      </c>
      <c r="G189">
        <v>1.0669E-2</v>
      </c>
      <c r="L189" t="s">
        <v>7</v>
      </c>
      <c r="M189" t="s">
        <v>8</v>
      </c>
      <c r="N189" t="s">
        <v>7</v>
      </c>
      <c r="P189">
        <f t="shared" ref="P189" si="918">IF(C189=D189,0,((E189-D189)-(C189-E189))/(C189-D189))</f>
        <v>0.6748858447488566</v>
      </c>
      <c r="Q189">
        <f t="shared" ref="Q189" si="919">F189*P189</f>
        <v>172740087.84657487</v>
      </c>
      <c r="R189">
        <f t="shared" ref="R189" si="920">R190+Q189</f>
        <v>-4402852696.7357321</v>
      </c>
      <c r="S189">
        <f t="shared" ref="S189" si="921">R189/100000</f>
        <v>-44028.52696735732</v>
      </c>
      <c r="T189">
        <f t="shared" si="909"/>
        <v>-44.028526967357323</v>
      </c>
    </row>
    <row r="190" spans="1:20" x14ac:dyDescent="0.25">
      <c r="A190" s="5">
        <v>44403</v>
      </c>
      <c r="B190">
        <v>1.0246999999999999E-2</v>
      </c>
      <c r="C190">
        <v>1.119E-2</v>
      </c>
      <c r="D190">
        <v>1.0026999999999999E-2</v>
      </c>
      <c r="E190">
        <v>1.0097999999999999E-2</v>
      </c>
      <c r="F190">
        <v>335387468</v>
      </c>
      <c r="G190">
        <v>1.0097999999999999E-2</v>
      </c>
      <c r="L190" t="s">
        <v>8</v>
      </c>
      <c r="M190" t="s">
        <v>8</v>
      </c>
      <c r="N190" t="s">
        <v>7</v>
      </c>
      <c r="P190">
        <f t="shared" ref="P190" si="922">IF(C190=D190,0,((E190-D190)-(C190-E190))/(C190-D190))</f>
        <v>-0.87790197764402433</v>
      </c>
      <c r="Q190">
        <f t="shared" ref="Q190" si="923">F190*P190</f>
        <v>-294437321.43422192</v>
      </c>
      <c r="R190">
        <f t="shared" ref="R190" si="924">R191+Q190</f>
        <v>-4575592784.5823069</v>
      </c>
      <c r="S190">
        <f t="shared" ref="S190" si="925">R190/100000</f>
        <v>-45755.927845823069</v>
      </c>
      <c r="T190">
        <f t="shared" si="909"/>
        <v>-45.755927845823066</v>
      </c>
    </row>
    <row r="191" spans="1:20" x14ac:dyDescent="0.25">
      <c r="A191" s="5">
        <v>44402</v>
      </c>
      <c r="B191">
        <v>9.3690000000000006E-3</v>
      </c>
      <c r="C191">
        <v>1.0121E-2</v>
      </c>
      <c r="D191">
        <v>9.2890000000000004E-3</v>
      </c>
      <c r="E191">
        <v>1.0083E-2</v>
      </c>
      <c r="F191">
        <v>253624076</v>
      </c>
      <c r="G191">
        <v>1.0083E-2</v>
      </c>
      <c r="L191" t="s">
        <v>7</v>
      </c>
      <c r="M191" t="s">
        <v>8</v>
      </c>
      <c r="N191" t="s">
        <v>7</v>
      </c>
      <c r="P191">
        <f t="shared" ref="P191" si="926">IF(C191=D191,0,((E191-D191)-(C191-E191))/(C191-D191))</f>
        <v>0.90865384615384648</v>
      </c>
      <c r="Q191">
        <f t="shared" ref="Q191" si="927">F191*P191</f>
        <v>230456492.13461548</v>
      </c>
      <c r="R191">
        <f t="shared" ref="R191" si="928">R192+Q191</f>
        <v>-4281155463.1480851</v>
      </c>
      <c r="S191">
        <f t="shared" ref="S191" si="929">R191/100000</f>
        <v>-42811.554631480853</v>
      </c>
      <c r="T191">
        <f t="shared" si="909"/>
        <v>-42.811554631480853</v>
      </c>
    </row>
    <row r="192" spans="1:20" x14ac:dyDescent="0.25">
      <c r="A192" s="5">
        <v>44401</v>
      </c>
      <c r="B192">
        <v>9.3690000000000006E-3</v>
      </c>
      <c r="C192">
        <v>1.0121E-2</v>
      </c>
      <c r="D192">
        <v>9.2890000000000004E-3</v>
      </c>
      <c r="E192">
        <v>1.0083E-2</v>
      </c>
      <c r="F192">
        <v>253624076</v>
      </c>
      <c r="G192">
        <v>1.0083E-2</v>
      </c>
      <c r="L192" t="s">
        <v>8</v>
      </c>
      <c r="M192" t="s">
        <v>8</v>
      </c>
      <c r="N192" t="s">
        <v>7</v>
      </c>
      <c r="P192">
        <f t="shared" ref="P192" si="930">IF(C192=D192,0,((E192-D192)-(C192-E192))/(C192-D192))</f>
        <v>0.90865384615384648</v>
      </c>
      <c r="Q192">
        <f t="shared" ref="Q192" si="931">F192*P192</f>
        <v>230456492.13461548</v>
      </c>
      <c r="R192">
        <f t="shared" ref="R192" si="932">R193+Q192</f>
        <v>-4511611955.2827005</v>
      </c>
      <c r="S192">
        <f t="shared" ref="S192" si="933">R192/100000</f>
        <v>-45116.119552827004</v>
      </c>
      <c r="T192">
        <f t="shared" si="909"/>
        <v>-45.116119552827001</v>
      </c>
    </row>
    <row r="193" spans="1:20" x14ac:dyDescent="0.25">
      <c r="A193" s="5">
        <v>44400</v>
      </c>
      <c r="B193">
        <v>9.3650000000000001E-3</v>
      </c>
      <c r="C193">
        <v>9.4999999999999998E-3</v>
      </c>
      <c r="D193">
        <v>8.9999999999999993E-3</v>
      </c>
      <c r="E193">
        <v>9.3559999999999997E-3</v>
      </c>
      <c r="F193">
        <v>250514103</v>
      </c>
      <c r="G193">
        <v>9.3559999999999997E-3</v>
      </c>
      <c r="L193" t="s">
        <v>8</v>
      </c>
      <c r="M193" t="s">
        <v>8</v>
      </c>
      <c r="N193" t="s">
        <v>7</v>
      </c>
      <c r="P193">
        <f t="shared" ref="P193:P256" si="934">IF(C193=D193,0,((E193-D193)-(C193-E193))/(C193-D193))</f>
        <v>0.42400000000000038</v>
      </c>
      <c r="Q193">
        <f t="shared" ref="Q193:Q256" si="935">F193*P193</f>
        <v>106217979.6720001</v>
      </c>
      <c r="R193">
        <f t="shared" ref="R193:R256" si="936">R194+Q193</f>
        <v>-4742068447.4173164</v>
      </c>
      <c r="S193">
        <f t="shared" ref="S193:S256" si="937">R193/100000</f>
        <v>-47420.684474173162</v>
      </c>
      <c r="T193">
        <f t="shared" ref="T193:T256" si="938">S193/1000</f>
        <v>-47.420684474173164</v>
      </c>
    </row>
    <row r="194" spans="1:20" x14ac:dyDescent="0.25">
      <c r="A194" s="5">
        <v>44399</v>
      </c>
      <c r="B194">
        <v>8.914E-3</v>
      </c>
      <c r="C194">
        <v>9.4999999999999998E-3</v>
      </c>
      <c r="D194">
        <v>8.7589999999999994E-3</v>
      </c>
      <c r="E194">
        <v>9.3469999999999994E-3</v>
      </c>
      <c r="F194">
        <v>151267865</v>
      </c>
      <c r="G194">
        <v>9.3469999999999994E-3</v>
      </c>
      <c r="L194" t="s">
        <v>8</v>
      </c>
      <c r="M194" t="s">
        <v>8</v>
      </c>
      <c r="N194" t="s">
        <v>7</v>
      </c>
      <c r="P194">
        <f t="shared" si="934"/>
        <v>0.58704453441295468</v>
      </c>
      <c r="Q194">
        <f t="shared" si="935"/>
        <v>88800973.380566686</v>
      </c>
      <c r="R194">
        <f t="shared" si="936"/>
        <v>-4848286427.0893164</v>
      </c>
      <c r="S194">
        <f t="shared" si="937"/>
        <v>-48482.864270893166</v>
      </c>
      <c r="T194">
        <f t="shared" si="938"/>
        <v>-48.482864270893167</v>
      </c>
    </row>
    <row r="195" spans="1:20" x14ac:dyDescent="0.25">
      <c r="A195" s="5">
        <v>44398</v>
      </c>
      <c r="B195">
        <v>8.2100000000000003E-3</v>
      </c>
      <c r="C195">
        <v>9.2549999999999993E-3</v>
      </c>
      <c r="D195">
        <v>8.1040000000000001E-3</v>
      </c>
      <c r="E195">
        <v>8.9149999999999993E-3</v>
      </c>
      <c r="F195">
        <v>248416492</v>
      </c>
      <c r="G195">
        <v>8.9149999999999993E-3</v>
      </c>
      <c r="L195" t="s">
        <v>8</v>
      </c>
      <c r="M195" t="s">
        <v>8</v>
      </c>
      <c r="N195" t="s">
        <v>7</v>
      </c>
      <c r="P195">
        <f t="shared" si="934"/>
        <v>0.40920938314509081</v>
      </c>
      <c r="Q195">
        <f t="shared" si="935"/>
        <v>101654359.45438738</v>
      </c>
      <c r="R195">
        <f t="shared" si="936"/>
        <v>-4937087400.469883</v>
      </c>
      <c r="S195">
        <f t="shared" si="937"/>
        <v>-49370.874004698831</v>
      </c>
      <c r="T195">
        <f t="shared" si="938"/>
        <v>-49.370874004698834</v>
      </c>
    </row>
    <row r="196" spans="1:20" x14ac:dyDescent="0.25">
      <c r="A196" s="5">
        <v>44397</v>
      </c>
      <c r="B196">
        <v>8.7500000000000008E-3</v>
      </c>
      <c r="C196">
        <v>8.7860000000000004E-3</v>
      </c>
      <c r="D196">
        <v>7.8449999999999995E-3</v>
      </c>
      <c r="E196">
        <v>8.2410000000000001E-3</v>
      </c>
      <c r="F196">
        <v>205756642</v>
      </c>
      <c r="G196">
        <v>8.2410000000000001E-3</v>
      </c>
      <c r="L196" t="s">
        <v>7</v>
      </c>
      <c r="M196" t="s">
        <v>7</v>
      </c>
      <c r="N196" t="s">
        <v>7</v>
      </c>
      <c r="P196">
        <f t="shared" si="934"/>
        <v>-0.15834218916046724</v>
      </c>
      <c r="Q196">
        <f t="shared" si="935"/>
        <v>-32579957.128586538</v>
      </c>
      <c r="R196">
        <f t="shared" si="936"/>
        <v>-5038741759.9242706</v>
      </c>
      <c r="S196">
        <f t="shared" si="937"/>
        <v>-50387.417599242704</v>
      </c>
      <c r="T196">
        <f t="shared" si="938"/>
        <v>-50.387417599242703</v>
      </c>
    </row>
    <row r="197" spans="1:20" x14ac:dyDescent="0.25">
      <c r="A197" s="5">
        <v>44396</v>
      </c>
      <c r="B197">
        <v>9.1690000000000001E-3</v>
      </c>
      <c r="C197">
        <v>9.1929999999999998E-3</v>
      </c>
      <c r="D197">
        <v>8.6709999999999999E-3</v>
      </c>
      <c r="E197">
        <v>8.7500000000000008E-3</v>
      </c>
      <c r="F197">
        <v>164153345</v>
      </c>
      <c r="G197">
        <v>0</v>
      </c>
      <c r="L197" t="s">
        <v>7</v>
      </c>
      <c r="M197" t="s">
        <v>7</v>
      </c>
      <c r="N197" t="s">
        <v>7</v>
      </c>
      <c r="P197">
        <f t="shared" si="934"/>
        <v>-0.69731800766283158</v>
      </c>
      <c r="Q197">
        <f t="shared" si="935"/>
        <v>-114467083.48658943</v>
      </c>
      <c r="R197">
        <f t="shared" si="936"/>
        <v>-5006161802.7956839</v>
      </c>
      <c r="S197">
        <f t="shared" si="937"/>
        <v>-50061.618027956836</v>
      </c>
      <c r="T197">
        <f t="shared" si="938"/>
        <v>-50.06161802795684</v>
      </c>
    </row>
    <row r="198" spans="1:20" x14ac:dyDescent="0.25">
      <c r="A198" s="5">
        <v>44395</v>
      </c>
      <c r="B198">
        <v>9.1120000000000003E-3</v>
      </c>
      <c r="C198">
        <v>9.4000000000000004E-3</v>
      </c>
      <c r="D198">
        <v>8.9999999999999993E-3</v>
      </c>
      <c r="E198">
        <v>9.1610000000000007E-3</v>
      </c>
      <c r="F198">
        <v>146650588</v>
      </c>
      <c r="G198">
        <v>0</v>
      </c>
      <c r="L198" t="s">
        <v>7</v>
      </c>
      <c r="M198" t="s">
        <v>7</v>
      </c>
      <c r="N198" t="s">
        <v>7</v>
      </c>
      <c r="P198">
        <f t="shared" si="934"/>
        <v>-0.19499999999999501</v>
      </c>
      <c r="Q198">
        <f t="shared" si="935"/>
        <v>-28596864.65999927</v>
      </c>
      <c r="R198">
        <f t="shared" si="936"/>
        <v>-4891694719.3090944</v>
      </c>
      <c r="S198">
        <f t="shared" si="937"/>
        <v>-48916.947193090942</v>
      </c>
      <c r="T198">
        <f t="shared" si="938"/>
        <v>-48.916947193090941</v>
      </c>
    </row>
    <row r="199" spans="1:20" x14ac:dyDescent="0.25">
      <c r="A199" s="5">
        <v>44394</v>
      </c>
      <c r="B199">
        <v>9.1420000000000008E-3</v>
      </c>
      <c r="C199">
        <v>9.5099999999999994E-3</v>
      </c>
      <c r="D199">
        <v>9.0500000000000008E-3</v>
      </c>
      <c r="E199">
        <v>9.1310000000000002E-3</v>
      </c>
      <c r="F199">
        <v>179297339</v>
      </c>
      <c r="G199">
        <v>0</v>
      </c>
      <c r="L199" t="s">
        <v>7</v>
      </c>
      <c r="M199" t="s">
        <v>7</v>
      </c>
      <c r="N199" t="s">
        <v>7</v>
      </c>
      <c r="P199">
        <f t="shared" si="934"/>
        <v>-0.647826086956523</v>
      </c>
      <c r="Q199">
        <f t="shared" si="935"/>
        <v>-116153493.52608718</v>
      </c>
      <c r="R199">
        <f t="shared" si="936"/>
        <v>-4863097854.6490955</v>
      </c>
      <c r="S199">
        <f t="shared" si="937"/>
        <v>-48630.978546490958</v>
      </c>
      <c r="T199">
        <f t="shared" si="938"/>
        <v>-48.630978546490958</v>
      </c>
    </row>
    <row r="200" spans="1:20" x14ac:dyDescent="0.25">
      <c r="A200" s="5">
        <v>44393</v>
      </c>
      <c r="B200">
        <v>9.3050000000000008E-3</v>
      </c>
      <c r="C200">
        <v>9.7940000000000006E-3</v>
      </c>
      <c r="D200">
        <v>9.0080000000000004E-3</v>
      </c>
      <c r="E200">
        <v>9.1400000000000006E-3</v>
      </c>
      <c r="F200">
        <v>258100539</v>
      </c>
      <c r="G200">
        <v>0</v>
      </c>
      <c r="L200" t="s">
        <v>7</v>
      </c>
      <c r="M200" t="s">
        <v>7</v>
      </c>
      <c r="N200" t="s">
        <v>7</v>
      </c>
      <c r="P200">
        <f t="shared" si="934"/>
        <v>-0.66412213740457982</v>
      </c>
      <c r="Q200">
        <f t="shared" si="935"/>
        <v>-171410281.62595412</v>
      </c>
      <c r="R200">
        <f t="shared" si="936"/>
        <v>-4746944361.1230087</v>
      </c>
      <c r="S200">
        <f t="shared" si="937"/>
        <v>-47469.44361123009</v>
      </c>
      <c r="T200">
        <f t="shared" si="938"/>
        <v>-47.469443611230091</v>
      </c>
    </row>
    <row r="201" spans="1:20" x14ac:dyDescent="0.25">
      <c r="A201" s="5">
        <v>44392</v>
      </c>
      <c r="B201">
        <v>9.9919999999999991E-3</v>
      </c>
      <c r="C201">
        <v>1.01E-2</v>
      </c>
      <c r="D201">
        <v>9.1999999999999998E-3</v>
      </c>
      <c r="E201">
        <v>9.2929999999999992E-3</v>
      </c>
      <c r="F201">
        <v>171016126</v>
      </c>
      <c r="G201">
        <v>0</v>
      </c>
      <c r="L201" t="s">
        <v>8</v>
      </c>
      <c r="M201" t="s">
        <v>7</v>
      </c>
      <c r="N201" t="s">
        <v>7</v>
      </c>
      <c r="P201">
        <f t="shared" si="934"/>
        <v>-0.79333333333333478</v>
      </c>
      <c r="Q201">
        <f t="shared" si="935"/>
        <v>-135672793.29333359</v>
      </c>
      <c r="R201">
        <f t="shared" si="936"/>
        <v>-4575534079.4970551</v>
      </c>
      <c r="S201">
        <f t="shared" si="937"/>
        <v>-45755.340794970551</v>
      </c>
      <c r="T201">
        <f t="shared" si="938"/>
        <v>-45.75534079497055</v>
      </c>
    </row>
    <row r="202" spans="1:20" x14ac:dyDescent="0.25">
      <c r="A202" s="5">
        <v>44391</v>
      </c>
      <c r="B202">
        <v>9.9270000000000001E-3</v>
      </c>
      <c r="C202">
        <v>1.0081E-2</v>
      </c>
      <c r="D202">
        <v>9.1199999999999996E-3</v>
      </c>
      <c r="E202">
        <v>9.9909999999999999E-3</v>
      </c>
      <c r="F202">
        <v>382683517</v>
      </c>
      <c r="G202">
        <v>0</v>
      </c>
      <c r="L202" t="s">
        <v>7</v>
      </c>
      <c r="M202" t="s">
        <v>7</v>
      </c>
      <c r="N202" t="s">
        <v>7</v>
      </c>
      <c r="P202">
        <f t="shared" si="934"/>
        <v>0.81269510926118671</v>
      </c>
      <c r="Q202">
        <f t="shared" si="935"/>
        <v>311005022.66077018</v>
      </c>
      <c r="R202">
        <f t="shared" si="936"/>
        <v>-4439861286.203721</v>
      </c>
      <c r="S202">
        <f t="shared" si="937"/>
        <v>-44398.612862037211</v>
      </c>
      <c r="T202">
        <f t="shared" si="938"/>
        <v>-44.398612862037211</v>
      </c>
    </row>
    <row r="203" spans="1:20" x14ac:dyDescent="0.25">
      <c r="A203" s="5">
        <v>44390</v>
      </c>
      <c r="B203">
        <v>1.0565E-2</v>
      </c>
      <c r="C203">
        <v>1.0567999999999999E-2</v>
      </c>
      <c r="D203">
        <v>9.6790000000000001E-3</v>
      </c>
      <c r="E203">
        <v>9.9080000000000001E-3</v>
      </c>
      <c r="F203">
        <v>256473095</v>
      </c>
      <c r="G203">
        <v>0</v>
      </c>
      <c r="L203" t="s">
        <v>7</v>
      </c>
      <c r="M203" t="s">
        <v>7</v>
      </c>
      <c r="N203" t="s">
        <v>7</v>
      </c>
      <c r="P203">
        <f t="shared" si="934"/>
        <v>-0.48481439820022443</v>
      </c>
      <c r="Q203">
        <f t="shared" si="935"/>
        <v>-124341849.20697398</v>
      </c>
      <c r="R203">
        <f t="shared" si="936"/>
        <v>-4750866308.8644915</v>
      </c>
      <c r="S203">
        <f t="shared" si="937"/>
        <v>-47508.663088644913</v>
      </c>
      <c r="T203">
        <f t="shared" si="938"/>
        <v>-47.508663088644916</v>
      </c>
    </row>
    <row r="204" spans="1:20" x14ac:dyDescent="0.25">
      <c r="A204" s="5">
        <v>44389</v>
      </c>
      <c r="B204">
        <v>1.1127E-2</v>
      </c>
      <c r="C204">
        <v>1.1280999999999999E-2</v>
      </c>
      <c r="D204">
        <v>1.03E-2</v>
      </c>
      <c r="E204">
        <v>1.0553999999999999E-2</v>
      </c>
      <c r="F204">
        <v>404502621</v>
      </c>
      <c r="G204">
        <v>0</v>
      </c>
      <c r="L204" t="s">
        <v>7</v>
      </c>
      <c r="M204" t="s">
        <v>7</v>
      </c>
      <c r="N204" t="s">
        <v>7</v>
      </c>
      <c r="P204">
        <f t="shared" si="934"/>
        <v>-0.48216106014271309</v>
      </c>
      <c r="Q204">
        <f t="shared" si="935"/>
        <v>-195035412.5718661</v>
      </c>
      <c r="R204">
        <f t="shared" si="936"/>
        <v>-4626524459.6575174</v>
      </c>
      <c r="S204">
        <f t="shared" si="937"/>
        <v>-46265.244596575176</v>
      </c>
      <c r="T204">
        <f t="shared" si="938"/>
        <v>-46.265244596575172</v>
      </c>
    </row>
    <row r="205" spans="1:20" x14ac:dyDescent="0.25">
      <c r="A205" s="5">
        <v>44388</v>
      </c>
      <c r="B205">
        <v>1.0932000000000001E-2</v>
      </c>
      <c r="C205">
        <v>1.1143999999999999E-2</v>
      </c>
      <c r="D205">
        <v>1.0751999999999999E-2</v>
      </c>
      <c r="E205">
        <v>1.1128000000000001E-2</v>
      </c>
      <c r="F205">
        <v>162829545</v>
      </c>
      <c r="G205">
        <v>0</v>
      </c>
      <c r="L205" t="s">
        <v>8</v>
      </c>
      <c r="M205" t="s">
        <v>7</v>
      </c>
      <c r="N205" t="s">
        <v>7</v>
      </c>
      <c r="P205">
        <f t="shared" si="934"/>
        <v>0.91836734693878241</v>
      </c>
      <c r="Q205">
        <f t="shared" si="935"/>
        <v>149537337.24489909</v>
      </c>
      <c r="R205">
        <f t="shared" si="936"/>
        <v>-4431489047.0856514</v>
      </c>
      <c r="S205">
        <f t="shared" si="937"/>
        <v>-44314.890470856517</v>
      </c>
      <c r="T205">
        <f t="shared" si="938"/>
        <v>-44.314890470856518</v>
      </c>
    </row>
    <row r="206" spans="1:20" x14ac:dyDescent="0.25">
      <c r="A206" s="5">
        <v>44387</v>
      </c>
      <c r="B206">
        <v>1.1254999999999999E-2</v>
      </c>
      <c r="C206">
        <v>1.1316E-2</v>
      </c>
      <c r="D206">
        <v>1.0744E-2</v>
      </c>
      <c r="E206">
        <v>1.0926E-2</v>
      </c>
      <c r="F206">
        <v>187890035</v>
      </c>
      <c r="G206">
        <v>0</v>
      </c>
      <c r="L206" t="s">
        <v>8</v>
      </c>
      <c r="M206" t="s">
        <v>7</v>
      </c>
      <c r="N206" t="s">
        <v>7</v>
      </c>
      <c r="P206">
        <f t="shared" si="934"/>
        <v>-0.36363636363636365</v>
      </c>
      <c r="Q206">
        <f t="shared" si="935"/>
        <v>-68323649.090909094</v>
      </c>
      <c r="R206">
        <f t="shared" si="936"/>
        <v>-4581026384.3305502</v>
      </c>
      <c r="S206">
        <f t="shared" si="937"/>
        <v>-45810.263843305504</v>
      </c>
      <c r="T206">
        <f t="shared" si="938"/>
        <v>-45.810263843305506</v>
      </c>
    </row>
    <row r="207" spans="1:20" x14ac:dyDescent="0.25">
      <c r="A207" s="5">
        <v>44386</v>
      </c>
      <c r="B207">
        <v>1.0591E-2</v>
      </c>
      <c r="C207">
        <v>1.18E-2</v>
      </c>
      <c r="D207">
        <v>1.0234999999999999E-2</v>
      </c>
      <c r="E207">
        <v>1.1245E-2</v>
      </c>
      <c r="F207">
        <v>400414804</v>
      </c>
      <c r="G207">
        <v>0</v>
      </c>
      <c r="L207" t="s">
        <v>7</v>
      </c>
      <c r="M207" t="s">
        <v>7</v>
      </c>
      <c r="N207" t="s">
        <v>7</v>
      </c>
      <c r="P207">
        <f t="shared" si="934"/>
        <v>0.29073482428115044</v>
      </c>
      <c r="Q207">
        <f t="shared" si="935"/>
        <v>116414527.6805113</v>
      </c>
      <c r="R207">
        <f t="shared" si="936"/>
        <v>-4512702735.2396412</v>
      </c>
      <c r="S207">
        <f t="shared" si="937"/>
        <v>-45127.027352396413</v>
      </c>
      <c r="T207">
        <f t="shared" si="938"/>
        <v>-45.127027352396411</v>
      </c>
    </row>
    <row r="208" spans="1:20" x14ac:dyDescent="0.25">
      <c r="A208" s="5">
        <v>44385</v>
      </c>
      <c r="B208">
        <v>1.1474E-2</v>
      </c>
      <c r="C208">
        <v>1.1544E-2</v>
      </c>
      <c r="D208">
        <v>1.04E-2</v>
      </c>
      <c r="E208">
        <v>1.0611000000000001E-2</v>
      </c>
      <c r="F208">
        <v>322564591</v>
      </c>
      <c r="G208">
        <v>0</v>
      </c>
      <c r="L208" t="s">
        <v>7</v>
      </c>
      <c r="M208" t="s">
        <v>7</v>
      </c>
      <c r="N208" t="s">
        <v>7</v>
      </c>
      <c r="P208">
        <f t="shared" si="934"/>
        <v>-0.63111888111887948</v>
      </c>
      <c r="Q208">
        <f t="shared" si="935"/>
        <v>-203576603.76048899</v>
      </c>
      <c r="R208">
        <f t="shared" si="936"/>
        <v>-4629117262.9201527</v>
      </c>
      <c r="S208">
        <f t="shared" si="937"/>
        <v>-46291.17262920153</v>
      </c>
      <c r="T208">
        <f t="shared" si="938"/>
        <v>-46.291172629201533</v>
      </c>
    </row>
    <row r="209" spans="1:20" x14ac:dyDescent="0.25">
      <c r="A209" s="5">
        <v>44384</v>
      </c>
      <c r="B209">
        <v>1.1566999999999999E-2</v>
      </c>
      <c r="C209">
        <v>1.1965E-2</v>
      </c>
      <c r="D209">
        <v>1.1110999999999999E-2</v>
      </c>
      <c r="E209">
        <v>1.1488E-2</v>
      </c>
      <c r="F209">
        <v>439361831</v>
      </c>
      <c r="G209">
        <v>0</v>
      </c>
      <c r="L209" t="s">
        <v>8</v>
      </c>
      <c r="M209" t="s">
        <v>7</v>
      </c>
      <c r="N209" t="s">
        <v>7</v>
      </c>
      <c r="P209">
        <f t="shared" si="934"/>
        <v>-0.11709601873536221</v>
      </c>
      <c r="Q209">
        <f t="shared" si="935"/>
        <v>-51447521.194379047</v>
      </c>
      <c r="R209">
        <f t="shared" si="936"/>
        <v>-4425540659.1596632</v>
      </c>
      <c r="S209">
        <f t="shared" si="937"/>
        <v>-44255.406591596635</v>
      </c>
      <c r="T209">
        <f t="shared" si="938"/>
        <v>-44.255406591596632</v>
      </c>
    </row>
    <row r="210" spans="1:20" x14ac:dyDescent="0.25">
      <c r="A210" s="5">
        <v>44383</v>
      </c>
      <c r="B210">
        <v>1.1767E-2</v>
      </c>
      <c r="C210">
        <v>1.2E-2</v>
      </c>
      <c r="D210">
        <v>1.0999E-2</v>
      </c>
      <c r="E210">
        <v>1.1572000000000001E-2</v>
      </c>
      <c r="F210">
        <v>982348337</v>
      </c>
      <c r="G210">
        <v>0</v>
      </c>
      <c r="L210" t="s">
        <v>7</v>
      </c>
      <c r="M210" t="s">
        <v>7</v>
      </c>
      <c r="N210" t="s">
        <v>7</v>
      </c>
      <c r="P210">
        <f t="shared" si="934"/>
        <v>0.14485514485514586</v>
      </c>
      <c r="Q210">
        <f t="shared" si="935"/>
        <v>142298210.65434664</v>
      </c>
      <c r="R210">
        <f t="shared" si="936"/>
        <v>-4374093137.9652843</v>
      </c>
      <c r="S210">
        <f t="shared" si="937"/>
        <v>-43740.931379652844</v>
      </c>
      <c r="T210">
        <f t="shared" si="938"/>
        <v>-43.740931379652842</v>
      </c>
    </row>
    <row r="211" spans="1:20" x14ac:dyDescent="0.25">
      <c r="A211" s="5">
        <v>44382</v>
      </c>
      <c r="B211">
        <v>1.2295E-2</v>
      </c>
      <c r="C211">
        <v>1.2305E-2</v>
      </c>
      <c r="D211">
        <v>1.15E-2</v>
      </c>
      <c r="E211">
        <v>1.1771E-2</v>
      </c>
      <c r="F211">
        <v>130595041</v>
      </c>
      <c r="G211">
        <v>0</v>
      </c>
      <c r="L211" t="s">
        <v>7</v>
      </c>
      <c r="M211" t="s">
        <v>8</v>
      </c>
      <c r="N211" t="s">
        <v>7</v>
      </c>
      <c r="P211">
        <f t="shared" si="934"/>
        <v>-0.32670807453416062</v>
      </c>
      <c r="Q211">
        <f t="shared" si="935"/>
        <v>-42666454.388819762</v>
      </c>
      <c r="R211">
        <f t="shared" si="936"/>
        <v>-4516391348.6196308</v>
      </c>
      <c r="S211">
        <f t="shared" si="937"/>
        <v>-45163.91348619631</v>
      </c>
      <c r="T211">
        <f t="shared" si="938"/>
        <v>-45.163913486196307</v>
      </c>
    </row>
    <row r="212" spans="1:20" x14ac:dyDescent="0.25">
      <c r="A212" s="5">
        <v>44381</v>
      </c>
      <c r="B212">
        <v>1.2266000000000001E-2</v>
      </c>
      <c r="C212">
        <v>1.2572E-2</v>
      </c>
      <c r="D212">
        <v>1.2E-2</v>
      </c>
      <c r="E212">
        <v>1.2291E-2</v>
      </c>
      <c r="F212">
        <v>129196825</v>
      </c>
      <c r="G212">
        <v>0</v>
      </c>
      <c r="L212" t="s">
        <v>8</v>
      </c>
      <c r="M212" t="s">
        <v>8</v>
      </c>
      <c r="N212" t="s">
        <v>7</v>
      </c>
      <c r="P212">
        <f t="shared" si="934"/>
        <v>1.7482517482516783E-2</v>
      </c>
      <c r="Q212">
        <f t="shared" si="935"/>
        <v>2258685.7517481614</v>
      </c>
      <c r="R212">
        <f t="shared" si="936"/>
        <v>-4473724894.2308111</v>
      </c>
      <c r="S212">
        <f t="shared" si="937"/>
        <v>-44737.248942308113</v>
      </c>
      <c r="T212">
        <f t="shared" si="938"/>
        <v>-44.737248942308113</v>
      </c>
    </row>
    <row r="213" spans="1:20" x14ac:dyDescent="0.25">
      <c r="A213" s="5">
        <v>44380</v>
      </c>
      <c r="B213">
        <v>1.2007E-2</v>
      </c>
      <c r="C213">
        <v>1.24E-2</v>
      </c>
      <c r="D213">
        <v>1.1901E-2</v>
      </c>
      <c r="E213">
        <v>1.2266000000000001E-2</v>
      </c>
      <c r="F213">
        <v>165845756</v>
      </c>
      <c r="G213">
        <v>0</v>
      </c>
      <c r="L213" t="s">
        <v>8</v>
      </c>
      <c r="M213" t="s">
        <v>8</v>
      </c>
      <c r="N213" t="s">
        <v>7</v>
      </c>
      <c r="P213">
        <f t="shared" si="934"/>
        <v>0.46292585170341138</v>
      </c>
      <c r="Q213">
        <f t="shared" si="935"/>
        <v>76774287.847696155</v>
      </c>
      <c r="R213">
        <f t="shared" si="936"/>
        <v>-4475983579.9825592</v>
      </c>
      <c r="S213">
        <f t="shared" si="937"/>
        <v>-44759.835799825589</v>
      </c>
      <c r="T213">
        <f t="shared" si="938"/>
        <v>-44.759835799825588</v>
      </c>
    </row>
    <row r="214" spans="1:20" x14ac:dyDescent="0.25">
      <c r="A214" s="5">
        <v>44379</v>
      </c>
      <c r="B214">
        <v>1.196E-2</v>
      </c>
      <c r="C214">
        <v>1.2356000000000001E-2</v>
      </c>
      <c r="D214">
        <v>1.1438E-2</v>
      </c>
      <c r="E214">
        <v>1.1996E-2</v>
      </c>
      <c r="F214">
        <v>135107675</v>
      </c>
      <c r="G214">
        <v>0</v>
      </c>
      <c r="L214" t="s">
        <v>7</v>
      </c>
      <c r="M214" t="s">
        <v>8</v>
      </c>
      <c r="N214" t="s">
        <v>7</v>
      </c>
      <c r="P214">
        <f t="shared" si="934"/>
        <v>0.21568627450980221</v>
      </c>
      <c r="Q214">
        <f t="shared" si="935"/>
        <v>29140871.078431141</v>
      </c>
      <c r="R214">
        <f t="shared" si="936"/>
        <v>-4552757867.8302555</v>
      </c>
      <c r="S214">
        <f t="shared" si="937"/>
        <v>-45527.578678302554</v>
      </c>
      <c r="T214">
        <f t="shared" si="938"/>
        <v>-45.527578678302554</v>
      </c>
    </row>
    <row r="215" spans="1:20" x14ac:dyDescent="0.25">
      <c r="A215" s="5">
        <v>44378</v>
      </c>
      <c r="B215">
        <v>1.2602E-2</v>
      </c>
      <c r="C215">
        <v>1.2612999999999999E-2</v>
      </c>
      <c r="D215">
        <v>1.174E-2</v>
      </c>
      <c r="E215">
        <v>1.1990000000000001E-2</v>
      </c>
      <c r="F215">
        <v>137136059</v>
      </c>
      <c r="G215">
        <v>0</v>
      </c>
      <c r="L215" t="s">
        <v>8</v>
      </c>
      <c r="M215" t="s">
        <v>8</v>
      </c>
      <c r="N215" t="s">
        <v>7</v>
      </c>
      <c r="P215">
        <f t="shared" si="934"/>
        <v>-0.42726231386025071</v>
      </c>
      <c r="Q215">
        <f t="shared" si="935"/>
        <v>-58593069.882015862</v>
      </c>
      <c r="R215">
        <f t="shared" si="936"/>
        <v>-4581898738.9086866</v>
      </c>
      <c r="S215">
        <f t="shared" si="937"/>
        <v>-45818.987389086869</v>
      </c>
      <c r="T215">
        <f t="shared" si="938"/>
        <v>-45.818987389086871</v>
      </c>
    </row>
    <row r="216" spans="1:20" x14ac:dyDescent="0.25">
      <c r="A216" s="5">
        <v>44377</v>
      </c>
      <c r="B216">
        <v>1.2914999999999999E-2</v>
      </c>
      <c r="C216">
        <v>1.3039E-2</v>
      </c>
      <c r="D216">
        <v>1.1842E-2</v>
      </c>
      <c r="E216">
        <v>1.2583E-2</v>
      </c>
      <c r="F216">
        <v>333960461</v>
      </c>
      <c r="G216">
        <v>0</v>
      </c>
      <c r="L216" t="s">
        <v>7</v>
      </c>
      <c r="M216" t="s">
        <v>8</v>
      </c>
      <c r="N216" t="s">
        <v>7</v>
      </c>
      <c r="P216">
        <f t="shared" si="934"/>
        <v>0.2380952380952385</v>
      </c>
      <c r="Q216">
        <f t="shared" si="935"/>
        <v>79514395.476190612</v>
      </c>
      <c r="R216">
        <f t="shared" si="936"/>
        <v>-4523305669.0266705</v>
      </c>
      <c r="S216">
        <f t="shared" si="937"/>
        <v>-45233.056690266705</v>
      </c>
      <c r="T216">
        <f t="shared" si="938"/>
        <v>-45.233056690266707</v>
      </c>
    </row>
    <row r="217" spans="1:20" x14ac:dyDescent="0.25">
      <c r="A217" s="5">
        <v>44376</v>
      </c>
      <c r="B217">
        <v>1.2574999999999999E-2</v>
      </c>
      <c r="C217">
        <v>1.35E-2</v>
      </c>
      <c r="D217">
        <v>1.252E-2</v>
      </c>
      <c r="E217">
        <v>1.2945E-2</v>
      </c>
      <c r="F217">
        <v>220763110</v>
      </c>
      <c r="G217">
        <v>0</v>
      </c>
      <c r="L217" t="s">
        <v>8</v>
      </c>
      <c r="M217" t="s">
        <v>8</v>
      </c>
      <c r="N217" t="s">
        <v>7</v>
      </c>
      <c r="P217">
        <f t="shared" si="934"/>
        <v>-0.13265306122448969</v>
      </c>
      <c r="Q217">
        <f t="shared" si="935"/>
        <v>-29284902.346938752</v>
      </c>
      <c r="R217">
        <f t="shared" si="936"/>
        <v>-4602820064.502861</v>
      </c>
      <c r="S217">
        <f t="shared" si="937"/>
        <v>-46028.200645028614</v>
      </c>
      <c r="T217">
        <f t="shared" si="938"/>
        <v>-46.028200645028612</v>
      </c>
    </row>
    <row r="218" spans="1:20" x14ac:dyDescent="0.25">
      <c r="A218" s="5">
        <v>44375</v>
      </c>
      <c r="B218">
        <v>1.2409999999999999E-2</v>
      </c>
      <c r="C218">
        <v>1.3084999999999999E-2</v>
      </c>
      <c r="D218">
        <v>1.1783999999999999E-2</v>
      </c>
      <c r="E218">
        <v>1.2573000000000001E-2</v>
      </c>
      <c r="F218">
        <v>264473241</v>
      </c>
      <c r="G218">
        <v>0</v>
      </c>
      <c r="L218" t="s">
        <v>8</v>
      </c>
      <c r="M218" t="s">
        <v>8</v>
      </c>
      <c r="N218" t="s">
        <v>7</v>
      </c>
      <c r="P218">
        <f t="shared" si="934"/>
        <v>0.21291314373559025</v>
      </c>
      <c r="Q218">
        <f t="shared" si="935"/>
        <v>56309829.175250404</v>
      </c>
      <c r="R218">
        <f t="shared" si="936"/>
        <v>-4573535162.1559219</v>
      </c>
      <c r="S218">
        <f t="shared" si="937"/>
        <v>-45735.351621559217</v>
      </c>
      <c r="T218">
        <f t="shared" si="938"/>
        <v>-45.735351621559218</v>
      </c>
    </row>
    <row r="219" spans="1:20" x14ac:dyDescent="0.25">
      <c r="A219" s="5">
        <v>44374</v>
      </c>
      <c r="B219">
        <v>1.1726E-2</v>
      </c>
      <c r="C219">
        <v>1.2444E-2</v>
      </c>
      <c r="D219">
        <v>1.1563E-2</v>
      </c>
      <c r="E219">
        <v>1.2409999999999999E-2</v>
      </c>
      <c r="F219">
        <v>148955493</v>
      </c>
      <c r="G219">
        <v>0</v>
      </c>
      <c r="L219" t="s">
        <v>8</v>
      </c>
      <c r="M219" t="s">
        <v>8</v>
      </c>
      <c r="N219" t="s">
        <v>7</v>
      </c>
      <c r="P219">
        <f t="shared" si="934"/>
        <v>0.92281498297389097</v>
      </c>
      <c r="Q219">
        <f t="shared" si="935"/>
        <v>137458360.73666254</v>
      </c>
      <c r="R219">
        <f t="shared" si="936"/>
        <v>-4629844991.331172</v>
      </c>
      <c r="S219">
        <f t="shared" si="937"/>
        <v>-46298.449913311721</v>
      </c>
      <c r="T219">
        <f t="shared" si="938"/>
        <v>-46.298449913311721</v>
      </c>
    </row>
    <row r="220" spans="1:20" x14ac:dyDescent="0.25">
      <c r="A220" s="5">
        <v>44373</v>
      </c>
      <c r="B220">
        <v>1.1487000000000001E-2</v>
      </c>
      <c r="C220">
        <v>1.1977E-2</v>
      </c>
      <c r="D220">
        <v>1.0751E-2</v>
      </c>
      <c r="E220">
        <v>1.1767E-2</v>
      </c>
      <c r="F220">
        <v>178070834</v>
      </c>
      <c r="G220">
        <v>0</v>
      </c>
      <c r="L220" t="s">
        <v>7</v>
      </c>
      <c r="M220" t="s">
        <v>8</v>
      </c>
      <c r="N220" t="s">
        <v>7</v>
      </c>
      <c r="P220">
        <f t="shared" si="934"/>
        <v>0.65742251223490999</v>
      </c>
      <c r="Q220">
        <f t="shared" si="935"/>
        <v>117067775.04404563</v>
      </c>
      <c r="R220">
        <f t="shared" si="936"/>
        <v>-4767303352.0678349</v>
      </c>
      <c r="S220">
        <f t="shared" si="937"/>
        <v>-47673.033520678349</v>
      </c>
      <c r="T220">
        <f t="shared" si="938"/>
        <v>-47.673033520678352</v>
      </c>
    </row>
    <row r="221" spans="1:20" x14ac:dyDescent="0.25">
      <c r="A221" s="5">
        <v>44372</v>
      </c>
      <c r="B221">
        <v>1.2826000000000001E-2</v>
      </c>
      <c r="C221">
        <v>1.2951000000000001E-2</v>
      </c>
      <c r="D221">
        <v>1.1377999999999999E-2</v>
      </c>
      <c r="E221">
        <v>1.1494000000000001E-2</v>
      </c>
      <c r="F221">
        <v>219341951</v>
      </c>
      <c r="G221">
        <v>0</v>
      </c>
      <c r="L221" t="s">
        <v>7</v>
      </c>
      <c r="M221" t="s">
        <v>8</v>
      </c>
      <c r="N221" t="s">
        <v>7</v>
      </c>
      <c r="P221">
        <f t="shared" si="934"/>
        <v>-0.85251112523839623</v>
      </c>
      <c r="Q221">
        <f t="shared" si="935"/>
        <v>-186991453.45899516</v>
      </c>
      <c r="R221">
        <f t="shared" si="936"/>
        <v>-4884371127.1118803</v>
      </c>
      <c r="S221">
        <f t="shared" si="937"/>
        <v>-48843.711271118802</v>
      </c>
      <c r="T221">
        <f t="shared" si="938"/>
        <v>-48.843711271118799</v>
      </c>
    </row>
    <row r="222" spans="1:20" x14ac:dyDescent="0.25">
      <c r="A222" s="5">
        <v>44371</v>
      </c>
      <c r="B222">
        <v>1.2274999999999999E-2</v>
      </c>
      <c r="C222">
        <v>1.289E-2</v>
      </c>
      <c r="D222">
        <v>1.1566E-2</v>
      </c>
      <c r="E222">
        <v>1.282E-2</v>
      </c>
      <c r="F222">
        <v>207438275</v>
      </c>
      <c r="G222">
        <v>0</v>
      </c>
      <c r="L222" t="s">
        <v>7</v>
      </c>
      <c r="M222" t="s">
        <v>8</v>
      </c>
      <c r="N222" t="s">
        <v>7</v>
      </c>
      <c r="P222">
        <f t="shared" si="934"/>
        <v>0.89425981873111693</v>
      </c>
      <c r="Q222">
        <f t="shared" si="935"/>
        <v>185503714.1993956</v>
      </c>
      <c r="R222">
        <f t="shared" si="936"/>
        <v>-4697379673.6528854</v>
      </c>
      <c r="S222">
        <f t="shared" si="937"/>
        <v>-46973.796736528857</v>
      </c>
      <c r="T222">
        <f t="shared" si="938"/>
        <v>-46.973796736528854</v>
      </c>
    </row>
    <row r="223" spans="1:20" x14ac:dyDescent="0.25">
      <c r="A223" s="5">
        <v>44370</v>
      </c>
      <c r="B223">
        <v>1.2154E-2</v>
      </c>
      <c r="C223">
        <v>1.2942E-2</v>
      </c>
      <c r="D223">
        <v>1.1572000000000001E-2</v>
      </c>
      <c r="E223">
        <v>1.2274999999999999E-2</v>
      </c>
      <c r="F223">
        <v>281988648</v>
      </c>
      <c r="G223">
        <v>0</v>
      </c>
      <c r="L223" t="s">
        <v>8</v>
      </c>
      <c r="M223" t="s">
        <v>8</v>
      </c>
      <c r="N223" t="s">
        <v>7</v>
      </c>
      <c r="P223">
        <f t="shared" si="934"/>
        <v>2.6277372262772151E-2</v>
      </c>
      <c r="Q223">
        <f t="shared" si="935"/>
        <v>7409920.6773718195</v>
      </c>
      <c r="R223">
        <f t="shared" si="936"/>
        <v>-4882883387.8522806</v>
      </c>
      <c r="S223">
        <f t="shared" si="937"/>
        <v>-48828.833878522804</v>
      </c>
      <c r="T223">
        <f t="shared" si="938"/>
        <v>-48.828833878522808</v>
      </c>
    </row>
    <row r="224" spans="1:20" x14ac:dyDescent="0.25">
      <c r="A224" s="5">
        <v>44369</v>
      </c>
      <c r="B224">
        <v>1.1790999999999999E-2</v>
      </c>
      <c r="C224">
        <v>1.2938E-2</v>
      </c>
      <c r="D224">
        <v>0.01</v>
      </c>
      <c r="E224">
        <v>1.2154E-2</v>
      </c>
      <c r="F224">
        <v>605587513</v>
      </c>
      <c r="G224">
        <v>0</v>
      </c>
      <c r="L224" t="s">
        <v>7</v>
      </c>
      <c r="M224" t="s">
        <v>7</v>
      </c>
      <c r="N224" t="s">
        <v>7</v>
      </c>
      <c r="P224">
        <f t="shared" si="934"/>
        <v>0.46630360789652819</v>
      </c>
      <c r="Q224">
        <f t="shared" si="935"/>
        <v>282387642.20898569</v>
      </c>
      <c r="R224">
        <f t="shared" si="936"/>
        <v>-4890293308.5296526</v>
      </c>
      <c r="S224">
        <f t="shared" si="937"/>
        <v>-48902.933085296529</v>
      </c>
      <c r="T224">
        <f t="shared" si="938"/>
        <v>-48.902933085296532</v>
      </c>
    </row>
    <row r="225" spans="1:20" x14ac:dyDescent="0.25">
      <c r="A225" s="5">
        <v>44368</v>
      </c>
      <c r="B225">
        <v>1.5625E-2</v>
      </c>
      <c r="C225">
        <v>1.5716999999999998E-2</v>
      </c>
      <c r="D225">
        <v>1.1299999999999999E-2</v>
      </c>
      <c r="E225">
        <v>1.1821999999999999E-2</v>
      </c>
      <c r="F225">
        <v>467073419</v>
      </c>
      <c r="G225">
        <v>0</v>
      </c>
      <c r="L225" t="s">
        <v>7</v>
      </c>
      <c r="M225" t="s">
        <v>7</v>
      </c>
      <c r="N225" t="s">
        <v>7</v>
      </c>
      <c r="P225">
        <f t="shared" si="934"/>
        <v>-0.76364047996377626</v>
      </c>
      <c r="Q225">
        <f t="shared" si="935"/>
        <v>-356676169.863482</v>
      </c>
      <c r="R225">
        <f t="shared" si="936"/>
        <v>-5172680950.7386379</v>
      </c>
      <c r="S225">
        <f t="shared" si="937"/>
        <v>-51726.809507386381</v>
      </c>
      <c r="T225">
        <f t="shared" si="938"/>
        <v>-51.726809507386378</v>
      </c>
    </row>
    <row r="226" spans="1:20" x14ac:dyDescent="0.25">
      <c r="A226" s="5">
        <v>44367</v>
      </c>
      <c r="B226">
        <v>1.593E-2</v>
      </c>
      <c r="C226">
        <v>1.5984999999999999E-2</v>
      </c>
      <c r="D226">
        <v>1.4121999999999999E-2</v>
      </c>
      <c r="E226">
        <v>1.562E-2</v>
      </c>
      <c r="F226">
        <v>248864989</v>
      </c>
      <c r="G226">
        <v>0</v>
      </c>
      <c r="L226" t="s">
        <v>7</v>
      </c>
      <c r="M226" t="s">
        <v>7</v>
      </c>
      <c r="N226" t="s">
        <v>7</v>
      </c>
      <c r="P226">
        <f t="shared" si="934"/>
        <v>0.6081588835212034</v>
      </c>
      <c r="Q226">
        <f t="shared" si="935"/>
        <v>151349453.85775656</v>
      </c>
      <c r="R226">
        <f t="shared" si="936"/>
        <v>-4816004780.8751554</v>
      </c>
      <c r="S226">
        <f t="shared" si="937"/>
        <v>-48160.047808751551</v>
      </c>
      <c r="T226">
        <f t="shared" si="938"/>
        <v>-48.16004780875155</v>
      </c>
    </row>
    <row r="227" spans="1:20" x14ac:dyDescent="0.25">
      <c r="A227" s="5">
        <v>44366</v>
      </c>
      <c r="B227">
        <v>1.6060000000000001E-2</v>
      </c>
      <c r="C227">
        <v>1.6566999999999998E-2</v>
      </c>
      <c r="D227">
        <v>1.554E-2</v>
      </c>
      <c r="E227">
        <v>1.5931000000000001E-2</v>
      </c>
      <c r="F227">
        <v>221967790</v>
      </c>
      <c r="G227">
        <v>0</v>
      </c>
      <c r="L227" t="s">
        <v>7</v>
      </c>
      <c r="M227" t="s">
        <v>7</v>
      </c>
      <c r="N227" t="s">
        <v>7</v>
      </c>
      <c r="P227">
        <f t="shared" si="934"/>
        <v>-0.23855890944498281</v>
      </c>
      <c r="Q227">
        <f t="shared" si="935"/>
        <v>-52952393.914312959</v>
      </c>
      <c r="R227">
        <f t="shared" si="936"/>
        <v>-4967354234.7329121</v>
      </c>
      <c r="S227">
        <f t="shared" si="937"/>
        <v>-49673.542347329123</v>
      </c>
      <c r="T227">
        <f t="shared" si="938"/>
        <v>-49.673542347329125</v>
      </c>
    </row>
    <row r="228" spans="1:20" x14ac:dyDescent="0.25">
      <c r="A228" s="5">
        <v>44365</v>
      </c>
      <c r="B228">
        <v>1.7415E-2</v>
      </c>
      <c r="C228">
        <v>1.7843000000000001E-2</v>
      </c>
      <c r="D228">
        <v>1.5441E-2</v>
      </c>
      <c r="E228">
        <v>1.6049000000000001E-2</v>
      </c>
      <c r="F228">
        <v>372471349</v>
      </c>
      <c r="G228">
        <v>0</v>
      </c>
      <c r="L228" t="s">
        <v>7</v>
      </c>
      <c r="M228" t="s">
        <v>7</v>
      </c>
      <c r="N228" t="s">
        <v>7</v>
      </c>
      <c r="P228">
        <f t="shared" si="934"/>
        <v>-0.493755203996669</v>
      </c>
      <c r="Q228">
        <f t="shared" si="935"/>
        <v>-183909666.90840951</v>
      </c>
      <c r="R228">
        <f t="shared" si="936"/>
        <v>-4914401840.8185987</v>
      </c>
      <c r="S228">
        <f t="shared" si="937"/>
        <v>-49144.018408185984</v>
      </c>
      <c r="T228">
        <f t="shared" si="938"/>
        <v>-49.144018408185985</v>
      </c>
    </row>
    <row r="229" spans="1:20" x14ac:dyDescent="0.25">
      <c r="A229" s="5">
        <v>44364</v>
      </c>
      <c r="B229">
        <v>1.7121999999999998E-2</v>
      </c>
      <c r="C229">
        <v>1.8568999999999999E-2</v>
      </c>
      <c r="D229">
        <v>1.6809999999999999E-2</v>
      </c>
      <c r="E229">
        <v>1.7415E-2</v>
      </c>
      <c r="F229">
        <v>438806692</v>
      </c>
      <c r="G229">
        <v>0</v>
      </c>
      <c r="L229" t="s">
        <v>8</v>
      </c>
      <c r="M229" t="s">
        <v>8</v>
      </c>
      <c r="N229" t="s">
        <v>7</v>
      </c>
      <c r="P229">
        <f t="shared" si="934"/>
        <v>-0.31210915292779839</v>
      </c>
      <c r="Q229">
        <f t="shared" si="935"/>
        <v>-136955584.93916932</v>
      </c>
      <c r="R229">
        <f t="shared" si="936"/>
        <v>-4730492173.9101896</v>
      </c>
      <c r="S229">
        <f t="shared" si="937"/>
        <v>-47304.921739101897</v>
      </c>
      <c r="T229">
        <f t="shared" si="938"/>
        <v>-47.3049217391019</v>
      </c>
    </row>
    <row r="230" spans="1:20" x14ac:dyDescent="0.25">
      <c r="A230" s="5">
        <v>44363</v>
      </c>
      <c r="B230">
        <v>1.8110999999999999E-2</v>
      </c>
      <c r="C230">
        <v>1.8218999999999999E-2</v>
      </c>
      <c r="D230">
        <v>1.6837999999999999E-2</v>
      </c>
      <c r="E230">
        <v>1.7125000000000001E-2</v>
      </c>
      <c r="F230">
        <v>392203326</v>
      </c>
      <c r="G230">
        <v>0</v>
      </c>
      <c r="L230" t="s">
        <v>7</v>
      </c>
      <c r="M230" t="s">
        <v>8</v>
      </c>
      <c r="N230" t="s">
        <v>7</v>
      </c>
      <c r="P230">
        <f t="shared" si="934"/>
        <v>-0.58435916002896093</v>
      </c>
      <c r="Q230">
        <f t="shared" si="935"/>
        <v>-229187606.14192474</v>
      </c>
      <c r="R230">
        <f t="shared" si="936"/>
        <v>-4593536588.9710207</v>
      </c>
      <c r="S230">
        <f t="shared" si="937"/>
        <v>-45935.365889710207</v>
      </c>
      <c r="T230">
        <f t="shared" si="938"/>
        <v>-45.935365889710205</v>
      </c>
    </row>
    <row r="231" spans="1:20" x14ac:dyDescent="0.25">
      <c r="A231" s="5">
        <v>44362</v>
      </c>
      <c r="B231">
        <v>1.8589999999999999E-2</v>
      </c>
      <c r="C231">
        <v>1.9299E-2</v>
      </c>
      <c r="D231">
        <v>1.788E-2</v>
      </c>
      <c r="E231">
        <v>1.8127999999999998E-2</v>
      </c>
      <c r="F231">
        <v>462478699</v>
      </c>
      <c r="G231">
        <v>0</v>
      </c>
      <c r="L231" t="s">
        <v>7</v>
      </c>
      <c r="M231" t="s">
        <v>8</v>
      </c>
      <c r="N231" t="s">
        <v>7</v>
      </c>
      <c r="P231">
        <f t="shared" si="934"/>
        <v>-0.65045806906272274</v>
      </c>
      <c r="Q231">
        <f t="shared" si="935"/>
        <v>-300823001.53418016</v>
      </c>
      <c r="R231">
        <f t="shared" si="936"/>
        <v>-4364348982.8290958</v>
      </c>
      <c r="S231">
        <f t="shared" si="937"/>
        <v>-43643.489828290956</v>
      </c>
      <c r="T231">
        <f t="shared" si="938"/>
        <v>-43.643489828290953</v>
      </c>
    </row>
    <row r="232" spans="1:20" x14ac:dyDescent="0.25">
      <c r="A232" s="5">
        <v>44361</v>
      </c>
      <c r="B232">
        <v>1.8686000000000001E-2</v>
      </c>
      <c r="C232">
        <v>1.9060000000000001E-2</v>
      </c>
      <c r="D232">
        <v>1.813E-2</v>
      </c>
      <c r="E232">
        <v>1.8593999999999999E-2</v>
      </c>
      <c r="F232">
        <v>400616549</v>
      </c>
      <c r="G232">
        <v>0</v>
      </c>
      <c r="L232" t="s">
        <v>8</v>
      </c>
      <c r="M232" t="s">
        <v>7</v>
      </c>
      <c r="N232" t="s">
        <v>7</v>
      </c>
      <c r="P232">
        <f t="shared" si="934"/>
        <v>-2.1505376344107523E-3</v>
      </c>
      <c r="Q232">
        <f t="shared" si="935"/>
        <v>-861540.96559225931</v>
      </c>
      <c r="R232">
        <f t="shared" si="936"/>
        <v>-4063525981.2949152</v>
      </c>
      <c r="S232">
        <f t="shared" si="937"/>
        <v>-40635.259812949153</v>
      </c>
      <c r="T232">
        <f t="shared" si="938"/>
        <v>-40.635259812949151</v>
      </c>
    </row>
    <row r="233" spans="1:20" x14ac:dyDescent="0.25">
      <c r="A233" s="5">
        <v>44360</v>
      </c>
      <c r="B233">
        <v>1.8029E-2</v>
      </c>
      <c r="C233">
        <v>1.89E-2</v>
      </c>
      <c r="D233">
        <v>1.7250999999999999E-2</v>
      </c>
      <c r="E233">
        <v>1.8686000000000001E-2</v>
      </c>
      <c r="F233">
        <v>368473245</v>
      </c>
      <c r="G233">
        <v>0</v>
      </c>
      <c r="L233" t="s">
        <v>8</v>
      </c>
      <c r="M233" t="s">
        <v>7</v>
      </c>
      <c r="N233" t="s">
        <v>7</v>
      </c>
      <c r="P233">
        <f t="shared" si="934"/>
        <v>0.74044875682231803</v>
      </c>
      <c r="Q233">
        <f t="shared" si="935"/>
        <v>272835556.18253541</v>
      </c>
      <c r="R233">
        <f t="shared" si="936"/>
        <v>-4062664440.3293228</v>
      </c>
      <c r="S233">
        <f t="shared" si="937"/>
        <v>-40626.644403293227</v>
      </c>
      <c r="T233">
        <f t="shared" si="938"/>
        <v>-40.626644403293227</v>
      </c>
    </row>
    <row r="234" spans="1:20" x14ac:dyDescent="0.25">
      <c r="A234" s="5">
        <v>44359</v>
      </c>
      <c r="B234">
        <v>1.7337000000000002E-2</v>
      </c>
      <c r="C234">
        <v>1.9657000000000001E-2</v>
      </c>
      <c r="D234">
        <v>1.6191000000000001E-2</v>
      </c>
      <c r="E234">
        <v>1.8024999999999999E-2</v>
      </c>
      <c r="F234">
        <v>830754815</v>
      </c>
      <c r="G234">
        <v>0</v>
      </c>
      <c r="L234" t="s">
        <v>7</v>
      </c>
      <c r="M234" t="s">
        <v>7</v>
      </c>
      <c r="N234" t="s">
        <v>7</v>
      </c>
      <c r="P234">
        <f t="shared" si="934"/>
        <v>5.8280438545873427E-2</v>
      </c>
      <c r="Q234">
        <f t="shared" si="935"/>
        <v>48416754.942295946</v>
      </c>
      <c r="R234">
        <f t="shared" si="936"/>
        <v>-4335499996.511858</v>
      </c>
      <c r="S234">
        <f t="shared" si="937"/>
        <v>-43354.999965118579</v>
      </c>
      <c r="T234">
        <f t="shared" si="938"/>
        <v>-43.35499996511858</v>
      </c>
    </row>
    <row r="235" spans="1:20" x14ac:dyDescent="0.25">
      <c r="A235" s="5">
        <v>44358</v>
      </c>
      <c r="B235">
        <v>1.8457000000000001E-2</v>
      </c>
      <c r="C235">
        <v>1.8960999999999999E-2</v>
      </c>
      <c r="D235">
        <v>1.7100000000000001E-2</v>
      </c>
      <c r="E235">
        <v>1.7337000000000002E-2</v>
      </c>
      <c r="F235">
        <v>305216768</v>
      </c>
      <c r="G235">
        <v>0</v>
      </c>
      <c r="L235" t="s">
        <v>7</v>
      </c>
      <c r="M235" t="s">
        <v>7</v>
      </c>
      <c r="N235" t="s">
        <v>7</v>
      </c>
      <c r="P235">
        <f t="shared" si="934"/>
        <v>-0.74529822675980506</v>
      </c>
      <c r="Q235">
        <f t="shared" si="935"/>
        <v>-227477515.9677588</v>
      </c>
      <c r="R235">
        <f t="shared" si="936"/>
        <v>-4383916751.454154</v>
      </c>
      <c r="S235">
        <f t="shared" si="937"/>
        <v>-43839.167514541543</v>
      </c>
      <c r="T235">
        <f t="shared" si="938"/>
        <v>-43.839167514541543</v>
      </c>
    </row>
    <row r="236" spans="1:20" x14ac:dyDescent="0.25">
      <c r="A236" s="5">
        <v>44357</v>
      </c>
      <c r="B236">
        <v>2.0614E-2</v>
      </c>
      <c r="C236">
        <v>2.0996000000000001E-2</v>
      </c>
      <c r="D236">
        <v>1.8048000000000002E-2</v>
      </c>
      <c r="E236">
        <v>1.8443999999999999E-2</v>
      </c>
      <c r="F236">
        <v>600851745</v>
      </c>
      <c r="G236">
        <v>0</v>
      </c>
      <c r="L236" t="s">
        <v>7</v>
      </c>
      <c r="M236" t="s">
        <v>7</v>
      </c>
      <c r="N236" t="s">
        <v>7</v>
      </c>
      <c r="P236">
        <f t="shared" si="934"/>
        <v>-0.73134328358209144</v>
      </c>
      <c r="Q236">
        <f t="shared" si="935"/>
        <v>-439428888.1343295</v>
      </c>
      <c r="R236">
        <f t="shared" si="936"/>
        <v>-4156439235.4863949</v>
      </c>
      <c r="S236">
        <f t="shared" si="937"/>
        <v>-41564.39235486395</v>
      </c>
      <c r="T236">
        <f t="shared" si="938"/>
        <v>-41.564392354863948</v>
      </c>
    </row>
    <row r="237" spans="1:20" x14ac:dyDescent="0.25">
      <c r="A237" s="5">
        <v>44356</v>
      </c>
      <c r="B237">
        <v>1.7599E-2</v>
      </c>
      <c r="C237">
        <v>2.1225000000000001E-2</v>
      </c>
      <c r="D237">
        <v>1.7226999999999999E-2</v>
      </c>
      <c r="E237">
        <v>2.0552999999999998E-2</v>
      </c>
      <c r="F237">
        <v>958143477</v>
      </c>
      <c r="G237">
        <v>0</v>
      </c>
      <c r="L237" t="s">
        <v>8</v>
      </c>
      <c r="M237" t="s">
        <v>8</v>
      </c>
      <c r="N237" t="s">
        <v>7</v>
      </c>
      <c r="P237">
        <f t="shared" si="934"/>
        <v>0.66383191595797786</v>
      </c>
      <c r="Q237">
        <f t="shared" si="935"/>
        <v>636046220.0995487</v>
      </c>
      <c r="R237">
        <f t="shared" si="936"/>
        <v>-3717010347.3520656</v>
      </c>
      <c r="S237">
        <f t="shared" si="937"/>
        <v>-37170.103473520656</v>
      </c>
      <c r="T237">
        <f t="shared" si="938"/>
        <v>-37.170103473520655</v>
      </c>
    </row>
    <row r="238" spans="1:20" x14ac:dyDescent="0.25">
      <c r="A238" s="5">
        <v>44355</v>
      </c>
      <c r="B238">
        <v>1.8105E-2</v>
      </c>
      <c r="C238">
        <v>1.8837E-2</v>
      </c>
      <c r="D238">
        <v>1.5772999999999999E-2</v>
      </c>
      <c r="E238">
        <v>1.7659999999999999E-2</v>
      </c>
      <c r="F238">
        <v>832006370</v>
      </c>
      <c r="G238">
        <v>0</v>
      </c>
      <c r="L238" t="s">
        <v>7</v>
      </c>
      <c r="M238" t="s">
        <v>7</v>
      </c>
      <c r="N238" t="s">
        <v>7</v>
      </c>
      <c r="P238">
        <f t="shared" si="934"/>
        <v>0.23172323759791078</v>
      </c>
      <c r="Q238">
        <f t="shared" si="935"/>
        <v>192795209.75848526</v>
      </c>
      <c r="R238">
        <f t="shared" si="936"/>
        <v>-4353056567.4516144</v>
      </c>
      <c r="S238">
        <f t="shared" si="937"/>
        <v>-43530.565674516147</v>
      </c>
      <c r="T238">
        <f t="shared" si="938"/>
        <v>-43.530565674516147</v>
      </c>
    </row>
    <row r="239" spans="1:20" x14ac:dyDescent="0.25">
      <c r="A239" s="5">
        <v>44354</v>
      </c>
      <c r="B239">
        <v>2.0969000000000002E-2</v>
      </c>
      <c r="C239">
        <v>2.1684999999999999E-2</v>
      </c>
      <c r="D239">
        <v>1.7885999999999999E-2</v>
      </c>
      <c r="E239">
        <v>1.8057E-2</v>
      </c>
      <c r="F239">
        <v>762007246</v>
      </c>
      <c r="G239">
        <v>0</v>
      </c>
      <c r="L239" t="s">
        <v>7</v>
      </c>
      <c r="M239" t="s">
        <v>7</v>
      </c>
      <c r="N239" t="s">
        <v>7</v>
      </c>
      <c r="P239">
        <f t="shared" si="934"/>
        <v>-0.90997630955514552</v>
      </c>
      <c r="Q239">
        <f t="shared" si="935"/>
        <v>-693408541.5693599</v>
      </c>
      <c r="R239">
        <f t="shared" si="936"/>
        <v>-4545851777.2100992</v>
      </c>
      <c r="S239">
        <f t="shared" si="937"/>
        <v>-45458.51777210099</v>
      </c>
      <c r="T239">
        <f t="shared" si="938"/>
        <v>-45.45851777210099</v>
      </c>
    </row>
    <row r="240" spans="1:20" x14ac:dyDescent="0.25">
      <c r="A240" s="5">
        <v>44353</v>
      </c>
      <c r="B240">
        <v>2.2511E-2</v>
      </c>
      <c r="C240">
        <v>2.4809999999999999E-2</v>
      </c>
      <c r="D240">
        <v>2.0219000000000001E-2</v>
      </c>
      <c r="E240">
        <v>2.0915E-2</v>
      </c>
      <c r="F240">
        <v>1763145925</v>
      </c>
      <c r="G240">
        <v>0</v>
      </c>
      <c r="L240" t="s">
        <v>8</v>
      </c>
      <c r="M240" t="s">
        <v>8</v>
      </c>
      <c r="N240" t="s">
        <v>8</v>
      </c>
      <c r="P240">
        <f t="shared" si="934"/>
        <v>-0.69679808320627357</v>
      </c>
      <c r="Q240">
        <f t="shared" si="935"/>
        <v>-1228556700.9529521</v>
      </c>
      <c r="R240">
        <f t="shared" si="936"/>
        <v>-3852443235.6407394</v>
      </c>
      <c r="S240">
        <f t="shared" si="937"/>
        <v>-38524.432356407393</v>
      </c>
      <c r="T240">
        <f t="shared" si="938"/>
        <v>-38.524432356407395</v>
      </c>
    </row>
    <row r="241" spans="1:20" x14ac:dyDescent="0.25">
      <c r="A241" s="5">
        <v>44352</v>
      </c>
      <c r="B241">
        <v>1.8523999999999999E-2</v>
      </c>
      <c r="C241">
        <v>2.3871E-2</v>
      </c>
      <c r="D241">
        <v>1.8336999999999999E-2</v>
      </c>
      <c r="E241">
        <v>2.2509999999999999E-2</v>
      </c>
      <c r="F241">
        <v>2350909876</v>
      </c>
      <c r="G241">
        <v>0</v>
      </c>
      <c r="L241" t="s">
        <v>8</v>
      </c>
      <c r="M241" t="s">
        <v>8</v>
      </c>
      <c r="N241" t="s">
        <v>8</v>
      </c>
      <c r="P241">
        <f t="shared" si="934"/>
        <v>0.5081315504156122</v>
      </c>
      <c r="Q241">
        <f t="shared" si="935"/>
        <v>1194571480.1792545</v>
      </c>
      <c r="R241">
        <f t="shared" si="936"/>
        <v>-2623886534.6877875</v>
      </c>
      <c r="S241">
        <f t="shared" si="937"/>
        <v>-26238.865346877876</v>
      </c>
      <c r="T241">
        <f t="shared" si="938"/>
        <v>-26.238865346877876</v>
      </c>
    </row>
    <row r="242" spans="1:20" x14ac:dyDescent="0.25">
      <c r="A242" s="5">
        <v>44351</v>
      </c>
      <c r="B242">
        <v>2.1062999999999998E-2</v>
      </c>
      <c r="C242">
        <v>2.1145000000000001E-2</v>
      </c>
      <c r="D242">
        <v>1.7305999999999998E-2</v>
      </c>
      <c r="E242">
        <v>1.8568999999999999E-2</v>
      </c>
      <c r="F242">
        <v>1317584266</v>
      </c>
      <c r="G242">
        <v>0</v>
      </c>
      <c r="L242" t="s">
        <v>7</v>
      </c>
      <c r="M242" t="s">
        <v>7</v>
      </c>
      <c r="N242" t="s">
        <v>8</v>
      </c>
      <c r="P242">
        <f t="shared" si="934"/>
        <v>-0.34201615003907293</v>
      </c>
      <c r="Q242">
        <f t="shared" si="935"/>
        <v>-450635098.00937778</v>
      </c>
      <c r="R242">
        <f t="shared" si="936"/>
        <v>-3818458014.8670421</v>
      </c>
      <c r="S242">
        <f t="shared" si="937"/>
        <v>-38184.580148670422</v>
      </c>
      <c r="T242">
        <f t="shared" si="938"/>
        <v>-38.18458014867042</v>
      </c>
    </row>
    <row r="243" spans="1:20" x14ac:dyDescent="0.25">
      <c r="A243" s="5">
        <v>44350</v>
      </c>
      <c r="B243">
        <v>1.6733999999999999E-2</v>
      </c>
      <c r="C243">
        <v>2.3969000000000001E-2</v>
      </c>
      <c r="D243">
        <v>1.66E-2</v>
      </c>
      <c r="E243">
        <v>2.1062000000000001E-2</v>
      </c>
      <c r="F243">
        <v>3380127762</v>
      </c>
      <c r="G243">
        <v>0</v>
      </c>
      <c r="L243" t="s">
        <v>8</v>
      </c>
      <c r="M243" t="s">
        <v>8</v>
      </c>
      <c r="N243" t="s">
        <v>8</v>
      </c>
      <c r="P243">
        <f t="shared" si="934"/>
        <v>0.21101913421088353</v>
      </c>
      <c r="Q243">
        <f t="shared" si="935"/>
        <v>713271633.85941136</v>
      </c>
      <c r="R243">
        <f t="shared" si="936"/>
        <v>-3367822916.8576641</v>
      </c>
      <c r="S243">
        <f t="shared" si="937"/>
        <v>-33678.229168576639</v>
      </c>
      <c r="T243">
        <f t="shared" si="938"/>
        <v>-33.678229168576642</v>
      </c>
    </row>
    <row r="244" spans="1:20" x14ac:dyDescent="0.25">
      <c r="A244" s="5">
        <v>44349</v>
      </c>
      <c r="B244">
        <v>1.3993999999999999E-2</v>
      </c>
      <c r="C244">
        <v>1.7500000000000002E-2</v>
      </c>
      <c r="D244">
        <v>1.3727E-2</v>
      </c>
      <c r="E244">
        <v>1.6733999999999999E-2</v>
      </c>
      <c r="F244">
        <v>629330808</v>
      </c>
      <c r="G244">
        <v>0</v>
      </c>
      <c r="L244" t="s">
        <v>8</v>
      </c>
      <c r="M244" t="s">
        <v>8</v>
      </c>
      <c r="N244" t="s">
        <v>8</v>
      </c>
      <c r="P244">
        <f t="shared" si="934"/>
        <v>0.59395706334481724</v>
      </c>
      <c r="Q244">
        <f t="shared" si="935"/>
        <v>373795478.59210104</v>
      </c>
      <c r="R244">
        <f t="shared" si="936"/>
        <v>-4081094550.7170753</v>
      </c>
      <c r="S244">
        <f t="shared" si="937"/>
        <v>-40810.945507170756</v>
      </c>
      <c r="T244">
        <f t="shared" si="938"/>
        <v>-40.810945507170757</v>
      </c>
    </row>
    <row r="245" spans="1:20" x14ac:dyDescent="0.25">
      <c r="A245" s="5">
        <v>44348</v>
      </c>
      <c r="B245">
        <v>1.46E-2</v>
      </c>
      <c r="C245">
        <v>1.4762000000000001E-2</v>
      </c>
      <c r="D245">
        <v>1.3738E-2</v>
      </c>
      <c r="E245">
        <v>1.3960999999999999E-2</v>
      </c>
      <c r="F245">
        <v>231399803</v>
      </c>
      <c r="G245">
        <v>0</v>
      </c>
      <c r="L245" t="s">
        <v>7</v>
      </c>
      <c r="M245" t="s">
        <v>7</v>
      </c>
      <c r="N245" t="s">
        <v>8</v>
      </c>
      <c r="P245">
        <f t="shared" si="934"/>
        <v>-0.56445312500000178</v>
      </c>
      <c r="Q245">
        <f t="shared" si="935"/>
        <v>-130614341.92773479</v>
      </c>
      <c r="R245">
        <f t="shared" si="936"/>
        <v>-4454890029.3091764</v>
      </c>
      <c r="S245">
        <f t="shared" si="937"/>
        <v>-44548.900293091763</v>
      </c>
      <c r="T245">
        <f t="shared" si="938"/>
        <v>-44.548900293091762</v>
      </c>
    </row>
    <row r="246" spans="1:20" x14ac:dyDescent="0.25">
      <c r="A246" s="5">
        <v>44347</v>
      </c>
      <c r="B246">
        <v>1.427E-2</v>
      </c>
      <c r="C246">
        <v>1.5365999999999999E-2</v>
      </c>
      <c r="D246">
        <v>1.3299999999999999E-2</v>
      </c>
      <c r="E246">
        <v>1.4642000000000001E-2</v>
      </c>
      <c r="F246">
        <v>356170338</v>
      </c>
      <c r="G246">
        <v>0</v>
      </c>
      <c r="L246" t="s">
        <v>8</v>
      </c>
      <c r="M246" t="s">
        <v>7</v>
      </c>
      <c r="N246" t="s">
        <v>8</v>
      </c>
      <c r="P246">
        <f t="shared" si="934"/>
        <v>0.29912875121006882</v>
      </c>
      <c r="Q246">
        <f t="shared" si="935"/>
        <v>106540788.42400812</v>
      </c>
      <c r="R246">
        <f t="shared" si="936"/>
        <v>-4324275687.3814421</v>
      </c>
      <c r="S246">
        <f t="shared" si="937"/>
        <v>-43242.756873814418</v>
      </c>
      <c r="T246">
        <f t="shared" si="938"/>
        <v>-43.242756873814422</v>
      </c>
    </row>
    <row r="247" spans="1:20" x14ac:dyDescent="0.25">
      <c r="A247" s="5">
        <v>44346</v>
      </c>
      <c r="B247">
        <v>1.3805E-2</v>
      </c>
      <c r="C247">
        <v>1.4541E-2</v>
      </c>
      <c r="D247">
        <v>1.303E-2</v>
      </c>
      <c r="E247">
        <v>1.4269E-2</v>
      </c>
      <c r="F247">
        <v>199496930</v>
      </c>
      <c r="G247">
        <v>0</v>
      </c>
      <c r="L247" t="s">
        <v>7</v>
      </c>
      <c r="M247" t="s">
        <v>7</v>
      </c>
      <c r="N247" t="s">
        <v>8</v>
      </c>
      <c r="P247">
        <f t="shared" si="934"/>
        <v>0.63997352746525527</v>
      </c>
      <c r="Q247">
        <f t="shared" si="935"/>
        <v>127672754.01058911</v>
      </c>
      <c r="R247">
        <f t="shared" si="936"/>
        <v>-4430816475.8054504</v>
      </c>
      <c r="S247">
        <f t="shared" si="937"/>
        <v>-44308.164758054503</v>
      </c>
      <c r="T247">
        <f t="shared" si="938"/>
        <v>-44.308164758054502</v>
      </c>
    </row>
    <row r="248" spans="1:20" x14ac:dyDescent="0.25">
      <c r="A248" s="5">
        <v>44345</v>
      </c>
      <c r="B248">
        <v>1.4397999999999999E-2</v>
      </c>
      <c r="C248">
        <v>1.5398E-2</v>
      </c>
      <c r="D248">
        <v>1.3221999999999999E-2</v>
      </c>
      <c r="E248">
        <v>1.3842E-2</v>
      </c>
      <c r="F248">
        <v>316018299</v>
      </c>
      <c r="G248">
        <v>0</v>
      </c>
      <c r="L248" t="s">
        <v>7</v>
      </c>
      <c r="M248" t="s">
        <v>7</v>
      </c>
      <c r="N248" t="s">
        <v>8</v>
      </c>
      <c r="P248">
        <f t="shared" si="934"/>
        <v>-0.43014705882352894</v>
      </c>
      <c r="Q248">
        <f t="shared" si="935"/>
        <v>-135934341.84926456</v>
      </c>
      <c r="R248">
        <f t="shared" si="936"/>
        <v>-4558489229.8160391</v>
      </c>
      <c r="S248">
        <f t="shared" si="937"/>
        <v>-45584.89229816039</v>
      </c>
      <c r="T248">
        <f t="shared" si="938"/>
        <v>-45.584892298160391</v>
      </c>
    </row>
    <row r="249" spans="1:20" x14ac:dyDescent="0.25">
      <c r="A249" s="5">
        <v>44344</v>
      </c>
      <c r="B249">
        <v>1.6112000000000001E-2</v>
      </c>
      <c r="C249">
        <v>1.6185999999999999E-2</v>
      </c>
      <c r="D249">
        <v>1.3605000000000001E-2</v>
      </c>
      <c r="E249">
        <v>1.4347E-2</v>
      </c>
      <c r="F249">
        <v>427390665</v>
      </c>
      <c r="G249">
        <v>0</v>
      </c>
      <c r="L249" t="s">
        <v>7</v>
      </c>
      <c r="M249" t="s">
        <v>7</v>
      </c>
      <c r="N249" t="s">
        <v>8</v>
      </c>
      <c r="P249">
        <f t="shared" si="934"/>
        <v>-0.42502905850445555</v>
      </c>
      <c r="Q249">
        <f t="shared" si="935"/>
        <v>-181653451.95854315</v>
      </c>
      <c r="R249">
        <f t="shared" si="936"/>
        <v>-4422554887.9667749</v>
      </c>
      <c r="S249">
        <f t="shared" si="937"/>
        <v>-44225.548879667753</v>
      </c>
      <c r="T249">
        <f t="shared" si="938"/>
        <v>-44.225548879667755</v>
      </c>
    </row>
    <row r="250" spans="1:20" x14ac:dyDescent="0.25">
      <c r="A250" s="5">
        <v>44343</v>
      </c>
      <c r="B250">
        <v>1.7198999999999999E-2</v>
      </c>
      <c r="C250">
        <v>1.7298999999999998E-2</v>
      </c>
      <c r="D250">
        <v>1.4605E-2</v>
      </c>
      <c r="E250">
        <v>1.6080000000000001E-2</v>
      </c>
      <c r="F250">
        <v>522384021</v>
      </c>
      <c r="G250">
        <v>0</v>
      </c>
      <c r="L250" t="s">
        <v>8</v>
      </c>
      <c r="M250" t="s">
        <v>8</v>
      </c>
      <c r="N250" t="s">
        <v>8</v>
      </c>
      <c r="P250">
        <f t="shared" si="934"/>
        <v>9.5025983667410135E-2</v>
      </c>
      <c r="Q250">
        <f t="shared" si="935"/>
        <v>49640055.447662033</v>
      </c>
      <c r="R250">
        <f t="shared" si="936"/>
        <v>-4240901436.0082321</v>
      </c>
      <c r="S250">
        <f t="shared" si="937"/>
        <v>-42409.014360082321</v>
      </c>
      <c r="T250">
        <f t="shared" si="938"/>
        <v>-42.409014360082324</v>
      </c>
    </row>
    <row r="251" spans="1:20" x14ac:dyDescent="0.25">
      <c r="A251" s="5">
        <v>44342</v>
      </c>
      <c r="B251">
        <v>1.4709E-2</v>
      </c>
      <c r="C251">
        <v>1.7235E-2</v>
      </c>
      <c r="D251">
        <v>1.3996E-2</v>
      </c>
      <c r="E251">
        <v>1.72E-2</v>
      </c>
      <c r="F251">
        <v>722876371</v>
      </c>
      <c r="G251">
        <v>0</v>
      </c>
      <c r="L251" t="s">
        <v>8</v>
      </c>
      <c r="M251" t="s">
        <v>8</v>
      </c>
      <c r="N251" t="s">
        <v>8</v>
      </c>
      <c r="P251">
        <f t="shared" si="934"/>
        <v>0.97838839147885126</v>
      </c>
      <c r="Q251">
        <f t="shared" si="935"/>
        <v>707253849.86075938</v>
      </c>
      <c r="R251">
        <f t="shared" si="936"/>
        <v>-4290541491.455894</v>
      </c>
      <c r="S251">
        <f t="shared" si="937"/>
        <v>-42905.41491455894</v>
      </c>
      <c r="T251">
        <f t="shared" si="938"/>
        <v>-42.905414914558939</v>
      </c>
    </row>
    <row r="252" spans="1:20" x14ac:dyDescent="0.25">
      <c r="A252" s="5">
        <v>44341</v>
      </c>
      <c r="B252">
        <v>1.5554999999999999E-2</v>
      </c>
      <c r="C252">
        <v>1.6236E-2</v>
      </c>
      <c r="D252">
        <v>1.3264E-2</v>
      </c>
      <c r="E252">
        <v>1.4685999999999999E-2</v>
      </c>
      <c r="F252">
        <v>619992223</v>
      </c>
      <c r="G252">
        <v>0</v>
      </c>
      <c r="L252" t="s">
        <v>7</v>
      </c>
      <c r="M252" t="s">
        <v>7</v>
      </c>
      <c r="N252" t="s">
        <v>8</v>
      </c>
      <c r="P252">
        <f t="shared" si="934"/>
        <v>-4.3068640646030061E-2</v>
      </c>
      <c r="Q252">
        <f t="shared" si="935"/>
        <v>-26702222.255720332</v>
      </c>
      <c r="R252">
        <f t="shared" si="936"/>
        <v>-4997795341.3166533</v>
      </c>
      <c r="S252">
        <f t="shared" si="937"/>
        <v>-49977.953413166535</v>
      </c>
      <c r="T252">
        <f t="shared" si="938"/>
        <v>-49.977953413166532</v>
      </c>
    </row>
    <row r="253" spans="1:20" x14ac:dyDescent="0.25">
      <c r="A253" s="5">
        <v>44340</v>
      </c>
      <c r="B253">
        <v>1.1658E-2</v>
      </c>
      <c r="C253">
        <v>1.6022000000000002E-2</v>
      </c>
      <c r="D253">
        <v>1.1306E-2</v>
      </c>
      <c r="E253">
        <v>1.5554999999999999E-2</v>
      </c>
      <c r="F253">
        <v>878705334</v>
      </c>
      <c r="G253">
        <v>0</v>
      </c>
      <c r="L253" t="s">
        <v>8</v>
      </c>
      <c r="M253" t="s">
        <v>8</v>
      </c>
      <c r="N253" t="s">
        <v>8</v>
      </c>
      <c r="P253">
        <f t="shared" si="934"/>
        <v>0.80195080576759881</v>
      </c>
      <c r="Q253">
        <f t="shared" si="935"/>
        <v>704678450.633587</v>
      </c>
      <c r="R253">
        <f t="shared" si="936"/>
        <v>-4971093119.0609331</v>
      </c>
      <c r="S253">
        <f t="shared" si="937"/>
        <v>-49710.931190609328</v>
      </c>
      <c r="T253">
        <f t="shared" si="938"/>
        <v>-49.71093119060933</v>
      </c>
    </row>
    <row r="254" spans="1:20" x14ac:dyDescent="0.25">
      <c r="A254" s="5">
        <v>44339</v>
      </c>
      <c r="B254">
        <v>1.4161E-2</v>
      </c>
      <c r="C254">
        <v>1.4681E-2</v>
      </c>
      <c r="D254">
        <v>1.01E-2</v>
      </c>
      <c r="E254">
        <v>1.1623E-2</v>
      </c>
      <c r="F254">
        <v>962772141</v>
      </c>
      <c r="G254">
        <v>0</v>
      </c>
      <c r="L254" t="s">
        <v>7</v>
      </c>
      <c r="M254" t="s">
        <v>7</v>
      </c>
      <c r="N254" t="s">
        <v>7</v>
      </c>
      <c r="P254">
        <f t="shared" si="934"/>
        <v>-0.33507967692643525</v>
      </c>
      <c r="Q254">
        <f t="shared" si="935"/>
        <v>-322605377.96005237</v>
      </c>
      <c r="R254">
        <f t="shared" si="936"/>
        <v>-5675771569.69452</v>
      </c>
      <c r="S254">
        <f t="shared" si="937"/>
        <v>-56757.715696945197</v>
      </c>
      <c r="T254">
        <f t="shared" si="938"/>
        <v>-56.757715696945198</v>
      </c>
    </row>
    <row r="255" spans="1:20" x14ac:dyDescent="0.25">
      <c r="A255" s="5">
        <v>44338</v>
      </c>
      <c r="B255">
        <v>1.5095000000000001E-2</v>
      </c>
      <c r="C255">
        <v>1.6265000000000002E-2</v>
      </c>
      <c r="D255">
        <v>1.3575E-2</v>
      </c>
      <c r="E255">
        <v>1.4186000000000001E-2</v>
      </c>
      <c r="F255">
        <v>694521523</v>
      </c>
      <c r="G255">
        <v>0</v>
      </c>
      <c r="L255" t="s">
        <v>8</v>
      </c>
      <c r="M255" t="s">
        <v>8</v>
      </c>
      <c r="N255" t="s">
        <v>7</v>
      </c>
      <c r="P255">
        <f t="shared" si="934"/>
        <v>-0.54572490706319698</v>
      </c>
      <c r="Q255">
        <f t="shared" si="935"/>
        <v>-379017693.592565</v>
      </c>
      <c r="R255">
        <f t="shared" si="936"/>
        <v>-5353166191.7344675</v>
      </c>
      <c r="S255">
        <f t="shared" si="937"/>
        <v>-53531.661917344674</v>
      </c>
      <c r="T255">
        <f t="shared" si="938"/>
        <v>-53.531661917344671</v>
      </c>
    </row>
    <row r="256" spans="1:20" x14ac:dyDescent="0.25">
      <c r="A256" s="5">
        <v>44337</v>
      </c>
      <c r="B256">
        <v>1.9203999999999999E-2</v>
      </c>
      <c r="C256">
        <v>1.9848999999999999E-2</v>
      </c>
      <c r="D256">
        <v>1.3044E-2</v>
      </c>
      <c r="E256">
        <v>1.5107000000000001E-2</v>
      </c>
      <c r="F256">
        <v>957872862</v>
      </c>
      <c r="G256">
        <v>0</v>
      </c>
      <c r="L256" t="s">
        <v>7</v>
      </c>
      <c r="M256" t="s">
        <v>7</v>
      </c>
      <c r="N256" t="s">
        <v>7</v>
      </c>
      <c r="P256">
        <f t="shared" si="934"/>
        <v>-0.39368111682586304</v>
      </c>
      <c r="Q256">
        <f t="shared" si="935"/>
        <v>-377096458.08934581</v>
      </c>
      <c r="R256">
        <f t="shared" si="936"/>
        <v>-4974148498.1419029</v>
      </c>
      <c r="S256">
        <f t="shared" si="937"/>
        <v>-49741.484981419031</v>
      </c>
      <c r="T256">
        <f t="shared" si="938"/>
        <v>-49.741484981419028</v>
      </c>
    </row>
    <row r="257" spans="1:20" x14ac:dyDescent="0.25">
      <c r="A257" s="5">
        <v>44336</v>
      </c>
      <c r="B257">
        <v>1.6378E-2</v>
      </c>
      <c r="C257">
        <v>2.0201E-2</v>
      </c>
      <c r="D257">
        <v>1.4138E-2</v>
      </c>
      <c r="E257">
        <v>1.9172999999999999E-2</v>
      </c>
      <c r="F257">
        <v>888479363</v>
      </c>
      <c r="G257">
        <v>0</v>
      </c>
      <c r="L257" t="s">
        <v>7</v>
      </c>
      <c r="M257" t="s">
        <v>7</v>
      </c>
      <c r="N257" t="s">
        <v>8</v>
      </c>
      <c r="P257">
        <f t="shared" ref="P257:P320" si="939">IF(C257=D257,0,((E257-D257)-(C257-E257))/(C257-D257))</f>
        <v>0.66089394689097769</v>
      </c>
      <c r="Q257">
        <f t="shared" ref="Q257:Q320" si="940">F257*P257</f>
        <v>587190632.94425166</v>
      </c>
      <c r="R257">
        <f t="shared" ref="R257:R320" si="941">R258+Q257</f>
        <v>-4597052040.052557</v>
      </c>
      <c r="S257">
        <f t="shared" ref="S257:S320" si="942">R257/100000</f>
        <v>-45970.520400525573</v>
      </c>
      <c r="T257">
        <f t="shared" ref="T257:T320" si="943">S257/1000</f>
        <v>-45.970520400525572</v>
      </c>
    </row>
    <row r="258" spans="1:20" x14ac:dyDescent="0.25">
      <c r="A258" s="5">
        <v>44335</v>
      </c>
      <c r="B258">
        <v>2.2360000000000001E-2</v>
      </c>
      <c r="C258">
        <v>2.8521000000000001E-2</v>
      </c>
      <c r="D258">
        <v>1.2999999999999999E-2</v>
      </c>
      <c r="E258">
        <v>1.6247999999999999E-2</v>
      </c>
      <c r="F258">
        <v>2245995021</v>
      </c>
      <c r="G258">
        <v>0</v>
      </c>
      <c r="L258" t="s">
        <v>8</v>
      </c>
      <c r="M258" t="s">
        <v>8</v>
      </c>
      <c r="N258" t="s">
        <v>7</v>
      </c>
      <c r="P258">
        <f t="shared" si="939"/>
        <v>-0.58147026609110253</v>
      </c>
      <c r="Q258">
        <f t="shared" si="940"/>
        <v>-1305979322.5001614</v>
      </c>
      <c r="R258">
        <f t="shared" si="941"/>
        <v>-5184242672.996809</v>
      </c>
      <c r="S258">
        <f t="shared" si="942"/>
        <v>-51842.426729968087</v>
      </c>
      <c r="T258">
        <f t="shared" si="943"/>
        <v>-51.842426729968089</v>
      </c>
    </row>
    <row r="259" spans="1:20" x14ac:dyDescent="0.25">
      <c r="A259" s="5">
        <v>44334</v>
      </c>
      <c r="B259">
        <v>2.1711000000000001E-2</v>
      </c>
      <c r="C259">
        <v>2.4441999999999998E-2</v>
      </c>
      <c r="D259">
        <v>2.1028999999999999E-2</v>
      </c>
      <c r="E259">
        <v>2.23E-2</v>
      </c>
      <c r="F259">
        <v>530408418</v>
      </c>
      <c r="G259">
        <v>0</v>
      </c>
      <c r="L259" t="s">
        <v>8</v>
      </c>
      <c r="M259" t="s">
        <v>8</v>
      </c>
      <c r="N259" t="s">
        <v>7</v>
      </c>
      <c r="P259">
        <f t="shared" si="939"/>
        <v>-0.25520070319367039</v>
      </c>
      <c r="Q259">
        <f t="shared" si="940"/>
        <v>-135360601.25344226</v>
      </c>
      <c r="R259">
        <f t="shared" si="941"/>
        <v>-3878263350.4966474</v>
      </c>
      <c r="S259">
        <f t="shared" si="942"/>
        <v>-38782.63350496647</v>
      </c>
      <c r="T259">
        <f t="shared" si="943"/>
        <v>-38.782633504966469</v>
      </c>
    </row>
    <row r="260" spans="1:20" x14ac:dyDescent="0.25">
      <c r="A260" s="5">
        <v>44333</v>
      </c>
      <c r="B260">
        <v>2.2793000000000001E-2</v>
      </c>
      <c r="C260">
        <v>2.2862E-2</v>
      </c>
      <c r="D260">
        <v>1.9699999999999999E-2</v>
      </c>
      <c r="E260">
        <v>2.164E-2</v>
      </c>
      <c r="F260">
        <v>571773984</v>
      </c>
      <c r="G260">
        <v>0</v>
      </c>
      <c r="L260" t="s">
        <v>7</v>
      </c>
      <c r="M260" t="s">
        <v>7</v>
      </c>
      <c r="N260" t="s">
        <v>7</v>
      </c>
      <c r="P260">
        <f t="shared" si="939"/>
        <v>0.22707147375079048</v>
      </c>
      <c r="Q260">
        <f t="shared" si="940"/>
        <v>129833561.19924089</v>
      </c>
      <c r="R260">
        <f t="shared" si="941"/>
        <v>-3742902749.2432051</v>
      </c>
      <c r="S260">
        <f t="shared" si="942"/>
        <v>-37429.027492432047</v>
      </c>
      <c r="T260">
        <f t="shared" si="943"/>
        <v>-37.429027492432049</v>
      </c>
    </row>
    <row r="261" spans="1:20" x14ac:dyDescent="0.25">
      <c r="A261" s="5">
        <v>44332</v>
      </c>
      <c r="B261">
        <v>2.3196999999999999E-2</v>
      </c>
      <c r="C261">
        <v>2.5538999999999999E-2</v>
      </c>
      <c r="D261">
        <v>2.1281000000000001E-2</v>
      </c>
      <c r="E261">
        <v>2.2766000000000002E-2</v>
      </c>
      <c r="F261">
        <v>430306526</v>
      </c>
      <c r="G261">
        <v>0</v>
      </c>
      <c r="L261" t="s">
        <v>7</v>
      </c>
      <c r="M261" t="s">
        <v>7</v>
      </c>
      <c r="N261" t="s">
        <v>7</v>
      </c>
      <c r="P261">
        <f t="shared" si="939"/>
        <v>-0.30248943165805497</v>
      </c>
      <c r="Q261">
        <f t="shared" si="940"/>
        <v>-130163176.48849206</v>
      </c>
      <c r="R261">
        <f t="shared" si="941"/>
        <v>-3872736310.4424458</v>
      </c>
      <c r="S261">
        <f t="shared" si="942"/>
        <v>-38727.363104424454</v>
      </c>
      <c r="T261">
        <f t="shared" si="943"/>
        <v>-38.727363104424455</v>
      </c>
    </row>
    <row r="262" spans="1:20" x14ac:dyDescent="0.25">
      <c r="A262" s="5">
        <v>44331</v>
      </c>
      <c r="B262">
        <v>2.5760000000000002E-2</v>
      </c>
      <c r="C262">
        <v>2.7206000000000001E-2</v>
      </c>
      <c r="D262">
        <v>2.2991999999999999E-2</v>
      </c>
      <c r="E262">
        <v>2.3165999999999999E-2</v>
      </c>
      <c r="F262">
        <v>483102839</v>
      </c>
      <c r="G262">
        <v>0</v>
      </c>
      <c r="L262" t="s">
        <v>7</v>
      </c>
      <c r="M262" t="s">
        <v>7</v>
      </c>
      <c r="N262" t="s">
        <v>7</v>
      </c>
      <c r="P262">
        <f t="shared" si="939"/>
        <v>-0.91741813004271455</v>
      </c>
      <c r="Q262">
        <f t="shared" si="940"/>
        <v>-443207303.17370659</v>
      </c>
      <c r="R262">
        <f t="shared" si="941"/>
        <v>-3742573133.9539537</v>
      </c>
      <c r="S262">
        <f t="shared" si="942"/>
        <v>-37425.731339539539</v>
      </c>
      <c r="T262">
        <f t="shared" si="943"/>
        <v>-37.425731339539539</v>
      </c>
    </row>
    <row r="263" spans="1:20" x14ac:dyDescent="0.25">
      <c r="A263" s="5">
        <v>44330</v>
      </c>
      <c r="B263">
        <v>2.5212999999999999E-2</v>
      </c>
      <c r="C263">
        <v>2.7831000000000002E-2</v>
      </c>
      <c r="D263">
        <v>2.4375000000000001E-2</v>
      </c>
      <c r="E263">
        <v>2.5767999999999999E-2</v>
      </c>
      <c r="F263">
        <v>750454426</v>
      </c>
      <c r="G263">
        <v>0</v>
      </c>
      <c r="L263" t="s">
        <v>8</v>
      </c>
      <c r="M263" t="s">
        <v>8</v>
      </c>
      <c r="N263" t="s">
        <v>7</v>
      </c>
      <c r="P263">
        <f t="shared" si="939"/>
        <v>-0.19386574074074184</v>
      </c>
      <c r="Q263">
        <f t="shared" si="940"/>
        <v>-145487403.18865824</v>
      </c>
      <c r="R263">
        <f t="shared" si="941"/>
        <v>-3299365830.7802472</v>
      </c>
      <c r="S263">
        <f t="shared" si="942"/>
        <v>-32993.658307802471</v>
      </c>
      <c r="T263">
        <f t="shared" si="943"/>
        <v>-32.99365830780247</v>
      </c>
    </row>
    <row r="264" spans="1:20" x14ac:dyDescent="0.25">
      <c r="A264" s="5">
        <v>44329</v>
      </c>
      <c r="B264">
        <v>2.4462999999999999E-2</v>
      </c>
      <c r="C264">
        <v>2.7154000000000001E-2</v>
      </c>
      <c r="D264">
        <v>2.2041999999999999E-2</v>
      </c>
      <c r="E264">
        <v>2.5182E-2</v>
      </c>
      <c r="F264">
        <v>957090377</v>
      </c>
      <c r="G264">
        <v>0</v>
      </c>
      <c r="L264" t="s">
        <v>7</v>
      </c>
      <c r="M264" t="s">
        <v>7</v>
      </c>
      <c r="N264" t="s">
        <v>7</v>
      </c>
      <c r="P264">
        <f t="shared" si="939"/>
        <v>0.22848200312989014</v>
      </c>
      <c r="Q264">
        <f t="shared" si="940"/>
        <v>218677926.51330173</v>
      </c>
      <c r="R264">
        <f t="shared" si="941"/>
        <v>-3153878427.591589</v>
      </c>
      <c r="S264">
        <f t="shared" si="942"/>
        <v>-31538.784275915888</v>
      </c>
      <c r="T264">
        <f t="shared" si="943"/>
        <v>-31.538784275915887</v>
      </c>
    </row>
    <row r="265" spans="1:20" x14ac:dyDescent="0.25">
      <c r="A265" s="5">
        <v>44328</v>
      </c>
      <c r="B265">
        <v>3.1184E-2</v>
      </c>
      <c r="C265">
        <v>3.2275999999999999E-2</v>
      </c>
      <c r="D265">
        <v>2.4268000000000001E-2</v>
      </c>
      <c r="E265">
        <v>2.4500000000000001E-2</v>
      </c>
      <c r="F265">
        <v>939131387</v>
      </c>
      <c r="G265">
        <v>0</v>
      </c>
      <c r="L265" t="s">
        <v>7</v>
      </c>
      <c r="M265" t="s">
        <v>7</v>
      </c>
      <c r="N265" t="s">
        <v>7</v>
      </c>
      <c r="P265">
        <f t="shared" si="939"/>
        <v>-0.94205794205794213</v>
      </c>
      <c r="Q265">
        <f t="shared" si="940"/>
        <v>-884716181.75924087</v>
      </c>
      <c r="R265">
        <f t="shared" si="941"/>
        <v>-3372556354.1048908</v>
      </c>
      <c r="S265">
        <f t="shared" si="942"/>
        <v>-33725.563541048905</v>
      </c>
      <c r="T265">
        <f t="shared" si="943"/>
        <v>-33.725563541048906</v>
      </c>
    </row>
    <row r="266" spans="1:20" x14ac:dyDescent="0.25">
      <c r="A266" s="5">
        <v>44327</v>
      </c>
      <c r="B266">
        <v>3.4369999999999998E-2</v>
      </c>
      <c r="C266">
        <v>3.8399999999999997E-2</v>
      </c>
      <c r="D266">
        <v>3.0449E-2</v>
      </c>
      <c r="E266">
        <v>3.1130000000000001E-2</v>
      </c>
      <c r="F266">
        <v>2467096098</v>
      </c>
      <c r="G266">
        <v>0</v>
      </c>
      <c r="L266" t="s">
        <v>7</v>
      </c>
      <c r="M266" t="s">
        <v>7</v>
      </c>
      <c r="N266" t="s">
        <v>8</v>
      </c>
      <c r="P266">
        <f t="shared" si="939"/>
        <v>-0.82870079235316274</v>
      </c>
      <c r="Q266">
        <f t="shared" si="940"/>
        <v>-2044484491.2239959</v>
      </c>
      <c r="R266">
        <f t="shared" si="941"/>
        <v>-2487840172.3456497</v>
      </c>
      <c r="S266">
        <f t="shared" si="942"/>
        <v>-24878.401723456496</v>
      </c>
      <c r="T266">
        <f t="shared" si="943"/>
        <v>-24.878401723456495</v>
      </c>
    </row>
    <row r="267" spans="1:20" x14ac:dyDescent="0.25">
      <c r="A267" s="5">
        <v>44326</v>
      </c>
      <c r="B267">
        <v>2.4025000000000001E-2</v>
      </c>
      <c r="C267">
        <v>4.2000000000000003E-2</v>
      </c>
      <c r="D267">
        <v>2.2984999999999998E-2</v>
      </c>
      <c r="E267">
        <v>3.4369999999999998E-2</v>
      </c>
      <c r="F267">
        <v>7504609613</v>
      </c>
      <c r="G267">
        <v>0</v>
      </c>
      <c r="L267" t="s">
        <v>8</v>
      </c>
      <c r="M267" t="s">
        <v>8</v>
      </c>
      <c r="N267" t="s">
        <v>8</v>
      </c>
      <c r="P267">
        <f t="shared" si="939"/>
        <v>0.19747567709702832</v>
      </c>
      <c r="Q267">
        <f t="shared" si="940"/>
        <v>1481977864.6760426</v>
      </c>
      <c r="R267">
        <f t="shared" si="941"/>
        <v>-443355681.1216538</v>
      </c>
      <c r="S267">
        <f t="shared" si="942"/>
        <v>-4433.5568112165383</v>
      </c>
      <c r="T267">
        <f t="shared" si="943"/>
        <v>-4.4335568112165387</v>
      </c>
    </row>
    <row r="268" spans="1:20" x14ac:dyDescent="0.25">
      <c r="A268" s="5">
        <v>44325</v>
      </c>
      <c r="B268">
        <v>2.4638E-2</v>
      </c>
      <c r="C268">
        <v>2.4948999999999999E-2</v>
      </c>
      <c r="D268">
        <v>2.2741999999999998E-2</v>
      </c>
      <c r="E268">
        <v>2.4028999999999998E-2</v>
      </c>
      <c r="F268">
        <v>376255321</v>
      </c>
      <c r="G268">
        <v>0</v>
      </c>
      <c r="L268" t="s">
        <v>7</v>
      </c>
      <c r="M268" t="s">
        <v>7</v>
      </c>
      <c r="N268" t="s">
        <v>8</v>
      </c>
      <c r="P268">
        <f t="shared" si="939"/>
        <v>0.16628908019936528</v>
      </c>
      <c r="Q268">
        <f t="shared" si="940"/>
        <v>62567151.24920693</v>
      </c>
      <c r="R268">
        <f t="shared" si="941"/>
        <v>-1925333545.7976964</v>
      </c>
      <c r="S268">
        <f t="shared" si="942"/>
        <v>-19253.335457976962</v>
      </c>
      <c r="T268">
        <f t="shared" si="943"/>
        <v>-19.253335457976963</v>
      </c>
    </row>
    <row r="269" spans="1:20" x14ac:dyDescent="0.25">
      <c r="A269" s="5">
        <v>44324</v>
      </c>
      <c r="B269">
        <v>2.5080000000000002E-2</v>
      </c>
      <c r="C269">
        <v>2.5467E-2</v>
      </c>
      <c r="D269">
        <v>2.4125000000000001E-2</v>
      </c>
      <c r="E269">
        <v>2.4617E-2</v>
      </c>
      <c r="F269">
        <v>392470148</v>
      </c>
      <c r="G269">
        <v>0</v>
      </c>
      <c r="L269" t="s">
        <v>7</v>
      </c>
      <c r="M269" t="s">
        <v>7</v>
      </c>
      <c r="N269" t="s">
        <v>8</v>
      </c>
      <c r="P269">
        <f t="shared" si="939"/>
        <v>-0.26676602086438211</v>
      </c>
      <c r="Q269">
        <f t="shared" si="940"/>
        <v>-104697699.69001514</v>
      </c>
      <c r="R269">
        <f t="shared" si="941"/>
        <v>-1987900697.0469034</v>
      </c>
      <c r="S269">
        <f t="shared" si="942"/>
        <v>-19879.006970469032</v>
      </c>
      <c r="T269">
        <f t="shared" si="943"/>
        <v>-19.879006970469032</v>
      </c>
    </row>
    <row r="270" spans="1:20" x14ac:dyDescent="0.25">
      <c r="A270" s="5">
        <v>44323</v>
      </c>
      <c r="B270">
        <v>2.4819000000000001E-2</v>
      </c>
      <c r="C270">
        <v>2.6499999999999999E-2</v>
      </c>
      <c r="D270">
        <v>2.4055E-2</v>
      </c>
      <c r="E270">
        <v>2.5106E-2</v>
      </c>
      <c r="F270">
        <v>714234952</v>
      </c>
      <c r="G270">
        <v>0</v>
      </c>
      <c r="L270" t="s">
        <v>8</v>
      </c>
      <c r="M270" t="s">
        <v>7</v>
      </c>
      <c r="N270" t="s">
        <v>8</v>
      </c>
      <c r="P270">
        <f t="shared" si="939"/>
        <v>-0.14028629856850702</v>
      </c>
      <c r="Q270">
        <f t="shared" si="940"/>
        <v>-100197377.72433528</v>
      </c>
      <c r="R270">
        <f t="shared" si="941"/>
        <v>-1883202997.3568883</v>
      </c>
      <c r="S270">
        <f t="shared" si="942"/>
        <v>-18832.029973568882</v>
      </c>
      <c r="T270">
        <f t="shared" si="943"/>
        <v>-18.832029973568883</v>
      </c>
    </row>
    <row r="271" spans="1:20" x14ac:dyDescent="0.25">
      <c r="A271" s="5">
        <v>44322</v>
      </c>
      <c r="B271">
        <v>2.5728999999999998E-2</v>
      </c>
      <c r="C271">
        <v>2.649E-2</v>
      </c>
      <c r="D271">
        <v>2.3928999999999999E-2</v>
      </c>
      <c r="E271">
        <v>2.4875999999999999E-2</v>
      </c>
      <c r="F271">
        <v>953841369</v>
      </c>
      <c r="G271">
        <v>0</v>
      </c>
      <c r="L271" t="s">
        <v>7</v>
      </c>
      <c r="M271" t="s">
        <v>7</v>
      </c>
      <c r="N271" t="s">
        <v>8</v>
      </c>
      <c r="P271">
        <f t="shared" si="939"/>
        <v>-0.26044513861772772</v>
      </c>
      <c r="Q271">
        <f t="shared" si="940"/>
        <v>-248423347.56852818</v>
      </c>
      <c r="R271">
        <f t="shared" si="941"/>
        <v>-1783005619.6325531</v>
      </c>
      <c r="S271">
        <f t="shared" si="942"/>
        <v>-17830.056196325531</v>
      </c>
      <c r="T271">
        <f t="shared" si="943"/>
        <v>-17.830056196325533</v>
      </c>
    </row>
    <row r="272" spans="1:20" x14ac:dyDescent="0.25">
      <c r="A272" s="5">
        <v>44321</v>
      </c>
      <c r="B272">
        <v>2.3539000000000001E-2</v>
      </c>
      <c r="C272">
        <v>2.6499999999999999E-2</v>
      </c>
      <c r="D272">
        <v>2.3338000000000001E-2</v>
      </c>
      <c r="E272">
        <v>2.5734E-2</v>
      </c>
      <c r="F272">
        <v>512956372</v>
      </c>
      <c r="G272">
        <v>0</v>
      </c>
      <c r="L272" t="s">
        <v>8</v>
      </c>
      <c r="M272" t="s">
        <v>7</v>
      </c>
      <c r="N272" t="s">
        <v>8</v>
      </c>
      <c r="P272">
        <f t="shared" si="939"/>
        <v>0.51549652118912093</v>
      </c>
      <c r="Q272">
        <f t="shared" si="940"/>
        <v>264427225.28779259</v>
      </c>
      <c r="R272">
        <f t="shared" si="941"/>
        <v>-1534582272.0640249</v>
      </c>
      <c r="S272">
        <f t="shared" si="942"/>
        <v>-15345.82272064025</v>
      </c>
      <c r="T272">
        <f t="shared" si="943"/>
        <v>-15.34582272064025</v>
      </c>
    </row>
    <row r="273" spans="1:20" x14ac:dyDescent="0.25">
      <c r="A273" s="5">
        <v>44320</v>
      </c>
      <c r="B273">
        <v>2.5964999999999998E-2</v>
      </c>
      <c r="C273">
        <v>2.666E-2</v>
      </c>
      <c r="D273">
        <v>2.3451E-2</v>
      </c>
      <c r="E273">
        <v>2.3574999999999999E-2</v>
      </c>
      <c r="F273">
        <v>625688270</v>
      </c>
      <c r="G273">
        <v>0</v>
      </c>
      <c r="L273" t="s">
        <v>7</v>
      </c>
      <c r="M273" t="s">
        <v>7</v>
      </c>
      <c r="N273" t="s">
        <v>8</v>
      </c>
      <c r="P273">
        <f t="shared" si="939"/>
        <v>-0.92271735743222238</v>
      </c>
      <c r="Q273">
        <f t="shared" si="940"/>
        <v>-577333427.07073891</v>
      </c>
      <c r="R273">
        <f t="shared" si="941"/>
        <v>-1799009497.3518176</v>
      </c>
      <c r="S273">
        <f t="shared" si="942"/>
        <v>-17990.094973518175</v>
      </c>
      <c r="T273">
        <f t="shared" si="943"/>
        <v>-17.990094973518175</v>
      </c>
    </row>
    <row r="274" spans="1:20" x14ac:dyDescent="0.25">
      <c r="A274" s="5">
        <v>44319</v>
      </c>
      <c r="B274">
        <v>2.7333E-2</v>
      </c>
      <c r="C274">
        <v>2.8997999999999999E-2</v>
      </c>
      <c r="D274">
        <v>2.5651E-2</v>
      </c>
      <c r="E274">
        <v>2.5943999999999998E-2</v>
      </c>
      <c r="F274">
        <v>427503483</v>
      </c>
      <c r="G274">
        <v>0</v>
      </c>
      <c r="L274" t="s">
        <v>7</v>
      </c>
      <c r="M274" t="s">
        <v>7</v>
      </c>
      <c r="N274" t="s">
        <v>8</v>
      </c>
      <c r="P274">
        <f t="shared" si="939"/>
        <v>-0.82491783686883879</v>
      </c>
      <c r="Q274">
        <f t="shared" si="940"/>
        <v>-352655248.45025438</v>
      </c>
      <c r="R274">
        <f t="shared" si="941"/>
        <v>-1221676070.2810786</v>
      </c>
      <c r="S274">
        <f t="shared" si="942"/>
        <v>-12216.760702810785</v>
      </c>
      <c r="T274">
        <f t="shared" si="943"/>
        <v>-12.216760702810785</v>
      </c>
    </row>
    <row r="275" spans="1:20" x14ac:dyDescent="0.25">
      <c r="A275" s="5">
        <v>44318</v>
      </c>
      <c r="B275">
        <v>2.9121000000000001E-2</v>
      </c>
      <c r="C275">
        <v>2.9530000000000001E-2</v>
      </c>
      <c r="D275">
        <v>2.6321000000000001E-2</v>
      </c>
      <c r="E275">
        <v>2.7300999999999999E-2</v>
      </c>
      <c r="F275">
        <v>407946136</v>
      </c>
      <c r="G275">
        <v>0</v>
      </c>
      <c r="L275" t="s">
        <v>7</v>
      </c>
      <c r="M275" t="s">
        <v>8</v>
      </c>
      <c r="N275" t="s">
        <v>8</v>
      </c>
      <c r="P275">
        <f t="shared" si="939"/>
        <v>-0.38921782486756112</v>
      </c>
      <c r="Q275">
        <f t="shared" si="940"/>
        <v>-158779907.71704626</v>
      </c>
      <c r="R275">
        <f t="shared" si="941"/>
        <v>-869020821.83082426</v>
      </c>
      <c r="S275">
        <f t="shared" si="942"/>
        <v>-8690.2082183082421</v>
      </c>
      <c r="T275">
        <f t="shared" si="943"/>
        <v>-8.6902082183082427</v>
      </c>
    </row>
    <row r="276" spans="1:20" x14ac:dyDescent="0.25">
      <c r="A276" s="5">
        <v>44317</v>
      </c>
      <c r="B276">
        <v>2.6039E-2</v>
      </c>
      <c r="C276">
        <v>0.03</v>
      </c>
      <c r="D276">
        <v>2.5669000000000001E-2</v>
      </c>
      <c r="E276">
        <v>2.9134E-2</v>
      </c>
      <c r="F276">
        <v>623584181</v>
      </c>
      <c r="G276">
        <v>0</v>
      </c>
      <c r="L276" t="s">
        <v>8</v>
      </c>
      <c r="M276" t="s">
        <v>8</v>
      </c>
      <c r="N276" t="s">
        <v>8</v>
      </c>
      <c r="P276">
        <f t="shared" si="939"/>
        <v>0.60009235742322831</v>
      </c>
      <c r="Q276">
        <f t="shared" si="940"/>
        <v>374208101.22812307</v>
      </c>
      <c r="R276">
        <f t="shared" si="941"/>
        <v>-710240914.113778</v>
      </c>
      <c r="S276">
        <f t="shared" si="942"/>
        <v>-7102.4091411377804</v>
      </c>
      <c r="T276">
        <f t="shared" si="943"/>
        <v>-7.1024091411377803</v>
      </c>
    </row>
    <row r="277" spans="1:20" x14ac:dyDescent="0.25">
      <c r="A277" s="5">
        <v>44316</v>
      </c>
      <c r="B277">
        <v>2.4421999999999999E-2</v>
      </c>
      <c r="C277">
        <v>2.6321000000000001E-2</v>
      </c>
      <c r="D277">
        <v>2.332E-2</v>
      </c>
      <c r="E277">
        <v>2.6041000000000002E-2</v>
      </c>
      <c r="F277">
        <v>332925735</v>
      </c>
      <c r="G277">
        <v>0</v>
      </c>
      <c r="L277" t="s">
        <v>8</v>
      </c>
      <c r="M277" t="s">
        <v>7</v>
      </c>
      <c r="N277" t="s">
        <v>8</v>
      </c>
      <c r="P277">
        <f t="shared" si="939"/>
        <v>0.81339553482172677</v>
      </c>
      <c r="Q277">
        <f t="shared" si="940"/>
        <v>270800306.27624148</v>
      </c>
      <c r="R277">
        <f t="shared" si="941"/>
        <v>-1084449015.3419011</v>
      </c>
      <c r="S277">
        <f t="shared" si="942"/>
        <v>-10844.49015341901</v>
      </c>
      <c r="T277">
        <f t="shared" si="943"/>
        <v>-10.844490153419009</v>
      </c>
    </row>
    <row r="278" spans="1:20" x14ac:dyDescent="0.25">
      <c r="A278" s="5">
        <v>44315</v>
      </c>
      <c r="B278">
        <v>2.5010999999999999E-2</v>
      </c>
      <c r="C278">
        <v>2.5898999999999998E-2</v>
      </c>
      <c r="D278">
        <v>2.3185999999999998E-2</v>
      </c>
      <c r="E278">
        <v>2.4421999999999999E-2</v>
      </c>
      <c r="F278">
        <v>405220152</v>
      </c>
      <c r="G278">
        <v>0</v>
      </c>
      <c r="L278" t="s">
        <v>7</v>
      </c>
      <c r="M278" t="s">
        <v>7</v>
      </c>
      <c r="N278" t="s">
        <v>8</v>
      </c>
      <c r="P278">
        <f t="shared" si="939"/>
        <v>-8.8831551787688229E-2</v>
      </c>
      <c r="Q278">
        <f t="shared" si="940"/>
        <v>-35996334.917802893</v>
      </c>
      <c r="R278">
        <f t="shared" si="941"/>
        <v>-1355249321.6181426</v>
      </c>
      <c r="S278">
        <f t="shared" si="942"/>
        <v>-13552.493216181427</v>
      </c>
      <c r="T278">
        <f t="shared" si="943"/>
        <v>-13.552493216181427</v>
      </c>
    </row>
    <row r="279" spans="1:20" x14ac:dyDescent="0.25">
      <c r="A279" s="5">
        <v>44314</v>
      </c>
      <c r="B279">
        <v>2.7442000000000001E-2</v>
      </c>
      <c r="C279">
        <v>2.8420000000000001E-2</v>
      </c>
      <c r="D279">
        <v>2.3755999999999999E-2</v>
      </c>
      <c r="E279">
        <v>2.5019E-2</v>
      </c>
      <c r="F279">
        <v>690174938</v>
      </c>
      <c r="G279">
        <v>0</v>
      </c>
      <c r="L279" t="s">
        <v>7</v>
      </c>
      <c r="M279" t="s">
        <v>7</v>
      </c>
      <c r="N279" t="s">
        <v>8</v>
      </c>
      <c r="P279">
        <f t="shared" si="939"/>
        <v>-0.45840480274442547</v>
      </c>
      <c r="Q279">
        <f t="shared" si="940"/>
        <v>-316379506.31303608</v>
      </c>
      <c r="R279">
        <f t="shared" si="941"/>
        <v>-1319252986.7003398</v>
      </c>
      <c r="S279">
        <f t="shared" si="942"/>
        <v>-13192.529867003397</v>
      </c>
      <c r="T279">
        <f t="shared" si="943"/>
        <v>-13.192529867003397</v>
      </c>
    </row>
    <row r="280" spans="1:20" x14ac:dyDescent="0.25">
      <c r="A280" s="5">
        <v>44313</v>
      </c>
      <c r="B280">
        <v>2.2348E-2</v>
      </c>
      <c r="C280">
        <v>2.8510000000000001E-2</v>
      </c>
      <c r="D280">
        <v>2.2148000000000001E-2</v>
      </c>
      <c r="E280">
        <v>2.7442000000000001E-2</v>
      </c>
      <c r="F280">
        <v>918829511</v>
      </c>
      <c r="G280">
        <v>0</v>
      </c>
      <c r="L280" t="s">
        <v>8</v>
      </c>
      <c r="M280" t="s">
        <v>8</v>
      </c>
      <c r="N280" t="s">
        <v>8</v>
      </c>
      <c r="P280">
        <f t="shared" si="939"/>
        <v>0.66425652310594163</v>
      </c>
      <c r="Q280">
        <f t="shared" si="940"/>
        <v>610338496.30399251</v>
      </c>
      <c r="R280">
        <f t="shared" si="941"/>
        <v>-1002873480.3873036</v>
      </c>
      <c r="S280">
        <f t="shared" si="942"/>
        <v>-10028.734803873036</v>
      </c>
      <c r="T280">
        <f t="shared" si="943"/>
        <v>-10.028734803873036</v>
      </c>
    </row>
    <row r="281" spans="1:20" x14ac:dyDescent="0.25">
      <c r="A281" s="5">
        <v>44312</v>
      </c>
      <c r="B281">
        <v>2.0527E-2</v>
      </c>
      <c r="C281">
        <v>2.3553000000000001E-2</v>
      </c>
      <c r="D281">
        <v>2.0393000000000001E-2</v>
      </c>
      <c r="E281">
        <v>2.2348E-2</v>
      </c>
      <c r="F281">
        <v>542066109</v>
      </c>
      <c r="G281">
        <v>0</v>
      </c>
      <c r="L281" t="s">
        <v>8</v>
      </c>
      <c r="M281" t="s">
        <v>8</v>
      </c>
      <c r="N281" t="s">
        <v>8</v>
      </c>
      <c r="P281">
        <f t="shared" si="939"/>
        <v>0.23734177215189789</v>
      </c>
      <c r="Q281">
        <f t="shared" si="940"/>
        <v>128654930.93354385</v>
      </c>
      <c r="R281">
        <f t="shared" si="941"/>
        <v>-1613211976.6912961</v>
      </c>
      <c r="S281">
        <f t="shared" si="942"/>
        <v>-16132.119766912961</v>
      </c>
      <c r="T281">
        <f t="shared" si="943"/>
        <v>-16.132119766912961</v>
      </c>
    </row>
    <row r="282" spans="1:20" x14ac:dyDescent="0.25">
      <c r="A282" s="5">
        <v>44311</v>
      </c>
      <c r="B282">
        <v>2.0781000000000001E-2</v>
      </c>
      <c r="C282">
        <v>2.2207000000000001E-2</v>
      </c>
      <c r="D282">
        <v>1.8908000000000001E-2</v>
      </c>
      <c r="E282">
        <v>2.0501999999999999E-2</v>
      </c>
      <c r="F282">
        <v>339350177</v>
      </c>
      <c r="G282">
        <v>0</v>
      </c>
      <c r="L282" t="s">
        <v>7</v>
      </c>
      <c r="M282" t="s">
        <v>7</v>
      </c>
      <c r="N282" t="s">
        <v>8</v>
      </c>
      <c r="P282">
        <f t="shared" si="939"/>
        <v>-3.3646559563505145E-2</v>
      </c>
      <c r="Q282">
        <f t="shared" si="940"/>
        <v>-11417965.943316514</v>
      </c>
      <c r="R282">
        <f t="shared" si="941"/>
        <v>-1741866907.62484</v>
      </c>
      <c r="S282">
        <f t="shared" si="942"/>
        <v>-17418.6690762484</v>
      </c>
      <c r="T282">
        <f t="shared" si="943"/>
        <v>-17.418669076248399</v>
      </c>
    </row>
    <row r="283" spans="1:20" x14ac:dyDescent="0.25">
      <c r="A283" s="5">
        <v>44310</v>
      </c>
      <c r="B283">
        <v>2.4230000000000002E-2</v>
      </c>
      <c r="C283">
        <v>2.4344999999999999E-2</v>
      </c>
      <c r="D283">
        <v>1.9966000000000001E-2</v>
      </c>
      <c r="E283">
        <v>2.0774999999999998E-2</v>
      </c>
      <c r="F283">
        <v>754003449</v>
      </c>
      <c r="G283">
        <v>0</v>
      </c>
      <c r="L283" t="s">
        <v>8</v>
      </c>
      <c r="M283" t="s">
        <v>8</v>
      </c>
      <c r="N283" t="s">
        <v>8</v>
      </c>
      <c r="P283">
        <f t="shared" si="939"/>
        <v>-0.63050924868691582</v>
      </c>
      <c r="Q283">
        <f t="shared" si="940"/>
        <v>-475406148.13633323</v>
      </c>
      <c r="R283">
        <f t="shared" si="941"/>
        <v>-1730448941.6815236</v>
      </c>
      <c r="S283">
        <f t="shared" si="942"/>
        <v>-17304.489416815235</v>
      </c>
      <c r="T283">
        <f t="shared" si="943"/>
        <v>-17.304489416815237</v>
      </c>
    </row>
    <row r="284" spans="1:20" x14ac:dyDescent="0.25">
      <c r="A284" s="5">
        <v>44309</v>
      </c>
      <c r="B284">
        <v>1.9774E-2</v>
      </c>
      <c r="C284">
        <v>2.7137000000000001E-2</v>
      </c>
      <c r="D284">
        <v>1.5141999999999999E-2</v>
      </c>
      <c r="E284">
        <v>2.4199999999999999E-2</v>
      </c>
      <c r="F284">
        <v>1542708446</v>
      </c>
      <c r="G284">
        <v>0</v>
      </c>
      <c r="L284" t="s">
        <v>7</v>
      </c>
      <c r="M284" t="s">
        <v>7</v>
      </c>
      <c r="N284" t="s">
        <v>7</v>
      </c>
      <c r="P284">
        <f t="shared" si="939"/>
        <v>0.51029595664860328</v>
      </c>
      <c r="Q284">
        <f t="shared" si="940"/>
        <v>787237882.28145015</v>
      </c>
      <c r="R284">
        <f t="shared" si="941"/>
        <v>-1255042793.5451903</v>
      </c>
      <c r="S284">
        <f t="shared" si="942"/>
        <v>-12550.427935451904</v>
      </c>
      <c r="T284">
        <f t="shared" si="943"/>
        <v>-12.550427935451903</v>
      </c>
    </row>
    <row r="285" spans="1:20" x14ac:dyDescent="0.25">
      <c r="A285" s="5">
        <v>44308</v>
      </c>
      <c r="B285">
        <v>2.1045000000000001E-2</v>
      </c>
      <c r="C285">
        <v>2.2499999999999999E-2</v>
      </c>
      <c r="D285">
        <v>1.9591999999999998E-2</v>
      </c>
      <c r="E285">
        <v>1.9800000000000002E-2</v>
      </c>
      <c r="F285">
        <v>547663683</v>
      </c>
      <c r="G285">
        <v>0</v>
      </c>
      <c r="L285" t="s">
        <v>7</v>
      </c>
      <c r="M285" t="s">
        <v>7</v>
      </c>
      <c r="N285" t="s">
        <v>7</v>
      </c>
      <c r="P285">
        <f t="shared" si="939"/>
        <v>-0.85694635488307891</v>
      </c>
      <c r="Q285">
        <f t="shared" si="940"/>
        <v>-469318396.848692</v>
      </c>
      <c r="R285">
        <f t="shared" si="941"/>
        <v>-2042280675.8266406</v>
      </c>
      <c r="S285">
        <f t="shared" si="942"/>
        <v>-20422.806758266404</v>
      </c>
      <c r="T285">
        <f t="shared" si="943"/>
        <v>-20.422806758266404</v>
      </c>
    </row>
    <row r="286" spans="1:20" x14ac:dyDescent="0.25">
      <c r="A286" s="5">
        <v>44307</v>
      </c>
      <c r="B286">
        <v>2.4930999999999998E-2</v>
      </c>
      <c r="C286">
        <v>2.495E-2</v>
      </c>
      <c r="D286">
        <v>1.9924999999999998E-2</v>
      </c>
      <c r="E286">
        <v>2.1045999999999999E-2</v>
      </c>
      <c r="F286">
        <v>717907767</v>
      </c>
      <c r="G286">
        <v>0</v>
      </c>
      <c r="L286" t="s">
        <v>8</v>
      </c>
      <c r="M286" t="s">
        <v>7</v>
      </c>
      <c r="N286" t="s">
        <v>7</v>
      </c>
      <c r="P286">
        <f t="shared" si="939"/>
        <v>-0.55383084577114428</v>
      </c>
      <c r="Q286">
        <f t="shared" si="940"/>
        <v>-397599465.78328359</v>
      </c>
      <c r="R286">
        <f t="shared" si="941"/>
        <v>-1572962278.9779487</v>
      </c>
      <c r="S286">
        <f t="shared" si="942"/>
        <v>-15729.622789779487</v>
      </c>
      <c r="T286">
        <f t="shared" si="943"/>
        <v>-15.729622789779487</v>
      </c>
    </row>
    <row r="287" spans="1:20" x14ac:dyDescent="0.25">
      <c r="A287" s="5">
        <v>44306</v>
      </c>
      <c r="B287">
        <v>2.4649999999999998E-2</v>
      </c>
      <c r="C287">
        <v>2.4988E-2</v>
      </c>
      <c r="D287">
        <v>2.0202999999999999E-2</v>
      </c>
      <c r="E287">
        <v>2.4931999999999999E-2</v>
      </c>
      <c r="F287">
        <v>820625628</v>
      </c>
      <c r="G287">
        <v>0</v>
      </c>
      <c r="L287" t="s">
        <v>7</v>
      </c>
      <c r="M287" t="s">
        <v>7</v>
      </c>
      <c r="N287" t="s">
        <v>7</v>
      </c>
      <c r="P287">
        <f t="shared" si="939"/>
        <v>0.97659352142110745</v>
      </c>
      <c r="Q287">
        <f t="shared" si="940"/>
        <v>801417671.81692779</v>
      </c>
      <c r="R287">
        <f t="shared" si="941"/>
        <v>-1175362813.194665</v>
      </c>
      <c r="S287">
        <f t="shared" si="942"/>
        <v>-11753.628131946649</v>
      </c>
      <c r="T287">
        <f t="shared" si="943"/>
        <v>-11.753628131946648</v>
      </c>
    </row>
    <row r="288" spans="1:20" x14ac:dyDescent="0.25">
      <c r="A288" s="5">
        <v>44305</v>
      </c>
      <c r="B288">
        <v>2.7879999999999999E-2</v>
      </c>
      <c r="C288">
        <v>2.9739000000000002E-2</v>
      </c>
      <c r="D288">
        <v>2.367E-2</v>
      </c>
      <c r="E288">
        <v>2.4650999999999999E-2</v>
      </c>
      <c r="F288">
        <v>528752745</v>
      </c>
      <c r="G288">
        <v>0</v>
      </c>
      <c r="L288" t="s">
        <v>7</v>
      </c>
      <c r="M288" t="s">
        <v>8</v>
      </c>
      <c r="N288" t="s">
        <v>7</v>
      </c>
      <c r="P288">
        <f t="shared" si="939"/>
        <v>-0.67671774592189848</v>
      </c>
      <c r="Q288">
        <f t="shared" si="940"/>
        <v>-357816365.74641639</v>
      </c>
      <c r="R288">
        <f t="shared" si="941"/>
        <v>-1976780485.0115929</v>
      </c>
      <c r="S288">
        <f t="shared" si="942"/>
        <v>-19767.804850115928</v>
      </c>
      <c r="T288">
        <f t="shared" si="943"/>
        <v>-19.76780485011593</v>
      </c>
    </row>
    <row r="289" spans="1:20" x14ac:dyDescent="0.25">
      <c r="A289" s="5">
        <v>44304</v>
      </c>
      <c r="B289">
        <v>2.9786E-2</v>
      </c>
      <c r="C289">
        <v>3.0221999999999999E-2</v>
      </c>
      <c r="D289">
        <v>2.4199999999999999E-2</v>
      </c>
      <c r="E289">
        <v>2.7796000000000001E-2</v>
      </c>
      <c r="F289">
        <v>463177943</v>
      </c>
      <c r="G289">
        <v>0</v>
      </c>
      <c r="L289" t="s">
        <v>7</v>
      </c>
      <c r="M289" t="s">
        <v>7</v>
      </c>
      <c r="N289" t="s">
        <v>7</v>
      </c>
      <c r="P289">
        <f t="shared" si="939"/>
        <v>0.19428761208900772</v>
      </c>
      <c r="Q289">
        <f t="shared" si="940"/>
        <v>89989736.517768532</v>
      </c>
      <c r="R289">
        <f t="shared" si="941"/>
        <v>-1618964119.2651765</v>
      </c>
      <c r="S289">
        <f t="shared" si="942"/>
        <v>-16189.641192651765</v>
      </c>
      <c r="T289">
        <f t="shared" si="943"/>
        <v>-16.189641192651766</v>
      </c>
    </row>
    <row r="290" spans="1:20" x14ac:dyDescent="0.25">
      <c r="A290" s="5">
        <v>44303</v>
      </c>
      <c r="B290">
        <v>2.7947E-2</v>
      </c>
      <c r="C290">
        <v>3.3599999999999998E-2</v>
      </c>
      <c r="D290">
        <v>2.7924000000000001E-2</v>
      </c>
      <c r="E290">
        <v>2.9786E-2</v>
      </c>
      <c r="F290">
        <v>662992414</v>
      </c>
      <c r="G290">
        <v>0</v>
      </c>
      <c r="L290" t="s">
        <v>8</v>
      </c>
      <c r="M290" t="s">
        <v>8</v>
      </c>
      <c r="N290" t="s">
        <v>7</v>
      </c>
      <c r="P290">
        <f t="shared" si="939"/>
        <v>-0.34390415785764622</v>
      </c>
      <c r="Q290">
        <f t="shared" si="940"/>
        <v>-228005847.80267793</v>
      </c>
      <c r="R290">
        <f t="shared" si="941"/>
        <v>-1708953855.7829452</v>
      </c>
      <c r="S290">
        <f t="shared" si="942"/>
        <v>-17089.538557829452</v>
      </c>
      <c r="T290">
        <f t="shared" si="943"/>
        <v>-17.089538557829453</v>
      </c>
    </row>
    <row r="291" spans="1:20" x14ac:dyDescent="0.25">
      <c r="A291" s="5">
        <v>44302</v>
      </c>
      <c r="B291">
        <v>3.0078000000000001E-2</v>
      </c>
      <c r="C291">
        <v>3.0249999999999999E-2</v>
      </c>
      <c r="D291">
        <v>2.7535E-2</v>
      </c>
      <c r="E291">
        <v>2.7961E-2</v>
      </c>
      <c r="F291">
        <v>553134938</v>
      </c>
      <c r="G291">
        <v>0</v>
      </c>
      <c r="L291" t="s">
        <v>7</v>
      </c>
      <c r="M291" t="s">
        <v>7</v>
      </c>
      <c r="N291" t="s">
        <v>7</v>
      </c>
      <c r="P291">
        <f t="shared" si="939"/>
        <v>-0.68618784530386778</v>
      </c>
      <c r="Q291">
        <f t="shared" si="940"/>
        <v>-379554471.26850849</v>
      </c>
      <c r="R291">
        <f t="shared" si="941"/>
        <v>-1480948007.9802673</v>
      </c>
      <c r="S291">
        <f t="shared" si="942"/>
        <v>-14809.480079802674</v>
      </c>
      <c r="T291">
        <f t="shared" si="943"/>
        <v>-14.809480079802674</v>
      </c>
    </row>
    <row r="292" spans="1:20" x14ac:dyDescent="0.25">
      <c r="A292" s="5">
        <v>44301</v>
      </c>
      <c r="B292">
        <v>3.0013999999999999E-2</v>
      </c>
      <c r="C292">
        <v>3.1781999999999998E-2</v>
      </c>
      <c r="D292">
        <v>2.9665E-2</v>
      </c>
      <c r="E292">
        <v>3.0026000000000001E-2</v>
      </c>
      <c r="F292">
        <v>416457790</v>
      </c>
      <c r="G292">
        <v>0</v>
      </c>
      <c r="L292" t="s">
        <v>8</v>
      </c>
      <c r="M292" t="s">
        <v>7</v>
      </c>
      <c r="N292" t="s">
        <v>7</v>
      </c>
      <c r="P292">
        <f t="shared" si="939"/>
        <v>-0.65895134624468521</v>
      </c>
      <c r="Q292">
        <f t="shared" si="940"/>
        <v>-274425421.3745864</v>
      </c>
      <c r="R292">
        <f t="shared" si="941"/>
        <v>-1101393536.7117589</v>
      </c>
      <c r="S292">
        <f t="shared" si="942"/>
        <v>-11013.935367117589</v>
      </c>
      <c r="T292">
        <f t="shared" si="943"/>
        <v>-11.013935367117588</v>
      </c>
    </row>
    <row r="293" spans="1:20" x14ac:dyDescent="0.25">
      <c r="A293" s="5">
        <v>44300</v>
      </c>
      <c r="B293">
        <v>2.9186E-2</v>
      </c>
      <c r="C293">
        <v>3.1380999999999999E-2</v>
      </c>
      <c r="D293">
        <v>2.8996999999999998E-2</v>
      </c>
      <c r="E293">
        <v>3.0110999999999999E-2</v>
      </c>
      <c r="F293">
        <v>460466387</v>
      </c>
      <c r="G293">
        <v>0</v>
      </c>
      <c r="L293" t="s">
        <v>8</v>
      </c>
      <c r="M293" t="s">
        <v>7</v>
      </c>
      <c r="N293" t="s">
        <v>7</v>
      </c>
      <c r="P293">
        <f t="shared" si="939"/>
        <v>-6.5436241610738188E-2</v>
      </c>
      <c r="Q293">
        <f t="shared" si="940"/>
        <v>-30131189.753355674</v>
      </c>
      <c r="R293">
        <f t="shared" si="941"/>
        <v>-826968115.33717239</v>
      </c>
      <c r="S293">
        <f t="shared" si="942"/>
        <v>-8269.6811533717246</v>
      </c>
      <c r="T293">
        <f t="shared" si="943"/>
        <v>-8.2696811533717245</v>
      </c>
    </row>
    <row r="294" spans="1:20" x14ac:dyDescent="0.25">
      <c r="A294" s="5">
        <v>44299</v>
      </c>
      <c r="B294">
        <v>2.9739999999999999E-2</v>
      </c>
      <c r="C294">
        <v>3.1602999999999999E-2</v>
      </c>
      <c r="D294">
        <v>2.8516E-2</v>
      </c>
      <c r="E294">
        <v>2.9184999999999999E-2</v>
      </c>
      <c r="F294">
        <v>385528067</v>
      </c>
      <c r="G294">
        <v>0</v>
      </c>
      <c r="L294" t="s">
        <v>7</v>
      </c>
      <c r="M294" t="s">
        <v>7</v>
      </c>
      <c r="N294" t="s">
        <v>7</v>
      </c>
      <c r="P294">
        <f t="shared" si="939"/>
        <v>-0.56656948493683212</v>
      </c>
      <c r="Q294">
        <f t="shared" si="940"/>
        <v>-218428438.3488825</v>
      </c>
      <c r="R294">
        <f t="shared" si="941"/>
        <v>-796836925.58381677</v>
      </c>
      <c r="S294">
        <f t="shared" si="942"/>
        <v>-7968.3692558381681</v>
      </c>
      <c r="T294">
        <f t="shared" si="943"/>
        <v>-7.9683692558381685</v>
      </c>
    </row>
    <row r="295" spans="1:20" x14ac:dyDescent="0.25">
      <c r="A295" s="5">
        <v>44298</v>
      </c>
      <c r="B295">
        <v>3.2876000000000002E-2</v>
      </c>
      <c r="C295">
        <v>3.3116E-2</v>
      </c>
      <c r="D295">
        <v>2.8989999999999998E-2</v>
      </c>
      <c r="E295">
        <v>2.9741E-2</v>
      </c>
      <c r="F295">
        <v>428153567</v>
      </c>
      <c r="G295">
        <v>0</v>
      </c>
      <c r="L295" t="s">
        <v>7</v>
      </c>
      <c r="M295" t="s">
        <v>7</v>
      </c>
      <c r="N295" t="s">
        <v>7</v>
      </c>
      <c r="P295">
        <f t="shared" si="939"/>
        <v>-0.63596703829374623</v>
      </c>
      <c r="Q295">
        <f t="shared" si="940"/>
        <v>-272291555.93989307</v>
      </c>
      <c r="R295">
        <f t="shared" si="941"/>
        <v>-578408487.23493433</v>
      </c>
      <c r="S295">
        <f t="shared" si="942"/>
        <v>-5784.0848723493436</v>
      </c>
      <c r="T295">
        <f t="shared" si="943"/>
        <v>-5.7840848723493439</v>
      </c>
    </row>
    <row r="296" spans="1:20" x14ac:dyDescent="0.25">
      <c r="A296" s="5">
        <v>44297</v>
      </c>
      <c r="B296">
        <v>2.9257999999999999E-2</v>
      </c>
      <c r="C296">
        <v>3.5000000000000003E-2</v>
      </c>
      <c r="D296">
        <v>2.845E-2</v>
      </c>
      <c r="E296">
        <v>3.2892999999999999E-2</v>
      </c>
      <c r="F296">
        <v>517901641</v>
      </c>
      <c r="G296">
        <v>0</v>
      </c>
      <c r="L296" t="s">
        <v>8</v>
      </c>
      <c r="M296" t="s">
        <v>8</v>
      </c>
      <c r="N296" t="s">
        <v>7</v>
      </c>
      <c r="P296">
        <f t="shared" si="939"/>
        <v>0.35664122137404475</v>
      </c>
      <c r="Q296">
        <f t="shared" si="940"/>
        <v>184705073.79786205</v>
      </c>
      <c r="R296">
        <f t="shared" si="941"/>
        <v>-306116931.29504132</v>
      </c>
      <c r="S296">
        <f t="shared" si="942"/>
        <v>-3061.1693129504133</v>
      </c>
      <c r="T296">
        <f t="shared" si="943"/>
        <v>-3.0611693129504132</v>
      </c>
    </row>
    <row r="297" spans="1:20" x14ac:dyDescent="0.25">
      <c r="A297" s="5">
        <v>44296</v>
      </c>
      <c r="B297">
        <v>3.0303E-2</v>
      </c>
      <c r="C297">
        <v>3.193E-2</v>
      </c>
      <c r="D297">
        <v>2.8358999999999999E-2</v>
      </c>
      <c r="E297">
        <v>2.9232999999999999E-2</v>
      </c>
      <c r="F297">
        <v>479741513</v>
      </c>
      <c r="G297">
        <v>0</v>
      </c>
      <c r="L297" t="s">
        <v>7</v>
      </c>
      <c r="M297" t="s">
        <v>8</v>
      </c>
      <c r="N297" t="s">
        <v>7</v>
      </c>
      <c r="P297">
        <f t="shared" si="939"/>
        <v>-0.51050126015121844</v>
      </c>
      <c r="Q297">
        <f t="shared" si="940"/>
        <v>-244908646.93335214</v>
      </c>
      <c r="R297">
        <f t="shared" si="941"/>
        <v>-490822005.09290338</v>
      </c>
      <c r="S297">
        <f t="shared" si="942"/>
        <v>-4908.2200509290342</v>
      </c>
      <c r="T297">
        <f t="shared" si="943"/>
        <v>-4.9082200509290344</v>
      </c>
    </row>
    <row r="298" spans="1:20" x14ac:dyDescent="0.25">
      <c r="A298" s="5">
        <v>44295</v>
      </c>
      <c r="B298">
        <v>3.1078000000000001E-2</v>
      </c>
      <c r="C298">
        <v>3.2418000000000002E-2</v>
      </c>
      <c r="D298">
        <v>2.945E-2</v>
      </c>
      <c r="E298">
        <v>3.0303E-2</v>
      </c>
      <c r="F298">
        <v>509295263</v>
      </c>
      <c r="G298">
        <v>0</v>
      </c>
      <c r="L298" t="s">
        <v>7</v>
      </c>
      <c r="M298" t="s">
        <v>8</v>
      </c>
      <c r="N298" t="s">
        <v>7</v>
      </c>
      <c r="P298">
        <f t="shared" si="939"/>
        <v>-0.42520215633423247</v>
      </c>
      <c r="Q298">
        <f t="shared" si="940"/>
        <v>-216553444.03841004</v>
      </c>
      <c r="R298">
        <f t="shared" si="941"/>
        <v>-245913358.15955126</v>
      </c>
      <c r="S298">
        <f t="shared" si="942"/>
        <v>-2459.1335815955126</v>
      </c>
      <c r="T298">
        <f t="shared" si="943"/>
        <v>-2.4591335815955127</v>
      </c>
    </row>
    <row r="299" spans="1:20" x14ac:dyDescent="0.25">
      <c r="A299" s="5">
        <v>44294</v>
      </c>
      <c r="B299">
        <v>2.8421999999999999E-2</v>
      </c>
      <c r="C299">
        <v>3.2399999999999998E-2</v>
      </c>
      <c r="D299">
        <v>2.8119000000000002E-2</v>
      </c>
      <c r="E299">
        <v>3.1074000000000001E-2</v>
      </c>
      <c r="F299">
        <v>460770460</v>
      </c>
      <c r="G299">
        <v>0</v>
      </c>
      <c r="L299" t="s">
        <v>8</v>
      </c>
      <c r="M299" t="s">
        <v>8</v>
      </c>
      <c r="N299" t="s">
        <v>7</v>
      </c>
      <c r="P299">
        <f t="shared" si="939"/>
        <v>0.380518570427471</v>
      </c>
      <c r="Q299">
        <f t="shared" si="940"/>
        <v>175331716.7344082</v>
      </c>
      <c r="R299">
        <f t="shared" si="941"/>
        <v>-29359914.121141225</v>
      </c>
      <c r="S299">
        <f t="shared" si="942"/>
        <v>-293.59914121141225</v>
      </c>
      <c r="T299">
        <f t="shared" si="943"/>
        <v>-0.29359914121141223</v>
      </c>
    </row>
    <row r="300" spans="1:20" x14ac:dyDescent="0.25">
      <c r="A300" s="5">
        <v>44293</v>
      </c>
      <c r="B300">
        <v>3.2473000000000002E-2</v>
      </c>
      <c r="C300">
        <v>3.3699E-2</v>
      </c>
      <c r="D300">
        <v>2.63E-2</v>
      </c>
      <c r="E300">
        <v>2.8468E-2</v>
      </c>
      <c r="F300">
        <v>691285525</v>
      </c>
      <c r="G300">
        <v>0</v>
      </c>
      <c r="L300" t="s">
        <v>7</v>
      </c>
      <c r="M300" t="s">
        <v>7</v>
      </c>
      <c r="N300" t="s">
        <v>7</v>
      </c>
      <c r="P300">
        <f t="shared" si="939"/>
        <v>-0.41397486146776591</v>
      </c>
      <c r="Q300">
        <f t="shared" si="940"/>
        <v>-286174829.44654685</v>
      </c>
      <c r="R300">
        <f t="shared" si="941"/>
        <v>-204691630.85554942</v>
      </c>
      <c r="S300">
        <f t="shared" si="942"/>
        <v>-2046.9163085554942</v>
      </c>
      <c r="T300">
        <f t="shared" si="943"/>
        <v>-2.046916308555494</v>
      </c>
    </row>
    <row r="301" spans="1:20" x14ac:dyDescent="0.25">
      <c r="A301" s="5">
        <v>44292</v>
      </c>
      <c r="B301">
        <v>3.5048999999999997E-2</v>
      </c>
      <c r="C301">
        <v>3.6199000000000002E-2</v>
      </c>
      <c r="D301">
        <v>3.0537999999999999E-2</v>
      </c>
      <c r="E301">
        <v>3.2500000000000001E-2</v>
      </c>
      <c r="F301">
        <v>653984564</v>
      </c>
      <c r="G301">
        <v>0</v>
      </c>
      <c r="L301" t="s">
        <v>7</v>
      </c>
      <c r="M301" t="s">
        <v>7</v>
      </c>
      <c r="N301" t="s">
        <v>7</v>
      </c>
      <c r="P301">
        <f t="shared" si="939"/>
        <v>-0.30683624801271825</v>
      </c>
      <c r="Q301">
        <f t="shared" si="940"/>
        <v>-200666169.8759934</v>
      </c>
      <c r="R301">
        <f t="shared" si="941"/>
        <v>81483198.590997428</v>
      </c>
      <c r="S301">
        <f t="shared" si="942"/>
        <v>814.83198590997426</v>
      </c>
      <c r="T301">
        <f t="shared" si="943"/>
        <v>0.8148319859099743</v>
      </c>
    </row>
    <row r="302" spans="1:20" x14ac:dyDescent="0.25">
      <c r="A302" s="5">
        <v>44291</v>
      </c>
      <c r="B302">
        <v>3.6104999999999998E-2</v>
      </c>
      <c r="C302">
        <v>3.6255000000000003E-2</v>
      </c>
      <c r="D302">
        <v>3.2598000000000002E-2</v>
      </c>
      <c r="E302">
        <v>3.4972999999999997E-2</v>
      </c>
      <c r="F302">
        <v>676543459</v>
      </c>
      <c r="G302">
        <v>0</v>
      </c>
      <c r="L302" t="s">
        <v>8</v>
      </c>
      <c r="M302" t="s">
        <v>8</v>
      </c>
      <c r="N302" t="s">
        <v>7</v>
      </c>
      <c r="P302">
        <f t="shared" si="939"/>
        <v>0.29887886245556183</v>
      </c>
      <c r="Q302">
        <f t="shared" si="940"/>
        <v>202204539.42767105</v>
      </c>
      <c r="R302">
        <f t="shared" si="941"/>
        <v>282149368.46699083</v>
      </c>
      <c r="S302">
        <f t="shared" si="942"/>
        <v>2821.4936846699084</v>
      </c>
      <c r="T302">
        <f t="shared" si="943"/>
        <v>2.8214936846699086</v>
      </c>
    </row>
    <row r="303" spans="1:20" x14ac:dyDescent="0.25">
      <c r="A303" s="5">
        <v>44290</v>
      </c>
      <c r="B303">
        <v>3.0179999999999998E-2</v>
      </c>
      <c r="C303">
        <v>3.8800000000000001E-2</v>
      </c>
      <c r="D303">
        <v>2.9779E-2</v>
      </c>
      <c r="E303">
        <v>3.6242000000000003E-2</v>
      </c>
      <c r="F303">
        <v>698339173</v>
      </c>
      <c r="G303">
        <v>0</v>
      </c>
      <c r="L303" t="s">
        <v>7</v>
      </c>
      <c r="M303" t="s">
        <v>7</v>
      </c>
      <c r="N303" t="s">
        <v>7</v>
      </c>
      <c r="P303">
        <f t="shared" si="939"/>
        <v>0.43287883826626816</v>
      </c>
      <c r="Q303">
        <f t="shared" si="940"/>
        <v>302296249.92406648</v>
      </c>
      <c r="R303">
        <f t="shared" si="941"/>
        <v>79944829.039319813</v>
      </c>
      <c r="S303">
        <f t="shared" si="942"/>
        <v>799.44829039319814</v>
      </c>
      <c r="T303">
        <f t="shared" si="943"/>
        <v>0.79944829039319809</v>
      </c>
    </row>
    <row r="304" spans="1:20" x14ac:dyDescent="0.25">
      <c r="A304" s="5">
        <v>44289</v>
      </c>
      <c r="B304">
        <v>3.5137000000000002E-2</v>
      </c>
      <c r="C304">
        <v>3.6790000000000003E-2</v>
      </c>
      <c r="D304">
        <v>3.0175E-2</v>
      </c>
      <c r="E304">
        <v>3.0188E-2</v>
      </c>
      <c r="F304">
        <v>563068844</v>
      </c>
      <c r="G304">
        <v>0</v>
      </c>
      <c r="L304" t="s">
        <v>7</v>
      </c>
      <c r="M304" t="s">
        <v>7</v>
      </c>
      <c r="N304" t="s">
        <v>7</v>
      </c>
      <c r="P304">
        <f t="shared" si="939"/>
        <v>-0.99606953892668204</v>
      </c>
      <c r="Q304">
        <f t="shared" si="940"/>
        <v>-560855723.82705986</v>
      </c>
      <c r="R304">
        <f t="shared" si="941"/>
        <v>-222351420.88474667</v>
      </c>
      <c r="S304">
        <f t="shared" si="942"/>
        <v>-2223.5142088474668</v>
      </c>
      <c r="T304">
        <f t="shared" si="943"/>
        <v>-2.2235142088474666</v>
      </c>
    </row>
    <row r="305" spans="1:20" x14ac:dyDescent="0.25">
      <c r="A305" s="5">
        <v>44288</v>
      </c>
      <c r="B305">
        <v>3.7719000000000003E-2</v>
      </c>
      <c r="C305">
        <v>3.823E-2</v>
      </c>
      <c r="D305">
        <v>3.2905999999999998E-2</v>
      </c>
      <c r="E305">
        <v>3.5145000000000003E-2</v>
      </c>
      <c r="F305">
        <v>657565027</v>
      </c>
      <c r="G305">
        <v>0</v>
      </c>
      <c r="L305" t="s">
        <v>7</v>
      </c>
      <c r="M305" t="s">
        <v>7</v>
      </c>
      <c r="N305" t="s">
        <v>8</v>
      </c>
      <c r="P305">
        <f t="shared" si="939"/>
        <v>-0.15890308039068224</v>
      </c>
      <c r="Q305">
        <f t="shared" si="940"/>
        <v>-104489108.34748213</v>
      </c>
      <c r="R305">
        <f t="shared" si="941"/>
        <v>338504302.94231319</v>
      </c>
      <c r="S305">
        <f t="shared" si="942"/>
        <v>3385.0430294231319</v>
      </c>
      <c r="T305">
        <f t="shared" si="943"/>
        <v>3.385043029423132</v>
      </c>
    </row>
    <row r="306" spans="1:20" x14ac:dyDescent="0.25">
      <c r="A306" s="5">
        <v>44287</v>
      </c>
      <c r="B306">
        <v>4.1950000000000001E-2</v>
      </c>
      <c r="C306">
        <v>4.2092999999999998E-2</v>
      </c>
      <c r="D306">
        <v>3.5119999999999998E-2</v>
      </c>
      <c r="E306">
        <v>3.7805999999999999E-2</v>
      </c>
      <c r="F306">
        <v>843216002</v>
      </c>
      <c r="G306">
        <v>0</v>
      </c>
      <c r="L306" t="s">
        <v>7</v>
      </c>
      <c r="M306" t="s">
        <v>7</v>
      </c>
      <c r="N306" t="s">
        <v>8</v>
      </c>
      <c r="P306">
        <f t="shared" si="939"/>
        <v>-0.22959988527176226</v>
      </c>
      <c r="Q306">
        <f t="shared" si="940"/>
        <v>-193602297.31851405</v>
      </c>
      <c r="R306">
        <f t="shared" si="941"/>
        <v>442993411.28979534</v>
      </c>
      <c r="S306">
        <f t="shared" si="942"/>
        <v>4429.9341128979531</v>
      </c>
      <c r="T306">
        <f t="shared" si="943"/>
        <v>4.4299341128979535</v>
      </c>
    </row>
    <row r="307" spans="1:20" x14ac:dyDescent="0.25">
      <c r="A307" s="5">
        <v>44286</v>
      </c>
      <c r="B307">
        <v>3.4998000000000001E-2</v>
      </c>
      <c r="C307">
        <v>4.4470000000000003E-2</v>
      </c>
      <c r="D307">
        <v>3.3177999999999999E-2</v>
      </c>
      <c r="E307">
        <v>4.1963E-2</v>
      </c>
      <c r="F307">
        <v>1972938424</v>
      </c>
      <c r="G307">
        <v>0</v>
      </c>
      <c r="L307" t="s">
        <v>8</v>
      </c>
      <c r="M307" t="s">
        <v>8</v>
      </c>
      <c r="N307" t="s">
        <v>8</v>
      </c>
      <c r="P307">
        <f t="shared" si="939"/>
        <v>0.55596882748848719</v>
      </c>
      <c r="Q307">
        <f t="shared" si="940"/>
        <v>1096892262.2982638</v>
      </c>
      <c r="R307">
        <f t="shared" si="941"/>
        <v>636595708.60830939</v>
      </c>
      <c r="S307">
        <f t="shared" si="942"/>
        <v>6365.9570860830936</v>
      </c>
      <c r="T307">
        <f t="shared" si="943"/>
        <v>6.3659570860830934</v>
      </c>
    </row>
    <row r="308" spans="1:20" x14ac:dyDescent="0.25">
      <c r="A308" s="5">
        <v>44285</v>
      </c>
      <c r="B308">
        <v>2.9801000000000001E-2</v>
      </c>
      <c r="C308">
        <v>3.5000000000000003E-2</v>
      </c>
      <c r="D308">
        <v>2.8618999999999999E-2</v>
      </c>
      <c r="E308">
        <v>3.4999000000000002E-2</v>
      </c>
      <c r="F308">
        <v>774570086</v>
      </c>
      <c r="G308">
        <v>0</v>
      </c>
      <c r="L308" t="s">
        <v>8</v>
      </c>
      <c r="M308" t="s">
        <v>8</v>
      </c>
      <c r="N308" t="s">
        <v>8</v>
      </c>
      <c r="P308">
        <f t="shared" si="939"/>
        <v>0.99968656950321233</v>
      </c>
      <c r="Q308">
        <f t="shared" si="940"/>
        <v>774327312.11314809</v>
      </c>
      <c r="R308">
        <f t="shared" si="941"/>
        <v>-460296553.6899544</v>
      </c>
      <c r="S308">
        <f t="shared" si="942"/>
        <v>-4602.9655368995436</v>
      </c>
      <c r="T308">
        <f t="shared" si="943"/>
        <v>-4.6029655368995437</v>
      </c>
    </row>
    <row r="309" spans="1:20" x14ac:dyDescent="0.25">
      <c r="A309" s="5">
        <v>44284</v>
      </c>
      <c r="B309">
        <v>2.7042E-2</v>
      </c>
      <c r="C309">
        <v>0.03</v>
      </c>
      <c r="D309">
        <v>2.6006999999999999E-2</v>
      </c>
      <c r="E309">
        <v>2.98E-2</v>
      </c>
      <c r="F309">
        <v>434494881</v>
      </c>
      <c r="G309">
        <v>0</v>
      </c>
      <c r="L309" t="s">
        <v>7</v>
      </c>
      <c r="M309" t="s">
        <v>8</v>
      </c>
      <c r="N309" t="s">
        <v>8</v>
      </c>
      <c r="P309">
        <f t="shared" si="939"/>
        <v>0.89982469321312353</v>
      </c>
      <c r="Q309">
        <f t="shared" si="940"/>
        <v>390969222.99849761</v>
      </c>
      <c r="R309">
        <f t="shared" si="941"/>
        <v>-1234623865.8031025</v>
      </c>
      <c r="S309">
        <f t="shared" si="942"/>
        <v>-12346.238658031025</v>
      </c>
      <c r="T309">
        <f t="shared" si="943"/>
        <v>-12.346238658031025</v>
      </c>
    </row>
    <row r="310" spans="1:20" x14ac:dyDescent="0.25">
      <c r="A310" s="5">
        <v>44283</v>
      </c>
      <c r="B310">
        <v>2.7781E-2</v>
      </c>
      <c r="C310">
        <v>2.9899999999999999E-2</v>
      </c>
      <c r="D310">
        <v>2.5624000000000001E-2</v>
      </c>
      <c r="E310">
        <v>2.7043000000000001E-2</v>
      </c>
      <c r="F310">
        <v>540621713</v>
      </c>
      <c r="G310">
        <v>0</v>
      </c>
      <c r="L310" t="s">
        <v>8</v>
      </c>
      <c r="M310" t="s">
        <v>8</v>
      </c>
      <c r="N310" t="s">
        <v>8</v>
      </c>
      <c r="P310">
        <f t="shared" si="939"/>
        <v>-0.33629560336763303</v>
      </c>
      <c r="Q310">
        <f t="shared" si="940"/>
        <v>-181808705.16697833</v>
      </c>
      <c r="R310">
        <f t="shared" si="941"/>
        <v>-1625593088.8016</v>
      </c>
      <c r="S310">
        <f t="shared" si="942"/>
        <v>-16255.930888016001</v>
      </c>
      <c r="T310">
        <f t="shared" si="943"/>
        <v>-16.255930888016</v>
      </c>
    </row>
    <row r="311" spans="1:20" x14ac:dyDescent="0.25">
      <c r="A311" s="5">
        <v>44282</v>
      </c>
      <c r="B311">
        <v>2.6189E-2</v>
      </c>
      <c r="C311">
        <v>2.9345E-2</v>
      </c>
      <c r="D311">
        <v>2.5000000000000001E-2</v>
      </c>
      <c r="E311">
        <v>2.7807999999999999E-2</v>
      </c>
      <c r="F311">
        <v>1030793979</v>
      </c>
      <c r="G311">
        <v>0</v>
      </c>
      <c r="L311" t="s">
        <v>8</v>
      </c>
      <c r="M311" t="s">
        <v>8</v>
      </c>
      <c r="N311" t="s">
        <v>8</v>
      </c>
      <c r="P311">
        <f t="shared" si="939"/>
        <v>0.29252013808975796</v>
      </c>
      <c r="Q311">
        <f t="shared" si="940"/>
        <v>301527997.07917106</v>
      </c>
      <c r="R311">
        <f t="shared" si="941"/>
        <v>-1443784383.6346216</v>
      </c>
      <c r="S311">
        <f t="shared" si="942"/>
        <v>-14437.843836346216</v>
      </c>
      <c r="T311">
        <f t="shared" si="943"/>
        <v>-14.437843836346216</v>
      </c>
    </row>
    <row r="312" spans="1:20" x14ac:dyDescent="0.25">
      <c r="A312" s="5">
        <v>44281</v>
      </c>
      <c r="B312">
        <v>2.0469999999999999E-2</v>
      </c>
      <c r="C312">
        <v>2.7876999999999999E-2</v>
      </c>
      <c r="D312">
        <v>2.0369000000000002E-2</v>
      </c>
      <c r="E312">
        <v>2.6189E-2</v>
      </c>
      <c r="F312">
        <v>1133680532</v>
      </c>
      <c r="G312">
        <v>0</v>
      </c>
      <c r="L312" t="s">
        <v>8</v>
      </c>
      <c r="M312" t="s">
        <v>8</v>
      </c>
      <c r="N312" t="s">
        <v>8</v>
      </c>
      <c r="P312">
        <f t="shared" si="939"/>
        <v>0.55034629728289852</v>
      </c>
      <c r="Q312">
        <f t="shared" si="940"/>
        <v>623916883.0879066</v>
      </c>
      <c r="R312">
        <f t="shared" si="941"/>
        <v>-1745312380.7137926</v>
      </c>
      <c r="S312">
        <f t="shared" si="942"/>
        <v>-17453.123807137927</v>
      </c>
      <c r="T312">
        <f t="shared" si="943"/>
        <v>-17.453123807137928</v>
      </c>
    </row>
    <row r="313" spans="1:20" x14ac:dyDescent="0.25">
      <c r="A313" s="5">
        <v>44280</v>
      </c>
      <c r="B313">
        <v>2.0833000000000001E-2</v>
      </c>
      <c r="C313">
        <v>2.1342E-2</v>
      </c>
      <c r="D313">
        <v>1.8359E-2</v>
      </c>
      <c r="E313">
        <v>2.0490999999999999E-2</v>
      </c>
      <c r="F313">
        <v>572499845</v>
      </c>
      <c r="G313">
        <v>0</v>
      </c>
      <c r="L313" t="s">
        <v>7</v>
      </c>
      <c r="M313" t="s">
        <v>7</v>
      </c>
      <c r="N313" t="s">
        <v>7</v>
      </c>
      <c r="P313">
        <f t="shared" si="939"/>
        <v>0.42943345625209439</v>
      </c>
      <c r="Q313">
        <f t="shared" si="940"/>
        <v>245850587.14213833</v>
      </c>
      <c r="R313">
        <f t="shared" si="941"/>
        <v>-2369229263.8016992</v>
      </c>
      <c r="S313">
        <f t="shared" si="942"/>
        <v>-23692.292638016992</v>
      </c>
      <c r="T313">
        <f t="shared" si="943"/>
        <v>-23.69229263801699</v>
      </c>
    </row>
    <row r="314" spans="1:20" x14ac:dyDescent="0.25">
      <c r="A314" s="5">
        <v>44279</v>
      </c>
      <c r="B314">
        <v>2.1503999999999999E-2</v>
      </c>
      <c r="C314">
        <v>2.4107E-2</v>
      </c>
      <c r="D314">
        <v>0.02</v>
      </c>
      <c r="E314">
        <v>2.0839E-2</v>
      </c>
      <c r="F314">
        <v>629839769</v>
      </c>
      <c r="G314">
        <v>0</v>
      </c>
      <c r="L314" t="s">
        <v>7</v>
      </c>
      <c r="M314" t="s">
        <v>7</v>
      </c>
      <c r="N314" t="s">
        <v>7</v>
      </c>
      <c r="P314">
        <f t="shared" si="939"/>
        <v>-0.59142926710494303</v>
      </c>
      <c r="Q314">
        <f t="shared" si="940"/>
        <v>-372505672.97321659</v>
      </c>
      <c r="R314">
        <f t="shared" si="941"/>
        <v>-2615079850.9438376</v>
      </c>
      <c r="S314">
        <f t="shared" si="942"/>
        <v>-26150.798509438377</v>
      </c>
      <c r="T314">
        <f t="shared" si="943"/>
        <v>-26.150798509438378</v>
      </c>
    </row>
    <row r="315" spans="1:20" x14ac:dyDescent="0.25">
      <c r="A315" s="5">
        <v>44278</v>
      </c>
      <c r="B315">
        <v>2.3290999999999999E-2</v>
      </c>
      <c r="C315">
        <v>2.5618999999999999E-2</v>
      </c>
      <c r="D315">
        <v>2.1158E-2</v>
      </c>
      <c r="E315">
        <v>2.1551000000000001E-2</v>
      </c>
      <c r="F315">
        <v>793778300</v>
      </c>
      <c r="G315">
        <v>0</v>
      </c>
      <c r="L315" t="s">
        <v>7</v>
      </c>
      <c r="M315" t="s">
        <v>7</v>
      </c>
      <c r="N315" t="s">
        <v>8</v>
      </c>
      <c r="P315">
        <f t="shared" si="939"/>
        <v>-0.8238063214525887</v>
      </c>
      <c r="Q315">
        <f t="shared" si="940"/>
        <v>-653919581.37188935</v>
      </c>
      <c r="R315">
        <f t="shared" si="941"/>
        <v>-2242574177.9706211</v>
      </c>
      <c r="S315">
        <f t="shared" si="942"/>
        <v>-22425.741779706212</v>
      </c>
      <c r="T315">
        <f t="shared" si="943"/>
        <v>-22.425741779706211</v>
      </c>
    </row>
    <row r="316" spans="1:20" x14ac:dyDescent="0.25">
      <c r="A316" s="5">
        <v>44277</v>
      </c>
      <c r="B316">
        <v>2.1288999999999999E-2</v>
      </c>
      <c r="C316">
        <v>2.8844000000000002E-2</v>
      </c>
      <c r="D316">
        <v>2.0060999999999999E-2</v>
      </c>
      <c r="E316">
        <v>2.3290999999999999E-2</v>
      </c>
      <c r="F316">
        <v>1810735321</v>
      </c>
      <c r="G316">
        <v>0</v>
      </c>
      <c r="L316" t="s">
        <v>8</v>
      </c>
      <c r="M316" t="s">
        <v>8</v>
      </c>
      <c r="N316" t="s">
        <v>8</v>
      </c>
      <c r="P316">
        <f t="shared" si="939"/>
        <v>-0.26448821587157023</v>
      </c>
      <c r="Q316">
        <f t="shared" si="940"/>
        <v>-478918154.46692502</v>
      </c>
      <c r="R316">
        <f t="shared" si="941"/>
        <v>-1588654596.598732</v>
      </c>
      <c r="S316">
        <f t="shared" si="942"/>
        <v>-15886.54596598732</v>
      </c>
      <c r="T316">
        <f t="shared" si="943"/>
        <v>-15.88654596598732</v>
      </c>
    </row>
    <row r="317" spans="1:20" x14ac:dyDescent="0.25">
      <c r="A317" s="5">
        <v>44276</v>
      </c>
      <c r="B317">
        <v>2.0937999999999998E-2</v>
      </c>
      <c r="C317">
        <v>2.3612000000000001E-2</v>
      </c>
      <c r="D317">
        <v>1.9E-2</v>
      </c>
      <c r="E317">
        <v>2.129E-2</v>
      </c>
      <c r="F317">
        <v>790899314</v>
      </c>
      <c r="G317">
        <v>0</v>
      </c>
      <c r="L317" t="s">
        <v>7</v>
      </c>
      <c r="M317" t="s">
        <v>7</v>
      </c>
      <c r="N317" t="s">
        <v>8</v>
      </c>
      <c r="P317">
        <f t="shared" si="939"/>
        <v>-6.9384215091068445E-3</v>
      </c>
      <c r="Q317">
        <f t="shared" si="940"/>
        <v>-5487592.811795448</v>
      </c>
      <c r="R317">
        <f t="shared" si="941"/>
        <v>-1109736442.1318071</v>
      </c>
      <c r="S317">
        <f t="shared" si="942"/>
        <v>-11097.364421318071</v>
      </c>
      <c r="T317">
        <f t="shared" si="943"/>
        <v>-11.097364421318071</v>
      </c>
    </row>
    <row r="318" spans="1:20" x14ac:dyDescent="0.25">
      <c r="A318" s="5">
        <v>44275</v>
      </c>
      <c r="B318">
        <v>2.1151E-2</v>
      </c>
      <c r="C318">
        <v>2.4E-2</v>
      </c>
      <c r="D318">
        <v>1.9755999999999999E-2</v>
      </c>
      <c r="E318">
        <v>2.0896999999999999E-2</v>
      </c>
      <c r="F318">
        <v>1510838598</v>
      </c>
      <c r="G318">
        <v>0</v>
      </c>
      <c r="L318" t="s">
        <v>8</v>
      </c>
      <c r="M318" t="s">
        <v>8</v>
      </c>
      <c r="N318" t="s">
        <v>8</v>
      </c>
      <c r="P318">
        <f t="shared" si="939"/>
        <v>-0.46229971724787966</v>
      </c>
      <c r="Q318">
        <f t="shared" si="940"/>
        <v>-698460256.66258287</v>
      </c>
      <c r="R318">
        <f t="shared" si="941"/>
        <v>-1104248849.3200116</v>
      </c>
      <c r="S318">
        <f t="shared" si="942"/>
        <v>-11042.488493200117</v>
      </c>
      <c r="T318">
        <f t="shared" si="943"/>
        <v>-11.042488493200118</v>
      </c>
    </row>
    <row r="319" spans="1:20" x14ac:dyDescent="0.25">
      <c r="A319" s="5">
        <v>44274</v>
      </c>
      <c r="B319">
        <v>1.5644000000000002E-2</v>
      </c>
      <c r="C319">
        <v>2.3333E-2</v>
      </c>
      <c r="D319">
        <v>1.4553999999999999E-2</v>
      </c>
      <c r="E319">
        <v>2.1149999999999999E-2</v>
      </c>
      <c r="F319">
        <v>1730346325</v>
      </c>
      <c r="G319">
        <v>0</v>
      </c>
      <c r="L319" t="s">
        <v>8</v>
      </c>
      <c r="M319" t="s">
        <v>8</v>
      </c>
      <c r="N319" t="s">
        <v>8</v>
      </c>
      <c r="P319">
        <f t="shared" si="939"/>
        <v>0.50267684246497302</v>
      </c>
      <c r="Q319">
        <f t="shared" si="940"/>
        <v>869805027.02187002</v>
      </c>
      <c r="R319">
        <f t="shared" si="941"/>
        <v>-405788592.65742862</v>
      </c>
      <c r="S319">
        <f t="shared" si="942"/>
        <v>-4057.8859265742863</v>
      </c>
      <c r="T319">
        <f t="shared" si="943"/>
        <v>-4.0578859265742864</v>
      </c>
    </row>
    <row r="320" spans="1:20" x14ac:dyDescent="0.25">
      <c r="A320" s="5">
        <v>44273</v>
      </c>
      <c r="B320">
        <v>1.6046000000000001E-2</v>
      </c>
      <c r="C320">
        <v>1.6913000000000001E-2</v>
      </c>
      <c r="D320">
        <v>1.55E-2</v>
      </c>
      <c r="E320">
        <v>1.5604E-2</v>
      </c>
      <c r="F320">
        <v>418359050</v>
      </c>
      <c r="G320">
        <v>0</v>
      </c>
      <c r="L320" t="s">
        <v>8</v>
      </c>
      <c r="M320" t="s">
        <v>8</v>
      </c>
      <c r="N320" t="s">
        <v>8</v>
      </c>
      <c r="P320">
        <f t="shared" si="939"/>
        <v>-0.85279547062986572</v>
      </c>
      <c r="Q320">
        <f t="shared" si="940"/>
        <v>-356774702.93701351</v>
      </c>
      <c r="R320">
        <f t="shared" si="941"/>
        <v>-1275593619.6792986</v>
      </c>
      <c r="S320">
        <f t="shared" si="942"/>
        <v>-12755.936196792987</v>
      </c>
      <c r="T320">
        <f t="shared" si="943"/>
        <v>-12.755936196792987</v>
      </c>
    </row>
    <row r="321" spans="1:20" x14ac:dyDescent="0.25">
      <c r="A321" s="5">
        <v>44272</v>
      </c>
      <c r="B321">
        <v>1.5955E-2</v>
      </c>
      <c r="C321">
        <v>1.7069000000000001E-2</v>
      </c>
      <c r="D321">
        <v>1.5226999999999999E-2</v>
      </c>
      <c r="E321">
        <v>1.6043000000000002E-2</v>
      </c>
      <c r="F321">
        <v>562734137</v>
      </c>
      <c r="G321">
        <v>0</v>
      </c>
      <c r="L321" t="s">
        <v>7</v>
      </c>
      <c r="M321" t="s">
        <v>8</v>
      </c>
      <c r="N321" t="s">
        <v>8</v>
      </c>
      <c r="P321">
        <f t="shared" ref="P321:P384" si="944">IF(C321=D321,0,((E321-D321)-(C321-E321))/(C321-D321))</f>
        <v>-0.11400651465797854</v>
      </c>
      <c r="Q321">
        <f t="shared" ref="Q321:Q384" si="945">F321*P321</f>
        <v>-64155357.638435401</v>
      </c>
      <c r="R321">
        <f t="shared" ref="R321:R384" si="946">R322+Q321</f>
        <v>-918818916.74228513</v>
      </c>
      <c r="S321">
        <f t="shared" ref="S321:S384" si="947">R321/100000</f>
        <v>-9188.1891674228518</v>
      </c>
      <c r="T321">
        <f t="shared" ref="T321:T384" si="948">S321/1000</f>
        <v>-9.188189167422852</v>
      </c>
    </row>
    <row r="322" spans="1:20" x14ac:dyDescent="0.25">
      <c r="A322" s="5">
        <v>44271</v>
      </c>
      <c r="B322">
        <v>1.5837E-2</v>
      </c>
      <c r="C322">
        <v>1.789E-2</v>
      </c>
      <c r="D322">
        <v>1.4083E-2</v>
      </c>
      <c r="E322">
        <v>1.5952999999999998E-2</v>
      </c>
      <c r="F322">
        <v>1184197755</v>
      </c>
      <c r="G322">
        <v>0</v>
      </c>
      <c r="L322" t="s">
        <v>8</v>
      </c>
      <c r="M322" t="s">
        <v>8</v>
      </c>
      <c r="N322" t="s">
        <v>8</v>
      </c>
      <c r="P322">
        <f t="shared" si="944"/>
        <v>-1.7599159443131816E-2</v>
      </c>
      <c r="Q322">
        <f t="shared" si="945"/>
        <v>-20840885.102443747</v>
      </c>
      <c r="R322">
        <f t="shared" si="946"/>
        <v>-854663559.10384977</v>
      </c>
      <c r="S322">
        <f t="shared" si="947"/>
        <v>-8546.6355910384973</v>
      </c>
      <c r="T322">
        <f t="shared" si="948"/>
        <v>-8.5466355910384966</v>
      </c>
    </row>
    <row r="323" spans="1:20" x14ac:dyDescent="0.25">
      <c r="A323" s="5">
        <v>44270</v>
      </c>
      <c r="B323">
        <v>1.5865000000000001E-2</v>
      </c>
      <c r="C323">
        <v>1.678E-2</v>
      </c>
      <c r="D323">
        <v>1.3838E-2</v>
      </c>
      <c r="E323">
        <v>1.5865000000000001E-2</v>
      </c>
      <c r="F323">
        <v>923984026</v>
      </c>
      <c r="G323">
        <v>0</v>
      </c>
      <c r="L323" t="s">
        <v>7</v>
      </c>
      <c r="M323" t="s">
        <v>7</v>
      </c>
      <c r="N323" t="s">
        <v>8</v>
      </c>
      <c r="P323">
        <f t="shared" si="944"/>
        <v>0.37797416723317534</v>
      </c>
      <c r="Q323">
        <f t="shared" si="945"/>
        <v>349242092.76410663</v>
      </c>
      <c r="R323">
        <f t="shared" si="946"/>
        <v>-833822674.00140607</v>
      </c>
      <c r="S323">
        <f t="shared" si="947"/>
        <v>-8338.2267400140609</v>
      </c>
      <c r="T323">
        <f t="shared" si="948"/>
        <v>-8.3382267400140613</v>
      </c>
    </row>
    <row r="324" spans="1:20" x14ac:dyDescent="0.25">
      <c r="A324" s="5">
        <v>44269</v>
      </c>
      <c r="B324">
        <v>1.6206000000000002E-2</v>
      </c>
      <c r="C324">
        <v>1.7100000000000001E-2</v>
      </c>
      <c r="D324">
        <v>1.5455999999999999E-2</v>
      </c>
      <c r="E324">
        <v>1.5865000000000001E-2</v>
      </c>
      <c r="F324">
        <v>554578688</v>
      </c>
      <c r="G324">
        <v>0</v>
      </c>
      <c r="L324" t="s">
        <v>7</v>
      </c>
      <c r="M324" t="s">
        <v>8</v>
      </c>
      <c r="N324" t="s">
        <v>8</v>
      </c>
      <c r="P324">
        <f t="shared" si="944"/>
        <v>-0.50243309002432968</v>
      </c>
      <c r="Q324">
        <f t="shared" si="945"/>
        <v>-278638683.87347865</v>
      </c>
      <c r="R324">
        <f t="shared" si="946"/>
        <v>-1183064766.7655127</v>
      </c>
      <c r="S324">
        <f t="shared" si="947"/>
        <v>-11830.647667655126</v>
      </c>
      <c r="T324">
        <f t="shared" si="948"/>
        <v>-11.830647667655127</v>
      </c>
    </row>
    <row r="325" spans="1:20" x14ac:dyDescent="0.25">
      <c r="A325" s="5">
        <v>44268</v>
      </c>
      <c r="B325">
        <v>1.6674999999999999E-2</v>
      </c>
      <c r="C325">
        <v>1.7315000000000001E-2</v>
      </c>
      <c r="D325">
        <v>1.54E-2</v>
      </c>
      <c r="E325">
        <v>1.6206000000000002E-2</v>
      </c>
      <c r="F325">
        <v>858377503</v>
      </c>
      <c r="G325">
        <v>0</v>
      </c>
      <c r="L325" t="s">
        <v>8</v>
      </c>
      <c r="M325" t="s">
        <v>8</v>
      </c>
      <c r="N325" t="s">
        <v>8</v>
      </c>
      <c r="P325">
        <f t="shared" si="944"/>
        <v>-0.15822454308093875</v>
      </c>
      <c r="Q325">
        <f t="shared" si="945"/>
        <v>-135816388.20313212</v>
      </c>
      <c r="R325">
        <f t="shared" si="946"/>
        <v>-904426082.89203405</v>
      </c>
      <c r="S325">
        <f t="shared" si="947"/>
        <v>-9044.2608289203399</v>
      </c>
      <c r="T325">
        <f t="shared" si="948"/>
        <v>-9.0442608289203399</v>
      </c>
    </row>
    <row r="326" spans="1:20" x14ac:dyDescent="0.25">
      <c r="A326" s="5">
        <v>44267</v>
      </c>
      <c r="B326">
        <v>1.5708E-2</v>
      </c>
      <c r="C326">
        <v>1.7000000000000001E-2</v>
      </c>
      <c r="D326">
        <v>1.3559999999999999E-2</v>
      </c>
      <c r="E326">
        <v>1.6694000000000001E-2</v>
      </c>
      <c r="F326">
        <v>1128945597</v>
      </c>
      <c r="G326">
        <v>0</v>
      </c>
      <c r="L326" t="s">
        <v>8</v>
      </c>
      <c r="M326" t="s">
        <v>7</v>
      </c>
      <c r="N326" t="s">
        <v>8</v>
      </c>
      <c r="P326">
        <f t="shared" si="944"/>
        <v>0.82209302325581368</v>
      </c>
      <c r="Q326">
        <f t="shared" si="945"/>
        <v>928098298.92906952</v>
      </c>
      <c r="R326">
        <f t="shared" si="946"/>
        <v>-768609694.6889019</v>
      </c>
      <c r="S326">
        <f t="shared" si="947"/>
        <v>-7686.0969468890189</v>
      </c>
      <c r="T326">
        <f t="shared" si="948"/>
        <v>-7.6860969468890188</v>
      </c>
    </row>
    <row r="327" spans="1:20" x14ac:dyDescent="0.25">
      <c r="A327" s="5">
        <v>44266</v>
      </c>
      <c r="B327">
        <v>1.3344E-2</v>
      </c>
      <c r="C327">
        <v>1.6657999999999999E-2</v>
      </c>
      <c r="D327">
        <v>1.2413E-2</v>
      </c>
      <c r="E327">
        <v>1.5765000000000001E-2</v>
      </c>
      <c r="F327">
        <v>1931005268</v>
      </c>
      <c r="G327">
        <v>0</v>
      </c>
      <c r="L327" t="s">
        <v>8</v>
      </c>
      <c r="M327" t="s">
        <v>8</v>
      </c>
      <c r="N327" t="s">
        <v>8</v>
      </c>
      <c r="P327">
        <f t="shared" si="944"/>
        <v>0.57926972909305152</v>
      </c>
      <c r="Q327">
        <f t="shared" si="945"/>
        <v>1118572898.4716153</v>
      </c>
      <c r="R327">
        <f t="shared" si="946"/>
        <v>-1696707993.6179714</v>
      </c>
      <c r="S327">
        <f t="shared" si="947"/>
        <v>-16967.079936179714</v>
      </c>
      <c r="T327">
        <f t="shared" si="948"/>
        <v>-16.967079936179715</v>
      </c>
    </row>
    <row r="328" spans="1:20" x14ac:dyDescent="0.25">
      <c r="A328" s="5">
        <v>44265</v>
      </c>
      <c r="B328">
        <v>1.2115000000000001E-2</v>
      </c>
      <c r="C328">
        <v>1.4619E-2</v>
      </c>
      <c r="D328">
        <v>1.1053E-2</v>
      </c>
      <c r="E328">
        <v>1.3355000000000001E-2</v>
      </c>
      <c r="F328">
        <v>1362886403</v>
      </c>
      <c r="G328">
        <v>0</v>
      </c>
      <c r="L328" t="s">
        <v>8</v>
      </c>
      <c r="M328" t="s">
        <v>8</v>
      </c>
      <c r="N328" t="s">
        <v>8</v>
      </c>
      <c r="P328">
        <f t="shared" si="944"/>
        <v>0.29108244531688188</v>
      </c>
      <c r="Q328">
        <f t="shared" si="945"/>
        <v>396712306.87436932</v>
      </c>
      <c r="R328">
        <f t="shared" si="946"/>
        <v>-2815280892.0895867</v>
      </c>
      <c r="S328">
        <f t="shared" si="947"/>
        <v>-28152.808920895866</v>
      </c>
      <c r="T328">
        <f t="shared" si="948"/>
        <v>-28.152808920895865</v>
      </c>
    </row>
    <row r="329" spans="1:20" x14ac:dyDescent="0.25">
      <c r="A329" s="5">
        <v>44264</v>
      </c>
      <c r="B329">
        <v>1.0534999999999999E-2</v>
      </c>
      <c r="C329">
        <v>1.2500000000000001E-2</v>
      </c>
      <c r="D329">
        <v>1.0456999999999999E-2</v>
      </c>
      <c r="E329">
        <v>1.2113000000000001E-2</v>
      </c>
      <c r="F329">
        <v>764855003</v>
      </c>
      <c r="G329">
        <v>0</v>
      </c>
      <c r="L329" t="s">
        <v>8</v>
      </c>
      <c r="M329" t="s">
        <v>8</v>
      </c>
      <c r="N329" t="s">
        <v>8</v>
      </c>
      <c r="P329">
        <f t="shared" si="944"/>
        <v>0.62114537444933926</v>
      </c>
      <c r="Q329">
        <f t="shared" si="945"/>
        <v>475086147.23788548</v>
      </c>
      <c r="R329">
        <f t="shared" si="946"/>
        <v>-3211993198.9639559</v>
      </c>
      <c r="S329">
        <f t="shared" si="947"/>
        <v>-32119.931989639557</v>
      </c>
      <c r="T329">
        <f t="shared" si="948"/>
        <v>-32.119931989639561</v>
      </c>
    </row>
    <row r="330" spans="1:20" x14ac:dyDescent="0.25">
      <c r="A330" s="5">
        <v>44263</v>
      </c>
      <c r="B330">
        <v>1.0767000000000001E-2</v>
      </c>
      <c r="C330">
        <v>1.106E-2</v>
      </c>
      <c r="D330">
        <v>1.0200000000000001E-2</v>
      </c>
      <c r="E330">
        <v>1.0551E-2</v>
      </c>
      <c r="F330">
        <v>430938056</v>
      </c>
      <c r="G330">
        <v>0</v>
      </c>
      <c r="L330" t="s">
        <v>7</v>
      </c>
      <c r="M330" t="s">
        <v>8</v>
      </c>
      <c r="N330" t="s">
        <v>7</v>
      </c>
      <c r="P330">
        <f t="shared" si="944"/>
        <v>-0.18372093023256042</v>
      </c>
      <c r="Q330">
        <f t="shared" si="945"/>
        <v>-79172340.520931214</v>
      </c>
      <c r="R330">
        <f t="shared" si="946"/>
        <v>-3687079346.2018414</v>
      </c>
      <c r="S330">
        <f t="shared" si="947"/>
        <v>-36870.793462018417</v>
      </c>
      <c r="T330">
        <f t="shared" si="948"/>
        <v>-36.870793462018419</v>
      </c>
    </row>
    <row r="331" spans="1:20" x14ac:dyDescent="0.25">
      <c r="A331" s="5">
        <v>44262</v>
      </c>
      <c r="B331">
        <v>1.0666E-2</v>
      </c>
      <c r="C331">
        <v>1.1073E-2</v>
      </c>
      <c r="D331">
        <v>1.0553E-2</v>
      </c>
      <c r="E331">
        <v>1.0773E-2</v>
      </c>
      <c r="F331">
        <v>308344040</v>
      </c>
      <c r="G331">
        <v>0</v>
      </c>
      <c r="L331" t="s">
        <v>7</v>
      </c>
      <c r="M331" t="s">
        <v>8</v>
      </c>
      <c r="N331" t="s">
        <v>7</v>
      </c>
      <c r="P331">
        <f t="shared" si="944"/>
        <v>-0.15384615384615435</v>
      </c>
      <c r="Q331">
        <f t="shared" si="945"/>
        <v>-47437544.615384772</v>
      </c>
      <c r="R331">
        <f t="shared" si="946"/>
        <v>-3607907005.6809101</v>
      </c>
      <c r="S331">
        <f t="shared" si="947"/>
        <v>-36079.070056809098</v>
      </c>
      <c r="T331">
        <f t="shared" si="948"/>
        <v>-36.079070056809101</v>
      </c>
    </row>
    <row r="332" spans="1:20" x14ac:dyDescent="0.25">
      <c r="A332" s="5">
        <v>44261</v>
      </c>
      <c r="B332">
        <v>1.0244E-2</v>
      </c>
      <c r="C332">
        <v>1.15E-2</v>
      </c>
      <c r="D332">
        <v>1.0030000000000001E-2</v>
      </c>
      <c r="E332">
        <v>1.0666999999999999E-2</v>
      </c>
      <c r="F332">
        <v>452797399</v>
      </c>
      <c r="G332">
        <v>0</v>
      </c>
      <c r="L332" t="s">
        <v>8</v>
      </c>
      <c r="M332" t="s">
        <v>8</v>
      </c>
      <c r="N332" t="s">
        <v>7</v>
      </c>
      <c r="P332">
        <f t="shared" si="944"/>
        <v>-0.13333333333333458</v>
      </c>
      <c r="Q332">
        <f t="shared" si="945"/>
        <v>-60372986.533333898</v>
      </c>
      <c r="R332">
        <f t="shared" si="946"/>
        <v>-3560469461.0655255</v>
      </c>
      <c r="S332">
        <f t="shared" si="947"/>
        <v>-35604.694610655257</v>
      </c>
      <c r="T332">
        <f t="shared" si="948"/>
        <v>-35.604694610655258</v>
      </c>
    </row>
    <row r="333" spans="1:20" x14ac:dyDescent="0.25">
      <c r="A333" s="5">
        <v>44260</v>
      </c>
      <c r="B333">
        <v>1.0336E-2</v>
      </c>
      <c r="C333">
        <v>1.0500000000000001E-2</v>
      </c>
      <c r="D333">
        <v>9.6469999999999993E-3</v>
      </c>
      <c r="E333">
        <v>1.0245000000000001E-2</v>
      </c>
      <c r="F333">
        <v>471108557</v>
      </c>
      <c r="G333">
        <v>0</v>
      </c>
      <c r="L333" t="s">
        <v>7</v>
      </c>
      <c r="M333" t="s">
        <v>7</v>
      </c>
      <c r="N333" t="s">
        <v>7</v>
      </c>
      <c r="P333">
        <f t="shared" si="944"/>
        <v>0.40211019929660113</v>
      </c>
      <c r="Q333">
        <f t="shared" si="945"/>
        <v>189437555.74560419</v>
      </c>
      <c r="R333">
        <f t="shared" si="946"/>
        <v>-3500096474.5321918</v>
      </c>
      <c r="S333">
        <f t="shared" si="947"/>
        <v>-35000.964745321915</v>
      </c>
      <c r="T333">
        <f t="shared" si="948"/>
        <v>-35.000964745321916</v>
      </c>
    </row>
    <row r="334" spans="1:20" x14ac:dyDescent="0.25">
      <c r="A334" s="5">
        <v>44259</v>
      </c>
      <c r="B334">
        <v>1.1448E-2</v>
      </c>
      <c r="C334">
        <v>1.1591000000000001E-2</v>
      </c>
      <c r="D334">
        <v>1.0225E-2</v>
      </c>
      <c r="E334">
        <v>1.0329E-2</v>
      </c>
      <c r="F334">
        <v>544735826</v>
      </c>
      <c r="G334">
        <v>0</v>
      </c>
      <c r="L334" t="s">
        <v>7</v>
      </c>
      <c r="M334" t="s">
        <v>8</v>
      </c>
      <c r="N334" t="s">
        <v>7</v>
      </c>
      <c r="P334">
        <f t="shared" si="944"/>
        <v>-0.84773060029282599</v>
      </c>
      <c r="Q334">
        <f t="shared" si="945"/>
        <v>-461789228.7759884</v>
      </c>
      <c r="R334">
        <f t="shared" si="946"/>
        <v>-3689534030.2777958</v>
      </c>
      <c r="S334">
        <f t="shared" si="947"/>
        <v>-36895.340302777957</v>
      </c>
      <c r="T334">
        <f t="shared" si="948"/>
        <v>-36.89534030277796</v>
      </c>
    </row>
    <row r="335" spans="1:20" x14ac:dyDescent="0.25">
      <c r="A335" s="5">
        <v>44258</v>
      </c>
      <c r="B335">
        <v>1.0876E-2</v>
      </c>
      <c r="C335">
        <v>1.1545E-2</v>
      </c>
      <c r="D335">
        <v>1.0815E-2</v>
      </c>
      <c r="E335">
        <v>1.1480000000000001E-2</v>
      </c>
      <c r="F335">
        <v>510079879</v>
      </c>
      <c r="G335">
        <v>0</v>
      </c>
      <c r="L335" t="s">
        <v>8</v>
      </c>
      <c r="M335" t="s">
        <v>8</v>
      </c>
      <c r="N335" t="s">
        <v>7</v>
      </c>
      <c r="P335">
        <f t="shared" si="944"/>
        <v>0.82191780821918048</v>
      </c>
      <c r="Q335">
        <f t="shared" si="945"/>
        <v>419243736.16438478</v>
      </c>
      <c r="R335">
        <f t="shared" si="946"/>
        <v>-3227744801.5018072</v>
      </c>
      <c r="S335">
        <f t="shared" si="947"/>
        <v>-32277.448015018072</v>
      </c>
      <c r="T335">
        <f t="shared" si="948"/>
        <v>-32.277448015018074</v>
      </c>
    </row>
    <row r="336" spans="1:20" x14ac:dyDescent="0.25">
      <c r="A336" s="5">
        <v>44257</v>
      </c>
      <c r="B336">
        <v>1.0626E-2</v>
      </c>
      <c r="C336">
        <v>1.1346E-2</v>
      </c>
      <c r="D336">
        <v>1.0106E-2</v>
      </c>
      <c r="E336">
        <v>1.0833000000000001E-2</v>
      </c>
      <c r="F336">
        <v>681709845</v>
      </c>
      <c r="G336">
        <v>0</v>
      </c>
      <c r="L336" t="s">
        <v>7</v>
      </c>
      <c r="M336" t="s">
        <v>8</v>
      </c>
      <c r="N336" t="s">
        <v>7</v>
      </c>
      <c r="P336">
        <f t="shared" si="944"/>
        <v>0.17258064516129087</v>
      </c>
      <c r="Q336">
        <f t="shared" si="945"/>
        <v>117649924.86290359</v>
      </c>
      <c r="R336">
        <f t="shared" si="946"/>
        <v>-3646988537.6661921</v>
      </c>
      <c r="S336">
        <f t="shared" si="947"/>
        <v>-36469.885376661921</v>
      </c>
      <c r="T336">
        <f t="shared" si="948"/>
        <v>-36.469885376661921</v>
      </c>
    </row>
    <row r="337" spans="1:20" x14ac:dyDescent="0.25">
      <c r="A337" s="5">
        <v>44256</v>
      </c>
      <c r="B337">
        <v>1.0035000000000001E-2</v>
      </c>
      <c r="C337">
        <v>1.1174E-2</v>
      </c>
      <c r="D337">
        <v>1.001E-2</v>
      </c>
      <c r="E337">
        <v>1.065E-2</v>
      </c>
      <c r="F337">
        <v>586254862</v>
      </c>
      <c r="G337">
        <v>0</v>
      </c>
      <c r="L337" t="s">
        <v>8</v>
      </c>
      <c r="M337" t="s">
        <v>8</v>
      </c>
      <c r="N337" t="s">
        <v>7</v>
      </c>
      <c r="P337">
        <f t="shared" si="944"/>
        <v>9.965635738831595E-2</v>
      </c>
      <c r="Q337">
        <f t="shared" si="945"/>
        <v>58424024.048109844</v>
      </c>
      <c r="R337">
        <f t="shared" si="946"/>
        <v>-3764638462.5290956</v>
      </c>
      <c r="S337">
        <f t="shared" si="947"/>
        <v>-37646.384625290957</v>
      </c>
      <c r="T337">
        <f t="shared" si="948"/>
        <v>-37.646384625290956</v>
      </c>
    </row>
    <row r="338" spans="1:20" x14ac:dyDescent="0.25">
      <c r="A338" s="5">
        <v>44255</v>
      </c>
      <c r="B338">
        <v>1.0671E-2</v>
      </c>
      <c r="C338">
        <v>1.1057000000000001E-2</v>
      </c>
      <c r="D338">
        <v>9.0930000000000004E-3</v>
      </c>
      <c r="E338">
        <v>1.0035000000000001E-2</v>
      </c>
      <c r="F338">
        <v>620157650</v>
      </c>
      <c r="G338">
        <v>0</v>
      </c>
      <c r="L338" t="s">
        <v>7</v>
      </c>
      <c r="M338" t="s">
        <v>7</v>
      </c>
      <c r="N338" t="s">
        <v>7</v>
      </c>
      <c r="P338">
        <f t="shared" si="944"/>
        <v>-4.0733197556008245E-2</v>
      </c>
      <c r="Q338">
        <f t="shared" si="945"/>
        <v>-25261004.073319815</v>
      </c>
      <c r="R338">
        <f t="shared" si="946"/>
        <v>-3823062486.5772057</v>
      </c>
      <c r="S338">
        <f t="shared" si="947"/>
        <v>-38230.624865772057</v>
      </c>
      <c r="T338">
        <f t="shared" si="948"/>
        <v>-38.230624865772057</v>
      </c>
    </row>
    <row r="339" spans="1:20" x14ac:dyDescent="0.25">
      <c r="A339" s="5">
        <v>44254</v>
      </c>
      <c r="B339">
        <v>1.1779E-2</v>
      </c>
      <c r="C339">
        <v>1.247E-2</v>
      </c>
      <c r="D339">
        <v>1.0559000000000001E-2</v>
      </c>
      <c r="E339">
        <v>1.0670000000000001E-2</v>
      </c>
      <c r="F339">
        <v>753038508</v>
      </c>
      <c r="G339">
        <v>0</v>
      </c>
      <c r="L339" t="s">
        <v>7</v>
      </c>
      <c r="M339" t="s">
        <v>7</v>
      </c>
      <c r="N339" t="s">
        <v>7</v>
      </c>
      <c r="P339">
        <f t="shared" si="944"/>
        <v>-0.8838304552590267</v>
      </c>
      <c r="Q339">
        <f t="shared" si="945"/>
        <v>-665558367.3532182</v>
      </c>
      <c r="R339">
        <f t="shared" si="946"/>
        <v>-3797801482.5038857</v>
      </c>
      <c r="S339">
        <f t="shared" si="947"/>
        <v>-37978.014825038859</v>
      </c>
      <c r="T339">
        <f t="shared" si="948"/>
        <v>-37.978014825038862</v>
      </c>
    </row>
    <row r="340" spans="1:20" x14ac:dyDescent="0.25">
      <c r="A340" s="5">
        <v>44253</v>
      </c>
      <c r="B340">
        <v>1.3226E-2</v>
      </c>
      <c r="C340">
        <v>1.6494000000000002E-2</v>
      </c>
      <c r="D340">
        <v>1.125E-2</v>
      </c>
      <c r="E340">
        <v>1.1778E-2</v>
      </c>
      <c r="F340">
        <v>2305969431</v>
      </c>
      <c r="G340">
        <v>0</v>
      </c>
      <c r="L340" t="s">
        <v>7</v>
      </c>
      <c r="M340" t="s">
        <v>7</v>
      </c>
      <c r="N340" t="s">
        <v>7</v>
      </c>
      <c r="P340">
        <f t="shared" si="944"/>
        <v>-0.79862700228832939</v>
      </c>
      <c r="Q340">
        <f t="shared" si="945"/>
        <v>-1841609454.0480547</v>
      </c>
      <c r="R340">
        <f t="shared" si="946"/>
        <v>-3132243115.1506677</v>
      </c>
      <c r="S340">
        <f t="shared" si="947"/>
        <v>-31322.431151506677</v>
      </c>
      <c r="T340">
        <f t="shared" si="948"/>
        <v>-31.322431151506677</v>
      </c>
    </row>
    <row r="341" spans="1:20" x14ac:dyDescent="0.25">
      <c r="A341" s="5">
        <v>44252</v>
      </c>
      <c r="B341">
        <v>9.0919999999999994E-3</v>
      </c>
      <c r="C341">
        <v>1.8284000000000002E-2</v>
      </c>
      <c r="D341">
        <v>9.0360000000000006E-3</v>
      </c>
      <c r="E341">
        <v>1.3213000000000001E-2</v>
      </c>
      <c r="F341">
        <v>4455869688</v>
      </c>
      <c r="G341">
        <v>0</v>
      </c>
      <c r="L341" t="s">
        <v>8</v>
      </c>
      <c r="M341" t="s">
        <v>8</v>
      </c>
      <c r="N341" t="s">
        <v>8</v>
      </c>
      <c r="P341">
        <f t="shared" si="944"/>
        <v>-9.6669550173010446E-2</v>
      </c>
      <c r="Q341">
        <f t="shared" si="945"/>
        <v>-430746918.36851239</v>
      </c>
      <c r="R341">
        <f t="shared" si="946"/>
        <v>-1290633661.102613</v>
      </c>
      <c r="S341">
        <f t="shared" si="947"/>
        <v>-12906.33661102613</v>
      </c>
      <c r="T341">
        <f t="shared" si="948"/>
        <v>-12.906336611026131</v>
      </c>
    </row>
    <row r="342" spans="1:20" x14ac:dyDescent="0.25">
      <c r="A342" s="5">
        <v>44251</v>
      </c>
      <c r="B342">
        <v>8.3250000000000008E-3</v>
      </c>
      <c r="C342">
        <v>9.4000000000000004E-3</v>
      </c>
      <c r="D342">
        <v>8.097E-3</v>
      </c>
      <c r="E342">
        <v>9.0919999999999994E-3</v>
      </c>
      <c r="F342">
        <v>403220252</v>
      </c>
      <c r="G342">
        <v>0</v>
      </c>
      <c r="L342" t="s">
        <v>8</v>
      </c>
      <c r="M342" t="s">
        <v>8</v>
      </c>
      <c r="N342" t="s">
        <v>7</v>
      </c>
      <c r="P342">
        <f t="shared" si="944"/>
        <v>0.52724481964696712</v>
      </c>
      <c r="Q342">
        <f t="shared" si="945"/>
        <v>212595789.04374462</v>
      </c>
      <c r="R342">
        <f t="shared" si="946"/>
        <v>-859886742.73410058</v>
      </c>
      <c r="S342">
        <f t="shared" si="947"/>
        <v>-8598.8674273410052</v>
      </c>
      <c r="T342">
        <f t="shared" si="948"/>
        <v>-8.5988674273410055</v>
      </c>
    </row>
    <row r="343" spans="1:20" x14ac:dyDescent="0.25">
      <c r="A343" s="5">
        <v>44250</v>
      </c>
      <c r="B343">
        <v>9.8849999999999997E-3</v>
      </c>
      <c r="C343">
        <v>1.0135999999999999E-2</v>
      </c>
      <c r="D343">
        <v>7.7000000000000002E-3</v>
      </c>
      <c r="E343">
        <v>8.3079999999999994E-3</v>
      </c>
      <c r="F343">
        <v>420417003</v>
      </c>
      <c r="G343">
        <v>0</v>
      </c>
      <c r="L343" t="s">
        <v>7</v>
      </c>
      <c r="M343" t="s">
        <v>7</v>
      </c>
      <c r="N343" t="s">
        <v>7</v>
      </c>
      <c r="P343">
        <f t="shared" si="944"/>
        <v>-0.50082101806239787</v>
      </c>
      <c r="Q343">
        <f t="shared" si="945"/>
        <v>-210553671.45320219</v>
      </c>
      <c r="R343">
        <f t="shared" si="946"/>
        <v>-1072482531.7778451</v>
      </c>
      <c r="S343">
        <f t="shared" si="947"/>
        <v>-10724.825317778452</v>
      </c>
      <c r="T343">
        <f t="shared" si="948"/>
        <v>-10.724825317778452</v>
      </c>
    </row>
    <row r="344" spans="1:20" x14ac:dyDescent="0.25">
      <c r="A344" s="5">
        <v>44249</v>
      </c>
      <c r="B344">
        <v>1.0619999999999999E-2</v>
      </c>
      <c r="C344">
        <v>1.1521E-2</v>
      </c>
      <c r="D344">
        <v>8.4829999999999992E-3</v>
      </c>
      <c r="E344">
        <v>9.8829999999999994E-3</v>
      </c>
      <c r="F344">
        <v>452760679</v>
      </c>
      <c r="G344">
        <v>0</v>
      </c>
      <c r="L344" t="s">
        <v>7</v>
      </c>
      <c r="M344" t="s">
        <v>7</v>
      </c>
      <c r="N344" t="s">
        <v>7</v>
      </c>
      <c r="P344">
        <f t="shared" si="944"/>
        <v>-7.8341013824884898E-2</v>
      </c>
      <c r="Q344">
        <f t="shared" si="945"/>
        <v>-35469730.612903275</v>
      </c>
      <c r="R344">
        <f t="shared" si="946"/>
        <v>-861928860.3246429</v>
      </c>
      <c r="S344">
        <f t="shared" si="947"/>
        <v>-8619.2886032464285</v>
      </c>
      <c r="T344">
        <f t="shared" si="948"/>
        <v>-8.619288603246428</v>
      </c>
    </row>
    <row r="345" spans="1:20" x14ac:dyDescent="0.25">
      <c r="A345" s="5">
        <v>44248</v>
      </c>
      <c r="B345">
        <v>0.01</v>
      </c>
      <c r="C345">
        <v>1.0913000000000001E-2</v>
      </c>
      <c r="D345">
        <v>0.01</v>
      </c>
      <c r="E345">
        <v>1.0584E-2</v>
      </c>
      <c r="F345">
        <v>198744784</v>
      </c>
      <c r="G345">
        <v>0</v>
      </c>
      <c r="L345" t="s">
        <v>7</v>
      </c>
      <c r="M345" t="s">
        <v>7</v>
      </c>
      <c r="N345" t="s">
        <v>8</v>
      </c>
      <c r="P345">
        <f t="shared" si="944"/>
        <v>0.27929901423877118</v>
      </c>
      <c r="Q345">
        <f t="shared" si="945"/>
        <v>55509222.256297506</v>
      </c>
      <c r="R345">
        <f t="shared" si="946"/>
        <v>-826459129.71173966</v>
      </c>
      <c r="S345">
        <f t="shared" si="947"/>
        <v>-8264.5912971173966</v>
      </c>
      <c r="T345">
        <f t="shared" si="948"/>
        <v>-8.2645912971173967</v>
      </c>
    </row>
    <row r="346" spans="1:20" x14ac:dyDescent="0.25">
      <c r="A346" s="5">
        <v>44247</v>
      </c>
      <c r="B346">
        <v>1.0052999999999999E-2</v>
      </c>
      <c r="C346">
        <v>1.0964E-2</v>
      </c>
      <c r="D346">
        <v>9.7190000000000002E-3</v>
      </c>
      <c r="E346">
        <v>0.01</v>
      </c>
      <c r="F346">
        <v>395731996</v>
      </c>
      <c r="G346">
        <v>0</v>
      </c>
      <c r="L346" t="s">
        <v>8</v>
      </c>
      <c r="M346" t="s">
        <v>7</v>
      </c>
      <c r="N346" t="s">
        <v>8</v>
      </c>
      <c r="P346">
        <f t="shared" si="944"/>
        <v>-0.54859437751004003</v>
      </c>
      <c r="Q346">
        <f t="shared" si="945"/>
        <v>-217096348.00642565</v>
      </c>
      <c r="R346">
        <f t="shared" si="946"/>
        <v>-881968351.96803713</v>
      </c>
      <c r="S346">
        <f t="shared" si="947"/>
        <v>-8819.6835196803713</v>
      </c>
      <c r="T346">
        <f t="shared" si="948"/>
        <v>-8.8196835196803711</v>
      </c>
    </row>
    <row r="347" spans="1:20" x14ac:dyDescent="0.25">
      <c r="A347" s="5">
        <v>44246</v>
      </c>
      <c r="B347">
        <v>1.0225E-2</v>
      </c>
      <c r="C347">
        <v>1.0399E-2</v>
      </c>
      <c r="D347">
        <v>9.2560000000000003E-3</v>
      </c>
      <c r="E347">
        <v>1.0052999999999999E-2</v>
      </c>
      <c r="F347">
        <v>429501730</v>
      </c>
      <c r="G347">
        <v>0</v>
      </c>
      <c r="L347" t="s">
        <v>7</v>
      </c>
      <c r="M347" t="s">
        <v>7</v>
      </c>
      <c r="N347" t="s">
        <v>8</v>
      </c>
      <c r="P347">
        <f t="shared" si="944"/>
        <v>0.39457567804024352</v>
      </c>
      <c r="Q347">
        <f t="shared" si="945"/>
        <v>169470936.33420759</v>
      </c>
      <c r="R347">
        <f t="shared" si="946"/>
        <v>-664872003.96161151</v>
      </c>
      <c r="S347">
        <f t="shared" si="947"/>
        <v>-6648.7200396161152</v>
      </c>
      <c r="T347">
        <f t="shared" si="948"/>
        <v>-6.6487200396161148</v>
      </c>
    </row>
    <row r="348" spans="1:20" x14ac:dyDescent="0.25">
      <c r="A348" s="5">
        <v>44245</v>
      </c>
      <c r="B348">
        <v>9.9860000000000001E-3</v>
      </c>
      <c r="C348">
        <v>1.0699999999999999E-2</v>
      </c>
      <c r="D348">
        <v>9.861E-3</v>
      </c>
      <c r="E348">
        <v>1.0214000000000001E-2</v>
      </c>
      <c r="F348">
        <v>319606479</v>
      </c>
      <c r="G348">
        <v>0</v>
      </c>
      <c r="L348" t="s">
        <v>8</v>
      </c>
      <c r="M348" t="s">
        <v>7</v>
      </c>
      <c r="N348" t="s">
        <v>8</v>
      </c>
      <c r="P348">
        <f t="shared" si="944"/>
        <v>-0.15852205005959211</v>
      </c>
      <c r="Q348">
        <f t="shared" si="945"/>
        <v>-50664674.263407975</v>
      </c>
      <c r="R348">
        <f t="shared" si="946"/>
        <v>-834342940.29581904</v>
      </c>
      <c r="S348">
        <f t="shared" si="947"/>
        <v>-8343.4294029581906</v>
      </c>
      <c r="T348">
        <f t="shared" si="948"/>
        <v>-8.3434294029581899</v>
      </c>
    </row>
    <row r="349" spans="1:20" x14ac:dyDescent="0.25">
      <c r="A349" s="5">
        <v>44244</v>
      </c>
      <c r="B349">
        <v>1.0109999999999999E-2</v>
      </c>
      <c r="C349">
        <v>1.039E-2</v>
      </c>
      <c r="D349">
        <v>9.3989999999999994E-3</v>
      </c>
      <c r="E349">
        <v>9.9860000000000001E-3</v>
      </c>
      <c r="F349">
        <v>307346513</v>
      </c>
      <c r="G349">
        <v>0</v>
      </c>
      <c r="L349" t="s">
        <v>7</v>
      </c>
      <c r="M349" t="s">
        <v>7</v>
      </c>
      <c r="N349" t="s">
        <v>8</v>
      </c>
      <c r="P349">
        <f t="shared" si="944"/>
        <v>0.18466195761856788</v>
      </c>
      <c r="Q349">
        <f t="shared" si="945"/>
        <v>56755208.757820621</v>
      </c>
      <c r="R349">
        <f t="shared" si="946"/>
        <v>-783678266.0324111</v>
      </c>
      <c r="S349">
        <f t="shared" si="947"/>
        <v>-7836.782660324111</v>
      </c>
      <c r="T349">
        <f t="shared" si="948"/>
        <v>-7.8367826603241113</v>
      </c>
    </row>
    <row r="350" spans="1:20" x14ac:dyDescent="0.25">
      <c r="A350" s="5">
        <v>44243</v>
      </c>
      <c r="B350">
        <v>1.0432E-2</v>
      </c>
      <c r="C350">
        <v>1.1299999999999999E-2</v>
      </c>
      <c r="D350">
        <v>9.7999999999999997E-3</v>
      </c>
      <c r="E350">
        <v>1.0115000000000001E-2</v>
      </c>
      <c r="F350">
        <v>393370932</v>
      </c>
      <c r="G350">
        <v>0</v>
      </c>
      <c r="L350" t="s">
        <v>7</v>
      </c>
      <c r="M350" t="s">
        <v>8</v>
      </c>
      <c r="N350" t="s">
        <v>8</v>
      </c>
      <c r="P350">
        <f t="shared" si="944"/>
        <v>-0.57999999999999852</v>
      </c>
      <c r="Q350">
        <f t="shared" si="945"/>
        <v>-228155140.55999941</v>
      </c>
      <c r="R350">
        <f t="shared" si="946"/>
        <v>-840433474.7902317</v>
      </c>
      <c r="S350">
        <f t="shared" si="947"/>
        <v>-8404.3347479023178</v>
      </c>
      <c r="T350">
        <f t="shared" si="948"/>
        <v>-8.4043347479023183</v>
      </c>
    </row>
    <row r="351" spans="1:20" x14ac:dyDescent="0.25">
      <c r="A351" s="5">
        <v>44242</v>
      </c>
      <c r="B351">
        <v>1.1268E-2</v>
      </c>
      <c r="C351">
        <v>1.17E-2</v>
      </c>
      <c r="D351">
        <v>9.5219999999999992E-3</v>
      </c>
      <c r="E351">
        <v>1.0432E-2</v>
      </c>
      <c r="F351">
        <v>562686608</v>
      </c>
      <c r="G351">
        <v>0</v>
      </c>
      <c r="L351" t="s">
        <v>8</v>
      </c>
      <c r="M351" t="s">
        <v>7</v>
      </c>
      <c r="N351" t="s">
        <v>8</v>
      </c>
      <c r="P351">
        <f t="shared" si="944"/>
        <v>-0.16437098255280017</v>
      </c>
      <c r="Q351">
        <f t="shared" si="945"/>
        <v>-92489350.626262307</v>
      </c>
      <c r="R351">
        <f t="shared" si="946"/>
        <v>-612278334.23023236</v>
      </c>
      <c r="S351">
        <f t="shared" si="947"/>
        <v>-6122.7833423023239</v>
      </c>
      <c r="T351">
        <f t="shared" si="948"/>
        <v>-6.1227833423023243</v>
      </c>
    </row>
    <row r="352" spans="1:20" x14ac:dyDescent="0.25">
      <c r="A352" s="5">
        <v>44241</v>
      </c>
      <c r="B352">
        <v>1.0295E-2</v>
      </c>
      <c r="C352">
        <v>1.15E-2</v>
      </c>
      <c r="D352">
        <v>9.1819999999999992E-3</v>
      </c>
      <c r="E352">
        <v>1.1266999999999999E-2</v>
      </c>
      <c r="F352">
        <v>578256605</v>
      </c>
      <c r="G352">
        <v>0</v>
      </c>
      <c r="L352" t="s">
        <v>8</v>
      </c>
      <c r="M352" t="s">
        <v>8</v>
      </c>
      <c r="N352" t="s">
        <v>8</v>
      </c>
      <c r="P352">
        <f t="shared" si="944"/>
        <v>0.7989646246764448</v>
      </c>
      <c r="Q352">
        <f t="shared" si="945"/>
        <v>462006571.3805002</v>
      </c>
      <c r="R352">
        <f t="shared" si="946"/>
        <v>-519788983.60397005</v>
      </c>
      <c r="S352">
        <f t="shared" si="947"/>
        <v>-5197.8898360397006</v>
      </c>
      <c r="T352">
        <f t="shared" si="948"/>
        <v>-5.1978898360397006</v>
      </c>
    </row>
    <row r="353" spans="1:20" x14ac:dyDescent="0.25">
      <c r="A353" s="5">
        <v>44240</v>
      </c>
      <c r="B353">
        <v>9.8980000000000005E-3</v>
      </c>
      <c r="C353">
        <v>1.0968E-2</v>
      </c>
      <c r="D353">
        <v>9.3959999999999998E-3</v>
      </c>
      <c r="E353">
        <v>1.0276E-2</v>
      </c>
      <c r="F353">
        <v>644044527</v>
      </c>
      <c r="G353">
        <v>0</v>
      </c>
      <c r="L353" t="s">
        <v>8</v>
      </c>
      <c r="M353" t="s">
        <v>8</v>
      </c>
      <c r="N353" t="s">
        <v>8</v>
      </c>
      <c r="P353">
        <f t="shared" si="944"/>
        <v>0.11959287531806655</v>
      </c>
      <c r="Q353">
        <f t="shared" si="945"/>
        <v>77023136.816794142</v>
      </c>
      <c r="R353">
        <f t="shared" si="946"/>
        <v>-981795554.98447025</v>
      </c>
      <c r="S353">
        <f t="shared" si="947"/>
        <v>-9817.9555498447025</v>
      </c>
      <c r="T353">
        <f t="shared" si="948"/>
        <v>-9.8179555498447026</v>
      </c>
    </row>
    <row r="354" spans="1:20" x14ac:dyDescent="0.25">
      <c r="A354" s="5">
        <v>44239</v>
      </c>
      <c r="B354">
        <v>9.4640000000000002E-3</v>
      </c>
      <c r="C354">
        <v>1.0888999999999999E-2</v>
      </c>
      <c r="D354">
        <v>8.7659999999999995E-3</v>
      </c>
      <c r="E354">
        <v>9.9050000000000006E-3</v>
      </c>
      <c r="F354">
        <v>887327009</v>
      </c>
      <c r="G354">
        <v>0</v>
      </c>
      <c r="L354" t="s">
        <v>8</v>
      </c>
      <c r="M354" t="s">
        <v>8</v>
      </c>
      <c r="N354" t="s">
        <v>8</v>
      </c>
      <c r="P354">
        <f t="shared" si="944"/>
        <v>7.3009891662742521E-2</v>
      </c>
      <c r="Q354">
        <f t="shared" si="945"/>
        <v>64783648.79651536</v>
      </c>
      <c r="R354">
        <f t="shared" si="946"/>
        <v>-1058818691.8012644</v>
      </c>
      <c r="S354">
        <f t="shared" si="947"/>
        <v>-10588.186918012643</v>
      </c>
      <c r="T354">
        <f t="shared" si="948"/>
        <v>-10.588186918012644</v>
      </c>
    </row>
    <row r="355" spans="1:20" x14ac:dyDescent="0.25">
      <c r="A355" s="5">
        <v>44238</v>
      </c>
      <c r="B355">
        <v>7.9719999999999999E-3</v>
      </c>
      <c r="C355">
        <v>1.0652999999999999E-2</v>
      </c>
      <c r="D355">
        <v>7.6189999999999999E-3</v>
      </c>
      <c r="E355">
        <v>9.4640000000000002E-3</v>
      </c>
      <c r="F355">
        <v>686258278</v>
      </c>
      <c r="G355">
        <v>0</v>
      </c>
      <c r="L355" t="s">
        <v>8</v>
      </c>
      <c r="M355" t="s">
        <v>8</v>
      </c>
      <c r="N355" t="s">
        <v>8</v>
      </c>
      <c r="P355">
        <f t="shared" si="944"/>
        <v>0.21621621621621664</v>
      </c>
      <c r="Q355">
        <f t="shared" si="945"/>
        <v>148380168.2162165</v>
      </c>
      <c r="R355">
        <f t="shared" si="946"/>
        <v>-1123602340.5977798</v>
      </c>
      <c r="S355">
        <f t="shared" si="947"/>
        <v>-11236.023405977798</v>
      </c>
      <c r="T355">
        <f t="shared" si="948"/>
        <v>-11.236023405977798</v>
      </c>
    </row>
    <row r="356" spans="1:20" x14ac:dyDescent="0.25">
      <c r="A356" s="5">
        <v>44237</v>
      </c>
      <c r="B356">
        <v>8.1449999999999995E-3</v>
      </c>
      <c r="C356">
        <v>8.3979999999999992E-3</v>
      </c>
      <c r="D356">
        <v>7.4510000000000002E-3</v>
      </c>
      <c r="E356">
        <v>7.9719999999999999E-3</v>
      </c>
      <c r="F356">
        <v>483075168</v>
      </c>
      <c r="G356">
        <v>0</v>
      </c>
      <c r="L356" t="s">
        <v>7</v>
      </c>
      <c r="M356" t="s">
        <v>8</v>
      </c>
      <c r="N356" t="s">
        <v>8</v>
      </c>
      <c r="P356">
        <f t="shared" si="944"/>
        <v>0.10031678986272498</v>
      </c>
      <c r="Q356">
        <f t="shared" si="945"/>
        <v>48460550.116156563</v>
      </c>
      <c r="R356">
        <f t="shared" si="946"/>
        <v>-1271982508.8139963</v>
      </c>
      <c r="S356">
        <f t="shared" si="947"/>
        <v>-12719.825088139964</v>
      </c>
      <c r="T356">
        <f t="shared" si="948"/>
        <v>-12.719825088139963</v>
      </c>
    </row>
    <row r="357" spans="1:20" x14ac:dyDescent="0.25">
      <c r="A357" s="5">
        <v>44236</v>
      </c>
      <c r="B357">
        <v>7.7210000000000004E-3</v>
      </c>
      <c r="C357">
        <v>8.7989999999999995E-3</v>
      </c>
      <c r="D357">
        <v>7.332E-3</v>
      </c>
      <c r="E357">
        <v>8.1550000000000008E-3</v>
      </c>
      <c r="F357">
        <v>739729858</v>
      </c>
      <c r="G357">
        <v>0</v>
      </c>
      <c r="L357" t="s">
        <v>8</v>
      </c>
      <c r="M357" t="s">
        <v>8</v>
      </c>
      <c r="N357" t="s">
        <v>8</v>
      </c>
      <c r="P357">
        <f t="shared" si="944"/>
        <v>0.12201772324471856</v>
      </c>
      <c r="Q357">
        <f t="shared" si="945"/>
        <v>90260153.089298964</v>
      </c>
      <c r="R357">
        <f t="shared" si="946"/>
        <v>-1320443058.9301529</v>
      </c>
      <c r="S357">
        <f t="shared" si="947"/>
        <v>-13204.43058930153</v>
      </c>
      <c r="T357">
        <f t="shared" si="948"/>
        <v>-13.204430589301531</v>
      </c>
    </row>
    <row r="358" spans="1:20" x14ac:dyDescent="0.25">
      <c r="A358" s="5">
        <v>44235</v>
      </c>
      <c r="B358">
        <v>7.8270000000000006E-3</v>
      </c>
      <c r="C358">
        <v>8.5800000000000008E-3</v>
      </c>
      <c r="D358">
        <v>7.2110000000000004E-3</v>
      </c>
      <c r="E358">
        <v>7.7210000000000004E-3</v>
      </c>
      <c r="F358">
        <v>798361516</v>
      </c>
      <c r="G358">
        <v>0</v>
      </c>
      <c r="L358" t="s">
        <v>8</v>
      </c>
      <c r="M358" t="s">
        <v>8</v>
      </c>
      <c r="N358" t="s">
        <v>8</v>
      </c>
      <c r="P358">
        <f t="shared" si="944"/>
        <v>-0.25493060628195779</v>
      </c>
      <c r="Q358">
        <f t="shared" si="945"/>
        <v>-203526785.30606294</v>
      </c>
      <c r="R358">
        <f t="shared" si="946"/>
        <v>-1410703212.0194519</v>
      </c>
      <c r="S358">
        <f t="shared" si="947"/>
        <v>-14107.032120194519</v>
      </c>
      <c r="T358">
        <f t="shared" si="948"/>
        <v>-14.107032120194519</v>
      </c>
    </row>
    <row r="359" spans="1:20" x14ac:dyDescent="0.25">
      <c r="A359" s="5">
        <v>44234</v>
      </c>
      <c r="B359">
        <v>6.3090000000000004E-3</v>
      </c>
      <c r="C359">
        <v>7.9979999999999999E-3</v>
      </c>
      <c r="D359">
        <v>6.1900000000000002E-3</v>
      </c>
      <c r="E359">
        <v>7.7790000000000003E-3</v>
      </c>
      <c r="F359">
        <v>1136211578</v>
      </c>
      <c r="G359">
        <v>0</v>
      </c>
      <c r="L359" t="s">
        <v>8</v>
      </c>
      <c r="M359" t="s">
        <v>8</v>
      </c>
      <c r="N359" t="s">
        <v>8</v>
      </c>
      <c r="P359">
        <f t="shared" si="944"/>
        <v>0.75774336283185884</v>
      </c>
      <c r="Q359">
        <f t="shared" si="945"/>
        <v>860956782.00221288</v>
      </c>
      <c r="R359">
        <f t="shared" si="946"/>
        <v>-1207176426.7133889</v>
      </c>
      <c r="S359">
        <f t="shared" si="947"/>
        <v>-12071.764267133889</v>
      </c>
      <c r="T359">
        <f t="shared" si="948"/>
        <v>-12.071764267133888</v>
      </c>
    </row>
    <row r="360" spans="1:20" x14ac:dyDescent="0.25">
      <c r="A360" s="5">
        <v>44233</v>
      </c>
      <c r="B360">
        <v>6.5890000000000002E-3</v>
      </c>
      <c r="C360">
        <v>6.6829999999999997E-3</v>
      </c>
      <c r="D360">
        <v>6.2300000000000003E-3</v>
      </c>
      <c r="E360">
        <v>6.3049999999999998E-3</v>
      </c>
      <c r="F360">
        <v>224404230</v>
      </c>
      <c r="G360">
        <v>0</v>
      </c>
      <c r="L360" t="s">
        <v>7</v>
      </c>
      <c r="M360" t="s">
        <v>7</v>
      </c>
      <c r="N360" t="s">
        <v>7</v>
      </c>
      <c r="P360">
        <f t="shared" si="944"/>
        <v>-0.66887417218543199</v>
      </c>
      <c r="Q360">
        <f t="shared" si="945"/>
        <v>-150098193.57615927</v>
      </c>
      <c r="R360">
        <f t="shared" si="946"/>
        <v>-2068133208.7156019</v>
      </c>
      <c r="S360">
        <f t="shared" si="947"/>
        <v>-20681.332087156021</v>
      </c>
      <c r="T360">
        <f t="shared" si="948"/>
        <v>-20.681332087156022</v>
      </c>
    </row>
    <row r="361" spans="1:20" x14ac:dyDescent="0.25">
      <c r="A361" s="5">
        <v>44232</v>
      </c>
      <c r="B361">
        <v>6.202E-3</v>
      </c>
      <c r="C361">
        <v>6.7999999999999996E-3</v>
      </c>
      <c r="D361">
        <v>6.1510000000000002E-3</v>
      </c>
      <c r="E361">
        <v>6.5900000000000004E-3</v>
      </c>
      <c r="F361">
        <v>382949151</v>
      </c>
      <c r="G361">
        <v>0</v>
      </c>
      <c r="L361" t="s">
        <v>8</v>
      </c>
      <c r="M361" t="s">
        <v>7</v>
      </c>
      <c r="N361" t="s">
        <v>7</v>
      </c>
      <c r="P361">
        <f t="shared" si="944"/>
        <v>0.35285053929121896</v>
      </c>
      <c r="Q361">
        <f t="shared" si="945"/>
        <v>135123814.45146444</v>
      </c>
      <c r="R361">
        <f t="shared" si="946"/>
        <v>-1918035015.1394427</v>
      </c>
      <c r="S361">
        <f t="shared" si="947"/>
        <v>-19180.350151394428</v>
      </c>
      <c r="T361">
        <f t="shared" si="948"/>
        <v>-19.180350151394428</v>
      </c>
    </row>
    <row r="362" spans="1:20" x14ac:dyDescent="0.25">
      <c r="A362" s="5">
        <v>44231</v>
      </c>
      <c r="B362">
        <v>6.3969999999999999E-3</v>
      </c>
      <c r="C362">
        <v>6.4469999999999996E-3</v>
      </c>
      <c r="D362">
        <v>5.947E-3</v>
      </c>
      <c r="E362">
        <v>6.202E-3</v>
      </c>
      <c r="F362">
        <v>379540371</v>
      </c>
      <c r="G362">
        <v>0</v>
      </c>
      <c r="L362" t="s">
        <v>7</v>
      </c>
      <c r="M362" t="s">
        <v>7</v>
      </c>
      <c r="N362" t="s">
        <v>7</v>
      </c>
      <c r="P362">
        <f t="shared" si="944"/>
        <v>2.0000000000000937E-2</v>
      </c>
      <c r="Q362">
        <f t="shared" si="945"/>
        <v>7590807.4200003557</v>
      </c>
      <c r="R362">
        <f t="shared" si="946"/>
        <v>-2053158829.5909071</v>
      </c>
      <c r="S362">
        <f t="shared" si="947"/>
        <v>-20531.58829590907</v>
      </c>
      <c r="T362">
        <f t="shared" si="948"/>
        <v>-20.531588295909071</v>
      </c>
    </row>
    <row r="363" spans="1:20" x14ac:dyDescent="0.25">
      <c r="A363" s="5">
        <v>44230</v>
      </c>
      <c r="B363">
        <v>6.0439999999999999E-3</v>
      </c>
      <c r="C363">
        <v>6.9490000000000003E-3</v>
      </c>
      <c r="D363">
        <v>5.8250000000000003E-3</v>
      </c>
      <c r="E363">
        <v>6.3800000000000003E-3</v>
      </c>
      <c r="F363">
        <v>744930596</v>
      </c>
      <c r="G363">
        <v>0</v>
      </c>
      <c r="L363" t="s">
        <v>8</v>
      </c>
      <c r="M363" t="s">
        <v>8</v>
      </c>
      <c r="N363" t="s">
        <v>7</v>
      </c>
      <c r="P363">
        <f t="shared" si="944"/>
        <v>-1.2455516014234985E-2</v>
      </c>
      <c r="Q363">
        <f t="shared" si="945"/>
        <v>-9278494.9679716118</v>
      </c>
      <c r="R363">
        <f t="shared" si="946"/>
        <v>-2060749637.0109074</v>
      </c>
      <c r="S363">
        <f t="shared" si="947"/>
        <v>-20607.496370109075</v>
      </c>
      <c r="T363">
        <f t="shared" si="948"/>
        <v>-20.607496370109075</v>
      </c>
    </row>
    <row r="364" spans="1:20" x14ac:dyDescent="0.25">
      <c r="A364" s="5">
        <v>44229</v>
      </c>
      <c r="B364">
        <v>5.6759999999999996E-3</v>
      </c>
      <c r="C364">
        <v>6.1679999999999999E-3</v>
      </c>
      <c r="D364">
        <v>5.5539999999999999E-3</v>
      </c>
      <c r="E364">
        <v>6.045E-3</v>
      </c>
      <c r="F364">
        <v>590002400</v>
      </c>
      <c r="G364">
        <v>0</v>
      </c>
      <c r="L364" t="s">
        <v>8</v>
      </c>
      <c r="M364" t="s">
        <v>8</v>
      </c>
      <c r="N364" t="s">
        <v>7</v>
      </c>
      <c r="P364">
        <f t="shared" si="944"/>
        <v>0.59934853420195489</v>
      </c>
      <c r="Q364">
        <f t="shared" si="945"/>
        <v>353617073.61563545</v>
      </c>
      <c r="R364">
        <f t="shared" si="946"/>
        <v>-2051471142.0429358</v>
      </c>
      <c r="S364">
        <f t="shared" si="947"/>
        <v>-20514.711420429358</v>
      </c>
      <c r="T364">
        <f t="shared" si="948"/>
        <v>-20.514711420429357</v>
      </c>
    </row>
    <row r="365" spans="1:20" x14ac:dyDescent="0.25">
      <c r="A365" s="5">
        <v>44228</v>
      </c>
      <c r="B365">
        <v>5.3140000000000001E-3</v>
      </c>
      <c r="C365">
        <v>5.705E-3</v>
      </c>
      <c r="D365">
        <v>5.2030000000000002E-3</v>
      </c>
      <c r="E365">
        <v>5.6750000000000004E-3</v>
      </c>
      <c r="F365">
        <v>389496623</v>
      </c>
      <c r="G365">
        <v>0</v>
      </c>
      <c r="L365" t="s">
        <v>8</v>
      </c>
      <c r="M365" t="s">
        <v>7</v>
      </c>
      <c r="N365" t="s">
        <v>7</v>
      </c>
      <c r="P365">
        <f t="shared" si="944"/>
        <v>0.88047808764940372</v>
      </c>
      <c r="Q365">
        <f t="shared" si="945"/>
        <v>342943241.76494074</v>
      </c>
      <c r="R365">
        <f t="shared" si="946"/>
        <v>-2405088215.6585712</v>
      </c>
      <c r="S365">
        <f t="shared" si="947"/>
        <v>-24050.882156585711</v>
      </c>
      <c r="T365">
        <f t="shared" si="948"/>
        <v>-24.050882156585711</v>
      </c>
    </row>
    <row r="366" spans="1:20" x14ac:dyDescent="0.25">
      <c r="A366" s="5">
        <v>44227</v>
      </c>
      <c r="B366">
        <v>5.4729999999999996E-3</v>
      </c>
      <c r="C366">
        <v>5.6839999999999998E-3</v>
      </c>
      <c r="D366">
        <v>5.1919999999999996E-3</v>
      </c>
      <c r="E366">
        <v>5.313E-3</v>
      </c>
      <c r="F366">
        <v>411478216</v>
      </c>
      <c r="G366">
        <v>0</v>
      </c>
      <c r="L366" t="s">
        <v>7</v>
      </c>
      <c r="M366" t="s">
        <v>7</v>
      </c>
      <c r="N366" t="s">
        <v>7</v>
      </c>
      <c r="P366">
        <f t="shared" si="944"/>
        <v>-0.50813008130081139</v>
      </c>
      <c r="Q366">
        <f t="shared" si="945"/>
        <v>-209084459.34959283</v>
      </c>
      <c r="R366">
        <f t="shared" si="946"/>
        <v>-2748031457.423512</v>
      </c>
      <c r="S366">
        <f t="shared" si="947"/>
        <v>-27480.314574235119</v>
      </c>
      <c r="T366">
        <f t="shared" si="948"/>
        <v>-27.48031457423512</v>
      </c>
    </row>
    <row r="367" spans="1:20" x14ac:dyDescent="0.25">
      <c r="A367" s="5">
        <v>44226</v>
      </c>
      <c r="B367">
        <v>5.2370000000000003E-3</v>
      </c>
      <c r="C367">
        <v>5.6950000000000004E-3</v>
      </c>
      <c r="D367">
        <v>5.1050000000000002E-3</v>
      </c>
      <c r="E367">
        <v>5.4720000000000003E-3</v>
      </c>
      <c r="F367">
        <v>418294313</v>
      </c>
      <c r="G367">
        <v>0</v>
      </c>
      <c r="L367" t="s">
        <v>8</v>
      </c>
      <c r="M367" t="s">
        <v>7</v>
      </c>
      <c r="N367" t="s">
        <v>7</v>
      </c>
      <c r="P367">
        <f t="shared" si="944"/>
        <v>0.24406779661016945</v>
      </c>
      <c r="Q367">
        <f t="shared" si="945"/>
        <v>102092171.30847456</v>
      </c>
      <c r="R367">
        <f t="shared" si="946"/>
        <v>-2538946998.0739193</v>
      </c>
      <c r="S367">
        <f t="shared" si="947"/>
        <v>-25389.469980739192</v>
      </c>
      <c r="T367">
        <f t="shared" si="948"/>
        <v>-25.389469980739193</v>
      </c>
    </row>
    <row r="368" spans="1:20" x14ac:dyDescent="0.25">
      <c r="A368" s="5">
        <v>44225</v>
      </c>
      <c r="B368">
        <v>5.2639999999999996E-3</v>
      </c>
      <c r="C368">
        <v>5.47E-3</v>
      </c>
      <c r="D368">
        <v>5.0010000000000002E-3</v>
      </c>
      <c r="E368">
        <v>5.2370000000000003E-3</v>
      </c>
      <c r="F368">
        <v>735080864</v>
      </c>
      <c r="G368">
        <v>0</v>
      </c>
      <c r="L368" t="s">
        <v>7</v>
      </c>
      <c r="M368" t="s">
        <v>7</v>
      </c>
      <c r="N368" t="s">
        <v>7</v>
      </c>
      <c r="P368">
        <f t="shared" si="944"/>
        <v>6.3965884861415766E-3</v>
      </c>
      <c r="Q368">
        <f t="shared" si="945"/>
        <v>4702009.7910454022</v>
      </c>
      <c r="R368">
        <f t="shared" si="946"/>
        <v>-2641039169.3823938</v>
      </c>
      <c r="S368">
        <f t="shared" si="947"/>
        <v>-26410.391693823938</v>
      </c>
      <c r="T368">
        <f t="shared" si="948"/>
        <v>-26.410391693823939</v>
      </c>
    </row>
    <row r="369" spans="1:20" x14ac:dyDescent="0.25">
      <c r="A369" s="5">
        <v>44224</v>
      </c>
      <c r="B369">
        <v>5.0879999999999996E-3</v>
      </c>
      <c r="C369">
        <v>5.9620000000000003E-3</v>
      </c>
      <c r="D369">
        <v>5.012E-3</v>
      </c>
      <c r="E369">
        <v>5.2620000000000002E-3</v>
      </c>
      <c r="F369">
        <v>890851622</v>
      </c>
      <c r="G369">
        <v>0</v>
      </c>
      <c r="L369" t="s">
        <v>8</v>
      </c>
      <c r="M369" t="s">
        <v>8</v>
      </c>
      <c r="N369" t="s">
        <v>7</v>
      </c>
      <c r="P369">
        <f t="shared" si="944"/>
        <v>-0.47368421052631549</v>
      </c>
      <c r="Q369">
        <f t="shared" si="945"/>
        <v>-421982347.26315761</v>
      </c>
      <c r="R369">
        <f t="shared" si="946"/>
        <v>-2645741179.173439</v>
      </c>
      <c r="S369">
        <f t="shared" si="947"/>
        <v>-26457.41179173439</v>
      </c>
      <c r="T369">
        <f t="shared" si="948"/>
        <v>-26.457411791734391</v>
      </c>
    </row>
    <row r="370" spans="1:20" x14ac:dyDescent="0.25">
      <c r="A370" s="5">
        <v>44223</v>
      </c>
      <c r="B370">
        <v>5.7879999999999997E-3</v>
      </c>
      <c r="C370">
        <v>5.9290000000000002E-3</v>
      </c>
      <c r="D370">
        <v>4.8500000000000001E-3</v>
      </c>
      <c r="E370">
        <v>5.11E-3</v>
      </c>
      <c r="F370">
        <v>862154539</v>
      </c>
      <c r="G370">
        <v>0</v>
      </c>
      <c r="L370" t="s">
        <v>7</v>
      </c>
      <c r="M370" t="s">
        <v>7</v>
      </c>
      <c r="N370" t="s">
        <v>7</v>
      </c>
      <c r="P370">
        <f t="shared" si="944"/>
        <v>-0.51807228915662684</v>
      </c>
      <c r="Q370">
        <f t="shared" si="945"/>
        <v>-446658375.62650633</v>
      </c>
      <c r="R370">
        <f t="shared" si="946"/>
        <v>-2223758831.9102812</v>
      </c>
      <c r="S370">
        <f t="shared" si="947"/>
        <v>-22237.588319102812</v>
      </c>
      <c r="T370">
        <f t="shared" si="948"/>
        <v>-22.237588319102812</v>
      </c>
    </row>
    <row r="371" spans="1:20" x14ac:dyDescent="0.25">
      <c r="A371" s="5">
        <v>44222</v>
      </c>
      <c r="B371">
        <v>6.0879999999999997E-3</v>
      </c>
      <c r="C371">
        <v>8.2000000000000007E-3</v>
      </c>
      <c r="D371">
        <v>5.5500000000000002E-3</v>
      </c>
      <c r="E371">
        <v>5.7809999999999997E-3</v>
      </c>
      <c r="F371">
        <v>2152338304</v>
      </c>
      <c r="G371">
        <v>0</v>
      </c>
      <c r="P371">
        <f t="shared" si="944"/>
        <v>-0.82566037735849107</v>
      </c>
      <c r="Q371">
        <f t="shared" si="945"/>
        <v>-1777100456.2837746</v>
      </c>
      <c r="R371">
        <f t="shared" si="946"/>
        <v>-1777100456.2837746</v>
      </c>
      <c r="S371">
        <f t="shared" si="947"/>
        <v>-17771.004562837745</v>
      </c>
      <c r="T371">
        <f t="shared" si="948"/>
        <v>-17.771004562837746</v>
      </c>
    </row>
    <row r="372" spans="1:20" x14ac:dyDescent="0.25">
      <c r="A372" s="5"/>
      <c r="C372"/>
      <c r="D372"/>
      <c r="P372">
        <f t="shared" si="944"/>
        <v>0</v>
      </c>
      <c r="Q372">
        <f t="shared" si="945"/>
        <v>0</v>
      </c>
      <c r="R372">
        <f t="shared" si="946"/>
        <v>0</v>
      </c>
      <c r="S372">
        <f t="shared" si="947"/>
        <v>0</v>
      </c>
      <c r="T372">
        <f t="shared" si="948"/>
        <v>0</v>
      </c>
    </row>
    <row r="373" spans="1:20" x14ac:dyDescent="0.25">
      <c r="A373" s="5"/>
      <c r="C373"/>
      <c r="D373"/>
      <c r="P373">
        <f t="shared" si="944"/>
        <v>0</v>
      </c>
      <c r="Q373">
        <f t="shared" si="945"/>
        <v>0</v>
      </c>
      <c r="R373">
        <f t="shared" si="946"/>
        <v>0</v>
      </c>
      <c r="S373">
        <f t="shared" si="947"/>
        <v>0</v>
      </c>
      <c r="T373">
        <f t="shared" si="948"/>
        <v>0</v>
      </c>
    </row>
    <row r="374" spans="1:20" x14ac:dyDescent="0.25">
      <c r="A374" s="5"/>
      <c r="C374"/>
      <c r="D374"/>
      <c r="P374">
        <f t="shared" si="944"/>
        <v>0</v>
      </c>
      <c r="Q374">
        <f t="shared" si="945"/>
        <v>0</v>
      </c>
      <c r="R374">
        <f t="shared" si="946"/>
        <v>0</v>
      </c>
      <c r="S374">
        <f t="shared" si="947"/>
        <v>0</v>
      </c>
      <c r="T374">
        <f t="shared" si="948"/>
        <v>0</v>
      </c>
    </row>
    <row r="375" spans="1:20" x14ac:dyDescent="0.25">
      <c r="A375" s="5"/>
      <c r="C375"/>
      <c r="D375"/>
      <c r="P375">
        <f t="shared" si="944"/>
        <v>0</v>
      </c>
      <c r="Q375">
        <f t="shared" si="945"/>
        <v>0</v>
      </c>
      <c r="R375">
        <f t="shared" si="946"/>
        <v>0</v>
      </c>
      <c r="S375">
        <f t="shared" si="947"/>
        <v>0</v>
      </c>
      <c r="T375">
        <f t="shared" si="948"/>
        <v>0</v>
      </c>
    </row>
    <row r="376" spans="1:20" x14ac:dyDescent="0.25">
      <c r="A376" s="5"/>
      <c r="C376"/>
      <c r="D376"/>
      <c r="P376">
        <f t="shared" si="944"/>
        <v>0</v>
      </c>
      <c r="Q376">
        <f t="shared" si="945"/>
        <v>0</v>
      </c>
      <c r="R376">
        <f t="shared" si="946"/>
        <v>0</v>
      </c>
      <c r="S376">
        <f t="shared" si="947"/>
        <v>0</v>
      </c>
      <c r="T376">
        <f t="shared" si="948"/>
        <v>0</v>
      </c>
    </row>
    <row r="377" spans="1:20" x14ac:dyDescent="0.25">
      <c r="A377" s="5"/>
      <c r="C377"/>
      <c r="D377"/>
      <c r="P377">
        <f t="shared" si="944"/>
        <v>0</v>
      </c>
      <c r="Q377">
        <f t="shared" si="945"/>
        <v>0</v>
      </c>
      <c r="R377">
        <f t="shared" si="946"/>
        <v>0</v>
      </c>
      <c r="S377">
        <f t="shared" si="947"/>
        <v>0</v>
      </c>
      <c r="T377">
        <f t="shared" si="948"/>
        <v>0</v>
      </c>
    </row>
    <row r="378" spans="1:20" x14ac:dyDescent="0.25">
      <c r="A378" s="5"/>
      <c r="C378"/>
      <c r="D378"/>
      <c r="P378">
        <f t="shared" si="944"/>
        <v>0</v>
      </c>
      <c r="Q378">
        <f t="shared" si="945"/>
        <v>0</v>
      </c>
      <c r="R378">
        <f t="shared" si="946"/>
        <v>0</v>
      </c>
      <c r="S378">
        <f t="shared" si="947"/>
        <v>0</v>
      </c>
      <c r="T378">
        <f t="shared" si="948"/>
        <v>0</v>
      </c>
    </row>
    <row r="379" spans="1:20" x14ac:dyDescent="0.25">
      <c r="A379" s="5"/>
      <c r="C379"/>
      <c r="D379"/>
      <c r="P379">
        <f t="shared" si="944"/>
        <v>0</v>
      </c>
      <c r="Q379">
        <f t="shared" si="945"/>
        <v>0</v>
      </c>
      <c r="R379">
        <f t="shared" si="946"/>
        <v>0</v>
      </c>
      <c r="S379">
        <f t="shared" si="947"/>
        <v>0</v>
      </c>
      <c r="T379">
        <f t="shared" si="948"/>
        <v>0</v>
      </c>
    </row>
    <row r="380" spans="1:20" x14ac:dyDescent="0.25">
      <c r="A380" s="5"/>
      <c r="C380"/>
      <c r="D380"/>
      <c r="P380">
        <f t="shared" si="944"/>
        <v>0</v>
      </c>
      <c r="Q380">
        <f t="shared" si="945"/>
        <v>0</v>
      </c>
      <c r="R380">
        <f t="shared" si="946"/>
        <v>0</v>
      </c>
      <c r="S380">
        <f t="shared" si="947"/>
        <v>0</v>
      </c>
      <c r="T380">
        <f t="shared" si="948"/>
        <v>0</v>
      </c>
    </row>
    <row r="381" spans="1:20" x14ac:dyDescent="0.25">
      <c r="A381" s="5"/>
      <c r="C381"/>
      <c r="D381"/>
      <c r="P381">
        <f t="shared" si="944"/>
        <v>0</v>
      </c>
      <c r="Q381">
        <f t="shared" si="945"/>
        <v>0</v>
      </c>
      <c r="R381">
        <f t="shared" si="946"/>
        <v>0</v>
      </c>
      <c r="S381">
        <f t="shared" si="947"/>
        <v>0</v>
      </c>
      <c r="T381">
        <f t="shared" si="948"/>
        <v>0</v>
      </c>
    </row>
    <row r="382" spans="1:20" x14ac:dyDescent="0.25">
      <c r="A382" s="5"/>
      <c r="C382"/>
      <c r="D382"/>
      <c r="P382">
        <f t="shared" si="944"/>
        <v>0</v>
      </c>
      <c r="Q382">
        <f t="shared" si="945"/>
        <v>0</v>
      </c>
      <c r="R382">
        <f t="shared" si="946"/>
        <v>0</v>
      </c>
      <c r="S382">
        <f t="shared" si="947"/>
        <v>0</v>
      </c>
      <c r="T382">
        <f t="shared" si="948"/>
        <v>0</v>
      </c>
    </row>
    <row r="383" spans="1:20" x14ac:dyDescent="0.25">
      <c r="A383" s="5"/>
      <c r="C383"/>
      <c r="D383"/>
      <c r="P383">
        <f t="shared" si="944"/>
        <v>0</v>
      </c>
      <c r="Q383">
        <f t="shared" si="945"/>
        <v>0</v>
      </c>
      <c r="R383">
        <f t="shared" si="946"/>
        <v>0</v>
      </c>
      <c r="S383">
        <f t="shared" si="947"/>
        <v>0</v>
      </c>
      <c r="T383">
        <f t="shared" si="948"/>
        <v>0</v>
      </c>
    </row>
    <row r="384" spans="1:20" x14ac:dyDescent="0.25">
      <c r="A384" s="5"/>
      <c r="C384"/>
      <c r="D384"/>
      <c r="P384">
        <f t="shared" si="944"/>
        <v>0</v>
      </c>
      <c r="Q384">
        <f t="shared" si="945"/>
        <v>0</v>
      </c>
      <c r="R384">
        <f t="shared" si="946"/>
        <v>0</v>
      </c>
      <c r="S384">
        <f t="shared" si="947"/>
        <v>0</v>
      </c>
      <c r="T384">
        <f t="shared" si="948"/>
        <v>0</v>
      </c>
    </row>
    <row r="385" spans="1:20" x14ac:dyDescent="0.25">
      <c r="A385" s="5"/>
      <c r="C385"/>
      <c r="D385"/>
      <c r="P385">
        <f t="shared" ref="P385:P448" si="949">IF(C385=D385,0,((E385-D385)-(C385-E385))/(C385-D385))</f>
        <v>0</v>
      </c>
      <c r="Q385">
        <f t="shared" ref="Q385:Q448" si="950">F385*P385</f>
        <v>0</v>
      </c>
      <c r="R385">
        <f t="shared" ref="R385:R448" si="951">R386+Q385</f>
        <v>0</v>
      </c>
      <c r="S385">
        <f t="shared" ref="S385:S448" si="952">R385/100000</f>
        <v>0</v>
      </c>
      <c r="T385">
        <f t="shared" ref="T385:T448" si="953">S385/1000</f>
        <v>0</v>
      </c>
    </row>
    <row r="386" spans="1:20" x14ac:dyDescent="0.25">
      <c r="A386" s="5"/>
      <c r="C386"/>
      <c r="D386"/>
      <c r="P386">
        <f t="shared" si="949"/>
        <v>0</v>
      </c>
      <c r="Q386">
        <f t="shared" si="950"/>
        <v>0</v>
      </c>
      <c r="R386">
        <f t="shared" si="951"/>
        <v>0</v>
      </c>
      <c r="S386">
        <f t="shared" si="952"/>
        <v>0</v>
      </c>
      <c r="T386">
        <f t="shared" si="953"/>
        <v>0</v>
      </c>
    </row>
    <row r="387" spans="1:20" x14ac:dyDescent="0.25">
      <c r="A387" s="5"/>
      <c r="C387"/>
      <c r="D387"/>
      <c r="P387">
        <f t="shared" si="949"/>
        <v>0</v>
      </c>
      <c r="Q387">
        <f t="shared" si="950"/>
        <v>0</v>
      </c>
      <c r="R387">
        <f t="shared" si="951"/>
        <v>0</v>
      </c>
      <c r="S387">
        <f t="shared" si="952"/>
        <v>0</v>
      </c>
      <c r="T387">
        <f t="shared" si="953"/>
        <v>0</v>
      </c>
    </row>
    <row r="388" spans="1:20" x14ac:dyDescent="0.25">
      <c r="A388" s="5"/>
      <c r="C388"/>
      <c r="D388"/>
      <c r="P388">
        <f t="shared" si="949"/>
        <v>0</v>
      </c>
      <c r="Q388">
        <f t="shared" si="950"/>
        <v>0</v>
      </c>
      <c r="R388">
        <f t="shared" si="951"/>
        <v>0</v>
      </c>
      <c r="S388">
        <f t="shared" si="952"/>
        <v>0</v>
      </c>
      <c r="T388">
        <f t="shared" si="953"/>
        <v>0</v>
      </c>
    </row>
    <row r="389" spans="1:20" x14ac:dyDescent="0.25">
      <c r="A389" s="5"/>
      <c r="C389"/>
      <c r="D389"/>
      <c r="P389">
        <f t="shared" si="949"/>
        <v>0</v>
      </c>
      <c r="Q389">
        <f t="shared" si="950"/>
        <v>0</v>
      </c>
      <c r="R389">
        <f t="shared" si="951"/>
        <v>0</v>
      </c>
      <c r="S389">
        <f t="shared" si="952"/>
        <v>0</v>
      </c>
      <c r="T389">
        <f t="shared" si="953"/>
        <v>0</v>
      </c>
    </row>
    <row r="390" spans="1:20" x14ac:dyDescent="0.25">
      <c r="A390" s="5"/>
      <c r="C390"/>
      <c r="D390"/>
      <c r="P390">
        <f t="shared" si="949"/>
        <v>0</v>
      </c>
      <c r="Q390">
        <f t="shared" si="950"/>
        <v>0</v>
      </c>
      <c r="R390">
        <f t="shared" si="951"/>
        <v>0</v>
      </c>
      <c r="S390">
        <f t="shared" si="952"/>
        <v>0</v>
      </c>
      <c r="T390">
        <f t="shared" si="953"/>
        <v>0</v>
      </c>
    </row>
    <row r="391" spans="1:20" x14ac:dyDescent="0.25">
      <c r="A391" s="5"/>
      <c r="C391"/>
      <c r="D391"/>
      <c r="P391">
        <f t="shared" si="949"/>
        <v>0</v>
      </c>
      <c r="Q391">
        <f t="shared" si="950"/>
        <v>0</v>
      </c>
      <c r="R391">
        <f t="shared" si="951"/>
        <v>0</v>
      </c>
      <c r="S391">
        <f t="shared" si="952"/>
        <v>0</v>
      </c>
      <c r="T391">
        <f t="shared" si="953"/>
        <v>0</v>
      </c>
    </row>
    <row r="392" spans="1:20" x14ac:dyDescent="0.25">
      <c r="A392" s="5"/>
      <c r="C392"/>
      <c r="D392"/>
      <c r="P392">
        <f t="shared" si="949"/>
        <v>0</v>
      </c>
      <c r="Q392">
        <f t="shared" si="950"/>
        <v>0</v>
      </c>
      <c r="R392">
        <f t="shared" si="951"/>
        <v>0</v>
      </c>
      <c r="S392">
        <f t="shared" si="952"/>
        <v>0</v>
      </c>
      <c r="T392">
        <f t="shared" si="953"/>
        <v>0</v>
      </c>
    </row>
    <row r="393" spans="1:20" x14ac:dyDescent="0.25">
      <c r="A393" s="5"/>
      <c r="C393"/>
      <c r="D393"/>
      <c r="P393">
        <f t="shared" si="949"/>
        <v>0</v>
      </c>
      <c r="Q393">
        <f t="shared" si="950"/>
        <v>0</v>
      </c>
      <c r="R393">
        <f t="shared" si="951"/>
        <v>0</v>
      </c>
      <c r="S393">
        <f t="shared" si="952"/>
        <v>0</v>
      </c>
      <c r="T393">
        <f t="shared" si="953"/>
        <v>0</v>
      </c>
    </row>
    <row r="394" spans="1:20" x14ac:dyDescent="0.25">
      <c r="A394" s="5"/>
      <c r="C394"/>
      <c r="D394"/>
      <c r="P394">
        <f t="shared" si="949"/>
        <v>0</v>
      </c>
      <c r="Q394">
        <f t="shared" si="950"/>
        <v>0</v>
      </c>
      <c r="R394">
        <f t="shared" si="951"/>
        <v>0</v>
      </c>
      <c r="S394">
        <f t="shared" si="952"/>
        <v>0</v>
      </c>
      <c r="T394">
        <f t="shared" si="953"/>
        <v>0</v>
      </c>
    </row>
    <row r="395" spans="1:20" x14ac:dyDescent="0.25">
      <c r="A395" s="5"/>
      <c r="C395"/>
      <c r="D395"/>
      <c r="P395">
        <f t="shared" si="949"/>
        <v>0</v>
      </c>
      <c r="Q395">
        <f t="shared" si="950"/>
        <v>0</v>
      </c>
      <c r="R395">
        <f t="shared" si="951"/>
        <v>0</v>
      </c>
      <c r="S395">
        <f t="shared" si="952"/>
        <v>0</v>
      </c>
      <c r="T395">
        <f t="shared" si="953"/>
        <v>0</v>
      </c>
    </row>
    <row r="396" spans="1:20" x14ac:dyDescent="0.25">
      <c r="A396" s="5"/>
      <c r="C396"/>
      <c r="D396"/>
      <c r="P396">
        <f t="shared" si="949"/>
        <v>0</v>
      </c>
      <c r="Q396">
        <f t="shared" si="950"/>
        <v>0</v>
      </c>
      <c r="R396">
        <f t="shared" si="951"/>
        <v>0</v>
      </c>
      <c r="S396">
        <f t="shared" si="952"/>
        <v>0</v>
      </c>
      <c r="T396">
        <f t="shared" si="953"/>
        <v>0</v>
      </c>
    </row>
    <row r="397" spans="1:20" x14ac:dyDescent="0.25">
      <c r="A397" s="5"/>
      <c r="C397"/>
      <c r="D397"/>
      <c r="P397">
        <f t="shared" si="949"/>
        <v>0</v>
      </c>
      <c r="Q397">
        <f t="shared" si="950"/>
        <v>0</v>
      </c>
      <c r="R397">
        <f t="shared" si="951"/>
        <v>0</v>
      </c>
      <c r="S397">
        <f t="shared" si="952"/>
        <v>0</v>
      </c>
      <c r="T397">
        <f t="shared" si="953"/>
        <v>0</v>
      </c>
    </row>
    <row r="398" spans="1:20" x14ac:dyDescent="0.25">
      <c r="A398" s="5"/>
      <c r="C398"/>
      <c r="D398"/>
      <c r="P398">
        <f t="shared" si="949"/>
        <v>0</v>
      </c>
      <c r="Q398">
        <f t="shared" si="950"/>
        <v>0</v>
      </c>
      <c r="R398">
        <f t="shared" si="951"/>
        <v>0</v>
      </c>
      <c r="S398">
        <f t="shared" si="952"/>
        <v>0</v>
      </c>
      <c r="T398">
        <f t="shared" si="953"/>
        <v>0</v>
      </c>
    </row>
    <row r="399" spans="1:20" x14ac:dyDescent="0.25">
      <c r="A399" s="5"/>
      <c r="C399"/>
      <c r="D399"/>
      <c r="P399">
        <f t="shared" si="949"/>
        <v>0</v>
      </c>
      <c r="Q399">
        <f t="shared" si="950"/>
        <v>0</v>
      </c>
      <c r="R399">
        <f t="shared" si="951"/>
        <v>0</v>
      </c>
      <c r="S399">
        <f t="shared" si="952"/>
        <v>0</v>
      </c>
      <c r="T399">
        <f t="shared" si="953"/>
        <v>0</v>
      </c>
    </row>
    <row r="400" spans="1:20" x14ac:dyDescent="0.25">
      <c r="A400" s="5"/>
      <c r="C400"/>
      <c r="D400"/>
      <c r="P400">
        <f t="shared" si="949"/>
        <v>0</v>
      </c>
      <c r="Q400">
        <f t="shared" si="950"/>
        <v>0</v>
      </c>
      <c r="R400">
        <f t="shared" si="951"/>
        <v>0</v>
      </c>
      <c r="S400">
        <f t="shared" si="952"/>
        <v>0</v>
      </c>
      <c r="T400">
        <f t="shared" si="953"/>
        <v>0</v>
      </c>
    </row>
    <row r="401" spans="1:20" x14ac:dyDescent="0.25">
      <c r="A401" s="5"/>
      <c r="C401"/>
      <c r="D401"/>
      <c r="P401">
        <f t="shared" si="949"/>
        <v>0</v>
      </c>
      <c r="Q401">
        <f t="shared" si="950"/>
        <v>0</v>
      </c>
      <c r="R401">
        <f t="shared" si="951"/>
        <v>0</v>
      </c>
      <c r="S401">
        <f t="shared" si="952"/>
        <v>0</v>
      </c>
      <c r="T401">
        <f t="shared" si="953"/>
        <v>0</v>
      </c>
    </row>
    <row r="402" spans="1:20" x14ac:dyDescent="0.25">
      <c r="A402" s="5"/>
      <c r="C402"/>
      <c r="D402"/>
      <c r="P402">
        <f t="shared" si="949"/>
        <v>0</v>
      </c>
      <c r="Q402">
        <f t="shared" si="950"/>
        <v>0</v>
      </c>
      <c r="R402">
        <f t="shared" si="951"/>
        <v>0</v>
      </c>
      <c r="S402">
        <f t="shared" si="952"/>
        <v>0</v>
      </c>
      <c r="T402">
        <f t="shared" si="953"/>
        <v>0</v>
      </c>
    </row>
    <row r="403" spans="1:20" x14ac:dyDescent="0.25">
      <c r="A403" s="5"/>
      <c r="C403"/>
      <c r="D403"/>
      <c r="P403">
        <f t="shared" si="949"/>
        <v>0</v>
      </c>
      <c r="Q403">
        <f t="shared" si="950"/>
        <v>0</v>
      </c>
      <c r="R403">
        <f t="shared" si="951"/>
        <v>0</v>
      </c>
      <c r="S403">
        <f t="shared" si="952"/>
        <v>0</v>
      </c>
      <c r="T403">
        <f t="shared" si="953"/>
        <v>0</v>
      </c>
    </row>
    <row r="404" spans="1:20" x14ac:dyDescent="0.25">
      <c r="A404" s="5"/>
      <c r="C404"/>
      <c r="D404"/>
      <c r="P404">
        <f t="shared" si="949"/>
        <v>0</v>
      </c>
      <c r="Q404">
        <f t="shared" si="950"/>
        <v>0</v>
      </c>
      <c r="R404">
        <f t="shared" si="951"/>
        <v>0</v>
      </c>
      <c r="S404">
        <f t="shared" si="952"/>
        <v>0</v>
      </c>
      <c r="T404">
        <f t="shared" si="953"/>
        <v>0</v>
      </c>
    </row>
    <row r="405" spans="1:20" x14ac:dyDescent="0.25">
      <c r="A405" s="5"/>
      <c r="C405"/>
      <c r="D405"/>
      <c r="P405">
        <f t="shared" si="949"/>
        <v>0</v>
      </c>
      <c r="Q405">
        <f t="shared" si="950"/>
        <v>0</v>
      </c>
      <c r="R405">
        <f t="shared" si="951"/>
        <v>0</v>
      </c>
      <c r="S405">
        <f t="shared" si="952"/>
        <v>0</v>
      </c>
      <c r="T405">
        <f t="shared" si="953"/>
        <v>0</v>
      </c>
    </row>
    <row r="406" spans="1:20" x14ac:dyDescent="0.25">
      <c r="A406" s="5"/>
      <c r="C406"/>
      <c r="D406"/>
      <c r="P406">
        <f t="shared" si="949"/>
        <v>0</v>
      </c>
      <c r="Q406">
        <f t="shared" si="950"/>
        <v>0</v>
      </c>
      <c r="R406">
        <f t="shared" si="951"/>
        <v>0</v>
      </c>
      <c r="S406">
        <f t="shared" si="952"/>
        <v>0</v>
      </c>
      <c r="T406">
        <f t="shared" si="953"/>
        <v>0</v>
      </c>
    </row>
    <row r="407" spans="1:20" x14ac:dyDescent="0.25">
      <c r="A407" s="5"/>
      <c r="C407"/>
      <c r="D407"/>
      <c r="P407">
        <f t="shared" si="949"/>
        <v>0</v>
      </c>
      <c r="Q407">
        <f t="shared" si="950"/>
        <v>0</v>
      </c>
      <c r="R407">
        <f t="shared" si="951"/>
        <v>0</v>
      </c>
      <c r="S407">
        <f t="shared" si="952"/>
        <v>0</v>
      </c>
      <c r="T407">
        <f t="shared" si="953"/>
        <v>0</v>
      </c>
    </row>
    <row r="408" spans="1:20" x14ac:dyDescent="0.25">
      <c r="A408" s="5"/>
      <c r="C408"/>
      <c r="D408"/>
      <c r="P408">
        <f t="shared" si="949"/>
        <v>0</v>
      </c>
      <c r="Q408">
        <f t="shared" si="950"/>
        <v>0</v>
      </c>
      <c r="R408">
        <f t="shared" si="951"/>
        <v>0</v>
      </c>
      <c r="S408">
        <f t="shared" si="952"/>
        <v>0</v>
      </c>
      <c r="T408">
        <f t="shared" si="953"/>
        <v>0</v>
      </c>
    </row>
    <row r="409" spans="1:20" x14ac:dyDescent="0.25">
      <c r="A409" s="5"/>
      <c r="C409"/>
      <c r="D409"/>
      <c r="P409">
        <f t="shared" si="949"/>
        <v>0</v>
      </c>
      <c r="Q409">
        <f t="shared" si="950"/>
        <v>0</v>
      </c>
      <c r="R409">
        <f t="shared" si="951"/>
        <v>0</v>
      </c>
      <c r="S409">
        <f t="shared" si="952"/>
        <v>0</v>
      </c>
      <c r="T409">
        <f t="shared" si="953"/>
        <v>0</v>
      </c>
    </row>
    <row r="410" spans="1:20" x14ac:dyDescent="0.25">
      <c r="A410" s="5"/>
      <c r="C410"/>
      <c r="D410"/>
      <c r="P410">
        <f t="shared" si="949"/>
        <v>0</v>
      </c>
      <c r="Q410">
        <f t="shared" si="950"/>
        <v>0</v>
      </c>
      <c r="R410">
        <f t="shared" si="951"/>
        <v>0</v>
      </c>
      <c r="S410">
        <f t="shared" si="952"/>
        <v>0</v>
      </c>
      <c r="T410">
        <f t="shared" si="953"/>
        <v>0</v>
      </c>
    </row>
    <row r="411" spans="1:20" x14ac:dyDescent="0.25">
      <c r="A411" s="5"/>
      <c r="C411"/>
      <c r="D411"/>
      <c r="P411">
        <f t="shared" si="949"/>
        <v>0</v>
      </c>
      <c r="Q411">
        <f t="shared" si="950"/>
        <v>0</v>
      </c>
      <c r="R411">
        <f t="shared" si="951"/>
        <v>0</v>
      </c>
      <c r="S411">
        <f t="shared" si="952"/>
        <v>0</v>
      </c>
      <c r="T411">
        <f t="shared" si="953"/>
        <v>0</v>
      </c>
    </row>
    <row r="412" spans="1:20" x14ac:dyDescent="0.25">
      <c r="A412" s="5"/>
      <c r="C412"/>
      <c r="D412"/>
      <c r="P412">
        <f t="shared" si="949"/>
        <v>0</v>
      </c>
      <c r="Q412">
        <f t="shared" si="950"/>
        <v>0</v>
      </c>
      <c r="R412">
        <f t="shared" si="951"/>
        <v>0</v>
      </c>
      <c r="S412">
        <f t="shared" si="952"/>
        <v>0</v>
      </c>
      <c r="T412">
        <f t="shared" si="953"/>
        <v>0</v>
      </c>
    </row>
    <row r="413" spans="1:20" x14ac:dyDescent="0.25">
      <c r="A413" s="5"/>
      <c r="C413"/>
      <c r="D413"/>
      <c r="P413">
        <f t="shared" si="949"/>
        <v>0</v>
      </c>
      <c r="Q413">
        <f t="shared" si="950"/>
        <v>0</v>
      </c>
      <c r="R413">
        <f t="shared" si="951"/>
        <v>0</v>
      </c>
      <c r="S413">
        <f t="shared" si="952"/>
        <v>0</v>
      </c>
      <c r="T413">
        <f t="shared" si="953"/>
        <v>0</v>
      </c>
    </row>
    <row r="414" spans="1:20" x14ac:dyDescent="0.25">
      <c r="A414" s="5"/>
      <c r="C414"/>
      <c r="D414"/>
      <c r="P414">
        <f t="shared" si="949"/>
        <v>0</v>
      </c>
      <c r="Q414">
        <f t="shared" si="950"/>
        <v>0</v>
      </c>
      <c r="R414">
        <f t="shared" si="951"/>
        <v>0</v>
      </c>
      <c r="S414">
        <f t="shared" si="952"/>
        <v>0</v>
      </c>
      <c r="T414">
        <f t="shared" si="953"/>
        <v>0</v>
      </c>
    </row>
    <row r="415" spans="1:20" x14ac:dyDescent="0.25">
      <c r="A415" s="5"/>
      <c r="C415"/>
      <c r="D415"/>
      <c r="P415">
        <f t="shared" si="949"/>
        <v>0</v>
      </c>
      <c r="Q415">
        <f t="shared" si="950"/>
        <v>0</v>
      </c>
      <c r="R415">
        <f t="shared" si="951"/>
        <v>0</v>
      </c>
      <c r="S415">
        <f t="shared" si="952"/>
        <v>0</v>
      </c>
      <c r="T415">
        <f t="shared" si="953"/>
        <v>0</v>
      </c>
    </row>
    <row r="416" spans="1:20" x14ac:dyDescent="0.25">
      <c r="A416" s="5"/>
      <c r="C416"/>
      <c r="D416"/>
      <c r="P416">
        <f t="shared" si="949"/>
        <v>0</v>
      </c>
      <c r="Q416">
        <f t="shared" si="950"/>
        <v>0</v>
      </c>
      <c r="R416">
        <f t="shared" si="951"/>
        <v>0</v>
      </c>
      <c r="S416">
        <f t="shared" si="952"/>
        <v>0</v>
      </c>
      <c r="T416">
        <f t="shared" si="953"/>
        <v>0</v>
      </c>
    </row>
    <row r="417" spans="1:20" x14ac:dyDescent="0.25">
      <c r="A417" s="5"/>
      <c r="C417"/>
      <c r="D417"/>
      <c r="P417">
        <f t="shared" si="949"/>
        <v>0</v>
      </c>
      <c r="Q417">
        <f t="shared" si="950"/>
        <v>0</v>
      </c>
      <c r="R417">
        <f t="shared" si="951"/>
        <v>0</v>
      </c>
      <c r="S417">
        <f t="shared" si="952"/>
        <v>0</v>
      </c>
      <c r="T417">
        <f t="shared" si="953"/>
        <v>0</v>
      </c>
    </row>
    <row r="418" spans="1:20" x14ac:dyDescent="0.25">
      <c r="A418" s="5"/>
      <c r="C418"/>
      <c r="D418"/>
      <c r="P418">
        <f t="shared" si="949"/>
        <v>0</v>
      </c>
      <c r="Q418">
        <f t="shared" si="950"/>
        <v>0</v>
      </c>
      <c r="R418">
        <f t="shared" si="951"/>
        <v>0</v>
      </c>
      <c r="S418">
        <f t="shared" si="952"/>
        <v>0</v>
      </c>
      <c r="T418">
        <f t="shared" si="953"/>
        <v>0</v>
      </c>
    </row>
    <row r="419" spans="1:20" x14ac:dyDescent="0.25">
      <c r="A419" s="5"/>
      <c r="C419"/>
      <c r="D419"/>
      <c r="P419">
        <f t="shared" si="949"/>
        <v>0</v>
      </c>
      <c r="Q419">
        <f t="shared" si="950"/>
        <v>0</v>
      </c>
      <c r="R419">
        <f t="shared" si="951"/>
        <v>0</v>
      </c>
      <c r="S419">
        <f t="shared" si="952"/>
        <v>0</v>
      </c>
      <c r="T419">
        <f t="shared" si="953"/>
        <v>0</v>
      </c>
    </row>
    <row r="420" spans="1:20" x14ac:dyDescent="0.25">
      <c r="A420" s="5"/>
      <c r="C420"/>
      <c r="D420"/>
      <c r="P420">
        <f t="shared" si="949"/>
        <v>0</v>
      </c>
      <c r="Q420">
        <f t="shared" si="950"/>
        <v>0</v>
      </c>
      <c r="R420">
        <f t="shared" si="951"/>
        <v>0</v>
      </c>
      <c r="S420">
        <f t="shared" si="952"/>
        <v>0</v>
      </c>
      <c r="T420">
        <f t="shared" si="953"/>
        <v>0</v>
      </c>
    </row>
    <row r="421" spans="1:20" x14ac:dyDescent="0.25">
      <c r="A421" s="5"/>
      <c r="C421"/>
      <c r="D421"/>
      <c r="P421">
        <f t="shared" si="949"/>
        <v>0</v>
      </c>
      <c r="Q421">
        <f t="shared" si="950"/>
        <v>0</v>
      </c>
      <c r="R421">
        <f t="shared" si="951"/>
        <v>0</v>
      </c>
      <c r="S421">
        <f t="shared" si="952"/>
        <v>0</v>
      </c>
      <c r="T421">
        <f t="shared" si="953"/>
        <v>0</v>
      </c>
    </row>
    <row r="422" spans="1:20" x14ac:dyDescent="0.25">
      <c r="A422" s="5"/>
      <c r="C422"/>
      <c r="D422"/>
      <c r="P422">
        <f t="shared" si="949"/>
        <v>0</v>
      </c>
      <c r="Q422">
        <f t="shared" si="950"/>
        <v>0</v>
      </c>
      <c r="R422">
        <f t="shared" si="951"/>
        <v>0</v>
      </c>
      <c r="S422">
        <f t="shared" si="952"/>
        <v>0</v>
      </c>
      <c r="T422">
        <f t="shared" si="953"/>
        <v>0</v>
      </c>
    </row>
    <row r="423" spans="1:20" x14ac:dyDescent="0.25">
      <c r="A423" s="5"/>
      <c r="C423"/>
      <c r="D423"/>
      <c r="P423">
        <f t="shared" si="949"/>
        <v>0</v>
      </c>
      <c r="Q423">
        <f t="shared" si="950"/>
        <v>0</v>
      </c>
      <c r="R423">
        <f t="shared" si="951"/>
        <v>0</v>
      </c>
      <c r="S423">
        <f t="shared" si="952"/>
        <v>0</v>
      </c>
      <c r="T423">
        <f t="shared" si="953"/>
        <v>0</v>
      </c>
    </row>
    <row r="424" spans="1:20" x14ac:dyDescent="0.25">
      <c r="A424" s="5"/>
      <c r="C424"/>
      <c r="D424"/>
      <c r="P424">
        <f t="shared" si="949"/>
        <v>0</v>
      </c>
      <c r="Q424">
        <f t="shared" si="950"/>
        <v>0</v>
      </c>
      <c r="R424">
        <f t="shared" si="951"/>
        <v>0</v>
      </c>
      <c r="S424">
        <f t="shared" si="952"/>
        <v>0</v>
      </c>
      <c r="T424">
        <f t="shared" si="953"/>
        <v>0</v>
      </c>
    </row>
    <row r="425" spans="1:20" x14ac:dyDescent="0.25">
      <c r="A425" s="5"/>
      <c r="C425"/>
      <c r="D425"/>
      <c r="P425">
        <f t="shared" si="949"/>
        <v>0</v>
      </c>
      <c r="Q425">
        <f t="shared" si="950"/>
        <v>0</v>
      </c>
      <c r="R425">
        <f t="shared" si="951"/>
        <v>0</v>
      </c>
      <c r="S425">
        <f t="shared" si="952"/>
        <v>0</v>
      </c>
      <c r="T425">
        <f t="shared" si="953"/>
        <v>0</v>
      </c>
    </row>
    <row r="426" spans="1:20" x14ac:dyDescent="0.25">
      <c r="A426" s="5"/>
      <c r="C426"/>
      <c r="D426"/>
      <c r="P426">
        <f t="shared" si="949"/>
        <v>0</v>
      </c>
      <c r="Q426">
        <f t="shared" si="950"/>
        <v>0</v>
      </c>
      <c r="R426">
        <f t="shared" si="951"/>
        <v>0</v>
      </c>
      <c r="S426">
        <f t="shared" si="952"/>
        <v>0</v>
      </c>
      <c r="T426">
        <f t="shared" si="953"/>
        <v>0</v>
      </c>
    </row>
    <row r="427" spans="1:20" x14ac:dyDescent="0.25">
      <c r="A427" s="5"/>
      <c r="C427"/>
      <c r="D427"/>
      <c r="P427">
        <f t="shared" si="949"/>
        <v>0</v>
      </c>
      <c r="Q427">
        <f t="shared" si="950"/>
        <v>0</v>
      </c>
      <c r="R427">
        <f t="shared" si="951"/>
        <v>0</v>
      </c>
      <c r="S427">
        <f t="shared" si="952"/>
        <v>0</v>
      </c>
      <c r="T427">
        <f t="shared" si="953"/>
        <v>0</v>
      </c>
    </row>
    <row r="428" spans="1:20" x14ac:dyDescent="0.25">
      <c r="A428" s="5"/>
      <c r="C428"/>
      <c r="D428"/>
      <c r="P428">
        <f t="shared" si="949"/>
        <v>0</v>
      </c>
      <c r="Q428">
        <f t="shared" si="950"/>
        <v>0</v>
      </c>
      <c r="R428">
        <f t="shared" si="951"/>
        <v>0</v>
      </c>
      <c r="S428">
        <f t="shared" si="952"/>
        <v>0</v>
      </c>
      <c r="T428">
        <f t="shared" si="953"/>
        <v>0</v>
      </c>
    </row>
    <row r="429" spans="1:20" x14ac:dyDescent="0.25">
      <c r="A429" s="5"/>
      <c r="C429"/>
      <c r="D429"/>
      <c r="P429">
        <f t="shared" si="949"/>
        <v>0</v>
      </c>
      <c r="Q429">
        <f t="shared" si="950"/>
        <v>0</v>
      </c>
      <c r="R429">
        <f t="shared" si="951"/>
        <v>0</v>
      </c>
      <c r="S429">
        <f t="shared" si="952"/>
        <v>0</v>
      </c>
      <c r="T429">
        <f t="shared" si="953"/>
        <v>0</v>
      </c>
    </row>
    <row r="430" spans="1:20" x14ac:dyDescent="0.25">
      <c r="A430" s="5"/>
      <c r="C430"/>
      <c r="D430"/>
      <c r="P430">
        <f t="shared" si="949"/>
        <v>0</v>
      </c>
      <c r="Q430">
        <f t="shared" si="950"/>
        <v>0</v>
      </c>
      <c r="R430">
        <f t="shared" si="951"/>
        <v>0</v>
      </c>
      <c r="S430">
        <f t="shared" si="952"/>
        <v>0</v>
      </c>
      <c r="T430">
        <f t="shared" si="953"/>
        <v>0</v>
      </c>
    </row>
    <row r="431" spans="1:20" x14ac:dyDescent="0.25">
      <c r="A431" s="5"/>
      <c r="C431"/>
      <c r="D431"/>
      <c r="P431">
        <f t="shared" si="949"/>
        <v>0</v>
      </c>
      <c r="Q431">
        <f t="shared" si="950"/>
        <v>0</v>
      </c>
      <c r="R431">
        <f t="shared" si="951"/>
        <v>0</v>
      </c>
      <c r="S431">
        <f t="shared" si="952"/>
        <v>0</v>
      </c>
      <c r="T431">
        <f t="shared" si="953"/>
        <v>0</v>
      </c>
    </row>
    <row r="432" spans="1:20" x14ac:dyDescent="0.25">
      <c r="A432" s="5"/>
      <c r="C432"/>
      <c r="D432"/>
      <c r="P432">
        <f t="shared" si="949"/>
        <v>0</v>
      </c>
      <c r="Q432">
        <f t="shared" si="950"/>
        <v>0</v>
      </c>
      <c r="R432">
        <f t="shared" si="951"/>
        <v>0</v>
      </c>
      <c r="S432">
        <f t="shared" si="952"/>
        <v>0</v>
      </c>
      <c r="T432">
        <f t="shared" si="953"/>
        <v>0</v>
      </c>
    </row>
    <row r="433" spans="1:20" x14ac:dyDescent="0.25">
      <c r="A433" s="5"/>
      <c r="C433"/>
      <c r="D433"/>
      <c r="P433">
        <f t="shared" si="949"/>
        <v>0</v>
      </c>
      <c r="Q433">
        <f t="shared" si="950"/>
        <v>0</v>
      </c>
      <c r="R433">
        <f t="shared" si="951"/>
        <v>0</v>
      </c>
      <c r="S433">
        <f t="shared" si="952"/>
        <v>0</v>
      </c>
      <c r="T433">
        <f t="shared" si="953"/>
        <v>0</v>
      </c>
    </row>
    <row r="434" spans="1:20" x14ac:dyDescent="0.25">
      <c r="A434" s="5"/>
      <c r="C434"/>
      <c r="D434"/>
      <c r="P434">
        <f t="shared" si="949"/>
        <v>0</v>
      </c>
      <c r="Q434">
        <f t="shared" si="950"/>
        <v>0</v>
      </c>
      <c r="R434">
        <f t="shared" si="951"/>
        <v>0</v>
      </c>
      <c r="S434">
        <f t="shared" si="952"/>
        <v>0</v>
      </c>
      <c r="T434">
        <f t="shared" si="953"/>
        <v>0</v>
      </c>
    </row>
    <row r="435" spans="1:20" x14ac:dyDescent="0.25">
      <c r="A435" s="5"/>
      <c r="C435"/>
      <c r="D435"/>
      <c r="P435">
        <f t="shared" si="949"/>
        <v>0</v>
      </c>
      <c r="Q435">
        <f t="shared" si="950"/>
        <v>0</v>
      </c>
      <c r="R435">
        <f t="shared" si="951"/>
        <v>0</v>
      </c>
      <c r="S435">
        <f t="shared" si="952"/>
        <v>0</v>
      </c>
      <c r="T435">
        <f t="shared" si="953"/>
        <v>0</v>
      </c>
    </row>
    <row r="436" spans="1:20" x14ac:dyDescent="0.25">
      <c r="A436" s="5"/>
      <c r="C436"/>
      <c r="D436"/>
      <c r="P436">
        <f t="shared" si="949"/>
        <v>0</v>
      </c>
      <c r="Q436">
        <f t="shared" si="950"/>
        <v>0</v>
      </c>
      <c r="R436">
        <f t="shared" si="951"/>
        <v>0</v>
      </c>
      <c r="S436">
        <f t="shared" si="952"/>
        <v>0</v>
      </c>
      <c r="T436">
        <f t="shared" si="953"/>
        <v>0</v>
      </c>
    </row>
    <row r="437" spans="1:20" x14ac:dyDescent="0.25">
      <c r="A437" s="5"/>
      <c r="C437"/>
      <c r="D437"/>
      <c r="P437">
        <f t="shared" si="949"/>
        <v>0</v>
      </c>
      <c r="Q437">
        <f t="shared" si="950"/>
        <v>0</v>
      </c>
      <c r="R437">
        <f t="shared" si="951"/>
        <v>0</v>
      </c>
      <c r="S437">
        <f t="shared" si="952"/>
        <v>0</v>
      </c>
      <c r="T437">
        <f t="shared" si="953"/>
        <v>0</v>
      </c>
    </row>
    <row r="438" spans="1:20" x14ac:dyDescent="0.25">
      <c r="A438" s="5"/>
      <c r="C438"/>
      <c r="D438"/>
      <c r="P438">
        <f t="shared" si="949"/>
        <v>0</v>
      </c>
      <c r="Q438">
        <f t="shared" si="950"/>
        <v>0</v>
      </c>
      <c r="R438">
        <f t="shared" si="951"/>
        <v>0</v>
      </c>
      <c r="S438">
        <f t="shared" si="952"/>
        <v>0</v>
      </c>
      <c r="T438">
        <f t="shared" si="953"/>
        <v>0</v>
      </c>
    </row>
    <row r="439" spans="1:20" x14ac:dyDescent="0.25">
      <c r="A439" s="5"/>
      <c r="C439"/>
      <c r="D439"/>
      <c r="P439">
        <f t="shared" si="949"/>
        <v>0</v>
      </c>
      <c r="Q439">
        <f t="shared" si="950"/>
        <v>0</v>
      </c>
      <c r="R439">
        <f t="shared" si="951"/>
        <v>0</v>
      </c>
      <c r="S439">
        <f t="shared" si="952"/>
        <v>0</v>
      </c>
      <c r="T439">
        <f t="shared" si="953"/>
        <v>0</v>
      </c>
    </row>
    <row r="440" spans="1:20" x14ac:dyDescent="0.25">
      <c r="A440" s="5"/>
      <c r="C440"/>
      <c r="D440"/>
      <c r="P440">
        <f t="shared" si="949"/>
        <v>0</v>
      </c>
      <c r="Q440">
        <f t="shared" si="950"/>
        <v>0</v>
      </c>
      <c r="R440">
        <f t="shared" si="951"/>
        <v>0</v>
      </c>
      <c r="S440">
        <f t="shared" si="952"/>
        <v>0</v>
      </c>
      <c r="T440">
        <f t="shared" si="953"/>
        <v>0</v>
      </c>
    </row>
    <row r="441" spans="1:20" x14ac:dyDescent="0.25">
      <c r="A441" s="5"/>
      <c r="C441"/>
      <c r="D441"/>
      <c r="P441">
        <f t="shared" si="949"/>
        <v>0</v>
      </c>
      <c r="Q441">
        <f t="shared" si="950"/>
        <v>0</v>
      </c>
      <c r="R441">
        <f t="shared" si="951"/>
        <v>0</v>
      </c>
      <c r="S441">
        <f t="shared" si="952"/>
        <v>0</v>
      </c>
      <c r="T441">
        <f t="shared" si="953"/>
        <v>0</v>
      </c>
    </row>
    <row r="442" spans="1:20" x14ac:dyDescent="0.25">
      <c r="A442" s="5"/>
      <c r="C442"/>
      <c r="D442"/>
      <c r="P442">
        <f t="shared" si="949"/>
        <v>0</v>
      </c>
      <c r="Q442">
        <f t="shared" si="950"/>
        <v>0</v>
      </c>
      <c r="R442">
        <f t="shared" si="951"/>
        <v>0</v>
      </c>
      <c r="S442">
        <f t="shared" si="952"/>
        <v>0</v>
      </c>
      <c r="T442">
        <f t="shared" si="953"/>
        <v>0</v>
      </c>
    </row>
    <row r="443" spans="1:20" x14ac:dyDescent="0.25">
      <c r="A443" s="5"/>
      <c r="C443"/>
      <c r="D443"/>
      <c r="P443">
        <f t="shared" si="949"/>
        <v>0</v>
      </c>
      <c r="Q443">
        <f t="shared" si="950"/>
        <v>0</v>
      </c>
      <c r="R443">
        <f t="shared" si="951"/>
        <v>0</v>
      </c>
      <c r="S443">
        <f t="shared" si="952"/>
        <v>0</v>
      </c>
      <c r="T443">
        <f t="shared" si="953"/>
        <v>0</v>
      </c>
    </row>
    <row r="444" spans="1:20" x14ac:dyDescent="0.25">
      <c r="A444" s="5"/>
      <c r="C444"/>
      <c r="D444"/>
      <c r="P444">
        <f t="shared" si="949"/>
        <v>0</v>
      </c>
      <c r="Q444">
        <f t="shared" si="950"/>
        <v>0</v>
      </c>
      <c r="R444">
        <f t="shared" si="951"/>
        <v>0</v>
      </c>
      <c r="S444">
        <f t="shared" si="952"/>
        <v>0</v>
      </c>
      <c r="T444">
        <f t="shared" si="953"/>
        <v>0</v>
      </c>
    </row>
    <row r="445" spans="1:20" x14ac:dyDescent="0.25">
      <c r="A445" s="5"/>
      <c r="C445"/>
      <c r="D445"/>
      <c r="P445">
        <f t="shared" si="949"/>
        <v>0</v>
      </c>
      <c r="Q445">
        <f t="shared" si="950"/>
        <v>0</v>
      </c>
      <c r="R445">
        <f t="shared" si="951"/>
        <v>0</v>
      </c>
      <c r="S445">
        <f t="shared" si="952"/>
        <v>0</v>
      </c>
      <c r="T445">
        <f t="shared" si="953"/>
        <v>0</v>
      </c>
    </row>
    <row r="446" spans="1:20" x14ac:dyDescent="0.25">
      <c r="A446" s="5"/>
      <c r="C446"/>
      <c r="D446"/>
      <c r="P446">
        <f t="shared" si="949"/>
        <v>0</v>
      </c>
      <c r="Q446">
        <f t="shared" si="950"/>
        <v>0</v>
      </c>
      <c r="R446">
        <f t="shared" si="951"/>
        <v>0</v>
      </c>
      <c r="S446">
        <f t="shared" si="952"/>
        <v>0</v>
      </c>
      <c r="T446">
        <f t="shared" si="953"/>
        <v>0</v>
      </c>
    </row>
    <row r="447" spans="1:20" x14ac:dyDescent="0.25">
      <c r="A447" s="5"/>
      <c r="C447"/>
      <c r="D447"/>
      <c r="P447">
        <f t="shared" si="949"/>
        <v>0</v>
      </c>
      <c r="Q447">
        <f t="shared" si="950"/>
        <v>0</v>
      </c>
      <c r="R447">
        <f t="shared" si="951"/>
        <v>0</v>
      </c>
      <c r="S447">
        <f t="shared" si="952"/>
        <v>0</v>
      </c>
      <c r="T447">
        <f t="shared" si="953"/>
        <v>0</v>
      </c>
    </row>
    <row r="448" spans="1:20" x14ac:dyDescent="0.25">
      <c r="A448" s="5"/>
      <c r="C448"/>
      <c r="D448"/>
      <c r="P448">
        <f t="shared" si="949"/>
        <v>0</v>
      </c>
      <c r="Q448">
        <f t="shared" si="950"/>
        <v>0</v>
      </c>
      <c r="R448">
        <f t="shared" si="951"/>
        <v>0</v>
      </c>
      <c r="S448">
        <f t="shared" si="952"/>
        <v>0</v>
      </c>
      <c r="T448">
        <f t="shared" si="953"/>
        <v>0</v>
      </c>
    </row>
    <row r="449" spans="1:20" x14ac:dyDescent="0.25">
      <c r="A449" s="5"/>
      <c r="C449"/>
      <c r="D449"/>
      <c r="P449">
        <f t="shared" ref="P449:P512" si="954">IF(C449=D449,0,((E449-D449)-(C449-E449))/(C449-D449))</f>
        <v>0</v>
      </c>
      <c r="Q449">
        <f t="shared" ref="Q449:Q512" si="955">F449*P449</f>
        <v>0</v>
      </c>
      <c r="R449">
        <f t="shared" ref="R449:R512" si="956">R450+Q449</f>
        <v>0</v>
      </c>
      <c r="S449">
        <f t="shared" ref="S449:S512" si="957">R449/100000</f>
        <v>0</v>
      </c>
      <c r="T449">
        <f t="shared" ref="T449:T512" si="958">S449/1000</f>
        <v>0</v>
      </c>
    </row>
    <row r="450" spans="1:20" x14ac:dyDescent="0.25">
      <c r="A450" s="5"/>
      <c r="C450"/>
      <c r="D450"/>
      <c r="P450">
        <f t="shared" si="954"/>
        <v>0</v>
      </c>
      <c r="Q450">
        <f t="shared" si="955"/>
        <v>0</v>
      </c>
      <c r="R450">
        <f t="shared" si="956"/>
        <v>0</v>
      </c>
      <c r="S450">
        <f t="shared" si="957"/>
        <v>0</v>
      </c>
      <c r="T450">
        <f t="shared" si="958"/>
        <v>0</v>
      </c>
    </row>
    <row r="451" spans="1:20" x14ac:dyDescent="0.25">
      <c r="A451" s="5"/>
      <c r="C451"/>
      <c r="D451"/>
      <c r="P451">
        <f t="shared" si="954"/>
        <v>0</v>
      </c>
      <c r="Q451">
        <f t="shared" si="955"/>
        <v>0</v>
      </c>
      <c r="R451">
        <f t="shared" si="956"/>
        <v>0</v>
      </c>
      <c r="S451">
        <f t="shared" si="957"/>
        <v>0</v>
      </c>
      <c r="T451">
        <f t="shared" si="958"/>
        <v>0</v>
      </c>
    </row>
    <row r="452" spans="1:20" x14ac:dyDescent="0.25">
      <c r="A452" s="5"/>
      <c r="C452"/>
      <c r="D452"/>
      <c r="P452">
        <f t="shared" si="954"/>
        <v>0</v>
      </c>
      <c r="Q452">
        <f t="shared" si="955"/>
        <v>0</v>
      </c>
      <c r="R452">
        <f t="shared" si="956"/>
        <v>0</v>
      </c>
      <c r="S452">
        <f t="shared" si="957"/>
        <v>0</v>
      </c>
      <c r="T452">
        <f t="shared" si="958"/>
        <v>0</v>
      </c>
    </row>
    <row r="453" spans="1:20" x14ac:dyDescent="0.25">
      <c r="A453" s="5"/>
      <c r="C453"/>
      <c r="D453"/>
      <c r="P453">
        <f t="shared" si="954"/>
        <v>0</v>
      </c>
      <c r="Q453">
        <f t="shared" si="955"/>
        <v>0</v>
      </c>
      <c r="R453">
        <f t="shared" si="956"/>
        <v>0</v>
      </c>
      <c r="S453">
        <f t="shared" si="957"/>
        <v>0</v>
      </c>
      <c r="T453">
        <f t="shared" si="958"/>
        <v>0</v>
      </c>
    </row>
    <row r="454" spans="1:20" x14ac:dyDescent="0.25">
      <c r="A454" s="5"/>
      <c r="C454"/>
      <c r="D454"/>
      <c r="P454">
        <f t="shared" si="954"/>
        <v>0</v>
      </c>
      <c r="Q454">
        <f t="shared" si="955"/>
        <v>0</v>
      </c>
      <c r="R454">
        <f t="shared" si="956"/>
        <v>0</v>
      </c>
      <c r="S454">
        <f t="shared" si="957"/>
        <v>0</v>
      </c>
      <c r="T454">
        <f t="shared" si="958"/>
        <v>0</v>
      </c>
    </row>
    <row r="455" spans="1:20" x14ac:dyDescent="0.25">
      <c r="A455" s="5"/>
      <c r="C455"/>
      <c r="D455"/>
      <c r="P455">
        <f t="shared" si="954"/>
        <v>0</v>
      </c>
      <c r="Q455">
        <f t="shared" si="955"/>
        <v>0</v>
      </c>
      <c r="R455">
        <f t="shared" si="956"/>
        <v>0</v>
      </c>
      <c r="S455">
        <f t="shared" si="957"/>
        <v>0</v>
      </c>
      <c r="T455">
        <f t="shared" si="958"/>
        <v>0</v>
      </c>
    </row>
    <row r="456" spans="1:20" x14ac:dyDescent="0.25">
      <c r="A456" s="5"/>
      <c r="C456"/>
      <c r="D456"/>
      <c r="P456">
        <f t="shared" si="954"/>
        <v>0</v>
      </c>
      <c r="Q456">
        <f t="shared" si="955"/>
        <v>0</v>
      </c>
      <c r="R456">
        <f t="shared" si="956"/>
        <v>0</v>
      </c>
      <c r="S456">
        <f t="shared" si="957"/>
        <v>0</v>
      </c>
      <c r="T456">
        <f t="shared" si="958"/>
        <v>0</v>
      </c>
    </row>
    <row r="457" spans="1:20" x14ac:dyDescent="0.25">
      <c r="A457" s="5"/>
      <c r="C457"/>
      <c r="D457"/>
      <c r="P457">
        <f t="shared" si="954"/>
        <v>0</v>
      </c>
      <c r="Q457">
        <f t="shared" si="955"/>
        <v>0</v>
      </c>
      <c r="R457">
        <f t="shared" si="956"/>
        <v>0</v>
      </c>
      <c r="S457">
        <f t="shared" si="957"/>
        <v>0</v>
      </c>
      <c r="T457">
        <f t="shared" si="958"/>
        <v>0</v>
      </c>
    </row>
    <row r="458" spans="1:20" x14ac:dyDescent="0.25">
      <c r="A458" s="5"/>
      <c r="C458"/>
      <c r="D458"/>
      <c r="P458">
        <f t="shared" si="954"/>
        <v>0</v>
      </c>
      <c r="Q458">
        <f t="shared" si="955"/>
        <v>0</v>
      </c>
      <c r="R458">
        <f t="shared" si="956"/>
        <v>0</v>
      </c>
      <c r="S458">
        <f t="shared" si="957"/>
        <v>0</v>
      </c>
      <c r="T458">
        <f t="shared" si="958"/>
        <v>0</v>
      </c>
    </row>
    <row r="459" spans="1:20" x14ac:dyDescent="0.25">
      <c r="A459" s="5"/>
      <c r="C459"/>
      <c r="D459"/>
      <c r="P459">
        <f t="shared" si="954"/>
        <v>0</v>
      </c>
      <c r="Q459">
        <f t="shared" si="955"/>
        <v>0</v>
      </c>
      <c r="R459">
        <f t="shared" si="956"/>
        <v>0</v>
      </c>
      <c r="S459">
        <f t="shared" si="957"/>
        <v>0</v>
      </c>
      <c r="T459">
        <f t="shared" si="958"/>
        <v>0</v>
      </c>
    </row>
    <row r="460" spans="1:20" x14ac:dyDescent="0.25">
      <c r="A460" s="5"/>
      <c r="C460"/>
      <c r="D460"/>
      <c r="P460">
        <f t="shared" si="954"/>
        <v>0</v>
      </c>
      <c r="Q460">
        <f t="shared" si="955"/>
        <v>0</v>
      </c>
      <c r="R460">
        <f t="shared" si="956"/>
        <v>0</v>
      </c>
      <c r="S460">
        <f t="shared" si="957"/>
        <v>0</v>
      </c>
      <c r="T460">
        <f t="shared" si="958"/>
        <v>0</v>
      </c>
    </row>
    <row r="461" spans="1:20" x14ac:dyDescent="0.25">
      <c r="A461" s="5"/>
      <c r="C461"/>
      <c r="D461"/>
      <c r="P461">
        <f t="shared" si="954"/>
        <v>0</v>
      </c>
      <c r="Q461">
        <f t="shared" si="955"/>
        <v>0</v>
      </c>
      <c r="R461">
        <f t="shared" si="956"/>
        <v>0</v>
      </c>
      <c r="S461">
        <f t="shared" si="957"/>
        <v>0</v>
      </c>
      <c r="T461">
        <f t="shared" si="958"/>
        <v>0</v>
      </c>
    </row>
    <row r="462" spans="1:20" x14ac:dyDescent="0.25">
      <c r="A462" s="5"/>
      <c r="C462"/>
      <c r="D462"/>
      <c r="P462">
        <f t="shared" si="954"/>
        <v>0</v>
      </c>
      <c r="Q462">
        <f t="shared" si="955"/>
        <v>0</v>
      </c>
      <c r="R462">
        <f t="shared" si="956"/>
        <v>0</v>
      </c>
      <c r="S462">
        <f t="shared" si="957"/>
        <v>0</v>
      </c>
      <c r="T462">
        <f t="shared" si="958"/>
        <v>0</v>
      </c>
    </row>
    <row r="463" spans="1:20" x14ac:dyDescent="0.25">
      <c r="A463" s="5"/>
      <c r="C463"/>
      <c r="D463"/>
      <c r="P463">
        <f t="shared" si="954"/>
        <v>0</v>
      </c>
      <c r="Q463">
        <f t="shared" si="955"/>
        <v>0</v>
      </c>
      <c r="R463">
        <f t="shared" si="956"/>
        <v>0</v>
      </c>
      <c r="S463">
        <f t="shared" si="957"/>
        <v>0</v>
      </c>
      <c r="T463">
        <f t="shared" si="958"/>
        <v>0</v>
      </c>
    </row>
    <row r="464" spans="1:20" x14ac:dyDescent="0.25">
      <c r="A464" s="5"/>
      <c r="C464"/>
      <c r="D464"/>
      <c r="P464">
        <f t="shared" si="954"/>
        <v>0</v>
      </c>
      <c r="Q464">
        <f t="shared" si="955"/>
        <v>0</v>
      </c>
      <c r="R464">
        <f t="shared" si="956"/>
        <v>0</v>
      </c>
      <c r="S464">
        <f t="shared" si="957"/>
        <v>0</v>
      </c>
      <c r="T464">
        <f t="shared" si="958"/>
        <v>0</v>
      </c>
    </row>
    <row r="465" spans="1:20" x14ac:dyDescent="0.25">
      <c r="A465" s="5"/>
      <c r="C465"/>
      <c r="D465"/>
      <c r="P465">
        <f t="shared" si="954"/>
        <v>0</v>
      </c>
      <c r="Q465">
        <f t="shared" si="955"/>
        <v>0</v>
      </c>
      <c r="R465">
        <f t="shared" si="956"/>
        <v>0</v>
      </c>
      <c r="S465">
        <f t="shared" si="957"/>
        <v>0</v>
      </c>
      <c r="T465">
        <f t="shared" si="958"/>
        <v>0</v>
      </c>
    </row>
    <row r="466" spans="1:20" x14ac:dyDescent="0.25">
      <c r="A466" s="5"/>
      <c r="C466"/>
      <c r="D466"/>
      <c r="P466">
        <f t="shared" si="954"/>
        <v>0</v>
      </c>
      <c r="Q466">
        <f t="shared" si="955"/>
        <v>0</v>
      </c>
      <c r="R466">
        <f t="shared" si="956"/>
        <v>0</v>
      </c>
      <c r="S466">
        <f t="shared" si="957"/>
        <v>0</v>
      </c>
      <c r="T466">
        <f t="shared" si="958"/>
        <v>0</v>
      </c>
    </row>
    <row r="467" spans="1:20" x14ac:dyDescent="0.25">
      <c r="A467" s="5"/>
      <c r="C467"/>
      <c r="D467"/>
      <c r="P467">
        <f t="shared" si="954"/>
        <v>0</v>
      </c>
      <c r="Q467">
        <f t="shared" si="955"/>
        <v>0</v>
      </c>
      <c r="R467">
        <f t="shared" si="956"/>
        <v>0</v>
      </c>
      <c r="S467">
        <f t="shared" si="957"/>
        <v>0</v>
      </c>
      <c r="T467">
        <f t="shared" si="958"/>
        <v>0</v>
      </c>
    </row>
    <row r="468" spans="1:20" x14ac:dyDescent="0.25">
      <c r="A468" s="5"/>
      <c r="C468"/>
      <c r="D468"/>
      <c r="P468">
        <f t="shared" si="954"/>
        <v>0</v>
      </c>
      <c r="Q468">
        <f t="shared" si="955"/>
        <v>0</v>
      </c>
      <c r="R468">
        <f t="shared" si="956"/>
        <v>0</v>
      </c>
      <c r="S468">
        <f t="shared" si="957"/>
        <v>0</v>
      </c>
      <c r="T468">
        <f t="shared" si="958"/>
        <v>0</v>
      </c>
    </row>
    <row r="469" spans="1:20" x14ac:dyDescent="0.25">
      <c r="A469" s="5"/>
      <c r="C469"/>
      <c r="D469"/>
      <c r="P469">
        <f t="shared" si="954"/>
        <v>0</v>
      </c>
      <c r="Q469">
        <f t="shared" si="955"/>
        <v>0</v>
      </c>
      <c r="R469">
        <f t="shared" si="956"/>
        <v>0</v>
      </c>
      <c r="S469">
        <f t="shared" si="957"/>
        <v>0</v>
      </c>
      <c r="T469">
        <f t="shared" si="958"/>
        <v>0</v>
      </c>
    </row>
    <row r="470" spans="1:20" x14ac:dyDescent="0.25">
      <c r="A470" s="5"/>
      <c r="C470"/>
      <c r="D470"/>
      <c r="P470">
        <f t="shared" si="954"/>
        <v>0</v>
      </c>
      <c r="Q470">
        <f t="shared" si="955"/>
        <v>0</v>
      </c>
      <c r="R470">
        <f t="shared" si="956"/>
        <v>0</v>
      </c>
      <c r="S470">
        <f t="shared" si="957"/>
        <v>0</v>
      </c>
      <c r="T470">
        <f t="shared" si="958"/>
        <v>0</v>
      </c>
    </row>
    <row r="471" spans="1:20" x14ac:dyDescent="0.25">
      <c r="A471" s="5"/>
      <c r="C471"/>
      <c r="D471"/>
      <c r="P471">
        <f t="shared" si="954"/>
        <v>0</v>
      </c>
      <c r="Q471">
        <f t="shared" si="955"/>
        <v>0</v>
      </c>
      <c r="R471">
        <f t="shared" si="956"/>
        <v>0</v>
      </c>
      <c r="S471">
        <f t="shared" si="957"/>
        <v>0</v>
      </c>
      <c r="T471">
        <f t="shared" si="958"/>
        <v>0</v>
      </c>
    </row>
    <row r="472" spans="1:20" x14ac:dyDescent="0.25">
      <c r="A472" s="5"/>
      <c r="C472"/>
      <c r="D472"/>
      <c r="P472">
        <f t="shared" si="954"/>
        <v>0</v>
      </c>
      <c r="Q472">
        <f t="shared" si="955"/>
        <v>0</v>
      </c>
      <c r="R472">
        <f t="shared" si="956"/>
        <v>0</v>
      </c>
      <c r="S472">
        <f t="shared" si="957"/>
        <v>0</v>
      </c>
      <c r="T472">
        <f t="shared" si="958"/>
        <v>0</v>
      </c>
    </row>
    <row r="473" spans="1:20" x14ac:dyDescent="0.25">
      <c r="A473" s="5"/>
      <c r="C473"/>
      <c r="D473"/>
      <c r="P473">
        <f t="shared" si="954"/>
        <v>0</v>
      </c>
      <c r="Q473">
        <f t="shared" si="955"/>
        <v>0</v>
      </c>
      <c r="R473">
        <f t="shared" si="956"/>
        <v>0</v>
      </c>
      <c r="S473">
        <f t="shared" si="957"/>
        <v>0</v>
      </c>
      <c r="T473">
        <f t="shared" si="958"/>
        <v>0</v>
      </c>
    </row>
    <row r="474" spans="1:20" x14ac:dyDescent="0.25">
      <c r="A474" s="5"/>
      <c r="C474"/>
      <c r="D474"/>
      <c r="P474">
        <f t="shared" si="954"/>
        <v>0</v>
      </c>
      <c r="Q474">
        <f t="shared" si="955"/>
        <v>0</v>
      </c>
      <c r="R474">
        <f t="shared" si="956"/>
        <v>0</v>
      </c>
      <c r="S474">
        <f t="shared" si="957"/>
        <v>0</v>
      </c>
      <c r="T474">
        <f t="shared" si="958"/>
        <v>0</v>
      </c>
    </row>
    <row r="475" spans="1:20" x14ac:dyDescent="0.25">
      <c r="A475" s="5"/>
      <c r="C475"/>
      <c r="D475"/>
      <c r="P475">
        <f t="shared" si="954"/>
        <v>0</v>
      </c>
      <c r="Q475">
        <f t="shared" si="955"/>
        <v>0</v>
      </c>
      <c r="R475">
        <f t="shared" si="956"/>
        <v>0</v>
      </c>
      <c r="S475">
        <f t="shared" si="957"/>
        <v>0</v>
      </c>
      <c r="T475">
        <f t="shared" si="958"/>
        <v>0</v>
      </c>
    </row>
    <row r="476" spans="1:20" x14ac:dyDescent="0.25">
      <c r="A476" s="5"/>
      <c r="C476"/>
      <c r="D476"/>
      <c r="P476">
        <f t="shared" si="954"/>
        <v>0</v>
      </c>
      <c r="Q476">
        <f t="shared" si="955"/>
        <v>0</v>
      </c>
      <c r="R476">
        <f t="shared" si="956"/>
        <v>0</v>
      </c>
      <c r="S476">
        <f t="shared" si="957"/>
        <v>0</v>
      </c>
      <c r="T476">
        <f t="shared" si="958"/>
        <v>0</v>
      </c>
    </row>
    <row r="477" spans="1:20" x14ac:dyDescent="0.25">
      <c r="A477" s="5"/>
      <c r="C477"/>
      <c r="D477"/>
      <c r="P477">
        <f t="shared" si="954"/>
        <v>0</v>
      </c>
      <c r="Q477">
        <f t="shared" si="955"/>
        <v>0</v>
      </c>
      <c r="R477">
        <f t="shared" si="956"/>
        <v>0</v>
      </c>
      <c r="S477">
        <f t="shared" si="957"/>
        <v>0</v>
      </c>
      <c r="T477">
        <f t="shared" si="958"/>
        <v>0</v>
      </c>
    </row>
    <row r="478" spans="1:20" x14ac:dyDescent="0.25">
      <c r="A478" s="5"/>
      <c r="C478"/>
      <c r="D478"/>
      <c r="P478">
        <f t="shared" si="954"/>
        <v>0</v>
      </c>
      <c r="Q478">
        <f t="shared" si="955"/>
        <v>0</v>
      </c>
      <c r="R478">
        <f t="shared" si="956"/>
        <v>0</v>
      </c>
      <c r="S478">
        <f t="shared" si="957"/>
        <v>0</v>
      </c>
      <c r="T478">
        <f t="shared" si="958"/>
        <v>0</v>
      </c>
    </row>
    <row r="479" spans="1:20" x14ac:dyDescent="0.25">
      <c r="A479" s="5"/>
      <c r="C479"/>
      <c r="D479"/>
      <c r="P479">
        <f t="shared" si="954"/>
        <v>0</v>
      </c>
      <c r="Q479">
        <f t="shared" si="955"/>
        <v>0</v>
      </c>
      <c r="R479">
        <f t="shared" si="956"/>
        <v>0</v>
      </c>
      <c r="S479">
        <f t="shared" si="957"/>
        <v>0</v>
      </c>
      <c r="T479">
        <f t="shared" si="958"/>
        <v>0</v>
      </c>
    </row>
    <row r="480" spans="1:20" x14ac:dyDescent="0.25">
      <c r="A480" s="5"/>
      <c r="C480"/>
      <c r="D480"/>
      <c r="P480">
        <f t="shared" si="954"/>
        <v>0</v>
      </c>
      <c r="Q480">
        <f t="shared" si="955"/>
        <v>0</v>
      </c>
      <c r="R480">
        <f t="shared" si="956"/>
        <v>0</v>
      </c>
      <c r="S480">
        <f t="shared" si="957"/>
        <v>0</v>
      </c>
      <c r="T480">
        <f t="shared" si="958"/>
        <v>0</v>
      </c>
    </row>
    <row r="481" spans="1:20" x14ac:dyDescent="0.25">
      <c r="A481" s="5"/>
      <c r="C481"/>
      <c r="D481"/>
      <c r="P481">
        <f t="shared" si="954"/>
        <v>0</v>
      </c>
      <c r="Q481">
        <f t="shared" si="955"/>
        <v>0</v>
      </c>
      <c r="R481">
        <f t="shared" si="956"/>
        <v>0</v>
      </c>
      <c r="S481">
        <f t="shared" si="957"/>
        <v>0</v>
      </c>
      <c r="T481">
        <f t="shared" si="958"/>
        <v>0</v>
      </c>
    </row>
    <row r="482" spans="1:20" x14ac:dyDescent="0.25">
      <c r="A482" s="5"/>
      <c r="C482"/>
      <c r="D482"/>
      <c r="P482">
        <f t="shared" si="954"/>
        <v>0</v>
      </c>
      <c r="Q482">
        <f t="shared" si="955"/>
        <v>0</v>
      </c>
      <c r="R482">
        <f t="shared" si="956"/>
        <v>0</v>
      </c>
      <c r="S482">
        <f t="shared" si="957"/>
        <v>0</v>
      </c>
      <c r="T482">
        <f t="shared" si="958"/>
        <v>0</v>
      </c>
    </row>
    <row r="483" spans="1:20" x14ac:dyDescent="0.25">
      <c r="A483" s="5"/>
      <c r="C483"/>
      <c r="D483"/>
      <c r="P483">
        <f t="shared" si="954"/>
        <v>0</v>
      </c>
      <c r="Q483">
        <f t="shared" si="955"/>
        <v>0</v>
      </c>
      <c r="R483">
        <f t="shared" si="956"/>
        <v>0</v>
      </c>
      <c r="S483">
        <f t="shared" si="957"/>
        <v>0</v>
      </c>
      <c r="T483">
        <f t="shared" si="958"/>
        <v>0</v>
      </c>
    </row>
    <row r="484" spans="1:20" x14ac:dyDescent="0.25">
      <c r="A484" s="5"/>
      <c r="C484"/>
      <c r="D484"/>
      <c r="P484">
        <f t="shared" si="954"/>
        <v>0</v>
      </c>
      <c r="Q484">
        <f t="shared" si="955"/>
        <v>0</v>
      </c>
      <c r="R484">
        <f t="shared" si="956"/>
        <v>0</v>
      </c>
      <c r="S484">
        <f t="shared" si="957"/>
        <v>0</v>
      </c>
      <c r="T484">
        <f t="shared" si="958"/>
        <v>0</v>
      </c>
    </row>
    <row r="485" spans="1:20" x14ac:dyDescent="0.25">
      <c r="A485" s="5"/>
      <c r="C485"/>
      <c r="D485"/>
      <c r="P485">
        <f t="shared" si="954"/>
        <v>0</v>
      </c>
      <c r="Q485">
        <f t="shared" si="955"/>
        <v>0</v>
      </c>
      <c r="R485">
        <f t="shared" si="956"/>
        <v>0</v>
      </c>
      <c r="S485">
        <f t="shared" si="957"/>
        <v>0</v>
      </c>
      <c r="T485">
        <f t="shared" si="958"/>
        <v>0</v>
      </c>
    </row>
    <row r="486" spans="1:20" x14ac:dyDescent="0.25">
      <c r="A486" s="5"/>
      <c r="C486"/>
      <c r="D486"/>
      <c r="P486">
        <f t="shared" si="954"/>
        <v>0</v>
      </c>
      <c r="Q486">
        <f t="shared" si="955"/>
        <v>0</v>
      </c>
      <c r="R486">
        <f t="shared" si="956"/>
        <v>0</v>
      </c>
      <c r="S486">
        <f t="shared" si="957"/>
        <v>0</v>
      </c>
      <c r="T486">
        <f t="shared" si="958"/>
        <v>0</v>
      </c>
    </row>
    <row r="487" spans="1:20" x14ac:dyDescent="0.25">
      <c r="A487" s="5"/>
      <c r="C487"/>
      <c r="D487"/>
      <c r="P487">
        <f t="shared" si="954"/>
        <v>0</v>
      </c>
      <c r="Q487">
        <f t="shared" si="955"/>
        <v>0</v>
      </c>
      <c r="R487">
        <f t="shared" si="956"/>
        <v>0</v>
      </c>
      <c r="S487">
        <f t="shared" si="957"/>
        <v>0</v>
      </c>
      <c r="T487">
        <f t="shared" si="958"/>
        <v>0</v>
      </c>
    </row>
    <row r="488" spans="1:20" x14ac:dyDescent="0.25">
      <c r="A488" s="5"/>
      <c r="C488"/>
      <c r="D488"/>
      <c r="P488">
        <f t="shared" si="954"/>
        <v>0</v>
      </c>
      <c r="Q488">
        <f t="shared" si="955"/>
        <v>0</v>
      </c>
      <c r="R488">
        <f t="shared" si="956"/>
        <v>0</v>
      </c>
      <c r="S488">
        <f t="shared" si="957"/>
        <v>0</v>
      </c>
      <c r="T488">
        <f t="shared" si="958"/>
        <v>0</v>
      </c>
    </row>
    <row r="489" spans="1:20" x14ac:dyDescent="0.25">
      <c r="A489" s="5"/>
      <c r="C489"/>
      <c r="D489"/>
      <c r="P489">
        <f t="shared" si="954"/>
        <v>0</v>
      </c>
      <c r="Q489">
        <f t="shared" si="955"/>
        <v>0</v>
      </c>
      <c r="R489">
        <f t="shared" si="956"/>
        <v>0</v>
      </c>
      <c r="S489">
        <f t="shared" si="957"/>
        <v>0</v>
      </c>
      <c r="T489">
        <f t="shared" si="958"/>
        <v>0</v>
      </c>
    </row>
    <row r="490" spans="1:20" x14ac:dyDescent="0.25">
      <c r="A490" s="5"/>
      <c r="C490"/>
      <c r="D490"/>
      <c r="P490">
        <f t="shared" si="954"/>
        <v>0</v>
      </c>
      <c r="Q490">
        <f t="shared" si="955"/>
        <v>0</v>
      </c>
      <c r="R490">
        <f t="shared" si="956"/>
        <v>0</v>
      </c>
      <c r="S490">
        <f t="shared" si="957"/>
        <v>0</v>
      </c>
      <c r="T490">
        <f t="shared" si="958"/>
        <v>0</v>
      </c>
    </row>
    <row r="491" spans="1:20" x14ac:dyDescent="0.25">
      <c r="A491" s="5"/>
      <c r="C491"/>
      <c r="D491"/>
      <c r="P491">
        <f t="shared" si="954"/>
        <v>0</v>
      </c>
      <c r="Q491">
        <f t="shared" si="955"/>
        <v>0</v>
      </c>
      <c r="R491">
        <f t="shared" si="956"/>
        <v>0</v>
      </c>
      <c r="S491">
        <f t="shared" si="957"/>
        <v>0</v>
      </c>
      <c r="T491">
        <f t="shared" si="958"/>
        <v>0</v>
      </c>
    </row>
    <row r="492" spans="1:20" x14ac:dyDescent="0.25">
      <c r="A492" s="5"/>
      <c r="C492"/>
      <c r="D492"/>
      <c r="P492">
        <f t="shared" si="954"/>
        <v>0</v>
      </c>
      <c r="Q492">
        <f t="shared" si="955"/>
        <v>0</v>
      </c>
      <c r="R492">
        <f t="shared" si="956"/>
        <v>0</v>
      </c>
      <c r="S492">
        <f t="shared" si="957"/>
        <v>0</v>
      </c>
      <c r="T492">
        <f t="shared" si="958"/>
        <v>0</v>
      </c>
    </row>
    <row r="493" spans="1:20" x14ac:dyDescent="0.25">
      <c r="A493" s="5"/>
      <c r="C493"/>
      <c r="D493"/>
      <c r="P493">
        <f t="shared" si="954"/>
        <v>0</v>
      </c>
      <c r="Q493">
        <f t="shared" si="955"/>
        <v>0</v>
      </c>
      <c r="R493">
        <f t="shared" si="956"/>
        <v>0</v>
      </c>
      <c r="S493">
        <f t="shared" si="957"/>
        <v>0</v>
      </c>
      <c r="T493">
        <f t="shared" si="958"/>
        <v>0</v>
      </c>
    </row>
    <row r="494" spans="1:20" x14ac:dyDescent="0.25">
      <c r="A494" s="5"/>
      <c r="C494"/>
      <c r="D494"/>
      <c r="P494">
        <f t="shared" si="954"/>
        <v>0</v>
      </c>
      <c r="Q494">
        <f t="shared" si="955"/>
        <v>0</v>
      </c>
      <c r="R494">
        <f t="shared" si="956"/>
        <v>0</v>
      </c>
      <c r="S494">
        <f t="shared" si="957"/>
        <v>0</v>
      </c>
      <c r="T494">
        <f t="shared" si="958"/>
        <v>0</v>
      </c>
    </row>
    <row r="495" spans="1:20" x14ac:dyDescent="0.25">
      <c r="A495" s="5"/>
      <c r="C495"/>
      <c r="D495"/>
      <c r="P495">
        <f t="shared" si="954"/>
        <v>0</v>
      </c>
      <c r="Q495">
        <f t="shared" si="955"/>
        <v>0</v>
      </c>
      <c r="R495">
        <f t="shared" si="956"/>
        <v>0</v>
      </c>
      <c r="S495">
        <f t="shared" si="957"/>
        <v>0</v>
      </c>
      <c r="T495">
        <f t="shared" si="958"/>
        <v>0</v>
      </c>
    </row>
    <row r="496" spans="1:20" x14ac:dyDescent="0.25">
      <c r="A496" s="5"/>
      <c r="C496"/>
      <c r="D496"/>
      <c r="P496">
        <f t="shared" si="954"/>
        <v>0</v>
      </c>
      <c r="Q496">
        <f t="shared" si="955"/>
        <v>0</v>
      </c>
      <c r="R496">
        <f t="shared" si="956"/>
        <v>0</v>
      </c>
      <c r="S496">
        <f t="shared" si="957"/>
        <v>0</v>
      </c>
      <c r="T496">
        <f t="shared" si="958"/>
        <v>0</v>
      </c>
    </row>
    <row r="497" spans="1:20" x14ac:dyDescent="0.25">
      <c r="A497" s="5"/>
      <c r="C497"/>
      <c r="D497"/>
      <c r="P497">
        <f t="shared" si="954"/>
        <v>0</v>
      </c>
      <c r="Q497">
        <f t="shared" si="955"/>
        <v>0</v>
      </c>
      <c r="R497">
        <f t="shared" si="956"/>
        <v>0</v>
      </c>
      <c r="S497">
        <f t="shared" si="957"/>
        <v>0</v>
      </c>
      <c r="T497">
        <f t="shared" si="958"/>
        <v>0</v>
      </c>
    </row>
    <row r="498" spans="1:20" x14ac:dyDescent="0.25">
      <c r="A498" s="5"/>
      <c r="C498"/>
      <c r="D498"/>
      <c r="P498">
        <f t="shared" si="954"/>
        <v>0</v>
      </c>
      <c r="Q498">
        <f t="shared" si="955"/>
        <v>0</v>
      </c>
      <c r="R498">
        <f t="shared" si="956"/>
        <v>0</v>
      </c>
      <c r="S498">
        <f t="shared" si="957"/>
        <v>0</v>
      </c>
      <c r="T498">
        <f t="shared" si="958"/>
        <v>0</v>
      </c>
    </row>
    <row r="499" spans="1:20" x14ac:dyDescent="0.25">
      <c r="A499" s="5"/>
      <c r="C499"/>
      <c r="D499"/>
      <c r="P499">
        <f t="shared" si="954"/>
        <v>0</v>
      </c>
      <c r="Q499">
        <f t="shared" si="955"/>
        <v>0</v>
      </c>
      <c r="R499">
        <f t="shared" si="956"/>
        <v>0</v>
      </c>
      <c r="S499">
        <f t="shared" si="957"/>
        <v>0</v>
      </c>
      <c r="T499">
        <f t="shared" si="958"/>
        <v>0</v>
      </c>
    </row>
    <row r="500" spans="1:20" x14ac:dyDescent="0.25">
      <c r="A500" s="5"/>
      <c r="C500"/>
      <c r="D500"/>
      <c r="P500">
        <f t="shared" si="954"/>
        <v>0</v>
      </c>
      <c r="Q500">
        <f t="shared" si="955"/>
        <v>0</v>
      </c>
      <c r="R500">
        <f t="shared" si="956"/>
        <v>0</v>
      </c>
      <c r="S500">
        <f t="shared" si="957"/>
        <v>0</v>
      </c>
      <c r="T500">
        <f t="shared" si="958"/>
        <v>0</v>
      </c>
    </row>
    <row r="501" spans="1:20" x14ac:dyDescent="0.25">
      <c r="A501" s="5"/>
      <c r="C501"/>
      <c r="D501"/>
      <c r="P501">
        <f t="shared" si="954"/>
        <v>0</v>
      </c>
      <c r="Q501">
        <f t="shared" si="955"/>
        <v>0</v>
      </c>
      <c r="R501">
        <f t="shared" si="956"/>
        <v>0</v>
      </c>
      <c r="S501">
        <f t="shared" si="957"/>
        <v>0</v>
      </c>
      <c r="T501">
        <f t="shared" si="958"/>
        <v>0</v>
      </c>
    </row>
    <row r="502" spans="1:20" x14ac:dyDescent="0.25">
      <c r="A502" s="5"/>
      <c r="C502"/>
      <c r="D502"/>
      <c r="P502">
        <f t="shared" si="954"/>
        <v>0</v>
      </c>
      <c r="Q502">
        <f t="shared" si="955"/>
        <v>0</v>
      </c>
      <c r="R502">
        <f t="shared" si="956"/>
        <v>0</v>
      </c>
      <c r="S502">
        <f t="shared" si="957"/>
        <v>0</v>
      </c>
      <c r="T502">
        <f t="shared" si="958"/>
        <v>0</v>
      </c>
    </row>
    <row r="503" spans="1:20" x14ac:dyDescent="0.25">
      <c r="A503" s="5"/>
      <c r="C503"/>
      <c r="D503"/>
      <c r="P503">
        <f t="shared" si="954"/>
        <v>0</v>
      </c>
      <c r="Q503">
        <f t="shared" si="955"/>
        <v>0</v>
      </c>
      <c r="R503">
        <f t="shared" si="956"/>
        <v>0</v>
      </c>
      <c r="S503">
        <f t="shared" si="957"/>
        <v>0</v>
      </c>
      <c r="T503">
        <f t="shared" si="958"/>
        <v>0</v>
      </c>
    </row>
    <row r="504" spans="1:20" x14ac:dyDescent="0.25">
      <c r="A504" s="5"/>
      <c r="C504"/>
      <c r="D504"/>
      <c r="P504">
        <f t="shared" si="954"/>
        <v>0</v>
      </c>
      <c r="Q504">
        <f t="shared" si="955"/>
        <v>0</v>
      </c>
      <c r="R504">
        <f t="shared" si="956"/>
        <v>0</v>
      </c>
      <c r="S504">
        <f t="shared" si="957"/>
        <v>0</v>
      </c>
      <c r="T504">
        <f t="shared" si="958"/>
        <v>0</v>
      </c>
    </row>
    <row r="505" spans="1:20" x14ac:dyDescent="0.25">
      <c r="A505" s="5"/>
      <c r="C505"/>
      <c r="D505"/>
      <c r="P505">
        <f t="shared" si="954"/>
        <v>0</v>
      </c>
      <c r="Q505">
        <f t="shared" si="955"/>
        <v>0</v>
      </c>
      <c r="R505">
        <f t="shared" si="956"/>
        <v>0</v>
      </c>
      <c r="S505">
        <f t="shared" si="957"/>
        <v>0</v>
      </c>
      <c r="T505">
        <f t="shared" si="958"/>
        <v>0</v>
      </c>
    </row>
    <row r="506" spans="1:20" x14ac:dyDescent="0.25">
      <c r="A506" s="5"/>
      <c r="C506"/>
      <c r="D506"/>
      <c r="P506">
        <f t="shared" si="954"/>
        <v>0</v>
      </c>
      <c r="Q506">
        <f t="shared" si="955"/>
        <v>0</v>
      </c>
      <c r="R506">
        <f t="shared" si="956"/>
        <v>0</v>
      </c>
      <c r="S506">
        <f t="shared" si="957"/>
        <v>0</v>
      </c>
      <c r="T506">
        <f t="shared" si="958"/>
        <v>0</v>
      </c>
    </row>
    <row r="507" spans="1:20" x14ac:dyDescent="0.25">
      <c r="A507" s="5"/>
      <c r="C507"/>
      <c r="D507"/>
      <c r="P507">
        <f t="shared" si="954"/>
        <v>0</v>
      </c>
      <c r="Q507">
        <f t="shared" si="955"/>
        <v>0</v>
      </c>
      <c r="R507">
        <f t="shared" si="956"/>
        <v>0</v>
      </c>
      <c r="S507">
        <f t="shared" si="957"/>
        <v>0</v>
      </c>
      <c r="T507">
        <f t="shared" si="958"/>
        <v>0</v>
      </c>
    </row>
    <row r="508" spans="1:20" x14ac:dyDescent="0.25">
      <c r="A508" s="5"/>
      <c r="C508"/>
      <c r="D508"/>
      <c r="P508">
        <f t="shared" si="954"/>
        <v>0</v>
      </c>
      <c r="Q508">
        <f t="shared" si="955"/>
        <v>0</v>
      </c>
      <c r="R508">
        <f t="shared" si="956"/>
        <v>0</v>
      </c>
      <c r="S508">
        <f t="shared" si="957"/>
        <v>0</v>
      </c>
      <c r="T508">
        <f t="shared" si="958"/>
        <v>0</v>
      </c>
    </row>
    <row r="509" spans="1:20" x14ac:dyDescent="0.25">
      <c r="A509" s="5"/>
      <c r="C509"/>
      <c r="D509"/>
      <c r="P509">
        <f t="shared" si="954"/>
        <v>0</v>
      </c>
      <c r="Q509">
        <f t="shared" si="955"/>
        <v>0</v>
      </c>
      <c r="R509">
        <f t="shared" si="956"/>
        <v>0</v>
      </c>
      <c r="S509">
        <f t="shared" si="957"/>
        <v>0</v>
      </c>
      <c r="T509">
        <f t="shared" si="958"/>
        <v>0</v>
      </c>
    </row>
    <row r="510" spans="1:20" x14ac:dyDescent="0.25">
      <c r="A510" s="5"/>
      <c r="C510"/>
      <c r="D510"/>
      <c r="P510">
        <f t="shared" si="954"/>
        <v>0</v>
      </c>
      <c r="Q510">
        <f t="shared" si="955"/>
        <v>0</v>
      </c>
      <c r="R510">
        <f t="shared" si="956"/>
        <v>0</v>
      </c>
      <c r="S510">
        <f t="shared" si="957"/>
        <v>0</v>
      </c>
      <c r="T510">
        <f t="shared" si="958"/>
        <v>0</v>
      </c>
    </row>
    <row r="511" spans="1:20" x14ac:dyDescent="0.25">
      <c r="A511" s="5"/>
      <c r="C511"/>
      <c r="D511"/>
      <c r="P511">
        <f t="shared" si="954"/>
        <v>0</v>
      </c>
      <c r="Q511">
        <f t="shared" si="955"/>
        <v>0</v>
      </c>
      <c r="R511">
        <f t="shared" si="956"/>
        <v>0</v>
      </c>
      <c r="S511">
        <f t="shared" si="957"/>
        <v>0</v>
      </c>
      <c r="T511">
        <f t="shared" si="958"/>
        <v>0</v>
      </c>
    </row>
    <row r="512" spans="1:20" x14ac:dyDescent="0.25">
      <c r="A512" s="5"/>
      <c r="C512"/>
      <c r="D512"/>
      <c r="P512">
        <f t="shared" si="954"/>
        <v>0</v>
      </c>
      <c r="Q512">
        <f t="shared" si="955"/>
        <v>0</v>
      </c>
      <c r="R512">
        <f t="shared" si="956"/>
        <v>0</v>
      </c>
      <c r="S512">
        <f t="shared" si="957"/>
        <v>0</v>
      </c>
      <c r="T512">
        <f t="shared" si="958"/>
        <v>0</v>
      </c>
    </row>
    <row r="513" spans="1:20" x14ac:dyDescent="0.25">
      <c r="A513" s="5"/>
      <c r="C513"/>
      <c r="D513"/>
      <c r="P513">
        <f t="shared" ref="P513:P576" si="959">IF(C513=D513,0,((E513-D513)-(C513-E513))/(C513-D513))</f>
        <v>0</v>
      </c>
      <c r="Q513">
        <f t="shared" ref="Q513:Q576" si="960">F513*P513</f>
        <v>0</v>
      </c>
      <c r="R513">
        <f t="shared" ref="R513:R576" si="961">R514+Q513</f>
        <v>0</v>
      </c>
      <c r="S513">
        <f t="shared" ref="S513:S576" si="962">R513/100000</f>
        <v>0</v>
      </c>
      <c r="T513">
        <f t="shared" ref="T513:T576" si="963">S513/1000</f>
        <v>0</v>
      </c>
    </row>
    <row r="514" spans="1:20" x14ac:dyDescent="0.25">
      <c r="A514" s="5"/>
      <c r="C514"/>
      <c r="D514"/>
      <c r="P514">
        <f t="shared" si="959"/>
        <v>0</v>
      </c>
      <c r="Q514">
        <f t="shared" si="960"/>
        <v>0</v>
      </c>
      <c r="R514">
        <f t="shared" si="961"/>
        <v>0</v>
      </c>
      <c r="S514">
        <f t="shared" si="962"/>
        <v>0</v>
      </c>
      <c r="T514">
        <f t="shared" si="963"/>
        <v>0</v>
      </c>
    </row>
    <row r="515" spans="1:20" x14ac:dyDescent="0.25">
      <c r="A515" s="5"/>
      <c r="C515"/>
      <c r="D515"/>
      <c r="P515">
        <f t="shared" si="959"/>
        <v>0</v>
      </c>
      <c r="Q515">
        <f t="shared" si="960"/>
        <v>0</v>
      </c>
      <c r="R515">
        <f t="shared" si="961"/>
        <v>0</v>
      </c>
      <c r="S515">
        <f t="shared" si="962"/>
        <v>0</v>
      </c>
      <c r="T515">
        <f t="shared" si="963"/>
        <v>0</v>
      </c>
    </row>
    <row r="516" spans="1:20" x14ac:dyDescent="0.25">
      <c r="A516" s="5"/>
      <c r="C516"/>
      <c r="D516"/>
      <c r="P516">
        <f t="shared" si="959"/>
        <v>0</v>
      </c>
      <c r="Q516">
        <f t="shared" si="960"/>
        <v>0</v>
      </c>
      <c r="R516">
        <f t="shared" si="961"/>
        <v>0</v>
      </c>
      <c r="S516">
        <f t="shared" si="962"/>
        <v>0</v>
      </c>
      <c r="T516">
        <f t="shared" si="963"/>
        <v>0</v>
      </c>
    </row>
    <row r="517" spans="1:20" x14ac:dyDescent="0.25">
      <c r="A517" s="5"/>
      <c r="C517"/>
      <c r="D517"/>
      <c r="P517">
        <f t="shared" si="959"/>
        <v>0</v>
      </c>
      <c r="Q517">
        <f t="shared" si="960"/>
        <v>0</v>
      </c>
      <c r="R517">
        <f t="shared" si="961"/>
        <v>0</v>
      </c>
      <c r="S517">
        <f t="shared" si="962"/>
        <v>0</v>
      </c>
      <c r="T517">
        <f t="shared" si="963"/>
        <v>0</v>
      </c>
    </row>
    <row r="518" spans="1:20" x14ac:dyDescent="0.25">
      <c r="A518" s="5"/>
      <c r="C518"/>
      <c r="D518"/>
      <c r="P518">
        <f t="shared" si="959"/>
        <v>0</v>
      </c>
      <c r="Q518">
        <f t="shared" si="960"/>
        <v>0</v>
      </c>
      <c r="R518">
        <f t="shared" si="961"/>
        <v>0</v>
      </c>
      <c r="S518">
        <f t="shared" si="962"/>
        <v>0</v>
      </c>
      <c r="T518">
        <f t="shared" si="963"/>
        <v>0</v>
      </c>
    </row>
    <row r="519" spans="1:20" x14ac:dyDescent="0.25">
      <c r="A519" s="5"/>
      <c r="C519"/>
      <c r="D519"/>
      <c r="P519">
        <f t="shared" si="959"/>
        <v>0</v>
      </c>
      <c r="Q519">
        <f t="shared" si="960"/>
        <v>0</v>
      </c>
      <c r="R519">
        <f t="shared" si="961"/>
        <v>0</v>
      </c>
      <c r="S519">
        <f t="shared" si="962"/>
        <v>0</v>
      </c>
      <c r="T519">
        <f t="shared" si="963"/>
        <v>0</v>
      </c>
    </row>
    <row r="520" spans="1:20" x14ac:dyDescent="0.25">
      <c r="A520" s="5"/>
      <c r="C520"/>
      <c r="D520"/>
      <c r="P520">
        <f t="shared" si="959"/>
        <v>0</v>
      </c>
      <c r="Q520">
        <f t="shared" si="960"/>
        <v>0</v>
      </c>
      <c r="R520">
        <f t="shared" si="961"/>
        <v>0</v>
      </c>
      <c r="S520">
        <f t="shared" si="962"/>
        <v>0</v>
      </c>
      <c r="T520">
        <f t="shared" si="963"/>
        <v>0</v>
      </c>
    </row>
    <row r="521" spans="1:20" x14ac:dyDescent="0.25">
      <c r="A521" s="5"/>
      <c r="C521"/>
      <c r="D521"/>
      <c r="P521">
        <f t="shared" si="959"/>
        <v>0</v>
      </c>
      <c r="Q521">
        <f t="shared" si="960"/>
        <v>0</v>
      </c>
      <c r="R521">
        <f t="shared" si="961"/>
        <v>0</v>
      </c>
      <c r="S521">
        <f t="shared" si="962"/>
        <v>0</v>
      </c>
      <c r="T521">
        <f t="shared" si="963"/>
        <v>0</v>
      </c>
    </row>
    <row r="522" spans="1:20" x14ac:dyDescent="0.25">
      <c r="A522" s="5"/>
      <c r="C522"/>
      <c r="D522"/>
      <c r="P522">
        <f t="shared" si="959"/>
        <v>0</v>
      </c>
      <c r="Q522">
        <f t="shared" si="960"/>
        <v>0</v>
      </c>
      <c r="R522">
        <f t="shared" si="961"/>
        <v>0</v>
      </c>
      <c r="S522">
        <f t="shared" si="962"/>
        <v>0</v>
      </c>
      <c r="T522">
        <f t="shared" si="963"/>
        <v>0</v>
      </c>
    </row>
    <row r="523" spans="1:20" x14ac:dyDescent="0.25">
      <c r="A523" s="5"/>
      <c r="C523"/>
      <c r="D523"/>
      <c r="P523">
        <f t="shared" si="959"/>
        <v>0</v>
      </c>
      <c r="Q523">
        <f t="shared" si="960"/>
        <v>0</v>
      </c>
      <c r="R523">
        <f t="shared" si="961"/>
        <v>0</v>
      </c>
      <c r="S523">
        <f t="shared" si="962"/>
        <v>0</v>
      </c>
      <c r="T523">
        <f t="shared" si="963"/>
        <v>0</v>
      </c>
    </row>
    <row r="524" spans="1:20" x14ac:dyDescent="0.25">
      <c r="A524" s="5"/>
      <c r="C524"/>
      <c r="D524"/>
      <c r="P524">
        <f t="shared" si="959"/>
        <v>0</v>
      </c>
      <c r="Q524">
        <f t="shared" si="960"/>
        <v>0</v>
      </c>
      <c r="R524">
        <f t="shared" si="961"/>
        <v>0</v>
      </c>
      <c r="S524">
        <f t="shared" si="962"/>
        <v>0</v>
      </c>
      <c r="T524">
        <f t="shared" si="963"/>
        <v>0</v>
      </c>
    </row>
    <row r="525" spans="1:20" x14ac:dyDescent="0.25">
      <c r="A525" s="5"/>
      <c r="C525"/>
      <c r="D525"/>
      <c r="P525">
        <f t="shared" si="959"/>
        <v>0</v>
      </c>
      <c r="Q525">
        <f t="shared" si="960"/>
        <v>0</v>
      </c>
      <c r="R525">
        <f t="shared" si="961"/>
        <v>0</v>
      </c>
      <c r="S525">
        <f t="shared" si="962"/>
        <v>0</v>
      </c>
      <c r="T525">
        <f t="shared" si="963"/>
        <v>0</v>
      </c>
    </row>
    <row r="526" spans="1:20" x14ac:dyDescent="0.25">
      <c r="A526" s="5"/>
      <c r="C526"/>
      <c r="D526"/>
      <c r="P526">
        <f t="shared" si="959"/>
        <v>0</v>
      </c>
      <c r="Q526">
        <f t="shared" si="960"/>
        <v>0</v>
      </c>
      <c r="R526">
        <f t="shared" si="961"/>
        <v>0</v>
      </c>
      <c r="S526">
        <f t="shared" si="962"/>
        <v>0</v>
      </c>
      <c r="T526">
        <f t="shared" si="963"/>
        <v>0</v>
      </c>
    </row>
    <row r="527" spans="1:20" x14ac:dyDescent="0.25">
      <c r="A527" s="5"/>
      <c r="C527"/>
      <c r="D527"/>
      <c r="P527">
        <f t="shared" si="959"/>
        <v>0</v>
      </c>
      <c r="Q527">
        <f t="shared" si="960"/>
        <v>0</v>
      </c>
      <c r="R527">
        <f t="shared" si="961"/>
        <v>0</v>
      </c>
      <c r="S527">
        <f t="shared" si="962"/>
        <v>0</v>
      </c>
      <c r="T527">
        <f t="shared" si="963"/>
        <v>0</v>
      </c>
    </row>
    <row r="528" spans="1:20" x14ac:dyDescent="0.25">
      <c r="A528" s="5"/>
      <c r="C528"/>
      <c r="D528"/>
      <c r="P528">
        <f t="shared" si="959"/>
        <v>0</v>
      </c>
      <c r="Q528">
        <f t="shared" si="960"/>
        <v>0</v>
      </c>
      <c r="R528">
        <f t="shared" si="961"/>
        <v>0</v>
      </c>
      <c r="S528">
        <f t="shared" si="962"/>
        <v>0</v>
      </c>
      <c r="T528">
        <f t="shared" si="963"/>
        <v>0</v>
      </c>
    </row>
    <row r="529" spans="1:20" x14ac:dyDescent="0.25">
      <c r="A529" s="5"/>
      <c r="C529"/>
      <c r="D529"/>
      <c r="P529">
        <f t="shared" si="959"/>
        <v>0</v>
      </c>
      <c r="Q529">
        <f t="shared" si="960"/>
        <v>0</v>
      </c>
      <c r="R529">
        <f t="shared" si="961"/>
        <v>0</v>
      </c>
      <c r="S529">
        <f t="shared" si="962"/>
        <v>0</v>
      </c>
      <c r="T529">
        <f t="shared" si="963"/>
        <v>0</v>
      </c>
    </row>
    <row r="530" spans="1:20" x14ac:dyDescent="0.25">
      <c r="A530" s="5"/>
      <c r="C530"/>
      <c r="D530"/>
      <c r="P530">
        <f t="shared" si="959"/>
        <v>0</v>
      </c>
      <c r="Q530">
        <f t="shared" si="960"/>
        <v>0</v>
      </c>
      <c r="R530">
        <f t="shared" si="961"/>
        <v>0</v>
      </c>
      <c r="S530">
        <f t="shared" si="962"/>
        <v>0</v>
      </c>
      <c r="T530">
        <f t="shared" si="963"/>
        <v>0</v>
      </c>
    </row>
    <row r="531" spans="1:20" x14ac:dyDescent="0.25">
      <c r="A531" s="5"/>
      <c r="C531"/>
      <c r="D531"/>
      <c r="P531">
        <f t="shared" si="959"/>
        <v>0</v>
      </c>
      <c r="Q531">
        <f t="shared" si="960"/>
        <v>0</v>
      </c>
      <c r="R531">
        <f t="shared" si="961"/>
        <v>0</v>
      </c>
      <c r="S531">
        <f t="shared" si="962"/>
        <v>0</v>
      </c>
      <c r="T531">
        <f t="shared" si="963"/>
        <v>0</v>
      </c>
    </row>
    <row r="532" spans="1:20" x14ac:dyDescent="0.25">
      <c r="A532" s="5"/>
      <c r="C532"/>
      <c r="D532"/>
      <c r="P532">
        <f t="shared" si="959"/>
        <v>0</v>
      </c>
      <c r="Q532">
        <f t="shared" si="960"/>
        <v>0</v>
      </c>
      <c r="R532">
        <f t="shared" si="961"/>
        <v>0</v>
      </c>
      <c r="S532">
        <f t="shared" si="962"/>
        <v>0</v>
      </c>
      <c r="T532">
        <f t="shared" si="963"/>
        <v>0</v>
      </c>
    </row>
    <row r="533" spans="1:20" x14ac:dyDescent="0.25">
      <c r="A533" s="5"/>
      <c r="C533"/>
      <c r="D533"/>
      <c r="P533">
        <f t="shared" si="959"/>
        <v>0</v>
      </c>
      <c r="Q533">
        <f t="shared" si="960"/>
        <v>0</v>
      </c>
      <c r="R533">
        <f t="shared" si="961"/>
        <v>0</v>
      </c>
      <c r="S533">
        <f t="shared" si="962"/>
        <v>0</v>
      </c>
      <c r="T533">
        <f t="shared" si="963"/>
        <v>0</v>
      </c>
    </row>
    <row r="534" spans="1:20" x14ac:dyDescent="0.25">
      <c r="A534" s="5"/>
      <c r="C534"/>
      <c r="D534"/>
      <c r="P534">
        <f t="shared" si="959"/>
        <v>0</v>
      </c>
      <c r="Q534">
        <f t="shared" si="960"/>
        <v>0</v>
      </c>
      <c r="R534">
        <f t="shared" si="961"/>
        <v>0</v>
      </c>
      <c r="S534">
        <f t="shared" si="962"/>
        <v>0</v>
      </c>
      <c r="T534">
        <f t="shared" si="963"/>
        <v>0</v>
      </c>
    </row>
    <row r="535" spans="1:20" x14ac:dyDescent="0.25">
      <c r="A535" s="5"/>
      <c r="C535"/>
      <c r="D535"/>
      <c r="P535">
        <f t="shared" si="959"/>
        <v>0</v>
      </c>
      <c r="Q535">
        <f t="shared" si="960"/>
        <v>0</v>
      </c>
      <c r="R535">
        <f t="shared" si="961"/>
        <v>0</v>
      </c>
      <c r="S535">
        <f t="shared" si="962"/>
        <v>0</v>
      </c>
      <c r="T535">
        <f t="shared" si="963"/>
        <v>0</v>
      </c>
    </row>
    <row r="536" spans="1:20" x14ac:dyDescent="0.25">
      <c r="A536" s="5"/>
      <c r="C536"/>
      <c r="D536"/>
      <c r="P536">
        <f t="shared" si="959"/>
        <v>0</v>
      </c>
      <c r="Q536">
        <f t="shared" si="960"/>
        <v>0</v>
      </c>
      <c r="R536">
        <f t="shared" si="961"/>
        <v>0</v>
      </c>
      <c r="S536">
        <f t="shared" si="962"/>
        <v>0</v>
      </c>
      <c r="T536">
        <f t="shared" si="963"/>
        <v>0</v>
      </c>
    </row>
    <row r="537" spans="1:20" x14ac:dyDescent="0.25">
      <c r="A537" s="5"/>
      <c r="C537"/>
      <c r="D537"/>
      <c r="P537">
        <f t="shared" si="959"/>
        <v>0</v>
      </c>
      <c r="Q537">
        <f t="shared" si="960"/>
        <v>0</v>
      </c>
      <c r="R537">
        <f t="shared" si="961"/>
        <v>0</v>
      </c>
      <c r="S537">
        <f t="shared" si="962"/>
        <v>0</v>
      </c>
      <c r="T537">
        <f t="shared" si="963"/>
        <v>0</v>
      </c>
    </row>
    <row r="538" spans="1:20" x14ac:dyDescent="0.25">
      <c r="A538" s="5"/>
      <c r="C538"/>
      <c r="D538"/>
      <c r="P538">
        <f t="shared" si="959"/>
        <v>0</v>
      </c>
      <c r="Q538">
        <f t="shared" si="960"/>
        <v>0</v>
      </c>
      <c r="R538">
        <f t="shared" si="961"/>
        <v>0</v>
      </c>
      <c r="S538">
        <f t="shared" si="962"/>
        <v>0</v>
      </c>
      <c r="T538">
        <f t="shared" si="963"/>
        <v>0</v>
      </c>
    </row>
    <row r="539" spans="1:20" x14ac:dyDescent="0.25">
      <c r="A539" s="5"/>
      <c r="C539"/>
      <c r="D539"/>
      <c r="P539">
        <f t="shared" si="959"/>
        <v>0</v>
      </c>
      <c r="Q539">
        <f t="shared" si="960"/>
        <v>0</v>
      </c>
      <c r="R539">
        <f t="shared" si="961"/>
        <v>0</v>
      </c>
      <c r="S539">
        <f t="shared" si="962"/>
        <v>0</v>
      </c>
      <c r="T539">
        <f t="shared" si="963"/>
        <v>0</v>
      </c>
    </row>
    <row r="540" spans="1:20" x14ac:dyDescent="0.25">
      <c r="A540" s="5"/>
      <c r="C540"/>
      <c r="D540"/>
      <c r="P540">
        <f t="shared" si="959"/>
        <v>0</v>
      </c>
      <c r="Q540">
        <f t="shared" si="960"/>
        <v>0</v>
      </c>
      <c r="R540">
        <f t="shared" si="961"/>
        <v>0</v>
      </c>
      <c r="S540">
        <f t="shared" si="962"/>
        <v>0</v>
      </c>
      <c r="T540">
        <f t="shared" si="963"/>
        <v>0</v>
      </c>
    </row>
    <row r="541" spans="1:20" x14ac:dyDescent="0.25">
      <c r="A541" s="5"/>
      <c r="C541"/>
      <c r="D541"/>
      <c r="P541">
        <f t="shared" si="959"/>
        <v>0</v>
      </c>
      <c r="Q541">
        <f t="shared" si="960"/>
        <v>0</v>
      </c>
      <c r="R541">
        <f t="shared" si="961"/>
        <v>0</v>
      </c>
      <c r="S541">
        <f t="shared" si="962"/>
        <v>0</v>
      </c>
      <c r="T541">
        <f t="shared" si="963"/>
        <v>0</v>
      </c>
    </row>
    <row r="542" spans="1:20" x14ac:dyDescent="0.25">
      <c r="A542" s="5"/>
      <c r="C542"/>
      <c r="D542"/>
      <c r="P542">
        <f t="shared" si="959"/>
        <v>0</v>
      </c>
      <c r="Q542">
        <f t="shared" si="960"/>
        <v>0</v>
      </c>
      <c r="R542">
        <f t="shared" si="961"/>
        <v>0</v>
      </c>
      <c r="S542">
        <f t="shared" si="962"/>
        <v>0</v>
      </c>
      <c r="T542">
        <f t="shared" si="963"/>
        <v>0</v>
      </c>
    </row>
    <row r="543" spans="1:20" x14ac:dyDescent="0.25">
      <c r="A543" s="5"/>
      <c r="C543"/>
      <c r="D543"/>
      <c r="P543">
        <f t="shared" si="959"/>
        <v>0</v>
      </c>
      <c r="Q543">
        <f t="shared" si="960"/>
        <v>0</v>
      </c>
      <c r="R543">
        <f t="shared" si="961"/>
        <v>0</v>
      </c>
      <c r="S543">
        <f t="shared" si="962"/>
        <v>0</v>
      </c>
      <c r="T543">
        <f t="shared" si="963"/>
        <v>0</v>
      </c>
    </row>
    <row r="544" spans="1:20" x14ac:dyDescent="0.25">
      <c r="A544" s="5"/>
      <c r="P544">
        <f t="shared" si="959"/>
        <v>0</v>
      </c>
      <c r="Q544">
        <f t="shared" si="960"/>
        <v>0</v>
      </c>
      <c r="R544">
        <f t="shared" si="961"/>
        <v>0</v>
      </c>
      <c r="S544">
        <f t="shared" si="962"/>
        <v>0</v>
      </c>
      <c r="T544">
        <f t="shared" si="963"/>
        <v>0</v>
      </c>
    </row>
    <row r="545" spans="1:104" x14ac:dyDescent="0.25">
      <c r="A545" s="5"/>
      <c r="P545">
        <f t="shared" si="959"/>
        <v>0</v>
      </c>
      <c r="Q545">
        <f t="shared" si="960"/>
        <v>0</v>
      </c>
      <c r="R545">
        <f t="shared" si="961"/>
        <v>0</v>
      </c>
      <c r="S545">
        <f t="shared" si="962"/>
        <v>0</v>
      </c>
      <c r="T545">
        <f t="shared" si="963"/>
        <v>0</v>
      </c>
    </row>
    <row r="546" spans="1:104" x14ac:dyDescent="0.25">
      <c r="A546" s="5"/>
      <c r="P546">
        <f t="shared" si="959"/>
        <v>0</v>
      </c>
      <c r="Q546">
        <f t="shared" si="960"/>
        <v>0</v>
      </c>
      <c r="R546">
        <f t="shared" si="961"/>
        <v>0</v>
      </c>
      <c r="S546">
        <f t="shared" si="962"/>
        <v>0</v>
      </c>
      <c r="T546">
        <f t="shared" si="963"/>
        <v>0</v>
      </c>
    </row>
    <row r="547" spans="1:104" x14ac:dyDescent="0.25">
      <c r="A547" s="5"/>
      <c r="P547">
        <f t="shared" si="959"/>
        <v>0</v>
      </c>
      <c r="Q547">
        <f t="shared" si="960"/>
        <v>0</v>
      </c>
      <c r="R547">
        <f t="shared" si="961"/>
        <v>0</v>
      </c>
      <c r="S547">
        <f t="shared" si="962"/>
        <v>0</v>
      </c>
      <c r="T547">
        <f t="shared" si="963"/>
        <v>0</v>
      </c>
    </row>
    <row r="548" spans="1:104" x14ac:dyDescent="0.25">
      <c r="A548" s="5"/>
      <c r="P548">
        <f t="shared" si="959"/>
        <v>0</v>
      </c>
      <c r="Q548">
        <f t="shared" si="960"/>
        <v>0</v>
      </c>
      <c r="R548">
        <f t="shared" si="961"/>
        <v>0</v>
      </c>
      <c r="S548">
        <f t="shared" si="962"/>
        <v>0</v>
      </c>
      <c r="T548">
        <f t="shared" si="963"/>
        <v>0</v>
      </c>
    </row>
    <row r="549" spans="1:104" x14ac:dyDescent="0.25">
      <c r="A549" s="5"/>
      <c r="P549">
        <f t="shared" si="959"/>
        <v>0</v>
      </c>
      <c r="Q549">
        <f t="shared" si="960"/>
        <v>0</v>
      </c>
      <c r="R549">
        <f t="shared" si="961"/>
        <v>0</v>
      </c>
      <c r="S549">
        <f t="shared" si="962"/>
        <v>0</v>
      </c>
      <c r="T549">
        <f t="shared" si="963"/>
        <v>0</v>
      </c>
    </row>
    <row r="550" spans="1:104" x14ac:dyDescent="0.25">
      <c r="A550" s="5"/>
      <c r="P550">
        <f t="shared" si="959"/>
        <v>0</v>
      </c>
      <c r="Q550">
        <f t="shared" si="960"/>
        <v>0</v>
      </c>
      <c r="R550">
        <f t="shared" si="961"/>
        <v>0</v>
      </c>
      <c r="S550">
        <f t="shared" si="962"/>
        <v>0</v>
      </c>
      <c r="T550">
        <f t="shared" si="963"/>
        <v>0</v>
      </c>
    </row>
    <row r="551" spans="1:104" x14ac:dyDescent="0.25">
      <c r="A551" s="5"/>
      <c r="P551">
        <f t="shared" si="959"/>
        <v>0</v>
      </c>
      <c r="Q551">
        <f t="shared" si="960"/>
        <v>0</v>
      </c>
      <c r="R551">
        <f t="shared" si="961"/>
        <v>0</v>
      </c>
      <c r="S551">
        <f t="shared" si="962"/>
        <v>0</v>
      </c>
      <c r="T551">
        <f t="shared" si="963"/>
        <v>0</v>
      </c>
    </row>
    <row r="552" spans="1:104" x14ac:dyDescent="0.25">
      <c r="A552" s="5"/>
      <c r="P552">
        <f t="shared" si="959"/>
        <v>0</v>
      </c>
      <c r="Q552">
        <f t="shared" si="960"/>
        <v>0</v>
      </c>
      <c r="R552">
        <f t="shared" si="961"/>
        <v>0</v>
      </c>
      <c r="S552">
        <f t="shared" si="962"/>
        <v>0</v>
      </c>
      <c r="T552">
        <f t="shared" si="963"/>
        <v>0</v>
      </c>
    </row>
    <row r="553" spans="1:104" x14ac:dyDescent="0.25">
      <c r="A553" s="5"/>
      <c r="P553">
        <f t="shared" si="959"/>
        <v>0</v>
      </c>
      <c r="Q553">
        <f t="shared" si="960"/>
        <v>0</v>
      </c>
      <c r="R553">
        <f t="shared" si="961"/>
        <v>0</v>
      </c>
      <c r="S553">
        <f t="shared" si="962"/>
        <v>0</v>
      </c>
      <c r="T553">
        <f t="shared" si="963"/>
        <v>0</v>
      </c>
    </row>
    <row r="554" spans="1:104" x14ac:dyDescent="0.25">
      <c r="A554" s="5"/>
      <c r="P554">
        <f t="shared" si="959"/>
        <v>0</v>
      </c>
      <c r="Q554">
        <f t="shared" si="960"/>
        <v>0</v>
      </c>
      <c r="R554">
        <f t="shared" si="961"/>
        <v>0</v>
      </c>
      <c r="S554">
        <f t="shared" si="962"/>
        <v>0</v>
      </c>
      <c r="T554">
        <f t="shared" si="963"/>
        <v>0</v>
      </c>
    </row>
    <row r="555" spans="1:104" x14ac:dyDescent="0.25">
      <c r="A555" s="5"/>
      <c r="P555">
        <f t="shared" si="959"/>
        <v>0</v>
      </c>
      <c r="Q555">
        <f t="shared" si="960"/>
        <v>0</v>
      </c>
      <c r="R555">
        <f t="shared" si="961"/>
        <v>0</v>
      </c>
      <c r="S555">
        <f t="shared" si="962"/>
        <v>0</v>
      </c>
      <c r="T555">
        <f t="shared" si="963"/>
        <v>0</v>
      </c>
    </row>
    <row r="556" spans="1:104" x14ac:dyDescent="0.25">
      <c r="A556" s="5"/>
      <c r="P556">
        <f t="shared" si="959"/>
        <v>0</v>
      </c>
      <c r="Q556">
        <f t="shared" si="960"/>
        <v>0</v>
      </c>
      <c r="R556">
        <f t="shared" si="961"/>
        <v>0</v>
      </c>
      <c r="S556">
        <f t="shared" si="962"/>
        <v>0</v>
      </c>
      <c r="T556">
        <f t="shared" si="963"/>
        <v>0</v>
      </c>
      <c r="CZ556" t="s">
        <v>7</v>
      </c>
    </row>
    <row r="557" spans="1:104" x14ac:dyDescent="0.25">
      <c r="A557" s="5"/>
      <c r="P557">
        <f t="shared" si="959"/>
        <v>0</v>
      </c>
      <c r="Q557">
        <f t="shared" si="960"/>
        <v>0</v>
      </c>
      <c r="R557">
        <f t="shared" si="961"/>
        <v>0</v>
      </c>
      <c r="S557">
        <f t="shared" si="962"/>
        <v>0</v>
      </c>
      <c r="T557">
        <f t="shared" si="963"/>
        <v>0</v>
      </c>
      <c r="CZ557" t="s">
        <v>7</v>
      </c>
    </row>
    <row r="558" spans="1:104" x14ac:dyDescent="0.25">
      <c r="A558" s="5"/>
      <c r="P558">
        <f t="shared" si="959"/>
        <v>0</v>
      </c>
      <c r="Q558">
        <f t="shared" si="960"/>
        <v>0</v>
      </c>
      <c r="R558">
        <f t="shared" si="961"/>
        <v>0</v>
      </c>
      <c r="S558">
        <f t="shared" si="962"/>
        <v>0</v>
      </c>
      <c r="T558">
        <f t="shared" si="963"/>
        <v>0</v>
      </c>
      <c r="CZ558" t="s">
        <v>7</v>
      </c>
    </row>
    <row r="559" spans="1:104" x14ac:dyDescent="0.25">
      <c r="A559" s="5"/>
      <c r="P559">
        <f t="shared" si="959"/>
        <v>0</v>
      </c>
      <c r="Q559">
        <f t="shared" si="960"/>
        <v>0</v>
      </c>
      <c r="R559">
        <f t="shared" si="961"/>
        <v>0</v>
      </c>
      <c r="S559">
        <f t="shared" si="962"/>
        <v>0</v>
      </c>
      <c r="T559">
        <f t="shared" si="963"/>
        <v>0</v>
      </c>
    </row>
    <row r="560" spans="1:104" x14ac:dyDescent="0.25">
      <c r="A560" s="5"/>
      <c r="C560"/>
      <c r="D560"/>
      <c r="P560">
        <f t="shared" si="959"/>
        <v>0</v>
      </c>
      <c r="Q560">
        <f t="shared" si="960"/>
        <v>0</v>
      </c>
      <c r="R560">
        <f t="shared" si="961"/>
        <v>0</v>
      </c>
      <c r="S560">
        <f t="shared" si="962"/>
        <v>0</v>
      </c>
      <c r="T560">
        <f t="shared" si="963"/>
        <v>0</v>
      </c>
    </row>
    <row r="561" spans="1:20" x14ac:dyDescent="0.25">
      <c r="A561" s="5"/>
      <c r="C561"/>
      <c r="D561"/>
      <c r="P561">
        <f t="shared" si="959"/>
        <v>0</v>
      </c>
      <c r="Q561">
        <f t="shared" si="960"/>
        <v>0</v>
      </c>
      <c r="R561">
        <f t="shared" si="961"/>
        <v>0</v>
      </c>
      <c r="S561">
        <f t="shared" si="962"/>
        <v>0</v>
      </c>
      <c r="T561">
        <f t="shared" si="963"/>
        <v>0</v>
      </c>
    </row>
    <row r="562" spans="1:20" x14ac:dyDescent="0.25">
      <c r="A562" s="5"/>
      <c r="C562"/>
      <c r="D562"/>
      <c r="P562">
        <f t="shared" si="959"/>
        <v>0</v>
      </c>
      <c r="Q562">
        <f t="shared" si="960"/>
        <v>0</v>
      </c>
      <c r="R562">
        <f t="shared" si="961"/>
        <v>0</v>
      </c>
      <c r="S562">
        <f t="shared" si="962"/>
        <v>0</v>
      </c>
      <c r="T562">
        <f t="shared" si="963"/>
        <v>0</v>
      </c>
    </row>
    <row r="563" spans="1:20" x14ac:dyDescent="0.25">
      <c r="A563" s="5"/>
      <c r="C563"/>
      <c r="D563"/>
      <c r="P563">
        <f t="shared" si="959"/>
        <v>0</v>
      </c>
      <c r="Q563">
        <f t="shared" si="960"/>
        <v>0</v>
      </c>
      <c r="R563">
        <f t="shared" si="961"/>
        <v>0</v>
      </c>
      <c r="S563">
        <f t="shared" si="962"/>
        <v>0</v>
      </c>
      <c r="T563">
        <f t="shared" si="963"/>
        <v>0</v>
      </c>
    </row>
    <row r="564" spans="1:20" x14ac:dyDescent="0.25">
      <c r="A564" s="5"/>
      <c r="C564"/>
      <c r="D564"/>
      <c r="P564">
        <f t="shared" si="959"/>
        <v>0</v>
      </c>
      <c r="Q564">
        <f t="shared" si="960"/>
        <v>0</v>
      </c>
      <c r="R564">
        <f t="shared" si="961"/>
        <v>0</v>
      </c>
      <c r="S564">
        <f t="shared" si="962"/>
        <v>0</v>
      </c>
      <c r="T564">
        <f t="shared" si="963"/>
        <v>0</v>
      </c>
    </row>
    <row r="565" spans="1:20" x14ac:dyDescent="0.25">
      <c r="A565" s="5"/>
      <c r="C565"/>
      <c r="D565"/>
      <c r="P565">
        <f t="shared" si="959"/>
        <v>0</v>
      </c>
      <c r="Q565">
        <f t="shared" si="960"/>
        <v>0</v>
      </c>
      <c r="R565">
        <f t="shared" si="961"/>
        <v>0</v>
      </c>
      <c r="S565">
        <f t="shared" si="962"/>
        <v>0</v>
      </c>
      <c r="T565">
        <f t="shared" si="963"/>
        <v>0</v>
      </c>
    </row>
    <row r="566" spans="1:20" x14ac:dyDescent="0.25">
      <c r="A566" s="5"/>
      <c r="C566"/>
      <c r="D566"/>
      <c r="P566">
        <f t="shared" si="959"/>
        <v>0</v>
      </c>
      <c r="Q566">
        <f t="shared" si="960"/>
        <v>0</v>
      </c>
      <c r="R566">
        <f t="shared" si="961"/>
        <v>0</v>
      </c>
      <c r="S566">
        <f t="shared" si="962"/>
        <v>0</v>
      </c>
      <c r="T566">
        <f t="shared" si="963"/>
        <v>0</v>
      </c>
    </row>
    <row r="567" spans="1:20" x14ac:dyDescent="0.25">
      <c r="A567" s="5"/>
      <c r="C567"/>
      <c r="D567"/>
      <c r="P567">
        <f t="shared" si="959"/>
        <v>0</v>
      </c>
      <c r="Q567">
        <f t="shared" si="960"/>
        <v>0</v>
      </c>
      <c r="R567">
        <f t="shared" si="961"/>
        <v>0</v>
      </c>
      <c r="S567">
        <f t="shared" si="962"/>
        <v>0</v>
      </c>
      <c r="T567">
        <f t="shared" si="963"/>
        <v>0</v>
      </c>
    </row>
    <row r="568" spans="1:20" x14ac:dyDescent="0.25">
      <c r="A568" s="5"/>
      <c r="C568"/>
      <c r="D568"/>
      <c r="P568">
        <f t="shared" si="959"/>
        <v>0</v>
      </c>
      <c r="Q568">
        <f t="shared" si="960"/>
        <v>0</v>
      </c>
      <c r="R568">
        <f t="shared" si="961"/>
        <v>0</v>
      </c>
      <c r="S568">
        <f t="shared" si="962"/>
        <v>0</v>
      </c>
      <c r="T568">
        <f t="shared" si="963"/>
        <v>0</v>
      </c>
    </row>
    <row r="569" spans="1:20" x14ac:dyDescent="0.25">
      <c r="A569" s="5"/>
      <c r="C569"/>
      <c r="D569"/>
      <c r="P569">
        <f t="shared" si="959"/>
        <v>0</v>
      </c>
      <c r="Q569">
        <f t="shared" si="960"/>
        <v>0</v>
      </c>
      <c r="R569">
        <f t="shared" si="961"/>
        <v>0</v>
      </c>
      <c r="S569">
        <f t="shared" si="962"/>
        <v>0</v>
      </c>
      <c r="T569">
        <f t="shared" si="963"/>
        <v>0</v>
      </c>
    </row>
    <row r="570" spans="1:20" x14ac:dyDescent="0.25">
      <c r="A570" s="5"/>
      <c r="C570"/>
      <c r="D570"/>
      <c r="P570">
        <f t="shared" si="959"/>
        <v>0</v>
      </c>
      <c r="Q570">
        <f t="shared" si="960"/>
        <v>0</v>
      </c>
      <c r="R570">
        <f t="shared" si="961"/>
        <v>0</v>
      </c>
      <c r="S570">
        <f t="shared" si="962"/>
        <v>0</v>
      </c>
      <c r="T570">
        <f t="shared" si="963"/>
        <v>0</v>
      </c>
    </row>
    <row r="571" spans="1:20" x14ac:dyDescent="0.25">
      <c r="A571" s="5"/>
      <c r="C571"/>
      <c r="D571"/>
      <c r="P571">
        <f t="shared" si="959"/>
        <v>0</v>
      </c>
      <c r="Q571">
        <f t="shared" si="960"/>
        <v>0</v>
      </c>
      <c r="R571">
        <f t="shared" si="961"/>
        <v>0</v>
      </c>
      <c r="S571">
        <f t="shared" si="962"/>
        <v>0</v>
      </c>
      <c r="T571">
        <f t="shared" si="963"/>
        <v>0</v>
      </c>
    </row>
    <row r="572" spans="1:20" x14ac:dyDescent="0.25">
      <c r="A572" s="5"/>
      <c r="C572"/>
      <c r="D572"/>
      <c r="P572">
        <f t="shared" si="959"/>
        <v>0</v>
      </c>
      <c r="Q572">
        <f t="shared" si="960"/>
        <v>0</v>
      </c>
      <c r="R572">
        <f t="shared" si="961"/>
        <v>0</v>
      </c>
      <c r="S572">
        <f t="shared" si="962"/>
        <v>0</v>
      </c>
      <c r="T572">
        <f t="shared" si="963"/>
        <v>0</v>
      </c>
    </row>
    <row r="573" spans="1:20" x14ac:dyDescent="0.25">
      <c r="A573" s="5"/>
      <c r="C573"/>
      <c r="D573"/>
      <c r="P573">
        <f t="shared" si="959"/>
        <v>0</v>
      </c>
      <c r="Q573">
        <f t="shared" si="960"/>
        <v>0</v>
      </c>
      <c r="R573">
        <f t="shared" si="961"/>
        <v>0</v>
      </c>
      <c r="S573">
        <f t="shared" si="962"/>
        <v>0</v>
      </c>
      <c r="T573">
        <f t="shared" si="963"/>
        <v>0</v>
      </c>
    </row>
    <row r="574" spans="1:20" x14ac:dyDescent="0.25">
      <c r="A574" s="5"/>
      <c r="C574"/>
      <c r="D574"/>
      <c r="P574">
        <f t="shared" si="959"/>
        <v>0</v>
      </c>
      <c r="Q574">
        <f t="shared" si="960"/>
        <v>0</v>
      </c>
      <c r="R574">
        <f t="shared" si="961"/>
        <v>0</v>
      </c>
      <c r="S574">
        <f t="shared" si="962"/>
        <v>0</v>
      </c>
      <c r="T574">
        <f t="shared" si="963"/>
        <v>0</v>
      </c>
    </row>
    <row r="575" spans="1:20" x14ac:dyDescent="0.25">
      <c r="A575" s="5"/>
      <c r="C575"/>
      <c r="D575"/>
      <c r="P575">
        <f t="shared" si="959"/>
        <v>0</v>
      </c>
      <c r="Q575">
        <f t="shared" si="960"/>
        <v>0</v>
      </c>
      <c r="R575">
        <f t="shared" si="961"/>
        <v>0</v>
      </c>
      <c r="S575">
        <f t="shared" si="962"/>
        <v>0</v>
      </c>
      <c r="T575">
        <f t="shared" si="963"/>
        <v>0</v>
      </c>
    </row>
    <row r="576" spans="1:20" x14ac:dyDescent="0.25">
      <c r="A576" s="5"/>
      <c r="C576"/>
      <c r="D576"/>
      <c r="P576">
        <f t="shared" si="959"/>
        <v>0</v>
      </c>
      <c r="Q576">
        <f t="shared" si="960"/>
        <v>0</v>
      </c>
      <c r="R576">
        <f t="shared" si="961"/>
        <v>0</v>
      </c>
      <c r="S576">
        <f t="shared" si="962"/>
        <v>0</v>
      </c>
      <c r="T576">
        <f t="shared" si="963"/>
        <v>0</v>
      </c>
    </row>
    <row r="577" spans="1:20" x14ac:dyDescent="0.25">
      <c r="A577" s="5"/>
      <c r="C577"/>
      <c r="D577"/>
      <c r="P577">
        <f t="shared" ref="P577:P640" si="964">IF(C577=D577,0,((E577-D577)-(C577-E577))/(C577-D577))</f>
        <v>0</v>
      </c>
      <c r="Q577">
        <f t="shared" ref="Q577:Q640" si="965">F577*P577</f>
        <v>0</v>
      </c>
      <c r="R577">
        <f t="shared" ref="R577:R640" si="966">R578+Q577</f>
        <v>0</v>
      </c>
      <c r="S577">
        <f t="shared" ref="S577:S640" si="967">R577/100000</f>
        <v>0</v>
      </c>
      <c r="T577">
        <f t="shared" ref="T577:T640" si="968">S577/1000</f>
        <v>0</v>
      </c>
    </row>
    <row r="578" spans="1:20" x14ac:dyDescent="0.25">
      <c r="A578" s="5"/>
      <c r="C578"/>
      <c r="D578"/>
      <c r="P578">
        <f t="shared" si="964"/>
        <v>0</v>
      </c>
      <c r="Q578">
        <f t="shared" si="965"/>
        <v>0</v>
      </c>
      <c r="R578">
        <f t="shared" si="966"/>
        <v>0</v>
      </c>
      <c r="S578">
        <f t="shared" si="967"/>
        <v>0</v>
      </c>
      <c r="T578">
        <f t="shared" si="968"/>
        <v>0</v>
      </c>
    </row>
    <row r="579" spans="1:20" x14ac:dyDescent="0.25">
      <c r="A579" s="5"/>
      <c r="C579"/>
      <c r="D579"/>
      <c r="P579">
        <f t="shared" si="964"/>
        <v>0</v>
      </c>
      <c r="Q579">
        <f t="shared" si="965"/>
        <v>0</v>
      </c>
      <c r="R579">
        <f t="shared" si="966"/>
        <v>0</v>
      </c>
      <c r="S579">
        <f t="shared" si="967"/>
        <v>0</v>
      </c>
      <c r="T579">
        <f t="shared" si="968"/>
        <v>0</v>
      </c>
    </row>
    <row r="580" spans="1:20" x14ac:dyDescent="0.25">
      <c r="A580" s="5"/>
      <c r="C580"/>
      <c r="D580"/>
      <c r="P580">
        <f t="shared" si="964"/>
        <v>0</v>
      </c>
      <c r="Q580">
        <f t="shared" si="965"/>
        <v>0</v>
      </c>
      <c r="R580">
        <f t="shared" si="966"/>
        <v>0</v>
      </c>
      <c r="S580">
        <f t="shared" si="967"/>
        <v>0</v>
      </c>
      <c r="T580">
        <f t="shared" si="968"/>
        <v>0</v>
      </c>
    </row>
    <row r="581" spans="1:20" x14ac:dyDescent="0.25">
      <c r="A581" s="5"/>
      <c r="C581"/>
      <c r="D581"/>
      <c r="P581">
        <f t="shared" si="964"/>
        <v>0</v>
      </c>
      <c r="Q581">
        <f t="shared" si="965"/>
        <v>0</v>
      </c>
      <c r="R581">
        <f t="shared" si="966"/>
        <v>0</v>
      </c>
      <c r="S581">
        <f t="shared" si="967"/>
        <v>0</v>
      </c>
      <c r="T581">
        <f t="shared" si="968"/>
        <v>0</v>
      </c>
    </row>
    <row r="582" spans="1:20" x14ac:dyDescent="0.25">
      <c r="A582" s="5"/>
      <c r="C582"/>
      <c r="D582"/>
      <c r="P582">
        <f t="shared" si="964"/>
        <v>0</v>
      </c>
      <c r="Q582">
        <f t="shared" si="965"/>
        <v>0</v>
      </c>
      <c r="R582">
        <f t="shared" si="966"/>
        <v>0</v>
      </c>
      <c r="S582">
        <f t="shared" si="967"/>
        <v>0</v>
      </c>
      <c r="T582">
        <f t="shared" si="968"/>
        <v>0</v>
      </c>
    </row>
    <row r="583" spans="1:20" x14ac:dyDescent="0.25">
      <c r="A583" s="5"/>
      <c r="C583"/>
      <c r="D583"/>
      <c r="P583">
        <f t="shared" si="964"/>
        <v>0</v>
      </c>
      <c r="Q583">
        <f t="shared" si="965"/>
        <v>0</v>
      </c>
      <c r="R583">
        <f t="shared" si="966"/>
        <v>0</v>
      </c>
      <c r="S583">
        <f t="shared" si="967"/>
        <v>0</v>
      </c>
      <c r="T583">
        <f t="shared" si="968"/>
        <v>0</v>
      </c>
    </row>
    <row r="584" spans="1:20" x14ac:dyDescent="0.25">
      <c r="A584" s="5"/>
      <c r="C584"/>
      <c r="D584"/>
      <c r="P584">
        <f t="shared" si="964"/>
        <v>0</v>
      </c>
      <c r="Q584">
        <f t="shared" si="965"/>
        <v>0</v>
      </c>
      <c r="R584">
        <f t="shared" si="966"/>
        <v>0</v>
      </c>
      <c r="S584">
        <f t="shared" si="967"/>
        <v>0</v>
      </c>
      <c r="T584">
        <f t="shared" si="968"/>
        <v>0</v>
      </c>
    </row>
    <row r="585" spans="1:20" x14ac:dyDescent="0.25">
      <c r="A585" s="5"/>
      <c r="C585"/>
      <c r="D585"/>
      <c r="P585">
        <f t="shared" si="964"/>
        <v>0</v>
      </c>
      <c r="Q585">
        <f t="shared" si="965"/>
        <v>0</v>
      </c>
      <c r="R585">
        <f t="shared" si="966"/>
        <v>0</v>
      </c>
      <c r="S585">
        <f t="shared" si="967"/>
        <v>0</v>
      </c>
      <c r="T585">
        <f t="shared" si="968"/>
        <v>0</v>
      </c>
    </row>
    <row r="586" spans="1:20" x14ac:dyDescent="0.25">
      <c r="A586" s="5"/>
      <c r="C586"/>
      <c r="D586"/>
      <c r="P586">
        <f t="shared" si="964"/>
        <v>0</v>
      </c>
      <c r="Q586">
        <f t="shared" si="965"/>
        <v>0</v>
      </c>
      <c r="R586">
        <f t="shared" si="966"/>
        <v>0</v>
      </c>
      <c r="S586">
        <f t="shared" si="967"/>
        <v>0</v>
      </c>
      <c r="T586">
        <f t="shared" si="968"/>
        <v>0</v>
      </c>
    </row>
    <row r="587" spans="1:20" x14ac:dyDescent="0.25">
      <c r="A587" s="5"/>
      <c r="C587"/>
      <c r="D587"/>
      <c r="P587">
        <f t="shared" si="964"/>
        <v>0</v>
      </c>
      <c r="Q587">
        <f t="shared" si="965"/>
        <v>0</v>
      </c>
      <c r="R587">
        <f t="shared" si="966"/>
        <v>0</v>
      </c>
      <c r="S587">
        <f t="shared" si="967"/>
        <v>0</v>
      </c>
      <c r="T587">
        <f t="shared" si="968"/>
        <v>0</v>
      </c>
    </row>
    <row r="588" spans="1:20" x14ac:dyDescent="0.25">
      <c r="A588" s="5"/>
      <c r="C588"/>
      <c r="D588"/>
      <c r="P588">
        <f t="shared" si="964"/>
        <v>0</v>
      </c>
      <c r="Q588">
        <f t="shared" si="965"/>
        <v>0</v>
      </c>
      <c r="R588">
        <f t="shared" si="966"/>
        <v>0</v>
      </c>
      <c r="S588">
        <f t="shared" si="967"/>
        <v>0</v>
      </c>
      <c r="T588">
        <f t="shared" si="968"/>
        <v>0</v>
      </c>
    </row>
    <row r="589" spans="1:20" x14ac:dyDescent="0.25">
      <c r="A589" s="5"/>
      <c r="C589"/>
      <c r="D589"/>
      <c r="P589">
        <f t="shared" si="964"/>
        <v>0</v>
      </c>
      <c r="Q589">
        <f t="shared" si="965"/>
        <v>0</v>
      </c>
      <c r="R589">
        <f t="shared" si="966"/>
        <v>0</v>
      </c>
      <c r="S589">
        <f t="shared" si="967"/>
        <v>0</v>
      </c>
      <c r="T589">
        <f t="shared" si="968"/>
        <v>0</v>
      </c>
    </row>
    <row r="590" spans="1:20" x14ac:dyDescent="0.25">
      <c r="A590" s="5"/>
      <c r="C590"/>
      <c r="D590"/>
      <c r="P590">
        <f t="shared" si="964"/>
        <v>0</v>
      </c>
      <c r="Q590">
        <f t="shared" si="965"/>
        <v>0</v>
      </c>
      <c r="R590">
        <f t="shared" si="966"/>
        <v>0</v>
      </c>
      <c r="S590">
        <f t="shared" si="967"/>
        <v>0</v>
      </c>
      <c r="T590">
        <f t="shared" si="968"/>
        <v>0</v>
      </c>
    </row>
    <row r="591" spans="1:20" x14ac:dyDescent="0.25">
      <c r="A591" s="5"/>
      <c r="C591"/>
      <c r="D591"/>
      <c r="P591">
        <f t="shared" si="964"/>
        <v>0</v>
      </c>
      <c r="Q591">
        <f t="shared" si="965"/>
        <v>0</v>
      </c>
      <c r="R591">
        <f t="shared" si="966"/>
        <v>0</v>
      </c>
      <c r="S591">
        <f t="shared" si="967"/>
        <v>0</v>
      </c>
      <c r="T591">
        <f t="shared" si="968"/>
        <v>0</v>
      </c>
    </row>
    <row r="592" spans="1:20" x14ac:dyDescent="0.25">
      <c r="A592" s="5"/>
      <c r="C592"/>
      <c r="D592"/>
      <c r="P592">
        <f t="shared" si="964"/>
        <v>0</v>
      </c>
      <c r="Q592">
        <f t="shared" si="965"/>
        <v>0</v>
      </c>
      <c r="R592">
        <f t="shared" si="966"/>
        <v>0</v>
      </c>
      <c r="S592">
        <f t="shared" si="967"/>
        <v>0</v>
      </c>
      <c r="T592">
        <f t="shared" si="968"/>
        <v>0</v>
      </c>
    </row>
    <row r="593" spans="1:20" x14ac:dyDescent="0.25">
      <c r="A593" s="5"/>
      <c r="C593"/>
      <c r="D593"/>
      <c r="P593">
        <f t="shared" si="964"/>
        <v>0</v>
      </c>
      <c r="Q593">
        <f t="shared" si="965"/>
        <v>0</v>
      </c>
      <c r="R593">
        <f t="shared" si="966"/>
        <v>0</v>
      </c>
      <c r="S593">
        <f t="shared" si="967"/>
        <v>0</v>
      </c>
      <c r="T593">
        <f t="shared" si="968"/>
        <v>0</v>
      </c>
    </row>
    <row r="594" spans="1:20" x14ac:dyDescent="0.25">
      <c r="A594" s="5"/>
      <c r="C594"/>
      <c r="D594"/>
      <c r="P594">
        <f t="shared" si="964"/>
        <v>0</v>
      </c>
      <c r="Q594">
        <f t="shared" si="965"/>
        <v>0</v>
      </c>
      <c r="R594">
        <f t="shared" si="966"/>
        <v>0</v>
      </c>
      <c r="S594">
        <f t="shared" si="967"/>
        <v>0</v>
      </c>
      <c r="T594">
        <f t="shared" si="968"/>
        <v>0</v>
      </c>
    </row>
    <row r="595" spans="1:20" x14ac:dyDescent="0.25">
      <c r="A595" s="5"/>
      <c r="C595"/>
      <c r="D595"/>
      <c r="P595">
        <f t="shared" si="964"/>
        <v>0</v>
      </c>
      <c r="Q595">
        <f t="shared" si="965"/>
        <v>0</v>
      </c>
      <c r="R595">
        <f t="shared" si="966"/>
        <v>0</v>
      </c>
      <c r="S595">
        <f t="shared" si="967"/>
        <v>0</v>
      </c>
      <c r="T595">
        <f t="shared" si="968"/>
        <v>0</v>
      </c>
    </row>
    <row r="596" spans="1:20" x14ac:dyDescent="0.25">
      <c r="A596" s="5"/>
      <c r="C596"/>
      <c r="D596"/>
      <c r="P596">
        <f t="shared" si="964"/>
        <v>0</v>
      </c>
      <c r="Q596">
        <f t="shared" si="965"/>
        <v>0</v>
      </c>
      <c r="R596">
        <f t="shared" si="966"/>
        <v>0</v>
      </c>
      <c r="S596">
        <f t="shared" si="967"/>
        <v>0</v>
      </c>
      <c r="T596">
        <f t="shared" si="968"/>
        <v>0</v>
      </c>
    </row>
    <row r="597" spans="1:20" x14ac:dyDescent="0.25">
      <c r="A597" s="5"/>
      <c r="C597"/>
      <c r="D597"/>
      <c r="P597">
        <f t="shared" si="964"/>
        <v>0</v>
      </c>
      <c r="Q597">
        <f t="shared" si="965"/>
        <v>0</v>
      </c>
      <c r="R597">
        <f t="shared" si="966"/>
        <v>0</v>
      </c>
      <c r="S597">
        <f t="shared" si="967"/>
        <v>0</v>
      </c>
      <c r="T597">
        <f t="shared" si="968"/>
        <v>0</v>
      </c>
    </row>
    <row r="598" spans="1:20" x14ac:dyDescent="0.25">
      <c r="A598" s="5"/>
      <c r="C598"/>
      <c r="D598"/>
      <c r="P598">
        <f t="shared" si="964"/>
        <v>0</v>
      </c>
      <c r="Q598">
        <f t="shared" si="965"/>
        <v>0</v>
      </c>
      <c r="R598">
        <f t="shared" si="966"/>
        <v>0</v>
      </c>
      <c r="S598">
        <f t="shared" si="967"/>
        <v>0</v>
      </c>
      <c r="T598">
        <f t="shared" si="968"/>
        <v>0</v>
      </c>
    </row>
    <row r="599" spans="1:20" x14ac:dyDescent="0.25">
      <c r="A599" s="5"/>
      <c r="C599"/>
      <c r="D599"/>
      <c r="P599">
        <f t="shared" si="964"/>
        <v>0</v>
      </c>
      <c r="Q599">
        <f t="shared" si="965"/>
        <v>0</v>
      </c>
      <c r="R599">
        <f t="shared" si="966"/>
        <v>0</v>
      </c>
      <c r="S599">
        <f t="shared" si="967"/>
        <v>0</v>
      </c>
      <c r="T599">
        <f t="shared" si="968"/>
        <v>0</v>
      </c>
    </row>
    <row r="600" spans="1:20" x14ac:dyDescent="0.25">
      <c r="A600" s="5"/>
      <c r="C600"/>
      <c r="D600"/>
      <c r="P600">
        <f t="shared" si="964"/>
        <v>0</v>
      </c>
      <c r="Q600">
        <f t="shared" si="965"/>
        <v>0</v>
      </c>
      <c r="R600">
        <f t="shared" si="966"/>
        <v>0</v>
      </c>
      <c r="S600">
        <f t="shared" si="967"/>
        <v>0</v>
      </c>
      <c r="T600">
        <f t="shared" si="968"/>
        <v>0</v>
      </c>
    </row>
    <row r="601" spans="1:20" x14ac:dyDescent="0.25">
      <c r="A601" s="5"/>
      <c r="C601"/>
      <c r="D601"/>
      <c r="P601">
        <f t="shared" si="964"/>
        <v>0</v>
      </c>
      <c r="Q601">
        <f t="shared" si="965"/>
        <v>0</v>
      </c>
      <c r="R601">
        <f t="shared" si="966"/>
        <v>0</v>
      </c>
      <c r="S601">
        <f t="shared" si="967"/>
        <v>0</v>
      </c>
      <c r="T601">
        <f t="shared" si="968"/>
        <v>0</v>
      </c>
    </row>
    <row r="602" spans="1:20" x14ac:dyDescent="0.25">
      <c r="A602" s="5"/>
      <c r="C602"/>
      <c r="D602"/>
      <c r="P602">
        <f t="shared" si="964"/>
        <v>0</v>
      </c>
      <c r="Q602">
        <f t="shared" si="965"/>
        <v>0</v>
      </c>
      <c r="R602">
        <f t="shared" si="966"/>
        <v>0</v>
      </c>
      <c r="S602">
        <f t="shared" si="967"/>
        <v>0</v>
      </c>
      <c r="T602">
        <f t="shared" si="968"/>
        <v>0</v>
      </c>
    </row>
    <row r="603" spans="1:20" x14ac:dyDescent="0.25">
      <c r="A603" s="5"/>
      <c r="C603"/>
      <c r="D603"/>
      <c r="P603">
        <f t="shared" si="964"/>
        <v>0</v>
      </c>
      <c r="Q603">
        <f t="shared" si="965"/>
        <v>0</v>
      </c>
      <c r="R603">
        <f t="shared" si="966"/>
        <v>0</v>
      </c>
      <c r="S603">
        <f t="shared" si="967"/>
        <v>0</v>
      </c>
      <c r="T603">
        <f t="shared" si="968"/>
        <v>0</v>
      </c>
    </row>
    <row r="604" spans="1:20" x14ac:dyDescent="0.25">
      <c r="A604" s="5"/>
      <c r="C604"/>
      <c r="D604"/>
      <c r="P604">
        <f t="shared" si="964"/>
        <v>0</v>
      </c>
      <c r="Q604">
        <f t="shared" si="965"/>
        <v>0</v>
      </c>
      <c r="R604">
        <f t="shared" si="966"/>
        <v>0</v>
      </c>
      <c r="S604">
        <f t="shared" si="967"/>
        <v>0</v>
      </c>
      <c r="T604">
        <f t="shared" si="968"/>
        <v>0</v>
      </c>
    </row>
    <row r="605" spans="1:20" x14ac:dyDescent="0.25">
      <c r="A605" s="5"/>
      <c r="C605"/>
      <c r="D605"/>
      <c r="P605">
        <f t="shared" si="964"/>
        <v>0</v>
      </c>
      <c r="Q605">
        <f t="shared" si="965"/>
        <v>0</v>
      </c>
      <c r="R605">
        <f t="shared" si="966"/>
        <v>0</v>
      </c>
      <c r="S605">
        <f t="shared" si="967"/>
        <v>0</v>
      </c>
      <c r="T605">
        <f t="shared" si="968"/>
        <v>0</v>
      </c>
    </row>
    <row r="606" spans="1:20" x14ac:dyDescent="0.25">
      <c r="A606" s="5"/>
      <c r="C606"/>
      <c r="D606"/>
      <c r="P606">
        <f t="shared" si="964"/>
        <v>0</v>
      </c>
      <c r="Q606">
        <f t="shared" si="965"/>
        <v>0</v>
      </c>
      <c r="R606">
        <f t="shared" si="966"/>
        <v>0</v>
      </c>
      <c r="S606">
        <f t="shared" si="967"/>
        <v>0</v>
      </c>
      <c r="T606">
        <f t="shared" si="968"/>
        <v>0</v>
      </c>
    </row>
    <row r="607" spans="1:20" x14ac:dyDescent="0.25">
      <c r="A607" s="5"/>
      <c r="C607"/>
      <c r="D607"/>
      <c r="P607">
        <f t="shared" si="964"/>
        <v>0</v>
      </c>
      <c r="Q607">
        <f t="shared" si="965"/>
        <v>0</v>
      </c>
      <c r="R607">
        <f t="shared" si="966"/>
        <v>0</v>
      </c>
      <c r="S607">
        <f t="shared" si="967"/>
        <v>0</v>
      </c>
      <c r="T607">
        <f t="shared" si="968"/>
        <v>0</v>
      </c>
    </row>
    <row r="608" spans="1:20" x14ac:dyDescent="0.25">
      <c r="A608" s="5"/>
      <c r="C608"/>
      <c r="D608"/>
      <c r="P608">
        <f t="shared" si="964"/>
        <v>0</v>
      </c>
      <c r="Q608">
        <f t="shared" si="965"/>
        <v>0</v>
      </c>
      <c r="R608">
        <f t="shared" si="966"/>
        <v>0</v>
      </c>
      <c r="S608">
        <f t="shared" si="967"/>
        <v>0</v>
      </c>
      <c r="T608">
        <f t="shared" si="968"/>
        <v>0</v>
      </c>
    </row>
    <row r="609" spans="1:20" x14ac:dyDescent="0.25">
      <c r="A609" s="5"/>
      <c r="C609"/>
      <c r="D609"/>
      <c r="P609">
        <f t="shared" si="964"/>
        <v>0</v>
      </c>
      <c r="Q609">
        <f t="shared" si="965"/>
        <v>0</v>
      </c>
      <c r="R609">
        <f t="shared" si="966"/>
        <v>0</v>
      </c>
      <c r="S609">
        <f t="shared" si="967"/>
        <v>0</v>
      </c>
      <c r="T609">
        <f t="shared" si="968"/>
        <v>0</v>
      </c>
    </row>
    <row r="610" spans="1:20" x14ac:dyDescent="0.25">
      <c r="A610" s="5"/>
      <c r="C610"/>
      <c r="D610"/>
      <c r="P610">
        <f t="shared" si="964"/>
        <v>0</v>
      </c>
      <c r="Q610">
        <f t="shared" si="965"/>
        <v>0</v>
      </c>
      <c r="R610">
        <f t="shared" si="966"/>
        <v>0</v>
      </c>
      <c r="S610">
        <f t="shared" si="967"/>
        <v>0</v>
      </c>
      <c r="T610">
        <f t="shared" si="968"/>
        <v>0</v>
      </c>
    </row>
    <row r="611" spans="1:20" x14ac:dyDescent="0.25">
      <c r="A611" s="5"/>
      <c r="C611"/>
      <c r="D611"/>
      <c r="P611">
        <f t="shared" si="964"/>
        <v>0</v>
      </c>
      <c r="Q611">
        <f t="shared" si="965"/>
        <v>0</v>
      </c>
      <c r="R611">
        <f t="shared" si="966"/>
        <v>0</v>
      </c>
      <c r="S611">
        <f t="shared" si="967"/>
        <v>0</v>
      </c>
      <c r="T611">
        <f t="shared" si="968"/>
        <v>0</v>
      </c>
    </row>
    <row r="612" spans="1:20" x14ac:dyDescent="0.25">
      <c r="A612" s="5"/>
      <c r="C612"/>
      <c r="D612"/>
      <c r="P612">
        <f t="shared" si="964"/>
        <v>0</v>
      </c>
      <c r="Q612">
        <f t="shared" si="965"/>
        <v>0</v>
      </c>
      <c r="R612">
        <f t="shared" si="966"/>
        <v>0</v>
      </c>
      <c r="S612">
        <f t="shared" si="967"/>
        <v>0</v>
      </c>
      <c r="T612">
        <f t="shared" si="968"/>
        <v>0</v>
      </c>
    </row>
    <row r="613" spans="1:20" x14ac:dyDescent="0.25">
      <c r="A613" s="5"/>
      <c r="C613"/>
      <c r="D613"/>
      <c r="P613">
        <f t="shared" si="964"/>
        <v>0</v>
      </c>
      <c r="Q613">
        <f t="shared" si="965"/>
        <v>0</v>
      </c>
      <c r="R613">
        <f t="shared" si="966"/>
        <v>0</v>
      </c>
      <c r="S613">
        <f t="shared" si="967"/>
        <v>0</v>
      </c>
      <c r="T613">
        <f t="shared" si="968"/>
        <v>0</v>
      </c>
    </row>
    <row r="614" spans="1:20" x14ac:dyDescent="0.25">
      <c r="A614" s="5"/>
      <c r="C614"/>
      <c r="D614"/>
      <c r="P614">
        <f t="shared" si="964"/>
        <v>0</v>
      </c>
      <c r="Q614">
        <f t="shared" si="965"/>
        <v>0</v>
      </c>
      <c r="R614">
        <f t="shared" si="966"/>
        <v>0</v>
      </c>
      <c r="S614">
        <f t="shared" si="967"/>
        <v>0</v>
      </c>
      <c r="T614">
        <f t="shared" si="968"/>
        <v>0</v>
      </c>
    </row>
    <row r="615" spans="1:20" x14ac:dyDescent="0.25">
      <c r="A615" s="5"/>
      <c r="C615"/>
      <c r="D615"/>
      <c r="P615">
        <f t="shared" si="964"/>
        <v>0</v>
      </c>
      <c r="Q615">
        <f t="shared" si="965"/>
        <v>0</v>
      </c>
      <c r="R615">
        <f t="shared" si="966"/>
        <v>0</v>
      </c>
      <c r="S615">
        <f t="shared" si="967"/>
        <v>0</v>
      </c>
      <c r="T615">
        <f t="shared" si="968"/>
        <v>0</v>
      </c>
    </row>
    <row r="616" spans="1:20" x14ac:dyDescent="0.25">
      <c r="A616" s="5"/>
      <c r="C616"/>
      <c r="D616"/>
      <c r="P616">
        <f t="shared" si="964"/>
        <v>0</v>
      </c>
      <c r="Q616">
        <f t="shared" si="965"/>
        <v>0</v>
      </c>
      <c r="R616">
        <f t="shared" si="966"/>
        <v>0</v>
      </c>
      <c r="S616">
        <f t="shared" si="967"/>
        <v>0</v>
      </c>
      <c r="T616">
        <f t="shared" si="968"/>
        <v>0</v>
      </c>
    </row>
    <row r="617" spans="1:20" x14ac:dyDescent="0.25">
      <c r="A617" s="5"/>
      <c r="C617"/>
      <c r="D617"/>
      <c r="P617">
        <f t="shared" si="964"/>
        <v>0</v>
      </c>
      <c r="Q617">
        <f t="shared" si="965"/>
        <v>0</v>
      </c>
      <c r="R617">
        <f t="shared" si="966"/>
        <v>0</v>
      </c>
      <c r="S617">
        <f t="shared" si="967"/>
        <v>0</v>
      </c>
      <c r="T617">
        <f t="shared" si="968"/>
        <v>0</v>
      </c>
    </row>
    <row r="618" spans="1:20" x14ac:dyDescent="0.25">
      <c r="A618" s="5"/>
      <c r="C618"/>
      <c r="D618"/>
      <c r="P618">
        <f t="shared" si="964"/>
        <v>0</v>
      </c>
      <c r="Q618">
        <f t="shared" si="965"/>
        <v>0</v>
      </c>
      <c r="R618">
        <f t="shared" si="966"/>
        <v>0</v>
      </c>
      <c r="S618">
        <f t="shared" si="967"/>
        <v>0</v>
      </c>
      <c r="T618">
        <f t="shared" si="968"/>
        <v>0</v>
      </c>
    </row>
    <row r="619" spans="1:20" x14ac:dyDescent="0.25">
      <c r="A619" s="5"/>
      <c r="C619"/>
      <c r="D619"/>
      <c r="P619">
        <f t="shared" si="964"/>
        <v>0</v>
      </c>
      <c r="Q619">
        <f t="shared" si="965"/>
        <v>0</v>
      </c>
      <c r="R619">
        <f t="shared" si="966"/>
        <v>0</v>
      </c>
      <c r="S619">
        <f t="shared" si="967"/>
        <v>0</v>
      </c>
      <c r="T619">
        <f t="shared" si="968"/>
        <v>0</v>
      </c>
    </row>
    <row r="620" spans="1:20" x14ac:dyDescent="0.25">
      <c r="A620" s="5"/>
      <c r="C620"/>
      <c r="D620"/>
      <c r="P620">
        <f t="shared" si="964"/>
        <v>0</v>
      </c>
      <c r="Q620">
        <f t="shared" si="965"/>
        <v>0</v>
      </c>
      <c r="R620">
        <f t="shared" si="966"/>
        <v>0</v>
      </c>
      <c r="S620">
        <f t="shared" si="967"/>
        <v>0</v>
      </c>
      <c r="T620">
        <f t="shared" si="968"/>
        <v>0</v>
      </c>
    </row>
    <row r="621" spans="1:20" x14ac:dyDescent="0.25">
      <c r="A621" s="5"/>
      <c r="C621"/>
      <c r="D621"/>
      <c r="P621">
        <f t="shared" si="964"/>
        <v>0</v>
      </c>
      <c r="Q621">
        <f t="shared" si="965"/>
        <v>0</v>
      </c>
      <c r="R621">
        <f t="shared" si="966"/>
        <v>0</v>
      </c>
      <c r="S621">
        <f t="shared" si="967"/>
        <v>0</v>
      </c>
      <c r="T621">
        <f t="shared" si="968"/>
        <v>0</v>
      </c>
    </row>
    <row r="622" spans="1:20" x14ac:dyDescent="0.25">
      <c r="A622" s="5"/>
      <c r="C622"/>
      <c r="D622"/>
      <c r="P622">
        <f t="shared" si="964"/>
        <v>0</v>
      </c>
      <c r="Q622">
        <f t="shared" si="965"/>
        <v>0</v>
      </c>
      <c r="R622">
        <f t="shared" si="966"/>
        <v>0</v>
      </c>
      <c r="S622">
        <f t="shared" si="967"/>
        <v>0</v>
      </c>
      <c r="T622">
        <f t="shared" si="968"/>
        <v>0</v>
      </c>
    </row>
    <row r="623" spans="1:20" x14ac:dyDescent="0.25">
      <c r="A623" s="5"/>
      <c r="C623"/>
      <c r="D623"/>
      <c r="P623">
        <f t="shared" si="964"/>
        <v>0</v>
      </c>
      <c r="Q623">
        <f t="shared" si="965"/>
        <v>0</v>
      </c>
      <c r="R623">
        <f t="shared" si="966"/>
        <v>0</v>
      </c>
      <c r="S623">
        <f t="shared" si="967"/>
        <v>0</v>
      </c>
      <c r="T623">
        <f t="shared" si="968"/>
        <v>0</v>
      </c>
    </row>
    <row r="624" spans="1:20" x14ac:dyDescent="0.25">
      <c r="A624" s="5"/>
      <c r="C624"/>
      <c r="D624"/>
      <c r="P624">
        <f t="shared" si="964"/>
        <v>0</v>
      </c>
      <c r="Q624">
        <f t="shared" si="965"/>
        <v>0</v>
      </c>
      <c r="R624">
        <f t="shared" si="966"/>
        <v>0</v>
      </c>
      <c r="S624">
        <f t="shared" si="967"/>
        <v>0</v>
      </c>
      <c r="T624">
        <f t="shared" si="968"/>
        <v>0</v>
      </c>
    </row>
    <row r="625" spans="1:20" x14ac:dyDescent="0.25">
      <c r="A625" s="5"/>
      <c r="C625"/>
      <c r="D625"/>
      <c r="P625">
        <f t="shared" si="964"/>
        <v>0</v>
      </c>
      <c r="Q625">
        <f t="shared" si="965"/>
        <v>0</v>
      </c>
      <c r="R625">
        <f t="shared" si="966"/>
        <v>0</v>
      </c>
      <c r="S625">
        <f t="shared" si="967"/>
        <v>0</v>
      </c>
      <c r="T625">
        <f t="shared" si="968"/>
        <v>0</v>
      </c>
    </row>
    <row r="626" spans="1:20" x14ac:dyDescent="0.25">
      <c r="A626" s="5"/>
      <c r="C626"/>
      <c r="D626"/>
      <c r="P626">
        <f t="shared" si="964"/>
        <v>0</v>
      </c>
      <c r="Q626">
        <f t="shared" si="965"/>
        <v>0</v>
      </c>
      <c r="R626">
        <f t="shared" si="966"/>
        <v>0</v>
      </c>
      <c r="S626">
        <f t="shared" si="967"/>
        <v>0</v>
      </c>
      <c r="T626">
        <f t="shared" si="968"/>
        <v>0</v>
      </c>
    </row>
    <row r="627" spans="1:20" x14ac:dyDescent="0.25">
      <c r="A627" s="5"/>
      <c r="C627"/>
      <c r="D627"/>
      <c r="P627">
        <f t="shared" si="964"/>
        <v>0</v>
      </c>
      <c r="Q627">
        <f t="shared" si="965"/>
        <v>0</v>
      </c>
      <c r="R627">
        <f t="shared" si="966"/>
        <v>0</v>
      </c>
      <c r="S627">
        <f t="shared" si="967"/>
        <v>0</v>
      </c>
      <c r="T627">
        <f t="shared" si="968"/>
        <v>0</v>
      </c>
    </row>
    <row r="628" spans="1:20" x14ac:dyDescent="0.25">
      <c r="A628" s="5"/>
      <c r="C628"/>
      <c r="D628"/>
      <c r="P628">
        <f t="shared" si="964"/>
        <v>0</v>
      </c>
      <c r="Q628">
        <f t="shared" si="965"/>
        <v>0</v>
      </c>
      <c r="R628">
        <f t="shared" si="966"/>
        <v>0</v>
      </c>
      <c r="S628">
        <f t="shared" si="967"/>
        <v>0</v>
      </c>
      <c r="T628">
        <f t="shared" si="968"/>
        <v>0</v>
      </c>
    </row>
    <row r="629" spans="1:20" x14ac:dyDescent="0.25">
      <c r="A629" s="5"/>
      <c r="C629"/>
      <c r="D629"/>
      <c r="P629">
        <f t="shared" si="964"/>
        <v>0</v>
      </c>
      <c r="Q629">
        <f t="shared" si="965"/>
        <v>0</v>
      </c>
      <c r="R629">
        <f t="shared" si="966"/>
        <v>0</v>
      </c>
      <c r="S629">
        <f t="shared" si="967"/>
        <v>0</v>
      </c>
      <c r="T629">
        <f t="shared" si="968"/>
        <v>0</v>
      </c>
    </row>
    <row r="630" spans="1:20" x14ac:dyDescent="0.25">
      <c r="A630" s="5"/>
      <c r="C630"/>
      <c r="D630"/>
      <c r="P630">
        <f t="shared" si="964"/>
        <v>0</v>
      </c>
      <c r="Q630">
        <f t="shared" si="965"/>
        <v>0</v>
      </c>
      <c r="R630">
        <f t="shared" si="966"/>
        <v>0</v>
      </c>
      <c r="S630">
        <f t="shared" si="967"/>
        <v>0</v>
      </c>
      <c r="T630">
        <f t="shared" si="968"/>
        <v>0</v>
      </c>
    </row>
    <row r="631" spans="1:20" x14ac:dyDescent="0.25">
      <c r="A631" s="5"/>
      <c r="C631"/>
      <c r="D631"/>
      <c r="P631">
        <f t="shared" si="964"/>
        <v>0</v>
      </c>
      <c r="Q631">
        <f t="shared" si="965"/>
        <v>0</v>
      </c>
      <c r="R631">
        <f t="shared" si="966"/>
        <v>0</v>
      </c>
      <c r="S631">
        <f t="shared" si="967"/>
        <v>0</v>
      </c>
      <c r="T631">
        <f t="shared" si="968"/>
        <v>0</v>
      </c>
    </row>
    <row r="632" spans="1:20" x14ac:dyDescent="0.25">
      <c r="A632" s="5"/>
      <c r="C632"/>
      <c r="D632"/>
      <c r="P632">
        <f t="shared" si="964"/>
        <v>0</v>
      </c>
      <c r="Q632">
        <f t="shared" si="965"/>
        <v>0</v>
      </c>
      <c r="R632">
        <f t="shared" si="966"/>
        <v>0</v>
      </c>
      <c r="S632">
        <f t="shared" si="967"/>
        <v>0</v>
      </c>
      <c r="T632">
        <f t="shared" si="968"/>
        <v>0</v>
      </c>
    </row>
    <row r="633" spans="1:20" x14ac:dyDescent="0.25">
      <c r="A633" s="5"/>
      <c r="C633"/>
      <c r="D633"/>
      <c r="P633">
        <f t="shared" si="964"/>
        <v>0</v>
      </c>
      <c r="Q633">
        <f t="shared" si="965"/>
        <v>0</v>
      </c>
      <c r="R633">
        <f t="shared" si="966"/>
        <v>0</v>
      </c>
      <c r="S633">
        <f t="shared" si="967"/>
        <v>0</v>
      </c>
      <c r="T633">
        <f t="shared" si="968"/>
        <v>0</v>
      </c>
    </row>
    <row r="634" spans="1:20" x14ac:dyDescent="0.25">
      <c r="A634" s="5"/>
      <c r="C634"/>
      <c r="D634"/>
      <c r="P634">
        <f t="shared" si="964"/>
        <v>0</v>
      </c>
      <c r="Q634">
        <f t="shared" si="965"/>
        <v>0</v>
      </c>
      <c r="R634">
        <f t="shared" si="966"/>
        <v>0</v>
      </c>
      <c r="S634">
        <f t="shared" si="967"/>
        <v>0</v>
      </c>
      <c r="T634">
        <f t="shared" si="968"/>
        <v>0</v>
      </c>
    </row>
    <row r="635" spans="1:20" x14ac:dyDescent="0.25">
      <c r="A635" s="5"/>
      <c r="C635"/>
      <c r="D635"/>
      <c r="P635">
        <f t="shared" si="964"/>
        <v>0</v>
      </c>
      <c r="Q635">
        <f t="shared" si="965"/>
        <v>0</v>
      </c>
      <c r="R635">
        <f t="shared" si="966"/>
        <v>0</v>
      </c>
      <c r="S635">
        <f t="shared" si="967"/>
        <v>0</v>
      </c>
      <c r="T635">
        <f t="shared" si="968"/>
        <v>0</v>
      </c>
    </row>
    <row r="636" spans="1:20" x14ac:dyDescent="0.25">
      <c r="A636" s="5"/>
      <c r="C636"/>
      <c r="D636"/>
      <c r="P636">
        <f t="shared" si="964"/>
        <v>0</v>
      </c>
      <c r="Q636">
        <f t="shared" si="965"/>
        <v>0</v>
      </c>
      <c r="R636">
        <f t="shared" si="966"/>
        <v>0</v>
      </c>
      <c r="S636">
        <f t="shared" si="967"/>
        <v>0</v>
      </c>
      <c r="T636">
        <f t="shared" si="968"/>
        <v>0</v>
      </c>
    </row>
    <row r="637" spans="1:20" x14ac:dyDescent="0.25">
      <c r="A637" s="5"/>
      <c r="C637"/>
      <c r="D637"/>
      <c r="P637">
        <f t="shared" si="964"/>
        <v>0</v>
      </c>
      <c r="Q637">
        <f t="shared" si="965"/>
        <v>0</v>
      </c>
      <c r="R637">
        <f t="shared" si="966"/>
        <v>0</v>
      </c>
      <c r="S637">
        <f t="shared" si="967"/>
        <v>0</v>
      </c>
      <c r="T637">
        <f t="shared" si="968"/>
        <v>0</v>
      </c>
    </row>
    <row r="638" spans="1:20" x14ac:dyDescent="0.25">
      <c r="A638" s="5"/>
      <c r="C638"/>
      <c r="D638"/>
      <c r="P638">
        <f t="shared" si="964"/>
        <v>0</v>
      </c>
      <c r="Q638">
        <f t="shared" si="965"/>
        <v>0</v>
      </c>
      <c r="R638">
        <f t="shared" si="966"/>
        <v>0</v>
      </c>
      <c r="S638">
        <f t="shared" si="967"/>
        <v>0</v>
      </c>
      <c r="T638">
        <f t="shared" si="968"/>
        <v>0</v>
      </c>
    </row>
    <row r="639" spans="1:20" x14ac:dyDescent="0.25">
      <c r="A639" s="5"/>
      <c r="C639"/>
      <c r="D639"/>
      <c r="P639">
        <f t="shared" si="964"/>
        <v>0</v>
      </c>
      <c r="Q639">
        <f t="shared" si="965"/>
        <v>0</v>
      </c>
      <c r="R639">
        <f t="shared" si="966"/>
        <v>0</v>
      </c>
      <c r="S639">
        <f t="shared" si="967"/>
        <v>0</v>
      </c>
      <c r="T639">
        <f t="shared" si="968"/>
        <v>0</v>
      </c>
    </row>
    <row r="640" spans="1:20" x14ac:dyDescent="0.25">
      <c r="A640" s="5"/>
      <c r="C640"/>
      <c r="D640"/>
      <c r="P640">
        <f t="shared" si="964"/>
        <v>0</v>
      </c>
      <c r="Q640">
        <f t="shared" si="965"/>
        <v>0</v>
      </c>
      <c r="R640">
        <f t="shared" si="966"/>
        <v>0</v>
      </c>
      <c r="S640">
        <f t="shared" si="967"/>
        <v>0</v>
      </c>
      <c r="T640">
        <f t="shared" si="968"/>
        <v>0</v>
      </c>
    </row>
    <row r="641" spans="1:20" x14ac:dyDescent="0.25">
      <c r="A641" s="5"/>
      <c r="C641"/>
      <c r="D641"/>
      <c r="P641">
        <f t="shared" ref="P641:P704" si="969">IF(C641=D641,0,((E641-D641)-(C641-E641))/(C641-D641))</f>
        <v>0</v>
      </c>
      <c r="Q641">
        <f t="shared" ref="Q641:Q704" si="970">F641*P641</f>
        <v>0</v>
      </c>
      <c r="R641">
        <f t="shared" ref="R641:R704" si="971">R642+Q641</f>
        <v>0</v>
      </c>
      <c r="S641">
        <f t="shared" ref="S641:S704" si="972">R641/100000</f>
        <v>0</v>
      </c>
      <c r="T641">
        <f t="shared" ref="T641:T704" si="973">S641/1000</f>
        <v>0</v>
      </c>
    </row>
    <row r="642" spans="1:20" x14ac:dyDescent="0.25">
      <c r="A642" s="5"/>
      <c r="C642"/>
      <c r="D642"/>
      <c r="P642">
        <f t="shared" si="969"/>
        <v>0</v>
      </c>
      <c r="Q642">
        <f t="shared" si="970"/>
        <v>0</v>
      </c>
      <c r="R642">
        <f t="shared" si="971"/>
        <v>0</v>
      </c>
      <c r="S642">
        <f t="shared" si="972"/>
        <v>0</v>
      </c>
      <c r="T642">
        <f t="shared" si="973"/>
        <v>0</v>
      </c>
    </row>
    <row r="643" spans="1:20" x14ac:dyDescent="0.25">
      <c r="A643" s="5"/>
      <c r="C643"/>
      <c r="D643"/>
      <c r="P643">
        <f t="shared" si="969"/>
        <v>0</v>
      </c>
      <c r="Q643">
        <f t="shared" si="970"/>
        <v>0</v>
      </c>
      <c r="R643">
        <f t="shared" si="971"/>
        <v>0</v>
      </c>
      <c r="S643">
        <f t="shared" si="972"/>
        <v>0</v>
      </c>
      <c r="T643">
        <f t="shared" si="973"/>
        <v>0</v>
      </c>
    </row>
    <row r="644" spans="1:20" x14ac:dyDescent="0.25">
      <c r="A644" s="5"/>
      <c r="C644"/>
      <c r="D644"/>
      <c r="P644">
        <f t="shared" si="969"/>
        <v>0</v>
      </c>
      <c r="Q644">
        <f t="shared" si="970"/>
        <v>0</v>
      </c>
      <c r="R644">
        <f t="shared" si="971"/>
        <v>0</v>
      </c>
      <c r="S644">
        <f t="shared" si="972"/>
        <v>0</v>
      </c>
      <c r="T644">
        <f t="shared" si="973"/>
        <v>0</v>
      </c>
    </row>
    <row r="645" spans="1:20" x14ac:dyDescent="0.25">
      <c r="A645" s="5"/>
      <c r="C645"/>
      <c r="D645"/>
      <c r="P645">
        <f t="shared" si="969"/>
        <v>0</v>
      </c>
      <c r="Q645">
        <f t="shared" si="970"/>
        <v>0</v>
      </c>
      <c r="R645">
        <f t="shared" si="971"/>
        <v>0</v>
      </c>
      <c r="S645">
        <f t="shared" si="972"/>
        <v>0</v>
      </c>
      <c r="T645">
        <f t="shared" si="973"/>
        <v>0</v>
      </c>
    </row>
    <row r="646" spans="1:20" x14ac:dyDescent="0.25">
      <c r="A646" s="5"/>
      <c r="C646"/>
      <c r="D646"/>
      <c r="P646">
        <f t="shared" si="969"/>
        <v>0</v>
      </c>
      <c r="Q646">
        <f t="shared" si="970"/>
        <v>0</v>
      </c>
      <c r="R646">
        <f t="shared" si="971"/>
        <v>0</v>
      </c>
      <c r="S646">
        <f t="shared" si="972"/>
        <v>0</v>
      </c>
      <c r="T646">
        <f t="shared" si="973"/>
        <v>0</v>
      </c>
    </row>
    <row r="647" spans="1:20" x14ac:dyDescent="0.25">
      <c r="A647" s="5"/>
      <c r="C647"/>
      <c r="D647"/>
      <c r="P647">
        <f t="shared" si="969"/>
        <v>0</v>
      </c>
      <c r="Q647">
        <f t="shared" si="970"/>
        <v>0</v>
      </c>
      <c r="R647">
        <f t="shared" si="971"/>
        <v>0</v>
      </c>
      <c r="S647">
        <f t="shared" si="972"/>
        <v>0</v>
      </c>
      <c r="T647">
        <f t="shared" si="973"/>
        <v>0</v>
      </c>
    </row>
    <row r="648" spans="1:20" x14ac:dyDescent="0.25">
      <c r="A648" s="5"/>
      <c r="C648"/>
      <c r="D648"/>
      <c r="P648">
        <f t="shared" si="969"/>
        <v>0</v>
      </c>
      <c r="Q648">
        <f t="shared" si="970"/>
        <v>0</v>
      </c>
      <c r="R648">
        <f t="shared" si="971"/>
        <v>0</v>
      </c>
      <c r="S648">
        <f t="shared" si="972"/>
        <v>0</v>
      </c>
      <c r="T648">
        <f t="shared" si="973"/>
        <v>0</v>
      </c>
    </row>
    <row r="649" spans="1:20" x14ac:dyDescent="0.25">
      <c r="A649" s="5"/>
      <c r="C649"/>
      <c r="D649"/>
      <c r="P649">
        <f t="shared" si="969"/>
        <v>0</v>
      </c>
      <c r="Q649">
        <f t="shared" si="970"/>
        <v>0</v>
      </c>
      <c r="R649">
        <f t="shared" si="971"/>
        <v>0</v>
      </c>
      <c r="S649">
        <f t="shared" si="972"/>
        <v>0</v>
      </c>
      <c r="T649">
        <f t="shared" si="973"/>
        <v>0</v>
      </c>
    </row>
    <row r="650" spans="1:20" x14ac:dyDescent="0.25">
      <c r="A650" s="5"/>
      <c r="C650"/>
      <c r="D650"/>
      <c r="P650">
        <f t="shared" si="969"/>
        <v>0</v>
      </c>
      <c r="Q650">
        <f t="shared" si="970"/>
        <v>0</v>
      </c>
      <c r="R650">
        <f t="shared" si="971"/>
        <v>0</v>
      </c>
      <c r="S650">
        <f t="shared" si="972"/>
        <v>0</v>
      </c>
      <c r="T650">
        <f t="shared" si="973"/>
        <v>0</v>
      </c>
    </row>
    <row r="651" spans="1:20" x14ac:dyDescent="0.25">
      <c r="A651" s="5"/>
      <c r="C651"/>
      <c r="D651"/>
      <c r="P651">
        <f t="shared" si="969"/>
        <v>0</v>
      </c>
      <c r="Q651">
        <f t="shared" si="970"/>
        <v>0</v>
      </c>
      <c r="R651">
        <f t="shared" si="971"/>
        <v>0</v>
      </c>
      <c r="S651">
        <f t="shared" si="972"/>
        <v>0</v>
      </c>
      <c r="T651">
        <f t="shared" si="973"/>
        <v>0</v>
      </c>
    </row>
    <row r="652" spans="1:20" x14ac:dyDescent="0.25">
      <c r="A652" s="5"/>
      <c r="C652"/>
      <c r="D652"/>
      <c r="P652">
        <f t="shared" si="969"/>
        <v>0</v>
      </c>
      <c r="Q652">
        <f t="shared" si="970"/>
        <v>0</v>
      </c>
      <c r="R652">
        <f t="shared" si="971"/>
        <v>0</v>
      </c>
      <c r="S652">
        <f t="shared" si="972"/>
        <v>0</v>
      </c>
      <c r="T652">
        <f t="shared" si="973"/>
        <v>0</v>
      </c>
    </row>
    <row r="653" spans="1:20" x14ac:dyDescent="0.25">
      <c r="A653" s="5"/>
      <c r="C653"/>
      <c r="D653"/>
      <c r="P653">
        <f t="shared" si="969"/>
        <v>0</v>
      </c>
      <c r="Q653">
        <f t="shared" si="970"/>
        <v>0</v>
      </c>
      <c r="R653">
        <f t="shared" si="971"/>
        <v>0</v>
      </c>
      <c r="S653">
        <f t="shared" si="972"/>
        <v>0</v>
      </c>
      <c r="T653">
        <f t="shared" si="973"/>
        <v>0</v>
      </c>
    </row>
    <row r="654" spans="1:20" x14ac:dyDescent="0.25">
      <c r="A654" s="5"/>
      <c r="C654"/>
      <c r="D654"/>
      <c r="P654">
        <f t="shared" si="969"/>
        <v>0</v>
      </c>
      <c r="Q654">
        <f t="shared" si="970"/>
        <v>0</v>
      </c>
      <c r="R654">
        <f t="shared" si="971"/>
        <v>0</v>
      </c>
      <c r="S654">
        <f t="shared" si="972"/>
        <v>0</v>
      </c>
      <c r="T654">
        <f t="shared" si="973"/>
        <v>0</v>
      </c>
    </row>
    <row r="655" spans="1:20" x14ac:dyDescent="0.25">
      <c r="A655" s="5"/>
      <c r="C655"/>
      <c r="D655"/>
      <c r="P655">
        <f t="shared" si="969"/>
        <v>0</v>
      </c>
      <c r="Q655">
        <f t="shared" si="970"/>
        <v>0</v>
      </c>
      <c r="R655">
        <f t="shared" si="971"/>
        <v>0</v>
      </c>
      <c r="S655">
        <f t="shared" si="972"/>
        <v>0</v>
      </c>
      <c r="T655">
        <f t="shared" si="973"/>
        <v>0</v>
      </c>
    </row>
    <row r="656" spans="1:20" x14ac:dyDescent="0.25">
      <c r="A656" s="5"/>
      <c r="P656">
        <f t="shared" si="969"/>
        <v>0</v>
      </c>
      <c r="Q656">
        <f t="shared" si="970"/>
        <v>0</v>
      </c>
      <c r="R656">
        <f t="shared" si="971"/>
        <v>0</v>
      </c>
      <c r="S656">
        <f t="shared" si="972"/>
        <v>0</v>
      </c>
      <c r="T656">
        <f t="shared" si="973"/>
        <v>0</v>
      </c>
    </row>
    <row r="657" spans="1:20" x14ac:dyDescent="0.25">
      <c r="A657" s="5"/>
      <c r="P657">
        <f t="shared" si="969"/>
        <v>0</v>
      </c>
      <c r="Q657">
        <f t="shared" si="970"/>
        <v>0</v>
      </c>
      <c r="R657">
        <f t="shared" si="971"/>
        <v>0</v>
      </c>
      <c r="S657">
        <f t="shared" si="972"/>
        <v>0</v>
      </c>
      <c r="T657">
        <f t="shared" si="973"/>
        <v>0</v>
      </c>
    </row>
    <row r="658" spans="1:20" x14ac:dyDescent="0.25">
      <c r="A658" s="5"/>
      <c r="P658">
        <f t="shared" si="969"/>
        <v>0</v>
      </c>
      <c r="Q658">
        <f t="shared" si="970"/>
        <v>0</v>
      </c>
      <c r="R658">
        <f t="shared" si="971"/>
        <v>0</v>
      </c>
      <c r="S658">
        <f t="shared" si="972"/>
        <v>0</v>
      </c>
      <c r="T658">
        <f t="shared" si="973"/>
        <v>0</v>
      </c>
    </row>
    <row r="659" spans="1:20" x14ac:dyDescent="0.25">
      <c r="A659" s="5"/>
      <c r="C659" s="4"/>
      <c r="D659" s="4"/>
      <c r="P659">
        <f t="shared" si="969"/>
        <v>0</v>
      </c>
      <c r="Q659">
        <f t="shared" si="970"/>
        <v>0</v>
      </c>
      <c r="R659">
        <f t="shared" si="971"/>
        <v>0</v>
      </c>
      <c r="S659">
        <f t="shared" si="972"/>
        <v>0</v>
      </c>
      <c r="T659">
        <f t="shared" si="973"/>
        <v>0</v>
      </c>
    </row>
    <row r="660" spans="1:20" x14ac:dyDescent="0.25">
      <c r="A660" s="5"/>
      <c r="C660" s="4"/>
      <c r="D660" s="4"/>
      <c r="P660">
        <f t="shared" si="969"/>
        <v>0</v>
      </c>
      <c r="Q660">
        <f t="shared" si="970"/>
        <v>0</v>
      </c>
      <c r="R660">
        <f t="shared" si="971"/>
        <v>0</v>
      </c>
      <c r="S660">
        <f t="shared" si="972"/>
        <v>0</v>
      </c>
      <c r="T660">
        <f t="shared" si="973"/>
        <v>0</v>
      </c>
    </row>
    <row r="661" spans="1:20" x14ac:dyDescent="0.25">
      <c r="A661" s="5"/>
      <c r="C661" s="4"/>
      <c r="D661" s="4"/>
      <c r="P661">
        <f t="shared" si="969"/>
        <v>0</v>
      </c>
      <c r="Q661">
        <f t="shared" si="970"/>
        <v>0</v>
      </c>
      <c r="R661">
        <f t="shared" si="971"/>
        <v>0</v>
      </c>
      <c r="S661">
        <f t="shared" si="972"/>
        <v>0</v>
      </c>
      <c r="T661">
        <f t="shared" si="973"/>
        <v>0</v>
      </c>
    </row>
    <row r="662" spans="1:20" x14ac:dyDescent="0.25">
      <c r="A662" s="5"/>
      <c r="C662" s="4"/>
      <c r="D662" s="4"/>
      <c r="P662">
        <f t="shared" si="969"/>
        <v>0</v>
      </c>
      <c r="Q662">
        <f t="shared" si="970"/>
        <v>0</v>
      </c>
      <c r="R662">
        <f t="shared" si="971"/>
        <v>0</v>
      </c>
      <c r="S662">
        <f t="shared" si="972"/>
        <v>0</v>
      </c>
      <c r="T662">
        <f t="shared" si="973"/>
        <v>0</v>
      </c>
    </row>
    <row r="663" spans="1:20" x14ac:dyDescent="0.25">
      <c r="A663" s="5"/>
      <c r="C663" s="4"/>
      <c r="D663" s="4"/>
      <c r="P663">
        <f t="shared" si="969"/>
        <v>0</v>
      </c>
      <c r="Q663">
        <f t="shared" si="970"/>
        <v>0</v>
      </c>
      <c r="R663">
        <f t="shared" si="971"/>
        <v>0</v>
      </c>
      <c r="S663">
        <f t="shared" si="972"/>
        <v>0</v>
      </c>
      <c r="T663">
        <f t="shared" si="973"/>
        <v>0</v>
      </c>
    </row>
    <row r="664" spans="1:20" x14ac:dyDescent="0.25">
      <c r="A664" s="5"/>
      <c r="C664" s="4"/>
      <c r="D664" s="4"/>
      <c r="P664">
        <f t="shared" si="969"/>
        <v>0</v>
      </c>
      <c r="Q664">
        <f t="shared" si="970"/>
        <v>0</v>
      </c>
      <c r="R664">
        <f t="shared" si="971"/>
        <v>0</v>
      </c>
      <c r="S664">
        <f t="shared" si="972"/>
        <v>0</v>
      </c>
      <c r="T664">
        <f t="shared" si="973"/>
        <v>0</v>
      </c>
    </row>
    <row r="665" spans="1:20" x14ac:dyDescent="0.25">
      <c r="A665" s="5"/>
      <c r="C665" s="4"/>
      <c r="D665" s="4"/>
      <c r="P665">
        <f t="shared" si="969"/>
        <v>0</v>
      </c>
      <c r="Q665">
        <f t="shared" si="970"/>
        <v>0</v>
      </c>
      <c r="R665">
        <f t="shared" si="971"/>
        <v>0</v>
      </c>
      <c r="S665">
        <f t="shared" si="972"/>
        <v>0</v>
      </c>
      <c r="T665">
        <f t="shared" si="973"/>
        <v>0</v>
      </c>
    </row>
    <row r="666" spans="1:20" x14ac:dyDescent="0.25">
      <c r="A666" s="5"/>
      <c r="C666" s="4"/>
      <c r="D666" s="4"/>
      <c r="P666">
        <f t="shared" si="969"/>
        <v>0</v>
      </c>
      <c r="Q666">
        <f t="shared" si="970"/>
        <v>0</v>
      </c>
      <c r="R666">
        <f t="shared" si="971"/>
        <v>0</v>
      </c>
      <c r="S666">
        <f t="shared" si="972"/>
        <v>0</v>
      </c>
      <c r="T666">
        <f t="shared" si="973"/>
        <v>0</v>
      </c>
    </row>
    <row r="667" spans="1:20" x14ac:dyDescent="0.25">
      <c r="A667" s="5"/>
      <c r="C667" s="4"/>
      <c r="D667" s="4"/>
      <c r="P667">
        <f t="shared" si="969"/>
        <v>0</v>
      </c>
      <c r="Q667">
        <f t="shared" si="970"/>
        <v>0</v>
      </c>
      <c r="R667">
        <f t="shared" si="971"/>
        <v>0</v>
      </c>
      <c r="S667">
        <f t="shared" si="972"/>
        <v>0</v>
      </c>
      <c r="T667">
        <f t="shared" si="973"/>
        <v>0</v>
      </c>
    </row>
    <row r="668" spans="1:20" x14ac:dyDescent="0.25">
      <c r="A668" s="5"/>
      <c r="C668" s="4"/>
      <c r="D668" s="4"/>
      <c r="P668">
        <f t="shared" si="969"/>
        <v>0</v>
      </c>
      <c r="Q668">
        <f t="shared" si="970"/>
        <v>0</v>
      </c>
      <c r="R668">
        <f t="shared" si="971"/>
        <v>0</v>
      </c>
      <c r="S668">
        <f t="shared" si="972"/>
        <v>0</v>
      </c>
      <c r="T668">
        <f t="shared" si="973"/>
        <v>0</v>
      </c>
    </row>
    <row r="669" spans="1:20" x14ac:dyDescent="0.25">
      <c r="A669" s="5"/>
      <c r="C669" s="4"/>
      <c r="D669" s="4"/>
      <c r="P669">
        <f t="shared" si="969"/>
        <v>0</v>
      </c>
      <c r="Q669">
        <f t="shared" si="970"/>
        <v>0</v>
      </c>
      <c r="R669">
        <f t="shared" si="971"/>
        <v>0</v>
      </c>
      <c r="S669">
        <f t="shared" si="972"/>
        <v>0</v>
      </c>
      <c r="T669">
        <f t="shared" si="973"/>
        <v>0</v>
      </c>
    </row>
    <row r="670" spans="1:20" x14ac:dyDescent="0.25">
      <c r="A670" s="5"/>
      <c r="C670" s="4"/>
      <c r="D670" s="4"/>
      <c r="P670">
        <f t="shared" si="969"/>
        <v>0</v>
      </c>
      <c r="Q670">
        <f t="shared" si="970"/>
        <v>0</v>
      </c>
      <c r="R670">
        <f t="shared" si="971"/>
        <v>0</v>
      </c>
      <c r="S670">
        <f t="shared" si="972"/>
        <v>0</v>
      </c>
      <c r="T670">
        <f t="shared" si="973"/>
        <v>0</v>
      </c>
    </row>
    <row r="671" spans="1:20" x14ac:dyDescent="0.25">
      <c r="A671" s="5"/>
      <c r="C671" s="4"/>
      <c r="D671" s="4"/>
      <c r="P671">
        <f t="shared" si="969"/>
        <v>0</v>
      </c>
      <c r="Q671">
        <f t="shared" si="970"/>
        <v>0</v>
      </c>
      <c r="R671">
        <f t="shared" si="971"/>
        <v>0</v>
      </c>
      <c r="S671">
        <f t="shared" si="972"/>
        <v>0</v>
      </c>
      <c r="T671">
        <f t="shared" si="973"/>
        <v>0</v>
      </c>
    </row>
    <row r="672" spans="1:20" x14ac:dyDescent="0.25">
      <c r="A672" s="5"/>
      <c r="C672" s="4"/>
      <c r="D672" s="4"/>
      <c r="P672">
        <f t="shared" si="969"/>
        <v>0</v>
      </c>
      <c r="Q672">
        <f t="shared" si="970"/>
        <v>0</v>
      </c>
      <c r="R672">
        <f t="shared" si="971"/>
        <v>0</v>
      </c>
      <c r="S672">
        <f t="shared" si="972"/>
        <v>0</v>
      </c>
      <c r="T672">
        <f t="shared" si="973"/>
        <v>0</v>
      </c>
    </row>
    <row r="673" spans="1:20" x14ac:dyDescent="0.25">
      <c r="A673" s="5"/>
      <c r="C673" s="4"/>
      <c r="D673" s="4"/>
      <c r="P673">
        <f t="shared" si="969"/>
        <v>0</v>
      </c>
      <c r="Q673">
        <f t="shared" si="970"/>
        <v>0</v>
      </c>
      <c r="R673">
        <f t="shared" si="971"/>
        <v>0</v>
      </c>
      <c r="S673">
        <f t="shared" si="972"/>
        <v>0</v>
      </c>
      <c r="T673">
        <f t="shared" si="973"/>
        <v>0</v>
      </c>
    </row>
    <row r="674" spans="1:20" x14ac:dyDescent="0.25">
      <c r="A674" s="5"/>
      <c r="C674" s="4"/>
      <c r="D674" s="4"/>
      <c r="P674">
        <f t="shared" si="969"/>
        <v>0</v>
      </c>
      <c r="Q674">
        <f t="shared" si="970"/>
        <v>0</v>
      </c>
      <c r="R674">
        <f t="shared" si="971"/>
        <v>0</v>
      </c>
      <c r="S674">
        <f t="shared" si="972"/>
        <v>0</v>
      </c>
      <c r="T674">
        <f t="shared" si="973"/>
        <v>0</v>
      </c>
    </row>
    <row r="675" spans="1:20" x14ac:dyDescent="0.25">
      <c r="A675" s="5"/>
      <c r="C675" s="4"/>
      <c r="D675" s="4"/>
      <c r="P675">
        <f t="shared" si="969"/>
        <v>0</v>
      </c>
      <c r="Q675">
        <f t="shared" si="970"/>
        <v>0</v>
      </c>
      <c r="R675">
        <f t="shared" si="971"/>
        <v>0</v>
      </c>
      <c r="S675">
        <f t="shared" si="972"/>
        <v>0</v>
      </c>
      <c r="T675">
        <f t="shared" si="973"/>
        <v>0</v>
      </c>
    </row>
    <row r="676" spans="1:20" x14ac:dyDescent="0.25">
      <c r="A676" s="5"/>
      <c r="C676" s="4"/>
      <c r="D676" s="4"/>
      <c r="P676">
        <f t="shared" si="969"/>
        <v>0</v>
      </c>
      <c r="Q676">
        <f t="shared" si="970"/>
        <v>0</v>
      </c>
      <c r="R676">
        <f t="shared" si="971"/>
        <v>0</v>
      </c>
      <c r="S676">
        <f t="shared" si="972"/>
        <v>0</v>
      </c>
      <c r="T676">
        <f t="shared" si="973"/>
        <v>0</v>
      </c>
    </row>
    <row r="677" spans="1:20" x14ac:dyDescent="0.25">
      <c r="A677" s="5"/>
      <c r="C677" s="4"/>
      <c r="D677" s="4"/>
      <c r="P677">
        <f t="shared" si="969"/>
        <v>0</v>
      </c>
      <c r="Q677">
        <f t="shared" si="970"/>
        <v>0</v>
      </c>
      <c r="R677">
        <f t="shared" si="971"/>
        <v>0</v>
      </c>
      <c r="S677">
        <f t="shared" si="972"/>
        <v>0</v>
      </c>
      <c r="T677">
        <f t="shared" si="973"/>
        <v>0</v>
      </c>
    </row>
    <row r="678" spans="1:20" x14ac:dyDescent="0.25">
      <c r="A678" s="5"/>
      <c r="C678" s="4"/>
      <c r="D678" s="4"/>
      <c r="P678">
        <f t="shared" si="969"/>
        <v>0</v>
      </c>
      <c r="Q678">
        <f t="shared" si="970"/>
        <v>0</v>
      </c>
      <c r="R678">
        <f t="shared" si="971"/>
        <v>0</v>
      </c>
      <c r="S678">
        <f t="shared" si="972"/>
        <v>0</v>
      </c>
      <c r="T678">
        <f t="shared" si="973"/>
        <v>0</v>
      </c>
    </row>
    <row r="679" spans="1:20" x14ac:dyDescent="0.25">
      <c r="A679" s="5"/>
      <c r="C679" s="4"/>
      <c r="D679" s="4"/>
      <c r="P679">
        <f t="shared" si="969"/>
        <v>0</v>
      </c>
      <c r="Q679">
        <f t="shared" si="970"/>
        <v>0</v>
      </c>
      <c r="R679">
        <f t="shared" si="971"/>
        <v>0</v>
      </c>
      <c r="S679">
        <f t="shared" si="972"/>
        <v>0</v>
      </c>
      <c r="T679">
        <f t="shared" si="973"/>
        <v>0</v>
      </c>
    </row>
    <row r="680" spans="1:20" x14ac:dyDescent="0.25">
      <c r="A680" s="5"/>
      <c r="C680" s="4"/>
      <c r="D680" s="4"/>
      <c r="P680">
        <f t="shared" si="969"/>
        <v>0</v>
      </c>
      <c r="Q680">
        <f t="shared" si="970"/>
        <v>0</v>
      </c>
      <c r="R680">
        <f t="shared" si="971"/>
        <v>0</v>
      </c>
      <c r="S680">
        <f t="shared" si="972"/>
        <v>0</v>
      </c>
      <c r="T680">
        <f t="shared" si="973"/>
        <v>0</v>
      </c>
    </row>
    <row r="681" spans="1:20" x14ac:dyDescent="0.25">
      <c r="A681" s="5"/>
      <c r="C681" s="4"/>
      <c r="D681" s="4"/>
      <c r="P681">
        <f t="shared" si="969"/>
        <v>0</v>
      </c>
      <c r="Q681">
        <f t="shared" si="970"/>
        <v>0</v>
      </c>
      <c r="R681">
        <f t="shared" si="971"/>
        <v>0</v>
      </c>
      <c r="S681">
        <f t="shared" si="972"/>
        <v>0</v>
      </c>
      <c r="T681">
        <f t="shared" si="973"/>
        <v>0</v>
      </c>
    </row>
    <row r="682" spans="1:20" x14ac:dyDescent="0.25">
      <c r="A682" s="5"/>
      <c r="C682" s="4"/>
      <c r="D682" s="4"/>
      <c r="P682">
        <f t="shared" si="969"/>
        <v>0</v>
      </c>
      <c r="Q682">
        <f t="shared" si="970"/>
        <v>0</v>
      </c>
      <c r="R682">
        <f t="shared" si="971"/>
        <v>0</v>
      </c>
      <c r="S682">
        <f t="shared" si="972"/>
        <v>0</v>
      </c>
      <c r="T682">
        <f t="shared" si="973"/>
        <v>0</v>
      </c>
    </row>
    <row r="683" spans="1:20" x14ac:dyDescent="0.25">
      <c r="A683" s="5"/>
      <c r="C683" s="4"/>
      <c r="D683" s="4"/>
      <c r="P683">
        <f t="shared" si="969"/>
        <v>0</v>
      </c>
      <c r="Q683">
        <f t="shared" si="970"/>
        <v>0</v>
      </c>
      <c r="R683">
        <f t="shared" si="971"/>
        <v>0</v>
      </c>
      <c r="S683">
        <f t="shared" si="972"/>
        <v>0</v>
      </c>
      <c r="T683">
        <f t="shared" si="973"/>
        <v>0</v>
      </c>
    </row>
    <row r="684" spans="1:20" x14ac:dyDescent="0.25">
      <c r="A684" s="5"/>
      <c r="C684" s="4"/>
      <c r="D684" s="4"/>
      <c r="P684">
        <f t="shared" si="969"/>
        <v>0</v>
      </c>
      <c r="Q684">
        <f t="shared" si="970"/>
        <v>0</v>
      </c>
      <c r="R684">
        <f t="shared" si="971"/>
        <v>0</v>
      </c>
      <c r="S684">
        <f t="shared" si="972"/>
        <v>0</v>
      </c>
      <c r="T684">
        <f t="shared" si="973"/>
        <v>0</v>
      </c>
    </row>
    <row r="685" spans="1:20" x14ac:dyDescent="0.25">
      <c r="A685" s="5"/>
      <c r="C685" s="4"/>
      <c r="D685" s="4"/>
      <c r="P685">
        <f t="shared" si="969"/>
        <v>0</v>
      </c>
      <c r="Q685">
        <f t="shared" si="970"/>
        <v>0</v>
      </c>
      <c r="R685">
        <f t="shared" si="971"/>
        <v>0</v>
      </c>
      <c r="S685">
        <f t="shared" si="972"/>
        <v>0</v>
      </c>
      <c r="T685">
        <f t="shared" si="973"/>
        <v>0</v>
      </c>
    </row>
    <row r="686" spans="1:20" x14ac:dyDescent="0.25">
      <c r="A686" s="5"/>
      <c r="C686" s="4"/>
      <c r="D686" s="4"/>
      <c r="P686">
        <f t="shared" si="969"/>
        <v>0</v>
      </c>
      <c r="Q686">
        <f t="shared" si="970"/>
        <v>0</v>
      </c>
      <c r="R686">
        <f t="shared" si="971"/>
        <v>0</v>
      </c>
      <c r="S686">
        <f t="shared" si="972"/>
        <v>0</v>
      </c>
      <c r="T686">
        <f t="shared" si="973"/>
        <v>0</v>
      </c>
    </row>
    <row r="687" spans="1:20" x14ac:dyDescent="0.25">
      <c r="A687" s="5"/>
      <c r="C687" s="4"/>
      <c r="D687" s="4"/>
      <c r="P687">
        <f t="shared" si="969"/>
        <v>0</v>
      </c>
      <c r="Q687">
        <f t="shared" si="970"/>
        <v>0</v>
      </c>
      <c r="R687">
        <f t="shared" si="971"/>
        <v>0</v>
      </c>
      <c r="S687">
        <f t="shared" si="972"/>
        <v>0</v>
      </c>
      <c r="T687">
        <f t="shared" si="973"/>
        <v>0</v>
      </c>
    </row>
    <row r="688" spans="1:20" x14ac:dyDescent="0.25">
      <c r="A688" s="5"/>
      <c r="C688" s="4"/>
      <c r="D688" s="4"/>
      <c r="P688">
        <f t="shared" si="969"/>
        <v>0</v>
      </c>
      <c r="Q688">
        <f t="shared" si="970"/>
        <v>0</v>
      </c>
      <c r="R688">
        <f t="shared" si="971"/>
        <v>0</v>
      </c>
      <c r="S688">
        <f t="shared" si="972"/>
        <v>0</v>
      </c>
      <c r="T688">
        <f t="shared" si="973"/>
        <v>0</v>
      </c>
    </row>
    <row r="689" spans="1:20" x14ac:dyDescent="0.25">
      <c r="A689" s="5"/>
      <c r="C689" s="4"/>
      <c r="D689" s="4"/>
      <c r="P689">
        <f t="shared" si="969"/>
        <v>0</v>
      </c>
      <c r="Q689">
        <f t="shared" si="970"/>
        <v>0</v>
      </c>
      <c r="R689">
        <f t="shared" si="971"/>
        <v>0</v>
      </c>
      <c r="S689">
        <f t="shared" si="972"/>
        <v>0</v>
      </c>
      <c r="T689">
        <f t="shared" si="973"/>
        <v>0</v>
      </c>
    </row>
    <row r="690" spans="1:20" x14ac:dyDescent="0.25">
      <c r="A690" s="5"/>
      <c r="C690" s="4"/>
      <c r="D690" s="4"/>
      <c r="P690">
        <f t="shared" si="969"/>
        <v>0</v>
      </c>
      <c r="Q690">
        <f t="shared" si="970"/>
        <v>0</v>
      </c>
      <c r="R690">
        <f t="shared" si="971"/>
        <v>0</v>
      </c>
      <c r="S690">
        <f t="shared" si="972"/>
        <v>0</v>
      </c>
      <c r="T690">
        <f t="shared" si="973"/>
        <v>0</v>
      </c>
    </row>
    <row r="691" spans="1:20" x14ac:dyDescent="0.25">
      <c r="A691" s="5"/>
      <c r="C691" s="4"/>
      <c r="D691" s="4"/>
      <c r="P691">
        <f t="shared" si="969"/>
        <v>0</v>
      </c>
      <c r="Q691">
        <f t="shared" si="970"/>
        <v>0</v>
      </c>
      <c r="R691">
        <f t="shared" si="971"/>
        <v>0</v>
      </c>
      <c r="S691">
        <f t="shared" si="972"/>
        <v>0</v>
      </c>
      <c r="T691">
        <f t="shared" si="973"/>
        <v>0</v>
      </c>
    </row>
    <row r="692" spans="1:20" x14ac:dyDescent="0.25">
      <c r="A692" s="5"/>
      <c r="C692" s="4"/>
      <c r="D692" s="4"/>
      <c r="P692">
        <f t="shared" si="969"/>
        <v>0</v>
      </c>
      <c r="Q692">
        <f t="shared" si="970"/>
        <v>0</v>
      </c>
      <c r="R692">
        <f t="shared" si="971"/>
        <v>0</v>
      </c>
      <c r="S692">
        <f t="shared" si="972"/>
        <v>0</v>
      </c>
      <c r="T692">
        <f t="shared" si="973"/>
        <v>0</v>
      </c>
    </row>
    <row r="693" spans="1:20" x14ac:dyDescent="0.25">
      <c r="A693" s="5"/>
      <c r="C693" s="4"/>
      <c r="D693" s="4"/>
      <c r="P693">
        <f t="shared" si="969"/>
        <v>0</v>
      </c>
      <c r="Q693">
        <f t="shared" si="970"/>
        <v>0</v>
      </c>
      <c r="R693">
        <f t="shared" si="971"/>
        <v>0</v>
      </c>
      <c r="S693">
        <f t="shared" si="972"/>
        <v>0</v>
      </c>
      <c r="T693">
        <f t="shared" si="973"/>
        <v>0</v>
      </c>
    </row>
    <row r="694" spans="1:20" x14ac:dyDescent="0.25">
      <c r="A694" s="5"/>
      <c r="C694" s="4"/>
      <c r="D694" s="4"/>
      <c r="P694">
        <f t="shared" si="969"/>
        <v>0</v>
      </c>
      <c r="Q694">
        <f t="shared" si="970"/>
        <v>0</v>
      </c>
      <c r="R694">
        <f t="shared" si="971"/>
        <v>0</v>
      </c>
      <c r="S694">
        <f t="shared" si="972"/>
        <v>0</v>
      </c>
      <c r="T694">
        <f t="shared" si="973"/>
        <v>0</v>
      </c>
    </row>
    <row r="695" spans="1:20" x14ac:dyDescent="0.25">
      <c r="A695" s="5"/>
      <c r="C695" s="4"/>
      <c r="D695" s="4"/>
      <c r="P695">
        <f t="shared" si="969"/>
        <v>0</v>
      </c>
      <c r="Q695">
        <f t="shared" si="970"/>
        <v>0</v>
      </c>
      <c r="R695">
        <f t="shared" si="971"/>
        <v>0</v>
      </c>
      <c r="S695">
        <f t="shared" si="972"/>
        <v>0</v>
      </c>
      <c r="T695">
        <f t="shared" si="973"/>
        <v>0</v>
      </c>
    </row>
    <row r="696" spans="1:20" x14ac:dyDescent="0.25">
      <c r="A696" s="5"/>
      <c r="C696" s="4"/>
      <c r="D696" s="4"/>
      <c r="P696">
        <f t="shared" si="969"/>
        <v>0</v>
      </c>
      <c r="Q696">
        <f t="shared" si="970"/>
        <v>0</v>
      </c>
      <c r="R696">
        <f t="shared" si="971"/>
        <v>0</v>
      </c>
      <c r="S696">
        <f t="shared" si="972"/>
        <v>0</v>
      </c>
      <c r="T696">
        <f t="shared" si="973"/>
        <v>0</v>
      </c>
    </row>
    <row r="697" spans="1:20" x14ac:dyDescent="0.25">
      <c r="A697" s="5"/>
      <c r="C697" s="4"/>
      <c r="D697" s="4"/>
      <c r="P697">
        <f t="shared" si="969"/>
        <v>0</v>
      </c>
      <c r="Q697">
        <f t="shared" si="970"/>
        <v>0</v>
      </c>
      <c r="R697">
        <f t="shared" si="971"/>
        <v>0</v>
      </c>
      <c r="S697">
        <f t="shared" si="972"/>
        <v>0</v>
      </c>
      <c r="T697">
        <f t="shared" si="973"/>
        <v>0</v>
      </c>
    </row>
    <row r="698" spans="1:20" x14ac:dyDescent="0.25">
      <c r="A698" s="5"/>
      <c r="C698" s="4"/>
      <c r="D698" s="4"/>
      <c r="P698">
        <f t="shared" si="969"/>
        <v>0</v>
      </c>
      <c r="Q698">
        <f t="shared" si="970"/>
        <v>0</v>
      </c>
      <c r="R698">
        <f t="shared" si="971"/>
        <v>0</v>
      </c>
      <c r="S698">
        <f t="shared" si="972"/>
        <v>0</v>
      </c>
      <c r="T698">
        <f t="shared" si="973"/>
        <v>0</v>
      </c>
    </row>
    <row r="699" spans="1:20" x14ac:dyDescent="0.25">
      <c r="A699" s="5"/>
      <c r="C699" s="4"/>
      <c r="D699" s="4"/>
      <c r="P699">
        <f t="shared" si="969"/>
        <v>0</v>
      </c>
      <c r="Q699">
        <f t="shared" si="970"/>
        <v>0</v>
      </c>
      <c r="R699">
        <f t="shared" si="971"/>
        <v>0</v>
      </c>
      <c r="S699">
        <f t="shared" si="972"/>
        <v>0</v>
      </c>
      <c r="T699">
        <f t="shared" si="973"/>
        <v>0</v>
      </c>
    </row>
    <row r="700" spans="1:20" x14ac:dyDescent="0.25">
      <c r="A700" s="5"/>
      <c r="C700" s="4"/>
      <c r="D700" s="4"/>
      <c r="P700">
        <f t="shared" si="969"/>
        <v>0</v>
      </c>
      <c r="Q700">
        <f t="shared" si="970"/>
        <v>0</v>
      </c>
      <c r="R700">
        <f t="shared" si="971"/>
        <v>0</v>
      </c>
      <c r="S700">
        <f t="shared" si="972"/>
        <v>0</v>
      </c>
      <c r="T700">
        <f t="shared" si="973"/>
        <v>0</v>
      </c>
    </row>
    <row r="701" spans="1:20" x14ac:dyDescent="0.25">
      <c r="A701" s="5"/>
      <c r="C701" s="4"/>
      <c r="D701" s="4"/>
      <c r="P701">
        <f t="shared" si="969"/>
        <v>0</v>
      </c>
      <c r="Q701">
        <f t="shared" si="970"/>
        <v>0</v>
      </c>
      <c r="R701">
        <f t="shared" si="971"/>
        <v>0</v>
      </c>
      <c r="S701">
        <f t="shared" si="972"/>
        <v>0</v>
      </c>
      <c r="T701">
        <f t="shared" si="973"/>
        <v>0</v>
      </c>
    </row>
    <row r="702" spans="1:20" x14ac:dyDescent="0.25">
      <c r="A702" s="5"/>
      <c r="C702" s="4"/>
      <c r="D702" s="4"/>
      <c r="P702">
        <f t="shared" si="969"/>
        <v>0</v>
      </c>
      <c r="Q702">
        <f t="shared" si="970"/>
        <v>0</v>
      </c>
      <c r="R702">
        <f t="shared" si="971"/>
        <v>0</v>
      </c>
      <c r="S702">
        <f t="shared" si="972"/>
        <v>0</v>
      </c>
      <c r="T702">
        <f t="shared" si="973"/>
        <v>0</v>
      </c>
    </row>
    <row r="703" spans="1:20" x14ac:dyDescent="0.25">
      <c r="A703" s="5"/>
      <c r="C703" s="4"/>
      <c r="D703" s="4"/>
      <c r="P703">
        <f t="shared" si="969"/>
        <v>0</v>
      </c>
      <c r="Q703">
        <f t="shared" si="970"/>
        <v>0</v>
      </c>
      <c r="R703">
        <f t="shared" si="971"/>
        <v>0</v>
      </c>
      <c r="S703">
        <f t="shared" si="972"/>
        <v>0</v>
      </c>
      <c r="T703">
        <f t="shared" si="973"/>
        <v>0</v>
      </c>
    </row>
    <row r="704" spans="1:20" x14ac:dyDescent="0.25">
      <c r="A704" s="5"/>
      <c r="C704" s="4"/>
      <c r="D704" s="4"/>
      <c r="P704">
        <f t="shared" si="969"/>
        <v>0</v>
      </c>
      <c r="Q704">
        <f t="shared" si="970"/>
        <v>0</v>
      </c>
      <c r="R704">
        <f t="shared" si="971"/>
        <v>0</v>
      </c>
      <c r="S704">
        <f t="shared" si="972"/>
        <v>0</v>
      </c>
      <c r="T704">
        <f t="shared" si="973"/>
        <v>0</v>
      </c>
    </row>
    <row r="705" spans="1:20" x14ac:dyDescent="0.25">
      <c r="A705" s="5"/>
      <c r="C705" s="4"/>
      <c r="D705" s="4"/>
      <c r="P705">
        <f t="shared" ref="P705:P761" si="974">IF(C705=D705,0,((E705-D705)-(C705-E705))/(C705-D705))</f>
        <v>0</v>
      </c>
      <c r="Q705">
        <f t="shared" ref="Q705:Q761" si="975">F705*P705</f>
        <v>0</v>
      </c>
      <c r="R705">
        <f t="shared" ref="R705:R761" si="976">R706+Q705</f>
        <v>0</v>
      </c>
      <c r="S705">
        <f t="shared" ref="S705:S761" si="977">R705/100000</f>
        <v>0</v>
      </c>
      <c r="T705">
        <f t="shared" ref="T705:T761" si="978">S705/1000</f>
        <v>0</v>
      </c>
    </row>
    <row r="706" spans="1:20" x14ac:dyDescent="0.25">
      <c r="A706" s="5"/>
      <c r="C706" s="4"/>
      <c r="D706" s="4"/>
      <c r="P706">
        <f t="shared" si="974"/>
        <v>0</v>
      </c>
      <c r="Q706">
        <f t="shared" si="975"/>
        <v>0</v>
      </c>
      <c r="R706">
        <f t="shared" si="976"/>
        <v>0</v>
      </c>
      <c r="S706">
        <f t="shared" si="977"/>
        <v>0</v>
      </c>
      <c r="T706">
        <f t="shared" si="978"/>
        <v>0</v>
      </c>
    </row>
    <row r="707" spans="1:20" x14ac:dyDescent="0.25">
      <c r="A707" s="5"/>
      <c r="C707" s="4"/>
      <c r="D707" s="4"/>
      <c r="P707">
        <f t="shared" si="974"/>
        <v>0</v>
      </c>
      <c r="Q707">
        <f t="shared" si="975"/>
        <v>0</v>
      </c>
      <c r="R707">
        <f t="shared" si="976"/>
        <v>0</v>
      </c>
      <c r="S707">
        <f t="shared" si="977"/>
        <v>0</v>
      </c>
      <c r="T707">
        <f t="shared" si="978"/>
        <v>0</v>
      </c>
    </row>
    <row r="708" spans="1:20" x14ac:dyDescent="0.25">
      <c r="A708" s="5"/>
      <c r="C708" s="4"/>
      <c r="D708" s="4"/>
      <c r="P708">
        <f t="shared" si="974"/>
        <v>0</v>
      </c>
      <c r="Q708">
        <f t="shared" si="975"/>
        <v>0</v>
      </c>
      <c r="R708">
        <f t="shared" si="976"/>
        <v>0</v>
      </c>
      <c r="S708">
        <f t="shared" si="977"/>
        <v>0</v>
      </c>
      <c r="T708">
        <f t="shared" si="978"/>
        <v>0</v>
      </c>
    </row>
    <row r="709" spans="1:20" x14ac:dyDescent="0.25">
      <c r="A709" s="5"/>
      <c r="C709" s="4"/>
      <c r="D709" s="4"/>
      <c r="P709">
        <f t="shared" si="974"/>
        <v>0</v>
      </c>
      <c r="Q709">
        <f t="shared" si="975"/>
        <v>0</v>
      </c>
      <c r="R709">
        <f t="shared" si="976"/>
        <v>0</v>
      </c>
      <c r="S709">
        <f t="shared" si="977"/>
        <v>0</v>
      </c>
      <c r="T709">
        <f t="shared" si="978"/>
        <v>0</v>
      </c>
    </row>
    <row r="710" spans="1:20" x14ac:dyDescent="0.25">
      <c r="A710" s="5"/>
      <c r="C710" s="4"/>
      <c r="D710" s="4"/>
      <c r="P710">
        <f t="shared" si="974"/>
        <v>0</v>
      </c>
      <c r="Q710">
        <f t="shared" si="975"/>
        <v>0</v>
      </c>
      <c r="R710">
        <f t="shared" si="976"/>
        <v>0</v>
      </c>
      <c r="S710">
        <f t="shared" si="977"/>
        <v>0</v>
      </c>
      <c r="T710">
        <f t="shared" si="978"/>
        <v>0</v>
      </c>
    </row>
    <row r="711" spans="1:20" x14ac:dyDescent="0.25">
      <c r="A711" s="5"/>
      <c r="C711" s="4"/>
      <c r="D711" s="4"/>
      <c r="P711">
        <f t="shared" si="974"/>
        <v>0</v>
      </c>
      <c r="Q711">
        <f t="shared" si="975"/>
        <v>0</v>
      </c>
      <c r="R711">
        <f t="shared" si="976"/>
        <v>0</v>
      </c>
      <c r="S711">
        <f t="shared" si="977"/>
        <v>0</v>
      </c>
      <c r="T711">
        <f t="shared" si="978"/>
        <v>0</v>
      </c>
    </row>
    <row r="712" spans="1:20" x14ac:dyDescent="0.25">
      <c r="A712" s="5"/>
      <c r="C712" s="4"/>
      <c r="D712" s="4"/>
      <c r="P712">
        <f t="shared" si="974"/>
        <v>0</v>
      </c>
      <c r="Q712">
        <f t="shared" si="975"/>
        <v>0</v>
      </c>
      <c r="R712">
        <f t="shared" si="976"/>
        <v>0</v>
      </c>
      <c r="S712">
        <f t="shared" si="977"/>
        <v>0</v>
      </c>
      <c r="T712">
        <f t="shared" si="978"/>
        <v>0</v>
      </c>
    </row>
    <row r="713" spans="1:20" x14ac:dyDescent="0.25">
      <c r="A713" s="5"/>
      <c r="C713" s="4"/>
      <c r="D713" s="4"/>
      <c r="P713">
        <f t="shared" si="974"/>
        <v>0</v>
      </c>
      <c r="Q713">
        <f t="shared" si="975"/>
        <v>0</v>
      </c>
      <c r="R713">
        <f t="shared" si="976"/>
        <v>0</v>
      </c>
      <c r="S713">
        <f t="shared" si="977"/>
        <v>0</v>
      </c>
      <c r="T713">
        <f t="shared" si="978"/>
        <v>0</v>
      </c>
    </row>
    <row r="714" spans="1:20" x14ac:dyDescent="0.25">
      <c r="A714" s="5"/>
      <c r="C714" s="4"/>
      <c r="D714" s="4"/>
      <c r="P714">
        <f t="shared" si="974"/>
        <v>0</v>
      </c>
      <c r="Q714">
        <f t="shared" si="975"/>
        <v>0</v>
      </c>
      <c r="R714">
        <f t="shared" si="976"/>
        <v>0</v>
      </c>
      <c r="S714">
        <f t="shared" si="977"/>
        <v>0</v>
      </c>
      <c r="T714">
        <f t="shared" si="978"/>
        <v>0</v>
      </c>
    </row>
    <row r="715" spans="1:20" x14ac:dyDescent="0.25">
      <c r="A715" s="5"/>
      <c r="C715" s="4"/>
      <c r="D715" s="4"/>
      <c r="P715">
        <f t="shared" si="974"/>
        <v>0</v>
      </c>
      <c r="Q715">
        <f t="shared" si="975"/>
        <v>0</v>
      </c>
      <c r="R715">
        <f t="shared" si="976"/>
        <v>0</v>
      </c>
      <c r="S715">
        <f t="shared" si="977"/>
        <v>0</v>
      </c>
      <c r="T715">
        <f t="shared" si="978"/>
        <v>0</v>
      </c>
    </row>
    <row r="716" spans="1:20" x14ac:dyDescent="0.25">
      <c r="A716" s="5"/>
      <c r="C716" s="4"/>
      <c r="D716" s="4"/>
      <c r="P716">
        <f t="shared" si="974"/>
        <v>0</v>
      </c>
      <c r="Q716">
        <f t="shared" si="975"/>
        <v>0</v>
      </c>
      <c r="R716">
        <f t="shared" si="976"/>
        <v>0</v>
      </c>
      <c r="S716">
        <f t="shared" si="977"/>
        <v>0</v>
      </c>
      <c r="T716">
        <f t="shared" si="978"/>
        <v>0</v>
      </c>
    </row>
    <row r="717" spans="1:20" x14ac:dyDescent="0.25">
      <c r="A717" s="5"/>
      <c r="C717" s="4"/>
      <c r="D717" s="4"/>
      <c r="P717">
        <f t="shared" si="974"/>
        <v>0</v>
      </c>
      <c r="Q717">
        <f t="shared" si="975"/>
        <v>0</v>
      </c>
      <c r="R717">
        <f t="shared" si="976"/>
        <v>0</v>
      </c>
      <c r="S717">
        <f t="shared" si="977"/>
        <v>0</v>
      </c>
      <c r="T717">
        <f t="shared" si="978"/>
        <v>0</v>
      </c>
    </row>
    <row r="718" spans="1:20" x14ac:dyDescent="0.25">
      <c r="A718" s="5"/>
      <c r="C718" s="4"/>
      <c r="D718" s="4"/>
      <c r="P718">
        <f t="shared" si="974"/>
        <v>0</v>
      </c>
      <c r="Q718">
        <f t="shared" si="975"/>
        <v>0</v>
      </c>
      <c r="R718">
        <f t="shared" si="976"/>
        <v>0</v>
      </c>
      <c r="S718">
        <f t="shared" si="977"/>
        <v>0</v>
      </c>
      <c r="T718">
        <f t="shared" si="978"/>
        <v>0</v>
      </c>
    </row>
    <row r="719" spans="1:20" x14ac:dyDescent="0.25">
      <c r="A719" s="5"/>
      <c r="C719" s="4"/>
      <c r="D719" s="4"/>
      <c r="P719">
        <f t="shared" si="974"/>
        <v>0</v>
      </c>
      <c r="Q719">
        <f t="shared" si="975"/>
        <v>0</v>
      </c>
      <c r="R719">
        <f t="shared" si="976"/>
        <v>0</v>
      </c>
      <c r="S719">
        <f t="shared" si="977"/>
        <v>0</v>
      </c>
      <c r="T719">
        <f t="shared" si="978"/>
        <v>0</v>
      </c>
    </row>
    <row r="720" spans="1:20" x14ac:dyDescent="0.25">
      <c r="A720" s="5"/>
      <c r="C720" s="4"/>
      <c r="D720" s="4"/>
      <c r="P720">
        <f t="shared" si="974"/>
        <v>0</v>
      </c>
      <c r="Q720">
        <f t="shared" si="975"/>
        <v>0</v>
      </c>
      <c r="R720">
        <f t="shared" si="976"/>
        <v>0</v>
      </c>
      <c r="S720">
        <f t="shared" si="977"/>
        <v>0</v>
      </c>
      <c r="T720">
        <f t="shared" si="978"/>
        <v>0</v>
      </c>
    </row>
    <row r="721" spans="1:20" x14ac:dyDescent="0.25">
      <c r="A721" s="5"/>
      <c r="C721" s="4"/>
      <c r="D721" s="4"/>
      <c r="P721">
        <f t="shared" si="974"/>
        <v>0</v>
      </c>
      <c r="Q721">
        <f t="shared" si="975"/>
        <v>0</v>
      </c>
      <c r="R721">
        <f t="shared" si="976"/>
        <v>0</v>
      </c>
      <c r="S721">
        <f t="shared" si="977"/>
        <v>0</v>
      </c>
      <c r="T721">
        <f t="shared" si="978"/>
        <v>0</v>
      </c>
    </row>
    <row r="722" spans="1:20" x14ac:dyDescent="0.25">
      <c r="A722" s="5"/>
      <c r="C722" s="4"/>
      <c r="D722" s="4"/>
      <c r="P722">
        <f t="shared" si="974"/>
        <v>0</v>
      </c>
      <c r="Q722">
        <f t="shared" si="975"/>
        <v>0</v>
      </c>
      <c r="R722">
        <f t="shared" si="976"/>
        <v>0</v>
      </c>
      <c r="S722">
        <f t="shared" si="977"/>
        <v>0</v>
      </c>
      <c r="T722">
        <f t="shared" si="978"/>
        <v>0</v>
      </c>
    </row>
    <row r="723" spans="1:20" x14ac:dyDescent="0.25">
      <c r="A723" s="5"/>
      <c r="C723" s="4"/>
      <c r="D723" s="4"/>
      <c r="P723">
        <f t="shared" si="974"/>
        <v>0</v>
      </c>
      <c r="Q723">
        <f t="shared" si="975"/>
        <v>0</v>
      </c>
      <c r="R723">
        <f t="shared" si="976"/>
        <v>0</v>
      </c>
      <c r="S723">
        <f t="shared" si="977"/>
        <v>0</v>
      </c>
      <c r="T723">
        <f t="shared" si="978"/>
        <v>0</v>
      </c>
    </row>
    <row r="724" spans="1:20" x14ac:dyDescent="0.25">
      <c r="A724" s="5"/>
      <c r="C724" s="4"/>
      <c r="D724" s="4"/>
      <c r="P724">
        <f t="shared" si="974"/>
        <v>0</v>
      </c>
      <c r="Q724">
        <f t="shared" si="975"/>
        <v>0</v>
      </c>
      <c r="R724">
        <f t="shared" si="976"/>
        <v>0</v>
      </c>
      <c r="S724">
        <f t="shared" si="977"/>
        <v>0</v>
      </c>
      <c r="T724">
        <f t="shared" si="978"/>
        <v>0</v>
      </c>
    </row>
    <row r="725" spans="1:20" x14ac:dyDescent="0.25">
      <c r="A725" s="5"/>
      <c r="C725" s="4"/>
      <c r="D725" s="4"/>
      <c r="P725">
        <f t="shared" si="974"/>
        <v>0</v>
      </c>
      <c r="Q725">
        <f t="shared" si="975"/>
        <v>0</v>
      </c>
      <c r="R725">
        <f t="shared" si="976"/>
        <v>0</v>
      </c>
      <c r="S725">
        <f t="shared" si="977"/>
        <v>0</v>
      </c>
      <c r="T725">
        <f t="shared" si="978"/>
        <v>0</v>
      </c>
    </row>
    <row r="726" spans="1:20" x14ac:dyDescent="0.25">
      <c r="A726" s="5"/>
      <c r="C726" s="4"/>
      <c r="D726" s="4"/>
      <c r="P726">
        <f t="shared" si="974"/>
        <v>0</v>
      </c>
      <c r="Q726">
        <f t="shared" si="975"/>
        <v>0</v>
      </c>
      <c r="R726">
        <f t="shared" si="976"/>
        <v>0</v>
      </c>
      <c r="S726">
        <f t="shared" si="977"/>
        <v>0</v>
      </c>
      <c r="T726">
        <f t="shared" si="978"/>
        <v>0</v>
      </c>
    </row>
    <row r="727" spans="1:20" x14ac:dyDescent="0.25">
      <c r="A727" s="5"/>
      <c r="C727" s="4"/>
      <c r="D727" s="4"/>
      <c r="P727">
        <f t="shared" si="974"/>
        <v>0</v>
      </c>
      <c r="Q727">
        <f t="shared" si="975"/>
        <v>0</v>
      </c>
      <c r="R727">
        <f t="shared" si="976"/>
        <v>0</v>
      </c>
      <c r="S727">
        <f t="shared" si="977"/>
        <v>0</v>
      </c>
      <c r="T727">
        <f t="shared" si="978"/>
        <v>0</v>
      </c>
    </row>
    <row r="728" spans="1:20" x14ac:dyDescent="0.25">
      <c r="A728" s="5"/>
      <c r="C728" s="4"/>
      <c r="D728" s="4"/>
      <c r="P728">
        <f t="shared" si="974"/>
        <v>0</v>
      </c>
      <c r="Q728">
        <f t="shared" si="975"/>
        <v>0</v>
      </c>
      <c r="R728">
        <f t="shared" si="976"/>
        <v>0</v>
      </c>
      <c r="S728">
        <f t="shared" si="977"/>
        <v>0</v>
      </c>
      <c r="T728">
        <f t="shared" si="978"/>
        <v>0</v>
      </c>
    </row>
    <row r="729" spans="1:20" x14ac:dyDescent="0.25">
      <c r="A729" s="5"/>
      <c r="C729" s="4"/>
      <c r="D729" s="4"/>
      <c r="P729">
        <f t="shared" si="974"/>
        <v>0</v>
      </c>
      <c r="Q729">
        <f t="shared" si="975"/>
        <v>0</v>
      </c>
      <c r="R729">
        <f t="shared" si="976"/>
        <v>0</v>
      </c>
      <c r="S729">
        <f t="shared" si="977"/>
        <v>0</v>
      </c>
      <c r="T729">
        <f t="shared" si="978"/>
        <v>0</v>
      </c>
    </row>
    <row r="730" spans="1:20" x14ac:dyDescent="0.25">
      <c r="A730" s="5"/>
      <c r="C730" s="4"/>
      <c r="D730" s="4"/>
      <c r="P730">
        <f t="shared" si="974"/>
        <v>0</v>
      </c>
      <c r="Q730">
        <f t="shared" si="975"/>
        <v>0</v>
      </c>
      <c r="R730">
        <f t="shared" si="976"/>
        <v>0</v>
      </c>
      <c r="S730">
        <f t="shared" si="977"/>
        <v>0</v>
      </c>
      <c r="T730">
        <f t="shared" si="978"/>
        <v>0</v>
      </c>
    </row>
    <row r="731" spans="1:20" x14ac:dyDescent="0.25">
      <c r="A731" s="5"/>
      <c r="C731" s="4"/>
      <c r="D731" s="4"/>
      <c r="P731">
        <f t="shared" si="974"/>
        <v>0</v>
      </c>
      <c r="Q731">
        <f t="shared" si="975"/>
        <v>0</v>
      </c>
      <c r="R731">
        <f t="shared" si="976"/>
        <v>0</v>
      </c>
      <c r="S731">
        <f t="shared" si="977"/>
        <v>0</v>
      </c>
      <c r="T731">
        <f t="shared" si="978"/>
        <v>0</v>
      </c>
    </row>
    <row r="732" spans="1:20" x14ac:dyDescent="0.25">
      <c r="A732" s="5"/>
      <c r="C732" s="4"/>
      <c r="D732" s="4"/>
      <c r="P732">
        <f t="shared" si="974"/>
        <v>0</v>
      </c>
      <c r="Q732">
        <f t="shared" si="975"/>
        <v>0</v>
      </c>
      <c r="R732">
        <f t="shared" si="976"/>
        <v>0</v>
      </c>
      <c r="S732">
        <f t="shared" si="977"/>
        <v>0</v>
      </c>
      <c r="T732">
        <f t="shared" si="978"/>
        <v>0</v>
      </c>
    </row>
    <row r="733" spans="1:20" x14ac:dyDescent="0.25">
      <c r="A733" s="5"/>
      <c r="C733" s="4"/>
      <c r="D733" s="4"/>
      <c r="P733">
        <f t="shared" si="974"/>
        <v>0</v>
      </c>
      <c r="Q733">
        <f t="shared" si="975"/>
        <v>0</v>
      </c>
      <c r="R733">
        <f t="shared" si="976"/>
        <v>0</v>
      </c>
      <c r="S733">
        <f t="shared" si="977"/>
        <v>0</v>
      </c>
      <c r="T733">
        <f t="shared" si="978"/>
        <v>0</v>
      </c>
    </row>
    <row r="734" spans="1:20" x14ac:dyDescent="0.25">
      <c r="A734" s="5"/>
      <c r="C734" s="4"/>
      <c r="D734" s="4"/>
      <c r="P734">
        <f t="shared" si="974"/>
        <v>0</v>
      </c>
      <c r="Q734">
        <f t="shared" si="975"/>
        <v>0</v>
      </c>
      <c r="R734">
        <f t="shared" si="976"/>
        <v>0</v>
      </c>
      <c r="S734">
        <f t="shared" si="977"/>
        <v>0</v>
      </c>
      <c r="T734">
        <f t="shared" si="978"/>
        <v>0</v>
      </c>
    </row>
    <row r="735" spans="1:20" x14ac:dyDescent="0.25">
      <c r="A735" s="5"/>
      <c r="C735" s="4"/>
      <c r="D735" s="4"/>
      <c r="P735">
        <f t="shared" si="974"/>
        <v>0</v>
      </c>
      <c r="Q735">
        <f t="shared" si="975"/>
        <v>0</v>
      </c>
      <c r="R735">
        <f t="shared" si="976"/>
        <v>0</v>
      </c>
      <c r="S735">
        <f t="shared" si="977"/>
        <v>0</v>
      </c>
      <c r="T735">
        <f t="shared" si="978"/>
        <v>0</v>
      </c>
    </row>
    <row r="736" spans="1:20" x14ac:dyDescent="0.25">
      <c r="A736" s="5"/>
      <c r="C736" s="4"/>
      <c r="D736" s="4"/>
      <c r="P736">
        <f t="shared" si="974"/>
        <v>0</v>
      </c>
      <c r="Q736">
        <f t="shared" si="975"/>
        <v>0</v>
      </c>
      <c r="R736">
        <f t="shared" si="976"/>
        <v>0</v>
      </c>
      <c r="S736">
        <f t="shared" si="977"/>
        <v>0</v>
      </c>
      <c r="T736">
        <f t="shared" si="978"/>
        <v>0</v>
      </c>
    </row>
    <row r="737" spans="1:20" x14ac:dyDescent="0.25">
      <c r="A737" s="5"/>
      <c r="C737" s="4"/>
      <c r="D737" s="4"/>
      <c r="P737">
        <f t="shared" si="974"/>
        <v>0</v>
      </c>
      <c r="Q737">
        <f t="shared" si="975"/>
        <v>0</v>
      </c>
      <c r="R737">
        <f t="shared" si="976"/>
        <v>0</v>
      </c>
      <c r="S737">
        <f t="shared" si="977"/>
        <v>0</v>
      </c>
      <c r="T737">
        <f t="shared" si="978"/>
        <v>0</v>
      </c>
    </row>
    <row r="738" spans="1:20" x14ac:dyDescent="0.25">
      <c r="A738" s="5"/>
      <c r="C738" s="4"/>
      <c r="D738" s="4"/>
      <c r="P738">
        <f t="shared" si="974"/>
        <v>0</v>
      </c>
      <c r="Q738">
        <f t="shared" si="975"/>
        <v>0</v>
      </c>
      <c r="R738">
        <f t="shared" si="976"/>
        <v>0</v>
      </c>
      <c r="S738">
        <f t="shared" si="977"/>
        <v>0</v>
      </c>
      <c r="T738">
        <f t="shared" si="978"/>
        <v>0</v>
      </c>
    </row>
    <row r="739" spans="1:20" x14ac:dyDescent="0.25">
      <c r="A739" s="5"/>
      <c r="C739" s="4"/>
      <c r="D739" s="4"/>
      <c r="P739">
        <f t="shared" si="974"/>
        <v>0</v>
      </c>
      <c r="Q739">
        <f t="shared" si="975"/>
        <v>0</v>
      </c>
      <c r="R739">
        <f t="shared" si="976"/>
        <v>0</v>
      </c>
      <c r="S739">
        <f t="shared" si="977"/>
        <v>0</v>
      </c>
      <c r="T739">
        <f t="shared" si="978"/>
        <v>0</v>
      </c>
    </row>
    <row r="740" spans="1:20" x14ac:dyDescent="0.25">
      <c r="A740" s="5"/>
      <c r="C740" s="4"/>
      <c r="D740" s="4"/>
      <c r="P740">
        <f t="shared" si="974"/>
        <v>0</v>
      </c>
      <c r="Q740">
        <f t="shared" si="975"/>
        <v>0</v>
      </c>
      <c r="R740">
        <f t="shared" si="976"/>
        <v>0</v>
      </c>
      <c r="S740">
        <f t="shared" si="977"/>
        <v>0</v>
      </c>
      <c r="T740">
        <f t="shared" si="978"/>
        <v>0</v>
      </c>
    </row>
    <row r="741" spans="1:20" x14ac:dyDescent="0.25">
      <c r="A741" s="5"/>
      <c r="C741" s="4"/>
      <c r="D741" s="4"/>
      <c r="P741">
        <f t="shared" si="974"/>
        <v>0</v>
      </c>
      <c r="Q741">
        <f t="shared" si="975"/>
        <v>0</v>
      </c>
      <c r="R741">
        <f t="shared" si="976"/>
        <v>0</v>
      </c>
      <c r="S741">
        <f t="shared" si="977"/>
        <v>0</v>
      </c>
      <c r="T741">
        <f t="shared" si="978"/>
        <v>0</v>
      </c>
    </row>
    <row r="742" spans="1:20" x14ac:dyDescent="0.25">
      <c r="A742" s="5"/>
      <c r="C742" s="4"/>
      <c r="D742" s="4"/>
      <c r="P742">
        <f t="shared" si="974"/>
        <v>0</v>
      </c>
      <c r="Q742">
        <f t="shared" si="975"/>
        <v>0</v>
      </c>
      <c r="R742">
        <f t="shared" si="976"/>
        <v>0</v>
      </c>
      <c r="S742">
        <f t="shared" si="977"/>
        <v>0</v>
      </c>
      <c r="T742">
        <f t="shared" si="978"/>
        <v>0</v>
      </c>
    </row>
    <row r="743" spans="1:20" x14ac:dyDescent="0.25">
      <c r="A743" s="5"/>
      <c r="C743" s="4"/>
      <c r="D743" s="4"/>
      <c r="P743">
        <f t="shared" si="974"/>
        <v>0</v>
      </c>
      <c r="Q743">
        <f t="shared" si="975"/>
        <v>0</v>
      </c>
      <c r="R743">
        <f t="shared" si="976"/>
        <v>0</v>
      </c>
      <c r="S743">
        <f t="shared" si="977"/>
        <v>0</v>
      </c>
      <c r="T743">
        <f t="shared" si="978"/>
        <v>0</v>
      </c>
    </row>
    <row r="744" spans="1:20" x14ac:dyDescent="0.25">
      <c r="A744" s="5"/>
      <c r="C744" s="4"/>
      <c r="D744" s="4"/>
      <c r="P744">
        <f t="shared" si="974"/>
        <v>0</v>
      </c>
      <c r="Q744">
        <f t="shared" si="975"/>
        <v>0</v>
      </c>
      <c r="R744">
        <f t="shared" si="976"/>
        <v>0</v>
      </c>
      <c r="S744">
        <f t="shared" si="977"/>
        <v>0</v>
      </c>
      <c r="T744">
        <f t="shared" si="978"/>
        <v>0</v>
      </c>
    </row>
    <row r="745" spans="1:20" x14ac:dyDescent="0.25">
      <c r="A745" s="5"/>
      <c r="C745" s="4"/>
      <c r="D745" s="4"/>
      <c r="P745">
        <f t="shared" si="974"/>
        <v>0</v>
      </c>
      <c r="Q745">
        <f t="shared" si="975"/>
        <v>0</v>
      </c>
      <c r="R745">
        <f t="shared" si="976"/>
        <v>0</v>
      </c>
      <c r="S745">
        <f t="shared" si="977"/>
        <v>0</v>
      </c>
      <c r="T745">
        <f t="shared" si="978"/>
        <v>0</v>
      </c>
    </row>
    <row r="746" spans="1:20" x14ac:dyDescent="0.25">
      <c r="A746" s="5"/>
      <c r="C746" s="4"/>
      <c r="D746" s="4"/>
      <c r="P746">
        <f t="shared" si="974"/>
        <v>0</v>
      </c>
      <c r="Q746">
        <f t="shared" si="975"/>
        <v>0</v>
      </c>
      <c r="R746">
        <f t="shared" si="976"/>
        <v>0</v>
      </c>
      <c r="S746">
        <f t="shared" si="977"/>
        <v>0</v>
      </c>
      <c r="T746">
        <f t="shared" si="978"/>
        <v>0</v>
      </c>
    </row>
    <row r="747" spans="1:20" x14ac:dyDescent="0.25">
      <c r="A747" s="5"/>
      <c r="C747" s="4"/>
      <c r="D747" s="4"/>
      <c r="P747">
        <f t="shared" si="974"/>
        <v>0</v>
      </c>
      <c r="Q747">
        <f t="shared" si="975"/>
        <v>0</v>
      </c>
      <c r="R747">
        <f t="shared" si="976"/>
        <v>0</v>
      </c>
      <c r="S747">
        <f t="shared" si="977"/>
        <v>0</v>
      </c>
      <c r="T747">
        <f t="shared" si="978"/>
        <v>0</v>
      </c>
    </row>
    <row r="748" spans="1:20" x14ac:dyDescent="0.25">
      <c r="A748" s="5"/>
      <c r="C748" s="4"/>
      <c r="D748" s="4"/>
      <c r="P748">
        <f t="shared" si="974"/>
        <v>0</v>
      </c>
      <c r="Q748">
        <f t="shared" si="975"/>
        <v>0</v>
      </c>
      <c r="R748">
        <f t="shared" si="976"/>
        <v>0</v>
      </c>
      <c r="S748">
        <f t="shared" si="977"/>
        <v>0</v>
      </c>
      <c r="T748">
        <f t="shared" si="978"/>
        <v>0</v>
      </c>
    </row>
    <row r="749" spans="1:20" x14ac:dyDescent="0.25">
      <c r="A749" s="5"/>
      <c r="C749" s="4"/>
      <c r="D749" s="4"/>
      <c r="P749">
        <f t="shared" si="974"/>
        <v>0</v>
      </c>
      <c r="Q749">
        <f t="shared" si="975"/>
        <v>0</v>
      </c>
      <c r="R749">
        <f t="shared" si="976"/>
        <v>0</v>
      </c>
      <c r="S749">
        <f t="shared" si="977"/>
        <v>0</v>
      </c>
      <c r="T749">
        <f t="shared" si="978"/>
        <v>0</v>
      </c>
    </row>
    <row r="750" spans="1:20" x14ac:dyDescent="0.25">
      <c r="A750" s="5"/>
      <c r="C750" s="4"/>
      <c r="D750" s="4"/>
      <c r="P750">
        <f t="shared" si="974"/>
        <v>0</v>
      </c>
      <c r="Q750">
        <f t="shared" si="975"/>
        <v>0</v>
      </c>
      <c r="R750">
        <f t="shared" si="976"/>
        <v>0</v>
      </c>
      <c r="S750">
        <f t="shared" si="977"/>
        <v>0</v>
      </c>
      <c r="T750">
        <f t="shared" si="978"/>
        <v>0</v>
      </c>
    </row>
    <row r="751" spans="1:20" x14ac:dyDescent="0.25">
      <c r="A751" s="5"/>
      <c r="C751" s="4"/>
      <c r="D751" s="4"/>
      <c r="P751">
        <f t="shared" si="974"/>
        <v>0</v>
      </c>
      <c r="Q751">
        <f t="shared" si="975"/>
        <v>0</v>
      </c>
      <c r="R751">
        <f t="shared" si="976"/>
        <v>0</v>
      </c>
      <c r="S751">
        <f t="shared" si="977"/>
        <v>0</v>
      </c>
      <c r="T751">
        <f t="shared" si="978"/>
        <v>0</v>
      </c>
    </row>
    <row r="752" spans="1:20" x14ac:dyDescent="0.25">
      <c r="A752" s="5"/>
      <c r="C752" s="4"/>
      <c r="D752" s="4"/>
      <c r="P752">
        <f t="shared" si="974"/>
        <v>0</v>
      </c>
      <c r="Q752">
        <f t="shared" si="975"/>
        <v>0</v>
      </c>
      <c r="R752">
        <f t="shared" si="976"/>
        <v>0</v>
      </c>
      <c r="S752">
        <f t="shared" si="977"/>
        <v>0</v>
      </c>
      <c r="T752">
        <f t="shared" si="978"/>
        <v>0</v>
      </c>
    </row>
    <row r="753" spans="1:20" x14ac:dyDescent="0.25">
      <c r="A753" s="5"/>
      <c r="C753" s="4"/>
      <c r="D753" s="4"/>
      <c r="P753">
        <f t="shared" si="974"/>
        <v>0</v>
      </c>
      <c r="Q753">
        <f t="shared" si="975"/>
        <v>0</v>
      </c>
      <c r="R753">
        <f t="shared" si="976"/>
        <v>0</v>
      </c>
      <c r="S753">
        <f t="shared" si="977"/>
        <v>0</v>
      </c>
      <c r="T753">
        <f t="shared" si="978"/>
        <v>0</v>
      </c>
    </row>
    <row r="754" spans="1:20" x14ac:dyDescent="0.25">
      <c r="A754" s="5"/>
      <c r="C754" s="4"/>
      <c r="D754" s="4"/>
      <c r="P754">
        <f t="shared" si="974"/>
        <v>0</v>
      </c>
      <c r="Q754">
        <f t="shared" si="975"/>
        <v>0</v>
      </c>
      <c r="R754">
        <f t="shared" si="976"/>
        <v>0</v>
      </c>
      <c r="S754">
        <f t="shared" si="977"/>
        <v>0</v>
      </c>
      <c r="T754">
        <f t="shared" si="978"/>
        <v>0</v>
      </c>
    </row>
    <row r="755" spans="1:20" x14ac:dyDescent="0.25">
      <c r="A755" s="5"/>
      <c r="C755" s="4"/>
      <c r="D755" s="4"/>
      <c r="P755">
        <f t="shared" si="974"/>
        <v>0</v>
      </c>
      <c r="Q755">
        <f t="shared" si="975"/>
        <v>0</v>
      </c>
      <c r="R755">
        <f t="shared" si="976"/>
        <v>0</v>
      </c>
      <c r="S755">
        <f t="shared" si="977"/>
        <v>0</v>
      </c>
      <c r="T755">
        <f t="shared" si="978"/>
        <v>0</v>
      </c>
    </row>
    <row r="756" spans="1:20" x14ac:dyDescent="0.25">
      <c r="A756" s="5"/>
      <c r="C756" s="4"/>
      <c r="D756" s="4"/>
      <c r="P756">
        <f t="shared" si="974"/>
        <v>0</v>
      </c>
      <c r="Q756">
        <f t="shared" si="975"/>
        <v>0</v>
      </c>
      <c r="R756">
        <f t="shared" si="976"/>
        <v>0</v>
      </c>
      <c r="S756">
        <f t="shared" si="977"/>
        <v>0</v>
      </c>
      <c r="T756">
        <f t="shared" si="978"/>
        <v>0</v>
      </c>
    </row>
    <row r="757" spans="1:20" x14ac:dyDescent="0.25">
      <c r="A757" s="5"/>
      <c r="C757" s="4"/>
      <c r="D757" s="4"/>
      <c r="P757">
        <f t="shared" si="974"/>
        <v>0</v>
      </c>
      <c r="Q757">
        <f t="shared" si="975"/>
        <v>0</v>
      </c>
      <c r="R757">
        <f t="shared" si="976"/>
        <v>0</v>
      </c>
      <c r="S757">
        <f t="shared" si="977"/>
        <v>0</v>
      </c>
      <c r="T757">
        <f t="shared" si="978"/>
        <v>0</v>
      </c>
    </row>
    <row r="758" spans="1:20" x14ac:dyDescent="0.25">
      <c r="A758" s="5"/>
      <c r="C758" s="4"/>
      <c r="D758" s="4"/>
      <c r="P758">
        <f t="shared" si="974"/>
        <v>0</v>
      </c>
      <c r="Q758">
        <f t="shared" si="975"/>
        <v>0</v>
      </c>
      <c r="R758">
        <f t="shared" si="976"/>
        <v>0</v>
      </c>
      <c r="S758">
        <f t="shared" si="977"/>
        <v>0</v>
      </c>
      <c r="T758">
        <f t="shared" si="978"/>
        <v>0</v>
      </c>
    </row>
    <row r="759" spans="1:20" x14ac:dyDescent="0.25">
      <c r="A759" s="5"/>
      <c r="C759" s="4"/>
      <c r="D759" s="4"/>
      <c r="P759">
        <f t="shared" si="974"/>
        <v>0</v>
      </c>
      <c r="Q759">
        <f t="shared" si="975"/>
        <v>0</v>
      </c>
      <c r="R759">
        <f t="shared" si="976"/>
        <v>0</v>
      </c>
      <c r="S759">
        <f t="shared" si="977"/>
        <v>0</v>
      </c>
      <c r="T759">
        <f t="shared" si="978"/>
        <v>0</v>
      </c>
    </row>
    <row r="760" spans="1:20" x14ac:dyDescent="0.25">
      <c r="A760" s="5"/>
      <c r="C760" s="4"/>
      <c r="D760" s="4"/>
      <c r="P760">
        <f t="shared" si="974"/>
        <v>0</v>
      </c>
      <c r="Q760">
        <f t="shared" si="975"/>
        <v>0</v>
      </c>
      <c r="R760">
        <f t="shared" si="976"/>
        <v>0</v>
      </c>
      <c r="S760">
        <f t="shared" si="977"/>
        <v>0</v>
      </c>
      <c r="T760">
        <f t="shared" si="978"/>
        <v>0</v>
      </c>
    </row>
    <row r="761" spans="1:20" x14ac:dyDescent="0.25">
      <c r="A761" s="5"/>
      <c r="C761" s="4"/>
      <c r="D761" s="4"/>
      <c r="P761">
        <f t="shared" si="974"/>
        <v>0</v>
      </c>
      <c r="Q761">
        <f t="shared" si="975"/>
        <v>0</v>
      </c>
      <c r="R761">
        <f t="shared" si="976"/>
        <v>0</v>
      </c>
      <c r="S761">
        <f t="shared" si="977"/>
        <v>0</v>
      </c>
      <c r="T761">
        <f t="shared" si="978"/>
        <v>0</v>
      </c>
    </row>
    <row r="762" spans="1:20" x14ac:dyDescent="0.25">
      <c r="A762" s="5"/>
      <c r="C762" s="4"/>
      <c r="D762" s="4"/>
    </row>
    <row r="763" spans="1:20" x14ac:dyDescent="0.25">
      <c r="A763" s="5"/>
      <c r="C763" s="4"/>
      <c r="D763" s="4"/>
    </row>
    <row r="764" spans="1:20" x14ac:dyDescent="0.25">
      <c r="A764" s="5"/>
      <c r="C764" s="4"/>
      <c r="D764" s="4"/>
    </row>
    <row r="765" spans="1:20" x14ac:dyDescent="0.25">
      <c r="A765" s="5"/>
      <c r="C765" s="4"/>
      <c r="D765" s="4"/>
    </row>
    <row r="766" spans="1:20" x14ac:dyDescent="0.25">
      <c r="A766" s="5"/>
      <c r="C766" s="4"/>
      <c r="D766" s="4"/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</row>
    <row r="949" spans="1:4" x14ac:dyDescent="0.25">
      <c r="A949" s="5"/>
    </row>
    <row r="950" spans="1:4" x14ac:dyDescent="0.25">
      <c r="A950" s="5"/>
    </row>
    <row r="951" spans="1:4" x14ac:dyDescent="0.25">
      <c r="A951" s="5"/>
    </row>
    <row r="952" spans="1:4" x14ac:dyDescent="0.25">
      <c r="A952" s="5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</row>
    <row r="1712" spans="1:4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</sheetData>
  <conditionalFormatting sqref="D1:D4 D372:D1048576">
    <cfRule type="cellIs" dxfId="287" priority="194" operator="lessThan">
      <formula>$A$2</formula>
    </cfRule>
  </conditionalFormatting>
  <conditionalFormatting sqref="D202:D371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R799" sqref="GR79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$A$798</v>
      </c>
      <c r="D111" s="1" t="str">
        <f>ADDRESS(C121-1,D121,1,1)</f>
        <v>$GR$798</v>
      </c>
      <c r="E111"/>
    </row>
    <row r="112" spans="1:5" x14ac:dyDescent="0.25">
      <c r="A112" s="7">
        <v>12164.144957890772</v>
      </c>
      <c r="C112" s="1" t="str">
        <f>ADDRESS(C121,1,1,1)</f>
        <v>$A$799</v>
      </c>
      <c r="D112" s="1" t="str">
        <f>ADDRESS(C121,D121-1,1,1)</f>
        <v>$GQ$799</v>
      </c>
      <c r="E112"/>
    </row>
    <row r="113" spans="1:5" x14ac:dyDescent="0.25">
      <c r="A113" s="7">
        <v>11925.63231165762</v>
      </c>
      <c r="C113" s="1" t="str">
        <f>ADDRESS(C121+1,1,1,1)</f>
        <v>$A$800</v>
      </c>
      <c r="D113" s="1" t="str">
        <f>ADDRESS(C121-1,D121+1,1,1)</f>
        <v>$GS$798</v>
      </c>
    </row>
    <row r="114" spans="1:5" x14ac:dyDescent="0.25">
      <c r="A114" s="7">
        <v>11691.796383978059</v>
      </c>
      <c r="C114" s="1" t="str">
        <f>ADDRESS(C121,D121,1,1)</f>
        <v>$GR$799</v>
      </c>
      <c r="D114" s="1" t="str">
        <f>ADDRESS(C121+1,D121+1,1,1)</f>
        <v>$GS$800</v>
      </c>
    </row>
    <row r="115" spans="1:5" x14ac:dyDescent="0.25">
      <c r="A115" s="7">
        <v>11462.545474488292</v>
      </c>
      <c r="C115" s="1" t="str">
        <f>ADDRESS(C121+1,D121,1,1)</f>
        <v>$GR$800</v>
      </c>
    </row>
    <row r="116" spans="1:5" x14ac:dyDescent="0.25">
      <c r="A116" s="7">
        <v>11237.789680870874</v>
      </c>
      <c r="C116" s="1">
        <f>C117-1</f>
        <v>798</v>
      </c>
    </row>
    <row r="117" spans="1:5" x14ac:dyDescent="0.25">
      <c r="A117" s="7">
        <v>11017.440863598895</v>
      </c>
      <c r="C117" s="1">
        <f>C121</f>
        <v>799</v>
      </c>
      <c r="D117" s="1">
        <f>D121</f>
        <v>200</v>
      </c>
    </row>
    <row r="118" spans="1:5" x14ac:dyDescent="0.25">
      <c r="A118" s="7">
        <v>10801.412611371465</v>
      </c>
      <c r="C118" s="1">
        <f>C117+1</f>
        <v>800</v>
      </c>
      <c r="D118" s="1">
        <f>D117+1</f>
        <v>201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799</v>
      </c>
      <c r="D121" s="19">
        <v>200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R799</v>
      </c>
      <c r="D123" s="1" t="str">
        <f>"C"&amp;D121</f>
        <v>C200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1.5023239350021535E-2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6" x14ac:dyDescent="0.25">
      <c r="A737" s="7">
        <v>5.1283095966678877E-2</v>
      </c>
      <c r="B737"/>
      <c r="C737"/>
      <c r="D737"/>
      <c r="E737"/>
      <c r="F737" s="27" t="s">
        <v>7</v>
      </c>
    </row>
    <row r="738" spans="1:66" x14ac:dyDescent="0.25">
      <c r="A738" s="7">
        <v>5.0277545065371444E-2</v>
      </c>
      <c r="B738"/>
      <c r="C738"/>
      <c r="D738"/>
      <c r="E738"/>
      <c r="F738" s="27" t="s">
        <v>7</v>
      </c>
    </row>
    <row r="739" spans="1:66" x14ac:dyDescent="0.25">
      <c r="A739" s="7">
        <v>4.9291710848403378E-2</v>
      </c>
      <c r="B739"/>
      <c r="C739"/>
      <c r="D739"/>
      <c r="E739"/>
      <c r="F739" s="27" t="s">
        <v>7</v>
      </c>
    </row>
    <row r="740" spans="1:66" x14ac:dyDescent="0.25">
      <c r="A740" s="7">
        <v>4.8325206714120959E-2</v>
      </c>
      <c r="B740"/>
      <c r="C740"/>
      <c r="D740"/>
      <c r="E740"/>
      <c r="F740" s="27" t="s">
        <v>7</v>
      </c>
    </row>
    <row r="741" spans="1:66" x14ac:dyDescent="0.25">
      <c r="A741" s="7">
        <v>4.7377653641295057E-2</v>
      </c>
      <c r="B741"/>
      <c r="C741"/>
      <c r="D741"/>
      <c r="E741"/>
      <c r="F741" s="27" t="s">
        <v>7</v>
      </c>
    </row>
    <row r="742" spans="1:66" x14ac:dyDescent="0.25">
      <c r="A742" s="7">
        <v>4.644868004048535E-2</v>
      </c>
      <c r="B742"/>
      <c r="C742"/>
      <c r="D742"/>
      <c r="E742"/>
      <c r="F742" s="27" t="s">
        <v>7</v>
      </c>
    </row>
    <row r="743" spans="1:66" x14ac:dyDescent="0.25">
      <c r="A743" s="7">
        <v>4.5537921608318974E-2</v>
      </c>
      <c r="B743"/>
      <c r="C743"/>
      <c r="D743"/>
      <c r="E743"/>
      <c r="F743" s="27" t="s">
        <v>7</v>
      </c>
    </row>
    <row r="744" spans="1:66" x14ac:dyDescent="0.25">
      <c r="A744" s="7">
        <v>4.4645021184626446E-2</v>
      </c>
      <c r="B744"/>
      <c r="C744"/>
      <c r="D744"/>
      <c r="E744"/>
      <c r="F744" s="27" t="s">
        <v>7</v>
      </c>
    </row>
    <row r="745" spans="1:66" x14ac:dyDescent="0.25">
      <c r="A745" s="7">
        <v>4.3769628612378868E-2</v>
      </c>
      <c r="B745"/>
      <c r="C745"/>
      <c r="D745"/>
      <c r="E745"/>
      <c r="F745" s="27" t="s">
        <v>7</v>
      </c>
      <c r="AO745" s="27" t="s">
        <v>8</v>
      </c>
    </row>
    <row r="746" spans="1:66" x14ac:dyDescent="0.25">
      <c r="A746" s="7">
        <v>4.2911400600371442E-2</v>
      </c>
      <c r="B746"/>
      <c r="C746"/>
      <c r="D746"/>
      <c r="E746"/>
      <c r="F746" s="27" t="s">
        <v>7</v>
      </c>
      <c r="AO746" s="27" t="s">
        <v>8</v>
      </c>
      <c r="AP746" s="27" t="s">
        <v>7</v>
      </c>
    </row>
    <row r="747" spans="1:66" x14ac:dyDescent="0.25">
      <c r="A747" s="7">
        <v>4.2070000588599457E-2</v>
      </c>
      <c r="B747"/>
      <c r="C747"/>
      <c r="D747"/>
      <c r="E747"/>
      <c r="F747" s="27" t="s">
        <v>7</v>
      </c>
      <c r="AO747" s="27" t="s">
        <v>8</v>
      </c>
      <c r="AP747" s="27" t="s">
        <v>7</v>
      </c>
    </row>
    <row r="748" spans="1:66" x14ac:dyDescent="0.25">
      <c r="A748" s="7">
        <v>4.1245098616273977E-2</v>
      </c>
      <c r="B748"/>
      <c r="C748"/>
      <c r="D748"/>
      <c r="E748"/>
      <c r="F748" s="27" t="s">
        <v>7</v>
      </c>
      <c r="AO748" s="27" t="s">
        <v>8</v>
      </c>
      <c r="AP748" s="27" t="s">
        <v>7</v>
      </c>
      <c r="BM748" s="27" t="s">
        <v>8</v>
      </c>
    </row>
    <row r="749" spans="1:66" x14ac:dyDescent="0.25">
      <c r="A749" s="7">
        <v>4.043637119242547E-2</v>
      </c>
      <c r="B749"/>
      <c r="C749"/>
      <c r="D749"/>
      <c r="E749"/>
      <c r="F749" s="27" t="s">
        <v>7</v>
      </c>
      <c r="AO749" s="27" t="s">
        <v>8</v>
      </c>
      <c r="AP749" s="27" t="s">
        <v>7</v>
      </c>
      <c r="BM749" s="27" t="s">
        <v>8</v>
      </c>
      <c r="BN749" s="27" t="s">
        <v>7</v>
      </c>
    </row>
    <row r="750" spans="1:66" x14ac:dyDescent="0.25">
      <c r="A750" s="7">
        <v>3.9643501169044582E-2</v>
      </c>
      <c r="B750"/>
      <c r="C750"/>
      <c r="D750"/>
      <c r="E750"/>
      <c r="F750" s="27" t="s">
        <v>7</v>
      </c>
      <c r="AO750" s="27" t="s">
        <v>8</v>
      </c>
      <c r="AP750" s="27" t="s">
        <v>7</v>
      </c>
      <c r="BM750" s="27" t="s">
        <v>8</v>
      </c>
      <c r="BN750" s="27" t="s">
        <v>7</v>
      </c>
    </row>
    <row r="751" spans="1:66" x14ac:dyDescent="0.25">
      <c r="A751" s="7">
        <v>3.8866177616710372E-2</v>
      </c>
      <c r="B751"/>
      <c r="C751"/>
      <c r="D751"/>
      <c r="E751"/>
      <c r="F751" s="27" t="s">
        <v>7</v>
      </c>
      <c r="AO751" s="27" t="s">
        <v>8</v>
      </c>
      <c r="AP751" s="27" t="s">
        <v>7</v>
      </c>
      <c r="BM751" s="27" t="s">
        <v>8</v>
      </c>
      <c r="BN751" s="27" t="s">
        <v>7</v>
      </c>
    </row>
    <row r="752" spans="1:66" x14ac:dyDescent="0.25">
      <c r="A752" s="7">
        <v>3.8104095702657229E-2</v>
      </c>
      <c r="B752"/>
      <c r="C752"/>
      <c r="D752"/>
      <c r="E752"/>
      <c r="F752" s="27" t="s">
        <v>7</v>
      </c>
      <c r="AO752" s="27" t="s">
        <v>8</v>
      </c>
      <c r="AP752" s="27" t="s">
        <v>7</v>
      </c>
      <c r="BM752" s="27" t="s">
        <v>8</v>
      </c>
      <c r="BN752" s="27" t="s">
        <v>7</v>
      </c>
    </row>
    <row r="753" spans="1:172" x14ac:dyDescent="0.25">
      <c r="A753" s="7">
        <v>3.7356956571232579E-2</v>
      </c>
      <c r="B753"/>
      <c r="C753"/>
      <c r="D753"/>
      <c r="E753"/>
      <c r="F753" s="27" t="s">
        <v>7</v>
      </c>
      <c r="AO753" s="27" t="s">
        <v>8</v>
      </c>
      <c r="AP753" s="27" t="s">
        <v>7</v>
      </c>
      <c r="BM753" s="27" t="s">
        <v>8</v>
      </c>
      <c r="BN753" s="27" t="s">
        <v>7</v>
      </c>
    </row>
    <row r="754" spans="1:172" x14ac:dyDescent="0.25">
      <c r="A754" s="7">
        <v>3.6624467226698605E-2</v>
      </c>
      <c r="B754"/>
      <c r="C754"/>
      <c r="D754"/>
      <c r="E754"/>
      <c r="F754" s="27" t="s">
        <v>7</v>
      </c>
      <c r="AO754" s="27" t="s">
        <v>8</v>
      </c>
      <c r="AP754" s="27" t="s">
        <v>7</v>
      </c>
      <c r="BM754" s="27" t="s">
        <v>8</v>
      </c>
      <c r="BN754" s="27" t="s">
        <v>7</v>
      </c>
    </row>
    <row r="755" spans="1:172" x14ac:dyDescent="0.25">
      <c r="A755" s="7">
        <v>3.5906340418331961E-2</v>
      </c>
      <c r="B755"/>
      <c r="C755"/>
      <c r="D755"/>
      <c r="E755"/>
      <c r="F755" s="27" t="s">
        <v>7</v>
      </c>
      <c r="AO755" s="27" t="s">
        <v>8</v>
      </c>
      <c r="AP755" s="27" t="s">
        <v>7</v>
      </c>
      <c r="AQ755" s="27" t="s">
        <v>8</v>
      </c>
      <c r="BM755" s="27" t="s">
        <v>8</v>
      </c>
      <c r="BN755" s="27" t="s">
        <v>7</v>
      </c>
    </row>
    <row r="756" spans="1:172" x14ac:dyDescent="0.25">
      <c r="A756" s="7">
        <v>3.5202294527776436E-2</v>
      </c>
      <c r="B756"/>
      <c r="C756"/>
      <c r="D756"/>
      <c r="E756"/>
      <c r="F756" s="27" t="s">
        <v>7</v>
      </c>
      <c r="AO756" s="27" t="s">
        <v>8</v>
      </c>
      <c r="AP756" s="27" t="s">
        <v>7</v>
      </c>
      <c r="AQ756" s="27" t="s">
        <v>8</v>
      </c>
      <c r="AR756" s="27" t="s">
        <v>7</v>
      </c>
      <c r="BM756" s="27" t="s">
        <v>8</v>
      </c>
      <c r="BN756" s="27" t="s">
        <v>7</v>
      </c>
      <c r="FM756" s="27" t="s">
        <v>8</v>
      </c>
    </row>
    <row r="757" spans="1:172" x14ac:dyDescent="0.25">
      <c r="A757" s="7">
        <v>3.451205345860435E-2</v>
      </c>
      <c r="B757"/>
      <c r="C757"/>
      <c r="D757"/>
      <c r="E757"/>
      <c r="F757" s="27" t="s">
        <v>7</v>
      </c>
      <c r="AO757" s="27" t="s">
        <v>8</v>
      </c>
      <c r="AP757" s="27" t="s">
        <v>7</v>
      </c>
      <c r="AQ757" s="27" t="s">
        <v>8</v>
      </c>
      <c r="AR757" s="27" t="s">
        <v>7</v>
      </c>
      <c r="AU757" s="27" t="s">
        <v>8</v>
      </c>
      <c r="BM757" s="27" t="s">
        <v>8</v>
      </c>
      <c r="BN757" s="27" t="s">
        <v>7</v>
      </c>
      <c r="FM757" s="27" t="s">
        <v>8</v>
      </c>
      <c r="FN757" s="27" t="s">
        <v>7</v>
      </c>
    </row>
    <row r="758" spans="1:172" x14ac:dyDescent="0.25">
      <c r="A758" s="7">
        <v>3.3835346528043479E-2</v>
      </c>
      <c r="B758"/>
      <c r="C758"/>
      <c r="D758"/>
      <c r="E758"/>
      <c r="F758" s="27" t="s">
        <v>7</v>
      </c>
      <c r="AO758" s="27" t="s">
        <v>8</v>
      </c>
      <c r="AP758" s="27" t="s">
        <v>7</v>
      </c>
      <c r="AQ758" s="27" t="s">
        <v>8</v>
      </c>
      <c r="AR758" s="27" t="s">
        <v>7</v>
      </c>
      <c r="AU758" s="27" t="s">
        <v>8</v>
      </c>
      <c r="AV758" s="27" t="s">
        <v>7</v>
      </c>
      <c r="BM758" s="27" t="s">
        <v>8</v>
      </c>
      <c r="BN758" s="27" t="s">
        <v>7</v>
      </c>
      <c r="FM758" s="27" t="s">
        <v>8</v>
      </c>
      <c r="FN758" s="27" t="s">
        <v>7</v>
      </c>
    </row>
    <row r="759" spans="1:172" x14ac:dyDescent="0.25">
      <c r="A759" s="7">
        <v>3.3171908360826938E-2</v>
      </c>
      <c r="B759"/>
      <c r="C759"/>
      <c r="D759"/>
      <c r="E759"/>
      <c r="F759" s="27" t="s">
        <v>7</v>
      </c>
      <c r="AO759" s="27" t="s">
        <v>8</v>
      </c>
      <c r="AP759" s="27" t="s">
        <v>7</v>
      </c>
      <c r="AQ759" s="27" t="s">
        <v>8</v>
      </c>
      <c r="AR759" s="27" t="s">
        <v>7</v>
      </c>
      <c r="AU759" s="27" t="s">
        <v>8</v>
      </c>
      <c r="AV759" s="27" t="s">
        <v>7</v>
      </c>
      <c r="AY759" s="27" t="s">
        <v>8</v>
      </c>
      <c r="BM759" s="27" t="s">
        <v>8</v>
      </c>
      <c r="BN759" s="27" t="s">
        <v>7</v>
      </c>
      <c r="FC759" s="27" t="s">
        <v>8</v>
      </c>
      <c r="FE759" s="27" t="s">
        <v>8</v>
      </c>
      <c r="FM759" s="27" t="s">
        <v>8</v>
      </c>
      <c r="FN759" s="27" t="s">
        <v>7</v>
      </c>
      <c r="FO759" s="27" t="s">
        <v>8</v>
      </c>
    </row>
    <row r="760" spans="1:172" x14ac:dyDescent="0.25">
      <c r="A760" s="7">
        <v>3.2521478785124451E-2</v>
      </c>
      <c r="B760"/>
      <c r="C760"/>
      <c r="D760"/>
      <c r="E760"/>
      <c r="F760" s="27" t="s">
        <v>7</v>
      </c>
      <c r="AO760" s="27" t="s">
        <v>8</v>
      </c>
      <c r="AP760" s="27" t="s">
        <v>7</v>
      </c>
      <c r="AQ760" s="27" t="s">
        <v>8</v>
      </c>
      <c r="AR760" s="27" t="s">
        <v>7</v>
      </c>
      <c r="AU760" s="27" t="s">
        <v>8</v>
      </c>
      <c r="AV760" s="27" t="s">
        <v>7</v>
      </c>
      <c r="AY760" s="27" t="s">
        <v>8</v>
      </c>
      <c r="AZ760" s="27" t="s">
        <v>7</v>
      </c>
      <c r="BM760" s="27" t="s">
        <v>8</v>
      </c>
      <c r="BN760" s="27" t="s">
        <v>7</v>
      </c>
      <c r="FC760" s="27" t="s">
        <v>8</v>
      </c>
      <c r="FD760" s="27" t="s">
        <v>7</v>
      </c>
      <c r="FE760" s="27" t="s">
        <v>8</v>
      </c>
      <c r="FF760" s="27" t="s">
        <v>7</v>
      </c>
      <c r="FM760" s="27" t="s">
        <v>8</v>
      </c>
      <c r="FN760" s="27" t="s">
        <v>7</v>
      </c>
      <c r="FO760" s="27" t="s">
        <v>8</v>
      </c>
      <c r="FP760" s="27" t="s">
        <v>7</v>
      </c>
    </row>
    <row r="761" spans="1:172" x14ac:dyDescent="0.25">
      <c r="A761" s="7">
        <v>3.1883802730514173E-2</v>
      </c>
      <c r="B761"/>
      <c r="C761"/>
      <c r="D761"/>
      <c r="E761"/>
      <c r="F761" s="27" t="s">
        <v>7</v>
      </c>
      <c r="AO761" s="27" t="s">
        <v>8</v>
      </c>
      <c r="AP761" s="27" t="s">
        <v>7</v>
      </c>
      <c r="AQ761" s="27" t="s">
        <v>8</v>
      </c>
      <c r="AR761" s="27" t="s">
        <v>7</v>
      </c>
      <c r="AS761" s="27" t="s">
        <v>8</v>
      </c>
      <c r="AU761" s="27" t="s">
        <v>8</v>
      </c>
      <c r="AV761" s="27" t="s">
        <v>7</v>
      </c>
      <c r="AY761" s="27" t="s">
        <v>8</v>
      </c>
      <c r="AZ761" s="27" t="s">
        <v>7</v>
      </c>
      <c r="BM761" s="27" t="s">
        <v>8</v>
      </c>
      <c r="BN761" s="27" t="s">
        <v>7</v>
      </c>
      <c r="FC761" s="27" t="s">
        <v>8</v>
      </c>
      <c r="FD761" s="27" t="s">
        <v>7</v>
      </c>
      <c r="FE761" s="27" t="s">
        <v>8</v>
      </c>
      <c r="FF761" s="27" t="s">
        <v>7</v>
      </c>
      <c r="FM761" s="27" t="s">
        <v>8</v>
      </c>
      <c r="FN761" s="27" t="s">
        <v>7</v>
      </c>
      <c r="FO761" s="27" t="s">
        <v>8</v>
      </c>
      <c r="FP761" s="27" t="s">
        <v>7</v>
      </c>
    </row>
    <row r="762" spans="1:172" x14ac:dyDescent="0.25">
      <c r="A762" s="7">
        <v>3.1258630127955073E-2</v>
      </c>
      <c r="B762"/>
      <c r="C762"/>
      <c r="D762"/>
      <c r="E762"/>
      <c r="F762" s="27" t="s">
        <v>7</v>
      </c>
      <c r="AO762" s="27" t="s">
        <v>8</v>
      </c>
      <c r="AP762" s="27" t="s">
        <v>7</v>
      </c>
      <c r="AQ762" s="27" t="s">
        <v>8</v>
      </c>
      <c r="AR762" s="27" t="s">
        <v>7</v>
      </c>
      <c r="AS762" s="27" t="s">
        <v>8</v>
      </c>
      <c r="AT762" s="27" t="s">
        <v>7</v>
      </c>
      <c r="AU762" s="27" t="s">
        <v>8</v>
      </c>
      <c r="AV762" s="27" t="s">
        <v>7</v>
      </c>
      <c r="AW762" s="27" t="s">
        <v>8</v>
      </c>
      <c r="AY762" s="27" t="s">
        <v>8</v>
      </c>
      <c r="AZ762" s="27" t="s">
        <v>7</v>
      </c>
      <c r="BM762" s="27" t="s">
        <v>8</v>
      </c>
      <c r="BN762" s="27" t="s">
        <v>7</v>
      </c>
      <c r="FC762" s="27" t="s">
        <v>8</v>
      </c>
      <c r="FD762" s="27" t="s">
        <v>7</v>
      </c>
      <c r="FE762" s="27" t="s">
        <v>8</v>
      </c>
      <c r="FF762" s="27" t="s">
        <v>7</v>
      </c>
      <c r="FG762" s="27" t="s">
        <v>8</v>
      </c>
      <c r="FM762" s="27" t="s">
        <v>8</v>
      </c>
      <c r="FN762" s="27" t="s">
        <v>7</v>
      </c>
      <c r="FO762" s="27" t="s">
        <v>8</v>
      </c>
      <c r="FP762" s="27" t="s">
        <v>7</v>
      </c>
    </row>
    <row r="763" spans="1:172" x14ac:dyDescent="0.25">
      <c r="A763" s="7">
        <v>3.064571581172066E-2</v>
      </c>
      <c r="B763"/>
      <c r="C763"/>
      <c r="D763"/>
      <c r="E763"/>
      <c r="F763" s="27" t="s">
        <v>7</v>
      </c>
      <c r="AO763" s="27" t="s">
        <v>8</v>
      </c>
      <c r="AP763" s="27" t="s">
        <v>7</v>
      </c>
      <c r="AQ763" s="27" t="s">
        <v>8</v>
      </c>
      <c r="AR763" s="27" t="s">
        <v>7</v>
      </c>
      <c r="AS763" s="27" t="s">
        <v>8</v>
      </c>
      <c r="AT763" s="27" t="s">
        <v>7</v>
      </c>
      <c r="AU763" s="27" t="s">
        <v>8</v>
      </c>
      <c r="AV763" s="27" t="s">
        <v>7</v>
      </c>
      <c r="AW763" s="27" t="s">
        <v>8</v>
      </c>
      <c r="AX763" s="27" t="s">
        <v>7</v>
      </c>
      <c r="AY763" s="27" t="s">
        <v>8</v>
      </c>
      <c r="AZ763" s="27" t="s">
        <v>7</v>
      </c>
      <c r="BM763" s="27" t="s">
        <v>8</v>
      </c>
      <c r="BN763" s="27" t="s">
        <v>7</v>
      </c>
      <c r="FC763" s="27" t="s">
        <v>8</v>
      </c>
      <c r="FD763" s="27" t="s">
        <v>7</v>
      </c>
      <c r="FE763" s="27" t="s">
        <v>8</v>
      </c>
      <c r="FF763" s="27" t="s">
        <v>7</v>
      </c>
      <c r="FG763" s="27" t="s">
        <v>8</v>
      </c>
      <c r="FH763" s="27" t="s">
        <v>7</v>
      </c>
      <c r="FM763" s="27" t="s">
        <v>8</v>
      </c>
      <c r="FN763" s="27" t="s">
        <v>7</v>
      </c>
      <c r="FO763" s="27" t="s">
        <v>8</v>
      </c>
      <c r="FP763" s="27" t="s">
        <v>7</v>
      </c>
    </row>
    <row r="764" spans="1:172" x14ac:dyDescent="0.25">
      <c r="A764" s="7">
        <v>3.0044819423255549E-2</v>
      </c>
      <c r="B764"/>
      <c r="C764"/>
      <c r="D764"/>
      <c r="E764"/>
      <c r="F764" s="27" t="s">
        <v>7</v>
      </c>
      <c r="AO764" s="27" t="s">
        <v>8</v>
      </c>
      <c r="AP764" s="27" t="s">
        <v>7</v>
      </c>
      <c r="AR764" s="27" t="s">
        <v>7</v>
      </c>
      <c r="AS764" s="27" t="s">
        <v>8</v>
      </c>
      <c r="AT764" s="27" t="s">
        <v>7</v>
      </c>
      <c r="AU764" s="27" t="s">
        <v>8</v>
      </c>
      <c r="AV764" s="27" t="s">
        <v>7</v>
      </c>
      <c r="AW764" s="27" t="s">
        <v>8</v>
      </c>
      <c r="AX764" s="27" t="s">
        <v>7</v>
      </c>
      <c r="AY764" s="27" t="s">
        <v>8</v>
      </c>
      <c r="AZ764" s="27" t="s">
        <v>7</v>
      </c>
      <c r="BM764" s="27" t="s">
        <v>8</v>
      </c>
      <c r="BN764" s="27" t="s">
        <v>7</v>
      </c>
      <c r="FC764" s="27" t="s">
        <v>8</v>
      </c>
      <c r="FD764" s="27" t="s">
        <v>7</v>
      </c>
      <c r="FE764" s="27" t="s">
        <v>8</v>
      </c>
      <c r="FF764" s="27" t="s">
        <v>7</v>
      </c>
      <c r="FG764" s="27" t="s">
        <v>8</v>
      </c>
      <c r="FH764" s="27" t="s">
        <v>7</v>
      </c>
      <c r="FM764" s="27" t="s">
        <v>8</v>
      </c>
      <c r="FN764" s="27" t="s">
        <v>7</v>
      </c>
      <c r="FO764" s="27" t="s">
        <v>8</v>
      </c>
      <c r="FP764" s="27" t="s">
        <v>7</v>
      </c>
    </row>
    <row r="765" spans="1:172" x14ac:dyDescent="0.25">
      <c r="A765" s="7">
        <v>2.9455705316917203E-2</v>
      </c>
      <c r="B765"/>
      <c r="C765"/>
      <c r="D765"/>
      <c r="E765"/>
      <c r="F765" s="27" t="s">
        <v>7</v>
      </c>
      <c r="AM765" s="27" t="s">
        <v>8</v>
      </c>
      <c r="AO765" s="27" t="s">
        <v>8</v>
      </c>
      <c r="AR765" s="27" t="s">
        <v>7</v>
      </c>
      <c r="AS765" s="27" t="s">
        <v>8</v>
      </c>
      <c r="AT765" s="27" t="s">
        <v>7</v>
      </c>
      <c r="AU765" s="27" t="s">
        <v>8</v>
      </c>
      <c r="AV765" s="27" t="s">
        <v>7</v>
      </c>
      <c r="AW765" s="27" t="s">
        <v>8</v>
      </c>
      <c r="AX765" s="27" t="s">
        <v>7</v>
      </c>
      <c r="AY765" s="27" t="s">
        <v>8</v>
      </c>
      <c r="AZ765" s="27" t="s">
        <v>7</v>
      </c>
      <c r="BG765" s="27" t="s">
        <v>8</v>
      </c>
      <c r="BM765" s="27" t="s">
        <v>8</v>
      </c>
      <c r="BN765" s="27" t="s">
        <v>7</v>
      </c>
      <c r="FC765" s="27" t="s">
        <v>8</v>
      </c>
      <c r="FD765" s="27" t="s">
        <v>7</v>
      </c>
      <c r="FE765" s="27" t="s">
        <v>8</v>
      </c>
      <c r="FF765" s="27" t="s">
        <v>7</v>
      </c>
      <c r="FG765" s="27" t="s">
        <v>8</v>
      </c>
      <c r="FH765" s="27" t="s">
        <v>7</v>
      </c>
      <c r="FM765" s="27" t="s">
        <v>8</v>
      </c>
      <c r="FN765" s="27" t="s">
        <v>7</v>
      </c>
      <c r="FO765" s="27" t="s">
        <v>8</v>
      </c>
      <c r="FP765" s="27" t="s">
        <v>7</v>
      </c>
    </row>
    <row r="766" spans="1:172" x14ac:dyDescent="0.25">
      <c r="A766" s="7">
        <v>2.8878142467565884E-2</v>
      </c>
      <c r="B766"/>
      <c r="C766"/>
      <c r="D766"/>
      <c r="E766"/>
      <c r="F766" s="27" t="s">
        <v>7</v>
      </c>
      <c r="AM766" s="27" t="s">
        <v>8</v>
      </c>
      <c r="AN766" s="27" t="s">
        <v>7</v>
      </c>
      <c r="AO766" s="27" t="s">
        <v>8</v>
      </c>
      <c r="AR766" s="27" t="s">
        <v>7</v>
      </c>
      <c r="AS766" s="27" t="s">
        <v>8</v>
      </c>
      <c r="AT766" s="27" t="s">
        <v>7</v>
      </c>
      <c r="AV766" s="27" t="s">
        <v>7</v>
      </c>
      <c r="AX766" s="27" t="s">
        <v>7</v>
      </c>
      <c r="AY766" s="27" t="s">
        <v>8</v>
      </c>
      <c r="AZ766" s="27" t="s">
        <v>7</v>
      </c>
      <c r="BG766" s="27" t="s">
        <v>8</v>
      </c>
      <c r="BH766" s="27" t="s">
        <v>7</v>
      </c>
      <c r="BM766" s="27" t="s">
        <v>8</v>
      </c>
      <c r="BN766" s="27" t="s">
        <v>7</v>
      </c>
      <c r="FC766" s="27" t="s">
        <v>8</v>
      </c>
      <c r="FD766" s="27" t="s">
        <v>7</v>
      </c>
      <c r="FE766" s="27" t="s">
        <v>8</v>
      </c>
      <c r="FF766" s="27" t="s">
        <v>7</v>
      </c>
      <c r="FG766" s="27" t="s">
        <v>8</v>
      </c>
      <c r="FH766" s="27" t="s">
        <v>7</v>
      </c>
      <c r="FM766" s="27" t="s">
        <v>8</v>
      </c>
      <c r="FN766" s="27" t="s">
        <v>7</v>
      </c>
      <c r="FP766" s="27" t="s">
        <v>7</v>
      </c>
    </row>
    <row r="767" spans="1:172" x14ac:dyDescent="0.25">
      <c r="A767" s="7">
        <v>2.8311904379966554E-2</v>
      </c>
      <c r="B767"/>
      <c r="C767"/>
      <c r="D767"/>
      <c r="E767"/>
      <c r="F767" s="27" t="s">
        <v>7</v>
      </c>
      <c r="AK767" s="27" t="s">
        <v>8</v>
      </c>
      <c r="AM767" s="27" t="s">
        <v>8</v>
      </c>
      <c r="AN767" s="27" t="s">
        <v>7</v>
      </c>
      <c r="AO767" s="27" t="s">
        <v>8</v>
      </c>
      <c r="AR767" s="27" t="s">
        <v>7</v>
      </c>
      <c r="AS767" s="27" t="s">
        <v>8</v>
      </c>
      <c r="AX767" s="27" t="s">
        <v>7</v>
      </c>
      <c r="AY767" s="27" t="s">
        <v>8</v>
      </c>
      <c r="AZ767" s="27" t="s">
        <v>7</v>
      </c>
      <c r="BE767" s="27" t="s">
        <v>8</v>
      </c>
      <c r="BG767" s="27" t="s">
        <v>8</v>
      </c>
      <c r="BH767" s="27" t="s">
        <v>7</v>
      </c>
      <c r="BM767" s="27" t="s">
        <v>8</v>
      </c>
      <c r="BN767" s="27" t="s">
        <v>7</v>
      </c>
      <c r="BQ767" s="27" t="s">
        <v>8</v>
      </c>
      <c r="FC767" s="27" t="s">
        <v>8</v>
      </c>
      <c r="FD767" s="27" t="s">
        <v>7</v>
      </c>
      <c r="FE767" s="27" t="s">
        <v>8</v>
      </c>
      <c r="FF767" s="27" t="s">
        <v>7</v>
      </c>
      <c r="FG767" s="27" t="s">
        <v>8</v>
      </c>
      <c r="FH767" s="27" t="s">
        <v>7</v>
      </c>
      <c r="FM767" s="27" t="s">
        <v>8</v>
      </c>
      <c r="FP767" s="27" t="s">
        <v>7</v>
      </c>
    </row>
    <row r="768" spans="1:172" x14ac:dyDescent="0.25">
      <c r="A768" s="7">
        <v>2.7756768999967207E-2</v>
      </c>
      <c r="B768"/>
      <c r="C768"/>
      <c r="D768"/>
      <c r="E768"/>
      <c r="F768" s="27" t="s">
        <v>7</v>
      </c>
      <c r="AK768" s="27" t="s">
        <v>8</v>
      </c>
      <c r="AL768" s="27" t="s">
        <v>7</v>
      </c>
      <c r="AM768" s="27" t="s">
        <v>8</v>
      </c>
      <c r="AN768" s="27" t="s">
        <v>7</v>
      </c>
      <c r="AO768" s="27" t="s">
        <v>8</v>
      </c>
      <c r="AR768" s="27" t="s">
        <v>7</v>
      </c>
      <c r="AS768" s="27" t="s">
        <v>8</v>
      </c>
      <c r="AX768" s="27" t="s">
        <v>7</v>
      </c>
      <c r="AZ768" s="27" t="s">
        <v>7</v>
      </c>
      <c r="BE768" s="27" t="s">
        <v>8</v>
      </c>
      <c r="BF768" s="27" t="s">
        <v>7</v>
      </c>
      <c r="BG768" s="27" t="s">
        <v>8</v>
      </c>
      <c r="BH768" s="27" t="s">
        <v>7</v>
      </c>
      <c r="BM768" s="27" t="s">
        <v>8</v>
      </c>
      <c r="BN768" s="27" t="s">
        <v>7</v>
      </c>
      <c r="BO768" s="27" t="s">
        <v>8</v>
      </c>
      <c r="BQ768" s="27" t="s">
        <v>8</v>
      </c>
      <c r="BR768" s="27" t="s">
        <v>7</v>
      </c>
      <c r="FC768" s="27" t="s">
        <v>8</v>
      </c>
      <c r="FD768" s="27" t="s">
        <v>7</v>
      </c>
      <c r="FE768" s="27" t="s">
        <v>8</v>
      </c>
      <c r="FF768" s="27" t="s">
        <v>7</v>
      </c>
      <c r="FG768" s="27" t="s">
        <v>8</v>
      </c>
      <c r="FH768" s="27" t="s">
        <v>7</v>
      </c>
      <c r="FI768" s="27" t="s">
        <v>8</v>
      </c>
      <c r="FM768" s="27" t="s">
        <v>8</v>
      </c>
      <c r="FP768" s="27" t="s">
        <v>7</v>
      </c>
    </row>
    <row r="769" spans="1:196" x14ac:dyDescent="0.25">
      <c r="A769" s="7">
        <v>2.7212518627418834E-2</v>
      </c>
      <c r="B769"/>
      <c r="C769"/>
      <c r="D769"/>
      <c r="E769"/>
      <c r="F769" s="27" t="s">
        <v>7</v>
      </c>
      <c r="AK769" s="27" t="s">
        <v>8</v>
      </c>
      <c r="AL769" s="27" t="s">
        <v>7</v>
      </c>
      <c r="AM769" s="27" t="s">
        <v>8</v>
      </c>
      <c r="AN769" s="27" t="s">
        <v>7</v>
      </c>
      <c r="AO769" s="27" t="s">
        <v>8</v>
      </c>
      <c r="AR769" s="27" t="s">
        <v>7</v>
      </c>
      <c r="AS769" s="27" t="s">
        <v>8</v>
      </c>
      <c r="AZ769" s="27" t="s">
        <v>7</v>
      </c>
      <c r="BE769" s="27" t="s">
        <v>8</v>
      </c>
      <c r="BF769" s="27" t="s">
        <v>7</v>
      </c>
      <c r="BG769" s="27" t="s">
        <v>8</v>
      </c>
      <c r="BH769" s="27" t="s">
        <v>7</v>
      </c>
      <c r="BM769" s="27" t="s">
        <v>8</v>
      </c>
      <c r="BN769" s="27" t="s">
        <v>7</v>
      </c>
      <c r="BO769" s="27" t="s">
        <v>8</v>
      </c>
      <c r="BP769" s="27" t="s">
        <v>7</v>
      </c>
      <c r="BQ769" s="27" t="s">
        <v>8</v>
      </c>
      <c r="BR769" s="27" t="s">
        <v>7</v>
      </c>
      <c r="FC769" s="27" t="s">
        <v>8</v>
      </c>
      <c r="FD769" s="27" t="s">
        <v>7</v>
      </c>
      <c r="FE769" s="27" t="s">
        <v>8</v>
      </c>
      <c r="FF769" s="27" t="s">
        <v>7</v>
      </c>
      <c r="FG769" s="27" t="s">
        <v>8</v>
      </c>
      <c r="FH769" s="27" t="s">
        <v>7</v>
      </c>
      <c r="FI769" s="27" t="s">
        <v>8</v>
      </c>
      <c r="FJ769" s="27" t="s">
        <v>7</v>
      </c>
      <c r="FM769" s="27" t="s">
        <v>8</v>
      </c>
      <c r="FP769" s="27" t="s">
        <v>7</v>
      </c>
      <c r="FS769" s="27" t="s">
        <v>8</v>
      </c>
    </row>
    <row r="770" spans="1:196" x14ac:dyDescent="0.25">
      <c r="A770" s="7">
        <v>2.6678939830802779E-2</v>
      </c>
      <c r="B770"/>
      <c r="C770"/>
      <c r="D770"/>
      <c r="E770"/>
      <c r="F770" s="27" t="s">
        <v>7</v>
      </c>
      <c r="AK770" s="27" t="s">
        <v>8</v>
      </c>
      <c r="AL770" s="27" t="s">
        <v>7</v>
      </c>
      <c r="AM770" s="27" t="s">
        <v>8</v>
      </c>
      <c r="AN770" s="27" t="s">
        <v>7</v>
      </c>
      <c r="AO770" s="27" t="s">
        <v>8</v>
      </c>
      <c r="AR770" s="27" t="s">
        <v>7</v>
      </c>
      <c r="AZ770" s="27" t="s">
        <v>7</v>
      </c>
      <c r="BE770" s="27" t="s">
        <v>8</v>
      </c>
      <c r="BF770" s="27" t="s">
        <v>7</v>
      </c>
      <c r="BG770" s="27" t="s">
        <v>8</v>
      </c>
      <c r="BH770" s="27" t="s">
        <v>7</v>
      </c>
      <c r="BM770" s="27" t="s">
        <v>8</v>
      </c>
      <c r="BN770" s="27" t="s">
        <v>7</v>
      </c>
      <c r="BO770" s="27" t="s">
        <v>8</v>
      </c>
      <c r="BP770" s="27" t="s">
        <v>7</v>
      </c>
      <c r="BQ770" s="27" t="s">
        <v>8</v>
      </c>
      <c r="BR770" s="27" t="s">
        <v>7</v>
      </c>
      <c r="FC770" s="27" t="s">
        <v>8</v>
      </c>
      <c r="FD770" s="27" t="s">
        <v>7</v>
      </c>
      <c r="FE770" s="27" t="s">
        <v>8</v>
      </c>
      <c r="FF770" s="27" t="s">
        <v>7</v>
      </c>
      <c r="FG770" s="27" t="s">
        <v>8</v>
      </c>
      <c r="FH770" s="27" t="s">
        <v>7</v>
      </c>
      <c r="FI770" s="27" t="s">
        <v>8</v>
      </c>
      <c r="FJ770" s="27" t="s">
        <v>7</v>
      </c>
      <c r="FM770" s="27" t="s">
        <v>8</v>
      </c>
      <c r="FP770" s="27" t="s">
        <v>7</v>
      </c>
      <c r="FS770" s="27" t="s">
        <v>8</v>
      </c>
      <c r="FT770" s="27" t="s">
        <v>7</v>
      </c>
    </row>
    <row r="771" spans="1:196" x14ac:dyDescent="0.25">
      <c r="A771" s="7">
        <v>2.615582336353214E-2</v>
      </c>
      <c r="B771"/>
      <c r="C771"/>
      <c r="D771"/>
      <c r="E771"/>
      <c r="F771" s="27" t="s">
        <v>7</v>
      </c>
      <c r="AK771" s="27" t="s">
        <v>8</v>
      </c>
      <c r="AL771" s="27" t="s">
        <v>7</v>
      </c>
      <c r="AM771" s="27" t="s">
        <v>8</v>
      </c>
      <c r="AN771" s="27" t="s">
        <v>7</v>
      </c>
      <c r="AZ771" s="27" t="s">
        <v>7</v>
      </c>
      <c r="BE771" s="27" t="s">
        <v>8</v>
      </c>
      <c r="BF771" s="27" t="s">
        <v>7</v>
      </c>
      <c r="BG771" s="27" t="s">
        <v>8</v>
      </c>
      <c r="BH771" s="27" t="s">
        <v>7</v>
      </c>
      <c r="BI771" s="27" t="s">
        <v>8</v>
      </c>
      <c r="BK771" s="27" t="s">
        <v>8</v>
      </c>
      <c r="BM771" s="27" t="s">
        <v>8</v>
      </c>
      <c r="BN771" s="27" t="s">
        <v>7</v>
      </c>
      <c r="BO771" s="27" t="s">
        <v>8</v>
      </c>
      <c r="BP771" s="27" t="s">
        <v>7</v>
      </c>
      <c r="BQ771" s="27" t="s">
        <v>8</v>
      </c>
      <c r="BR771" s="27" t="s">
        <v>7</v>
      </c>
      <c r="FC771" s="27" t="s">
        <v>8</v>
      </c>
      <c r="FD771" s="27" t="s">
        <v>7</v>
      </c>
      <c r="FE771" s="27" t="s">
        <v>8</v>
      </c>
      <c r="FF771" s="27" t="s">
        <v>7</v>
      </c>
      <c r="FH771" s="27" t="s">
        <v>7</v>
      </c>
      <c r="FI771" s="27" t="s">
        <v>8</v>
      </c>
      <c r="FJ771" s="27" t="s">
        <v>7</v>
      </c>
      <c r="FM771" s="27" t="s">
        <v>8</v>
      </c>
      <c r="FP771" s="27" t="s">
        <v>7</v>
      </c>
      <c r="FS771" s="27" t="s">
        <v>8</v>
      </c>
      <c r="FT771" s="27" t="s">
        <v>7</v>
      </c>
    </row>
    <row r="772" spans="1:196" x14ac:dyDescent="0.25">
      <c r="A772" s="7">
        <v>2.5642964081894253E-2</v>
      </c>
      <c r="B772"/>
      <c r="C772"/>
      <c r="D772"/>
      <c r="E772"/>
      <c r="F772" s="27" t="s">
        <v>7</v>
      </c>
      <c r="AK772" s="27" t="s">
        <v>8</v>
      </c>
      <c r="AL772" s="27" t="s">
        <v>7</v>
      </c>
      <c r="AM772" s="27" t="s">
        <v>8</v>
      </c>
      <c r="AZ772" s="27" t="s">
        <v>7</v>
      </c>
      <c r="BE772" s="27" t="s">
        <v>8</v>
      </c>
      <c r="BF772" s="27" t="s">
        <v>7</v>
      </c>
      <c r="BG772" s="27" t="s">
        <v>8</v>
      </c>
      <c r="BH772" s="27" t="s">
        <v>7</v>
      </c>
      <c r="BI772" s="27" t="s">
        <v>8</v>
      </c>
      <c r="BJ772" s="27" t="s">
        <v>7</v>
      </c>
      <c r="BK772" s="27" t="s">
        <v>8</v>
      </c>
      <c r="BL772" s="27" t="s">
        <v>7</v>
      </c>
      <c r="BM772" s="27" t="s">
        <v>8</v>
      </c>
      <c r="BN772" s="27" t="s">
        <v>7</v>
      </c>
      <c r="BO772" s="27" t="s">
        <v>8</v>
      </c>
      <c r="BP772" s="27" t="s">
        <v>7</v>
      </c>
      <c r="BQ772" s="27" t="s">
        <v>8</v>
      </c>
      <c r="BR772" s="27" t="s">
        <v>7</v>
      </c>
      <c r="FC772" s="27" t="s">
        <v>8</v>
      </c>
      <c r="FD772" s="27" t="s">
        <v>7</v>
      </c>
      <c r="FE772" s="27" t="s">
        <v>8</v>
      </c>
      <c r="FH772" s="27" t="s">
        <v>7</v>
      </c>
      <c r="FI772" s="27" t="s">
        <v>8</v>
      </c>
      <c r="FJ772" s="27" t="s">
        <v>7</v>
      </c>
      <c r="FK772" s="27" t="s">
        <v>8</v>
      </c>
      <c r="FM772" s="27" t="s">
        <v>8</v>
      </c>
      <c r="FP772" s="27" t="s">
        <v>7</v>
      </c>
      <c r="FQ772" s="27" t="s">
        <v>8</v>
      </c>
      <c r="FS772" s="27" t="s">
        <v>8</v>
      </c>
      <c r="FT772" s="27" t="s">
        <v>7</v>
      </c>
    </row>
    <row r="773" spans="1:196" x14ac:dyDescent="0.25">
      <c r="A773" s="7">
        <v>2.5140160864602207E-2</v>
      </c>
      <c r="B773"/>
      <c r="C773"/>
      <c r="D773"/>
      <c r="E773"/>
      <c r="F773" s="27" t="s">
        <v>7</v>
      </c>
      <c r="AK773" s="27" t="s">
        <v>8</v>
      </c>
      <c r="AL773" s="27" t="s">
        <v>7</v>
      </c>
      <c r="AM773" s="27" t="s">
        <v>8</v>
      </c>
      <c r="AZ773" s="27" t="s">
        <v>7</v>
      </c>
      <c r="BE773" s="27" t="s">
        <v>8</v>
      </c>
      <c r="BF773" s="27" t="s">
        <v>7</v>
      </c>
      <c r="BG773" s="27" t="s">
        <v>8</v>
      </c>
      <c r="BH773" s="27" t="s">
        <v>7</v>
      </c>
      <c r="BI773" s="27" t="s">
        <v>8</v>
      </c>
      <c r="BJ773" s="27" t="s">
        <v>7</v>
      </c>
      <c r="BK773" s="27" t="s">
        <v>8</v>
      </c>
      <c r="BL773" s="27" t="s">
        <v>7</v>
      </c>
      <c r="BM773" s="27" t="s">
        <v>8</v>
      </c>
      <c r="BN773" s="27" t="s">
        <v>7</v>
      </c>
      <c r="BO773" s="27" t="s">
        <v>8</v>
      </c>
      <c r="BP773" s="27" t="s">
        <v>7</v>
      </c>
      <c r="BQ773" s="27" t="s">
        <v>8</v>
      </c>
      <c r="BR773" s="27" t="s">
        <v>7</v>
      </c>
      <c r="ES773" s="27" t="s">
        <v>8</v>
      </c>
      <c r="FC773" s="27" t="s">
        <v>8</v>
      </c>
      <c r="FD773" s="27" t="s">
        <v>7</v>
      </c>
      <c r="FE773" s="27" t="s">
        <v>8</v>
      </c>
      <c r="FH773" s="27" t="s">
        <v>7</v>
      </c>
      <c r="FI773" s="27" t="s">
        <v>8</v>
      </c>
      <c r="FJ773" s="27" t="s">
        <v>7</v>
      </c>
      <c r="FK773" s="27" t="s">
        <v>8</v>
      </c>
      <c r="FL773" s="27" t="s">
        <v>7</v>
      </c>
      <c r="FM773" s="27" t="s">
        <v>8</v>
      </c>
      <c r="FP773" s="27" t="s">
        <v>7</v>
      </c>
      <c r="FQ773" s="27" t="s">
        <v>8</v>
      </c>
      <c r="FR773" s="27" t="s">
        <v>7</v>
      </c>
      <c r="FS773" s="27" t="s">
        <v>8</v>
      </c>
      <c r="FT773" s="27" t="s">
        <v>7</v>
      </c>
    </row>
    <row r="774" spans="1:196" x14ac:dyDescent="0.25">
      <c r="A774" s="7">
        <v>2.4647216533923735E-2</v>
      </c>
      <c r="B774"/>
      <c r="C774"/>
      <c r="D774"/>
      <c r="E774"/>
      <c r="F774" s="27" t="s">
        <v>7</v>
      </c>
      <c r="AK774" s="27" t="s">
        <v>8</v>
      </c>
      <c r="AL774" s="27" t="s">
        <v>7</v>
      </c>
      <c r="AM774" s="27" t="s">
        <v>8</v>
      </c>
      <c r="AZ774" s="27" t="s">
        <v>7</v>
      </c>
      <c r="BA774" s="27" t="s">
        <v>8</v>
      </c>
      <c r="BE774" s="27" t="s">
        <v>8</v>
      </c>
      <c r="BF774" s="27" t="s">
        <v>7</v>
      </c>
      <c r="BG774" s="27" t="s">
        <v>8</v>
      </c>
      <c r="BH774" s="27" t="s">
        <v>7</v>
      </c>
      <c r="BI774" s="27" t="s">
        <v>8</v>
      </c>
      <c r="BJ774" s="27" t="s">
        <v>7</v>
      </c>
      <c r="BK774" s="27" t="s">
        <v>8</v>
      </c>
      <c r="BL774" s="27" t="s">
        <v>7</v>
      </c>
      <c r="BM774" s="27" t="s">
        <v>8</v>
      </c>
      <c r="BN774" s="27" t="s">
        <v>7</v>
      </c>
      <c r="BO774" s="27" t="s">
        <v>8</v>
      </c>
      <c r="BP774" s="27" t="s">
        <v>7</v>
      </c>
      <c r="BQ774" s="27" t="s">
        <v>8</v>
      </c>
      <c r="BR774" s="27" t="s">
        <v>7</v>
      </c>
      <c r="CC774" s="27" t="s">
        <v>8</v>
      </c>
      <c r="ES774" s="27" t="s">
        <v>8</v>
      </c>
      <c r="ET774" s="27" t="s">
        <v>7</v>
      </c>
      <c r="FC774" s="27" t="s">
        <v>8</v>
      </c>
      <c r="FD774" s="27" t="s">
        <v>7</v>
      </c>
      <c r="FH774" s="27" t="s">
        <v>7</v>
      </c>
      <c r="FI774" s="27" t="s">
        <v>8</v>
      </c>
      <c r="FJ774" s="27" t="s">
        <v>7</v>
      </c>
      <c r="FK774" s="27" t="s">
        <v>8</v>
      </c>
      <c r="FL774" s="27" t="s">
        <v>7</v>
      </c>
      <c r="FM774" s="27" t="s">
        <v>8</v>
      </c>
      <c r="FP774" s="27" t="s">
        <v>7</v>
      </c>
      <c r="FQ774" s="27" t="s">
        <v>8</v>
      </c>
      <c r="FR774" s="27" t="s">
        <v>7</v>
      </c>
      <c r="FS774" s="27" t="s">
        <v>8</v>
      </c>
      <c r="FT774" s="27" t="s">
        <v>7</v>
      </c>
      <c r="GA774" s="27" t="s">
        <v>8</v>
      </c>
      <c r="GE774" s="27" t="s">
        <v>8</v>
      </c>
    </row>
    <row r="775" spans="1:196" x14ac:dyDescent="0.25">
      <c r="A775" s="7">
        <v>2.4163937778356601E-2</v>
      </c>
      <c r="B775"/>
      <c r="C775"/>
      <c r="D775"/>
      <c r="E775"/>
      <c r="F775" s="27" t="s">
        <v>7</v>
      </c>
      <c r="AK775" s="27" t="s">
        <v>8</v>
      </c>
      <c r="AL775" s="27" t="s">
        <v>7</v>
      </c>
      <c r="AM775" s="27" t="s">
        <v>8</v>
      </c>
      <c r="AZ775" s="27" t="s">
        <v>7</v>
      </c>
      <c r="BA775" s="27" t="s">
        <v>8</v>
      </c>
      <c r="BB775" s="27" t="s">
        <v>7</v>
      </c>
      <c r="BC775" s="27" t="s">
        <v>8</v>
      </c>
      <c r="BE775" s="27" t="s">
        <v>8</v>
      </c>
      <c r="BF775" s="27" t="s">
        <v>7</v>
      </c>
      <c r="BG775" s="27" t="s">
        <v>8</v>
      </c>
      <c r="BH775" s="27" t="s">
        <v>7</v>
      </c>
      <c r="BI775" s="27" t="s">
        <v>8</v>
      </c>
      <c r="BJ775" s="27" t="s">
        <v>7</v>
      </c>
      <c r="BL775" s="27" t="s">
        <v>7</v>
      </c>
      <c r="BM775" s="27" t="s">
        <v>8</v>
      </c>
      <c r="BN775" s="27" t="s">
        <v>7</v>
      </c>
      <c r="BO775" s="27" t="s">
        <v>8</v>
      </c>
      <c r="BP775" s="27" t="s">
        <v>7</v>
      </c>
      <c r="BQ775" s="27" t="s">
        <v>8</v>
      </c>
      <c r="BR775" s="27" t="s">
        <v>7</v>
      </c>
      <c r="CC775" s="27" t="s">
        <v>8</v>
      </c>
      <c r="CD775" s="27" t="s">
        <v>7</v>
      </c>
      <c r="ES775" s="27" t="s">
        <v>8</v>
      </c>
      <c r="ET775" s="27" t="s">
        <v>7</v>
      </c>
      <c r="FC775" s="27" t="s">
        <v>8</v>
      </c>
      <c r="FH775" s="27" t="s">
        <v>7</v>
      </c>
      <c r="FI775" s="27" t="s">
        <v>8</v>
      </c>
      <c r="FJ775" s="27" t="s">
        <v>7</v>
      </c>
      <c r="FL775" s="27" t="s">
        <v>7</v>
      </c>
      <c r="FP775" s="27" t="s">
        <v>7</v>
      </c>
      <c r="FQ775" s="27" t="s">
        <v>8</v>
      </c>
      <c r="FR775" s="27" t="s">
        <v>7</v>
      </c>
      <c r="FS775" s="27" t="s">
        <v>8</v>
      </c>
      <c r="FT775" s="27" t="s">
        <v>7</v>
      </c>
      <c r="FU775" s="27" t="s">
        <v>8</v>
      </c>
      <c r="GA775" s="27" t="s">
        <v>8</v>
      </c>
      <c r="GB775" s="27" t="s">
        <v>7</v>
      </c>
      <c r="GE775" s="27" t="s">
        <v>8</v>
      </c>
      <c r="GF775" s="27" t="s">
        <v>7</v>
      </c>
    </row>
    <row r="776" spans="1:196" x14ac:dyDescent="0.25">
      <c r="A776" s="7">
        <v>2.3690135076820197E-2</v>
      </c>
      <c r="B776"/>
      <c r="C776"/>
      <c r="D776"/>
      <c r="E776"/>
      <c r="F776" s="27" t="s">
        <v>7</v>
      </c>
      <c r="AI776" s="27" t="s">
        <v>8</v>
      </c>
      <c r="AK776" s="27" t="s">
        <v>8</v>
      </c>
      <c r="AL776" s="27" t="s">
        <v>7</v>
      </c>
      <c r="AM776" s="27" t="s">
        <v>8</v>
      </c>
      <c r="AZ776" s="27" t="s">
        <v>7</v>
      </c>
      <c r="BA776" s="27" t="s">
        <v>8</v>
      </c>
      <c r="BB776" s="27" t="s">
        <v>7</v>
      </c>
      <c r="BC776" s="27" t="s">
        <v>8</v>
      </c>
      <c r="BD776" s="27" t="s">
        <v>7</v>
      </c>
      <c r="BE776" s="27" t="s">
        <v>8</v>
      </c>
      <c r="BF776" s="27" t="s">
        <v>7</v>
      </c>
      <c r="BG776" s="27" t="s">
        <v>8</v>
      </c>
      <c r="BH776" s="27" t="s">
        <v>7</v>
      </c>
      <c r="BL776" s="27" t="s">
        <v>7</v>
      </c>
      <c r="BM776" s="27" t="s">
        <v>8</v>
      </c>
      <c r="BN776" s="27" t="s">
        <v>7</v>
      </c>
      <c r="BO776" s="27" t="s">
        <v>8</v>
      </c>
      <c r="BP776" s="27" t="s">
        <v>7</v>
      </c>
      <c r="BQ776" s="27" t="s">
        <v>8</v>
      </c>
      <c r="BR776" s="27" t="s">
        <v>7</v>
      </c>
      <c r="CA776" s="27" t="s">
        <v>8</v>
      </c>
      <c r="CC776" s="27" t="s">
        <v>8</v>
      </c>
      <c r="CD776" s="27" t="s">
        <v>7</v>
      </c>
      <c r="ES776" s="27" t="s">
        <v>8</v>
      </c>
      <c r="ET776" s="27" t="s">
        <v>7</v>
      </c>
      <c r="FC776" s="27" t="s">
        <v>8</v>
      </c>
      <c r="FH776" s="27" t="s">
        <v>7</v>
      </c>
      <c r="FI776" s="27" t="s">
        <v>8</v>
      </c>
      <c r="FP776" s="27" t="s">
        <v>7</v>
      </c>
      <c r="FQ776" s="27" t="s">
        <v>8</v>
      </c>
      <c r="FR776" s="27" t="s">
        <v>7</v>
      </c>
      <c r="FS776" s="27" t="s">
        <v>8</v>
      </c>
      <c r="FT776" s="27" t="s">
        <v>7</v>
      </c>
      <c r="FU776" s="27" t="s">
        <v>8</v>
      </c>
      <c r="FV776" s="27" t="s">
        <v>7</v>
      </c>
      <c r="GA776" s="27" t="s">
        <v>8</v>
      </c>
      <c r="GB776" s="27" t="s">
        <v>7</v>
      </c>
      <c r="GE776" s="27" t="s">
        <v>8</v>
      </c>
      <c r="GF776" s="27" t="s">
        <v>7</v>
      </c>
    </row>
    <row r="777" spans="1:196" x14ac:dyDescent="0.25">
      <c r="A777" s="7">
        <v>2.3225622624333527E-2</v>
      </c>
      <c r="B777"/>
      <c r="C777"/>
      <c r="D777"/>
      <c r="E777"/>
      <c r="F777" s="27" t="s">
        <v>7</v>
      </c>
      <c r="AI777" s="27" t="s">
        <v>8</v>
      </c>
      <c r="AJ777" s="27" t="s">
        <v>7</v>
      </c>
      <c r="AK777" s="27" t="s">
        <v>8</v>
      </c>
      <c r="AL777" s="27" t="s">
        <v>7</v>
      </c>
      <c r="AM777" s="27" t="s">
        <v>8</v>
      </c>
      <c r="AZ777" s="27" t="s">
        <v>7</v>
      </c>
      <c r="BA777" s="27" t="s">
        <v>8</v>
      </c>
      <c r="BB777" s="27" t="s">
        <v>7</v>
      </c>
      <c r="BC777" s="27" t="s">
        <v>8</v>
      </c>
      <c r="BD777" s="27" t="s">
        <v>7</v>
      </c>
      <c r="BE777" s="27" t="s">
        <v>8</v>
      </c>
      <c r="BF777" s="27" t="s">
        <v>7</v>
      </c>
      <c r="BL777" s="27" t="s">
        <v>7</v>
      </c>
      <c r="BM777" s="27" t="s">
        <v>8</v>
      </c>
      <c r="BN777" s="27" t="s">
        <v>7</v>
      </c>
      <c r="BO777" s="27" t="s">
        <v>8</v>
      </c>
      <c r="BP777" s="27" t="s">
        <v>7</v>
      </c>
      <c r="BQ777" s="27" t="s">
        <v>8</v>
      </c>
      <c r="BR777" s="27" t="s">
        <v>7</v>
      </c>
      <c r="CA777" s="27" t="s">
        <v>8</v>
      </c>
      <c r="CB777" s="27" t="s">
        <v>7</v>
      </c>
      <c r="CC777" s="27" t="s">
        <v>8</v>
      </c>
      <c r="CD777" s="27" t="s">
        <v>7</v>
      </c>
      <c r="ES777" s="27" t="s">
        <v>8</v>
      </c>
      <c r="ET777" s="27" t="s">
        <v>7</v>
      </c>
      <c r="EU777" s="27" t="s">
        <v>8</v>
      </c>
      <c r="FC777" s="27" t="s">
        <v>8</v>
      </c>
      <c r="FH777" s="27" t="s">
        <v>7</v>
      </c>
      <c r="FI777" s="27" t="s">
        <v>8</v>
      </c>
      <c r="FP777" s="27" t="s">
        <v>7</v>
      </c>
      <c r="FQ777" s="27" t="s">
        <v>8</v>
      </c>
      <c r="FR777" s="27" t="s">
        <v>7</v>
      </c>
      <c r="FS777" s="27" t="s">
        <v>8</v>
      </c>
      <c r="FT777" s="27" t="s">
        <v>7</v>
      </c>
      <c r="FU777" s="27" t="s">
        <v>8</v>
      </c>
      <c r="FV777" s="27" t="s">
        <v>7</v>
      </c>
      <c r="GA777" s="27" t="s">
        <v>8</v>
      </c>
      <c r="GB777" s="27" t="s">
        <v>7</v>
      </c>
      <c r="GE777" s="27" t="s">
        <v>8</v>
      </c>
      <c r="GF777" s="27" t="s">
        <v>7</v>
      </c>
    </row>
    <row r="778" spans="1:196" x14ac:dyDescent="0.25">
      <c r="A778" s="7">
        <v>2.2770218259150519E-2</v>
      </c>
      <c r="B778"/>
      <c r="C778"/>
      <c r="D778"/>
      <c r="E778"/>
      <c r="F778" s="27" t="s">
        <v>7</v>
      </c>
      <c r="AI778" s="27" t="s">
        <v>8</v>
      </c>
      <c r="AJ778" s="27" t="s">
        <v>7</v>
      </c>
      <c r="AK778" s="27" t="s">
        <v>8</v>
      </c>
      <c r="AL778" s="27" t="s">
        <v>7</v>
      </c>
      <c r="AM778" s="27" t="s">
        <v>8</v>
      </c>
      <c r="AZ778" s="27" t="s">
        <v>7</v>
      </c>
      <c r="BA778" s="27" t="s">
        <v>8</v>
      </c>
      <c r="BB778" s="27" t="s">
        <v>7</v>
      </c>
      <c r="BC778" s="27" t="s">
        <v>8</v>
      </c>
      <c r="BD778" s="27" t="s">
        <v>7</v>
      </c>
      <c r="BE778" s="27" t="s">
        <v>8</v>
      </c>
      <c r="BL778" s="27" t="s">
        <v>7</v>
      </c>
      <c r="BN778" s="27" t="s">
        <v>7</v>
      </c>
      <c r="BO778" s="27" t="s">
        <v>8</v>
      </c>
      <c r="BP778" s="27" t="s">
        <v>7</v>
      </c>
      <c r="BQ778" s="27" t="s">
        <v>8</v>
      </c>
      <c r="BR778" s="27" t="s">
        <v>7</v>
      </c>
      <c r="CA778" s="27" t="s">
        <v>8</v>
      </c>
      <c r="CB778" s="27" t="s">
        <v>7</v>
      </c>
      <c r="CC778" s="27" t="s">
        <v>8</v>
      </c>
      <c r="CD778" s="27" t="s">
        <v>7</v>
      </c>
      <c r="DW778" s="27" t="s">
        <v>8</v>
      </c>
      <c r="ES778" s="27" t="s">
        <v>8</v>
      </c>
      <c r="ET778" s="27" t="s">
        <v>7</v>
      </c>
      <c r="EU778" s="27" t="s">
        <v>8</v>
      </c>
      <c r="EV778" s="27" t="s">
        <v>7</v>
      </c>
      <c r="FC778" s="27" t="s">
        <v>8</v>
      </c>
      <c r="FH778" s="27" t="s">
        <v>7</v>
      </c>
      <c r="FI778" s="27" t="s">
        <v>8</v>
      </c>
      <c r="FP778" s="27" t="s">
        <v>7</v>
      </c>
      <c r="FQ778" s="27" t="s">
        <v>8</v>
      </c>
      <c r="FR778" s="27" t="s">
        <v>7</v>
      </c>
      <c r="FS778" s="27" t="s">
        <v>8</v>
      </c>
      <c r="FT778" s="27" t="s">
        <v>7</v>
      </c>
      <c r="FU778" s="27" t="s">
        <v>8</v>
      </c>
      <c r="FV778" s="27" t="s">
        <v>7</v>
      </c>
      <c r="GA778" s="27" t="s">
        <v>8</v>
      </c>
      <c r="GB778" s="27" t="s">
        <v>7</v>
      </c>
      <c r="GC778" s="27" t="s">
        <v>8</v>
      </c>
      <c r="GE778" s="27" t="s">
        <v>8</v>
      </c>
      <c r="GF778" s="27" t="s">
        <v>7</v>
      </c>
    </row>
    <row r="779" spans="1:196" x14ac:dyDescent="0.25">
      <c r="A779" s="7">
        <v>2.2323743391324039E-2</v>
      </c>
      <c r="B779"/>
      <c r="C779"/>
      <c r="D779"/>
      <c r="E779"/>
      <c r="F779" s="27" t="s">
        <v>7</v>
      </c>
      <c r="AI779" s="27" t="s">
        <v>8</v>
      </c>
      <c r="AJ779" s="27" t="s">
        <v>7</v>
      </c>
      <c r="AK779" s="27" t="s">
        <v>8</v>
      </c>
      <c r="AL779" s="27" t="s">
        <v>7</v>
      </c>
      <c r="AM779" s="27" t="s">
        <v>8</v>
      </c>
      <c r="AZ779" s="27" t="s">
        <v>7</v>
      </c>
      <c r="BA779" s="27" t="s">
        <v>8</v>
      </c>
      <c r="BB779" s="27" t="s">
        <v>7</v>
      </c>
      <c r="BC779" s="27" t="s">
        <v>8</v>
      </c>
      <c r="BD779" s="27" t="s">
        <v>7</v>
      </c>
      <c r="BE779" s="27" t="s">
        <v>8</v>
      </c>
      <c r="BN779" s="27" t="s">
        <v>7</v>
      </c>
      <c r="BP779" s="27" t="s">
        <v>7</v>
      </c>
      <c r="BQ779" s="27" t="s">
        <v>8</v>
      </c>
      <c r="BR779" s="27" t="s">
        <v>7</v>
      </c>
      <c r="CA779" s="27" t="s">
        <v>8</v>
      </c>
      <c r="CB779" s="27" t="s">
        <v>7</v>
      </c>
      <c r="CC779" s="27" t="s">
        <v>8</v>
      </c>
      <c r="CD779" s="27" t="s">
        <v>7</v>
      </c>
      <c r="DW779" s="27" t="s">
        <v>8</v>
      </c>
      <c r="DX779" s="27" t="s">
        <v>7</v>
      </c>
      <c r="ES779" s="27" t="s">
        <v>8</v>
      </c>
      <c r="ET779" s="27" t="s">
        <v>7</v>
      </c>
      <c r="EU779" s="27" t="s">
        <v>8</v>
      </c>
      <c r="EV779" s="27" t="s">
        <v>7</v>
      </c>
      <c r="FC779" s="27" t="s">
        <v>8</v>
      </c>
      <c r="FH779" s="27" t="s">
        <v>7</v>
      </c>
      <c r="FI779" s="27" t="s">
        <v>8</v>
      </c>
      <c r="FP779" s="27" t="s">
        <v>7</v>
      </c>
      <c r="FQ779" s="27" t="s">
        <v>8</v>
      </c>
      <c r="FR779" s="27" t="s">
        <v>7</v>
      </c>
      <c r="FS779" s="27" t="s">
        <v>8</v>
      </c>
      <c r="FT779" s="27" t="s">
        <v>7</v>
      </c>
      <c r="FU779" s="27" t="s">
        <v>8</v>
      </c>
      <c r="FV779" s="27" t="s">
        <v>7</v>
      </c>
      <c r="GA779" s="27" t="s">
        <v>8</v>
      </c>
      <c r="GB779" s="27" t="s">
        <v>7</v>
      </c>
      <c r="GC779" s="27" t="s">
        <v>8</v>
      </c>
      <c r="GD779" s="27" t="s">
        <v>7</v>
      </c>
      <c r="GE779" s="27" t="s">
        <v>8</v>
      </c>
      <c r="GF779" s="27" t="s">
        <v>7</v>
      </c>
    </row>
    <row r="780" spans="1:196" x14ac:dyDescent="0.25">
      <c r="A780" s="7">
        <v>2.188602293267063E-2</v>
      </c>
      <c r="B780"/>
      <c r="C780"/>
      <c r="D780"/>
      <c r="E780"/>
      <c r="F780" s="27" t="s">
        <v>7</v>
      </c>
      <c r="AI780" s="27" t="s">
        <v>8</v>
      </c>
      <c r="AJ780" s="27" t="s">
        <v>7</v>
      </c>
      <c r="AK780" s="27" t="s">
        <v>8</v>
      </c>
      <c r="AL780" s="27" t="s">
        <v>7</v>
      </c>
      <c r="AM780" s="27" t="s">
        <v>8</v>
      </c>
      <c r="AZ780" s="27" t="s">
        <v>7</v>
      </c>
      <c r="BA780" s="27" t="s">
        <v>8</v>
      </c>
      <c r="BB780" s="27" t="s">
        <v>7</v>
      </c>
      <c r="BC780" s="27" t="s">
        <v>8</v>
      </c>
      <c r="BD780" s="27" t="s">
        <v>7</v>
      </c>
      <c r="BE780" s="27" t="s">
        <v>8</v>
      </c>
      <c r="BP780" s="27" t="s">
        <v>7</v>
      </c>
      <c r="BQ780" s="27" t="s">
        <v>8</v>
      </c>
      <c r="BR780" s="27" t="s">
        <v>7</v>
      </c>
      <c r="CA780" s="27" t="s">
        <v>8</v>
      </c>
      <c r="CB780" s="27" t="s">
        <v>7</v>
      </c>
      <c r="CC780" s="27" t="s">
        <v>8</v>
      </c>
      <c r="CD780" s="27" t="s">
        <v>7</v>
      </c>
      <c r="DW780" s="27" t="s">
        <v>8</v>
      </c>
      <c r="DX780" s="27" t="s">
        <v>7</v>
      </c>
      <c r="ES780" s="27" t="s">
        <v>8</v>
      </c>
      <c r="ET780" s="27" t="s">
        <v>7</v>
      </c>
      <c r="EU780" s="27" t="s">
        <v>8</v>
      </c>
      <c r="EV780" s="27" t="s">
        <v>7</v>
      </c>
      <c r="FA780" s="27" t="s">
        <v>8</v>
      </c>
      <c r="FC780" s="27" t="s">
        <v>8</v>
      </c>
      <c r="FH780" s="27" t="s">
        <v>7</v>
      </c>
      <c r="FI780" s="27" t="s">
        <v>8</v>
      </c>
      <c r="FP780" s="27" t="s">
        <v>7</v>
      </c>
      <c r="FQ780" s="27" t="s">
        <v>8</v>
      </c>
      <c r="FR780" s="27" t="s">
        <v>7</v>
      </c>
      <c r="FS780" s="27" t="s">
        <v>8</v>
      </c>
      <c r="FT780" s="27" t="s">
        <v>7</v>
      </c>
      <c r="FV780" s="27" t="s">
        <v>7</v>
      </c>
      <c r="GA780" s="27" t="s">
        <v>8</v>
      </c>
      <c r="GB780" s="27" t="s">
        <v>7</v>
      </c>
      <c r="GC780" s="27" t="s">
        <v>8</v>
      </c>
      <c r="GD780" s="27" t="s">
        <v>7</v>
      </c>
      <c r="GE780" s="27" t="s">
        <v>8</v>
      </c>
      <c r="GF780" s="27" t="s">
        <v>7</v>
      </c>
      <c r="GK780" s="27" t="s">
        <v>8</v>
      </c>
    </row>
    <row r="781" spans="1:196" x14ac:dyDescent="0.25">
      <c r="A781" s="7">
        <v>2.1456885228108461E-2</v>
      </c>
      <c r="B781"/>
      <c r="C781"/>
      <c r="D781"/>
      <c r="E781"/>
      <c r="F781" s="27" t="s">
        <v>7</v>
      </c>
      <c r="AI781" s="27" t="s">
        <v>8</v>
      </c>
      <c r="AJ781" s="27" t="s">
        <v>7</v>
      </c>
      <c r="AK781" s="27" t="s">
        <v>8</v>
      </c>
      <c r="AL781" s="27" t="s">
        <v>7</v>
      </c>
      <c r="AM781" s="27" t="s">
        <v>8</v>
      </c>
      <c r="AZ781" s="27" t="s">
        <v>7</v>
      </c>
      <c r="BA781" s="27" t="s">
        <v>8</v>
      </c>
      <c r="BB781" s="27" t="s">
        <v>7</v>
      </c>
      <c r="BC781" s="27" t="s">
        <v>8</v>
      </c>
      <c r="BD781" s="27" t="s">
        <v>7</v>
      </c>
      <c r="BE781" s="27" t="s">
        <v>8</v>
      </c>
      <c r="BP781" s="27" t="s">
        <v>7</v>
      </c>
      <c r="BQ781" s="27" t="s">
        <v>8</v>
      </c>
      <c r="BR781" s="27" t="s">
        <v>7</v>
      </c>
      <c r="CA781" s="27" t="s">
        <v>8</v>
      </c>
      <c r="CB781" s="27" t="s">
        <v>7</v>
      </c>
      <c r="CC781" s="27" t="s">
        <v>8</v>
      </c>
      <c r="CD781" s="27" t="s">
        <v>7</v>
      </c>
      <c r="DW781" s="27" t="s">
        <v>8</v>
      </c>
      <c r="DX781" s="27" t="s">
        <v>7</v>
      </c>
      <c r="ES781" s="27" t="s">
        <v>8</v>
      </c>
      <c r="ET781" s="27" t="s">
        <v>7</v>
      </c>
      <c r="EU781" s="27" t="s">
        <v>8</v>
      </c>
      <c r="EV781" s="27" t="s">
        <v>7</v>
      </c>
      <c r="FA781" s="27" t="s">
        <v>8</v>
      </c>
      <c r="FB781" s="27" t="s">
        <v>7</v>
      </c>
      <c r="FC781" s="27" t="s">
        <v>8</v>
      </c>
      <c r="FH781" s="27" t="s">
        <v>7</v>
      </c>
      <c r="FP781" s="27" t="s">
        <v>7</v>
      </c>
      <c r="FQ781" s="27" t="s">
        <v>8</v>
      </c>
      <c r="FR781" s="27" t="s">
        <v>7</v>
      </c>
      <c r="FS781" s="27" t="s">
        <v>8</v>
      </c>
      <c r="FV781" s="27" t="s">
        <v>7</v>
      </c>
      <c r="FY781" s="27" t="s">
        <v>8</v>
      </c>
      <c r="GA781" s="27" t="s">
        <v>8</v>
      </c>
      <c r="GB781" s="27" t="s">
        <v>7</v>
      </c>
      <c r="GD781" s="27" t="s">
        <v>7</v>
      </c>
      <c r="GF781" s="27" t="s">
        <v>7</v>
      </c>
      <c r="GI781" s="27" t="s">
        <v>8</v>
      </c>
      <c r="GK781" s="27" t="s">
        <v>8</v>
      </c>
      <c r="GL781" s="27" t="s">
        <v>7</v>
      </c>
    </row>
    <row r="782" spans="1:196" x14ac:dyDescent="0.25">
      <c r="A782" s="7">
        <v>2.1036161988341632E-2</v>
      </c>
      <c r="B782"/>
      <c r="C782"/>
      <c r="D782"/>
      <c r="E782"/>
      <c r="F782" s="27" t="s">
        <v>7</v>
      </c>
      <c r="AI782" s="27" t="s">
        <v>8</v>
      </c>
      <c r="AJ782" s="27" t="s">
        <v>7</v>
      </c>
      <c r="AK782" s="27" t="s">
        <v>8</v>
      </c>
      <c r="AL782" s="27" t="s">
        <v>7</v>
      </c>
      <c r="AM782" s="27" t="s">
        <v>8</v>
      </c>
      <c r="AZ782" s="27" t="s">
        <v>7</v>
      </c>
      <c r="BA782" s="27" t="s">
        <v>8</v>
      </c>
      <c r="BB782" s="27" t="s">
        <v>7</v>
      </c>
      <c r="BC782" s="27" t="s">
        <v>8</v>
      </c>
      <c r="BD782" s="27" t="s">
        <v>7</v>
      </c>
      <c r="BE782" s="27" t="s">
        <v>8</v>
      </c>
      <c r="BP782" s="27" t="s">
        <v>7</v>
      </c>
      <c r="BQ782" s="27" t="s">
        <v>8</v>
      </c>
      <c r="BR782" s="27" t="s">
        <v>7</v>
      </c>
      <c r="CA782" s="27" t="s">
        <v>8</v>
      </c>
      <c r="CB782" s="27" t="s">
        <v>7</v>
      </c>
      <c r="CC782" s="27" t="s">
        <v>8</v>
      </c>
      <c r="CD782" s="27" t="s">
        <v>7</v>
      </c>
      <c r="CE782" s="27" t="s">
        <v>8</v>
      </c>
      <c r="DW782" s="27" t="s">
        <v>8</v>
      </c>
      <c r="DX782" s="27" t="s">
        <v>7</v>
      </c>
      <c r="ES782" s="27" t="s">
        <v>8</v>
      </c>
      <c r="ET782" s="27" t="s">
        <v>7</v>
      </c>
      <c r="EU782" s="27" t="s">
        <v>8</v>
      </c>
      <c r="EV782" s="27" t="s">
        <v>7</v>
      </c>
      <c r="FA782" s="27" t="s">
        <v>8</v>
      </c>
      <c r="FB782" s="27" t="s">
        <v>7</v>
      </c>
      <c r="FC782" s="27" t="s">
        <v>8</v>
      </c>
      <c r="FP782" s="27" t="s">
        <v>7</v>
      </c>
      <c r="FR782" s="27" t="s">
        <v>7</v>
      </c>
      <c r="FS782" s="27" t="s">
        <v>8</v>
      </c>
      <c r="FV782" s="27" t="s">
        <v>7</v>
      </c>
      <c r="FY782" s="27" t="s">
        <v>8</v>
      </c>
      <c r="FZ782" s="27" t="s">
        <v>7</v>
      </c>
      <c r="GA782" s="27" t="s">
        <v>8</v>
      </c>
      <c r="GF782" s="27" t="s">
        <v>7</v>
      </c>
      <c r="GI782" s="27" t="s">
        <v>8</v>
      </c>
      <c r="GJ782" s="27" t="s">
        <v>7</v>
      </c>
      <c r="GK782" s="27" t="s">
        <v>8</v>
      </c>
      <c r="GL782" s="27" t="s">
        <v>7</v>
      </c>
    </row>
    <row r="783" spans="1:196" x14ac:dyDescent="0.25">
      <c r="A783" s="7">
        <v>2.0623688223864345E-2</v>
      </c>
      <c r="B783"/>
      <c r="C783"/>
      <c r="D783"/>
      <c r="E783"/>
      <c r="F783" s="27" t="s">
        <v>7</v>
      </c>
      <c r="AI783" s="27" t="s">
        <v>8</v>
      </c>
      <c r="AJ783" s="27" t="s">
        <v>7</v>
      </c>
      <c r="AK783" s="27" t="s">
        <v>8</v>
      </c>
      <c r="AL783" s="27" t="s">
        <v>7</v>
      </c>
      <c r="AM783" s="27" t="s">
        <v>8</v>
      </c>
      <c r="AZ783" s="27" t="s">
        <v>7</v>
      </c>
      <c r="BA783" s="27" t="s">
        <v>8</v>
      </c>
      <c r="BB783" s="27" t="s">
        <v>7</v>
      </c>
      <c r="BC783" s="27" t="s">
        <v>8</v>
      </c>
      <c r="BD783" s="27" t="s">
        <v>7</v>
      </c>
      <c r="BE783" s="27" t="s">
        <v>8</v>
      </c>
      <c r="BP783" s="27" t="s">
        <v>7</v>
      </c>
      <c r="BQ783" s="27" t="s">
        <v>8</v>
      </c>
      <c r="BR783" s="27" t="s">
        <v>7</v>
      </c>
      <c r="CA783" s="27" t="s">
        <v>8</v>
      </c>
      <c r="CB783" s="27" t="s">
        <v>7</v>
      </c>
      <c r="CC783" s="27" t="s">
        <v>8</v>
      </c>
      <c r="CD783" s="27" t="s">
        <v>7</v>
      </c>
      <c r="CE783" s="27" t="s">
        <v>8</v>
      </c>
      <c r="CF783" s="27" t="s">
        <v>7</v>
      </c>
      <c r="DW783" s="27" t="s">
        <v>8</v>
      </c>
      <c r="DX783" s="27" t="s">
        <v>7</v>
      </c>
      <c r="ES783" s="27" t="s">
        <v>8</v>
      </c>
      <c r="ET783" s="27" t="s">
        <v>7</v>
      </c>
      <c r="EU783" s="27" t="s">
        <v>8</v>
      </c>
      <c r="EV783" s="27" t="s">
        <v>7</v>
      </c>
      <c r="EY783" s="27" t="s">
        <v>8</v>
      </c>
      <c r="FA783" s="27" t="s">
        <v>8</v>
      </c>
      <c r="FB783" s="27" t="s">
        <v>7</v>
      </c>
      <c r="FC783" s="27" t="s">
        <v>8</v>
      </c>
      <c r="FR783" s="27" t="s">
        <v>7</v>
      </c>
      <c r="FS783" s="27" t="s">
        <v>8</v>
      </c>
      <c r="FV783" s="27" t="s">
        <v>7</v>
      </c>
      <c r="FY783" s="27" t="s">
        <v>8</v>
      </c>
      <c r="FZ783" s="27" t="s">
        <v>7</v>
      </c>
      <c r="GA783" s="27" t="s">
        <v>8</v>
      </c>
      <c r="GF783" s="27" t="s">
        <v>7</v>
      </c>
      <c r="GI783" s="27" t="s">
        <v>8</v>
      </c>
      <c r="GJ783" s="27" t="s">
        <v>7</v>
      </c>
      <c r="GK783" s="27" t="s">
        <v>8</v>
      </c>
      <c r="GL783" s="27" t="s">
        <v>7</v>
      </c>
      <c r="GM783" s="27" t="s">
        <v>8</v>
      </c>
    </row>
    <row r="784" spans="1:196" x14ac:dyDescent="0.25">
      <c r="A784" s="7">
        <v>2.021930218025916E-2</v>
      </c>
      <c r="B784"/>
      <c r="C784"/>
      <c r="D784"/>
      <c r="E784"/>
      <c r="F784" s="27" t="s">
        <v>7</v>
      </c>
      <c r="AI784" s="27" t="s">
        <v>8</v>
      </c>
      <c r="AJ784" s="27" t="s">
        <v>7</v>
      </c>
      <c r="AK784" s="27" t="s">
        <v>8</v>
      </c>
      <c r="AL784" s="27" t="s">
        <v>7</v>
      </c>
      <c r="AM784" s="27" t="s">
        <v>8</v>
      </c>
      <c r="AZ784" s="27" t="s">
        <v>7</v>
      </c>
      <c r="BB784" s="27" t="s">
        <v>7</v>
      </c>
      <c r="BC784" s="27" t="s">
        <v>8</v>
      </c>
      <c r="BD784" s="27" t="s">
        <v>7</v>
      </c>
      <c r="BE784" s="27" t="s">
        <v>8</v>
      </c>
      <c r="BP784" s="27" t="s">
        <v>7</v>
      </c>
      <c r="BQ784" s="27" t="s">
        <v>8</v>
      </c>
      <c r="BR784" s="27" t="s">
        <v>7</v>
      </c>
      <c r="CA784" s="27" t="s">
        <v>8</v>
      </c>
      <c r="CB784" s="27" t="s">
        <v>7</v>
      </c>
      <c r="CC784" s="27" t="s">
        <v>8</v>
      </c>
      <c r="CD784" s="27" t="s">
        <v>7</v>
      </c>
      <c r="CE784" s="27" t="s">
        <v>8</v>
      </c>
      <c r="CF784" s="27" t="s">
        <v>7</v>
      </c>
      <c r="DW784" s="27" t="s">
        <v>8</v>
      </c>
      <c r="DX784" s="27" t="s">
        <v>7</v>
      </c>
      <c r="ES784" s="27" t="s">
        <v>8</v>
      </c>
      <c r="ET784" s="27" t="s">
        <v>7</v>
      </c>
      <c r="EU784" s="27" t="s">
        <v>8</v>
      </c>
      <c r="EV784" s="27" t="s">
        <v>7</v>
      </c>
      <c r="EW784" s="27" t="s">
        <v>8</v>
      </c>
      <c r="EY784" s="27" t="s">
        <v>8</v>
      </c>
      <c r="EZ784" s="27" t="s">
        <v>7</v>
      </c>
      <c r="FA784" s="27" t="s">
        <v>8</v>
      </c>
      <c r="FB784" s="27" t="s">
        <v>7</v>
      </c>
      <c r="FC784" s="27" t="s">
        <v>8</v>
      </c>
      <c r="FR784" s="27" t="s">
        <v>7</v>
      </c>
      <c r="FS784" s="27" t="s">
        <v>8</v>
      </c>
      <c r="FV784" s="27" t="s">
        <v>7</v>
      </c>
      <c r="FW784" s="27" t="s">
        <v>8</v>
      </c>
      <c r="FY784" s="27" t="s">
        <v>8</v>
      </c>
      <c r="FZ784" s="27" t="s">
        <v>7</v>
      </c>
      <c r="GA784" s="27" t="s">
        <v>8</v>
      </c>
      <c r="GF784" s="27" t="s">
        <v>7</v>
      </c>
      <c r="GI784" s="27" t="s">
        <v>8</v>
      </c>
      <c r="GJ784" s="27" t="s">
        <v>7</v>
      </c>
      <c r="GK784" s="27" t="s">
        <v>8</v>
      </c>
      <c r="GL784" s="27" t="s">
        <v>7</v>
      </c>
      <c r="GM784" s="27" t="s">
        <v>8</v>
      </c>
      <c r="GN784" s="27" t="s">
        <v>7</v>
      </c>
    </row>
    <row r="785" spans="1:200" x14ac:dyDescent="0.25">
      <c r="A785" s="7">
        <v>1.9822845274763884E-2</v>
      </c>
      <c r="B785"/>
      <c r="C785"/>
      <c r="D785"/>
      <c r="E785"/>
      <c r="F785" s="27" t="s">
        <v>7</v>
      </c>
      <c r="AI785" s="27" t="s">
        <v>8</v>
      </c>
      <c r="AJ785" s="27" t="s">
        <v>7</v>
      </c>
      <c r="AK785" s="27" t="s">
        <v>8</v>
      </c>
      <c r="AL785" s="27" t="s">
        <v>7</v>
      </c>
      <c r="AM785" s="27" t="s">
        <v>8</v>
      </c>
      <c r="BB785" s="27" t="s">
        <v>7</v>
      </c>
      <c r="BC785" s="27" t="s">
        <v>8</v>
      </c>
      <c r="BD785" s="27" t="s">
        <v>7</v>
      </c>
      <c r="BE785" s="27" t="s">
        <v>8</v>
      </c>
      <c r="BP785" s="27" t="s">
        <v>7</v>
      </c>
      <c r="BR785" s="27" t="s">
        <v>7</v>
      </c>
      <c r="CA785" s="27" t="s">
        <v>8</v>
      </c>
      <c r="CB785" s="27" t="s">
        <v>7</v>
      </c>
      <c r="CC785" s="27" t="s">
        <v>8</v>
      </c>
      <c r="CD785" s="27" t="s">
        <v>7</v>
      </c>
      <c r="CE785" s="27" t="s">
        <v>8</v>
      </c>
      <c r="CF785" s="27" t="s">
        <v>7</v>
      </c>
      <c r="DW785" s="27" t="s">
        <v>8</v>
      </c>
      <c r="DX785" s="27" t="s">
        <v>7</v>
      </c>
      <c r="ES785" s="27" t="s">
        <v>8</v>
      </c>
      <c r="ET785" s="27" t="s">
        <v>7</v>
      </c>
      <c r="EU785" s="27" t="s">
        <v>8</v>
      </c>
      <c r="EV785" s="27" t="s">
        <v>7</v>
      </c>
      <c r="EW785" s="27" t="s">
        <v>8</v>
      </c>
      <c r="EX785" s="27" t="s">
        <v>7</v>
      </c>
      <c r="EY785" s="27" t="s">
        <v>8</v>
      </c>
      <c r="EZ785" s="27" t="s">
        <v>7</v>
      </c>
      <c r="FA785" s="27" t="s">
        <v>8</v>
      </c>
      <c r="FB785" s="27" t="s">
        <v>7</v>
      </c>
      <c r="FR785" s="27" t="s">
        <v>7</v>
      </c>
      <c r="FV785" s="27" t="s">
        <v>7</v>
      </c>
      <c r="FW785" s="27" t="s">
        <v>8</v>
      </c>
      <c r="FX785" s="27" t="s">
        <v>7</v>
      </c>
      <c r="FY785" s="27" t="s">
        <v>8</v>
      </c>
      <c r="FZ785" s="27" t="s">
        <v>7</v>
      </c>
      <c r="GA785" s="27" t="s">
        <v>8</v>
      </c>
      <c r="GF785" s="27" t="s">
        <v>7</v>
      </c>
      <c r="GG785" s="27" t="s">
        <v>8</v>
      </c>
      <c r="GI785" s="27" t="s">
        <v>8</v>
      </c>
      <c r="GJ785" s="27" t="s">
        <v>7</v>
      </c>
      <c r="GL785" s="27" t="s">
        <v>7</v>
      </c>
      <c r="GM785" s="27" t="s">
        <v>8</v>
      </c>
      <c r="GN785" s="27" t="s">
        <v>7</v>
      </c>
    </row>
    <row r="786" spans="1:200" x14ac:dyDescent="0.25">
      <c r="A786" s="7">
        <v>1.9434162034082238E-2</v>
      </c>
      <c r="B786"/>
      <c r="C786"/>
      <c r="D786"/>
      <c r="E786"/>
      <c r="F786" s="27" t="s">
        <v>7</v>
      </c>
      <c r="AI786" s="27" t="s">
        <v>8</v>
      </c>
      <c r="AJ786" s="27" t="s">
        <v>7</v>
      </c>
      <c r="AK786" s="27" t="s">
        <v>8</v>
      </c>
      <c r="AL786" s="27" t="s">
        <v>7</v>
      </c>
      <c r="AM786" s="27" t="s">
        <v>8</v>
      </c>
      <c r="BB786" s="27" t="s">
        <v>7</v>
      </c>
      <c r="BC786" s="27" t="s">
        <v>8</v>
      </c>
      <c r="BD786" s="27" t="s">
        <v>7</v>
      </c>
      <c r="BE786" s="27" t="s">
        <v>8</v>
      </c>
      <c r="BR786" s="27" t="s">
        <v>7</v>
      </c>
      <c r="CA786" s="27" t="s">
        <v>8</v>
      </c>
      <c r="CB786" s="27" t="s">
        <v>7</v>
      </c>
      <c r="CC786" s="27" t="s">
        <v>8</v>
      </c>
      <c r="CD786" s="27" t="s">
        <v>7</v>
      </c>
      <c r="CE786" s="27" t="s">
        <v>8</v>
      </c>
      <c r="CF786" s="27" t="s">
        <v>7</v>
      </c>
      <c r="DW786" s="27" t="s">
        <v>8</v>
      </c>
      <c r="DX786" s="27" t="s">
        <v>7</v>
      </c>
      <c r="ES786" s="27" t="s">
        <v>8</v>
      </c>
      <c r="ET786" s="27" t="s">
        <v>7</v>
      </c>
      <c r="EU786" s="27" t="s">
        <v>8</v>
      </c>
      <c r="EV786" s="27" t="s">
        <v>7</v>
      </c>
      <c r="EW786" s="27" t="s">
        <v>8</v>
      </c>
      <c r="EX786" s="27" t="s">
        <v>7</v>
      </c>
      <c r="EY786" s="27" t="s">
        <v>8</v>
      </c>
      <c r="EZ786" s="27" t="s">
        <v>7</v>
      </c>
      <c r="FV786" s="27" t="s">
        <v>7</v>
      </c>
      <c r="FW786" s="27" t="s">
        <v>8</v>
      </c>
      <c r="FX786" s="27" t="s">
        <v>7</v>
      </c>
      <c r="FY786" s="27" t="s">
        <v>8</v>
      </c>
      <c r="FZ786" s="27" t="s">
        <v>7</v>
      </c>
      <c r="GA786" s="27" t="s">
        <v>8</v>
      </c>
      <c r="GF786" s="27" t="s">
        <v>7</v>
      </c>
      <c r="GG786" s="27" t="s">
        <v>8</v>
      </c>
      <c r="GH786" s="27" t="s">
        <v>7</v>
      </c>
      <c r="GI786" s="27" t="s">
        <v>8</v>
      </c>
      <c r="GL786" s="27" t="s">
        <v>7</v>
      </c>
      <c r="GM786" s="27" t="s">
        <v>8</v>
      </c>
      <c r="GN786" s="27" t="s">
        <v>7</v>
      </c>
    </row>
    <row r="787" spans="1:200" x14ac:dyDescent="0.25">
      <c r="A787" s="7">
        <v>1.9053100033413959E-2</v>
      </c>
      <c r="B787"/>
      <c r="C787"/>
      <c r="D787"/>
      <c r="E787"/>
      <c r="F787" s="27" t="s">
        <v>7</v>
      </c>
      <c r="AI787" s="27" t="s">
        <v>8</v>
      </c>
      <c r="AJ787" s="27" t="s">
        <v>7</v>
      </c>
      <c r="AL787" s="27" t="s">
        <v>7</v>
      </c>
      <c r="AM787" s="27" t="s">
        <v>8</v>
      </c>
      <c r="BB787" s="27" t="s">
        <v>7</v>
      </c>
      <c r="BC787" s="27" t="s">
        <v>8</v>
      </c>
      <c r="BD787" s="27" t="s">
        <v>7</v>
      </c>
      <c r="BR787" s="27" t="s">
        <v>7</v>
      </c>
      <c r="CA787" s="27" t="s">
        <v>8</v>
      </c>
      <c r="CB787" s="27" t="s">
        <v>7</v>
      </c>
      <c r="CC787" s="27" t="s">
        <v>8</v>
      </c>
      <c r="CD787" s="27" t="s">
        <v>7</v>
      </c>
      <c r="CE787" s="27" t="s">
        <v>8</v>
      </c>
      <c r="CF787" s="27" t="s">
        <v>7</v>
      </c>
      <c r="CG787" s="27" t="s">
        <v>8</v>
      </c>
      <c r="DW787" s="27" t="s">
        <v>8</v>
      </c>
      <c r="DX787" s="27" t="s">
        <v>7</v>
      </c>
      <c r="ES787" s="27" t="s">
        <v>8</v>
      </c>
      <c r="ET787" s="27" t="s">
        <v>7</v>
      </c>
      <c r="EU787" s="27" t="s">
        <v>8</v>
      </c>
      <c r="EV787" s="27" t="s">
        <v>7</v>
      </c>
      <c r="EW787" s="27" t="s">
        <v>8</v>
      </c>
      <c r="EX787" s="27" t="s">
        <v>7</v>
      </c>
      <c r="EY787" s="27" t="s">
        <v>8</v>
      </c>
      <c r="FV787" s="27" t="s">
        <v>7</v>
      </c>
      <c r="FW787" s="27" t="s">
        <v>8</v>
      </c>
      <c r="FX787" s="27" t="s">
        <v>7</v>
      </c>
      <c r="FY787" s="27" t="s">
        <v>8</v>
      </c>
      <c r="FZ787" s="27" t="s">
        <v>7</v>
      </c>
      <c r="GA787" s="27" t="s">
        <v>8</v>
      </c>
      <c r="GF787" s="27" t="s">
        <v>7</v>
      </c>
      <c r="GG787" s="27" t="s">
        <v>8</v>
      </c>
      <c r="GH787" s="27" t="s">
        <v>7</v>
      </c>
      <c r="GI787" s="27" t="s">
        <v>8</v>
      </c>
      <c r="GL787" s="27" t="s">
        <v>7</v>
      </c>
      <c r="GN787" s="27" t="s">
        <v>7</v>
      </c>
    </row>
    <row r="788" spans="1:200" x14ac:dyDescent="0.25">
      <c r="A788" s="7">
        <v>1.867950983668035E-2</v>
      </c>
      <c r="B788"/>
      <c r="C788"/>
      <c r="D788"/>
      <c r="E788"/>
      <c r="F788" s="27" t="s">
        <v>7</v>
      </c>
      <c r="AI788" s="27" t="s">
        <v>8</v>
      </c>
      <c r="AL788" s="27" t="s">
        <v>7</v>
      </c>
      <c r="BB788" s="27" t="s">
        <v>7</v>
      </c>
      <c r="BC788" s="27" t="s">
        <v>8</v>
      </c>
      <c r="BR788" s="27" t="s">
        <v>7</v>
      </c>
      <c r="CA788" s="27" t="s">
        <v>8</v>
      </c>
      <c r="CB788" s="27" t="s">
        <v>7</v>
      </c>
      <c r="CC788" s="27" t="s">
        <v>8</v>
      </c>
      <c r="CD788" s="27" t="s">
        <v>7</v>
      </c>
      <c r="CE788" s="27" t="s">
        <v>8</v>
      </c>
      <c r="CF788" s="27" t="s">
        <v>7</v>
      </c>
      <c r="CG788" s="27" t="s">
        <v>8</v>
      </c>
      <c r="CH788" s="27" t="s">
        <v>7</v>
      </c>
      <c r="DU788" s="27" t="s">
        <v>8</v>
      </c>
      <c r="DW788" s="27" t="s">
        <v>8</v>
      </c>
      <c r="DX788" s="27" t="s">
        <v>7</v>
      </c>
      <c r="DY788" s="27" t="s">
        <v>8</v>
      </c>
      <c r="EC788" s="27" t="s">
        <v>8</v>
      </c>
      <c r="ES788" s="27" t="s">
        <v>8</v>
      </c>
      <c r="ET788" s="27" t="s">
        <v>7</v>
      </c>
      <c r="EV788" s="27" t="s">
        <v>7</v>
      </c>
      <c r="EX788" s="27" t="s">
        <v>7</v>
      </c>
      <c r="FV788" s="27" t="s">
        <v>7</v>
      </c>
      <c r="FW788" s="27" t="s">
        <v>8</v>
      </c>
      <c r="FX788" s="27" t="s">
        <v>7</v>
      </c>
      <c r="FY788" s="27" t="s">
        <v>8</v>
      </c>
      <c r="FZ788" s="27" t="s">
        <v>7</v>
      </c>
      <c r="GF788" s="27" t="s">
        <v>7</v>
      </c>
      <c r="GH788" s="27" t="s">
        <v>7</v>
      </c>
      <c r="GI788" s="27" t="s">
        <v>8</v>
      </c>
      <c r="GN788" s="27" t="s">
        <v>7</v>
      </c>
    </row>
    <row r="789" spans="1:200" x14ac:dyDescent="0.25">
      <c r="A789" s="7">
        <v>1.8313244937921913E-2</v>
      </c>
      <c r="B789"/>
      <c r="C789"/>
      <c r="D789"/>
      <c r="E789"/>
      <c r="F789" s="27" t="s">
        <v>7</v>
      </c>
      <c r="AI789" s="27" t="s">
        <v>8</v>
      </c>
      <c r="BB789" s="27" t="s">
        <v>7</v>
      </c>
      <c r="BC789" s="27" t="s">
        <v>8</v>
      </c>
      <c r="BR789" s="27" t="s">
        <v>7</v>
      </c>
      <c r="CA789" s="27" t="s">
        <v>8</v>
      </c>
      <c r="CB789" s="27" t="s">
        <v>7</v>
      </c>
      <c r="CC789" s="27" t="s">
        <v>8</v>
      </c>
      <c r="CD789" s="27" t="s">
        <v>7</v>
      </c>
      <c r="CE789" s="27" t="s">
        <v>8</v>
      </c>
      <c r="CF789" s="27" t="s">
        <v>7</v>
      </c>
      <c r="CG789" s="27" t="s">
        <v>8</v>
      </c>
      <c r="CH789" s="27" t="s">
        <v>7</v>
      </c>
      <c r="CI789" s="27" t="s">
        <v>8</v>
      </c>
      <c r="DO789" s="27" t="s">
        <v>8</v>
      </c>
      <c r="DU789" s="27" t="s">
        <v>8</v>
      </c>
      <c r="DV789" s="27" t="s">
        <v>7</v>
      </c>
      <c r="DW789" s="27" t="s">
        <v>8</v>
      </c>
      <c r="DX789" s="27" t="s">
        <v>7</v>
      </c>
      <c r="DY789" s="27" t="s">
        <v>8</v>
      </c>
      <c r="DZ789" s="27" t="s">
        <v>7</v>
      </c>
      <c r="EC789" s="27" t="s">
        <v>8</v>
      </c>
      <c r="ED789" s="27" t="s">
        <v>7</v>
      </c>
      <c r="ES789" s="27" t="s">
        <v>8</v>
      </c>
      <c r="FV789" s="27" t="s">
        <v>7</v>
      </c>
      <c r="FX789" s="27" t="s">
        <v>7</v>
      </c>
      <c r="FY789" s="27" t="s">
        <v>8</v>
      </c>
      <c r="GH789" s="27" t="s">
        <v>7</v>
      </c>
      <c r="GI789" s="27" t="s">
        <v>8</v>
      </c>
      <c r="GN789" s="27" t="s">
        <v>7</v>
      </c>
    </row>
    <row r="790" spans="1:200" x14ac:dyDescent="0.25">
      <c r="A790" s="7">
        <v>1.7954161703845013E-2</v>
      </c>
      <c r="B790"/>
      <c r="C790"/>
      <c r="D790"/>
      <c r="E790"/>
      <c r="F790" s="27" t="s">
        <v>7</v>
      </c>
      <c r="W790" s="27" t="s">
        <v>8</v>
      </c>
      <c r="AI790" s="27" t="s">
        <v>8</v>
      </c>
      <c r="BB790" s="27" t="s">
        <v>7</v>
      </c>
      <c r="BC790" s="27" t="s">
        <v>8</v>
      </c>
      <c r="BR790" s="27" t="s">
        <v>7</v>
      </c>
      <c r="CA790" s="27" t="s">
        <v>8</v>
      </c>
      <c r="CB790" s="27" t="s">
        <v>7</v>
      </c>
      <c r="CC790" s="27" t="s">
        <v>8</v>
      </c>
      <c r="CD790" s="27" t="s">
        <v>7</v>
      </c>
      <c r="CE790" s="27" t="s">
        <v>8</v>
      </c>
      <c r="CF790" s="27" t="s">
        <v>7</v>
      </c>
      <c r="CG790" s="27" t="s">
        <v>8</v>
      </c>
      <c r="CH790" s="27" t="s">
        <v>7</v>
      </c>
      <c r="CI790" s="27" t="s">
        <v>8</v>
      </c>
      <c r="CJ790" s="27" t="s">
        <v>7</v>
      </c>
      <c r="DO790" s="27" t="s">
        <v>8</v>
      </c>
      <c r="DP790" s="27" t="s">
        <v>7</v>
      </c>
      <c r="DU790" s="27" t="s">
        <v>8</v>
      </c>
      <c r="DV790" s="27" t="s">
        <v>7</v>
      </c>
      <c r="DW790" s="27" t="s">
        <v>8</v>
      </c>
      <c r="DX790" s="27" t="s">
        <v>7</v>
      </c>
      <c r="DY790" s="27" t="s">
        <v>8</v>
      </c>
      <c r="DZ790" s="27" t="s">
        <v>7</v>
      </c>
      <c r="EC790" s="27" t="s">
        <v>8</v>
      </c>
      <c r="ED790" s="27" t="s">
        <v>7</v>
      </c>
      <c r="ES790" s="27" t="s">
        <v>8</v>
      </c>
      <c r="FX790" s="27" t="s">
        <v>7</v>
      </c>
      <c r="GH790" s="27" t="s">
        <v>7</v>
      </c>
      <c r="GI790" s="27" t="s">
        <v>8</v>
      </c>
      <c r="GN790" s="27" t="s">
        <v>7</v>
      </c>
    </row>
    <row r="791" spans="1:200" x14ac:dyDescent="0.25">
      <c r="A791" s="7">
        <v>1.7602119317495109E-2</v>
      </c>
      <c r="B791"/>
      <c r="C791"/>
      <c r="D791"/>
      <c r="E791"/>
      <c r="F791" s="27" t="s">
        <v>7</v>
      </c>
      <c r="W791" s="27" t="s">
        <v>8</v>
      </c>
      <c r="X791" s="27" t="s">
        <v>7</v>
      </c>
      <c r="AG791" s="27" t="s">
        <v>8</v>
      </c>
      <c r="AI791" s="27" t="s">
        <v>8</v>
      </c>
      <c r="BB791" s="27" t="s">
        <v>7</v>
      </c>
      <c r="BC791" s="27" t="s">
        <v>8</v>
      </c>
      <c r="BR791" s="27" t="s">
        <v>7</v>
      </c>
      <c r="CA791" s="27" t="s">
        <v>8</v>
      </c>
      <c r="CB791" s="27" t="s">
        <v>7</v>
      </c>
      <c r="CD791" s="27" t="s">
        <v>7</v>
      </c>
      <c r="CE791" s="27" t="s">
        <v>8</v>
      </c>
      <c r="CF791" s="27" t="s">
        <v>7</v>
      </c>
      <c r="CG791" s="27" t="s">
        <v>8</v>
      </c>
      <c r="CH791" s="27" t="s">
        <v>7</v>
      </c>
      <c r="CI791" s="27" t="s">
        <v>8</v>
      </c>
      <c r="CJ791" s="27" t="s">
        <v>7</v>
      </c>
      <c r="DO791" s="27" t="s">
        <v>8</v>
      </c>
      <c r="DP791" s="27" t="s">
        <v>7</v>
      </c>
      <c r="DU791" s="27" t="s">
        <v>8</v>
      </c>
      <c r="DV791" s="27" t="s">
        <v>7</v>
      </c>
      <c r="DW791" s="27" t="s">
        <v>8</v>
      </c>
      <c r="DX791" s="27" t="s">
        <v>7</v>
      </c>
      <c r="DY791" s="27" t="s">
        <v>8</v>
      </c>
      <c r="DZ791" s="27" t="s">
        <v>7</v>
      </c>
      <c r="EC791" s="27" t="s">
        <v>8</v>
      </c>
      <c r="ED791" s="27" t="s">
        <v>7</v>
      </c>
      <c r="ES791" s="27" t="s">
        <v>8</v>
      </c>
      <c r="GH791" s="27" t="s">
        <v>7</v>
      </c>
      <c r="GN791" s="27" t="s">
        <v>7</v>
      </c>
      <c r="GQ791" s="27" t="s">
        <v>8</v>
      </c>
    </row>
    <row r="792" spans="1:200" x14ac:dyDescent="0.25">
      <c r="A792" s="7">
        <v>1.7256979723034419E-2</v>
      </c>
      <c r="B792"/>
      <c r="C792"/>
      <c r="D792"/>
      <c r="E792"/>
      <c r="F792" s="27" t="s">
        <v>7</v>
      </c>
      <c r="W792" s="27" t="s">
        <v>8</v>
      </c>
      <c r="X792" s="27" t="s">
        <v>7</v>
      </c>
      <c r="AE792" s="27" t="s">
        <v>8</v>
      </c>
      <c r="AG792" s="27" t="s">
        <v>8</v>
      </c>
      <c r="AH792" s="27" t="s">
        <v>7</v>
      </c>
      <c r="AI792" s="27" t="s">
        <v>8</v>
      </c>
      <c r="BB792" s="27" t="s">
        <v>7</v>
      </c>
      <c r="BC792" s="27" t="s">
        <v>8</v>
      </c>
      <c r="BR792" s="27" t="s">
        <v>7</v>
      </c>
      <c r="BW792" s="27" t="s">
        <v>8</v>
      </c>
      <c r="CA792" s="27" t="s">
        <v>8</v>
      </c>
      <c r="CD792" s="27" t="s">
        <v>7</v>
      </c>
      <c r="CE792" s="27" t="s">
        <v>8</v>
      </c>
      <c r="CF792" s="27" t="s">
        <v>7</v>
      </c>
      <c r="CG792" s="27" t="s">
        <v>8</v>
      </c>
      <c r="CH792" s="27" t="s">
        <v>7</v>
      </c>
      <c r="CI792" s="27" t="s">
        <v>8</v>
      </c>
      <c r="CJ792" s="27" t="s">
        <v>7</v>
      </c>
      <c r="DO792" s="27" t="s">
        <v>8</v>
      </c>
      <c r="DP792" s="27" t="s">
        <v>7</v>
      </c>
      <c r="DU792" s="27" t="s">
        <v>8</v>
      </c>
      <c r="DV792" s="27" t="s">
        <v>7</v>
      </c>
      <c r="DW792" s="27" t="s">
        <v>8</v>
      </c>
      <c r="DX792" s="27" t="s">
        <v>7</v>
      </c>
      <c r="DZ792" s="27" t="s">
        <v>7</v>
      </c>
      <c r="EC792" s="27" t="s">
        <v>8</v>
      </c>
      <c r="ED792" s="27" t="s">
        <v>7</v>
      </c>
      <c r="EQ792" s="27" t="s">
        <v>8</v>
      </c>
      <c r="ES792" s="27" t="s">
        <v>8</v>
      </c>
      <c r="GN792" s="27" t="s">
        <v>7</v>
      </c>
      <c r="GQ792" s="27" t="s">
        <v>8</v>
      </c>
      <c r="GR792" s="27" t="s">
        <v>7</v>
      </c>
    </row>
    <row r="793" spans="1:200" x14ac:dyDescent="0.25">
      <c r="A793" s="7">
        <v>1.6918607571602372E-2</v>
      </c>
      <c r="B793"/>
      <c r="C793"/>
      <c r="D793"/>
      <c r="E793"/>
      <c r="F793" s="27" t="s">
        <v>7</v>
      </c>
      <c r="W793" s="27" t="s">
        <v>8</v>
      </c>
      <c r="X793" s="27" t="s">
        <v>7</v>
      </c>
      <c r="AE793" s="27" t="s">
        <v>8</v>
      </c>
      <c r="AF793" s="27" t="s">
        <v>7</v>
      </c>
      <c r="AG793" s="27" t="s">
        <v>8</v>
      </c>
      <c r="AH793" s="27" t="s">
        <v>7</v>
      </c>
      <c r="AI793" s="27" t="s">
        <v>8</v>
      </c>
      <c r="BB793" s="27" t="s">
        <v>7</v>
      </c>
      <c r="BC793" s="27" t="s">
        <v>8</v>
      </c>
      <c r="BR793" s="27" t="s">
        <v>7</v>
      </c>
      <c r="BW793" s="27" t="s">
        <v>8</v>
      </c>
      <c r="BX793" s="27" t="s">
        <v>7</v>
      </c>
      <c r="CA793" s="27" t="s">
        <v>8</v>
      </c>
      <c r="CD793" s="27" t="s">
        <v>7</v>
      </c>
      <c r="CE793" s="27" t="s">
        <v>8</v>
      </c>
      <c r="CF793" s="27" t="s">
        <v>7</v>
      </c>
      <c r="CG793" s="27" t="s">
        <v>8</v>
      </c>
      <c r="CH793" s="27" t="s">
        <v>7</v>
      </c>
      <c r="CJ793" s="27" t="s">
        <v>7</v>
      </c>
      <c r="DO793" s="27" t="s">
        <v>8</v>
      </c>
      <c r="DP793" s="27" t="s">
        <v>7</v>
      </c>
      <c r="DU793" s="27" t="s">
        <v>8</v>
      </c>
      <c r="DV793" s="27" t="s">
        <v>7</v>
      </c>
      <c r="DW793" s="27" t="s">
        <v>8</v>
      </c>
      <c r="DZ793" s="27" t="s">
        <v>7</v>
      </c>
      <c r="EA793" s="27" t="s">
        <v>8</v>
      </c>
      <c r="EC793" s="27" t="s">
        <v>8</v>
      </c>
      <c r="ED793" s="27" t="s">
        <v>7</v>
      </c>
      <c r="EQ793" s="27" t="s">
        <v>8</v>
      </c>
      <c r="ER793" s="27" t="s">
        <v>7</v>
      </c>
      <c r="ES793" s="27" t="s">
        <v>8</v>
      </c>
      <c r="GN793" s="27" t="s">
        <v>7</v>
      </c>
      <c r="GQ793" s="27" t="s">
        <v>8</v>
      </c>
      <c r="GR793" s="27" t="s">
        <v>7</v>
      </c>
    </row>
    <row r="794" spans="1:200" x14ac:dyDescent="0.25">
      <c r="A794" s="7">
        <v>1.6586870168237622E-2</v>
      </c>
      <c r="B794"/>
      <c r="C794"/>
      <c r="D794"/>
      <c r="E794"/>
      <c r="F794" s="27" t="s">
        <v>7</v>
      </c>
      <c r="W794" s="27" t="s">
        <v>8</v>
      </c>
      <c r="X794" s="27" t="s">
        <v>7</v>
      </c>
      <c r="AE794" s="27" t="s">
        <v>8</v>
      </c>
      <c r="AF794" s="27" t="s">
        <v>7</v>
      </c>
      <c r="AG794" s="27" t="s">
        <v>8</v>
      </c>
      <c r="AH794" s="27" t="s">
        <v>7</v>
      </c>
      <c r="AI794" s="27" t="s">
        <v>8</v>
      </c>
      <c r="BB794" s="27" t="s">
        <v>7</v>
      </c>
      <c r="BC794" s="27" t="s">
        <v>8</v>
      </c>
      <c r="BR794" s="27" t="s">
        <v>7</v>
      </c>
      <c r="BW794" s="27" t="s">
        <v>8</v>
      </c>
      <c r="BX794" s="27" t="s">
        <v>7</v>
      </c>
      <c r="CA794" s="27" t="s">
        <v>8</v>
      </c>
      <c r="CD794" s="27" t="s">
        <v>7</v>
      </c>
      <c r="CE794" s="27" t="s">
        <v>8</v>
      </c>
      <c r="CF794" s="27" t="s">
        <v>7</v>
      </c>
      <c r="CG794" s="27" t="s">
        <v>8</v>
      </c>
      <c r="CJ794" s="27" t="s">
        <v>7</v>
      </c>
      <c r="DO794" s="27" t="s">
        <v>8</v>
      </c>
      <c r="DP794" s="27" t="s">
        <v>7</v>
      </c>
      <c r="DU794" s="27" t="s">
        <v>8</v>
      </c>
      <c r="DV794" s="27" t="s">
        <v>7</v>
      </c>
      <c r="DW794" s="27" t="s">
        <v>8</v>
      </c>
      <c r="DZ794" s="27" t="s">
        <v>7</v>
      </c>
      <c r="EA794" s="27" t="s">
        <v>8</v>
      </c>
      <c r="EB794" s="27" t="s">
        <v>7</v>
      </c>
      <c r="EC794" s="27" t="s">
        <v>8</v>
      </c>
      <c r="ED794" s="27" t="s">
        <v>7</v>
      </c>
      <c r="EO794" s="27" t="s">
        <v>8</v>
      </c>
      <c r="EQ794" s="27" t="s">
        <v>8</v>
      </c>
      <c r="ER794" s="27" t="s">
        <v>7</v>
      </c>
      <c r="ES794" s="27" t="s">
        <v>8</v>
      </c>
      <c r="GN794" s="27" t="s">
        <v>7</v>
      </c>
      <c r="GQ794" s="27" t="s">
        <v>8</v>
      </c>
      <c r="GR794" s="27" t="s">
        <v>7</v>
      </c>
    </row>
    <row r="795" spans="1:200" x14ac:dyDescent="0.25">
      <c r="A795" s="7">
        <v>1.6261637419840807E-2</v>
      </c>
      <c r="B795"/>
      <c r="C795"/>
      <c r="D795"/>
      <c r="E795"/>
      <c r="F795" s="27" t="s">
        <v>7</v>
      </c>
      <c r="W795" s="27" t="s">
        <v>8</v>
      </c>
      <c r="X795" s="27" t="s">
        <v>7</v>
      </c>
      <c r="AE795" s="27" t="s">
        <v>8</v>
      </c>
      <c r="AF795" s="27" t="s">
        <v>7</v>
      </c>
      <c r="AG795" s="27" t="s">
        <v>8</v>
      </c>
      <c r="AH795" s="27" t="s">
        <v>7</v>
      </c>
      <c r="AI795" s="27" t="s">
        <v>8</v>
      </c>
      <c r="BB795" s="27" t="s">
        <v>7</v>
      </c>
      <c r="BC795" s="27" t="s">
        <v>8</v>
      </c>
      <c r="BR795" s="27" t="s">
        <v>7</v>
      </c>
      <c r="BS795" s="27" t="s">
        <v>8</v>
      </c>
      <c r="BW795" s="27" t="s">
        <v>8</v>
      </c>
      <c r="BX795" s="27" t="s">
        <v>7</v>
      </c>
      <c r="CA795" s="27" t="s">
        <v>8</v>
      </c>
      <c r="CD795" s="27" t="s">
        <v>7</v>
      </c>
      <c r="CE795" s="27" t="s">
        <v>8</v>
      </c>
      <c r="CF795" s="27" t="s">
        <v>7</v>
      </c>
      <c r="CJ795" s="27" t="s">
        <v>7</v>
      </c>
      <c r="DO795" s="27" t="s">
        <v>8</v>
      </c>
      <c r="DP795" s="27" t="s">
        <v>7</v>
      </c>
      <c r="DU795" s="27" t="s">
        <v>8</v>
      </c>
      <c r="DV795" s="27" t="s">
        <v>7</v>
      </c>
      <c r="DW795" s="27" t="s">
        <v>8</v>
      </c>
      <c r="DZ795" s="27" t="s">
        <v>7</v>
      </c>
      <c r="EA795" s="27" t="s">
        <v>8</v>
      </c>
      <c r="EB795" s="27" t="s">
        <v>7</v>
      </c>
      <c r="EC795" s="27" t="s">
        <v>8</v>
      </c>
      <c r="ED795" s="27" t="s">
        <v>7</v>
      </c>
      <c r="EO795" s="27" t="s">
        <v>8</v>
      </c>
      <c r="EP795" s="27" t="s">
        <v>7</v>
      </c>
      <c r="EQ795" s="27" t="s">
        <v>8</v>
      </c>
      <c r="ER795" s="27" t="s">
        <v>7</v>
      </c>
      <c r="ES795" s="27" t="s">
        <v>8</v>
      </c>
      <c r="GN795" s="27" t="s">
        <v>7</v>
      </c>
      <c r="GQ795" s="27" t="s">
        <v>8</v>
      </c>
      <c r="GR795" s="27" t="s">
        <v>7</v>
      </c>
    </row>
    <row r="796" spans="1:200" x14ac:dyDescent="0.25">
      <c r="A796" s="7">
        <v>1.5942781784157655E-2</v>
      </c>
      <c r="B796"/>
      <c r="C796"/>
      <c r="D796"/>
      <c r="E796"/>
      <c r="F796" s="27" t="s">
        <v>7</v>
      </c>
      <c r="W796" s="27" t="s">
        <v>8</v>
      </c>
      <c r="X796" s="27" t="s">
        <v>7</v>
      </c>
      <c r="AE796" s="27" t="s">
        <v>8</v>
      </c>
      <c r="AF796" s="27" t="s">
        <v>7</v>
      </c>
      <c r="AG796" s="27" t="s">
        <v>8</v>
      </c>
      <c r="AH796" s="27" t="s">
        <v>7</v>
      </c>
      <c r="AI796" s="27" t="s">
        <v>8</v>
      </c>
      <c r="BB796" s="27" t="s">
        <v>7</v>
      </c>
      <c r="BC796" s="27" t="s">
        <v>8</v>
      </c>
      <c r="BR796" s="27" t="s">
        <v>7</v>
      </c>
      <c r="BS796" s="27" t="s">
        <v>8</v>
      </c>
      <c r="BT796" s="27" t="s">
        <v>7</v>
      </c>
      <c r="BU796" s="27" t="s">
        <v>8</v>
      </c>
      <c r="BW796" s="27" t="s">
        <v>8</v>
      </c>
      <c r="BX796" s="27" t="s">
        <v>7</v>
      </c>
      <c r="CA796" s="27" t="s">
        <v>8</v>
      </c>
      <c r="CD796" s="27" t="s">
        <v>7</v>
      </c>
      <c r="CJ796" s="27" t="s">
        <v>7</v>
      </c>
      <c r="DK796" s="27" t="s">
        <v>8</v>
      </c>
      <c r="DO796" s="27" t="s">
        <v>8</v>
      </c>
      <c r="DP796" s="27" t="s">
        <v>7</v>
      </c>
      <c r="DQ796" s="27" t="s">
        <v>8</v>
      </c>
      <c r="DU796" s="27" t="s">
        <v>8</v>
      </c>
      <c r="DV796" s="27" t="s">
        <v>7</v>
      </c>
      <c r="DW796" s="27" t="s">
        <v>8</v>
      </c>
      <c r="DZ796" s="27" t="s">
        <v>7</v>
      </c>
      <c r="EA796" s="27" t="s">
        <v>8</v>
      </c>
      <c r="EB796" s="27" t="s">
        <v>7</v>
      </c>
      <c r="EC796" s="27" t="s">
        <v>8</v>
      </c>
      <c r="ED796" s="27" t="s">
        <v>7</v>
      </c>
      <c r="EO796" s="27" t="s">
        <v>8</v>
      </c>
      <c r="EP796" s="27" t="s">
        <v>7</v>
      </c>
      <c r="EQ796" s="27" t="s">
        <v>8</v>
      </c>
      <c r="ER796" s="27" t="s">
        <v>7</v>
      </c>
      <c r="GN796" s="27" t="s">
        <v>7</v>
      </c>
      <c r="GQ796" s="27" t="s">
        <v>8</v>
      </c>
      <c r="GR796" s="27" t="s">
        <v>7</v>
      </c>
    </row>
    <row r="797" spans="1:200" x14ac:dyDescent="0.25">
      <c r="A797" s="7">
        <v>1.5630178219762408E-2</v>
      </c>
      <c r="B797"/>
      <c r="C797"/>
      <c r="D797"/>
      <c r="E797"/>
      <c r="F797" s="27" t="s">
        <v>7</v>
      </c>
      <c r="W797" s="27" t="s">
        <v>8</v>
      </c>
      <c r="X797" s="27" t="s">
        <v>7</v>
      </c>
      <c r="AE797" s="27" t="s">
        <v>8</v>
      </c>
      <c r="AF797" s="27" t="s">
        <v>7</v>
      </c>
      <c r="AG797" s="27" t="s">
        <v>8</v>
      </c>
      <c r="AH797" s="27" t="s">
        <v>7</v>
      </c>
      <c r="AI797" s="27" t="s">
        <v>8</v>
      </c>
      <c r="BB797" s="27" t="s">
        <v>7</v>
      </c>
      <c r="BC797" s="27" t="s">
        <v>8</v>
      </c>
      <c r="BR797" s="27" t="s">
        <v>7</v>
      </c>
      <c r="BS797" s="27" t="s">
        <v>8</v>
      </c>
      <c r="BT797" s="27" t="s">
        <v>7</v>
      </c>
      <c r="BU797" s="27" t="s">
        <v>8</v>
      </c>
      <c r="BV797" s="27" t="s">
        <v>7</v>
      </c>
      <c r="BW797" s="27" t="s">
        <v>8</v>
      </c>
      <c r="BX797" s="27" t="s">
        <v>7</v>
      </c>
      <c r="CA797" s="27" t="s">
        <v>8</v>
      </c>
      <c r="CJ797" s="27" t="s">
        <v>7</v>
      </c>
      <c r="DK797" s="27" t="s">
        <v>8</v>
      </c>
      <c r="DL797" s="27" t="s">
        <v>7</v>
      </c>
      <c r="DM797" s="27" t="s">
        <v>8</v>
      </c>
      <c r="DO797" s="27" t="s">
        <v>8</v>
      </c>
      <c r="DP797" s="27" t="s">
        <v>7</v>
      </c>
      <c r="DQ797" s="27" t="s">
        <v>8</v>
      </c>
      <c r="DR797" s="27" t="s">
        <v>7</v>
      </c>
      <c r="DU797" s="27" t="s">
        <v>8</v>
      </c>
      <c r="DV797" s="27" t="s">
        <v>7</v>
      </c>
      <c r="DW797" s="27" t="s">
        <v>8</v>
      </c>
      <c r="DZ797" s="27" t="s">
        <v>7</v>
      </c>
      <c r="EB797" s="27" t="s">
        <v>7</v>
      </c>
      <c r="EC797" s="27" t="s">
        <v>8</v>
      </c>
      <c r="ED797" s="27" t="s">
        <v>7</v>
      </c>
      <c r="EO797" s="27" t="s">
        <v>8</v>
      </c>
      <c r="EP797" s="27" t="s">
        <v>7</v>
      </c>
      <c r="EQ797" s="27" t="s">
        <v>8</v>
      </c>
      <c r="GN797" s="27" t="s">
        <v>7</v>
      </c>
      <c r="GQ797" s="27" t="s">
        <v>8</v>
      </c>
      <c r="GR797" s="27" t="s">
        <v>7</v>
      </c>
    </row>
    <row r="798" spans="1:200" x14ac:dyDescent="0.25">
      <c r="A798" s="7">
        <v>1.5323704137021967E-2</v>
      </c>
      <c r="B798"/>
      <c r="C798"/>
      <c r="D798"/>
      <c r="E798"/>
      <c r="F798" s="27" t="s">
        <v>7</v>
      </c>
      <c r="W798" s="27" t="s">
        <v>8</v>
      </c>
      <c r="X798" s="27" t="s">
        <v>7</v>
      </c>
      <c r="AE798" s="27" t="s">
        <v>8</v>
      </c>
      <c r="AF798" s="27" t="s">
        <v>7</v>
      </c>
      <c r="AG798" s="27" t="s">
        <v>8</v>
      </c>
      <c r="AH798" s="27" t="s">
        <v>7</v>
      </c>
      <c r="BB798" s="27" t="s">
        <v>7</v>
      </c>
      <c r="BR798" s="27" t="s">
        <v>7</v>
      </c>
      <c r="BS798" s="27" t="s">
        <v>8</v>
      </c>
      <c r="BT798" s="27" t="s">
        <v>7</v>
      </c>
      <c r="BU798" s="27" t="s">
        <v>8</v>
      </c>
      <c r="BV798" s="27" t="s">
        <v>7</v>
      </c>
      <c r="BW798" s="27" t="s">
        <v>8</v>
      </c>
      <c r="BX798" s="27" t="s">
        <v>7</v>
      </c>
      <c r="BY798" s="27" t="s">
        <v>8</v>
      </c>
      <c r="CA798" s="27" t="s">
        <v>8</v>
      </c>
      <c r="CJ798" s="27" t="s">
        <v>7</v>
      </c>
      <c r="DK798" s="27" t="s">
        <v>8</v>
      </c>
      <c r="DL798" s="27" t="s">
        <v>7</v>
      </c>
      <c r="DM798" s="27" t="s">
        <v>8</v>
      </c>
      <c r="DN798" s="27" t="s">
        <v>7</v>
      </c>
      <c r="DO798" s="27" t="s">
        <v>8</v>
      </c>
      <c r="DP798" s="27" t="s">
        <v>7</v>
      </c>
      <c r="DQ798" s="27" t="s">
        <v>8</v>
      </c>
      <c r="DR798" s="27" t="s">
        <v>7</v>
      </c>
      <c r="DS798" s="27" t="s">
        <v>8</v>
      </c>
      <c r="DU798" s="27" t="s">
        <v>8</v>
      </c>
      <c r="DV798" s="27" t="s">
        <v>7</v>
      </c>
      <c r="DW798" s="27" t="s">
        <v>8</v>
      </c>
      <c r="EB798" s="27" t="s">
        <v>7</v>
      </c>
      <c r="EC798" s="27" t="s">
        <v>8</v>
      </c>
      <c r="ED798" s="27" t="s">
        <v>7</v>
      </c>
      <c r="EO798" s="27" t="s">
        <v>8</v>
      </c>
      <c r="EP798" s="27" t="s">
        <v>7</v>
      </c>
      <c r="EQ798" s="27" t="s">
        <v>8</v>
      </c>
      <c r="GN798" s="27" t="s">
        <v>7</v>
      </c>
      <c r="GQ798" s="27" t="s">
        <v>8</v>
      </c>
      <c r="GR798" s="27" t="s">
        <v>7</v>
      </c>
    </row>
    <row r="799" spans="1:200" x14ac:dyDescent="0.25">
      <c r="A799" s="7">
        <v>1.5023239350021535E-2</v>
      </c>
      <c r="B799"/>
      <c r="C799"/>
      <c r="D799"/>
      <c r="E799"/>
      <c r="F799" s="27" t="s">
        <v>7</v>
      </c>
      <c r="W799" s="27" t="s">
        <v>8</v>
      </c>
      <c r="X799" s="27" t="s">
        <v>7</v>
      </c>
      <c r="AE799" s="27" t="s">
        <v>8</v>
      </c>
      <c r="AF799" s="27" t="s">
        <v>7</v>
      </c>
      <c r="AG799" s="27" t="s">
        <v>8</v>
      </c>
      <c r="BR799" s="27" t="s">
        <v>7</v>
      </c>
      <c r="BS799" s="27" t="s">
        <v>8</v>
      </c>
      <c r="BT799" s="27" t="s">
        <v>7</v>
      </c>
      <c r="BU799" s="27" t="s">
        <v>8</v>
      </c>
      <c r="BV799" s="27" t="s">
        <v>7</v>
      </c>
      <c r="BW799" s="27" t="s">
        <v>8</v>
      </c>
      <c r="BX799" s="27" t="s">
        <v>7</v>
      </c>
      <c r="BY799" s="27" t="s">
        <v>8</v>
      </c>
      <c r="BZ799" s="27" t="s">
        <v>7</v>
      </c>
      <c r="CA799" s="27" t="s">
        <v>8</v>
      </c>
      <c r="CJ799" s="27" t="s">
        <v>7</v>
      </c>
      <c r="DK799" s="27" t="s">
        <v>8</v>
      </c>
      <c r="DL799" s="27" t="s">
        <v>7</v>
      </c>
      <c r="DM799" s="27" t="s">
        <v>8</v>
      </c>
      <c r="DN799" s="27" t="s">
        <v>7</v>
      </c>
      <c r="DO799" s="27" t="s">
        <v>8</v>
      </c>
      <c r="DP799" s="27" t="s">
        <v>7</v>
      </c>
      <c r="DR799" s="27" t="s">
        <v>7</v>
      </c>
      <c r="DS799" s="27" t="s">
        <v>8</v>
      </c>
      <c r="DT799" s="27" t="s">
        <v>7</v>
      </c>
      <c r="DU799" s="27" t="s">
        <v>8</v>
      </c>
      <c r="DV799" s="27" t="s">
        <v>7</v>
      </c>
      <c r="DW799" s="27" t="s">
        <v>8</v>
      </c>
      <c r="EB799" s="27" t="s">
        <v>7</v>
      </c>
      <c r="EC799" s="27" t="s">
        <v>8</v>
      </c>
      <c r="ED799" s="27" t="s">
        <v>7</v>
      </c>
      <c r="EO799" s="27" t="s">
        <v>8</v>
      </c>
      <c r="EP799" s="27" t="s">
        <v>7</v>
      </c>
      <c r="EQ799" s="27" t="s">
        <v>8</v>
      </c>
      <c r="GN799" s="27" t="s">
        <v>7</v>
      </c>
      <c r="GO799" s="27" t="s">
        <v>8</v>
      </c>
      <c r="GQ799" s="27" t="s">
        <v>8</v>
      </c>
      <c r="GR799" s="27" t="s">
        <v>7</v>
      </c>
    </row>
    <row r="800" spans="1:200" x14ac:dyDescent="0.25">
      <c r="A800" s="7">
        <v>1.4728666029432878E-2</v>
      </c>
      <c r="B800"/>
      <c r="C800"/>
      <c r="D800"/>
      <c r="E800"/>
      <c r="F800" s="27" t="s">
        <v>7</v>
      </c>
      <c r="W800" s="27" t="s">
        <v>8</v>
      </c>
      <c r="X800" s="27" t="s">
        <v>7</v>
      </c>
      <c r="AE800" s="27" t="s">
        <v>8</v>
      </c>
      <c r="AF800" s="27" t="s">
        <v>7</v>
      </c>
      <c r="AG800" s="27" t="s">
        <v>8</v>
      </c>
      <c r="BR800" s="27" t="s">
        <v>7</v>
      </c>
      <c r="BS800" s="27" t="s">
        <v>8</v>
      </c>
      <c r="BT800" s="27" t="s">
        <v>7</v>
      </c>
      <c r="BU800" s="27" t="s">
        <v>8</v>
      </c>
      <c r="BV800" s="27" t="s">
        <v>7</v>
      </c>
      <c r="BW800" s="27" t="s">
        <v>8</v>
      </c>
      <c r="BX800" s="27" t="s">
        <v>7</v>
      </c>
      <c r="BY800" s="27" t="s">
        <v>8</v>
      </c>
      <c r="BZ800" s="27" t="s">
        <v>7</v>
      </c>
      <c r="CA800" s="27" t="s">
        <v>8</v>
      </c>
      <c r="CJ800" s="27" t="s">
        <v>7</v>
      </c>
      <c r="DI800" s="27" t="s">
        <v>8</v>
      </c>
      <c r="DK800" s="27" t="s">
        <v>8</v>
      </c>
      <c r="DL800" s="27" t="s">
        <v>7</v>
      </c>
      <c r="DM800" s="27" t="s">
        <v>8</v>
      </c>
      <c r="DN800" s="27" t="s">
        <v>7</v>
      </c>
      <c r="DO800" s="27" t="s">
        <v>8</v>
      </c>
      <c r="DR800" s="27" t="s">
        <v>7</v>
      </c>
      <c r="DS800" s="27" t="s">
        <v>8</v>
      </c>
      <c r="DT800" s="27" t="s">
        <v>7</v>
      </c>
      <c r="DU800" s="27" t="s">
        <v>8</v>
      </c>
      <c r="DV800" s="27" t="s">
        <v>7</v>
      </c>
      <c r="DW800" s="27" t="s">
        <v>8</v>
      </c>
      <c r="EB800" s="27" t="s">
        <v>7</v>
      </c>
      <c r="ED800" s="27" t="s">
        <v>7</v>
      </c>
      <c r="EO800" s="27" t="s">
        <v>8</v>
      </c>
      <c r="EP800" s="27" t="s">
        <v>7</v>
      </c>
      <c r="EQ800" s="27" t="s">
        <v>8</v>
      </c>
      <c r="GN800" s="27" t="s">
        <v>7</v>
      </c>
      <c r="GO800" s="27" t="s">
        <v>8</v>
      </c>
      <c r="GP800" s="27" t="s">
        <v>7</v>
      </c>
      <c r="GQ800" s="27" t="s">
        <v>8</v>
      </c>
    </row>
    <row r="801" spans="1:199" x14ac:dyDescent="0.25">
      <c r="A801" s="7">
        <v>1.4439868656306743E-2</v>
      </c>
      <c r="B801"/>
      <c r="C801"/>
      <c r="D801"/>
      <c r="E801"/>
      <c r="F801" s="27" t="s">
        <v>7</v>
      </c>
      <c r="W801" s="27" t="s">
        <v>8</v>
      </c>
      <c r="X801" s="27" t="s">
        <v>7</v>
      </c>
      <c r="AE801" s="27" t="s">
        <v>8</v>
      </c>
      <c r="AF801" s="27" t="s">
        <v>7</v>
      </c>
      <c r="AG801" s="27" t="s">
        <v>8</v>
      </c>
      <c r="BR801" s="27" t="s">
        <v>7</v>
      </c>
      <c r="BS801" s="27" t="s">
        <v>8</v>
      </c>
      <c r="BT801" s="27" t="s">
        <v>7</v>
      </c>
      <c r="BU801" s="27" t="s">
        <v>8</v>
      </c>
      <c r="BV801" s="27" t="s">
        <v>7</v>
      </c>
      <c r="BW801" s="27" t="s">
        <v>8</v>
      </c>
      <c r="BX801" s="27" t="s">
        <v>7</v>
      </c>
      <c r="BY801" s="27" t="s">
        <v>8</v>
      </c>
      <c r="BZ801" s="27" t="s">
        <v>7</v>
      </c>
      <c r="CA801" s="27" t="s">
        <v>8</v>
      </c>
      <c r="CJ801" s="27" t="s">
        <v>7</v>
      </c>
      <c r="DI801" s="27" t="s">
        <v>8</v>
      </c>
      <c r="DJ801" s="27" t="s">
        <v>7</v>
      </c>
      <c r="DK801" s="27" t="s">
        <v>8</v>
      </c>
      <c r="DL801" s="27" t="s">
        <v>7</v>
      </c>
      <c r="DM801" s="27" t="s">
        <v>8</v>
      </c>
      <c r="DN801" s="27" t="s">
        <v>7</v>
      </c>
      <c r="DO801" s="27" t="s">
        <v>8</v>
      </c>
      <c r="DR801" s="27" t="s">
        <v>7</v>
      </c>
      <c r="DS801" s="27" t="s">
        <v>8</v>
      </c>
      <c r="DT801" s="27" t="s">
        <v>7</v>
      </c>
      <c r="DU801" s="27" t="s">
        <v>8</v>
      </c>
      <c r="DV801" s="27" t="s">
        <v>7</v>
      </c>
      <c r="DW801" s="27" t="s">
        <v>8</v>
      </c>
      <c r="ED801" s="27" t="s">
        <v>7</v>
      </c>
      <c r="EE801" s="27" t="s">
        <v>8</v>
      </c>
      <c r="EK801" s="27" t="s">
        <v>8</v>
      </c>
      <c r="EO801" s="27" t="s">
        <v>8</v>
      </c>
      <c r="EP801" s="27" t="s">
        <v>7</v>
      </c>
      <c r="EQ801" s="27" t="s">
        <v>8</v>
      </c>
      <c r="GN801" s="27" t="s">
        <v>7</v>
      </c>
      <c r="GO801" s="27" t="s">
        <v>8</v>
      </c>
      <c r="GP801" s="27" t="s">
        <v>7</v>
      </c>
      <c r="GQ801" s="27" t="s">
        <v>8</v>
      </c>
    </row>
    <row r="802" spans="1:199" x14ac:dyDescent="0.25">
      <c r="A802" s="7">
        <v>1.4156733976771318E-2</v>
      </c>
      <c r="B802"/>
      <c r="C802"/>
      <c r="D802"/>
      <c r="E802"/>
      <c r="F802" s="27" t="s">
        <v>7</v>
      </c>
      <c r="W802" s="27" t="s">
        <v>8</v>
      </c>
      <c r="X802" s="27" t="s">
        <v>7</v>
      </c>
      <c r="AE802" s="27" t="s">
        <v>8</v>
      </c>
      <c r="AF802" s="27" t="s">
        <v>7</v>
      </c>
      <c r="AG802" s="27" t="s">
        <v>8</v>
      </c>
      <c r="BR802" s="27" t="s">
        <v>7</v>
      </c>
      <c r="BS802" s="27" t="s">
        <v>8</v>
      </c>
      <c r="BT802" s="27" t="s">
        <v>7</v>
      </c>
      <c r="BU802" s="27" t="s">
        <v>8</v>
      </c>
      <c r="BV802" s="27" t="s">
        <v>7</v>
      </c>
      <c r="BW802" s="27" t="s">
        <v>8</v>
      </c>
      <c r="BX802" s="27" t="s">
        <v>7</v>
      </c>
      <c r="BY802" s="27" t="s">
        <v>8</v>
      </c>
      <c r="BZ802" s="27" t="s">
        <v>7</v>
      </c>
      <c r="CA802" s="27" t="s">
        <v>8</v>
      </c>
      <c r="CJ802" s="27" t="s">
        <v>7</v>
      </c>
      <c r="DI802" s="27" t="s">
        <v>8</v>
      </c>
      <c r="DJ802" s="27" t="s">
        <v>7</v>
      </c>
      <c r="DK802" s="27" t="s">
        <v>8</v>
      </c>
      <c r="DL802" s="27" t="s">
        <v>7</v>
      </c>
      <c r="DN802" s="27" t="s">
        <v>7</v>
      </c>
      <c r="DO802" s="27" t="s">
        <v>8</v>
      </c>
      <c r="DR802" s="27" t="s">
        <v>7</v>
      </c>
      <c r="DS802" s="27" t="s">
        <v>8</v>
      </c>
      <c r="DT802" s="27" t="s">
        <v>7</v>
      </c>
      <c r="DU802" s="27" t="s">
        <v>8</v>
      </c>
      <c r="DV802" s="27" t="s">
        <v>7</v>
      </c>
      <c r="DW802" s="27" t="s">
        <v>8</v>
      </c>
      <c r="ED802" s="27" t="s">
        <v>7</v>
      </c>
      <c r="EE802" s="27" t="s">
        <v>8</v>
      </c>
      <c r="EF802" s="27" t="s">
        <v>7</v>
      </c>
      <c r="EK802" s="27" t="s">
        <v>8</v>
      </c>
      <c r="EL802" s="27" t="s">
        <v>7</v>
      </c>
      <c r="EO802" s="27" t="s">
        <v>8</v>
      </c>
      <c r="EP802" s="27" t="s">
        <v>7</v>
      </c>
      <c r="EQ802" s="27" t="s">
        <v>8</v>
      </c>
      <c r="GN802" s="27" t="s">
        <v>7</v>
      </c>
      <c r="GO802" s="27" t="s">
        <v>8</v>
      </c>
      <c r="GP802" s="27" t="s">
        <v>7</v>
      </c>
      <c r="GQ802" s="27" t="s">
        <v>8</v>
      </c>
    </row>
    <row r="803" spans="1:199" x14ac:dyDescent="0.25">
      <c r="A803" s="7">
        <v>1.3879150957618939E-2</v>
      </c>
      <c r="B803"/>
      <c r="C803"/>
      <c r="D803"/>
      <c r="E803"/>
      <c r="F803" s="27" t="s">
        <v>7</v>
      </c>
      <c r="W803" s="27" t="s">
        <v>8</v>
      </c>
      <c r="X803" s="27" t="s">
        <v>7</v>
      </c>
      <c r="AE803" s="27" t="s">
        <v>8</v>
      </c>
      <c r="AF803" s="27" t="s">
        <v>7</v>
      </c>
      <c r="BR803" s="27" t="s">
        <v>7</v>
      </c>
      <c r="BS803" s="27" t="s">
        <v>8</v>
      </c>
      <c r="BT803" s="27" t="s">
        <v>7</v>
      </c>
      <c r="BU803" s="27" t="s">
        <v>8</v>
      </c>
      <c r="BV803" s="27" t="s">
        <v>7</v>
      </c>
      <c r="BW803" s="27" t="s">
        <v>8</v>
      </c>
      <c r="BX803" s="27" t="s">
        <v>7</v>
      </c>
      <c r="BY803" s="27" t="s">
        <v>8</v>
      </c>
      <c r="BZ803" s="27" t="s">
        <v>7</v>
      </c>
      <c r="CJ803" s="27" t="s">
        <v>7</v>
      </c>
      <c r="DI803" s="27" t="s">
        <v>8</v>
      </c>
      <c r="DJ803" s="27" t="s">
        <v>7</v>
      </c>
      <c r="DK803" s="27" t="s">
        <v>8</v>
      </c>
      <c r="DN803" s="27" t="s">
        <v>7</v>
      </c>
      <c r="DO803" s="27" t="s">
        <v>8</v>
      </c>
      <c r="DR803" s="27" t="s">
        <v>7</v>
      </c>
      <c r="DT803" s="27" t="s">
        <v>7</v>
      </c>
      <c r="DV803" s="27" t="s">
        <v>7</v>
      </c>
      <c r="DW803" s="27" t="s">
        <v>8</v>
      </c>
      <c r="ED803" s="27" t="s">
        <v>7</v>
      </c>
      <c r="EE803" s="27" t="s">
        <v>8</v>
      </c>
      <c r="EF803" s="27" t="s">
        <v>7</v>
      </c>
      <c r="EK803" s="27" t="s">
        <v>8</v>
      </c>
      <c r="EL803" s="27" t="s">
        <v>7</v>
      </c>
      <c r="EM803" s="27" t="s">
        <v>8</v>
      </c>
      <c r="EO803" s="27" t="s">
        <v>8</v>
      </c>
      <c r="EP803" s="27" t="s">
        <v>7</v>
      </c>
      <c r="EQ803" s="27" t="s">
        <v>8</v>
      </c>
      <c r="GN803" s="27" t="s">
        <v>7</v>
      </c>
      <c r="GO803" s="27" t="s">
        <v>8</v>
      </c>
      <c r="GP803" s="27" t="s">
        <v>7</v>
      </c>
      <c r="GQ803" s="27" t="s">
        <v>8</v>
      </c>
    </row>
    <row r="804" spans="1:199" x14ac:dyDescent="0.25">
      <c r="A804" s="7">
        <v>1.3607010742763666E-2</v>
      </c>
      <c r="B804"/>
      <c r="C804"/>
      <c r="D804"/>
      <c r="E804"/>
      <c r="F804" s="27" t="s">
        <v>7</v>
      </c>
      <c r="W804" s="27" t="s">
        <v>8</v>
      </c>
      <c r="X804" s="27" t="s">
        <v>7</v>
      </c>
      <c r="AE804" s="27" t="s">
        <v>8</v>
      </c>
      <c r="BR804" s="27" t="s">
        <v>7</v>
      </c>
      <c r="BS804" s="27" t="s">
        <v>8</v>
      </c>
      <c r="BT804" s="27" t="s">
        <v>7</v>
      </c>
      <c r="BU804" s="27" t="s">
        <v>8</v>
      </c>
      <c r="BV804" s="27" t="s">
        <v>7</v>
      </c>
      <c r="BW804" s="27" t="s">
        <v>8</v>
      </c>
      <c r="BX804" s="27" t="s">
        <v>7</v>
      </c>
      <c r="BY804" s="27" t="s">
        <v>8</v>
      </c>
      <c r="CJ804" s="27" t="s">
        <v>7</v>
      </c>
      <c r="DI804" s="27" t="s">
        <v>8</v>
      </c>
      <c r="DJ804" s="27" t="s">
        <v>7</v>
      </c>
      <c r="DK804" s="27" t="s">
        <v>8</v>
      </c>
      <c r="DN804" s="27" t="s">
        <v>7</v>
      </c>
      <c r="DO804" s="27" t="s">
        <v>8</v>
      </c>
      <c r="DV804" s="27" t="s">
        <v>7</v>
      </c>
      <c r="DW804" s="27" t="s">
        <v>8</v>
      </c>
      <c r="ED804" s="27" t="s">
        <v>7</v>
      </c>
      <c r="EE804" s="27" t="s">
        <v>8</v>
      </c>
      <c r="EF804" s="27" t="s">
        <v>7</v>
      </c>
      <c r="EK804" s="27" t="s">
        <v>8</v>
      </c>
      <c r="EL804" s="27" t="s">
        <v>7</v>
      </c>
      <c r="EM804" s="27" t="s">
        <v>8</v>
      </c>
      <c r="EN804" s="27" t="s">
        <v>7</v>
      </c>
      <c r="EO804" s="27" t="s">
        <v>8</v>
      </c>
      <c r="EP804" s="27" t="s">
        <v>7</v>
      </c>
      <c r="EQ804" s="27" t="s">
        <v>8</v>
      </c>
      <c r="GN804" s="27" t="s">
        <v>7</v>
      </c>
      <c r="GO804" s="27" t="s">
        <v>8</v>
      </c>
      <c r="GP804" s="27" t="s">
        <v>7</v>
      </c>
      <c r="GQ804" s="27" t="s">
        <v>8</v>
      </c>
    </row>
    <row r="805" spans="1:199" x14ac:dyDescent="0.25">
      <c r="A805" s="7">
        <v>1.3340206610552614E-2</v>
      </c>
      <c r="B805"/>
      <c r="C805"/>
      <c r="D805"/>
      <c r="E805"/>
      <c r="F805" s="27" t="s">
        <v>7</v>
      </c>
      <c r="W805" s="27" t="s">
        <v>8</v>
      </c>
      <c r="X805" s="27" t="s">
        <v>7</v>
      </c>
      <c r="AE805" s="27" t="s">
        <v>8</v>
      </c>
      <c r="BR805" s="27" t="s">
        <v>7</v>
      </c>
      <c r="BS805" s="27" t="s">
        <v>8</v>
      </c>
      <c r="BT805" s="27" t="s">
        <v>7</v>
      </c>
      <c r="BU805" s="27" t="s">
        <v>8</v>
      </c>
      <c r="BV805" s="27" t="s">
        <v>7</v>
      </c>
      <c r="BX805" s="27" t="s">
        <v>7</v>
      </c>
      <c r="BY805" s="27" t="s">
        <v>8</v>
      </c>
      <c r="CJ805" s="27" t="s">
        <v>7</v>
      </c>
      <c r="CM805" s="27" t="s">
        <v>8</v>
      </c>
      <c r="DI805" s="27" t="s">
        <v>8</v>
      </c>
      <c r="DJ805" s="27" t="s">
        <v>7</v>
      </c>
      <c r="DK805" s="27" t="s">
        <v>8</v>
      </c>
      <c r="DN805" s="27" t="s">
        <v>7</v>
      </c>
      <c r="DO805" s="27" t="s">
        <v>8</v>
      </c>
      <c r="DV805" s="27" t="s">
        <v>7</v>
      </c>
      <c r="ED805" s="27" t="s">
        <v>7</v>
      </c>
      <c r="EE805" s="27" t="s">
        <v>8</v>
      </c>
      <c r="EF805" s="27" t="s">
        <v>7</v>
      </c>
      <c r="EK805" s="27" t="s">
        <v>8</v>
      </c>
      <c r="EL805" s="27" t="s">
        <v>7</v>
      </c>
      <c r="EM805" s="27" t="s">
        <v>8</v>
      </c>
      <c r="EN805" s="27" t="s">
        <v>7</v>
      </c>
      <c r="EO805" s="27" t="s">
        <v>8</v>
      </c>
      <c r="EP805" s="27" t="s">
        <v>7</v>
      </c>
      <c r="GN805" s="27" t="s">
        <v>7</v>
      </c>
      <c r="GP805" s="27" t="s">
        <v>7</v>
      </c>
      <c r="GQ805" s="27" t="s">
        <v>8</v>
      </c>
    </row>
    <row r="806" spans="1:199" x14ac:dyDescent="0.25">
      <c r="A806" s="7">
        <v>1.3078633931914328E-2</v>
      </c>
      <c r="B806"/>
      <c r="C806"/>
      <c r="D806"/>
      <c r="E806"/>
      <c r="F806" s="27" t="s">
        <v>7</v>
      </c>
      <c r="W806" s="27" t="s">
        <v>8</v>
      </c>
      <c r="X806" s="27" t="s">
        <v>7</v>
      </c>
      <c r="AE806" s="27" t="s">
        <v>8</v>
      </c>
      <c r="BR806" s="27" t="s">
        <v>7</v>
      </c>
      <c r="BT806" s="27" t="s">
        <v>7</v>
      </c>
      <c r="BU806" s="27" t="s">
        <v>8</v>
      </c>
      <c r="BX806" s="27" t="s">
        <v>7</v>
      </c>
      <c r="CJ806" s="27" t="s">
        <v>7</v>
      </c>
      <c r="CM806" s="27" t="s">
        <v>8</v>
      </c>
      <c r="CN806" s="27" t="s">
        <v>7</v>
      </c>
      <c r="DI806" s="27" t="s">
        <v>8</v>
      </c>
      <c r="DJ806" s="27" t="s">
        <v>7</v>
      </c>
      <c r="DK806" s="27" t="s">
        <v>8</v>
      </c>
      <c r="DN806" s="27" t="s">
        <v>7</v>
      </c>
      <c r="ED806" s="27" t="s">
        <v>7</v>
      </c>
      <c r="EE806" s="27" t="s">
        <v>8</v>
      </c>
      <c r="EF806" s="27" t="s">
        <v>7</v>
      </c>
      <c r="EG806" s="27" t="s">
        <v>8</v>
      </c>
      <c r="EK806" s="27" t="s">
        <v>8</v>
      </c>
      <c r="EL806" s="27" t="s">
        <v>7</v>
      </c>
      <c r="EM806" s="27" t="s">
        <v>8</v>
      </c>
      <c r="EN806" s="27" t="s">
        <v>7</v>
      </c>
      <c r="EO806" s="27" t="s">
        <v>8</v>
      </c>
      <c r="GP806" s="27" t="s">
        <v>7</v>
      </c>
      <c r="GQ806" s="27" t="s">
        <v>8</v>
      </c>
    </row>
    <row r="807" spans="1:199" x14ac:dyDescent="0.25">
      <c r="A807" s="7">
        <v>1.2822190129327771E-2</v>
      </c>
      <c r="B807"/>
      <c r="C807"/>
      <c r="D807"/>
      <c r="E807"/>
      <c r="F807" s="27" t="s">
        <v>7</v>
      </c>
      <c r="W807" s="27" t="s">
        <v>8</v>
      </c>
      <c r="X807" s="27" t="s">
        <v>7</v>
      </c>
      <c r="AE807" s="27" t="s">
        <v>8</v>
      </c>
      <c r="BT807" s="27" t="s">
        <v>7</v>
      </c>
      <c r="BU807" s="27" t="s">
        <v>8</v>
      </c>
      <c r="CJ807" s="27" t="s">
        <v>7</v>
      </c>
      <c r="CK807" s="27" t="s">
        <v>8</v>
      </c>
      <c r="CM807" s="27" t="s">
        <v>8</v>
      </c>
      <c r="CN807" s="27" t="s">
        <v>7</v>
      </c>
      <c r="DG807" s="27" t="s">
        <v>8</v>
      </c>
      <c r="DI807" s="27" t="s">
        <v>8</v>
      </c>
      <c r="DJ807" s="27" t="s">
        <v>7</v>
      </c>
      <c r="ED807" s="27" t="s">
        <v>7</v>
      </c>
      <c r="EE807" s="27" t="s">
        <v>8</v>
      </c>
      <c r="EF807" s="27" t="s">
        <v>7</v>
      </c>
      <c r="EG807" s="27" t="s">
        <v>8</v>
      </c>
      <c r="EH807" s="27" t="s">
        <v>7</v>
      </c>
      <c r="EK807" s="27" t="s">
        <v>8</v>
      </c>
      <c r="EL807" s="27" t="s">
        <v>7</v>
      </c>
      <c r="EM807" s="27" t="s">
        <v>8</v>
      </c>
      <c r="EN807" s="27" t="s">
        <v>7</v>
      </c>
      <c r="GP807" s="27" t="s">
        <v>7</v>
      </c>
      <c r="GQ807" s="27" t="s">
        <v>8</v>
      </c>
    </row>
    <row r="808" spans="1:199" x14ac:dyDescent="0.25">
      <c r="A808" s="7">
        <v>1.2570774636595854E-2</v>
      </c>
      <c r="B808"/>
      <c r="C808"/>
      <c r="D808"/>
      <c r="E808"/>
      <c r="F808" s="27" t="s">
        <v>7</v>
      </c>
      <c r="W808" s="27" t="s">
        <v>8</v>
      </c>
      <c r="X808" s="27" t="s">
        <v>7</v>
      </c>
      <c r="AE808" s="27" t="s">
        <v>8</v>
      </c>
      <c r="BT808" s="27" t="s">
        <v>7</v>
      </c>
      <c r="BU808" s="27" t="s">
        <v>8</v>
      </c>
      <c r="CJ808" s="27" t="s">
        <v>7</v>
      </c>
      <c r="CK808" s="27" t="s">
        <v>8</v>
      </c>
      <c r="CL808" s="27" t="s">
        <v>7</v>
      </c>
      <c r="CM808" s="27" t="s">
        <v>8</v>
      </c>
      <c r="CN808" s="27" t="s">
        <v>7</v>
      </c>
      <c r="CO808" s="27" t="s">
        <v>8</v>
      </c>
      <c r="CQ808" s="27" t="s">
        <v>8</v>
      </c>
      <c r="DG808" s="27" t="s">
        <v>8</v>
      </c>
      <c r="DH808" s="27" t="s">
        <v>7</v>
      </c>
      <c r="DI808" s="27" t="s">
        <v>8</v>
      </c>
      <c r="ED808" s="27" t="s">
        <v>7</v>
      </c>
      <c r="EE808" s="27" t="s">
        <v>8</v>
      </c>
      <c r="EF808" s="27" t="s">
        <v>7</v>
      </c>
      <c r="EG808" s="27" t="s">
        <v>8</v>
      </c>
      <c r="EH808" s="27" t="s">
        <v>7</v>
      </c>
      <c r="EI808" s="27" t="s">
        <v>8</v>
      </c>
      <c r="EK808" s="27" t="s">
        <v>8</v>
      </c>
      <c r="EL808" s="27" t="s">
        <v>7</v>
      </c>
      <c r="EM808" s="27" t="s">
        <v>8</v>
      </c>
      <c r="GP808" s="27" t="s">
        <v>7</v>
      </c>
    </row>
    <row r="809" spans="1:199" x14ac:dyDescent="0.25">
      <c r="A809" s="7">
        <v>1.23242888594077E-2</v>
      </c>
      <c r="B809"/>
      <c r="C809"/>
      <c r="D809"/>
      <c r="E809"/>
      <c r="F809" s="27" t="s">
        <v>7</v>
      </c>
      <c r="W809" s="27" t="s">
        <v>8</v>
      </c>
      <c r="X809" s="27" t="s">
        <v>7</v>
      </c>
      <c r="AE809" s="27" t="s">
        <v>8</v>
      </c>
      <c r="BT809" s="27" t="s">
        <v>7</v>
      </c>
      <c r="BU809" s="27" t="s">
        <v>8</v>
      </c>
      <c r="CJ809" s="27" t="s">
        <v>7</v>
      </c>
      <c r="CK809" s="27" t="s">
        <v>8</v>
      </c>
      <c r="CL809" s="27" t="s">
        <v>7</v>
      </c>
      <c r="CM809" s="27" t="s">
        <v>8</v>
      </c>
      <c r="CN809" s="27" t="s">
        <v>7</v>
      </c>
      <c r="CO809" s="27" t="s">
        <v>8</v>
      </c>
      <c r="CP809" s="27" t="s">
        <v>7</v>
      </c>
      <c r="CQ809" s="27" t="s">
        <v>8</v>
      </c>
      <c r="CR809" s="27" t="s">
        <v>7</v>
      </c>
      <c r="DG809" s="27" t="s">
        <v>8</v>
      </c>
      <c r="DH809" s="27" t="s">
        <v>7</v>
      </c>
      <c r="DI809" s="27" t="s">
        <v>8</v>
      </c>
      <c r="ED809" s="27" t="s">
        <v>7</v>
      </c>
      <c r="EF809" s="27" t="s">
        <v>7</v>
      </c>
      <c r="EG809" s="27" t="s">
        <v>8</v>
      </c>
      <c r="EH809" s="27" t="s">
        <v>7</v>
      </c>
      <c r="EI809" s="27" t="s">
        <v>8</v>
      </c>
      <c r="EJ809" s="27" t="s">
        <v>7</v>
      </c>
      <c r="EK809" s="27" t="s">
        <v>8</v>
      </c>
      <c r="EL809" s="27" t="s">
        <v>7</v>
      </c>
      <c r="EM809" s="27" t="s">
        <v>8</v>
      </c>
    </row>
    <row r="810" spans="1:199" x14ac:dyDescent="0.25">
      <c r="A810" s="7">
        <v>1.2082636136674216E-2</v>
      </c>
      <c r="B810"/>
      <c r="C810"/>
      <c r="D810"/>
      <c r="E810"/>
      <c r="F810" s="27" t="s">
        <v>7</v>
      </c>
      <c r="W810" s="27" t="s">
        <v>8</v>
      </c>
      <c r="X810" s="27" t="s">
        <v>7</v>
      </c>
      <c r="AE810" s="27" t="s">
        <v>8</v>
      </c>
      <c r="BT810" s="27" t="s">
        <v>7</v>
      </c>
      <c r="BU810" s="27" t="s">
        <v>8</v>
      </c>
      <c r="CJ810" s="27" t="s">
        <v>7</v>
      </c>
      <c r="CK810" s="27" t="s">
        <v>8</v>
      </c>
      <c r="CL810" s="27" t="s">
        <v>7</v>
      </c>
      <c r="CM810" s="27" t="s">
        <v>8</v>
      </c>
      <c r="CN810" s="27" t="s">
        <v>7</v>
      </c>
      <c r="CO810" s="27" t="s">
        <v>8</v>
      </c>
      <c r="CP810" s="27" t="s">
        <v>7</v>
      </c>
      <c r="CQ810" s="27" t="s">
        <v>8</v>
      </c>
      <c r="CR810" s="27" t="s">
        <v>7</v>
      </c>
      <c r="DG810" s="27" t="s">
        <v>8</v>
      </c>
      <c r="DH810" s="27" t="s">
        <v>7</v>
      </c>
      <c r="DI810" s="27" t="s">
        <v>8</v>
      </c>
      <c r="EF810" s="27" t="s">
        <v>7</v>
      </c>
      <c r="EH810" s="27" t="s">
        <v>7</v>
      </c>
      <c r="EI810" s="27" t="s">
        <v>8</v>
      </c>
      <c r="EJ810" s="27" t="s">
        <v>7</v>
      </c>
      <c r="EK810" s="27" t="s">
        <v>8</v>
      </c>
      <c r="EL810" s="27" t="s">
        <v>7</v>
      </c>
    </row>
    <row r="811" spans="1:199" x14ac:dyDescent="0.25">
      <c r="A811" s="7">
        <v>1.184572170262178E-2</v>
      </c>
      <c r="B811"/>
      <c r="C811"/>
      <c r="D811"/>
      <c r="E811"/>
      <c r="F811" s="27" t="s">
        <v>7</v>
      </c>
      <c r="W811" s="27" t="s">
        <v>8</v>
      </c>
      <c r="X811" s="27" t="s">
        <v>7</v>
      </c>
      <c r="AE811" s="27" t="s">
        <v>8</v>
      </c>
      <c r="BT811" s="27" t="s">
        <v>7</v>
      </c>
      <c r="BU811" s="27" t="s">
        <v>8</v>
      </c>
      <c r="CJ811" s="27" t="s">
        <v>7</v>
      </c>
      <c r="CK811" s="27" t="s">
        <v>8</v>
      </c>
      <c r="CL811" s="27" t="s">
        <v>7</v>
      </c>
      <c r="CM811" s="27" t="s">
        <v>8</v>
      </c>
      <c r="CN811" s="27" t="s">
        <v>7</v>
      </c>
      <c r="CP811" s="27" t="s">
        <v>7</v>
      </c>
      <c r="CQ811" s="27" t="s">
        <v>8</v>
      </c>
      <c r="CR811" s="27" t="s">
        <v>7</v>
      </c>
      <c r="CS811" s="27" t="s">
        <v>8</v>
      </c>
      <c r="DG811" s="27" t="s">
        <v>8</v>
      </c>
      <c r="DH811" s="27" t="s">
        <v>7</v>
      </c>
      <c r="DI811" s="27" t="s">
        <v>8</v>
      </c>
      <c r="EH811" s="27" t="s">
        <v>7</v>
      </c>
      <c r="EI811" s="27" t="s">
        <v>8</v>
      </c>
      <c r="EJ811" s="27" t="s">
        <v>7</v>
      </c>
      <c r="EK811" s="27" t="s">
        <v>8</v>
      </c>
    </row>
    <row r="812" spans="1:199" x14ac:dyDescent="0.25">
      <c r="A812" s="7">
        <v>1.1613452649629196E-2</v>
      </c>
      <c r="B812"/>
      <c r="C812"/>
      <c r="D812"/>
      <c r="E812"/>
      <c r="F812" s="27" t="s">
        <v>7</v>
      </c>
      <c r="Q812" s="27" t="s">
        <v>8</v>
      </c>
      <c r="W812" s="27" t="s">
        <v>8</v>
      </c>
      <c r="X812" s="27" t="s">
        <v>7</v>
      </c>
      <c r="AE812" s="27" t="s">
        <v>8</v>
      </c>
      <c r="BT812" s="27" t="s">
        <v>7</v>
      </c>
      <c r="BU812" s="27" t="s">
        <v>8</v>
      </c>
      <c r="CJ812" s="27" t="s">
        <v>7</v>
      </c>
      <c r="CK812" s="27" t="s">
        <v>8</v>
      </c>
      <c r="CL812" s="27" t="s">
        <v>7</v>
      </c>
      <c r="CM812" s="27" t="s">
        <v>8</v>
      </c>
      <c r="CP812" s="27" t="s">
        <v>7</v>
      </c>
      <c r="CR812" s="27" t="s">
        <v>7</v>
      </c>
      <c r="CS812" s="27" t="s">
        <v>8</v>
      </c>
      <c r="CT812" s="27" t="s">
        <v>7</v>
      </c>
      <c r="DG812" s="27" t="s">
        <v>8</v>
      </c>
      <c r="DH812" s="27" t="s">
        <v>7</v>
      </c>
      <c r="DI812" s="27" t="s">
        <v>8</v>
      </c>
      <c r="EH812" s="27" t="s">
        <v>7</v>
      </c>
      <c r="EI812" s="27" t="s">
        <v>8</v>
      </c>
      <c r="EJ812" s="27" t="s">
        <v>7</v>
      </c>
      <c r="EK812" s="27" t="s">
        <v>8</v>
      </c>
    </row>
    <row r="813" spans="1:199" x14ac:dyDescent="0.25">
      <c r="A813" s="7">
        <v>1.138573789179333E-2</v>
      </c>
      <c r="B813"/>
      <c r="C813"/>
      <c r="D813"/>
      <c r="E813"/>
      <c r="F813" s="27" t="s">
        <v>7</v>
      </c>
      <c r="Q813" s="27" t="s">
        <v>8</v>
      </c>
      <c r="R813" s="27" t="s">
        <v>7</v>
      </c>
      <c r="W813" s="27" t="s">
        <v>8</v>
      </c>
      <c r="X813" s="27" t="s">
        <v>7</v>
      </c>
      <c r="AA813" s="27" t="s">
        <v>8</v>
      </c>
      <c r="AC813" s="27" t="s">
        <v>8</v>
      </c>
      <c r="AE813" s="27" t="s">
        <v>8</v>
      </c>
      <c r="BT813" s="27" t="s">
        <v>7</v>
      </c>
      <c r="BU813" s="27" t="s">
        <v>8</v>
      </c>
      <c r="CJ813" s="27" t="s">
        <v>7</v>
      </c>
      <c r="CK813" s="27" t="s">
        <v>8</v>
      </c>
      <c r="CL813" s="27" t="s">
        <v>7</v>
      </c>
      <c r="CM813" s="27" t="s">
        <v>8</v>
      </c>
      <c r="CR813" s="27" t="s">
        <v>7</v>
      </c>
      <c r="CS813" s="27" t="s">
        <v>8</v>
      </c>
      <c r="CT813" s="27" t="s">
        <v>7</v>
      </c>
      <c r="DE813" s="27" t="s">
        <v>8</v>
      </c>
      <c r="DG813" s="27" t="s">
        <v>8</v>
      </c>
      <c r="DH813" s="27" t="s">
        <v>7</v>
      </c>
      <c r="EH813" s="27" t="s">
        <v>7</v>
      </c>
      <c r="EI813" s="27" t="s">
        <v>8</v>
      </c>
      <c r="EJ813" s="27" t="s">
        <v>7</v>
      </c>
      <c r="EK813" s="27" t="s">
        <v>8</v>
      </c>
    </row>
    <row r="814" spans="1:199" x14ac:dyDescent="0.25">
      <c r="A814" s="7">
        <v>1.1162488129209149E-2</v>
      </c>
      <c r="B814"/>
      <c r="C814"/>
      <c r="D814"/>
      <c r="E814"/>
      <c r="F814" s="27" t="s">
        <v>7</v>
      </c>
      <c r="Q814" s="27" t="s">
        <v>8</v>
      </c>
      <c r="R814" s="27" t="s">
        <v>7</v>
      </c>
      <c r="W814" s="27" t="s">
        <v>8</v>
      </c>
      <c r="X814" s="27" t="s">
        <v>7</v>
      </c>
      <c r="Y814" s="27" t="s">
        <v>8</v>
      </c>
      <c r="AA814" s="27" t="s">
        <v>8</v>
      </c>
      <c r="AB814" s="27" t="s">
        <v>7</v>
      </c>
      <c r="AC814" s="27" t="s">
        <v>8</v>
      </c>
      <c r="AD814" s="27" t="s">
        <v>7</v>
      </c>
      <c r="AE814" s="27" t="s">
        <v>8</v>
      </c>
      <c r="BT814" s="27" t="s">
        <v>7</v>
      </c>
      <c r="BU814" s="27" t="s">
        <v>8</v>
      </c>
      <c r="CJ814" s="27" t="s">
        <v>7</v>
      </c>
      <c r="CK814" s="27" t="s">
        <v>8</v>
      </c>
      <c r="CL814" s="27" t="s">
        <v>7</v>
      </c>
      <c r="CM814" s="27" t="s">
        <v>8</v>
      </c>
      <c r="CR814" s="27" t="s">
        <v>7</v>
      </c>
      <c r="CT814" s="27" t="s">
        <v>7</v>
      </c>
      <c r="CU814" s="27" t="s">
        <v>8</v>
      </c>
      <c r="DA814" s="27" t="s">
        <v>8</v>
      </c>
      <c r="DE814" s="27" t="s">
        <v>8</v>
      </c>
      <c r="DF814" s="27" t="s">
        <v>7</v>
      </c>
      <c r="DG814" s="27" t="s">
        <v>8</v>
      </c>
      <c r="EH814" s="27" t="s">
        <v>7</v>
      </c>
      <c r="EJ814" s="27" t="s">
        <v>7</v>
      </c>
      <c r="EK814" s="27" t="s">
        <v>8</v>
      </c>
    </row>
    <row r="815" spans="1:199" x14ac:dyDescent="0.25">
      <c r="A815" s="7">
        <v>1.0943615812950145E-2</v>
      </c>
      <c r="B815"/>
      <c r="C815"/>
      <c r="D815"/>
      <c r="E815"/>
      <c r="F815" s="27" t="s">
        <v>7</v>
      </c>
      <c r="Q815" s="27" t="s">
        <v>8</v>
      </c>
      <c r="R815" s="27" t="s">
        <v>7</v>
      </c>
      <c r="U815" s="27" t="s">
        <v>8</v>
      </c>
      <c r="W815" s="27" t="s">
        <v>8</v>
      </c>
      <c r="X815" s="27" t="s">
        <v>7</v>
      </c>
      <c r="Y815" s="27" t="s">
        <v>8</v>
      </c>
      <c r="Z815" s="27" t="s">
        <v>7</v>
      </c>
      <c r="AA815" s="27" t="s">
        <v>8</v>
      </c>
      <c r="AB815" s="27" t="s">
        <v>7</v>
      </c>
      <c r="AC815" s="27" t="s">
        <v>8</v>
      </c>
      <c r="AD815" s="27" t="s">
        <v>7</v>
      </c>
      <c r="AE815" s="27" t="s">
        <v>8</v>
      </c>
      <c r="BT815" s="27" t="s">
        <v>7</v>
      </c>
      <c r="BU815" s="27" t="s">
        <v>8</v>
      </c>
      <c r="CJ815" s="27" t="s">
        <v>7</v>
      </c>
      <c r="CK815" s="27" t="s">
        <v>8</v>
      </c>
      <c r="CL815" s="27" t="s">
        <v>7</v>
      </c>
      <c r="CT815" s="27" t="s">
        <v>7</v>
      </c>
      <c r="CU815" s="27" t="s">
        <v>8</v>
      </c>
      <c r="CV815" s="27" t="s">
        <v>7</v>
      </c>
      <c r="DA815" s="27" t="s">
        <v>8</v>
      </c>
      <c r="DB815" s="27" t="s">
        <v>7</v>
      </c>
      <c r="DE815" s="27" t="s">
        <v>8</v>
      </c>
      <c r="DF815" s="27" t="s">
        <v>7</v>
      </c>
      <c r="DG815" s="27" t="s">
        <v>8</v>
      </c>
      <c r="EJ815" s="27" t="s">
        <v>7</v>
      </c>
    </row>
    <row r="816" spans="1:199" x14ac:dyDescent="0.25">
      <c r="A816" s="7">
        <v>1.0729035110735436E-2</v>
      </c>
      <c r="B816"/>
      <c r="C816"/>
      <c r="D816"/>
      <c r="E816"/>
      <c r="F816" s="27" t="s">
        <v>7</v>
      </c>
      <c r="Q816" s="27" t="s">
        <v>8</v>
      </c>
      <c r="R816" s="27" t="s">
        <v>7</v>
      </c>
      <c r="U816" s="27" t="s">
        <v>8</v>
      </c>
      <c r="V816" s="27" t="s">
        <v>7</v>
      </c>
      <c r="W816" s="27" t="s">
        <v>8</v>
      </c>
      <c r="X816" s="27" t="s">
        <v>7</v>
      </c>
      <c r="Y816" s="27" t="s">
        <v>8</v>
      </c>
      <c r="Z816" s="27" t="s">
        <v>7</v>
      </c>
      <c r="AA816" s="27" t="s">
        <v>8</v>
      </c>
      <c r="AB816" s="27" t="s">
        <v>7</v>
      </c>
      <c r="AC816" s="27" t="s">
        <v>8</v>
      </c>
      <c r="AD816" s="27" t="s">
        <v>7</v>
      </c>
      <c r="AE816" s="27" t="s">
        <v>8</v>
      </c>
      <c r="BT816" s="27" t="s">
        <v>7</v>
      </c>
      <c r="BU816" s="27" t="s">
        <v>8</v>
      </c>
      <c r="CJ816" s="27" t="s">
        <v>7</v>
      </c>
      <c r="CK816" s="27" t="s">
        <v>8</v>
      </c>
      <c r="CT816" s="27" t="s">
        <v>7</v>
      </c>
      <c r="CU816" s="27" t="s">
        <v>8</v>
      </c>
      <c r="CV816" s="27" t="s">
        <v>7</v>
      </c>
      <c r="DA816" s="27" t="s">
        <v>8</v>
      </c>
      <c r="DB816" s="27" t="s">
        <v>7</v>
      </c>
      <c r="DC816" s="27" t="s">
        <v>8</v>
      </c>
      <c r="DE816" s="27" t="s">
        <v>8</v>
      </c>
      <c r="DF816" s="27" t="s">
        <v>7</v>
      </c>
      <c r="DG816" s="27" t="s">
        <v>8</v>
      </c>
    </row>
    <row r="817" spans="1:111" x14ac:dyDescent="0.25">
      <c r="A817" s="7">
        <v>1.0518661873270036E-2</v>
      </c>
      <c r="B817"/>
      <c r="C817"/>
      <c r="D817"/>
      <c r="E817"/>
      <c r="F817" s="27" t="s">
        <v>7</v>
      </c>
      <c r="Q817" s="27" t="s">
        <v>8</v>
      </c>
      <c r="R817" s="27" t="s">
        <v>7</v>
      </c>
      <c r="S817" s="27" t="s">
        <v>8</v>
      </c>
      <c r="U817" s="27" t="s">
        <v>8</v>
      </c>
      <c r="V817" s="27" t="s">
        <v>7</v>
      </c>
      <c r="W817" s="27" t="s">
        <v>8</v>
      </c>
      <c r="X817" s="27" t="s">
        <v>7</v>
      </c>
      <c r="Y817" s="27" t="s">
        <v>8</v>
      </c>
      <c r="Z817" s="27" t="s">
        <v>7</v>
      </c>
      <c r="AA817" s="27" t="s">
        <v>8</v>
      </c>
      <c r="AB817" s="27" t="s">
        <v>7</v>
      </c>
      <c r="AC817" s="27" t="s">
        <v>8</v>
      </c>
      <c r="AD817" s="27" t="s">
        <v>7</v>
      </c>
      <c r="AE817" s="27" t="s">
        <v>8</v>
      </c>
      <c r="BT817" s="27" t="s">
        <v>7</v>
      </c>
      <c r="BU817" s="27" t="s">
        <v>8</v>
      </c>
      <c r="CJ817" s="27" t="s">
        <v>7</v>
      </c>
      <c r="CK817" s="27" t="s">
        <v>8</v>
      </c>
      <c r="CT817" s="27" t="s">
        <v>7</v>
      </c>
      <c r="CU817" s="27" t="s">
        <v>8</v>
      </c>
      <c r="CV817" s="27" t="s">
        <v>7</v>
      </c>
      <c r="DA817" s="27" t="s">
        <v>8</v>
      </c>
      <c r="DB817" s="27" t="s">
        <v>7</v>
      </c>
      <c r="DC817" s="27" t="s">
        <v>8</v>
      </c>
      <c r="DD817" s="27" t="s">
        <v>7</v>
      </c>
      <c r="DE817" s="27" t="s">
        <v>8</v>
      </c>
      <c r="DF817" s="27" t="s">
        <v>7</v>
      </c>
      <c r="DG817" s="27" t="s">
        <v>8</v>
      </c>
    </row>
    <row r="818" spans="1:111" x14ac:dyDescent="0.25">
      <c r="A818" s="7">
        <v>1.0312413601245135E-2</v>
      </c>
      <c r="B818"/>
      <c r="C818"/>
      <c r="D818"/>
      <c r="E818"/>
      <c r="F818" s="27" t="s">
        <v>7</v>
      </c>
      <c r="Q818" s="27" t="s">
        <v>8</v>
      </c>
      <c r="R818" s="27" t="s">
        <v>7</v>
      </c>
      <c r="S818" s="27" t="s">
        <v>8</v>
      </c>
      <c r="T818" s="27" t="s">
        <v>7</v>
      </c>
      <c r="U818" s="27" t="s">
        <v>8</v>
      </c>
      <c r="V818" s="27" t="s">
        <v>7</v>
      </c>
      <c r="W818" s="27" t="s">
        <v>8</v>
      </c>
      <c r="X818" s="27" t="s">
        <v>7</v>
      </c>
      <c r="Y818" s="27" t="s">
        <v>8</v>
      </c>
      <c r="Z818" s="27" t="s">
        <v>7</v>
      </c>
      <c r="AA818" s="27" t="s">
        <v>8</v>
      </c>
      <c r="AB818" s="27" t="s">
        <v>7</v>
      </c>
      <c r="AC818" s="27" t="s">
        <v>8</v>
      </c>
      <c r="AD818" s="27" t="s">
        <v>7</v>
      </c>
      <c r="BT818" s="27" t="s">
        <v>7</v>
      </c>
      <c r="BU818" s="27" t="s">
        <v>8</v>
      </c>
      <c r="CJ818" s="27" t="s">
        <v>7</v>
      </c>
      <c r="CK818" s="27" t="s">
        <v>8</v>
      </c>
      <c r="CT818" s="27" t="s">
        <v>7</v>
      </c>
      <c r="CV818" s="27" t="s">
        <v>7</v>
      </c>
      <c r="DA818" s="27" t="s">
        <v>8</v>
      </c>
      <c r="DB818" s="27" t="s">
        <v>7</v>
      </c>
      <c r="DC818" s="27" t="s">
        <v>8</v>
      </c>
      <c r="DD818" s="27" t="s">
        <v>7</v>
      </c>
      <c r="DE818" s="27" t="s">
        <v>8</v>
      </c>
      <c r="DF818" s="27" t="s">
        <v>7</v>
      </c>
      <c r="DG818" s="27" t="s">
        <v>8</v>
      </c>
    </row>
    <row r="819" spans="1:111" x14ac:dyDescent="0.25">
      <c r="A819" s="7">
        <v>1.0110209412985426E-2</v>
      </c>
      <c r="B819"/>
      <c r="C819"/>
      <c r="D819"/>
      <c r="E819"/>
      <c r="F819" s="27" t="s">
        <v>7</v>
      </c>
      <c r="Q819" s="27" t="s">
        <v>8</v>
      </c>
      <c r="R819" s="27" t="s">
        <v>7</v>
      </c>
      <c r="S819" s="27" t="s">
        <v>8</v>
      </c>
      <c r="T819" s="27" t="s">
        <v>7</v>
      </c>
      <c r="U819" s="27" t="s">
        <v>8</v>
      </c>
      <c r="V819" s="27" t="s">
        <v>7</v>
      </c>
      <c r="W819" s="27" t="s">
        <v>8</v>
      </c>
      <c r="X819" s="27" t="s">
        <v>7</v>
      </c>
      <c r="Y819" s="27" t="s">
        <v>8</v>
      </c>
      <c r="Z819" s="27" t="s">
        <v>7</v>
      </c>
      <c r="AB819" s="27" t="s">
        <v>7</v>
      </c>
      <c r="AC819" s="27" t="s">
        <v>8</v>
      </c>
      <c r="BT819" s="27" t="s">
        <v>7</v>
      </c>
      <c r="CJ819" s="27" t="s">
        <v>7</v>
      </c>
      <c r="CV819" s="27" t="s">
        <v>7</v>
      </c>
      <c r="CY819" s="18" t="s">
        <v>8</v>
      </c>
      <c r="DA819" s="27" t="s">
        <v>8</v>
      </c>
      <c r="DB819" s="27" t="s">
        <v>7</v>
      </c>
      <c r="DC819" s="27" t="s">
        <v>8</v>
      </c>
      <c r="DD819" s="27" t="s">
        <v>7</v>
      </c>
      <c r="DF819" s="27" t="s">
        <v>7</v>
      </c>
    </row>
    <row r="820" spans="1:111" x14ac:dyDescent="0.25">
      <c r="A820" s="7">
        <v>9.9119700127308103E-3</v>
      </c>
      <c r="B820"/>
      <c r="C820"/>
      <c r="D820"/>
      <c r="E820"/>
      <c r="F820" s="27" t="s">
        <v>7</v>
      </c>
      <c r="Q820" s="27" t="s">
        <v>8</v>
      </c>
      <c r="R820" s="27" t="s">
        <v>7</v>
      </c>
      <c r="S820" s="27" t="s">
        <v>8</v>
      </c>
      <c r="T820" s="27" t="s">
        <v>7</v>
      </c>
      <c r="U820" s="27" t="s">
        <v>8</v>
      </c>
      <c r="V820" s="27" t="s">
        <v>7</v>
      </c>
      <c r="W820" s="27" t="s">
        <v>8</v>
      </c>
      <c r="X820" s="27" t="s">
        <v>7</v>
      </c>
      <c r="Y820" s="27" t="s">
        <v>8</v>
      </c>
      <c r="AB820" s="27" t="s">
        <v>7</v>
      </c>
      <c r="AC820" s="27" t="s">
        <v>8</v>
      </c>
      <c r="CV820" s="27" t="s">
        <v>7</v>
      </c>
      <c r="CW820" s="27" t="s">
        <v>8</v>
      </c>
      <c r="CY820" s="27" t="s">
        <v>8</v>
      </c>
      <c r="CZ820" s="27" t="s">
        <v>7</v>
      </c>
      <c r="DA820" s="27" t="s">
        <v>8</v>
      </c>
      <c r="DB820" s="27" t="s">
        <v>7</v>
      </c>
    </row>
    <row r="821" spans="1:111" x14ac:dyDescent="0.25">
      <c r="A821" s="7">
        <v>9.717617659540009E-3</v>
      </c>
      <c r="B821"/>
      <c r="C821"/>
      <c r="D821"/>
      <c r="E821"/>
      <c r="F821" s="27" t="s">
        <v>7</v>
      </c>
      <c r="Q821" s="27" t="s">
        <v>8</v>
      </c>
      <c r="R821" s="27" t="s">
        <v>7</v>
      </c>
      <c r="S821" s="27" t="s">
        <v>8</v>
      </c>
      <c r="T821" s="27" t="s">
        <v>7</v>
      </c>
      <c r="U821" s="27" t="s">
        <v>8</v>
      </c>
      <c r="V821" s="27" t="s">
        <v>7</v>
      </c>
      <c r="W821" s="27" t="s">
        <v>8</v>
      </c>
      <c r="X821" s="27" t="s">
        <v>7</v>
      </c>
      <c r="Y821" s="27" t="s">
        <v>8</v>
      </c>
      <c r="AB821" s="27" t="s">
        <v>7</v>
      </c>
      <c r="CV821" s="27" t="s">
        <v>7</v>
      </c>
      <c r="CW821" s="27" t="s">
        <v>8</v>
      </c>
      <c r="CX821" s="27" t="s">
        <v>7</v>
      </c>
      <c r="CY821" s="27" t="s">
        <v>8</v>
      </c>
      <c r="CZ821" s="27" t="s">
        <v>7</v>
      </c>
      <c r="DA821" s="27" t="s">
        <v>8</v>
      </c>
    </row>
    <row r="822" spans="1:111" x14ac:dyDescent="0.25">
      <c r="A822" s="7">
        <v>9.5270761368039299E-3</v>
      </c>
      <c r="B822"/>
      <c r="C822"/>
      <c r="D822"/>
      <c r="E822"/>
      <c r="F822" s="27" t="s">
        <v>7</v>
      </c>
      <c r="Q822" s="27" t="s">
        <v>8</v>
      </c>
      <c r="R822" s="27" t="s">
        <v>7</v>
      </c>
      <c r="T822" s="27" t="s">
        <v>7</v>
      </c>
      <c r="U822" s="27" t="s">
        <v>8</v>
      </c>
      <c r="V822" s="27" t="s">
        <v>7</v>
      </c>
      <c r="W822" s="27" t="s">
        <v>8</v>
      </c>
      <c r="X822" s="27" t="s">
        <v>7</v>
      </c>
      <c r="Y822" s="27" t="s">
        <v>8</v>
      </c>
      <c r="CV822" s="27" t="s">
        <v>7</v>
      </c>
      <c r="CW822" s="27" t="s">
        <v>8</v>
      </c>
      <c r="CX822" s="27" t="s">
        <v>7</v>
      </c>
      <c r="CY822" s="27" t="s">
        <v>8</v>
      </c>
      <c r="CZ822" s="27" t="s">
        <v>7</v>
      </c>
      <c r="DA822" s="27" t="s">
        <v>8</v>
      </c>
    </row>
    <row r="823" spans="1:111" x14ac:dyDescent="0.25">
      <c r="A823" s="7">
        <v>9.3402707223567936E-3</v>
      </c>
      <c r="B823"/>
      <c r="C823"/>
      <c r="D823"/>
      <c r="E823"/>
      <c r="F823" s="27" t="s">
        <v>7</v>
      </c>
      <c r="Q823" s="27" t="s">
        <v>8</v>
      </c>
      <c r="T823" s="27" t="s">
        <v>7</v>
      </c>
      <c r="V823" s="27" t="s">
        <v>7</v>
      </c>
      <c r="W823" s="27" t="s">
        <v>8</v>
      </c>
      <c r="X823" s="27" t="s">
        <v>7</v>
      </c>
      <c r="Y823" s="27" t="s">
        <v>8</v>
      </c>
      <c r="CV823" s="27" t="s">
        <v>7</v>
      </c>
      <c r="CW823" s="27" t="s">
        <v>8</v>
      </c>
      <c r="CX823" s="27" t="s">
        <v>7</v>
      </c>
      <c r="CY823" s="27" t="s">
        <v>8</v>
      </c>
      <c r="CZ823" s="27" t="s">
        <v>7</v>
      </c>
    </row>
    <row r="824" spans="1:111" x14ac:dyDescent="0.25">
      <c r="A824" s="7">
        <v>9.1571281591733261E-3</v>
      </c>
      <c r="B824"/>
      <c r="C824"/>
      <c r="D824"/>
      <c r="E824"/>
      <c r="F824" s="27" t="s">
        <v>7</v>
      </c>
      <c r="Q824" s="27" t="s">
        <v>8</v>
      </c>
      <c r="V824" s="27" t="s">
        <v>7</v>
      </c>
      <c r="W824" s="27" t="s">
        <v>8</v>
      </c>
      <c r="X824" s="27" t="s">
        <v>7</v>
      </c>
      <c r="CV824" s="27" t="s">
        <v>7</v>
      </c>
      <c r="CX824" s="27" t="s">
        <v>7</v>
      </c>
      <c r="CY824" s="27" t="s">
        <v>8</v>
      </c>
    </row>
    <row r="825" spans="1:111" x14ac:dyDescent="0.25">
      <c r="A825" s="7">
        <v>8.9775766266405148E-3</v>
      </c>
      <c r="B825"/>
      <c r="C825"/>
      <c r="D825"/>
      <c r="E825"/>
      <c r="F825" s="27" t="s">
        <v>7</v>
      </c>
      <c r="Q825" s="27" t="s">
        <v>8</v>
      </c>
      <c r="V825" s="27" t="s">
        <v>7</v>
      </c>
      <c r="W825" s="27" t="s">
        <v>8</v>
      </c>
      <c r="CX825" s="27" t="s">
        <v>7</v>
      </c>
      <c r="CY825" s="27" t="s">
        <v>8</v>
      </c>
    </row>
    <row r="826" spans="1:111" x14ac:dyDescent="0.25">
      <c r="A826" s="7">
        <v>8.8015457123926614E-3</v>
      </c>
      <c r="B826"/>
      <c r="C826"/>
      <c r="D826"/>
      <c r="E826"/>
      <c r="F826" s="27" t="s">
        <v>7</v>
      </c>
      <c r="Q826" s="27" t="s">
        <v>8</v>
      </c>
      <c r="V826" s="27" t="s">
        <v>7</v>
      </c>
      <c r="W826" s="27" t="s">
        <v>8</v>
      </c>
      <c r="CX826" s="27" t="s">
        <v>7</v>
      </c>
      <c r="CY826" s="27" t="s">
        <v>8</v>
      </c>
    </row>
    <row r="827" spans="1:111" x14ac:dyDescent="0.25">
      <c r="A827" s="7">
        <v>8.6289663846986879E-3</v>
      </c>
      <c r="B827"/>
      <c r="C827"/>
      <c r="D827"/>
      <c r="E827"/>
      <c r="F827" s="27" t="s">
        <v>7</v>
      </c>
      <c r="O827" s="27" t="s">
        <v>8</v>
      </c>
      <c r="Q827" s="27" t="s">
        <v>8</v>
      </c>
      <c r="V827" s="27" t="s">
        <v>7</v>
      </c>
      <c r="W827" s="27" t="s">
        <v>8</v>
      </c>
      <c r="CX827" s="27" t="s">
        <v>7</v>
      </c>
      <c r="CY827" s="27" t="s">
        <v>8</v>
      </c>
    </row>
    <row r="828" spans="1:111" x14ac:dyDescent="0.25">
      <c r="A828" s="7">
        <v>8.4597709653908715E-3</v>
      </c>
      <c r="B828"/>
      <c r="C828"/>
      <c r="D828"/>
      <c r="E828"/>
      <c r="F828" s="27" t="s">
        <v>7</v>
      </c>
      <c r="O828" s="27" t="s">
        <v>8</v>
      </c>
      <c r="P828" s="27" t="s">
        <v>7</v>
      </c>
      <c r="Q828" s="27" t="s">
        <v>8</v>
      </c>
      <c r="V828" s="27" t="s">
        <v>7</v>
      </c>
      <c r="W828" s="27" t="s">
        <v>8</v>
      </c>
      <c r="CX828" s="27" t="s">
        <v>7</v>
      </c>
      <c r="CY828" s="27" t="s">
        <v>8</v>
      </c>
    </row>
    <row r="829" spans="1:111" x14ac:dyDescent="0.25">
      <c r="A829" s="7">
        <v>8.2938931033243839E-3</v>
      </c>
      <c r="B829"/>
      <c r="C829"/>
      <c r="D829"/>
      <c r="E829"/>
      <c r="F829" s="27" t="s">
        <v>7</v>
      </c>
      <c r="O829" s="27" t="s">
        <v>8</v>
      </c>
      <c r="P829" s="27" t="s">
        <v>7</v>
      </c>
      <c r="Q829" s="27" t="s">
        <v>8</v>
      </c>
      <c r="V829" s="27" t="s">
        <v>7</v>
      </c>
      <c r="W829" s="27" t="s">
        <v>8</v>
      </c>
      <c r="CX829" s="27" t="s">
        <v>7</v>
      </c>
      <c r="CY829" s="27" t="s">
        <v>8</v>
      </c>
    </row>
    <row r="830" spans="1:111" x14ac:dyDescent="0.25">
      <c r="A830" s="7">
        <v>8.1312677483572383E-3</v>
      </c>
      <c r="B830"/>
      <c r="C830"/>
      <c r="D830"/>
      <c r="E830"/>
      <c r="F830" s="27" t="s">
        <v>7</v>
      </c>
      <c r="O830" s="27" t="s">
        <v>8</v>
      </c>
      <c r="P830" s="27" t="s">
        <v>7</v>
      </c>
      <c r="Q830" s="27" t="s">
        <v>8</v>
      </c>
      <c r="V830" s="27" t="s">
        <v>7</v>
      </c>
      <c r="W830" s="27" t="s">
        <v>8</v>
      </c>
      <c r="CX830" s="27" t="s">
        <v>7</v>
      </c>
      <c r="CY830" s="27" t="s">
        <v>8</v>
      </c>
    </row>
    <row r="831" spans="1:111" x14ac:dyDescent="0.25">
      <c r="A831" s="7">
        <v>7.9718311258404305E-3</v>
      </c>
      <c r="B831"/>
      <c r="C831"/>
      <c r="D831"/>
      <c r="E831"/>
      <c r="F831" s="27" t="s">
        <v>7</v>
      </c>
      <c r="O831" s="27" t="s">
        <v>8</v>
      </c>
      <c r="P831" s="27" t="s">
        <v>7</v>
      </c>
      <c r="Q831" s="27" t="s">
        <v>8</v>
      </c>
      <c r="V831" s="27" t="s">
        <v>7</v>
      </c>
      <c r="W831" s="27" t="s">
        <v>8</v>
      </c>
      <c r="CX831" s="27" t="s">
        <v>7</v>
      </c>
    </row>
    <row r="832" spans="1:111" x14ac:dyDescent="0.25">
      <c r="A832" s="7">
        <v>7.8155207116082648E-3</v>
      </c>
      <c r="B832"/>
      <c r="C832"/>
      <c r="D832"/>
      <c r="E832"/>
      <c r="F832" s="27" t="s">
        <v>7</v>
      </c>
      <c r="O832" s="27" t="s">
        <v>8</v>
      </c>
      <c r="P832" s="27" t="s">
        <v>7</v>
      </c>
      <c r="Q832" s="27" t="s">
        <v>8</v>
      </c>
      <c r="V832" s="27" t="s">
        <v>7</v>
      </c>
    </row>
    <row r="833" spans="1:17" x14ac:dyDescent="0.25">
      <c r="A833" s="7">
        <v>7.6622752074590825E-3</v>
      </c>
      <c r="B833"/>
      <c r="C833"/>
      <c r="D833"/>
      <c r="E833"/>
      <c r="F833" s="27" t="s">
        <v>7</v>
      </c>
      <c r="O833" s="27" t="s">
        <v>8</v>
      </c>
      <c r="P833" s="27" t="s">
        <v>7</v>
      </c>
      <c r="Q833" s="27" t="s">
        <v>8</v>
      </c>
    </row>
    <row r="834" spans="1:17" x14ac:dyDescent="0.25">
      <c r="A834" s="7">
        <v>7.5120345171167469E-3</v>
      </c>
      <c r="B834"/>
      <c r="C834"/>
      <c r="D834"/>
      <c r="E834"/>
      <c r="F834" s="27" t="s">
        <v>7</v>
      </c>
      <c r="O834" s="27" t="s">
        <v>8</v>
      </c>
      <c r="P834" s="27" t="s">
        <v>7</v>
      </c>
    </row>
    <row r="835" spans="1:17" x14ac:dyDescent="0.25">
      <c r="A835" s="7">
        <v>7.3647397226634772E-3</v>
      </c>
      <c r="B835"/>
      <c r="C835"/>
      <c r="D835"/>
      <c r="E835"/>
      <c r="F835" s="27" t="s">
        <v>7</v>
      </c>
      <c r="O835" s="27" t="s">
        <v>8</v>
      </c>
    </row>
    <row r="836" spans="1:17" x14ac:dyDescent="0.25">
      <c r="A836" s="7">
        <v>7.2203330614347815E-3</v>
      </c>
      <c r="B836"/>
      <c r="C836"/>
      <c r="D836"/>
      <c r="E836"/>
      <c r="F836" s="27" t="s">
        <v>7</v>
      </c>
      <c r="O836" s="27" t="s">
        <v>8</v>
      </c>
    </row>
    <row r="837" spans="1:17" x14ac:dyDescent="0.25">
      <c r="A837" s="7">
        <v>7.0787579033674327E-3</v>
      </c>
      <c r="B837"/>
      <c r="C837"/>
      <c r="D837"/>
      <c r="E837"/>
      <c r="F837" s="27" t="s">
        <v>7</v>
      </c>
      <c r="O837" s="27" t="s">
        <v>8</v>
      </c>
    </row>
    <row r="838" spans="1:17" x14ac:dyDescent="0.25">
      <c r="A838" s="7">
        <v>6.9399587287916013E-3</v>
      </c>
      <c r="B838"/>
      <c r="C838"/>
      <c r="D838"/>
      <c r="E838"/>
      <c r="F838" s="27" t="s">
        <v>7</v>
      </c>
      <c r="K838" s="27" t="s">
        <v>8</v>
      </c>
      <c r="O838" s="27" t="s">
        <v>8</v>
      </c>
    </row>
    <row r="839" spans="1:17" x14ac:dyDescent="0.25">
      <c r="A839" s="7">
        <v>6.8038811066584333E-3</v>
      </c>
      <c r="B839"/>
      <c r="C839"/>
      <c r="D839"/>
      <c r="E839"/>
      <c r="F839" s="27" t="s">
        <v>7</v>
      </c>
      <c r="K839" s="27" t="s">
        <v>8</v>
      </c>
      <c r="L839" s="27" t="s">
        <v>7</v>
      </c>
      <c r="O839" s="27" t="s">
        <v>8</v>
      </c>
    </row>
    <row r="840" spans="1:17" x14ac:dyDescent="0.25">
      <c r="A840" s="7">
        <v>6.6704716731945425E-3</v>
      </c>
      <c r="B840"/>
      <c r="C840"/>
      <c r="D840"/>
      <c r="E840"/>
      <c r="F840" s="27" t="s">
        <v>7</v>
      </c>
      <c r="K840" s="27" t="s">
        <v>8</v>
      </c>
      <c r="L840" s="27" t="s">
        <v>7</v>
      </c>
      <c r="M840" s="27" t="s">
        <v>8</v>
      </c>
      <c r="O840" s="27" t="s">
        <v>8</v>
      </c>
    </row>
    <row r="841" spans="1:17" x14ac:dyDescent="0.25">
      <c r="A841" s="7">
        <v>6.5396781109750427E-3</v>
      </c>
      <c r="B841"/>
      <c r="C841"/>
      <c r="D841"/>
      <c r="E841"/>
      <c r="F841" s="27" t="s">
        <v>7</v>
      </c>
      <c r="K841" s="27" t="s">
        <v>8</v>
      </c>
      <c r="L841" s="27" t="s">
        <v>7</v>
      </c>
      <c r="M841" s="27" t="s">
        <v>8</v>
      </c>
      <c r="N841" s="27" t="s">
        <v>7</v>
      </c>
      <c r="O841" s="27" t="s">
        <v>8</v>
      </c>
    </row>
    <row r="842" spans="1:17" x14ac:dyDescent="0.25">
      <c r="A842" s="7">
        <v>6.4114491284069045E-3</v>
      </c>
      <c r="B842"/>
      <c r="C842"/>
      <c r="D842"/>
      <c r="E842"/>
      <c r="F842" s="27" t="s">
        <v>7</v>
      </c>
      <c r="K842" s="27" t="s">
        <v>8</v>
      </c>
      <c r="L842" s="27" t="s">
        <v>7</v>
      </c>
      <c r="M842" s="27" t="s">
        <v>8</v>
      </c>
      <c r="N842" s="27" t="s">
        <v>7</v>
      </c>
      <c r="O842" s="27" t="s">
        <v>8</v>
      </c>
    </row>
    <row r="843" spans="1:17" x14ac:dyDescent="0.25">
      <c r="A843" s="7">
        <v>6.2857344396146115E-3</v>
      </c>
      <c r="B843"/>
      <c r="C843"/>
      <c r="D843"/>
      <c r="E843"/>
      <c r="F843" s="27" t="s">
        <v>7</v>
      </c>
      <c r="K843" s="27" t="s">
        <v>8</v>
      </c>
      <c r="L843" s="27" t="s">
        <v>7</v>
      </c>
      <c r="M843" s="27" t="s">
        <v>8</v>
      </c>
      <c r="N843" s="27" t="s">
        <v>7</v>
      </c>
    </row>
    <row r="844" spans="1:17" x14ac:dyDescent="0.25">
      <c r="A844" s="7">
        <v>6.1624847447202076E-3</v>
      </c>
      <c r="B844"/>
      <c r="C844"/>
      <c r="D844"/>
      <c r="E844"/>
      <c r="F844" s="27" t="s">
        <v>7</v>
      </c>
      <c r="K844" s="27" t="s">
        <v>8</v>
      </c>
      <c r="L844" s="27" t="s">
        <v>7</v>
      </c>
      <c r="M844" s="27" t="s">
        <v>8</v>
      </c>
    </row>
    <row r="845" spans="1:17" x14ac:dyDescent="0.25">
      <c r="A845" s="7">
        <v>6.0416517105100079E-3</v>
      </c>
      <c r="B845"/>
      <c r="C845"/>
      <c r="D845"/>
      <c r="E845"/>
      <c r="F845" s="27" t="s">
        <v>7</v>
      </c>
      <c r="K845" s="27" t="s">
        <v>8</v>
      </c>
      <c r="L845" s="27" t="s">
        <v>7</v>
      </c>
    </row>
    <row r="846" spans="1:17" x14ac:dyDescent="0.25">
      <c r="A846" s="7">
        <v>5.9231879514803996E-3</v>
      </c>
      <c r="B846"/>
      <c r="C846"/>
      <c r="D846"/>
      <c r="E846"/>
      <c r="F846" s="27" t="s">
        <v>7</v>
      </c>
      <c r="G846" s="27" t="s">
        <v>8</v>
      </c>
      <c r="K846" s="27" t="s">
        <v>8</v>
      </c>
    </row>
    <row r="847" spans="1:17" x14ac:dyDescent="0.25">
      <c r="A847" s="7">
        <v>5.8070470112552936E-3</v>
      </c>
      <c r="B847"/>
      <c r="C847"/>
      <c r="D847"/>
      <c r="E847"/>
      <c r="F847" s="27" t="s">
        <v>7</v>
      </c>
      <c r="G847" s="27" t="s">
        <v>8</v>
      </c>
      <c r="H847" s="27" t="s">
        <v>7</v>
      </c>
      <c r="K847" s="27" t="s">
        <v>8</v>
      </c>
    </row>
    <row r="848" spans="1:17" x14ac:dyDescent="0.25">
      <c r="A848" s="7">
        <v>5.6931833443679353E-3</v>
      </c>
      <c r="B848"/>
      <c r="C848"/>
      <c r="D848"/>
      <c r="E848"/>
      <c r="F848" s="27" t="s">
        <v>7</v>
      </c>
      <c r="G848" s="27" t="s">
        <v>8</v>
      </c>
      <c r="H848" s="27" t="s">
        <v>7</v>
      </c>
      <c r="I848" s="27" t="s">
        <v>8</v>
      </c>
      <c r="K848" s="27" t="s">
        <v>8</v>
      </c>
    </row>
    <row r="849" spans="1:11" x14ac:dyDescent="0.25">
      <c r="A849" s="7">
        <v>5.5815522983999367E-3</v>
      </c>
      <c r="B849"/>
      <c r="C849"/>
      <c r="D849"/>
      <c r="E849"/>
      <c r="F849" s="27" t="s">
        <v>7</v>
      </c>
      <c r="G849" s="27" t="s">
        <v>8</v>
      </c>
      <c r="H849" s="27" t="s">
        <v>7</v>
      </c>
      <c r="I849" s="27" t="s">
        <v>8</v>
      </c>
      <c r="J849" s="27" t="s">
        <v>7</v>
      </c>
      <c r="K849" s="27" t="s">
        <v>8</v>
      </c>
    </row>
    <row r="850" spans="1:11" x14ac:dyDescent="0.25">
      <c r="A850" s="7">
        <v>5.4721100964705257E-3</v>
      </c>
      <c r="B850"/>
      <c r="C850"/>
      <c r="D850"/>
      <c r="E850"/>
      <c r="F850" s="27" t="s">
        <v>7</v>
      </c>
      <c r="G850" s="27" t="s">
        <v>8</v>
      </c>
      <c r="H850" s="27" t="s">
        <v>7</v>
      </c>
      <c r="I850" s="27" t="s">
        <v>8</v>
      </c>
      <c r="J850" s="27" t="s">
        <v>7</v>
      </c>
      <c r="K850" s="27" t="s">
        <v>8</v>
      </c>
    </row>
    <row r="851" spans="1:11" x14ac:dyDescent="0.25">
      <c r="A851" s="7">
        <v>5.3648138200691423E-3</v>
      </c>
      <c r="B851"/>
      <c r="C851"/>
      <c r="D851"/>
      <c r="E851"/>
      <c r="F851" s="27" t="s">
        <v>7</v>
      </c>
      <c r="G851" s="27" t="s">
        <v>8</v>
      </c>
      <c r="H851" s="27" t="s">
        <v>7</v>
      </c>
      <c r="I851" s="27" t="s">
        <v>8</v>
      </c>
      <c r="J851" s="27" t="s">
        <v>7</v>
      </c>
      <c r="K851" s="27" t="s">
        <v>8</v>
      </c>
    </row>
    <row r="852" spans="1:11" x14ac:dyDescent="0.25">
      <c r="A852" s="7">
        <v>5.2596213922246494E-3</v>
      </c>
      <c r="B852"/>
      <c r="C852"/>
      <c r="D852"/>
      <c r="E852"/>
      <c r="F852" s="27" t="s">
        <v>7</v>
      </c>
      <c r="G852" s="27" t="s">
        <v>8</v>
      </c>
      <c r="H852" s="27" t="s">
        <v>7</v>
      </c>
      <c r="I852" s="27" t="s">
        <v>8</v>
      </c>
      <c r="J852" s="27" t="s">
        <v>7</v>
      </c>
    </row>
    <row r="853" spans="1:11" x14ac:dyDescent="0.25">
      <c r="A853" s="7">
        <v>5.1564915610045588E-3</v>
      </c>
      <c r="B853"/>
      <c r="C853"/>
      <c r="D853"/>
      <c r="E853"/>
      <c r="F853" s="27" t="s">
        <v>7</v>
      </c>
      <c r="G853" s="27" t="s">
        <v>8</v>
      </c>
      <c r="H853" s="27" t="s">
        <v>7</v>
      </c>
      <c r="I853" s="27" t="s">
        <v>8</v>
      </c>
    </row>
    <row r="854" spans="1:11" x14ac:dyDescent="0.25">
      <c r="A854" s="7">
        <v>5.0553838833378023E-3</v>
      </c>
      <c r="B854"/>
      <c r="C854"/>
      <c r="D854"/>
      <c r="E854"/>
      <c r="F854" s="27" t="s">
        <v>7</v>
      </c>
      <c r="G854" s="27" t="s">
        <v>8</v>
      </c>
      <c r="H854" s="27" t="s">
        <v>7</v>
      </c>
    </row>
    <row r="855" spans="1:11" x14ac:dyDescent="0.25">
      <c r="A855" s="7">
        <v>4.9562587091547079E-3</v>
      </c>
      <c r="B855"/>
      <c r="C855"/>
      <c r="D855"/>
      <c r="E855"/>
      <c r="F855" s="27" t="s">
        <v>7</v>
      </c>
      <c r="G855" s="27" t="s">
        <v>8</v>
      </c>
    </row>
    <row r="856" spans="1:11" x14ac:dyDescent="0.25">
      <c r="A856" s="7">
        <v>4.8590771658379491E-3</v>
      </c>
      <c r="B856"/>
      <c r="C856"/>
      <c r="D856"/>
      <c r="E856"/>
      <c r="F856" s="27" t="s">
        <v>7</v>
      </c>
    </row>
    <row r="857" spans="1:11" x14ac:dyDescent="0.25">
      <c r="A857" s="7">
        <v>4.7638011429783815E-3</v>
      </c>
      <c r="B857"/>
      <c r="C857"/>
      <c r="D857"/>
      <c r="E857"/>
    </row>
    <row r="858" spans="1:11" x14ac:dyDescent="0.25">
      <c r="A858" s="7">
        <v>4.6703932774297859E-3</v>
      </c>
      <c r="B858"/>
      <c r="C858"/>
      <c r="D858"/>
      <c r="E858"/>
    </row>
    <row r="859" spans="1:11" x14ac:dyDescent="0.25">
      <c r="A859" s="7">
        <v>4.5788169386566527E-3</v>
      </c>
      <c r="B859"/>
      <c r="C859"/>
      <c r="D859"/>
      <c r="E859"/>
    </row>
    <row r="860" spans="1:11" x14ac:dyDescent="0.25">
      <c r="A860" s="7">
        <v>4.4890362143692672E-3</v>
      </c>
      <c r="B860"/>
      <c r="C860"/>
      <c r="D860"/>
      <c r="E860"/>
    </row>
    <row r="861" spans="1:11" x14ac:dyDescent="0.25">
      <c r="A861" s="7">
        <v>4.4010158964404578E-3</v>
      </c>
      <c r="B861"/>
      <c r="C861"/>
      <c r="D861"/>
      <c r="E861"/>
    </row>
    <row r="862" spans="1:11" x14ac:dyDescent="0.25">
      <c r="A862" s="7">
        <v>4.314721467098488E-3</v>
      </c>
      <c r="B862"/>
      <c r="C862"/>
      <c r="D862"/>
      <c r="E862"/>
    </row>
    <row r="863" spans="1:11" x14ac:dyDescent="0.25">
      <c r="A863" s="7">
        <v>4.2301190853906746E-3</v>
      </c>
      <c r="B863"/>
      <c r="C863"/>
      <c r="D863"/>
      <c r="E863"/>
    </row>
    <row r="864" spans="1:11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62" operator="equal">
      <formula>$U$1</formula>
    </cfRule>
    <cfRule type="cellIs" dxfId="89" priority="763" operator="equal">
      <formula>$S$1</formula>
    </cfRule>
  </conditionalFormatting>
  <conditionalFormatting sqref="D27">
    <cfRule type="cellIs" dxfId="88" priority="760" operator="equal">
      <formula>$S$1</formula>
    </cfRule>
    <cfRule type="cellIs" dxfId="87" priority="761" operator="equal">
      <formula>$U$1</formula>
    </cfRule>
  </conditionalFormatting>
  <conditionalFormatting sqref="C164">
    <cfRule type="cellIs" dxfId="86" priority="758" operator="equal">
      <formula>$U$1</formula>
    </cfRule>
    <cfRule type="cellIs" dxfId="85" priority="759" operator="equal">
      <formula>$S$1</formula>
    </cfRule>
  </conditionalFormatting>
  <conditionalFormatting sqref="D164">
    <cfRule type="cellIs" dxfId="84" priority="756" operator="equal">
      <formula>$S$1</formula>
    </cfRule>
    <cfRule type="cellIs" dxfId="83" priority="757" operator="equal">
      <formula>$U$1</formula>
    </cfRule>
  </conditionalFormatting>
  <conditionalFormatting sqref="C55">
    <cfRule type="cellIs" dxfId="82" priority="754" operator="equal">
      <formula>$U$1</formula>
    </cfRule>
    <cfRule type="cellIs" dxfId="81" priority="755" operator="equal">
      <formula>$S$1</formula>
    </cfRule>
  </conditionalFormatting>
  <conditionalFormatting sqref="D55">
    <cfRule type="cellIs" dxfId="80" priority="752" operator="equal">
      <formula>$S$1</formula>
    </cfRule>
    <cfRule type="cellIs" dxfId="79" priority="753" operator="equal">
      <formula>$U$1</formula>
    </cfRule>
  </conditionalFormatting>
  <conditionalFormatting sqref="C89">
    <cfRule type="cellIs" dxfId="78" priority="750" operator="equal">
      <formula>$U$1</formula>
    </cfRule>
    <cfRule type="cellIs" dxfId="77" priority="751" operator="equal">
      <formula>$S$1</formula>
    </cfRule>
  </conditionalFormatting>
  <conditionalFormatting sqref="D89">
    <cfRule type="cellIs" dxfId="76" priority="748" operator="equal">
      <formula>$S$1</formula>
    </cfRule>
    <cfRule type="cellIs" dxfId="75" priority="749" operator="equal">
      <formula>$U$1</formula>
    </cfRule>
  </conditionalFormatting>
  <conditionalFormatting sqref="C136">
    <cfRule type="cellIs" dxfId="74" priority="746" operator="equal">
      <formula>$U$1</formula>
    </cfRule>
    <cfRule type="cellIs" dxfId="73" priority="747" operator="equal">
      <formula>$S$1</formula>
    </cfRule>
  </conditionalFormatting>
  <conditionalFormatting sqref="D136">
    <cfRule type="cellIs" dxfId="72" priority="744" operator="equal">
      <formula>$S$1</formula>
    </cfRule>
    <cfRule type="cellIs" dxfId="71" priority="745" operator="equal">
      <formula>$U$1</formula>
    </cfRule>
  </conditionalFormatting>
  <conditionalFormatting sqref="C1">
    <cfRule type="cellIs" dxfId="70" priority="74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CZ394" sqref="CZ394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$A$393</v>
      </c>
      <c r="D111" s="1" t="str">
        <f>ADDRESS(C121-1,D121,1,1)</f>
        <v>$CZ$393</v>
      </c>
      <c r="E111"/>
    </row>
    <row r="112" spans="1:5" x14ac:dyDescent="0.25">
      <c r="A112" s="30">
        <v>14226.649032170862</v>
      </c>
      <c r="C112" s="1" t="str">
        <f>ADDRESS(C121,1,1,1)</f>
        <v>$A$394</v>
      </c>
      <c r="D112" s="1" t="str">
        <f>ADDRESS(C121,D121-1,1,1)</f>
        <v>$CY$394</v>
      </c>
      <c r="E112"/>
    </row>
    <row r="113" spans="1:5" x14ac:dyDescent="0.25">
      <c r="A113" s="30">
        <v>13549.18955444844</v>
      </c>
      <c r="C113" s="1" t="str">
        <f>ADDRESS(C121+1,1,1,1)</f>
        <v>$A$395</v>
      </c>
      <c r="D113" s="1" t="str">
        <f>ADDRESS(C121-1,D121+1,1,1)</f>
        <v>$DA$393</v>
      </c>
    </row>
    <row r="114" spans="1:5" x14ac:dyDescent="0.25">
      <c r="A114" s="30">
        <v>12903.990051855657</v>
      </c>
      <c r="C114" s="1" t="str">
        <f>ADDRESS(C121,D121,1,1)</f>
        <v>$CZ$394</v>
      </c>
      <c r="D114" s="1" t="str">
        <f>ADDRESS(C121+1,D121+1,1,1)</f>
        <v>$DA$395</v>
      </c>
    </row>
    <row r="115" spans="1:5" x14ac:dyDescent="0.25">
      <c r="A115" s="30">
        <v>12289.514335100625</v>
      </c>
      <c r="C115" s="1" t="str">
        <f>ADDRESS(C121+1,D121,1,1)</f>
        <v>$CZ$395</v>
      </c>
    </row>
    <row r="116" spans="1:5" x14ac:dyDescent="0.25">
      <c r="A116" s="30">
        <v>11704.2993667625</v>
      </c>
      <c r="C116" s="1">
        <f>C117-1</f>
        <v>393</v>
      </c>
    </row>
    <row r="117" spans="1:5" x14ac:dyDescent="0.25">
      <c r="A117" s="30">
        <v>11146.951777869046</v>
      </c>
      <c r="C117" s="1">
        <f>C121</f>
        <v>394</v>
      </c>
      <c r="D117" s="1">
        <f>D121</f>
        <v>104</v>
      </c>
    </row>
    <row r="118" spans="1:5" x14ac:dyDescent="0.25">
      <c r="A118" s="30">
        <v>10616.144550351471</v>
      </c>
      <c r="C118" s="1">
        <f>C117+1</f>
        <v>395</v>
      </c>
      <c r="D118" s="1">
        <f>D117+1</f>
        <v>105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394</v>
      </c>
      <c r="D121" s="19">
        <v>104</v>
      </c>
      <c r="E121" s="19"/>
    </row>
    <row r="122" spans="1:5" x14ac:dyDescent="0.25">
      <c r="A122" s="30">
        <v>8733.9283943225073</v>
      </c>
      <c r="C122" s="1" t="str">
        <f>INDEX(1:1048576,C117,D117)</f>
        <v>O</v>
      </c>
    </row>
    <row r="123" spans="1:5" x14ac:dyDescent="0.25">
      <c r="A123" s="30">
        <v>8318.027042211912</v>
      </c>
      <c r="C123" s="1" t="str">
        <f>"R"&amp;C121</f>
        <v>R394</v>
      </c>
      <c r="D123" s="1" t="str">
        <f>"C"&amp;D121</f>
        <v>C104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1.5056370044410079E-2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O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5" x14ac:dyDescent="0.25">
      <c r="A289" s="30">
        <v>2.5269501953756404</v>
      </c>
      <c r="B289"/>
      <c r="C289"/>
      <c r="D289"/>
      <c r="E289"/>
    </row>
    <row r="290" spans="1:5" x14ac:dyDescent="0.25">
      <c r="A290" s="30">
        <v>2.4066192336910861</v>
      </c>
      <c r="B290"/>
      <c r="C290"/>
      <c r="D290"/>
      <c r="E290"/>
    </row>
    <row r="291" spans="1:5" x14ac:dyDescent="0.25">
      <c r="A291" s="30">
        <v>2.2920183178010345</v>
      </c>
      <c r="B291"/>
      <c r="C291"/>
      <c r="D291"/>
      <c r="E291"/>
    </row>
    <row r="292" spans="1:5" x14ac:dyDescent="0.25">
      <c r="A292" s="30">
        <v>2.1828745883819374</v>
      </c>
      <c r="B292"/>
      <c r="C292"/>
      <c r="D292"/>
      <c r="E292"/>
    </row>
    <row r="293" spans="1:5" x14ac:dyDescent="0.25">
      <c r="A293" s="30">
        <v>2.0789281794113688</v>
      </c>
      <c r="B293"/>
      <c r="C293"/>
      <c r="D293"/>
      <c r="E293"/>
    </row>
    <row r="294" spans="1:5" x14ac:dyDescent="0.25">
      <c r="A294" s="30">
        <v>1.9799315994393987</v>
      </c>
      <c r="B294"/>
      <c r="C294"/>
      <c r="D294"/>
      <c r="E294"/>
    </row>
    <row r="295" spans="1:5" x14ac:dyDescent="0.25">
      <c r="A295" s="30">
        <v>1.8856491423232367</v>
      </c>
      <c r="B295"/>
      <c r="C295"/>
      <c r="D295"/>
      <c r="E295"/>
    </row>
    <row r="296" spans="1:5" x14ac:dyDescent="0.25">
      <c r="A296" s="30">
        <v>1.7958563260221301</v>
      </c>
      <c r="B296"/>
      <c r="C296"/>
      <c r="D296"/>
      <c r="E296"/>
    </row>
    <row r="297" spans="1:5" x14ac:dyDescent="0.25">
      <c r="A297" s="30">
        <v>1.7103393581163142</v>
      </c>
      <c r="B297"/>
      <c r="C297"/>
      <c r="D297"/>
      <c r="E297"/>
    </row>
    <row r="298" spans="1:5" x14ac:dyDescent="0.25">
      <c r="A298" s="30">
        <v>1.628894626777442</v>
      </c>
      <c r="B298"/>
      <c r="C298"/>
      <c r="D298"/>
      <c r="E298"/>
    </row>
    <row r="299" spans="1:5" x14ac:dyDescent="0.25">
      <c r="A299" s="30">
        <v>1.5513282159785162</v>
      </c>
      <c r="B299"/>
      <c r="C299"/>
      <c r="D299"/>
      <c r="E299"/>
    </row>
    <row r="300" spans="1:5" x14ac:dyDescent="0.25">
      <c r="A300" s="30">
        <v>1.477455443789063</v>
      </c>
      <c r="B300"/>
      <c r="C300"/>
      <c r="D300"/>
      <c r="E300"/>
    </row>
    <row r="301" spans="1:5" x14ac:dyDescent="0.25">
      <c r="A301" s="30">
        <v>1.4071004226562505</v>
      </c>
      <c r="B301"/>
      <c r="C301"/>
      <c r="D301"/>
      <c r="E301"/>
    </row>
    <row r="302" spans="1:5" x14ac:dyDescent="0.25">
      <c r="A302" s="30">
        <v>1.3400956406250004</v>
      </c>
      <c r="B302"/>
      <c r="C302"/>
      <c r="D302"/>
      <c r="E302"/>
    </row>
    <row r="303" spans="1:5" x14ac:dyDescent="0.25">
      <c r="A303" s="30">
        <v>1.2762815625000004</v>
      </c>
      <c r="B303"/>
      <c r="C303"/>
      <c r="D303"/>
      <c r="E303"/>
    </row>
    <row r="304" spans="1:5" x14ac:dyDescent="0.25">
      <c r="A304" s="30">
        <v>1.2155062500000002</v>
      </c>
      <c r="B304"/>
      <c r="C304"/>
      <c r="D304"/>
      <c r="E304"/>
    </row>
    <row r="305" spans="1:6" x14ac:dyDescent="0.25">
      <c r="A305" s="30">
        <v>1.1576249999999999</v>
      </c>
      <c r="B305"/>
      <c r="C305"/>
      <c r="D305"/>
      <c r="E305"/>
    </row>
    <row r="306" spans="1:6" x14ac:dyDescent="0.25">
      <c r="A306" s="30">
        <v>1.1025</v>
      </c>
      <c r="B306"/>
      <c r="C306"/>
      <c r="D306"/>
      <c r="E306"/>
    </row>
    <row r="307" spans="1:6" x14ac:dyDescent="0.25">
      <c r="A307" s="30">
        <v>1.05</v>
      </c>
      <c r="B307"/>
      <c r="C307"/>
      <c r="D307"/>
      <c r="E307"/>
    </row>
    <row r="308" spans="1:6" x14ac:dyDescent="0.25">
      <c r="A308" s="30">
        <v>1</v>
      </c>
      <c r="B308"/>
      <c r="C308"/>
      <c r="D308"/>
      <c r="E308" t="s">
        <v>8</v>
      </c>
    </row>
    <row r="309" spans="1:6" x14ac:dyDescent="0.25">
      <c r="A309" s="30">
        <v>0.952380952380952</v>
      </c>
      <c r="B309"/>
      <c r="C309"/>
      <c r="D309"/>
      <c r="E309"/>
      <c r="F309" s="27" t="s">
        <v>7</v>
      </c>
    </row>
    <row r="310" spans="1:6" x14ac:dyDescent="0.25">
      <c r="A310" s="30">
        <v>0.90702947845804915</v>
      </c>
      <c r="B310"/>
      <c r="C310"/>
      <c r="D310"/>
      <c r="E310"/>
      <c r="F310" s="27" t="s">
        <v>7</v>
      </c>
    </row>
    <row r="311" spans="1:6" x14ac:dyDescent="0.25">
      <c r="A311" s="30">
        <v>0.86383759853147501</v>
      </c>
      <c r="B311"/>
      <c r="C311"/>
      <c r="D311"/>
      <c r="E311"/>
      <c r="F311" s="27" t="s">
        <v>7</v>
      </c>
    </row>
    <row r="312" spans="1:6" x14ac:dyDescent="0.25">
      <c r="A312" s="30">
        <v>0.82270247479188063</v>
      </c>
      <c r="B312"/>
      <c r="C312"/>
      <c r="D312"/>
      <c r="E312"/>
      <c r="F312" s="27" t="s">
        <v>7</v>
      </c>
    </row>
    <row r="313" spans="1:6" x14ac:dyDescent="0.25">
      <c r="A313" s="30">
        <v>0.78352616646845741</v>
      </c>
      <c r="B313"/>
      <c r="C313"/>
      <c r="D313"/>
      <c r="E313"/>
      <c r="F313" s="27" t="s">
        <v>7</v>
      </c>
    </row>
    <row r="314" spans="1:6" x14ac:dyDescent="0.25">
      <c r="A314" s="30">
        <v>0.74621539663662584</v>
      </c>
      <c r="B314"/>
      <c r="C314"/>
      <c r="D314"/>
      <c r="E314"/>
      <c r="F314" s="27" t="s">
        <v>7</v>
      </c>
    </row>
    <row r="315" spans="1:6" x14ac:dyDescent="0.25">
      <c r="A315" s="30">
        <v>0.71068133013011958</v>
      </c>
      <c r="B315"/>
      <c r="C315"/>
      <c r="D315"/>
      <c r="E315"/>
      <c r="F315" s="27" t="s">
        <v>7</v>
      </c>
    </row>
    <row r="316" spans="1:6" x14ac:dyDescent="0.25">
      <c r="A316" s="30">
        <v>0.676839362028685</v>
      </c>
      <c r="B316"/>
      <c r="C316"/>
      <c r="D316"/>
      <c r="E316"/>
      <c r="F316" s="27" t="s">
        <v>7</v>
      </c>
    </row>
    <row r="317" spans="1:6" x14ac:dyDescent="0.25">
      <c r="A317" s="30">
        <v>0.64460891621779492</v>
      </c>
      <c r="B317"/>
      <c r="C317"/>
      <c r="D317"/>
      <c r="E317"/>
      <c r="F317" s="27" t="s">
        <v>7</v>
      </c>
    </row>
    <row r="318" spans="1:6" x14ac:dyDescent="0.25">
      <c r="A318" s="30">
        <v>0.61391325354075688</v>
      </c>
      <c r="B318"/>
      <c r="C318"/>
      <c r="D318"/>
      <c r="E318"/>
      <c r="F318" s="27" t="s">
        <v>7</v>
      </c>
    </row>
    <row r="319" spans="1:6" x14ac:dyDescent="0.25">
      <c r="A319" s="30">
        <v>0.58467928908643485</v>
      </c>
      <c r="B319"/>
      <c r="C319"/>
      <c r="D319"/>
      <c r="E319"/>
      <c r="F319" s="27" t="s">
        <v>7</v>
      </c>
    </row>
    <row r="320" spans="1:6" x14ac:dyDescent="0.25">
      <c r="A320" s="30">
        <v>0.55683741817755672</v>
      </c>
      <c r="B320"/>
      <c r="C320"/>
      <c r="D320"/>
      <c r="E320"/>
      <c r="F320" s="27" t="s">
        <v>7</v>
      </c>
    </row>
    <row r="321" spans="1:6" x14ac:dyDescent="0.25">
      <c r="A321" s="30">
        <v>0.53032135064529184</v>
      </c>
      <c r="B321"/>
      <c r="C321"/>
      <c r="D321"/>
      <c r="E321"/>
      <c r="F321" s="27" t="s">
        <v>7</v>
      </c>
    </row>
    <row r="322" spans="1:6" x14ac:dyDescent="0.25">
      <c r="A322" s="30">
        <v>0.50506795299551588</v>
      </c>
      <c r="B322"/>
      <c r="C322"/>
      <c r="D322"/>
      <c r="E322"/>
      <c r="F322" s="27" t="s">
        <v>7</v>
      </c>
    </row>
    <row r="323" spans="1:6" x14ac:dyDescent="0.25">
      <c r="A323" s="30">
        <v>0.48101709809096732</v>
      </c>
      <c r="B323"/>
      <c r="C323"/>
      <c r="D323"/>
      <c r="E323"/>
      <c r="F323" s="27" t="s">
        <v>7</v>
      </c>
    </row>
    <row r="324" spans="1:6" x14ac:dyDescent="0.25">
      <c r="A324" s="30">
        <v>0.45811152199139726</v>
      </c>
      <c r="B324"/>
      <c r="C324"/>
      <c r="D324"/>
      <c r="E324"/>
      <c r="F324" s="27" t="s">
        <v>7</v>
      </c>
    </row>
    <row r="325" spans="1:6" x14ac:dyDescent="0.25">
      <c r="A325" s="30">
        <v>0.43629668761085438</v>
      </c>
      <c r="B325"/>
      <c r="C325"/>
      <c r="D325"/>
      <c r="E325"/>
      <c r="F325" s="27" t="s">
        <v>7</v>
      </c>
    </row>
    <row r="326" spans="1:6" x14ac:dyDescent="0.25">
      <c r="A326" s="30">
        <v>0.41552065486748019</v>
      </c>
      <c r="B326"/>
      <c r="C326"/>
      <c r="D326"/>
      <c r="E326"/>
      <c r="F326" s="27" t="s">
        <v>7</v>
      </c>
    </row>
    <row r="327" spans="1:6" x14ac:dyDescent="0.25">
      <c r="A327" s="30">
        <v>0.39573395701664765</v>
      </c>
      <c r="B327"/>
      <c r="C327"/>
      <c r="D327"/>
      <c r="E327"/>
      <c r="F327" s="27" t="s">
        <v>7</v>
      </c>
    </row>
    <row r="328" spans="1:6" x14ac:dyDescent="0.25">
      <c r="A328" s="30">
        <v>0.37688948287299762</v>
      </c>
      <c r="B328"/>
      <c r="C328"/>
      <c r="D328"/>
      <c r="E328"/>
      <c r="F328" s="27" t="s">
        <v>7</v>
      </c>
    </row>
    <row r="329" spans="1:6" x14ac:dyDescent="0.25">
      <c r="A329" s="30">
        <v>0.35894236464094997</v>
      </c>
      <c r="B329"/>
      <c r="C329"/>
      <c r="D329"/>
      <c r="E329"/>
      <c r="F329" s="27" t="s">
        <v>7</v>
      </c>
    </row>
    <row r="330" spans="1:6" x14ac:dyDescent="0.25">
      <c r="A330" s="30">
        <v>0.34184987108661891</v>
      </c>
      <c r="B330"/>
      <c r="C330"/>
      <c r="D330"/>
      <c r="E330"/>
      <c r="F330" s="27" t="s">
        <v>7</v>
      </c>
    </row>
    <row r="331" spans="1:6" x14ac:dyDescent="0.25">
      <c r="A331" s="30">
        <v>0.32557130579677979</v>
      </c>
      <c r="B331"/>
      <c r="C331"/>
      <c r="D331"/>
      <c r="E331"/>
      <c r="F331" s="27" t="s">
        <v>7</v>
      </c>
    </row>
    <row r="332" spans="1:6" x14ac:dyDescent="0.25">
      <c r="A332" s="30">
        <v>0.3100679102826473</v>
      </c>
      <c r="B332"/>
      <c r="C332"/>
      <c r="D332"/>
      <c r="E332"/>
      <c r="F332" s="27" t="s">
        <v>7</v>
      </c>
    </row>
    <row r="333" spans="1:6" x14ac:dyDescent="0.25">
      <c r="A333" s="30">
        <v>0.2953027716977592</v>
      </c>
      <c r="B333"/>
      <c r="C333"/>
      <c r="D333"/>
      <c r="E333"/>
      <c r="F333" s="27" t="s">
        <v>7</v>
      </c>
    </row>
    <row r="334" spans="1:6" x14ac:dyDescent="0.25">
      <c r="A334" s="30">
        <v>0.28124073495024676</v>
      </c>
      <c r="B334"/>
      <c r="C334"/>
      <c r="D334"/>
      <c r="E334"/>
      <c r="F334" s="27" t="s">
        <v>7</v>
      </c>
    </row>
    <row r="335" spans="1:6" x14ac:dyDescent="0.25">
      <c r="A335" s="30">
        <v>0.26784831900023492</v>
      </c>
      <c r="B335"/>
      <c r="C335"/>
      <c r="D335"/>
      <c r="E335"/>
      <c r="F335" s="27" t="s">
        <v>7</v>
      </c>
    </row>
    <row r="336" spans="1:6" x14ac:dyDescent="0.25">
      <c r="A336" s="30">
        <v>0.25509363714308075</v>
      </c>
      <c r="B336"/>
      <c r="C336"/>
      <c r="D336"/>
      <c r="E336"/>
      <c r="F336" s="27" t="s">
        <v>7</v>
      </c>
    </row>
    <row r="337" spans="1:6" x14ac:dyDescent="0.25">
      <c r="A337" s="30">
        <v>0.24294632108864825</v>
      </c>
      <c r="B337"/>
      <c r="C337"/>
      <c r="D337"/>
      <c r="E337"/>
      <c r="F337" s="27" t="s">
        <v>7</v>
      </c>
    </row>
    <row r="338" spans="1:6" x14ac:dyDescent="0.25">
      <c r="A338" s="30">
        <v>0.23137744865585538</v>
      </c>
      <c r="B338"/>
      <c r="C338"/>
      <c r="D338"/>
      <c r="E338"/>
      <c r="F338" s="27" t="s">
        <v>7</v>
      </c>
    </row>
    <row r="339" spans="1:6" x14ac:dyDescent="0.25">
      <c r="A339" s="30">
        <v>0.22035947491033836</v>
      </c>
      <c r="B339"/>
      <c r="C339"/>
      <c r="D339"/>
      <c r="E339"/>
      <c r="F339" s="27" t="s">
        <v>7</v>
      </c>
    </row>
    <row r="340" spans="1:6" x14ac:dyDescent="0.25">
      <c r="A340" s="30">
        <v>0.20986616658127455</v>
      </c>
      <c r="B340"/>
      <c r="C340"/>
      <c r="D340"/>
      <c r="E340"/>
      <c r="F340" s="27" t="s">
        <v>7</v>
      </c>
    </row>
    <row r="341" spans="1:6" x14ac:dyDescent="0.25">
      <c r="A341" s="30">
        <v>0.19987253960121379</v>
      </c>
      <c r="B341"/>
      <c r="C341"/>
      <c r="D341"/>
      <c r="E341"/>
      <c r="F341" s="27" t="s">
        <v>7</v>
      </c>
    </row>
    <row r="342" spans="1:6" x14ac:dyDescent="0.25">
      <c r="A342" s="30">
        <v>0.19035479962020352</v>
      </c>
      <c r="B342"/>
      <c r="C342"/>
      <c r="D342"/>
      <c r="E342"/>
      <c r="F342" s="27" t="s">
        <v>7</v>
      </c>
    </row>
    <row r="343" spans="1:6" x14ac:dyDescent="0.25">
      <c r="A343" s="30">
        <v>0.18129028535257471</v>
      </c>
      <c r="B343"/>
      <c r="C343"/>
      <c r="D343"/>
      <c r="E343"/>
      <c r="F343" s="27" t="s">
        <v>7</v>
      </c>
    </row>
    <row r="344" spans="1:6" x14ac:dyDescent="0.25">
      <c r="A344" s="30">
        <v>0.17265741462149967</v>
      </c>
      <c r="B344"/>
      <c r="C344"/>
      <c r="D344"/>
      <c r="E344"/>
      <c r="F344" s="27" t="s">
        <v>7</v>
      </c>
    </row>
    <row r="345" spans="1:6" x14ac:dyDescent="0.25">
      <c r="A345" s="30">
        <v>0.16443563297285677</v>
      </c>
      <c r="B345"/>
      <c r="C345"/>
      <c r="D345"/>
      <c r="E345"/>
      <c r="F345" s="27" t="s">
        <v>7</v>
      </c>
    </row>
    <row r="346" spans="1:6" x14ac:dyDescent="0.25">
      <c r="A346" s="30">
        <v>0.15660536473605399</v>
      </c>
      <c r="B346"/>
      <c r="C346"/>
      <c r="D346"/>
      <c r="E346"/>
      <c r="F346" s="27" t="s">
        <v>7</v>
      </c>
    </row>
    <row r="347" spans="1:6" x14ac:dyDescent="0.25">
      <c r="A347" s="30">
        <v>0.14914796641528946</v>
      </c>
      <c r="B347"/>
      <c r="C347"/>
      <c r="D347"/>
      <c r="E347"/>
      <c r="F347" s="27" t="s">
        <v>7</v>
      </c>
    </row>
    <row r="348" spans="1:6" x14ac:dyDescent="0.25">
      <c r="A348" s="30">
        <v>0.14204568230027562</v>
      </c>
      <c r="B348"/>
      <c r="C348"/>
      <c r="D348"/>
      <c r="E348"/>
      <c r="F348" s="27" t="s">
        <v>7</v>
      </c>
    </row>
    <row r="349" spans="1:6" x14ac:dyDescent="0.25">
      <c r="A349" s="30">
        <v>0.13528160219073862</v>
      </c>
      <c r="B349"/>
      <c r="C349"/>
      <c r="D349"/>
      <c r="E349"/>
      <c r="F349" s="27" t="s">
        <v>7</v>
      </c>
    </row>
    <row r="350" spans="1:6" x14ac:dyDescent="0.25">
      <c r="A350" s="30">
        <v>0.12883962113403674</v>
      </c>
      <c r="B350"/>
      <c r="C350"/>
      <c r="D350"/>
      <c r="E350"/>
      <c r="F350" s="27" t="s">
        <v>7</v>
      </c>
    </row>
    <row r="351" spans="1:6" x14ac:dyDescent="0.25">
      <c r="A351" s="30">
        <v>0.12270440108003494</v>
      </c>
      <c r="B351"/>
      <c r="C351"/>
      <c r="D351"/>
      <c r="E351"/>
      <c r="F351" s="27" t="s">
        <v>7</v>
      </c>
    </row>
    <row r="352" spans="1:6" x14ac:dyDescent="0.25">
      <c r="A352" s="30">
        <v>0.11686133436193799</v>
      </c>
      <c r="B352"/>
      <c r="C352"/>
      <c r="D352"/>
      <c r="E352"/>
      <c r="F352" s="27" t="s">
        <v>7</v>
      </c>
    </row>
    <row r="353" spans="1:6" x14ac:dyDescent="0.25">
      <c r="A353" s="30">
        <v>0.11129650891613138</v>
      </c>
      <c r="B353"/>
      <c r="C353"/>
      <c r="D353"/>
      <c r="E353"/>
      <c r="F353" s="27" t="s">
        <v>7</v>
      </c>
    </row>
    <row r="354" spans="1:6" x14ac:dyDescent="0.25">
      <c r="A354" s="30">
        <v>0.10599667515822032</v>
      </c>
      <c r="B354"/>
      <c r="C354"/>
      <c r="D354"/>
      <c r="E354"/>
      <c r="F354" s="27" t="s">
        <v>7</v>
      </c>
    </row>
    <row r="355" spans="1:6" x14ac:dyDescent="0.25">
      <c r="A355" s="30">
        <v>0.10094921443640027</v>
      </c>
      <c r="B355"/>
      <c r="C355"/>
      <c r="D355"/>
      <c r="E355"/>
      <c r="F355" s="27" t="s">
        <v>7</v>
      </c>
    </row>
    <row r="356" spans="1:6" x14ac:dyDescent="0.25">
      <c r="A356" s="30">
        <v>9.6142108987047836E-2</v>
      </c>
      <c r="B356"/>
      <c r="C356"/>
      <c r="D356"/>
      <c r="E356"/>
      <c r="F356" s="27" t="s">
        <v>7</v>
      </c>
    </row>
    <row r="357" spans="1:6" x14ac:dyDescent="0.25">
      <c r="A357" s="30">
        <v>9.1563913320997906E-2</v>
      </c>
      <c r="B357"/>
      <c r="C357"/>
      <c r="D357"/>
      <c r="E357"/>
      <c r="F357" s="27" t="s">
        <v>7</v>
      </c>
    </row>
    <row r="358" spans="1:6" x14ac:dyDescent="0.25">
      <c r="A358" s="30">
        <v>8.7203726972378923E-2</v>
      </c>
      <c r="B358"/>
      <c r="C358"/>
      <c r="D358"/>
      <c r="E358"/>
      <c r="F358" s="27" t="s">
        <v>7</v>
      </c>
    </row>
    <row r="359" spans="1:6" x14ac:dyDescent="0.25">
      <c r="A359" s="30">
        <v>8.3051168545122747E-2</v>
      </c>
      <c r="B359"/>
      <c r="C359"/>
      <c r="D359"/>
      <c r="E359"/>
      <c r="F359" s="27" t="s">
        <v>7</v>
      </c>
    </row>
    <row r="360" spans="1:6" x14ac:dyDescent="0.25">
      <c r="A360" s="30">
        <v>7.9096350995354961E-2</v>
      </c>
      <c r="B360"/>
      <c r="C360"/>
      <c r="D360"/>
      <c r="E360"/>
      <c r="F360" s="27" t="s">
        <v>7</v>
      </c>
    </row>
    <row r="361" spans="1:6" x14ac:dyDescent="0.25">
      <c r="A361" s="30">
        <v>7.5329858090814217E-2</v>
      </c>
      <c r="B361"/>
      <c r="C361"/>
      <c r="D361"/>
      <c r="E361"/>
      <c r="F361" s="27" t="s">
        <v>7</v>
      </c>
    </row>
    <row r="362" spans="1:6" x14ac:dyDescent="0.25">
      <c r="A362" s="30">
        <v>7.1742721991251604E-2</v>
      </c>
      <c r="B362"/>
      <c r="C362"/>
      <c r="D362"/>
      <c r="E362"/>
      <c r="F362" s="27" t="s">
        <v>7</v>
      </c>
    </row>
    <row r="363" spans="1:6" x14ac:dyDescent="0.25">
      <c r="A363" s="30">
        <v>6.8326401896430078E-2</v>
      </c>
      <c r="B363"/>
      <c r="C363"/>
      <c r="D363"/>
      <c r="E363"/>
      <c r="F363" s="27" t="s">
        <v>7</v>
      </c>
    </row>
    <row r="364" spans="1:6" x14ac:dyDescent="0.25">
      <c r="A364" s="30">
        <v>6.5072763710885759E-2</v>
      </c>
      <c r="B364"/>
      <c r="C364"/>
      <c r="D364"/>
      <c r="E364"/>
      <c r="F364" s="27" t="s">
        <v>7</v>
      </c>
    </row>
    <row r="365" spans="1:6" x14ac:dyDescent="0.25">
      <c r="A365" s="30">
        <v>6.197406067703403E-2</v>
      </c>
      <c r="B365"/>
      <c r="C365"/>
      <c r="D365"/>
      <c r="E365"/>
      <c r="F365" s="27" t="s">
        <v>7</v>
      </c>
    </row>
    <row r="366" spans="1:6" x14ac:dyDescent="0.25">
      <c r="A366" s="30">
        <v>5.9022914930508576E-2</v>
      </c>
      <c r="B366"/>
      <c r="C366"/>
      <c r="D366"/>
      <c r="E366"/>
      <c r="F366" s="27" t="s">
        <v>7</v>
      </c>
    </row>
    <row r="367" spans="1:6" x14ac:dyDescent="0.25">
      <c r="A367" s="30">
        <v>5.6212299933817669E-2</v>
      </c>
      <c r="B367"/>
      <c r="C367"/>
      <c r="D367"/>
      <c r="E367"/>
      <c r="F367" s="27" t="s">
        <v>7</v>
      </c>
    </row>
    <row r="368" spans="1:6" x14ac:dyDescent="0.25">
      <c r="A368" s="30">
        <v>5.3535523746492994E-2</v>
      </c>
      <c r="B368"/>
      <c r="C368"/>
      <c r="D368"/>
      <c r="E368"/>
      <c r="F368" s="27" t="s">
        <v>7</v>
      </c>
    </row>
    <row r="369" spans="1:99" x14ac:dyDescent="0.25">
      <c r="A369" s="30">
        <v>5.0986213091898068E-2</v>
      </c>
      <c r="B369"/>
      <c r="C369"/>
      <c r="D369"/>
      <c r="E369"/>
      <c r="F369" s="27" t="s">
        <v>7</v>
      </c>
    </row>
    <row r="370" spans="1:99" x14ac:dyDescent="0.25">
      <c r="A370" s="30">
        <v>4.8558298182760043E-2</v>
      </c>
      <c r="B370"/>
      <c r="C370"/>
      <c r="D370"/>
      <c r="E370"/>
      <c r="F370" s="27" t="s">
        <v>7</v>
      </c>
    </row>
    <row r="371" spans="1:99" x14ac:dyDescent="0.25">
      <c r="A371" s="30">
        <v>4.6245998269295263E-2</v>
      </c>
      <c r="B371"/>
      <c r="C371"/>
      <c r="D371"/>
      <c r="E371"/>
      <c r="F371" s="27" t="s">
        <v>7</v>
      </c>
    </row>
    <row r="372" spans="1:99" x14ac:dyDescent="0.25">
      <c r="A372" s="30">
        <v>4.4043807875519279E-2</v>
      </c>
      <c r="B372"/>
      <c r="C372"/>
      <c r="D372"/>
      <c r="E372"/>
      <c r="F372" s="27" t="s">
        <v>7</v>
      </c>
      <c r="AA372" s="27" t="s">
        <v>8</v>
      </c>
    </row>
    <row r="373" spans="1:99" x14ac:dyDescent="0.25">
      <c r="A373" s="30">
        <v>4.1946483690970725E-2</v>
      </c>
      <c r="B373"/>
      <c r="C373"/>
      <c r="D373"/>
      <c r="E373"/>
      <c r="F373" s="27" t="s">
        <v>7</v>
      </c>
      <c r="AA373" s="27" t="s">
        <v>8</v>
      </c>
      <c r="AB373" s="27" t="s">
        <v>7</v>
      </c>
      <c r="AQ373" s="27" t="s">
        <v>8</v>
      </c>
    </row>
    <row r="374" spans="1:99" x14ac:dyDescent="0.25">
      <c r="A374" s="30">
        <v>3.9949032086638768E-2</v>
      </c>
      <c r="B374"/>
      <c r="C374"/>
      <c r="D374"/>
      <c r="E374"/>
      <c r="F374" s="27" t="s">
        <v>7</v>
      </c>
      <c r="AA374" s="27" t="s">
        <v>8</v>
      </c>
      <c r="AB374" s="27" t="s">
        <v>7</v>
      </c>
      <c r="AQ374" s="27" t="s">
        <v>8</v>
      </c>
      <c r="AR374" s="27" t="s">
        <v>7</v>
      </c>
    </row>
    <row r="375" spans="1:99" x14ac:dyDescent="0.25">
      <c r="A375" s="30">
        <v>3.8046697225370241E-2</v>
      </c>
      <c r="B375"/>
      <c r="C375"/>
      <c r="D375"/>
      <c r="E375"/>
      <c r="F375" s="27" t="s">
        <v>7</v>
      </c>
      <c r="AA375" s="27" t="s">
        <v>8</v>
      </c>
      <c r="AB375" s="27" t="s">
        <v>7</v>
      </c>
      <c r="AQ375" s="27" t="s">
        <v>8</v>
      </c>
      <c r="AR375" s="27" t="s">
        <v>7</v>
      </c>
    </row>
    <row r="376" spans="1:99" x14ac:dyDescent="0.25">
      <c r="A376" s="30">
        <v>3.6234949738447833E-2</v>
      </c>
      <c r="B376"/>
      <c r="C376"/>
      <c r="D376"/>
      <c r="E376"/>
      <c r="F376" s="27" t="s">
        <v>7</v>
      </c>
      <c r="AA376" s="27" t="s">
        <v>8</v>
      </c>
      <c r="AB376" s="27" t="s">
        <v>7</v>
      </c>
      <c r="AC376" s="27" t="s">
        <v>8</v>
      </c>
      <c r="AQ376" s="27" t="s">
        <v>8</v>
      </c>
      <c r="AR376" s="27" t="s">
        <v>7</v>
      </c>
    </row>
    <row r="377" spans="1:99" x14ac:dyDescent="0.25">
      <c r="A377" s="30">
        <v>3.4509475941378875E-2</v>
      </c>
      <c r="B377"/>
      <c r="C377"/>
      <c r="D377"/>
      <c r="E377"/>
      <c r="F377" s="27" t="s">
        <v>7</v>
      </c>
      <c r="AA377" s="27" t="s">
        <v>8</v>
      </c>
      <c r="AB377" s="27" t="s">
        <v>7</v>
      </c>
      <c r="AC377" s="27" t="s">
        <v>8</v>
      </c>
      <c r="AD377" s="27" t="s">
        <v>7</v>
      </c>
      <c r="AE377" s="27" t="s">
        <v>8</v>
      </c>
      <c r="AQ377" s="27" t="s">
        <v>8</v>
      </c>
      <c r="AR377" s="27" t="s">
        <v>7</v>
      </c>
      <c r="CM377" s="27" t="s">
        <v>8</v>
      </c>
    </row>
    <row r="378" spans="1:99" x14ac:dyDescent="0.25">
      <c r="A378" s="30">
        <v>3.286616756321796E-2</v>
      </c>
      <c r="B378"/>
      <c r="C378"/>
      <c r="D378"/>
      <c r="E378"/>
      <c r="F378" s="27" t="s">
        <v>7</v>
      </c>
      <c r="AA378" s="27" t="s">
        <v>8</v>
      </c>
      <c r="AB378" s="27" t="s">
        <v>7</v>
      </c>
      <c r="AC378" s="27" t="s">
        <v>8</v>
      </c>
      <c r="AD378" s="27" t="s">
        <v>7</v>
      </c>
      <c r="AE378" s="27" t="s">
        <v>8</v>
      </c>
      <c r="AF378" s="27" t="s">
        <v>7</v>
      </c>
      <c r="AG378" s="27" t="s">
        <v>8</v>
      </c>
      <c r="AQ378" s="27" t="s">
        <v>8</v>
      </c>
      <c r="AR378" s="27" t="s">
        <v>7</v>
      </c>
      <c r="CG378" s="27" t="s">
        <v>8</v>
      </c>
      <c r="CI378" s="27" t="s">
        <v>8</v>
      </c>
      <c r="CM378" s="27" t="s">
        <v>8</v>
      </c>
      <c r="CN378" s="27" t="s">
        <v>7</v>
      </c>
      <c r="CO378" s="27" t="s">
        <v>8</v>
      </c>
    </row>
    <row r="379" spans="1:99" x14ac:dyDescent="0.25">
      <c r="A379" s="30">
        <v>3.1301111964969472E-2</v>
      </c>
      <c r="B379"/>
      <c r="C379"/>
      <c r="D379"/>
      <c r="E379"/>
      <c r="F379" s="27" t="s">
        <v>7</v>
      </c>
      <c r="AA379" s="27" t="s">
        <v>8</v>
      </c>
      <c r="AB379" s="27" t="s">
        <v>7</v>
      </c>
      <c r="AC379" s="27" t="s">
        <v>8</v>
      </c>
      <c r="AD379" s="27" t="s">
        <v>7</v>
      </c>
      <c r="AE379" s="27" t="s">
        <v>8</v>
      </c>
      <c r="AF379" s="27" t="s">
        <v>7</v>
      </c>
      <c r="AG379" s="27" t="s">
        <v>8</v>
      </c>
      <c r="AH379" s="27" t="s">
        <v>7</v>
      </c>
      <c r="AQ379" s="27" t="s">
        <v>8</v>
      </c>
      <c r="AR379" s="27" t="s">
        <v>7</v>
      </c>
      <c r="CG379" s="27" t="s">
        <v>8</v>
      </c>
      <c r="CH379" s="27" t="s">
        <v>7</v>
      </c>
      <c r="CI379" s="27" t="s">
        <v>8</v>
      </c>
      <c r="CJ379" s="27" t="s">
        <v>7</v>
      </c>
      <c r="CK379" s="27" t="s">
        <v>8</v>
      </c>
      <c r="CM379" s="27" t="s">
        <v>8</v>
      </c>
      <c r="CN379" s="27" t="s">
        <v>7</v>
      </c>
      <c r="CO379" s="27" t="s">
        <v>8</v>
      </c>
      <c r="CP379" s="27" t="s">
        <v>7</v>
      </c>
    </row>
    <row r="380" spans="1:99" x14ac:dyDescent="0.25">
      <c r="A380" s="30">
        <v>2.9810582823780438E-2</v>
      </c>
      <c r="B380"/>
      <c r="C380"/>
      <c r="D380"/>
      <c r="E380"/>
      <c r="F380" s="27" t="s">
        <v>7</v>
      </c>
      <c r="AA380" s="27" t="s">
        <v>8</v>
      </c>
      <c r="AB380" s="27" t="s">
        <v>7</v>
      </c>
      <c r="AD380" s="27" t="s">
        <v>7</v>
      </c>
      <c r="AE380" s="27" t="s">
        <v>8</v>
      </c>
      <c r="AF380" s="27" t="s">
        <v>7</v>
      </c>
      <c r="AG380" s="27" t="s">
        <v>8</v>
      </c>
      <c r="AH380" s="27" t="s">
        <v>7</v>
      </c>
      <c r="AO380" s="27" t="s">
        <v>8</v>
      </c>
      <c r="AQ380" s="27" t="s">
        <v>8</v>
      </c>
      <c r="AR380" s="27" t="s">
        <v>7</v>
      </c>
      <c r="CG380" s="27" t="s">
        <v>8</v>
      </c>
      <c r="CH380" s="27" t="s">
        <v>7</v>
      </c>
      <c r="CI380" s="27" t="s">
        <v>8</v>
      </c>
      <c r="CJ380" s="27" t="s">
        <v>7</v>
      </c>
      <c r="CK380" s="27" t="s">
        <v>8</v>
      </c>
      <c r="CL380" s="27" t="s">
        <v>7</v>
      </c>
      <c r="CM380" s="27" t="s">
        <v>8</v>
      </c>
      <c r="CN380" s="27" t="s">
        <v>7</v>
      </c>
      <c r="CO380" s="27" t="s">
        <v>8</v>
      </c>
      <c r="CP380" s="27" t="s">
        <v>7</v>
      </c>
    </row>
    <row r="381" spans="1:99" x14ac:dyDescent="0.25">
      <c r="A381" s="30">
        <v>2.8391031260743264E-2</v>
      </c>
      <c r="B381"/>
      <c r="C381"/>
      <c r="D381"/>
      <c r="E381"/>
      <c r="F381" s="27" t="s">
        <v>7</v>
      </c>
      <c r="Y381" s="27" t="s">
        <v>8</v>
      </c>
      <c r="AA381" s="27" t="s">
        <v>8</v>
      </c>
      <c r="AD381" s="27" t="s">
        <v>7</v>
      </c>
      <c r="AE381" s="27" t="s">
        <v>8</v>
      </c>
      <c r="AF381" s="27" t="s">
        <v>7</v>
      </c>
      <c r="AH381" s="27" t="s">
        <v>7</v>
      </c>
      <c r="AI381" s="27" t="s">
        <v>8</v>
      </c>
      <c r="AM381" s="27" t="s">
        <v>8</v>
      </c>
      <c r="AO381" s="27" t="s">
        <v>8</v>
      </c>
      <c r="AP381" s="27" t="s">
        <v>7</v>
      </c>
      <c r="AQ381" s="27" t="s">
        <v>8</v>
      </c>
      <c r="AR381" s="27" t="s">
        <v>7</v>
      </c>
      <c r="AU381" s="27" t="s">
        <v>8</v>
      </c>
      <c r="CG381" s="27" t="s">
        <v>8</v>
      </c>
      <c r="CH381" s="27" t="s">
        <v>7</v>
      </c>
      <c r="CI381" s="27" t="s">
        <v>8</v>
      </c>
      <c r="CJ381" s="27" t="s">
        <v>7</v>
      </c>
      <c r="CK381" s="27" t="s">
        <v>8</v>
      </c>
      <c r="CL381" s="27" t="s">
        <v>7</v>
      </c>
      <c r="CM381" s="27" t="s">
        <v>8</v>
      </c>
      <c r="CN381" s="27" t="s">
        <v>7</v>
      </c>
      <c r="CP381" s="27" t="s">
        <v>7</v>
      </c>
    </row>
    <row r="382" spans="1:99" x14ac:dyDescent="0.25">
      <c r="A382" s="30">
        <v>2.7039077391184052E-2</v>
      </c>
      <c r="F382" s="27" t="s">
        <v>7</v>
      </c>
      <c r="Y382" s="27" t="s">
        <v>8</v>
      </c>
      <c r="Z382" s="27" t="s">
        <v>7</v>
      </c>
      <c r="AA382" s="27" t="s">
        <v>8</v>
      </c>
      <c r="AD382" s="27" t="s">
        <v>7</v>
      </c>
      <c r="AH382" s="27" t="s">
        <v>7</v>
      </c>
      <c r="AI382" s="27" t="s">
        <v>8</v>
      </c>
      <c r="AJ382" s="27" t="s">
        <v>7</v>
      </c>
      <c r="AM382" s="27" t="s">
        <v>8</v>
      </c>
      <c r="AN382" s="27" t="s">
        <v>7</v>
      </c>
      <c r="AO382" s="27" t="s">
        <v>8</v>
      </c>
      <c r="AP382" s="27" t="s">
        <v>7</v>
      </c>
      <c r="AQ382" s="27" t="s">
        <v>8</v>
      </c>
      <c r="AR382" s="27" t="s">
        <v>7</v>
      </c>
      <c r="AS382" s="27" t="s">
        <v>8</v>
      </c>
      <c r="AU382" s="27" t="s">
        <v>8</v>
      </c>
      <c r="AV382" s="27" t="s">
        <v>7</v>
      </c>
      <c r="CG382" s="27" t="s">
        <v>8</v>
      </c>
      <c r="CH382" s="27" t="s">
        <v>7</v>
      </c>
      <c r="CI382" s="27" t="s">
        <v>8</v>
      </c>
      <c r="CJ382" s="27" t="s">
        <v>7</v>
      </c>
      <c r="CL382" s="27" t="s">
        <v>7</v>
      </c>
      <c r="CM382" s="27" t="s">
        <v>8</v>
      </c>
      <c r="CP382" s="27" t="s">
        <v>7</v>
      </c>
      <c r="CS382" s="27" t="s">
        <v>8</v>
      </c>
    </row>
    <row r="383" spans="1:99" x14ac:dyDescent="0.25">
      <c r="A383" s="30">
        <v>2.5751502277318133E-2</v>
      </c>
      <c r="F383" s="27" t="s">
        <v>7</v>
      </c>
      <c r="Y383" s="27" t="s">
        <v>8</v>
      </c>
      <c r="Z383" s="27" t="s">
        <v>7</v>
      </c>
      <c r="AA383" s="27" t="s">
        <v>8</v>
      </c>
      <c r="AH383" s="27" t="s">
        <v>7</v>
      </c>
      <c r="AI383" s="27" t="s">
        <v>8</v>
      </c>
      <c r="AJ383" s="27" t="s">
        <v>7</v>
      </c>
      <c r="AM383" s="27" t="s">
        <v>8</v>
      </c>
      <c r="AN383" s="27" t="s">
        <v>7</v>
      </c>
      <c r="AO383" s="27" t="s">
        <v>8</v>
      </c>
      <c r="AP383" s="27" t="s">
        <v>7</v>
      </c>
      <c r="AQ383" s="27" t="s">
        <v>8</v>
      </c>
      <c r="AR383" s="27" t="s">
        <v>7</v>
      </c>
      <c r="AS383" s="27" t="s">
        <v>8</v>
      </c>
      <c r="AT383" s="27" t="s">
        <v>7</v>
      </c>
      <c r="AU383" s="27" t="s">
        <v>8</v>
      </c>
      <c r="AV383" s="27" t="s">
        <v>7</v>
      </c>
      <c r="CG383" s="27" t="s">
        <v>8</v>
      </c>
      <c r="CH383" s="27" t="s">
        <v>7</v>
      </c>
      <c r="CL383" s="27" t="s">
        <v>7</v>
      </c>
      <c r="CM383" s="27" t="s">
        <v>8</v>
      </c>
      <c r="CP383" s="27" t="s">
        <v>7</v>
      </c>
      <c r="CQ383" s="27" t="s">
        <v>8</v>
      </c>
      <c r="CS383" s="27" t="s">
        <v>8</v>
      </c>
      <c r="CT383" s="27" t="s">
        <v>7</v>
      </c>
    </row>
    <row r="384" spans="1:99" x14ac:dyDescent="0.25">
      <c r="A384" s="30">
        <v>2.4525240264112496E-2</v>
      </c>
      <c r="F384" s="27" t="s">
        <v>7</v>
      </c>
      <c r="Y384" s="27" t="s">
        <v>8</v>
      </c>
      <c r="Z384" s="27" t="s">
        <v>7</v>
      </c>
      <c r="AA384" s="27" t="s">
        <v>8</v>
      </c>
      <c r="AH384" s="27" t="s">
        <v>7</v>
      </c>
      <c r="AJ384" s="27" t="s">
        <v>7</v>
      </c>
      <c r="AM384" s="27" t="s">
        <v>8</v>
      </c>
      <c r="AN384" s="27" t="s">
        <v>7</v>
      </c>
      <c r="AO384" s="27" t="s">
        <v>8</v>
      </c>
      <c r="AP384" s="27" t="s">
        <v>7</v>
      </c>
      <c r="AQ384" s="27" t="s">
        <v>8</v>
      </c>
      <c r="AR384" s="27" t="s">
        <v>7</v>
      </c>
      <c r="AS384" s="27" t="s">
        <v>8</v>
      </c>
      <c r="AT384" s="27" t="s">
        <v>7</v>
      </c>
      <c r="AU384" s="27" t="s">
        <v>8</v>
      </c>
      <c r="AV384" s="27" t="s">
        <v>7</v>
      </c>
      <c r="BE384" s="27" t="s">
        <v>8</v>
      </c>
      <c r="CC384" s="27" t="s">
        <v>8</v>
      </c>
      <c r="CG384" s="27" t="s">
        <v>8</v>
      </c>
      <c r="CL384" s="27" t="s">
        <v>7</v>
      </c>
      <c r="CM384" s="27" t="s">
        <v>8</v>
      </c>
      <c r="CP384" s="27" t="s">
        <v>7</v>
      </c>
      <c r="CQ384" s="27" t="s">
        <v>8</v>
      </c>
      <c r="CR384" s="27" t="s">
        <v>7</v>
      </c>
      <c r="CS384" s="27" t="s">
        <v>8</v>
      </c>
      <c r="CT384" s="27" t="s">
        <v>7</v>
      </c>
      <c r="CU384" s="27" t="s">
        <v>8</v>
      </c>
    </row>
    <row r="385" spans="1:104" x14ac:dyDescent="0.25">
      <c r="A385" s="30">
        <v>2.3357371680107129E-2</v>
      </c>
      <c r="F385" s="27" t="s">
        <v>7</v>
      </c>
      <c r="W385" s="27" t="s">
        <v>8</v>
      </c>
      <c r="Y385" s="27" t="s">
        <v>8</v>
      </c>
      <c r="Z385" s="27" t="s">
        <v>7</v>
      </c>
      <c r="AA385" s="27" t="s">
        <v>8</v>
      </c>
      <c r="AJ385" s="27" t="s">
        <v>7</v>
      </c>
      <c r="AK385" s="27" t="s">
        <v>8</v>
      </c>
      <c r="AM385" s="27" t="s">
        <v>8</v>
      </c>
      <c r="AN385" s="27" t="s">
        <v>7</v>
      </c>
      <c r="AP385" s="27" t="s">
        <v>7</v>
      </c>
      <c r="AR385" s="27" t="s">
        <v>7</v>
      </c>
      <c r="AS385" s="27" t="s">
        <v>8</v>
      </c>
      <c r="AT385" s="27" t="s">
        <v>7</v>
      </c>
      <c r="AU385" s="27" t="s">
        <v>8</v>
      </c>
      <c r="AV385" s="27" t="s">
        <v>7</v>
      </c>
      <c r="BC385" s="27" t="s">
        <v>8</v>
      </c>
      <c r="BE385" s="27" t="s">
        <v>8</v>
      </c>
      <c r="BF385" s="27" t="s">
        <v>7</v>
      </c>
      <c r="CC385" s="27" t="s">
        <v>8</v>
      </c>
      <c r="CD385" s="27" t="s">
        <v>7</v>
      </c>
      <c r="CE385" s="27" t="s">
        <v>8</v>
      </c>
      <c r="CG385" s="27" t="s">
        <v>8</v>
      </c>
      <c r="CL385" s="27" t="s">
        <v>7</v>
      </c>
      <c r="CM385" s="27" t="s">
        <v>8</v>
      </c>
      <c r="CP385" s="27" t="s">
        <v>7</v>
      </c>
      <c r="CQ385" s="27" t="s">
        <v>8</v>
      </c>
      <c r="CR385" s="27" t="s">
        <v>7</v>
      </c>
      <c r="CS385" s="27" t="s">
        <v>8</v>
      </c>
      <c r="CT385" s="27" t="s">
        <v>7</v>
      </c>
      <c r="CU385" s="27" t="s">
        <v>8</v>
      </c>
      <c r="CV385" s="27" t="s">
        <v>7</v>
      </c>
    </row>
    <row r="386" spans="1:104" x14ac:dyDescent="0.25">
      <c r="A386" s="30">
        <v>2.2245115885816305E-2</v>
      </c>
      <c r="F386" s="27" t="s">
        <v>7</v>
      </c>
      <c r="W386" s="27" t="s">
        <v>8</v>
      </c>
      <c r="X386" s="27" t="s">
        <v>7</v>
      </c>
      <c r="Y386" s="27" t="s">
        <v>8</v>
      </c>
      <c r="Z386" s="27" t="s">
        <v>7</v>
      </c>
      <c r="AA386" s="27" t="s">
        <v>8</v>
      </c>
      <c r="AJ386" s="27" t="s">
        <v>7</v>
      </c>
      <c r="AK386" s="27" t="s">
        <v>8</v>
      </c>
      <c r="AL386" s="27" t="s">
        <v>7</v>
      </c>
      <c r="AM386" s="27" t="s">
        <v>8</v>
      </c>
      <c r="AR386" s="27" t="s">
        <v>7</v>
      </c>
      <c r="AT386" s="27" t="s">
        <v>7</v>
      </c>
      <c r="AU386" s="27" t="s">
        <v>8</v>
      </c>
      <c r="AV386" s="27" t="s">
        <v>7</v>
      </c>
      <c r="BC386" s="27" t="s">
        <v>8</v>
      </c>
      <c r="BD386" s="27" t="s">
        <v>7</v>
      </c>
      <c r="BE386" s="27" t="s">
        <v>8</v>
      </c>
      <c r="BF386" s="27" t="s">
        <v>7</v>
      </c>
      <c r="BS386" s="27" t="s">
        <v>8</v>
      </c>
      <c r="CC386" s="27" t="s">
        <v>8</v>
      </c>
      <c r="CD386" s="27" t="s">
        <v>7</v>
      </c>
      <c r="CE386" s="27" t="s">
        <v>8</v>
      </c>
      <c r="CF386" s="27" t="s">
        <v>7</v>
      </c>
      <c r="CG386" s="27" t="s">
        <v>8</v>
      </c>
      <c r="CL386" s="27" t="s">
        <v>7</v>
      </c>
      <c r="CP386" s="27" t="s">
        <v>7</v>
      </c>
      <c r="CQ386" s="27" t="s">
        <v>8</v>
      </c>
      <c r="CR386" s="27" t="s">
        <v>7</v>
      </c>
      <c r="CS386" s="27" t="s">
        <v>8</v>
      </c>
      <c r="CT386" s="27" t="s">
        <v>7</v>
      </c>
      <c r="CU386" s="27" t="s">
        <v>8</v>
      </c>
      <c r="CV386" s="27" t="s">
        <v>7</v>
      </c>
    </row>
    <row r="387" spans="1:104" x14ac:dyDescent="0.25">
      <c r="A387" s="30">
        <v>2.1185824653158377E-2</v>
      </c>
      <c r="F387" s="27" t="s">
        <v>7</v>
      </c>
      <c r="W387" s="27" t="s">
        <v>8</v>
      </c>
      <c r="X387" s="27" t="s">
        <v>7</v>
      </c>
      <c r="Y387" s="27" t="s">
        <v>8</v>
      </c>
      <c r="Z387" s="27" t="s">
        <v>7</v>
      </c>
      <c r="AA387" s="27" t="s">
        <v>8</v>
      </c>
      <c r="AJ387" s="27" t="s">
        <v>7</v>
      </c>
      <c r="AK387" s="27" t="s">
        <v>8</v>
      </c>
      <c r="AL387" s="27" t="s">
        <v>7</v>
      </c>
      <c r="AM387" s="27" t="s">
        <v>8</v>
      </c>
      <c r="AT387" s="27" t="s">
        <v>7</v>
      </c>
      <c r="AU387" s="27" t="s">
        <v>8</v>
      </c>
      <c r="AV387" s="27" t="s">
        <v>7</v>
      </c>
      <c r="BC387" s="27" t="s">
        <v>8</v>
      </c>
      <c r="BD387" s="27" t="s">
        <v>7</v>
      </c>
      <c r="BE387" s="27" t="s">
        <v>8</v>
      </c>
      <c r="BF387" s="27" t="s">
        <v>7</v>
      </c>
      <c r="BG387" s="27" t="s">
        <v>8</v>
      </c>
      <c r="BS387" s="27" t="s">
        <v>8</v>
      </c>
      <c r="BT387" s="27" t="s">
        <v>7</v>
      </c>
      <c r="CC387" s="27" t="s">
        <v>8</v>
      </c>
      <c r="CD387" s="27" t="s">
        <v>7</v>
      </c>
      <c r="CE387" s="27" t="s">
        <v>8</v>
      </c>
      <c r="CF387" s="27" t="s">
        <v>7</v>
      </c>
      <c r="CG387" s="27" t="s">
        <v>8</v>
      </c>
      <c r="CP387" s="27" t="s">
        <v>7</v>
      </c>
      <c r="CR387" s="27" t="s">
        <v>7</v>
      </c>
      <c r="CS387" s="27" t="s">
        <v>8</v>
      </c>
      <c r="CT387" s="27" t="s">
        <v>7</v>
      </c>
      <c r="CU387" s="27" t="s">
        <v>8</v>
      </c>
      <c r="CV387" s="27" t="s">
        <v>7</v>
      </c>
      <c r="CW387" s="27" t="s">
        <v>8</v>
      </c>
    </row>
    <row r="388" spans="1:104" x14ac:dyDescent="0.25">
      <c r="A388" s="30">
        <v>2.0176975860150829E-2</v>
      </c>
      <c r="F388" s="27" t="s">
        <v>7</v>
      </c>
      <c r="W388" s="27" t="s">
        <v>8</v>
      </c>
      <c r="X388" s="27" t="s">
        <v>7</v>
      </c>
      <c r="Y388" s="27" t="s">
        <v>8</v>
      </c>
      <c r="Z388" s="27" t="s">
        <v>7</v>
      </c>
      <c r="AA388" s="27" t="s">
        <v>8</v>
      </c>
      <c r="AJ388" s="27" t="s">
        <v>7</v>
      </c>
      <c r="AK388" s="27" t="s">
        <v>8</v>
      </c>
      <c r="AL388" s="27" t="s">
        <v>7</v>
      </c>
      <c r="AM388" s="27" t="s">
        <v>8</v>
      </c>
      <c r="AT388" s="27" t="s">
        <v>7</v>
      </c>
      <c r="AV388" s="27" t="s">
        <v>7</v>
      </c>
      <c r="BC388" s="27" t="s">
        <v>8</v>
      </c>
      <c r="BD388" s="27" t="s">
        <v>7</v>
      </c>
      <c r="BE388" s="27" t="s">
        <v>8</v>
      </c>
      <c r="BF388" s="27" t="s">
        <v>7</v>
      </c>
      <c r="BG388" s="27" t="s">
        <v>8</v>
      </c>
      <c r="BH388" s="27" t="s">
        <v>7</v>
      </c>
      <c r="BS388" s="27" t="s">
        <v>8</v>
      </c>
      <c r="BT388" s="27" t="s">
        <v>7</v>
      </c>
      <c r="CC388" s="27" t="s">
        <v>8</v>
      </c>
      <c r="CD388" s="27" t="s">
        <v>7</v>
      </c>
      <c r="CE388" s="27" t="s">
        <v>8</v>
      </c>
      <c r="CF388" s="27" t="s">
        <v>7</v>
      </c>
      <c r="CG388" s="27" t="s">
        <v>8</v>
      </c>
      <c r="CR388" s="27" t="s">
        <v>7</v>
      </c>
      <c r="CT388" s="27" t="s">
        <v>7</v>
      </c>
      <c r="CU388" s="27" t="s">
        <v>8</v>
      </c>
      <c r="CV388" s="27" t="s">
        <v>7</v>
      </c>
      <c r="CW388" s="27" t="s">
        <v>8</v>
      </c>
      <c r="CX388" s="27" t="s">
        <v>7</v>
      </c>
    </row>
    <row r="389" spans="1:104" x14ac:dyDescent="0.25">
      <c r="A389" s="30">
        <v>1.9216167485857926E-2</v>
      </c>
      <c r="F389" s="27" t="s">
        <v>7</v>
      </c>
      <c r="W389" s="27" t="s">
        <v>8</v>
      </c>
      <c r="X389" s="27" t="s">
        <v>7</v>
      </c>
      <c r="Z389" s="27" t="s">
        <v>7</v>
      </c>
      <c r="AJ389" s="27" t="s">
        <v>7</v>
      </c>
      <c r="AK389" s="27" t="s">
        <v>8</v>
      </c>
      <c r="AL389" s="27" t="s">
        <v>7</v>
      </c>
      <c r="AV389" s="27" t="s">
        <v>7</v>
      </c>
      <c r="BC389" s="27" t="s">
        <v>8</v>
      </c>
      <c r="BD389" s="27" t="s">
        <v>7</v>
      </c>
      <c r="BE389" s="27" t="s">
        <v>8</v>
      </c>
      <c r="BF389" s="27" t="s">
        <v>7</v>
      </c>
      <c r="BG389" s="27" t="s">
        <v>8</v>
      </c>
      <c r="BH389" s="27" t="s">
        <v>7</v>
      </c>
      <c r="BI389" s="27" t="s">
        <v>8</v>
      </c>
      <c r="BS389" s="27" t="s">
        <v>8</v>
      </c>
      <c r="BT389" s="27" t="s">
        <v>7</v>
      </c>
      <c r="CC389" s="27" t="s">
        <v>8</v>
      </c>
      <c r="CD389" s="27" t="s">
        <v>7</v>
      </c>
      <c r="CF389" s="27" t="s">
        <v>7</v>
      </c>
      <c r="CT389" s="27" t="s">
        <v>7</v>
      </c>
      <c r="CU389" s="27" t="s">
        <v>8</v>
      </c>
      <c r="CV389" s="27" t="s">
        <v>7</v>
      </c>
      <c r="CW389" s="27" t="s">
        <v>8</v>
      </c>
      <c r="CX389" s="27" t="s">
        <v>7</v>
      </c>
    </row>
    <row r="390" spans="1:104" x14ac:dyDescent="0.25">
      <c r="A390" s="30">
        <v>1.8301111891293256E-2</v>
      </c>
      <c r="F390" s="27" t="s">
        <v>7</v>
      </c>
      <c r="W390" s="27" t="s">
        <v>8</v>
      </c>
      <c r="AJ390" s="27" t="s">
        <v>7</v>
      </c>
      <c r="AK390" s="27" t="s">
        <v>8</v>
      </c>
      <c r="AV390" s="27" t="s">
        <v>7</v>
      </c>
      <c r="BC390" s="27" t="s">
        <v>8</v>
      </c>
      <c r="BD390" s="27" t="s">
        <v>7</v>
      </c>
      <c r="BE390" s="27" t="s">
        <v>8</v>
      </c>
      <c r="BF390" s="27" t="s">
        <v>7</v>
      </c>
      <c r="BG390" s="27" t="s">
        <v>8</v>
      </c>
      <c r="BH390" s="27" t="s">
        <v>7</v>
      </c>
      <c r="BI390" s="27" t="s">
        <v>8</v>
      </c>
      <c r="BJ390" s="27" t="s">
        <v>7</v>
      </c>
      <c r="BO390" s="27" t="s">
        <v>8</v>
      </c>
      <c r="BQ390" s="27" t="s">
        <v>8</v>
      </c>
      <c r="BS390" s="27" t="s">
        <v>8</v>
      </c>
      <c r="BT390" s="27" t="s">
        <v>7</v>
      </c>
      <c r="BU390" s="27" t="s">
        <v>8</v>
      </c>
      <c r="CC390" s="27" t="s">
        <v>8</v>
      </c>
      <c r="CT390" s="27" t="s">
        <v>7</v>
      </c>
      <c r="CV390" s="27" t="s">
        <v>7</v>
      </c>
      <c r="CX390" s="27" t="s">
        <v>7</v>
      </c>
    </row>
    <row r="391" spans="1:104" x14ac:dyDescent="0.25">
      <c r="A391" s="30">
        <v>1.7429630372660238E-2</v>
      </c>
      <c r="F391" s="27" t="s">
        <v>7</v>
      </c>
      <c r="O391" s="27" t="s">
        <v>8</v>
      </c>
      <c r="W391" s="27" t="s">
        <v>8</v>
      </c>
      <c r="AJ391" s="27" t="s">
        <v>7</v>
      </c>
      <c r="AK391" s="27" t="s">
        <v>8</v>
      </c>
      <c r="AV391" s="27" t="s">
        <v>7</v>
      </c>
      <c r="BC391" s="27" t="s">
        <v>8</v>
      </c>
      <c r="BD391" s="27" t="s">
        <v>7</v>
      </c>
      <c r="BF391" s="27" t="s">
        <v>7</v>
      </c>
      <c r="BG391" s="27" t="s">
        <v>8</v>
      </c>
      <c r="BH391" s="27" t="s">
        <v>7</v>
      </c>
      <c r="BI391" s="27" t="s">
        <v>8</v>
      </c>
      <c r="BJ391" s="27" t="s">
        <v>7</v>
      </c>
      <c r="BO391" s="27" t="s">
        <v>8</v>
      </c>
      <c r="BP391" s="27" t="s">
        <v>7</v>
      </c>
      <c r="BQ391" s="27" t="s">
        <v>8</v>
      </c>
      <c r="BR391" s="27" t="s">
        <v>7</v>
      </c>
      <c r="BS391" s="27" t="s">
        <v>8</v>
      </c>
      <c r="BT391" s="27" t="s">
        <v>7</v>
      </c>
      <c r="BU391" s="27" t="s">
        <v>8</v>
      </c>
      <c r="BV391" s="27" t="s">
        <v>7</v>
      </c>
      <c r="CC391" s="27" t="s">
        <v>8</v>
      </c>
      <c r="CX391" s="27" t="s">
        <v>7</v>
      </c>
      <c r="CY391" s="27" t="s">
        <v>8</v>
      </c>
    </row>
    <row r="392" spans="1:104" x14ac:dyDescent="0.25">
      <c r="A392" s="30">
        <v>1.6599647973962125E-2</v>
      </c>
      <c r="F392" s="27" t="s">
        <v>7</v>
      </c>
      <c r="O392" s="27" t="s">
        <v>8</v>
      </c>
      <c r="P392" s="27" t="s">
        <v>7</v>
      </c>
      <c r="S392" s="27" t="s">
        <v>8</v>
      </c>
      <c r="U392" s="27" t="s">
        <v>8</v>
      </c>
      <c r="W392" s="27" t="s">
        <v>8</v>
      </c>
      <c r="AJ392" s="27" t="s">
        <v>7</v>
      </c>
      <c r="AK392" s="27" t="s">
        <v>8</v>
      </c>
      <c r="AV392" s="27" t="s">
        <v>7</v>
      </c>
      <c r="BA392" s="27" t="s">
        <v>8</v>
      </c>
      <c r="BC392" s="27" t="s">
        <v>8</v>
      </c>
      <c r="BF392" s="27" t="s">
        <v>7</v>
      </c>
      <c r="BG392" s="27" t="s">
        <v>8</v>
      </c>
      <c r="BH392" s="27" t="s">
        <v>7</v>
      </c>
      <c r="BJ392" s="27" t="s">
        <v>7</v>
      </c>
      <c r="BO392" s="27" t="s">
        <v>8</v>
      </c>
      <c r="BP392" s="27" t="s">
        <v>7</v>
      </c>
      <c r="BQ392" s="27" t="s">
        <v>8</v>
      </c>
      <c r="BR392" s="27" t="s">
        <v>7</v>
      </c>
      <c r="BS392" s="27" t="s">
        <v>8</v>
      </c>
      <c r="BT392" s="27" t="s">
        <v>7</v>
      </c>
      <c r="BU392" s="27" t="s">
        <v>8</v>
      </c>
      <c r="BV392" s="27" t="s">
        <v>7</v>
      </c>
      <c r="CA392" s="27" t="s">
        <v>8</v>
      </c>
      <c r="CC392" s="27" t="s">
        <v>8</v>
      </c>
      <c r="CX392" s="27" t="s">
        <v>7</v>
      </c>
      <c r="CY392" s="27" t="s">
        <v>8</v>
      </c>
      <c r="CZ392" s="27" t="s">
        <v>7</v>
      </c>
    </row>
    <row r="393" spans="1:104" x14ac:dyDescent="0.25">
      <c r="A393" s="30">
        <v>1.580918854663059E-2</v>
      </c>
      <c r="F393" s="27" t="s">
        <v>7</v>
      </c>
      <c r="O393" s="27" t="s">
        <v>8</v>
      </c>
      <c r="P393" s="27" t="s">
        <v>7</v>
      </c>
      <c r="S393" s="27" t="s">
        <v>8</v>
      </c>
      <c r="T393" s="27" t="s">
        <v>7</v>
      </c>
      <c r="U393" s="27" t="s">
        <v>8</v>
      </c>
      <c r="V393" s="27" t="s">
        <v>7</v>
      </c>
      <c r="W393" s="27" t="s">
        <v>8</v>
      </c>
      <c r="AJ393" s="27" t="s">
        <v>7</v>
      </c>
      <c r="AV393" s="27" t="s">
        <v>7</v>
      </c>
      <c r="AW393" s="27" t="s">
        <v>8</v>
      </c>
      <c r="AY393" s="27" t="s">
        <v>8</v>
      </c>
      <c r="BA393" s="27" t="s">
        <v>8</v>
      </c>
      <c r="BB393" s="27" t="s">
        <v>7</v>
      </c>
      <c r="BC393" s="27" t="s">
        <v>8</v>
      </c>
      <c r="BF393" s="27" t="s">
        <v>7</v>
      </c>
      <c r="BJ393" s="27" t="s">
        <v>7</v>
      </c>
      <c r="BM393" s="27" t="s">
        <v>8</v>
      </c>
      <c r="BO393" s="27" t="s">
        <v>8</v>
      </c>
      <c r="BP393" s="27" t="s">
        <v>7</v>
      </c>
      <c r="BQ393" s="27" t="s">
        <v>8</v>
      </c>
      <c r="BR393" s="27" t="s">
        <v>7</v>
      </c>
      <c r="BS393" s="27" t="s">
        <v>8</v>
      </c>
      <c r="BT393" s="27" t="s">
        <v>7</v>
      </c>
      <c r="BU393" s="27" t="s">
        <v>8</v>
      </c>
      <c r="BV393" s="27" t="s">
        <v>7</v>
      </c>
      <c r="CA393" s="27" t="s">
        <v>8</v>
      </c>
      <c r="CB393" s="27" t="s">
        <v>7</v>
      </c>
      <c r="CC393" s="27" t="s">
        <v>8</v>
      </c>
      <c r="CX393" s="27" t="s">
        <v>7</v>
      </c>
      <c r="CY393" s="27" t="s">
        <v>8</v>
      </c>
      <c r="CZ393" s="27" t="s">
        <v>7</v>
      </c>
    </row>
    <row r="394" spans="1:104" x14ac:dyDescent="0.25">
      <c r="A394" s="30">
        <v>1.5056370044410079E-2</v>
      </c>
      <c r="F394" s="27" t="s">
        <v>7</v>
      </c>
      <c r="O394" s="27" t="s">
        <v>8</v>
      </c>
      <c r="P394" s="27" t="s">
        <v>7</v>
      </c>
      <c r="S394" s="27" t="s">
        <v>8</v>
      </c>
      <c r="T394" s="27" t="s">
        <v>7</v>
      </c>
      <c r="U394" s="27" t="s">
        <v>8</v>
      </c>
      <c r="V394" s="27" t="s">
        <v>7</v>
      </c>
      <c r="W394" s="27" t="s">
        <v>8</v>
      </c>
      <c r="AV394" s="27" t="s">
        <v>7</v>
      </c>
      <c r="AW394" s="27" t="s">
        <v>8</v>
      </c>
      <c r="AX394" s="27" t="s">
        <v>7</v>
      </c>
      <c r="AY394" s="27" t="s">
        <v>8</v>
      </c>
      <c r="AZ394" s="27" t="s">
        <v>7</v>
      </c>
      <c r="BA394" s="27" t="s">
        <v>8</v>
      </c>
      <c r="BB394" s="27" t="s">
        <v>7</v>
      </c>
      <c r="BC394" s="27" t="s">
        <v>8</v>
      </c>
      <c r="BJ394" s="27" t="s">
        <v>7</v>
      </c>
      <c r="BM394" s="27" t="s">
        <v>8</v>
      </c>
      <c r="BN394" s="27" t="s">
        <v>7</v>
      </c>
      <c r="BO394" s="27" t="s">
        <v>8</v>
      </c>
      <c r="BP394" s="27" t="s">
        <v>7</v>
      </c>
      <c r="BQ394" s="27" t="s">
        <v>8</v>
      </c>
      <c r="BR394" s="27" t="s">
        <v>7</v>
      </c>
      <c r="BS394" s="27" t="s">
        <v>8</v>
      </c>
      <c r="BT394" s="27" t="s">
        <v>7</v>
      </c>
      <c r="BV394" s="27" t="s">
        <v>7</v>
      </c>
      <c r="CA394" s="27" t="s">
        <v>8</v>
      </c>
      <c r="CB394" s="27" t="s">
        <v>7</v>
      </c>
      <c r="CC394" s="27" t="s">
        <v>8</v>
      </c>
      <c r="CX394" s="27" t="s">
        <v>7</v>
      </c>
      <c r="CY394" s="27" t="s">
        <v>8</v>
      </c>
      <c r="CZ394" s="27" t="s">
        <v>7</v>
      </c>
    </row>
    <row r="395" spans="1:104" x14ac:dyDescent="0.25">
      <c r="A395" s="30">
        <v>1.4339400042295308E-2</v>
      </c>
      <c r="F395" s="27" t="s">
        <v>7</v>
      </c>
      <c r="O395" s="27" t="s">
        <v>8</v>
      </c>
      <c r="P395" s="27" t="s">
        <v>7</v>
      </c>
      <c r="S395" s="27" t="s">
        <v>8</v>
      </c>
      <c r="T395" s="27" t="s">
        <v>7</v>
      </c>
      <c r="U395" s="27" t="s">
        <v>8</v>
      </c>
      <c r="V395" s="27" t="s">
        <v>7</v>
      </c>
      <c r="AV395" s="27" t="s">
        <v>7</v>
      </c>
      <c r="AW395" s="27" t="s">
        <v>8</v>
      </c>
      <c r="AX395" s="27" t="s">
        <v>7</v>
      </c>
      <c r="AY395" s="27" t="s">
        <v>8</v>
      </c>
      <c r="AZ395" s="27" t="s">
        <v>7</v>
      </c>
      <c r="BA395" s="27" t="s">
        <v>8</v>
      </c>
      <c r="BB395" s="27" t="s">
        <v>7</v>
      </c>
      <c r="BC395" s="27" t="s">
        <v>8</v>
      </c>
      <c r="BJ395" s="27" t="s">
        <v>7</v>
      </c>
      <c r="BM395" s="27" t="s">
        <v>8</v>
      </c>
      <c r="BN395" s="27" t="s">
        <v>7</v>
      </c>
      <c r="BO395" s="27" t="s">
        <v>8</v>
      </c>
      <c r="BP395" s="27" t="s">
        <v>7</v>
      </c>
      <c r="BR395" s="27" t="s">
        <v>7</v>
      </c>
      <c r="BS395" s="27" t="s">
        <v>8</v>
      </c>
      <c r="BV395" s="27" t="s">
        <v>7</v>
      </c>
      <c r="BW395" s="27" t="s">
        <v>8</v>
      </c>
      <c r="BY395" s="27" t="s">
        <v>8</v>
      </c>
      <c r="CA395" s="27" t="s">
        <v>8</v>
      </c>
      <c r="CB395" s="27" t="s">
        <v>7</v>
      </c>
      <c r="CC395" s="27" t="s">
        <v>8</v>
      </c>
      <c r="CX395" s="27" t="s">
        <v>7</v>
      </c>
      <c r="CY395" s="27" t="s">
        <v>8</v>
      </c>
    </row>
    <row r="396" spans="1:104" x14ac:dyDescent="0.25">
      <c r="A396" s="30">
        <v>1.365657146885267E-2</v>
      </c>
      <c r="F396" s="27" t="s">
        <v>7</v>
      </c>
      <c r="O396" s="27" t="s">
        <v>8</v>
      </c>
      <c r="P396" s="27" t="s">
        <v>7</v>
      </c>
      <c r="S396" s="27" t="s">
        <v>8</v>
      </c>
      <c r="T396" s="27" t="s">
        <v>7</v>
      </c>
      <c r="AV396" s="27" t="s">
        <v>7</v>
      </c>
      <c r="AX396" s="27" t="s">
        <v>7</v>
      </c>
      <c r="AY396" s="27" t="s">
        <v>8</v>
      </c>
      <c r="AZ396" s="27" t="s">
        <v>7</v>
      </c>
      <c r="BB396" s="27" t="s">
        <v>7</v>
      </c>
      <c r="BJ396" s="27" t="s">
        <v>7</v>
      </c>
      <c r="BM396" s="27" t="s">
        <v>8</v>
      </c>
      <c r="BN396" s="27" t="s">
        <v>7</v>
      </c>
      <c r="BO396" s="27" t="s">
        <v>8</v>
      </c>
      <c r="BR396" s="27" t="s">
        <v>7</v>
      </c>
      <c r="BV396" s="27" t="s">
        <v>7</v>
      </c>
      <c r="BW396" s="27" t="s">
        <v>8</v>
      </c>
      <c r="BX396" s="27" t="s">
        <v>7</v>
      </c>
      <c r="BY396" s="27" t="s">
        <v>8</v>
      </c>
      <c r="BZ396" s="27" t="s">
        <v>7</v>
      </c>
      <c r="CA396" s="27" t="s">
        <v>8</v>
      </c>
      <c r="CB396" s="27" t="s">
        <v>7</v>
      </c>
      <c r="CX396" s="27" t="s">
        <v>7</v>
      </c>
      <c r="CY396" s="27" t="s">
        <v>8</v>
      </c>
    </row>
    <row r="397" spans="1:104" x14ac:dyDescent="0.25">
      <c r="A397" s="30">
        <v>1.3006258541764442E-2</v>
      </c>
      <c r="F397" s="27" t="s">
        <v>7</v>
      </c>
      <c r="O397" s="27" t="s">
        <v>8</v>
      </c>
      <c r="P397" s="27" t="s">
        <v>7</v>
      </c>
      <c r="S397" s="27" t="s">
        <v>8</v>
      </c>
      <c r="AX397" s="27" t="s">
        <v>7</v>
      </c>
      <c r="AY397" s="27" t="s">
        <v>8</v>
      </c>
      <c r="BJ397" s="27" t="s">
        <v>7</v>
      </c>
      <c r="BK397" s="27" t="s">
        <v>8</v>
      </c>
      <c r="BM397" s="27" t="s">
        <v>8</v>
      </c>
      <c r="BN397" s="27" t="s">
        <v>7</v>
      </c>
      <c r="BV397" s="27" t="s">
        <v>7</v>
      </c>
      <c r="BW397" s="27" t="s">
        <v>8</v>
      </c>
      <c r="BX397" s="27" t="s">
        <v>7</v>
      </c>
      <c r="BY397" s="27" t="s">
        <v>8</v>
      </c>
      <c r="BZ397" s="27" t="s">
        <v>7</v>
      </c>
      <c r="CA397" s="27" t="s">
        <v>8</v>
      </c>
      <c r="CX397" s="27" t="s">
        <v>7</v>
      </c>
    </row>
    <row r="398" spans="1:104" x14ac:dyDescent="0.25">
      <c r="A398" s="30">
        <v>1.2386912896918512E-2</v>
      </c>
      <c r="F398" s="27" t="s">
        <v>7</v>
      </c>
      <c r="O398" s="27" t="s">
        <v>8</v>
      </c>
      <c r="P398" s="27" t="s">
        <v>7</v>
      </c>
      <c r="S398" s="27" t="s">
        <v>8</v>
      </c>
      <c r="AX398" s="27" t="s">
        <v>7</v>
      </c>
      <c r="AY398" s="27" t="s">
        <v>8</v>
      </c>
      <c r="BJ398" s="27" t="s">
        <v>7</v>
      </c>
      <c r="BK398" s="27" t="s">
        <v>8</v>
      </c>
      <c r="BL398" s="27" t="s">
        <v>7</v>
      </c>
      <c r="BM398" s="27" t="s">
        <v>8</v>
      </c>
      <c r="BV398" s="27" t="s">
        <v>7</v>
      </c>
      <c r="BX398" s="27" t="s">
        <v>7</v>
      </c>
      <c r="BY398" s="27" t="s">
        <v>8</v>
      </c>
      <c r="BZ398" s="27" t="s">
        <v>7</v>
      </c>
    </row>
    <row r="399" spans="1:104" x14ac:dyDescent="0.25">
      <c r="A399" s="30">
        <v>1.179705990182715E-2</v>
      </c>
      <c r="F399" s="27" t="s">
        <v>7</v>
      </c>
      <c r="O399" s="27" t="s">
        <v>8</v>
      </c>
      <c r="P399" s="27" t="s">
        <v>7</v>
      </c>
      <c r="S399" s="27" t="s">
        <v>8</v>
      </c>
      <c r="AX399" s="27" t="s">
        <v>7</v>
      </c>
      <c r="AY399" s="27" t="s">
        <v>8</v>
      </c>
      <c r="BJ399" s="27" t="s">
        <v>7</v>
      </c>
      <c r="BK399" s="27" t="s">
        <v>8</v>
      </c>
      <c r="BL399" s="27" t="s">
        <v>7</v>
      </c>
      <c r="BM399" s="27" t="s">
        <v>8</v>
      </c>
      <c r="BX399" s="27" t="s">
        <v>7</v>
      </c>
      <c r="BY399" s="27" t="s">
        <v>8</v>
      </c>
    </row>
    <row r="400" spans="1:104" x14ac:dyDescent="0.25">
      <c r="A400" s="30">
        <v>1.1235295144597281E-2</v>
      </c>
      <c r="F400" s="27" t="s">
        <v>7</v>
      </c>
      <c r="K400" s="27" t="s">
        <v>8</v>
      </c>
      <c r="M400" s="27" t="s">
        <v>8</v>
      </c>
      <c r="O400" s="27" t="s">
        <v>8</v>
      </c>
      <c r="P400" s="27" t="s">
        <v>7</v>
      </c>
      <c r="Q400" s="27" t="s">
        <v>8</v>
      </c>
      <c r="S400" s="27" t="s">
        <v>8</v>
      </c>
      <c r="AX400" s="27" t="s">
        <v>7</v>
      </c>
      <c r="AY400" s="27" t="s">
        <v>8</v>
      </c>
      <c r="BJ400" s="27" t="s">
        <v>7</v>
      </c>
      <c r="BK400" s="27" t="s">
        <v>8</v>
      </c>
      <c r="BL400" s="27" t="s">
        <v>7</v>
      </c>
      <c r="BM400" s="27" t="s">
        <v>8</v>
      </c>
      <c r="BX400" s="27" t="s">
        <v>7</v>
      </c>
    </row>
    <row r="401" spans="1:65" x14ac:dyDescent="0.25">
      <c r="A401" s="30">
        <v>1.0700281090092644E-2</v>
      </c>
      <c r="F401" s="27" t="s">
        <v>7</v>
      </c>
      <c r="K401" s="27" t="s">
        <v>8</v>
      </c>
      <c r="L401" s="27" t="s">
        <v>7</v>
      </c>
      <c r="M401" s="27" t="s">
        <v>8</v>
      </c>
      <c r="N401" s="27" t="s">
        <v>7</v>
      </c>
      <c r="O401" s="27" t="s">
        <v>8</v>
      </c>
      <c r="P401" s="27" t="s">
        <v>7</v>
      </c>
      <c r="Q401" s="27" t="s">
        <v>8</v>
      </c>
      <c r="R401" s="27" t="s">
        <v>7</v>
      </c>
      <c r="S401" s="27" t="s">
        <v>8</v>
      </c>
      <c r="AX401" s="27" t="s">
        <v>7</v>
      </c>
      <c r="AY401" s="27" t="s">
        <v>8</v>
      </c>
      <c r="BJ401" s="27" t="s">
        <v>7</v>
      </c>
      <c r="BK401" s="27" t="s">
        <v>8</v>
      </c>
      <c r="BL401" s="27" t="s">
        <v>7</v>
      </c>
      <c r="BM401" s="27" t="s">
        <v>8</v>
      </c>
    </row>
    <row r="402" spans="1:65" x14ac:dyDescent="0.25">
      <c r="A402" s="30">
        <v>1.0190743895326324E-2</v>
      </c>
      <c r="F402" s="27" t="s">
        <v>7</v>
      </c>
      <c r="K402" s="27" t="s">
        <v>8</v>
      </c>
      <c r="L402" s="27" t="s">
        <v>7</v>
      </c>
      <c r="M402" s="27" t="s">
        <v>8</v>
      </c>
      <c r="N402" s="27" t="s">
        <v>7</v>
      </c>
      <c r="O402" s="27" t="s">
        <v>8</v>
      </c>
      <c r="P402" s="27" t="s">
        <v>7</v>
      </c>
      <c r="Q402" s="27" t="s">
        <v>8</v>
      </c>
      <c r="R402" s="27" t="s">
        <v>7</v>
      </c>
      <c r="S402" s="27" t="s">
        <v>8</v>
      </c>
      <c r="AX402" s="27" t="s">
        <v>7</v>
      </c>
      <c r="BJ402" s="27" t="s">
        <v>7</v>
      </c>
      <c r="BL402" s="27" t="s">
        <v>7</v>
      </c>
      <c r="BM402" s="27" t="s">
        <v>8</v>
      </c>
    </row>
    <row r="403" spans="1:65" x14ac:dyDescent="0.25">
      <c r="A403" s="30">
        <v>9.7054703765012563E-3</v>
      </c>
      <c r="F403" s="27" t="s">
        <v>7</v>
      </c>
      <c r="K403" s="27" t="s">
        <v>8</v>
      </c>
      <c r="L403" s="27" t="s">
        <v>7</v>
      </c>
      <c r="N403" s="27" t="s">
        <v>7</v>
      </c>
      <c r="O403" s="27" t="s">
        <v>8</v>
      </c>
      <c r="P403" s="27" t="s">
        <v>7</v>
      </c>
      <c r="Q403" s="27" t="s">
        <v>8</v>
      </c>
      <c r="R403" s="27" t="s">
        <v>7</v>
      </c>
      <c r="BL403" s="27" t="s">
        <v>7</v>
      </c>
      <c r="BM403" s="18" t="s">
        <v>8</v>
      </c>
    </row>
    <row r="404" spans="1:65" x14ac:dyDescent="0.25">
      <c r="A404" s="30">
        <v>9.2433051204773835E-3</v>
      </c>
      <c r="F404" s="27" t="s">
        <v>7</v>
      </c>
      <c r="K404" s="27" t="s">
        <v>8</v>
      </c>
      <c r="N404" s="27" t="s">
        <v>7</v>
      </c>
      <c r="O404" s="27" t="s">
        <v>8</v>
      </c>
      <c r="P404" s="27" t="s">
        <v>7</v>
      </c>
      <c r="BL404" s="27" t="s">
        <v>7</v>
      </c>
      <c r="BM404" s="27" t="s">
        <v>8</v>
      </c>
    </row>
    <row r="405" spans="1:65" x14ac:dyDescent="0.25">
      <c r="A405" s="30">
        <v>8.8031477337879808E-3</v>
      </c>
      <c r="F405" s="27" t="s">
        <v>7</v>
      </c>
      <c r="K405" s="27" t="s">
        <v>8</v>
      </c>
      <c r="N405" s="27" t="s">
        <v>7</v>
      </c>
      <c r="O405" s="27" t="s">
        <v>8</v>
      </c>
      <c r="BL405" s="27" t="s">
        <v>7</v>
      </c>
      <c r="BM405" s="27" t="s">
        <v>8</v>
      </c>
    </row>
    <row r="406" spans="1:65" x14ac:dyDescent="0.25">
      <c r="A406" s="30">
        <v>8.3839502226552166E-3</v>
      </c>
      <c r="F406" s="27" t="s">
        <v>7</v>
      </c>
      <c r="K406" s="27" t="s">
        <v>8</v>
      </c>
      <c r="N406" s="27" t="s">
        <v>7</v>
      </c>
      <c r="O406" s="27" t="s">
        <v>8</v>
      </c>
      <c r="BL406" s="27" t="s">
        <v>7</v>
      </c>
      <c r="BM406" s="27" t="s">
        <v>8</v>
      </c>
    </row>
    <row r="407" spans="1:65" x14ac:dyDescent="0.25">
      <c r="A407" s="30">
        <v>7.9847144977668698E-3</v>
      </c>
      <c r="F407" s="27" t="s">
        <v>7</v>
      </c>
      <c r="K407" s="27" t="s">
        <v>8</v>
      </c>
      <c r="N407" s="27" t="s">
        <v>7</v>
      </c>
      <c r="BL407" s="27" t="s">
        <v>7</v>
      </c>
    </row>
    <row r="408" spans="1:65" x14ac:dyDescent="0.25">
      <c r="A408" s="30">
        <v>7.6044899978732058E-3</v>
      </c>
      <c r="F408" s="27" t="s">
        <v>7</v>
      </c>
      <c r="K408" s="27" t="s">
        <v>8</v>
      </c>
    </row>
    <row r="409" spans="1:65" x14ac:dyDescent="0.25">
      <c r="A409" s="30">
        <v>7.2423714265459072E-3</v>
      </c>
      <c r="F409" s="27" t="s">
        <v>7</v>
      </c>
      <c r="K409" s="27" t="s">
        <v>8</v>
      </c>
    </row>
    <row r="410" spans="1:65" x14ac:dyDescent="0.25">
      <c r="A410" s="30">
        <v>6.8974965967103846E-3</v>
      </c>
      <c r="F410" s="27" t="s">
        <v>7</v>
      </c>
      <c r="I410" s="27" t="s">
        <v>8</v>
      </c>
      <c r="K410" s="27" t="s">
        <v>8</v>
      </c>
    </row>
    <row r="411" spans="1:65" x14ac:dyDescent="0.25">
      <c r="A411" s="30">
        <v>6.5690443778194116E-3</v>
      </c>
      <c r="F411" s="27" t="s">
        <v>7</v>
      </c>
      <c r="I411" s="27" t="s">
        <v>8</v>
      </c>
      <c r="J411" s="27" t="s">
        <v>7</v>
      </c>
      <c r="K411" s="27" t="s">
        <v>8</v>
      </c>
    </row>
    <row r="412" spans="1:65" x14ac:dyDescent="0.25">
      <c r="A412" s="30">
        <v>6.2562327407803897E-3</v>
      </c>
      <c r="F412" s="27" t="s">
        <v>7</v>
      </c>
      <c r="I412" s="27" t="s">
        <v>8</v>
      </c>
      <c r="J412" s="27" t="s">
        <v>7</v>
      </c>
      <c r="K412" s="27" t="s">
        <v>8</v>
      </c>
    </row>
    <row r="413" spans="1:65" x14ac:dyDescent="0.25">
      <c r="A413" s="30">
        <v>5.9583168959813212E-3</v>
      </c>
      <c r="F413" s="27" t="s">
        <v>7</v>
      </c>
      <c r="G413" s="27" t="s">
        <v>8</v>
      </c>
      <c r="I413" s="27" t="s">
        <v>8</v>
      </c>
      <c r="J413" s="27" t="s">
        <v>7</v>
      </c>
    </row>
    <row r="414" spans="1:65" x14ac:dyDescent="0.25">
      <c r="A414" s="30">
        <v>5.6745875199822084E-3</v>
      </c>
      <c r="F414" s="27" t="s">
        <v>7</v>
      </c>
      <c r="G414" s="27" t="s">
        <v>8</v>
      </c>
      <c r="H414" s="27" t="s">
        <v>7</v>
      </c>
      <c r="I414" s="27" t="s">
        <v>8</v>
      </c>
    </row>
    <row r="415" spans="1:65" x14ac:dyDescent="0.25">
      <c r="A415" s="30">
        <v>5.4043690666497205E-3</v>
      </c>
      <c r="F415" s="27" t="s">
        <v>7</v>
      </c>
      <c r="G415" s="27" t="s">
        <v>8</v>
      </c>
      <c r="H415" s="27" t="s">
        <v>7</v>
      </c>
      <c r="I415" s="27" t="s">
        <v>8</v>
      </c>
    </row>
    <row r="416" spans="1:65" x14ac:dyDescent="0.25">
      <c r="A416" s="30">
        <v>5.1470181587140174E-3</v>
      </c>
      <c r="F416" s="27" t="s">
        <v>7</v>
      </c>
      <c r="G416" s="27" t="s">
        <v>8</v>
      </c>
      <c r="H416" s="27" t="s">
        <v>7</v>
      </c>
    </row>
    <row r="417" spans="1:6" x14ac:dyDescent="0.25">
      <c r="A417" s="30">
        <v>4.9019220559181099E-3</v>
      </c>
      <c r="F417" s="27" t="s">
        <v>7</v>
      </c>
    </row>
    <row r="418" spans="1:6" x14ac:dyDescent="0.25">
      <c r="A418" s="30">
        <v>4.6684971961124836E-3</v>
      </c>
    </row>
    <row r="419" spans="1:6" x14ac:dyDescent="0.25">
      <c r="A419" s="30">
        <v>4.4461878058214112E-3</v>
      </c>
    </row>
    <row r="420" spans="1:6" x14ac:dyDescent="0.25">
      <c r="A420" s="30">
        <v>4.2344645769727711E-3</v>
      </c>
    </row>
    <row r="421" spans="1:6" x14ac:dyDescent="0.25">
      <c r="A421" s="30">
        <v>4.0328234066407329E-3</v>
      </c>
    </row>
    <row r="422" spans="1:6" x14ac:dyDescent="0.25">
      <c r="A422" s="30">
        <v>3.8407841968006963E-3</v>
      </c>
    </row>
    <row r="423" spans="1:6" x14ac:dyDescent="0.25">
      <c r="A423" s="30">
        <v>3.6578897112387568E-3</v>
      </c>
    </row>
    <row r="424" spans="1:6" x14ac:dyDescent="0.25">
      <c r="A424" s="30">
        <v>3.4837044868940526E-3</v>
      </c>
    </row>
    <row r="425" spans="1:6" x14ac:dyDescent="0.25">
      <c r="A425" s="30">
        <v>3.3178137970419535E-3</v>
      </c>
    </row>
    <row r="426" spans="1:6" x14ac:dyDescent="0.25">
      <c r="A426" s="30">
        <v>3.1598226638494781E-3</v>
      </c>
    </row>
    <row r="427" spans="1:6" x14ac:dyDescent="0.25">
      <c r="A427" s="30">
        <v>3.0093549179518826E-3</v>
      </c>
    </row>
    <row r="428" spans="1:6" x14ac:dyDescent="0.25">
      <c r="A428" s="30">
        <v>2.8660523028113155E-3</v>
      </c>
    </row>
    <row r="429" spans="1:6" x14ac:dyDescent="0.25">
      <c r="A429" s="30">
        <v>2.7295736217250611E-3</v>
      </c>
    </row>
    <row r="430" spans="1:6" x14ac:dyDescent="0.25">
      <c r="A430" s="30">
        <v>2.5995939254524381E-3</v>
      </c>
    </row>
    <row r="431" spans="1:6" x14ac:dyDescent="0.25">
      <c r="A431" s="30">
        <v>2.4758037385261304E-3</v>
      </c>
    </row>
    <row r="432" spans="1:6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777" operator="equal">
      <formula>$U$1</formula>
    </cfRule>
    <cfRule type="cellIs" dxfId="67" priority="778" operator="equal">
      <formula>$S$1</formula>
    </cfRule>
  </conditionalFormatting>
  <conditionalFormatting sqref="D136">
    <cfRule type="cellIs" dxfId="66" priority="775" operator="equal">
      <formula>$S$1</formula>
    </cfRule>
    <cfRule type="cellIs" dxfId="65" priority="776" operator="equal">
      <formula>$U$1</formula>
    </cfRule>
  </conditionalFormatting>
  <conditionalFormatting sqref="C162">
    <cfRule type="cellIs" dxfId="64" priority="773" operator="equal">
      <formula>$U$1</formula>
    </cfRule>
    <cfRule type="cellIs" dxfId="63" priority="774" operator="equal">
      <formula>$S$1</formula>
    </cfRule>
  </conditionalFormatting>
  <conditionalFormatting sqref="D162">
    <cfRule type="cellIs" dxfId="62" priority="771" operator="equal">
      <formula>$S$1</formula>
    </cfRule>
    <cfRule type="cellIs" dxfId="61" priority="772" operator="equal">
      <formula>$U$1</formula>
    </cfRule>
  </conditionalFormatting>
  <conditionalFormatting sqref="C187">
    <cfRule type="cellIs" dxfId="60" priority="769" operator="equal">
      <formula>$U$1</formula>
    </cfRule>
    <cfRule type="cellIs" dxfId="59" priority="770" operator="equal">
      <formula>$S$1</formula>
    </cfRule>
  </conditionalFormatting>
  <conditionalFormatting sqref="D187">
    <cfRule type="cellIs" dxfId="58" priority="767" operator="equal">
      <formula>$S$1</formula>
    </cfRule>
    <cfRule type="cellIs" dxfId="57" priority="768" operator="equal">
      <formula>$U$1</formula>
    </cfRule>
  </conditionalFormatting>
  <conditionalFormatting sqref="C212">
    <cfRule type="cellIs" dxfId="56" priority="765" operator="equal">
      <formula>$U$1</formula>
    </cfRule>
    <cfRule type="cellIs" dxfId="55" priority="766" operator="equal">
      <formula>$S$1</formula>
    </cfRule>
  </conditionalFormatting>
  <conditionalFormatting sqref="D212">
    <cfRule type="cellIs" dxfId="54" priority="763" operator="equal">
      <formula>$S$1</formula>
    </cfRule>
    <cfRule type="cellIs" dxfId="53" priority="764" operator="equal">
      <formula>$U$1</formula>
    </cfRule>
  </conditionalFormatting>
  <conditionalFormatting sqref="C237">
    <cfRule type="cellIs" dxfId="52" priority="761" operator="equal">
      <formula>$U$1</formula>
    </cfRule>
    <cfRule type="cellIs" dxfId="51" priority="762" operator="equal">
      <formula>$S$1</formula>
    </cfRule>
  </conditionalFormatting>
  <conditionalFormatting sqref="D237">
    <cfRule type="cellIs" dxfId="50" priority="759" operator="equal">
      <formula>$S$1</formula>
    </cfRule>
    <cfRule type="cellIs" dxfId="49" priority="760" operator="equal">
      <formula>$U$1</formula>
    </cfRule>
  </conditionalFormatting>
  <conditionalFormatting sqref="C106">
    <cfRule type="cellIs" dxfId="48" priority="757" operator="equal">
      <formula>$U$1</formula>
    </cfRule>
    <cfRule type="cellIs" dxfId="47" priority="758" operator="equal">
      <formula>$S$1</formula>
    </cfRule>
  </conditionalFormatting>
  <conditionalFormatting sqref="D106">
    <cfRule type="cellIs" dxfId="46" priority="755" operator="equal">
      <formula>$S$1</formula>
    </cfRule>
    <cfRule type="cellIs" dxfId="45" priority="756" operator="equal">
      <formula>$U$1</formula>
    </cfRule>
  </conditionalFormatting>
  <conditionalFormatting sqref="C81">
    <cfRule type="cellIs" dxfId="44" priority="753" operator="equal">
      <formula>$U$1</formula>
    </cfRule>
    <cfRule type="cellIs" dxfId="43" priority="754" operator="equal">
      <formula>$S$1</formula>
    </cfRule>
  </conditionalFormatting>
  <conditionalFormatting sqref="D81">
    <cfRule type="cellIs" dxfId="42" priority="751" operator="equal">
      <formula>$S$1</formula>
    </cfRule>
    <cfRule type="cellIs" dxfId="41" priority="752" operator="equal">
      <formula>$U$1</formula>
    </cfRule>
  </conditionalFormatting>
  <conditionalFormatting sqref="C56">
    <cfRule type="cellIs" dxfId="40" priority="749" operator="equal">
      <formula>$U$1</formula>
    </cfRule>
    <cfRule type="cellIs" dxfId="39" priority="750" operator="equal">
      <formula>$S$1</formula>
    </cfRule>
  </conditionalFormatting>
  <conditionalFormatting sqref="D56">
    <cfRule type="cellIs" dxfId="38" priority="747" operator="equal">
      <formula>$S$1</formula>
    </cfRule>
    <cfRule type="cellIs" dxfId="37" priority="748" operator="equal">
      <formula>$U$1</formula>
    </cfRule>
  </conditionalFormatting>
  <conditionalFormatting sqref="C31">
    <cfRule type="cellIs" dxfId="36" priority="745" operator="equal">
      <formula>$U$1</formula>
    </cfRule>
    <cfRule type="cellIs" dxfId="35" priority="746" operator="equal">
      <formula>$S$1</formula>
    </cfRule>
  </conditionalFormatting>
  <conditionalFormatting sqref="D31">
    <cfRule type="cellIs" dxfId="34" priority="743" operator="equal">
      <formula>$S$1</formula>
    </cfRule>
    <cfRule type="cellIs" dxfId="33" priority="74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AG201" sqref="AG201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$A$200</v>
      </c>
      <c r="D111" s="1" t="str">
        <f>ADDRESS(C121-1,D121,1,1)</f>
        <v>$AG$200</v>
      </c>
      <c r="E111"/>
    </row>
    <row r="112" spans="1:5" x14ac:dyDescent="0.25">
      <c r="A112" s="30">
        <v>80.179532053613613</v>
      </c>
      <c r="C112" s="1" t="str">
        <f>ADDRESS(C121,1,1,1)</f>
        <v>$A$201</v>
      </c>
      <c r="D112" s="1" t="str">
        <f>ADDRESS(C121,D121-1,1,1)</f>
        <v>$AF$201</v>
      </c>
      <c r="E112"/>
    </row>
    <row r="113" spans="1:5" x14ac:dyDescent="0.25">
      <c r="A113" s="30">
        <v>72.890483685103277</v>
      </c>
      <c r="C113" s="1" t="str">
        <f>ADDRESS(C121+1,1,1,1)</f>
        <v>$A$202</v>
      </c>
      <c r="D113" s="1" t="str">
        <f>ADDRESS(C121-1,D121+1,1,1)</f>
        <v>$AH$200</v>
      </c>
    </row>
    <row r="114" spans="1:5" x14ac:dyDescent="0.25">
      <c r="A114" s="30">
        <v>66.26407607736661</v>
      </c>
      <c r="C114" s="1" t="str">
        <f>ADDRESS(C121,D121,1,1)</f>
        <v>$AG$201</v>
      </c>
      <c r="D114" s="1" t="str">
        <f>ADDRESS(C121+1,D121+1,1,1)</f>
        <v>$AH$202</v>
      </c>
    </row>
    <row r="115" spans="1:5" x14ac:dyDescent="0.25">
      <c r="A115" s="30">
        <v>60.240069161242367</v>
      </c>
      <c r="C115" s="1" t="str">
        <f>ADDRESS(C121+1,D121,1,1)</f>
        <v>$AG$202</v>
      </c>
    </row>
    <row r="116" spans="1:5" x14ac:dyDescent="0.25">
      <c r="A116" s="30">
        <v>54.763699237493057</v>
      </c>
      <c r="C116" s="1">
        <f>C117-1</f>
        <v>200</v>
      </c>
    </row>
    <row r="117" spans="1:5" x14ac:dyDescent="0.25">
      <c r="A117" s="30">
        <v>49.785181124993684</v>
      </c>
      <c r="C117" s="1">
        <f>C121</f>
        <v>201</v>
      </c>
      <c r="D117" s="1">
        <f>D121</f>
        <v>33</v>
      </c>
    </row>
    <row r="118" spans="1:5" x14ac:dyDescent="0.25">
      <c r="A118" s="30">
        <v>45.259255568176073</v>
      </c>
      <c r="C118" s="1">
        <f>C117+1</f>
        <v>202</v>
      </c>
      <c r="D118" s="1">
        <f>D117+1</f>
        <v>34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201</v>
      </c>
      <c r="D121" s="19">
        <v>33</v>
      </c>
      <c r="E121" s="18"/>
    </row>
    <row r="122" spans="1:5" x14ac:dyDescent="0.25">
      <c r="A122" s="30">
        <v>30.912680532870748</v>
      </c>
      <c r="C122" s="1" t="str">
        <f>INDEX(1:1048576,C117,D117)</f>
        <v>X</v>
      </c>
    </row>
    <row r="123" spans="1:5" x14ac:dyDescent="0.25">
      <c r="A123" s="30">
        <v>28.102436848064315</v>
      </c>
      <c r="C123" s="1" t="str">
        <f>"R"&amp;C121</f>
        <v>R201</v>
      </c>
      <c r="D123" s="1" t="str">
        <f>"C"&amp;D121</f>
        <v>C33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1.6600246545589663E-2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6"/>
      <c r="D130" s="6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X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6" x14ac:dyDescent="0.25">
      <c r="A145" s="30">
        <v>3.4522712143931042</v>
      </c>
      <c r="B145"/>
      <c r="C145"/>
      <c r="D145"/>
      <c r="E145"/>
    </row>
    <row r="146" spans="1:6" x14ac:dyDescent="0.25">
      <c r="A146" s="30">
        <v>3.1384283767210035</v>
      </c>
      <c r="B146"/>
      <c r="C146"/>
      <c r="D146"/>
      <c r="E146"/>
    </row>
    <row r="147" spans="1:6" x14ac:dyDescent="0.25">
      <c r="A147" s="30">
        <v>2.8531167061100029</v>
      </c>
      <c r="B147"/>
      <c r="C147"/>
      <c r="D147"/>
      <c r="E147"/>
    </row>
    <row r="148" spans="1:6" x14ac:dyDescent="0.25">
      <c r="A148" s="30">
        <v>2.5937424601000023</v>
      </c>
      <c r="B148"/>
      <c r="C148"/>
      <c r="D148"/>
      <c r="E148"/>
    </row>
    <row r="149" spans="1:6" x14ac:dyDescent="0.25">
      <c r="A149" s="30">
        <v>2.3579476910000019</v>
      </c>
      <c r="B149"/>
      <c r="C149"/>
      <c r="D149"/>
      <c r="E149"/>
    </row>
    <row r="150" spans="1:6" x14ac:dyDescent="0.25">
      <c r="A150" s="30">
        <v>2.1435888100000016</v>
      </c>
      <c r="B150"/>
      <c r="C150"/>
      <c r="D150"/>
      <c r="E150"/>
    </row>
    <row r="151" spans="1:6" x14ac:dyDescent="0.25">
      <c r="A151" s="30">
        <v>1.9487171000000014</v>
      </c>
      <c r="B151"/>
      <c r="C151"/>
      <c r="D151"/>
      <c r="E151"/>
    </row>
    <row r="152" spans="1:6" x14ac:dyDescent="0.25">
      <c r="A152" s="30">
        <v>1.7715610000000011</v>
      </c>
      <c r="B152"/>
      <c r="C152"/>
      <c r="D152"/>
      <c r="E152"/>
    </row>
    <row r="153" spans="1:6" x14ac:dyDescent="0.25">
      <c r="A153" s="30">
        <v>1.6105100000000008</v>
      </c>
      <c r="B153"/>
      <c r="C153"/>
      <c r="D153"/>
      <c r="E153"/>
    </row>
    <row r="154" spans="1:6" x14ac:dyDescent="0.25">
      <c r="A154" s="30">
        <v>1.4641000000000006</v>
      </c>
      <c r="B154"/>
      <c r="C154"/>
      <c r="D154"/>
      <c r="E154"/>
    </row>
    <row r="155" spans="1:6" x14ac:dyDescent="0.25">
      <c r="A155" s="30">
        <v>1.3310000000000004</v>
      </c>
      <c r="B155"/>
      <c r="C155"/>
      <c r="D155"/>
      <c r="E155"/>
    </row>
    <row r="156" spans="1:6" x14ac:dyDescent="0.25">
      <c r="A156" s="30">
        <v>1.2100000000000002</v>
      </c>
      <c r="B156"/>
      <c r="C156"/>
      <c r="D156"/>
      <c r="E156"/>
    </row>
    <row r="157" spans="1:6" x14ac:dyDescent="0.25">
      <c r="A157" s="30">
        <v>1.1000000000000001</v>
      </c>
      <c r="B157"/>
      <c r="C157"/>
      <c r="D157"/>
      <c r="E157"/>
    </row>
    <row r="158" spans="1:6" x14ac:dyDescent="0.25">
      <c r="A158" s="30">
        <v>1</v>
      </c>
      <c r="B158"/>
      <c r="C158"/>
      <c r="D158"/>
      <c r="E158" t="s">
        <v>8</v>
      </c>
    </row>
    <row r="159" spans="1:6" x14ac:dyDescent="0.25">
      <c r="A159" s="30">
        <v>0.90909090909090895</v>
      </c>
      <c r="B159"/>
      <c r="C159"/>
      <c r="D159"/>
      <c r="E159"/>
      <c r="F159" s="27" t="s">
        <v>7</v>
      </c>
    </row>
    <row r="160" spans="1:6" x14ac:dyDescent="0.25">
      <c r="A160" s="30">
        <v>0.82644628099173523</v>
      </c>
      <c r="B160"/>
      <c r="C160"/>
      <c r="D160"/>
      <c r="E160"/>
      <c r="F160" s="27" t="s">
        <v>7</v>
      </c>
    </row>
    <row r="161" spans="1:6" x14ac:dyDescent="0.25">
      <c r="A161" s="30">
        <v>0.75131480090157732</v>
      </c>
      <c r="B161"/>
      <c r="C161"/>
      <c r="D161"/>
      <c r="E161"/>
      <c r="F161" s="27" t="s">
        <v>7</v>
      </c>
    </row>
    <row r="162" spans="1:6" x14ac:dyDescent="0.25">
      <c r="A162" s="30">
        <v>0.68301345536507019</v>
      </c>
      <c r="B162"/>
      <c r="C162"/>
      <c r="D162"/>
      <c r="E162"/>
      <c r="F162" s="27" t="s">
        <v>7</v>
      </c>
    </row>
    <row r="163" spans="1:6" x14ac:dyDescent="0.25">
      <c r="A163" s="30">
        <v>0.6209213230591546</v>
      </c>
      <c r="B163"/>
      <c r="C163"/>
      <c r="D163"/>
      <c r="E163"/>
      <c r="F163" s="27" t="s">
        <v>7</v>
      </c>
    </row>
    <row r="164" spans="1:6" x14ac:dyDescent="0.25">
      <c r="A164" s="30">
        <v>0.56447393005377677</v>
      </c>
      <c r="B164"/>
      <c r="C164"/>
      <c r="D164"/>
      <c r="E164"/>
      <c r="F164" s="27" t="s">
        <v>7</v>
      </c>
    </row>
    <row r="165" spans="1:6" x14ac:dyDescent="0.25">
      <c r="A165" s="30">
        <v>0.51315811823070612</v>
      </c>
      <c r="B165"/>
      <c r="C165"/>
      <c r="D165"/>
      <c r="E165"/>
      <c r="F165" s="27" t="s">
        <v>7</v>
      </c>
    </row>
    <row r="166" spans="1:6" x14ac:dyDescent="0.25">
      <c r="A166" s="30">
        <v>0.46650738020973276</v>
      </c>
      <c r="B166"/>
      <c r="C166"/>
      <c r="D166"/>
      <c r="E166"/>
      <c r="F166" s="27" t="s">
        <v>7</v>
      </c>
    </row>
    <row r="167" spans="1:6" x14ac:dyDescent="0.25">
      <c r="A167" s="30">
        <v>0.42409761837248428</v>
      </c>
      <c r="B167"/>
      <c r="C167"/>
      <c r="D167"/>
      <c r="E167"/>
      <c r="F167" s="27" t="s">
        <v>7</v>
      </c>
    </row>
    <row r="168" spans="1:6" x14ac:dyDescent="0.25">
      <c r="A168" s="30">
        <v>0.38554328942953109</v>
      </c>
      <c r="B168"/>
      <c r="C168"/>
      <c r="D168"/>
      <c r="E168"/>
      <c r="F168" s="27" t="s">
        <v>7</v>
      </c>
    </row>
    <row r="169" spans="1:6" x14ac:dyDescent="0.25">
      <c r="A169" s="30">
        <v>0.35049389948139187</v>
      </c>
      <c r="B169"/>
      <c r="C169"/>
      <c r="D169"/>
      <c r="E169"/>
      <c r="F169" s="27" t="s">
        <v>7</v>
      </c>
    </row>
    <row r="170" spans="1:6" x14ac:dyDescent="0.25">
      <c r="A170" s="30">
        <v>0.31863081771035617</v>
      </c>
      <c r="B170"/>
      <c r="C170"/>
      <c r="D170"/>
      <c r="E170"/>
      <c r="F170" s="27" t="s">
        <v>7</v>
      </c>
    </row>
    <row r="171" spans="1:6" x14ac:dyDescent="0.25">
      <c r="A171" s="30">
        <v>0.28966437973668741</v>
      </c>
      <c r="F171" s="27" t="s">
        <v>7</v>
      </c>
    </row>
    <row r="172" spans="1:6" x14ac:dyDescent="0.25">
      <c r="A172" s="30">
        <v>0.2633312543060794</v>
      </c>
      <c r="F172" s="27" t="s">
        <v>7</v>
      </c>
    </row>
    <row r="173" spans="1:6" x14ac:dyDescent="0.25">
      <c r="A173" s="30">
        <v>0.23939204936916306</v>
      </c>
      <c r="F173" s="27" t="s">
        <v>7</v>
      </c>
    </row>
    <row r="174" spans="1:6" x14ac:dyDescent="0.25">
      <c r="A174" s="30">
        <v>0.2176291357901482</v>
      </c>
      <c r="F174" s="27" t="s">
        <v>7</v>
      </c>
    </row>
    <row r="175" spans="1:6" x14ac:dyDescent="0.25">
      <c r="A175" s="30">
        <v>0.19784466890013469</v>
      </c>
      <c r="F175" s="27" t="s">
        <v>7</v>
      </c>
    </row>
    <row r="176" spans="1:6" x14ac:dyDescent="0.25">
      <c r="A176" s="30">
        <v>0.17985878990921333</v>
      </c>
      <c r="F176" s="27" t="s">
        <v>7</v>
      </c>
    </row>
    <row r="177" spans="1:15" x14ac:dyDescent="0.25">
      <c r="A177" s="30">
        <v>0.16350799082655756</v>
      </c>
      <c r="F177" s="27" t="s">
        <v>7</v>
      </c>
    </row>
    <row r="178" spans="1:15" x14ac:dyDescent="0.25">
      <c r="A178" s="30">
        <v>0.14864362802414322</v>
      </c>
      <c r="F178" s="27" t="s">
        <v>7</v>
      </c>
    </row>
    <row r="179" spans="1:15" x14ac:dyDescent="0.25">
      <c r="A179" s="30">
        <v>0.13513057093103928</v>
      </c>
      <c r="F179" s="27" t="s">
        <v>7</v>
      </c>
    </row>
    <row r="180" spans="1:15" x14ac:dyDescent="0.25">
      <c r="A180" s="30">
        <v>0.12284597357367205</v>
      </c>
      <c r="F180" s="27" t="s">
        <v>7</v>
      </c>
    </row>
    <row r="181" spans="1:15" x14ac:dyDescent="0.25">
      <c r="A181" s="30">
        <v>0.11167815779424731</v>
      </c>
      <c r="F181" s="27" t="s">
        <v>7</v>
      </c>
    </row>
    <row r="182" spans="1:15" x14ac:dyDescent="0.25">
      <c r="A182" s="30">
        <v>0.10152559799477026</v>
      </c>
      <c r="F182" s="27" t="s">
        <v>7</v>
      </c>
    </row>
    <row r="183" spans="1:15" x14ac:dyDescent="0.25">
      <c r="A183" s="30">
        <v>9.2295998177063854E-2</v>
      </c>
      <c r="F183" s="27" t="s">
        <v>7</v>
      </c>
    </row>
    <row r="184" spans="1:15" x14ac:dyDescent="0.25">
      <c r="A184" s="30">
        <v>8.3905452888239848E-2</v>
      </c>
      <c r="F184" s="27" t="s">
        <v>7</v>
      </c>
    </row>
    <row r="185" spans="1:15" x14ac:dyDescent="0.25">
      <c r="A185" s="30">
        <v>7.6277684443854396E-2</v>
      </c>
      <c r="F185" s="27" t="s">
        <v>7</v>
      </c>
    </row>
    <row r="186" spans="1:15" x14ac:dyDescent="0.25">
      <c r="A186" s="30">
        <v>6.9343349494413078E-2</v>
      </c>
      <c r="F186" s="27" t="s">
        <v>7</v>
      </c>
    </row>
    <row r="187" spans="1:15" x14ac:dyDescent="0.25">
      <c r="A187" s="30">
        <v>6.3039408631284613E-2</v>
      </c>
      <c r="F187" s="27" t="s">
        <v>7</v>
      </c>
    </row>
    <row r="188" spans="1:15" x14ac:dyDescent="0.25">
      <c r="A188" s="30">
        <v>5.7308553301167818E-2</v>
      </c>
      <c r="F188" s="27" t="s">
        <v>7</v>
      </c>
    </row>
    <row r="189" spans="1:15" x14ac:dyDescent="0.25">
      <c r="A189" s="30">
        <v>5.2098684819243464E-2</v>
      </c>
      <c r="F189" s="27" t="s">
        <v>7</v>
      </c>
    </row>
    <row r="190" spans="1:15" x14ac:dyDescent="0.25">
      <c r="A190" s="30">
        <v>4.7362440744766775E-2</v>
      </c>
      <c r="F190" s="27" t="s">
        <v>7</v>
      </c>
    </row>
    <row r="191" spans="1:15" x14ac:dyDescent="0.25">
      <c r="A191" s="30">
        <v>4.3056764313424332E-2</v>
      </c>
      <c r="F191" s="27" t="s">
        <v>7</v>
      </c>
      <c r="M191" s="27" t="s">
        <v>8</v>
      </c>
    </row>
    <row r="192" spans="1:15" x14ac:dyDescent="0.25">
      <c r="A192" s="30">
        <v>3.9142513012203929E-2</v>
      </c>
      <c r="F192" s="27" t="s">
        <v>7</v>
      </c>
      <c r="M192" s="27" t="s">
        <v>8</v>
      </c>
      <c r="N192" s="27" t="s">
        <v>7</v>
      </c>
      <c r="O192" s="27" t="s">
        <v>8</v>
      </c>
    </row>
    <row r="193" spans="1:33" x14ac:dyDescent="0.25">
      <c r="A193" s="30">
        <v>3.55841027383672E-2</v>
      </c>
      <c r="F193" s="27" t="s">
        <v>7</v>
      </c>
      <c r="M193" s="27" t="s">
        <v>8</v>
      </c>
      <c r="N193" s="27" t="s">
        <v>7</v>
      </c>
      <c r="O193" s="27" t="s">
        <v>8</v>
      </c>
      <c r="P193" s="27" t="s">
        <v>7</v>
      </c>
      <c r="AA193" s="27" t="s">
        <v>8</v>
      </c>
    </row>
    <row r="194" spans="1:33" x14ac:dyDescent="0.25">
      <c r="A194" s="30">
        <v>3.2349184307606541E-2</v>
      </c>
      <c r="F194" s="27" t="s">
        <v>7</v>
      </c>
      <c r="M194" s="27" t="s">
        <v>8</v>
      </c>
      <c r="N194" s="27" t="s">
        <v>7</v>
      </c>
      <c r="O194" s="27" t="s">
        <v>8</v>
      </c>
      <c r="P194" s="27" t="s">
        <v>7</v>
      </c>
      <c r="Y194" s="27" t="s">
        <v>8</v>
      </c>
      <c r="AA194" s="27" t="s">
        <v>8</v>
      </c>
      <c r="AB194" s="27" t="s">
        <v>7</v>
      </c>
    </row>
    <row r="195" spans="1:33" x14ac:dyDescent="0.25">
      <c r="A195" s="30">
        <v>2.9408349370551395E-2</v>
      </c>
      <c r="F195" s="27" t="s">
        <v>7</v>
      </c>
      <c r="M195" s="27" t="s">
        <v>8</v>
      </c>
      <c r="N195" s="27" t="s">
        <v>7</v>
      </c>
      <c r="O195" s="27" t="s">
        <v>8</v>
      </c>
      <c r="P195" s="27" t="s">
        <v>7</v>
      </c>
      <c r="Y195" s="27" t="s">
        <v>8</v>
      </c>
      <c r="Z195" s="27" t="s">
        <v>7</v>
      </c>
      <c r="AA195" s="27" t="s">
        <v>8</v>
      </c>
      <c r="AB195" s="27" t="s">
        <v>7</v>
      </c>
    </row>
    <row r="196" spans="1:33" x14ac:dyDescent="0.25">
      <c r="A196" s="30">
        <v>2.6734863064137627E-2</v>
      </c>
      <c r="F196" s="27" t="s">
        <v>7</v>
      </c>
      <c r="K196" s="27" t="s">
        <v>8</v>
      </c>
      <c r="M196" s="27" t="s">
        <v>8</v>
      </c>
      <c r="N196" s="27" t="s">
        <v>7</v>
      </c>
      <c r="O196" s="27" t="s">
        <v>8</v>
      </c>
      <c r="P196" s="27" t="s">
        <v>7</v>
      </c>
      <c r="Y196" s="27" t="s">
        <v>8</v>
      </c>
      <c r="Z196" s="27" t="s">
        <v>7</v>
      </c>
      <c r="AA196" s="27" t="s">
        <v>8</v>
      </c>
      <c r="AB196" s="27" t="s">
        <v>7</v>
      </c>
      <c r="AC196" s="27" t="s">
        <v>8</v>
      </c>
    </row>
    <row r="197" spans="1:33" x14ac:dyDescent="0.25">
      <c r="A197" s="30">
        <v>2.4304420967397839E-2</v>
      </c>
      <c r="F197" s="27" t="s">
        <v>7</v>
      </c>
      <c r="K197" s="27" t="s">
        <v>8</v>
      </c>
      <c r="L197" s="27" t="s">
        <v>7</v>
      </c>
      <c r="M197" s="27" t="s">
        <v>8</v>
      </c>
      <c r="N197" s="27" t="s">
        <v>7</v>
      </c>
      <c r="O197" s="27" t="s">
        <v>8</v>
      </c>
      <c r="P197" s="27" t="s">
        <v>7</v>
      </c>
      <c r="S197" s="27" t="s">
        <v>8</v>
      </c>
      <c r="Y197" s="27" t="s">
        <v>8</v>
      </c>
      <c r="Z197" s="27" t="s">
        <v>7</v>
      </c>
      <c r="AA197" s="27" t="s">
        <v>8</v>
      </c>
      <c r="AB197" s="27" t="s">
        <v>7</v>
      </c>
      <c r="AC197" s="27" t="s">
        <v>8</v>
      </c>
      <c r="AD197" s="27" t="s">
        <v>7</v>
      </c>
      <c r="AE197" s="27" t="s">
        <v>8</v>
      </c>
    </row>
    <row r="198" spans="1:33" x14ac:dyDescent="0.25">
      <c r="A198" s="30">
        <v>2.2094928152179852E-2</v>
      </c>
      <c r="F198" s="27" t="s">
        <v>7</v>
      </c>
      <c r="K198" s="27" t="s">
        <v>8</v>
      </c>
      <c r="L198" s="27" t="s">
        <v>7</v>
      </c>
      <c r="M198" s="27" t="s">
        <v>8</v>
      </c>
      <c r="N198" s="27" t="s">
        <v>7</v>
      </c>
      <c r="O198" s="27" t="s">
        <v>8</v>
      </c>
      <c r="P198" s="27" t="s">
        <v>7</v>
      </c>
      <c r="S198" s="27" t="s">
        <v>8</v>
      </c>
      <c r="T198" s="27" t="s">
        <v>7</v>
      </c>
      <c r="W198" s="27" t="s">
        <v>8</v>
      </c>
      <c r="Y198" s="27" t="s">
        <v>8</v>
      </c>
      <c r="Z198" s="27" t="s">
        <v>7</v>
      </c>
      <c r="AB198" s="27" t="s">
        <v>7</v>
      </c>
      <c r="AC198" s="27" t="s">
        <v>8</v>
      </c>
      <c r="AD198" s="27" t="s">
        <v>7</v>
      </c>
      <c r="AE198" s="27" t="s">
        <v>8</v>
      </c>
      <c r="AF198" s="27" t="s">
        <v>7</v>
      </c>
    </row>
    <row r="199" spans="1:33" x14ac:dyDescent="0.25">
      <c r="A199" s="30">
        <v>2.0086298320163499E-2</v>
      </c>
      <c r="F199" s="27" t="s">
        <v>7</v>
      </c>
      <c r="K199" s="27" t="s">
        <v>8</v>
      </c>
      <c r="L199" s="27" t="s">
        <v>7</v>
      </c>
      <c r="N199" s="27" t="s">
        <v>7</v>
      </c>
      <c r="O199" s="27" t="s">
        <v>8</v>
      </c>
      <c r="P199" s="27" t="s">
        <v>7</v>
      </c>
      <c r="Q199" s="27" t="s">
        <v>8</v>
      </c>
      <c r="S199" s="27" t="s">
        <v>8</v>
      </c>
      <c r="T199" s="27" t="s">
        <v>7</v>
      </c>
      <c r="W199" s="27" t="s">
        <v>8</v>
      </c>
      <c r="X199" s="27" t="s">
        <v>7</v>
      </c>
      <c r="Y199" s="27" t="s">
        <v>8</v>
      </c>
      <c r="AB199" s="27" t="s">
        <v>7</v>
      </c>
      <c r="AD199" s="27" t="s">
        <v>7</v>
      </c>
      <c r="AE199" s="27" t="s">
        <v>8</v>
      </c>
      <c r="AF199" s="27" t="s">
        <v>7</v>
      </c>
    </row>
    <row r="200" spans="1:33" x14ac:dyDescent="0.25">
      <c r="A200" s="30">
        <v>1.8260271200148632E-2</v>
      </c>
      <c r="F200" s="27" t="s">
        <v>7</v>
      </c>
      <c r="I200" s="27" t="s">
        <v>8</v>
      </c>
      <c r="K200" s="27" t="s">
        <v>8</v>
      </c>
      <c r="N200" s="27" t="s">
        <v>7</v>
      </c>
      <c r="O200" s="27" t="s">
        <v>8</v>
      </c>
      <c r="P200" s="27" t="s">
        <v>7</v>
      </c>
      <c r="Q200" s="27" t="s">
        <v>8</v>
      </c>
      <c r="R200" s="27" t="s">
        <v>7</v>
      </c>
      <c r="S200" s="27" t="s">
        <v>8</v>
      </c>
      <c r="T200" s="27" t="s">
        <v>7</v>
      </c>
      <c r="U200" s="27" t="s">
        <v>8</v>
      </c>
      <c r="W200" s="27" t="s">
        <v>8</v>
      </c>
      <c r="X200" s="27" t="s">
        <v>7</v>
      </c>
      <c r="Y200" s="27" t="s">
        <v>8</v>
      </c>
      <c r="AD200" s="27" t="s">
        <v>7</v>
      </c>
      <c r="AF200" s="27" t="s">
        <v>7</v>
      </c>
    </row>
    <row r="201" spans="1:33" x14ac:dyDescent="0.25">
      <c r="A201" s="30">
        <v>1.6600246545589663E-2</v>
      </c>
      <c r="F201" s="27" t="s">
        <v>7</v>
      </c>
      <c r="I201" s="27" t="s">
        <v>8</v>
      </c>
      <c r="J201" s="27" t="s">
        <v>7</v>
      </c>
      <c r="K201" s="27" t="s">
        <v>8</v>
      </c>
      <c r="N201" s="27" t="s">
        <v>7</v>
      </c>
      <c r="P201" s="27" t="s">
        <v>7</v>
      </c>
      <c r="Q201" s="27" t="s">
        <v>8</v>
      </c>
      <c r="R201" s="27" t="s">
        <v>7</v>
      </c>
      <c r="S201" s="27" t="s">
        <v>8</v>
      </c>
      <c r="T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AF201" s="27" t="s">
        <v>7</v>
      </c>
      <c r="AG201" s="27" t="s">
        <v>8</v>
      </c>
    </row>
    <row r="202" spans="1:33" x14ac:dyDescent="0.25">
      <c r="A202" s="30">
        <v>1.5091133223263328E-2</v>
      </c>
      <c r="F202" s="27" t="s">
        <v>7</v>
      </c>
      <c r="I202" s="27" t="s">
        <v>8</v>
      </c>
      <c r="J202" s="27" t="s">
        <v>7</v>
      </c>
      <c r="K202" s="27" t="s">
        <v>8</v>
      </c>
      <c r="P202" s="27" t="s">
        <v>7</v>
      </c>
      <c r="Q202" s="27" t="s">
        <v>8</v>
      </c>
      <c r="R202" s="27" t="s">
        <v>7</v>
      </c>
      <c r="S202" s="27" t="s">
        <v>8</v>
      </c>
      <c r="T202" s="27" t="s">
        <v>7</v>
      </c>
      <c r="U202" s="27" t="s">
        <v>8</v>
      </c>
      <c r="V202" s="27" t="s">
        <v>7</v>
      </c>
      <c r="W202" s="27" t="s">
        <v>8</v>
      </c>
      <c r="X202" s="27" t="s">
        <v>7</v>
      </c>
      <c r="Y202" s="27" t="s">
        <v>8</v>
      </c>
      <c r="AF202" s="27" t="s">
        <v>7</v>
      </c>
      <c r="AG202" s="27" t="s">
        <v>8</v>
      </c>
    </row>
    <row r="203" spans="1:33" x14ac:dyDescent="0.25">
      <c r="A203" s="30">
        <v>1.3719212021148477E-2</v>
      </c>
      <c r="F203" s="27" t="s">
        <v>7</v>
      </c>
      <c r="I203" s="27" t="s">
        <v>8</v>
      </c>
      <c r="J203" s="27" t="s">
        <v>7</v>
      </c>
      <c r="K203" s="27" t="s">
        <v>8</v>
      </c>
      <c r="P203" s="27" t="s">
        <v>7</v>
      </c>
      <c r="R203" s="27" t="s">
        <v>7</v>
      </c>
      <c r="S203" s="27" t="s">
        <v>8</v>
      </c>
      <c r="T203" s="27" t="s">
        <v>7</v>
      </c>
      <c r="U203" s="27" t="s">
        <v>8</v>
      </c>
      <c r="V203" s="27" t="s">
        <v>7</v>
      </c>
      <c r="X203" s="27" t="s">
        <v>7</v>
      </c>
      <c r="Y203" s="27" t="s">
        <v>8</v>
      </c>
      <c r="AF203" s="27" t="s">
        <v>7</v>
      </c>
      <c r="AG203" s="27" t="s">
        <v>8</v>
      </c>
    </row>
    <row r="204" spans="1:33" x14ac:dyDescent="0.25">
      <c r="A204" s="30">
        <v>1.2472010928316795E-2</v>
      </c>
      <c r="F204" s="27" t="s">
        <v>7</v>
      </c>
      <c r="I204" s="27" t="s">
        <v>8</v>
      </c>
      <c r="J204" s="27" t="s">
        <v>7</v>
      </c>
      <c r="K204" s="27" t="s">
        <v>8</v>
      </c>
      <c r="R204" s="27" t="s">
        <v>7</v>
      </c>
      <c r="S204" s="27" t="s">
        <v>8</v>
      </c>
      <c r="T204" s="27" t="s">
        <v>7</v>
      </c>
      <c r="U204" s="27" t="s">
        <v>8</v>
      </c>
      <c r="X204" s="27" t="s">
        <v>7</v>
      </c>
      <c r="Y204" s="27" t="s">
        <v>8</v>
      </c>
      <c r="AF204" s="27" t="s">
        <v>7</v>
      </c>
    </row>
    <row r="205" spans="1:33" x14ac:dyDescent="0.25">
      <c r="A205" s="30">
        <v>1.1338191753015267E-2</v>
      </c>
      <c r="F205" s="27" t="s">
        <v>7</v>
      </c>
      <c r="G205" s="27" t="s">
        <v>8</v>
      </c>
      <c r="I205" s="27" t="s">
        <v>8</v>
      </c>
      <c r="J205" s="27" t="s">
        <v>7</v>
      </c>
      <c r="K205" s="27" t="s">
        <v>8</v>
      </c>
      <c r="R205" s="27" t="s">
        <v>7</v>
      </c>
      <c r="S205" s="27" t="s">
        <v>8</v>
      </c>
      <c r="T205" s="27" t="s">
        <v>7</v>
      </c>
      <c r="U205" s="27" t="s">
        <v>8</v>
      </c>
      <c r="X205" s="27" t="s">
        <v>7</v>
      </c>
    </row>
    <row r="206" spans="1:33" x14ac:dyDescent="0.25">
      <c r="A206" s="30">
        <v>1.0307447048195697E-2</v>
      </c>
      <c r="F206" s="27" t="s">
        <v>7</v>
      </c>
      <c r="G206" s="27" t="s">
        <v>8</v>
      </c>
      <c r="H206" s="27" t="s">
        <v>7</v>
      </c>
      <c r="I206" s="27" t="s">
        <v>8</v>
      </c>
      <c r="J206" s="27" t="s">
        <v>7</v>
      </c>
      <c r="K206" s="27" t="s">
        <v>8</v>
      </c>
      <c r="R206" s="27" t="s">
        <v>7</v>
      </c>
      <c r="T206" s="27" t="s">
        <v>7</v>
      </c>
      <c r="U206" s="27" t="s">
        <v>8</v>
      </c>
    </row>
    <row r="207" spans="1:33" x14ac:dyDescent="0.25">
      <c r="A207" s="30">
        <v>9.3704064074506318E-3</v>
      </c>
      <c r="F207" s="27" t="s">
        <v>7</v>
      </c>
      <c r="G207" s="27" t="s">
        <v>8</v>
      </c>
      <c r="H207" s="27" t="s">
        <v>7</v>
      </c>
      <c r="I207" s="27" t="s">
        <v>8</v>
      </c>
      <c r="J207" s="27" t="s">
        <v>7</v>
      </c>
      <c r="T207" s="27" t="s">
        <v>7</v>
      </c>
      <c r="U207" s="27" t="s">
        <v>8</v>
      </c>
    </row>
    <row r="208" spans="1:33" x14ac:dyDescent="0.25">
      <c r="A208" s="30">
        <v>8.5185512795005747E-3</v>
      </c>
      <c r="F208" s="27" t="s">
        <v>7</v>
      </c>
      <c r="G208" s="27" t="s">
        <v>8</v>
      </c>
      <c r="H208" s="27" t="s">
        <v>7</v>
      </c>
      <c r="I208" s="27" t="s">
        <v>8</v>
      </c>
      <c r="T208" s="18" t="s">
        <v>7</v>
      </c>
    </row>
    <row r="209" spans="1:8" x14ac:dyDescent="0.25">
      <c r="A209" s="30">
        <v>7.744137526818704E-3</v>
      </c>
      <c r="F209" s="27" t="s">
        <v>7</v>
      </c>
      <c r="G209" s="27" t="s">
        <v>8</v>
      </c>
      <c r="H209" s="27" t="s">
        <v>7</v>
      </c>
    </row>
    <row r="210" spans="1:8" x14ac:dyDescent="0.25">
      <c r="A210" s="30">
        <v>7.0401250243806394E-3</v>
      </c>
      <c r="F210" s="27" t="s">
        <v>7</v>
      </c>
      <c r="G210" s="27" t="s">
        <v>8</v>
      </c>
    </row>
    <row r="211" spans="1:8" x14ac:dyDescent="0.25">
      <c r="A211" s="30">
        <v>6.4001136585278536E-3</v>
      </c>
      <c r="F211" s="27" t="s">
        <v>7</v>
      </c>
      <c r="G211" s="27" t="s">
        <v>8</v>
      </c>
    </row>
    <row r="212" spans="1:8" x14ac:dyDescent="0.25">
      <c r="A212" s="30">
        <v>5.8182851441162305E-3</v>
      </c>
      <c r="F212" s="27" t="s">
        <v>7</v>
      </c>
      <c r="G212" s="27" t="s">
        <v>8</v>
      </c>
    </row>
    <row r="213" spans="1:8" x14ac:dyDescent="0.25">
      <c r="A213" s="30">
        <v>5.2893501310147546E-3</v>
      </c>
      <c r="F213" s="27" t="s">
        <v>7</v>
      </c>
    </row>
    <row r="214" spans="1:8" x14ac:dyDescent="0.25">
      <c r="A214" s="30">
        <v>4.8085001191043222E-3</v>
      </c>
    </row>
    <row r="215" spans="1:8" x14ac:dyDescent="0.25">
      <c r="A215" s="30">
        <v>4.3713637446402926E-3</v>
      </c>
    </row>
    <row r="216" spans="1:8" x14ac:dyDescent="0.25">
      <c r="A216" s="30">
        <v>3.9739670405820838E-3</v>
      </c>
    </row>
    <row r="217" spans="1:8" x14ac:dyDescent="0.25">
      <c r="A217" s="30">
        <v>3.6126973096200759E-3</v>
      </c>
    </row>
    <row r="218" spans="1:8" x14ac:dyDescent="0.25">
      <c r="A218" s="30">
        <v>3.2842702814727962E-3</v>
      </c>
    </row>
    <row r="219" spans="1:8" x14ac:dyDescent="0.25">
      <c r="A219" s="30">
        <v>2.9857002558843601E-3</v>
      </c>
    </row>
    <row r="220" spans="1:8" x14ac:dyDescent="0.25">
      <c r="A220" s="30">
        <v>2.7142729598948726E-3</v>
      </c>
    </row>
    <row r="221" spans="1:8" x14ac:dyDescent="0.25">
      <c r="A221" s="30">
        <v>2.4675208726317021E-3</v>
      </c>
    </row>
    <row r="222" spans="1:8" x14ac:dyDescent="0.25">
      <c r="A222" s="30">
        <v>2.2432007933015472E-3</v>
      </c>
    </row>
    <row r="223" spans="1:8" x14ac:dyDescent="0.25">
      <c r="A223" s="30">
        <v>2.0392734484559519E-3</v>
      </c>
    </row>
    <row r="224" spans="1:8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761" operator="equal">
      <formula>$U$1</formula>
    </cfRule>
    <cfRule type="cellIs" dxfId="30" priority="762" operator="equal">
      <formula>$S$1</formula>
    </cfRule>
  </conditionalFormatting>
  <conditionalFormatting sqref="D136">
    <cfRule type="cellIs" dxfId="29" priority="759" operator="equal">
      <formula>$S$1</formula>
    </cfRule>
    <cfRule type="cellIs" dxfId="28" priority="760" operator="equal">
      <formula>$U$1</formula>
    </cfRule>
  </conditionalFormatting>
  <conditionalFormatting sqref="C102">
    <cfRule type="cellIs" dxfId="27" priority="757" operator="equal">
      <formula>$U$1</formula>
    </cfRule>
    <cfRule type="cellIs" dxfId="26" priority="758" operator="equal">
      <formula>$S$1</formula>
    </cfRule>
  </conditionalFormatting>
  <conditionalFormatting sqref="D102">
    <cfRule type="cellIs" dxfId="25" priority="755" operator="equal">
      <formula>$S$1</formula>
    </cfRule>
    <cfRule type="cellIs" dxfId="24" priority="756" operator="equal">
      <formula>$U$1</formula>
    </cfRule>
  </conditionalFormatting>
  <conditionalFormatting sqref="C77">
    <cfRule type="cellIs" dxfId="23" priority="753" operator="equal">
      <formula>$U$1</formula>
    </cfRule>
    <cfRule type="cellIs" dxfId="22" priority="754" operator="equal">
      <formula>$S$1</formula>
    </cfRule>
  </conditionalFormatting>
  <conditionalFormatting sqref="D77">
    <cfRule type="cellIs" dxfId="21" priority="751" operator="equal">
      <formula>$S$1</formula>
    </cfRule>
    <cfRule type="cellIs" dxfId="20" priority="752" operator="equal">
      <formula>$U$1</formula>
    </cfRule>
  </conditionalFormatting>
  <conditionalFormatting sqref="C52">
    <cfRule type="cellIs" dxfId="19" priority="749" operator="equal">
      <formula>$U$1</formula>
    </cfRule>
    <cfRule type="cellIs" dxfId="18" priority="750" operator="equal">
      <formula>$S$1</formula>
    </cfRule>
  </conditionalFormatting>
  <conditionalFormatting sqref="D52">
    <cfRule type="cellIs" dxfId="17" priority="747" operator="equal">
      <formula>$S$1</formula>
    </cfRule>
    <cfRule type="cellIs" dxfId="16" priority="748" operator="equal">
      <formula>$U$1</formula>
    </cfRule>
  </conditionalFormatting>
  <conditionalFormatting sqref="C26">
    <cfRule type="cellIs" dxfId="15" priority="745" operator="equal">
      <formula>$U$1</formula>
    </cfRule>
    <cfRule type="cellIs" dxfId="14" priority="746" operator="equal">
      <formula>$S$1</formula>
    </cfRule>
  </conditionalFormatting>
  <conditionalFormatting sqref="D26">
    <cfRule type="cellIs" dxfId="13" priority="743" operator="equal">
      <formula>$S$1</formula>
    </cfRule>
    <cfRule type="cellIs" dxfId="12" priority="74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2022-01-28T01:15:00Z</dcterms:modified>
</cp:coreProperties>
</file>