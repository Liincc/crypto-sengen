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D18A4D5-8AB6-4254-AC42-E929E11A589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8" i="5"/>
  <c r="C122" i="4"/>
  <c r="C133" i="4" s="1"/>
  <c r="C136" i="4" s="1"/>
  <c r="C118" i="4"/>
  <c r="R765" i="1"/>
  <c r="S765" i="1" s="1"/>
  <c r="T765" i="1" s="1"/>
  <c r="C122" i="3"/>
  <c r="C133" i="3" s="1"/>
  <c r="C136" i="3" s="1"/>
  <c r="C116" i="3"/>
  <c r="R764" i="1" l="1"/>
  <c r="R763" i="1" s="1"/>
  <c r="D136" i="5"/>
  <c r="C138" i="5" s="1"/>
  <c r="D136" i="4"/>
  <c r="C138" i="4" s="1"/>
  <c r="D136" i="3"/>
  <c r="C138" i="3" s="1"/>
  <c r="S764" i="1" l="1"/>
  <c r="T764" i="1" s="1"/>
  <c r="R762" i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S184" i="1" l="1"/>
  <c r="T184" i="1" s="1"/>
  <c r="R183" i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S168" i="1" l="1"/>
  <c r="T168" i="1" s="1"/>
  <c r="R167" i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S160" i="1" l="1"/>
  <c r="T160" i="1" s="1"/>
  <c r="R159" i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S136" i="1" l="1"/>
  <c r="T136" i="1" s="1"/>
  <c r="R135" i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S76" i="1" l="1"/>
  <c r="T76" i="1" s="1"/>
  <c r="R75" i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<sst xmlns="http://schemas.openxmlformats.org/spreadsheetml/2006/main" count="6143" uniqueCount="34">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</sst>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9.4199999999999996E-3</c:v>
                </c:pt>
                <c:pt idx="1">
                  <c:v>9.5600000000000008E-3</c:v>
                </c:pt>
                <c:pt idx="2">
                  <c:v>9.4699999999999993E-3</c:v>
                </c:pt>
                <c:pt idx="3">
                  <c:v>9.3900000000000008E-3</c:v>
                </c:pt>
                <c:pt idx="4">
                  <c:v>9.8300000000000002E-3</c:v>
                </c:pt>
                <c:pt idx="5">
                  <c:v>9.4400000000000005E-3</c:v>
                </c:pt>
                <c:pt idx="6">
                  <c:v>1.043E-2</c:v>
                </c:pt>
                <c:pt idx="7">
                  <c:v>1.217E-2</c:v>
                </c:pt>
                <c:pt idx="8">
                  <c:v>1.268E-2</c:v>
                </c:pt>
                <c:pt idx="9">
                  <c:v>1.3299999999999999E-2</c:v>
                </c:pt>
                <c:pt idx="10">
                  <c:v>1.3509999999999999E-2</c:v>
                </c:pt>
                <c:pt idx="11">
                  <c:v>1.41E-2</c:v>
                </c:pt>
                <c:pt idx="12">
                  <c:v>1.404E-2</c:v>
                </c:pt>
                <c:pt idx="13">
                  <c:v>1.3860000000000001E-2</c:v>
                </c:pt>
                <c:pt idx="14">
                  <c:v>1.345E-2</c:v>
                </c:pt>
                <c:pt idx="15">
                  <c:v>1.401E-2</c:v>
                </c:pt>
                <c:pt idx="16">
                  <c:v>1.353E-2</c:v>
                </c:pt>
                <c:pt idx="17">
                  <c:v>1.2959999999999999E-2</c:v>
                </c:pt>
                <c:pt idx="18">
                  <c:v>1.349E-2</c:v>
                </c:pt>
                <c:pt idx="19">
                  <c:v>1.3220000000000001E-2</c:v>
                </c:pt>
                <c:pt idx="20">
                  <c:v>1.3610000000000001E-2</c:v>
                </c:pt>
                <c:pt idx="21">
                  <c:v>1.448E-2</c:v>
                </c:pt>
                <c:pt idx="22">
                  <c:v>1.443E-2</c:v>
                </c:pt>
                <c:pt idx="23">
                  <c:v>1.55E-2</c:v>
                </c:pt>
                <c:pt idx="24">
                  <c:v>1.5740000000000001E-2</c:v>
                </c:pt>
                <c:pt idx="25">
                  <c:v>1.6199999999999999E-2</c:v>
                </c:pt>
                <c:pt idx="26">
                  <c:v>1.5570000000000001E-2</c:v>
                </c:pt>
                <c:pt idx="27">
                  <c:v>1.5180000000000001E-2</c:v>
                </c:pt>
                <c:pt idx="28">
                  <c:v>1.5299999999999999E-2</c:v>
                </c:pt>
                <c:pt idx="29">
                  <c:v>1.515E-2</c:v>
                </c:pt>
                <c:pt idx="30">
                  <c:v>1.559E-2</c:v>
                </c:pt>
                <c:pt idx="31">
                  <c:v>1.7129999999999999E-2</c:v>
                </c:pt>
                <c:pt idx="32">
                  <c:v>1.6670000000000001E-2</c:v>
                </c:pt>
                <c:pt idx="33">
                  <c:v>1.6719999999999999E-2</c:v>
                </c:pt>
                <c:pt idx="34">
                  <c:v>1.651E-2</c:v>
                </c:pt>
                <c:pt idx="35">
                  <c:v>1.704E-2</c:v>
                </c:pt>
                <c:pt idx="36">
                  <c:v>1.6029999999999999E-2</c:v>
                </c:pt>
                <c:pt idx="37">
                  <c:v>1.5730000000000001E-2</c:v>
                </c:pt>
                <c:pt idx="38">
                  <c:v>1.4930000000000001E-2</c:v>
                </c:pt>
                <c:pt idx="39">
                  <c:v>1.538E-2</c:v>
                </c:pt>
                <c:pt idx="40">
                  <c:v>1.537E-2</c:v>
                </c:pt>
                <c:pt idx="41">
                  <c:v>1.499E-2</c:v>
                </c:pt>
                <c:pt idx="42">
                  <c:v>1.5350000000000001E-2</c:v>
                </c:pt>
                <c:pt idx="43">
                  <c:v>1.5810000000000001E-2</c:v>
                </c:pt>
                <c:pt idx="44">
                  <c:v>1.523E-2</c:v>
                </c:pt>
                <c:pt idx="45">
                  <c:v>1.4670000000000001E-2</c:v>
                </c:pt>
                <c:pt idx="46">
                  <c:v>1.6740000000000001E-2</c:v>
                </c:pt>
                <c:pt idx="47">
                  <c:v>1.61E-2</c:v>
                </c:pt>
                <c:pt idx="48">
                  <c:v>1.6049999999999998E-2</c:v>
                </c:pt>
                <c:pt idx="49">
                  <c:v>1.6230000000000001E-2</c:v>
                </c:pt>
                <c:pt idx="50">
                  <c:v>1.821E-2</c:v>
                </c:pt>
                <c:pt idx="51">
                  <c:v>1.7919999999999998E-2</c:v>
                </c:pt>
                <c:pt idx="52">
                  <c:v>1.738E-2</c:v>
                </c:pt>
                <c:pt idx="53">
                  <c:v>1.7049999999999999E-2</c:v>
                </c:pt>
                <c:pt idx="54">
                  <c:v>1.7850000000000001E-2</c:v>
                </c:pt>
                <c:pt idx="55">
                  <c:v>2.1049999999999999E-2</c:v>
                </c:pt>
                <c:pt idx="56">
                  <c:v>2.4049999999999998E-2</c:v>
                </c:pt>
                <c:pt idx="57">
                  <c:v>2.273E-2</c:v>
                </c:pt>
                <c:pt idx="58">
                  <c:v>2.3400000000000001E-2</c:v>
                </c:pt>
                <c:pt idx="59">
                  <c:v>2.589E-2</c:v>
                </c:pt>
                <c:pt idx="60">
                  <c:v>2.4649999999999998E-2</c:v>
                </c:pt>
                <c:pt idx="61">
                  <c:v>2.6409999999999999E-2</c:v>
                </c:pt>
                <c:pt idx="62">
                  <c:v>2.649E-2</c:v>
                </c:pt>
                <c:pt idx="63">
                  <c:v>2.2100000000000002E-2</c:v>
                </c:pt>
                <c:pt idx="64">
                  <c:v>1.9800000000000002E-2</c:v>
                </c:pt>
                <c:pt idx="65">
                  <c:v>2.0289999999999999E-2</c:v>
                </c:pt>
                <c:pt idx="66">
                  <c:v>2.0650000000000002E-2</c:v>
                </c:pt>
                <c:pt idx="67">
                  <c:v>2.2100000000000002E-2</c:v>
                </c:pt>
                <c:pt idx="68">
                  <c:v>2.163E-2</c:v>
                </c:pt>
                <c:pt idx="69">
                  <c:v>2.0670000000000001E-2</c:v>
                </c:pt>
                <c:pt idx="70">
                  <c:v>1.8780000000000002E-2</c:v>
                </c:pt>
                <c:pt idx="71">
                  <c:v>1.9769999999999999E-2</c:v>
                </c:pt>
                <c:pt idx="72">
                  <c:v>1.8550000000000001E-2</c:v>
                </c:pt>
                <c:pt idx="73">
                  <c:v>1.9900000000000001E-2</c:v>
                </c:pt>
                <c:pt idx="74">
                  <c:v>1.9789999999999999E-2</c:v>
                </c:pt>
                <c:pt idx="75">
                  <c:v>1.9900000000000001E-2</c:v>
                </c:pt>
                <c:pt idx="76">
                  <c:v>1.9720000000000001E-2</c:v>
                </c:pt>
                <c:pt idx="77">
                  <c:v>1.9879999999999998E-2</c:v>
                </c:pt>
                <c:pt idx="78">
                  <c:v>1.9640000000000001E-2</c:v>
                </c:pt>
                <c:pt idx="79">
                  <c:v>2.1139999999999999E-2</c:v>
                </c:pt>
                <c:pt idx="80">
                  <c:v>2.1059999999999999E-2</c:v>
                </c:pt>
                <c:pt idx="81">
                  <c:v>1.9910000000000001E-2</c:v>
                </c:pt>
                <c:pt idx="82">
                  <c:v>1.9720000000000001E-2</c:v>
                </c:pt>
                <c:pt idx="83">
                  <c:v>1.9640000000000001E-2</c:v>
                </c:pt>
                <c:pt idx="84">
                  <c:v>2.01E-2</c:v>
                </c:pt>
                <c:pt idx="85">
                  <c:v>2.085E-2</c:v>
                </c:pt>
                <c:pt idx="86">
                  <c:v>2.1489999999999999E-2</c:v>
                </c:pt>
                <c:pt idx="87">
                  <c:v>2.0049999999999998E-2</c:v>
                </c:pt>
                <c:pt idx="88">
                  <c:v>2.0459999999999999E-2</c:v>
                </c:pt>
                <c:pt idx="89">
                  <c:v>1.8759999999999999E-2</c:v>
                </c:pt>
                <c:pt idx="90">
                  <c:v>1.847E-2</c:v>
                </c:pt>
                <c:pt idx="91">
                  <c:v>1.7520000000000001E-2</c:v>
                </c:pt>
                <c:pt idx="92">
                  <c:v>1.6469999999999999E-2</c:v>
                </c:pt>
                <c:pt idx="93">
                  <c:v>1.8749999999999999E-2</c:v>
                </c:pt>
                <c:pt idx="94">
                  <c:v>1.9009999999999999E-2</c:v>
                </c:pt>
                <c:pt idx="95">
                  <c:v>1.821E-2</c:v>
                </c:pt>
                <c:pt idx="96">
                  <c:v>1.8689999999999998E-2</c:v>
                </c:pt>
                <c:pt idx="97">
                  <c:v>1.865E-2</c:v>
                </c:pt>
                <c:pt idx="98">
                  <c:v>1.8249999999999999E-2</c:v>
                </c:pt>
                <c:pt idx="99">
                  <c:v>1.9089999999999999E-2</c:v>
                </c:pt>
                <c:pt idx="100">
                  <c:v>1.8350000000000002E-2</c:v>
                </c:pt>
                <c:pt idx="101">
                  <c:v>1.8370000000000001E-2</c:v>
                </c:pt>
                <c:pt idx="102">
                  <c:v>1.7749999999999998E-2</c:v>
                </c:pt>
                <c:pt idx="103">
                  <c:v>1.8290000000000001E-2</c:v>
                </c:pt>
                <c:pt idx="104">
                  <c:v>1.8499999999999999E-2</c:v>
                </c:pt>
                <c:pt idx="105">
                  <c:v>1.8939999999999999E-2</c:v>
                </c:pt>
                <c:pt idx="106">
                  <c:v>1.8800000000000001E-2</c:v>
                </c:pt>
                <c:pt idx="107">
                  <c:v>1.805E-2</c:v>
                </c:pt>
                <c:pt idx="108">
                  <c:v>1.9060000000000001E-2</c:v>
                </c:pt>
                <c:pt idx="109">
                  <c:v>1.9619999999999999E-2</c:v>
                </c:pt>
                <c:pt idx="110">
                  <c:v>2.0729999999999998E-2</c:v>
                </c:pt>
                <c:pt idx="111">
                  <c:v>2.0119999999999999E-2</c:v>
                </c:pt>
                <c:pt idx="112">
                  <c:v>1.8540000000000001E-2</c:v>
                </c:pt>
                <c:pt idx="113">
                  <c:v>1.908E-2</c:v>
                </c:pt>
                <c:pt idx="114">
                  <c:v>1.8350000000000002E-2</c:v>
                </c:pt>
                <c:pt idx="115">
                  <c:v>1.6049999999999998E-2</c:v>
                </c:pt>
                <c:pt idx="116">
                  <c:v>1.6590000000000001E-2</c:v>
                </c:pt>
                <c:pt idx="117">
                  <c:v>1.6049999999999998E-2</c:v>
                </c:pt>
                <c:pt idx="118">
                  <c:v>1.6080000000000001E-2</c:v>
                </c:pt>
                <c:pt idx="119">
                  <c:v>1.456E-2</c:v>
                </c:pt>
                <c:pt idx="120">
                  <c:v>1.3729999999999999E-2</c:v>
                </c:pt>
                <c:pt idx="121">
                  <c:v>1.3310000000000001E-2</c:v>
                </c:pt>
                <c:pt idx="122">
                  <c:v>1.4160000000000001E-2</c:v>
                </c:pt>
                <c:pt idx="123">
                  <c:v>1.499E-2</c:v>
                </c:pt>
                <c:pt idx="124">
                  <c:v>1.4749999999999999E-2</c:v>
                </c:pt>
                <c:pt idx="125">
                  <c:v>1.491E-2</c:v>
                </c:pt>
                <c:pt idx="126">
                  <c:v>1.6330000000000001E-2</c:v>
                </c:pt>
                <c:pt idx="127">
                  <c:v>1.5970000000000002E-2</c:v>
                </c:pt>
                <c:pt idx="128">
                  <c:v>1.4330000000000001E-2</c:v>
                </c:pt>
                <c:pt idx="129">
                  <c:v>1.6379999999999999E-2</c:v>
                </c:pt>
                <c:pt idx="130">
                  <c:v>1.8030000000000001E-2</c:v>
                </c:pt>
                <c:pt idx="131">
                  <c:v>1.9040000000000001E-2</c:v>
                </c:pt>
                <c:pt idx="132">
                  <c:v>1.8200000000000001E-2</c:v>
                </c:pt>
                <c:pt idx="133">
                  <c:v>1.8939999999999999E-2</c:v>
                </c:pt>
                <c:pt idx="134">
                  <c:v>1.9449999999999999E-2</c:v>
                </c:pt>
                <c:pt idx="135">
                  <c:v>1.8849999999999999E-2</c:v>
                </c:pt>
                <c:pt idx="136">
                  <c:v>1.8200000000000001E-2</c:v>
                </c:pt>
                <c:pt idx="137">
                  <c:v>1.9619999999999999E-2</c:v>
                </c:pt>
                <c:pt idx="138">
                  <c:v>1.8540000000000001E-2</c:v>
                </c:pt>
                <c:pt idx="139">
                  <c:v>1.8169999999999999E-2</c:v>
                </c:pt>
                <c:pt idx="140">
                  <c:v>1.9980000000000001E-2</c:v>
                </c:pt>
                <c:pt idx="141">
                  <c:v>1.9179999999999999E-2</c:v>
                </c:pt>
                <c:pt idx="142">
                  <c:v>1.933E-2</c:v>
                </c:pt>
                <c:pt idx="143">
                  <c:v>2.4539999999999999E-2</c:v>
                </c:pt>
                <c:pt idx="144">
                  <c:v>2.4709999999999999E-2</c:v>
                </c:pt>
                <c:pt idx="145">
                  <c:v>2.401E-2</c:v>
                </c:pt>
                <c:pt idx="146">
                  <c:v>2.1399999999999999E-2</c:v>
                </c:pt>
                <c:pt idx="147">
                  <c:v>2.068E-2</c:v>
                </c:pt>
                <c:pt idx="148">
                  <c:v>2.0760000000000001E-2</c:v>
                </c:pt>
                <c:pt idx="149">
                  <c:v>1.9720000000000001E-2</c:v>
                </c:pt>
                <c:pt idx="150">
                  <c:v>1.932E-2</c:v>
                </c:pt>
                <c:pt idx="151">
                  <c:v>2.0820000000000002E-2</c:v>
                </c:pt>
                <c:pt idx="152">
                  <c:v>2.1260000000000001E-2</c:v>
                </c:pt>
                <c:pt idx="153">
                  <c:v>2.196E-2</c:v>
                </c:pt>
                <c:pt idx="154">
                  <c:v>2.1049999999999999E-2</c:v>
                </c:pt>
                <c:pt idx="155">
                  <c:v>2.2971999999999999E-2</c:v>
                </c:pt>
                <c:pt idx="156">
                  <c:v>2.0369999999999999E-2</c:v>
                </c:pt>
                <c:pt idx="157">
                  <c:v>2.0895E-2</c:v>
                </c:pt>
                <c:pt idx="158">
                  <c:v>1.8769999999999998E-2</c:v>
                </c:pt>
                <c:pt idx="159">
                  <c:v>1.8571000000000001E-2</c:v>
                </c:pt>
                <c:pt idx="160">
                  <c:v>1.9029000000000001E-2</c:v>
                </c:pt>
                <c:pt idx="161">
                  <c:v>1.8318999999999998E-2</c:v>
                </c:pt>
                <c:pt idx="162">
                  <c:v>1.7301E-2</c:v>
                </c:pt>
                <c:pt idx="163">
                  <c:v>1.7852E-2</c:v>
                </c:pt>
                <c:pt idx="164">
                  <c:v>1.9481999999999999E-2</c:v>
                </c:pt>
                <c:pt idx="165">
                  <c:v>1.9618E-2</c:v>
                </c:pt>
                <c:pt idx="166">
                  <c:v>1.9446000000000001E-2</c:v>
                </c:pt>
                <c:pt idx="167">
                  <c:v>1.9103999999999999E-2</c:v>
                </c:pt>
                <c:pt idx="168">
                  <c:v>1.7668E-2</c:v>
                </c:pt>
                <c:pt idx="169">
                  <c:v>1.8277999999999999E-2</c:v>
                </c:pt>
                <c:pt idx="170">
                  <c:v>1.7274999999999999E-2</c:v>
                </c:pt>
                <c:pt idx="171">
                  <c:v>1.6983999999999999E-2</c:v>
                </c:pt>
                <c:pt idx="172">
                  <c:v>1.6399E-2</c:v>
                </c:pt>
                <c:pt idx="173">
                  <c:v>1.7573999999999999E-2</c:v>
                </c:pt>
                <c:pt idx="174">
                  <c:v>1.7219000000000002E-2</c:v>
                </c:pt>
                <c:pt idx="175">
                  <c:v>1.6157999999999999E-2</c:v>
                </c:pt>
                <c:pt idx="176">
                  <c:v>1.5883999999999999E-2</c:v>
                </c:pt>
                <c:pt idx="177">
                  <c:v>1.4976E-2</c:v>
                </c:pt>
                <c:pt idx="178">
                  <c:v>1.592E-2</c:v>
                </c:pt>
                <c:pt idx="179">
                  <c:v>1.5845999999999999E-2</c:v>
                </c:pt>
                <c:pt idx="180">
                  <c:v>1.4978E-2</c:v>
                </c:pt>
                <c:pt idx="181">
                  <c:v>1.4029E-2</c:v>
                </c:pt>
                <c:pt idx="182">
                  <c:v>1.3459E-2</c:v>
                </c:pt>
                <c:pt idx="183">
                  <c:v>1.2737999999999999E-2</c:v>
                </c:pt>
                <c:pt idx="184">
                  <c:v>1.2458E-2</c:v>
                </c:pt>
                <c:pt idx="185">
                  <c:v>1.196E-2</c:v>
                </c:pt>
                <c:pt idx="186">
                  <c:v>1.1575999999999999E-2</c:v>
                </c:pt>
                <c:pt idx="187">
                  <c:v>1.1247E-2</c:v>
                </c:pt>
                <c:pt idx="188">
                  <c:v>1.1171E-2</c:v>
                </c:pt>
                <c:pt idx="189">
                  <c:v>1.0824E-2</c:v>
                </c:pt>
                <c:pt idx="190">
                  <c:v>1.0636E-2</c:v>
                </c:pt>
                <c:pt idx="191">
                  <c:v>9.7719999999999994E-3</c:v>
                </c:pt>
                <c:pt idx="192">
                  <c:v>1.0656000000000001E-2</c:v>
                </c:pt>
                <c:pt idx="193">
                  <c:v>1.1218000000000001E-2</c:v>
                </c:pt>
                <c:pt idx="194">
                  <c:v>1.0985999999999999E-2</c:v>
                </c:pt>
                <c:pt idx="195">
                  <c:v>1.0798E-2</c:v>
                </c:pt>
                <c:pt idx="196">
                  <c:v>1.1369000000000001E-2</c:v>
                </c:pt>
                <c:pt idx="197">
                  <c:v>1.18E-2</c:v>
                </c:pt>
                <c:pt idx="198">
                  <c:v>1.2166E-2</c:v>
                </c:pt>
                <c:pt idx="199">
                  <c:v>1.2652999999999999E-2</c:v>
                </c:pt>
                <c:pt idx="200">
                  <c:v>1.2989000000000001E-2</c:v>
                </c:pt>
                <c:pt idx="201">
                  <c:v>1.2808999999999999E-2</c:v>
                </c:pt>
                <c:pt idx="202">
                  <c:v>1.3233E-2</c:v>
                </c:pt>
                <c:pt idx="203">
                  <c:v>1.3403E-2</c:v>
                </c:pt>
                <c:pt idx="204">
                  <c:v>1.4186000000000001E-2</c:v>
                </c:pt>
                <c:pt idx="205">
                  <c:v>1.3922E-2</c:v>
                </c:pt>
                <c:pt idx="206">
                  <c:v>1.342E-2</c:v>
                </c:pt>
                <c:pt idx="207">
                  <c:v>1.3995E-2</c:v>
                </c:pt>
                <c:pt idx="208">
                  <c:v>1.3782000000000001E-2</c:v>
                </c:pt>
                <c:pt idx="209">
                  <c:v>1.3280999999999999E-2</c:v>
                </c:pt>
                <c:pt idx="210">
                  <c:v>1.307E-2</c:v>
                </c:pt>
                <c:pt idx="211">
                  <c:v>1.3311E-2</c:v>
                </c:pt>
                <c:pt idx="212">
                  <c:v>1.2931E-2</c:v>
                </c:pt>
                <c:pt idx="213">
                  <c:v>1.2057999999999999E-2</c:v>
                </c:pt>
                <c:pt idx="214">
                  <c:v>1.1235999999999999E-2</c:v>
                </c:pt>
                <c:pt idx="215">
                  <c:v>1.0914E-2</c:v>
                </c:pt>
                <c:pt idx="216">
                  <c:v>1.0629E-2</c:v>
                </c:pt>
                <c:pt idx="217">
                  <c:v>1.1582E-2</c:v>
                </c:pt>
                <c:pt idx="218">
                  <c:v>1.0409E-2</c:v>
                </c:pt>
                <c:pt idx="219">
                  <c:v>9.3880000000000005E-3</c:v>
                </c:pt>
                <c:pt idx="220">
                  <c:v>9.8309999999999995E-3</c:v>
                </c:pt>
                <c:pt idx="221">
                  <c:v>1.3245E-2</c:v>
                </c:pt>
                <c:pt idx="222">
                  <c:v>1.3356E-2</c:v>
                </c:pt>
                <c:pt idx="223">
                  <c:v>1.4138E-2</c:v>
                </c:pt>
                <c:pt idx="224">
                  <c:v>1.4963000000000001E-2</c:v>
                </c:pt>
                <c:pt idx="225">
                  <c:v>1.5188E-2</c:v>
                </c:pt>
                <c:pt idx="226">
                  <c:v>1.6001999999999999E-2</c:v>
                </c:pt>
                <c:pt idx="227">
                  <c:v>1.6129000000000001E-2</c:v>
                </c:pt>
                <c:pt idx="228">
                  <c:v>1.5651000000000002E-2</c:v>
                </c:pt>
                <c:pt idx="229">
                  <c:v>1.5021E-2</c:v>
                </c:pt>
                <c:pt idx="230">
                  <c:v>1.5442000000000001E-2</c:v>
                </c:pt>
                <c:pt idx="231">
                  <c:v>1.6420000000000001E-2</c:v>
                </c:pt>
                <c:pt idx="232">
                  <c:v>1.6775000000000002E-2</c:v>
                </c:pt>
                <c:pt idx="233">
                  <c:v>1.6046000000000001E-2</c:v>
                </c:pt>
                <c:pt idx="234">
                  <c:v>1.6532000000000002E-2</c:v>
                </c:pt>
                <c:pt idx="235">
                  <c:v>1.8733E-2</c:v>
                </c:pt>
                <c:pt idx="236">
                  <c:v>1.8196E-2</c:v>
                </c:pt>
                <c:pt idx="237">
                  <c:v>1.8519000000000001E-2</c:v>
                </c:pt>
                <c:pt idx="238">
                  <c:v>1.8853000000000002E-2</c:v>
                </c:pt>
                <c:pt idx="239">
                  <c:v>1.7600999999999999E-2</c:v>
                </c:pt>
                <c:pt idx="240">
                  <c:v>1.7127E-2</c:v>
                </c:pt>
                <c:pt idx="241">
                  <c:v>1.7840000000000002E-2</c:v>
                </c:pt>
                <c:pt idx="242">
                  <c:v>1.7044E-2</c:v>
                </c:pt>
                <c:pt idx="243">
                  <c:v>1.6237000000000001E-2</c:v>
                </c:pt>
                <c:pt idx="244">
                  <c:v>1.6684999999999998E-2</c:v>
                </c:pt>
                <c:pt idx="245">
                  <c:v>1.9033000000000001E-2</c:v>
                </c:pt>
                <c:pt idx="246">
                  <c:v>2.0466999999999999E-2</c:v>
                </c:pt>
                <c:pt idx="247">
                  <c:v>1.7559000000000002E-2</c:v>
                </c:pt>
                <c:pt idx="248">
                  <c:v>1.7853999999999998E-2</c:v>
                </c:pt>
                <c:pt idx="249">
                  <c:v>1.4951000000000001E-2</c:v>
                </c:pt>
                <c:pt idx="250">
                  <c:v>1.9009999999999999E-2</c:v>
                </c:pt>
                <c:pt idx="251">
                  <c:v>1.9035E-2</c:v>
                </c:pt>
                <c:pt idx="252">
                  <c:v>2.0330999999999998E-2</c:v>
                </c:pt>
                <c:pt idx="253">
                  <c:v>1.7054E-2</c:v>
                </c:pt>
                <c:pt idx="254">
                  <c:v>2.6950999999999999E-2</c:v>
                </c:pt>
                <c:pt idx="255">
                  <c:v>2.6061999999999998E-2</c:v>
                </c:pt>
                <c:pt idx="256">
                  <c:v>2.8902000000000001E-2</c:v>
                </c:pt>
                <c:pt idx="257">
                  <c:v>2.9165E-2</c:v>
                </c:pt>
                <c:pt idx="258">
                  <c:v>3.2300000000000002E-2</c:v>
                </c:pt>
                <c:pt idx="259">
                  <c:v>3.0540999999999999E-2</c:v>
                </c:pt>
                <c:pt idx="260">
                  <c:v>2.9426000000000001E-2</c:v>
                </c:pt>
                <c:pt idx="261">
                  <c:v>3.7283999999999998E-2</c:v>
                </c:pt>
                <c:pt idx="262">
                  <c:v>3.4500999999999997E-2</c:v>
                </c:pt>
                <c:pt idx="263">
                  <c:v>3.9399999999999998E-2</c:v>
                </c:pt>
                <c:pt idx="264">
                  <c:v>4.0389000000000001E-2</c:v>
                </c:pt>
                <c:pt idx="265">
                  <c:v>4.2415000000000001E-2</c:v>
                </c:pt>
                <c:pt idx="266">
                  <c:v>4.1230000000000003E-2</c:v>
                </c:pt>
                <c:pt idx="267">
                  <c:v>4.1105000000000003E-2</c:v>
                </c:pt>
                <c:pt idx="268">
                  <c:v>3.5784000000000003E-2</c:v>
                </c:pt>
                <c:pt idx="269">
                  <c:v>4.0633000000000002E-2</c:v>
                </c:pt>
                <c:pt idx="270">
                  <c:v>4.1390999999999997E-2</c:v>
                </c:pt>
                <c:pt idx="271">
                  <c:v>3.9955999999999998E-2</c:v>
                </c:pt>
                <c:pt idx="272">
                  <c:v>4.0828000000000003E-2</c:v>
                </c:pt>
                <c:pt idx="273">
                  <c:v>3.7747000000000003E-2</c:v>
                </c:pt>
                <c:pt idx="274">
                  <c:v>3.9336000000000003E-2</c:v>
                </c:pt>
                <c:pt idx="275">
                  <c:v>4.1118000000000002E-2</c:v>
                </c:pt>
                <c:pt idx="276">
                  <c:v>3.6799999999999999E-2</c:v>
                </c:pt>
                <c:pt idx="277">
                  <c:v>3.0615E-2</c:v>
                </c:pt>
                <c:pt idx="278">
                  <c:v>3.1198E-2</c:v>
                </c:pt>
                <c:pt idx="279">
                  <c:v>3.4429000000000001E-2</c:v>
                </c:pt>
                <c:pt idx="280">
                  <c:v>3.4672000000000001E-2</c:v>
                </c:pt>
                <c:pt idx="281">
                  <c:v>4.2159000000000002E-2</c:v>
                </c:pt>
                <c:pt idx="282">
                  <c:v>4.4844000000000002E-2</c:v>
                </c:pt>
                <c:pt idx="283">
                  <c:v>4.367E-2</c:v>
                </c:pt>
                <c:pt idx="284">
                  <c:v>4.8084000000000002E-2</c:v>
                </c:pt>
                <c:pt idx="285">
                  <c:v>5.2948000000000002E-2</c:v>
                </c:pt>
                <c:pt idx="286">
                  <c:v>4.2583000000000003E-2</c:v>
                </c:pt>
                <c:pt idx="287">
                  <c:v>3.3169999999999998E-2</c:v>
                </c:pt>
                <c:pt idx="288">
                  <c:v>3.3459999999999997E-2</c:v>
                </c:pt>
                <c:pt idx="289">
                  <c:v>2.8101999999999999E-2</c:v>
                </c:pt>
                <c:pt idx="290">
                  <c:v>2.6332000000000001E-2</c:v>
                </c:pt>
                <c:pt idx="291">
                  <c:v>2.7616999999999999E-2</c:v>
                </c:pt>
                <c:pt idx="292">
                  <c:v>2.8059000000000001E-2</c:v>
                </c:pt>
                <c:pt idx="293">
                  <c:v>2.9895000000000001E-2</c:v>
                </c:pt>
                <c:pt idx="294">
                  <c:v>2.9582000000000001E-2</c:v>
                </c:pt>
                <c:pt idx="295">
                  <c:v>2.6062999999999999E-2</c:v>
                </c:pt>
                <c:pt idx="296">
                  <c:v>2.9864000000000002E-2</c:v>
                </c:pt>
                <c:pt idx="297">
                  <c:v>3.2199999999999999E-2</c:v>
                </c:pt>
                <c:pt idx="298">
                  <c:v>2.9281999999999999E-2</c:v>
                </c:pt>
                <c:pt idx="299">
                  <c:v>2.6294000000000001E-2</c:v>
                </c:pt>
                <c:pt idx="300">
                  <c:v>3.0438E-2</c:v>
                </c:pt>
                <c:pt idx="301">
                  <c:v>2.8393999999999999E-2</c:v>
                </c:pt>
                <c:pt idx="302">
                  <c:v>2.5808000000000001E-2</c:v>
                </c:pt>
                <c:pt idx="303">
                  <c:v>2.5361999999999999E-2</c:v>
                </c:pt>
                <c:pt idx="304">
                  <c:v>2.4937000000000001E-2</c:v>
                </c:pt>
                <c:pt idx="305">
                  <c:v>2.4865999999999999E-2</c:v>
                </c:pt>
                <c:pt idx="306">
                  <c:v>2.3428999999999998E-2</c:v>
                </c:pt>
                <c:pt idx="307">
                  <c:v>2.1288999999999999E-2</c:v>
                </c:pt>
                <c:pt idx="308">
                  <c:v>1.8526999999999998E-2</c:v>
                </c:pt>
                <c:pt idx="309">
                  <c:v>1.9324000000000001E-2</c:v>
                </c:pt>
                <c:pt idx="310">
                  <c:v>2.1961999999999999E-2</c:v>
                </c:pt>
                <c:pt idx="311">
                  <c:v>2.1474E-2</c:v>
                </c:pt>
                <c:pt idx="312">
                  <c:v>2.4655E-2</c:v>
                </c:pt>
                <c:pt idx="313">
                  <c:v>2.2918999999999998E-2</c:v>
                </c:pt>
                <c:pt idx="314">
                  <c:v>2.4365000000000001E-2</c:v>
                </c:pt>
                <c:pt idx="315">
                  <c:v>2.2620000000000001E-2</c:v>
                </c:pt>
                <c:pt idx="316">
                  <c:v>2.0114E-2</c:v>
                </c:pt>
                <c:pt idx="317">
                  <c:v>1.8218000000000002E-2</c:v>
                </c:pt>
                <c:pt idx="318">
                  <c:v>1.8865E-2</c:v>
                </c:pt>
                <c:pt idx="319">
                  <c:v>1.4056000000000001E-2</c:v>
                </c:pt>
                <c:pt idx="320">
                  <c:v>1.3472E-2</c:v>
                </c:pt>
                <c:pt idx="321">
                  <c:v>1.1686999999999999E-2</c:v>
                </c:pt>
                <c:pt idx="322">
                  <c:v>1.1849999999999999E-2</c:v>
                </c:pt>
                <c:pt idx="323">
                  <c:v>1.2002000000000001E-2</c:v>
                </c:pt>
                <c:pt idx="324">
                  <c:v>1.2063000000000001E-2</c:v>
                </c:pt>
                <c:pt idx="325">
                  <c:v>1.1355000000000001E-2</c:v>
                </c:pt>
                <c:pt idx="326">
                  <c:v>1.0881E-2</c:v>
                </c:pt>
                <c:pt idx="327">
                  <c:v>1.0692E-2</c:v>
                </c:pt>
                <c:pt idx="328">
                  <c:v>1.0559000000000001E-2</c:v>
                </c:pt>
                <c:pt idx="329">
                  <c:v>1.0482E-2</c:v>
                </c:pt>
                <c:pt idx="330">
                  <c:v>1.0703000000000001E-2</c:v>
                </c:pt>
                <c:pt idx="331">
                  <c:v>1.0152E-2</c:v>
                </c:pt>
                <c:pt idx="332">
                  <c:v>1.0217E-2</c:v>
                </c:pt>
                <c:pt idx="333">
                  <c:v>9.6369999999999997E-3</c:v>
                </c:pt>
                <c:pt idx="334">
                  <c:v>1.0092E-2</c:v>
                </c:pt>
                <c:pt idx="335">
                  <c:v>9.8329999999999997E-3</c:v>
                </c:pt>
                <c:pt idx="336">
                  <c:v>1.023E-2</c:v>
                </c:pt>
                <c:pt idx="337">
                  <c:v>1.0859000000000001E-2</c:v>
                </c:pt>
                <c:pt idx="338">
                  <c:v>1.0699999999999999E-2</c:v>
                </c:pt>
                <c:pt idx="339">
                  <c:v>1.2652999999999999E-2</c:v>
                </c:pt>
                <c:pt idx="340">
                  <c:v>1.3708E-2</c:v>
                </c:pt>
                <c:pt idx="341">
                  <c:v>1.2924E-2</c:v>
                </c:pt>
                <c:pt idx="342">
                  <c:v>1.3471E-2</c:v>
                </c:pt>
                <c:pt idx="343">
                  <c:v>1.3440000000000001E-2</c:v>
                </c:pt>
                <c:pt idx="344">
                  <c:v>1.2248E-2</c:v>
                </c:pt>
                <c:pt idx="345">
                  <c:v>1.1479E-2</c:v>
                </c:pt>
                <c:pt idx="346">
                  <c:v>1.1833E-2</c:v>
                </c:pt>
                <c:pt idx="347">
                  <c:v>1.269E-2</c:v>
                </c:pt>
                <c:pt idx="348">
                  <c:v>1.3650000000000001E-2</c:v>
                </c:pt>
                <c:pt idx="349">
                  <c:v>1.2919E-2</c:v>
                </c:pt>
                <c:pt idx="350">
                  <c:v>1.1303000000000001E-2</c:v>
                </c:pt>
                <c:pt idx="351">
                  <c:v>1.0366999999999999E-2</c:v>
                </c:pt>
                <c:pt idx="352">
                  <c:v>1.0089000000000001E-2</c:v>
                </c:pt>
                <c:pt idx="353">
                  <c:v>9.0150000000000004E-3</c:v>
                </c:pt>
                <c:pt idx="354">
                  <c:v>8.2710000000000006E-3</c:v>
                </c:pt>
                <c:pt idx="355">
                  <c:v>8.5459999999999998E-3</c:v>
                </c:pt>
                <c:pt idx="356">
                  <c:v>9.3919999999999993E-3</c:v>
                </c:pt>
                <c:pt idx="357">
                  <c:v>8.4639999999999993E-3</c:v>
                </c:pt>
                <c:pt idx="358">
                  <c:v>8.9040000000000005E-3</c:v>
                </c:pt>
                <c:pt idx="359">
                  <c:v>8.7819999999999999E-3</c:v>
                </c:pt>
                <c:pt idx="360">
                  <c:v>7.3140000000000002E-3</c:v>
                </c:pt>
                <c:pt idx="361">
                  <c:v>7.4219999999999998E-3</c:v>
                </c:pt>
                <c:pt idx="362">
                  <c:v>6.5789999999999998E-3</c:v>
                </c:pt>
                <c:pt idx="363">
                  <c:v>7.345E-3</c:v>
                </c:pt>
                <c:pt idx="364">
                  <c:v>5.6820000000000004E-3</c:v>
                </c:pt>
                <c:pt idx="365">
                  <c:v>4.1419999999999998E-3</c:v>
                </c:pt>
                <c:pt idx="366">
                  <c:v>4.4349999999999997E-3</c:v>
                </c:pt>
                <c:pt idx="367">
                  <c:v>4.5110000000000003E-3</c:v>
                </c:pt>
                <c:pt idx="368">
                  <c:v>4.6550000000000003E-3</c:v>
                </c:pt>
                <c:pt idx="369">
                  <c:v>4.666E-3</c:v>
                </c:pt>
                <c:pt idx="370">
                  <c:v>4.5970000000000004E-3</c:v>
                </c:pt>
                <c:pt idx="371">
                  <c:v>4.4450000000000002E-3</c:v>
                </c:pt>
                <c:pt idx="372">
                  <c:v>5.2709999999999996E-3</c:v>
                </c:pt>
                <c:pt idx="373">
                  <c:v>5.0179999999999999E-3</c:v>
                </c:pt>
                <c:pt idx="374">
                  <c:v>4.8719999999999996E-3</c:v>
                </c:pt>
                <c:pt idx="375">
                  <c:v>4.6600000000000001E-3</c:v>
                </c:pt>
                <c:pt idx="376">
                  <c:v>4.7569999999999999E-3</c:v>
                </c:pt>
                <c:pt idx="377">
                  <c:v>4.5739999999999999E-3</c:v>
                </c:pt>
                <c:pt idx="378">
                  <c:v>4.5970000000000004E-3</c:v>
                </c:pt>
                <c:pt idx="379">
                  <c:v>4.4720000000000003E-3</c:v>
                </c:pt>
                <c:pt idx="380">
                  <c:v>4.2500000000000003E-3</c:v>
                </c:pt>
                <c:pt idx="381">
                  <c:v>4.346E-3</c:v>
                </c:pt>
                <c:pt idx="382">
                  <c:v>4.9020000000000001E-3</c:v>
                </c:pt>
                <c:pt idx="383">
                  <c:v>5.1149999999999998E-3</c:v>
                </c:pt>
                <c:pt idx="384">
                  <c:v>4.7860000000000003E-3</c:v>
                </c:pt>
                <c:pt idx="385">
                  <c:v>4.8979999999999996E-3</c:v>
                </c:pt>
                <c:pt idx="386">
                  <c:v>4.5640000000000003E-3</c:v>
                </c:pt>
                <c:pt idx="387">
                  <c:v>4.2160000000000001E-3</c:v>
                </c:pt>
                <c:pt idx="388">
                  <c:v>4.3210000000000002E-3</c:v>
                </c:pt>
                <c:pt idx="389">
                  <c:v>4.6610000000000002E-3</c:v>
                </c:pt>
                <c:pt idx="390">
                  <c:v>4.5360000000000001E-3</c:v>
                </c:pt>
                <c:pt idx="391">
                  <c:v>3.3939999999999999E-3</c:v>
                </c:pt>
                <c:pt idx="392">
                  <c:v>3.114E-3</c:v>
                </c:pt>
                <c:pt idx="393">
                  <c:v>3.3700000000000002E-3</c:v>
                </c:pt>
                <c:pt idx="394">
                  <c:v>3.2179999999999999E-3</c:v>
                </c:pt>
                <c:pt idx="395">
                  <c:v>3.431E-3</c:v>
                </c:pt>
                <c:pt idx="396">
                  <c:v>3.3279999999999998E-3</c:v>
                </c:pt>
                <c:pt idx="397">
                  <c:v>3.2699999999999999E-3</c:v>
                </c:pt>
                <c:pt idx="398">
                  <c:v>3.104E-3</c:v>
                </c:pt>
                <c:pt idx="399">
                  <c:v>3.2079999999999999E-3</c:v>
                </c:pt>
                <c:pt idx="400">
                  <c:v>2.846E-3</c:v>
                </c:pt>
                <c:pt idx="401">
                  <c:v>3.3830000000000002E-3</c:v>
                </c:pt>
                <c:pt idx="402">
                  <c:v>3.5070000000000001E-3</c:v>
                </c:pt>
                <c:pt idx="403">
                  <c:v>3.63E-3</c:v>
                </c:pt>
                <c:pt idx="404">
                  <c:v>3.627E-3</c:v>
                </c:pt>
                <c:pt idx="405">
                  <c:v>3.6080000000000001E-3</c:v>
                </c:pt>
                <c:pt idx="406">
                  <c:v>3.5309999999999999E-3</c:v>
                </c:pt>
                <c:pt idx="407">
                  <c:v>3.4190000000000002E-3</c:v>
                </c:pt>
                <c:pt idx="408">
                  <c:v>3.2499999999999999E-3</c:v>
                </c:pt>
                <c:pt idx="409">
                  <c:v>3.258E-3</c:v>
                </c:pt>
                <c:pt idx="410">
                  <c:v>3.2699999999999999E-3</c:v>
                </c:pt>
                <c:pt idx="411">
                  <c:v>3.2460000000000002E-3</c:v>
                </c:pt>
                <c:pt idx="412">
                  <c:v>3.058E-3</c:v>
                </c:pt>
                <c:pt idx="413">
                  <c:v>3.2139999999999998E-3</c:v>
                </c:pt>
                <c:pt idx="414">
                  <c:v>3.287E-3</c:v>
                </c:pt>
                <c:pt idx="415">
                  <c:v>3.2980000000000002E-3</c:v>
                </c:pt>
                <c:pt idx="416">
                  <c:v>3.506E-3</c:v>
                </c:pt>
                <c:pt idx="417">
                  <c:v>3.614E-3</c:v>
                </c:pt>
                <c:pt idx="418">
                  <c:v>3.735E-3</c:v>
                </c:pt>
                <c:pt idx="419">
                  <c:v>3.578E-3</c:v>
                </c:pt>
                <c:pt idx="420">
                  <c:v>3.444E-3</c:v>
                </c:pt>
                <c:pt idx="421">
                  <c:v>3.457E-3</c:v>
                </c:pt>
                <c:pt idx="422">
                  <c:v>3.3140000000000001E-3</c:v>
                </c:pt>
                <c:pt idx="423">
                  <c:v>3.3739999999999998E-3</c:v>
                </c:pt>
                <c:pt idx="424">
                  <c:v>3.2030000000000001E-3</c:v>
                </c:pt>
                <c:pt idx="425">
                  <c:v>3.2299999999999998E-3</c:v>
                </c:pt>
                <c:pt idx="426">
                  <c:v>2.9889999999999999E-3</c:v>
                </c:pt>
                <c:pt idx="427">
                  <c:v>3.0439999999999998E-3</c:v>
                </c:pt>
                <c:pt idx="428">
                  <c:v>3.6549999999999998E-3</c:v>
                </c:pt>
                <c:pt idx="429">
                  <c:v>3.8649999999999999E-3</c:v>
                </c:pt>
                <c:pt idx="430">
                  <c:v>3.0920000000000001E-3</c:v>
                </c:pt>
                <c:pt idx="431">
                  <c:v>2.9870000000000001E-3</c:v>
                </c:pt>
                <c:pt idx="432">
                  <c:v>3.0479999999999999E-3</c:v>
                </c:pt>
                <c:pt idx="433">
                  <c:v>2.7060000000000001E-3</c:v>
                </c:pt>
                <c:pt idx="434">
                  <c:v>2.6749999999999999E-3</c:v>
                </c:pt>
                <c:pt idx="435">
                  <c:v>2.7049999999999999E-3</c:v>
                </c:pt>
                <c:pt idx="436">
                  <c:v>2.7269999999999998E-3</c:v>
                </c:pt>
                <c:pt idx="437">
                  <c:v>2.728E-3</c:v>
                </c:pt>
                <c:pt idx="438">
                  <c:v>2.6250000000000002E-3</c:v>
                </c:pt>
                <c:pt idx="439">
                  <c:v>2.676E-3</c:v>
                </c:pt>
                <c:pt idx="440">
                  <c:v>2.7200000000000002E-3</c:v>
                </c:pt>
                <c:pt idx="441">
                  <c:v>2.653E-3</c:v>
                </c:pt>
                <c:pt idx="442">
                  <c:v>2.7209999999999999E-3</c:v>
                </c:pt>
                <c:pt idx="443">
                  <c:v>2.6919999999999999E-3</c:v>
                </c:pt>
                <c:pt idx="444">
                  <c:v>2.598E-3</c:v>
                </c:pt>
                <c:pt idx="445">
                  <c:v>2.6649999999999998E-3</c:v>
                </c:pt>
                <c:pt idx="446">
                  <c:v>2.5240000000000002E-3</c:v>
                </c:pt>
                <c:pt idx="447">
                  <c:v>2.598E-3</c:v>
                </c:pt>
                <c:pt idx="448">
                  <c:v>2.5019999999999999E-3</c:v>
                </c:pt>
                <c:pt idx="449">
                  <c:v>2.3700000000000001E-3</c:v>
                </c:pt>
                <c:pt idx="450">
                  <c:v>2.3679999999999999E-3</c:v>
                </c:pt>
                <c:pt idx="451">
                  <c:v>2.3739999999999998E-3</c:v>
                </c:pt>
                <c:pt idx="452">
                  <c:v>2.4870000000000001E-3</c:v>
                </c:pt>
                <c:pt idx="453">
                  <c:v>2.47E-3</c:v>
                </c:pt>
                <c:pt idx="454">
                  <c:v>2.493E-3</c:v>
                </c:pt>
                <c:pt idx="455">
                  <c:v>2.5699999999999998E-3</c:v>
                </c:pt>
                <c:pt idx="456">
                  <c:v>2.519E-3</c:v>
                </c:pt>
                <c:pt idx="457">
                  <c:v>2.6280000000000001E-3</c:v>
                </c:pt>
                <c:pt idx="458">
                  <c:v>2.5999999999999999E-3</c:v>
                </c:pt>
                <c:pt idx="459">
                  <c:v>2.6870000000000002E-3</c:v>
                </c:pt>
                <c:pt idx="460">
                  <c:v>2.7690000000000002E-3</c:v>
                </c:pt>
                <c:pt idx="461">
                  <c:v>2.7290000000000001E-3</c:v>
                </c:pt>
                <c:pt idx="462">
                  <c:v>2.7780000000000001E-3</c:v>
                </c:pt>
                <c:pt idx="463">
                  <c:v>2.7209999999999999E-3</c:v>
                </c:pt>
                <c:pt idx="464">
                  <c:v>2.5690000000000001E-3</c:v>
                </c:pt>
                <c:pt idx="465">
                  <c:v>2.7899999999999999E-3</c:v>
                </c:pt>
                <c:pt idx="466">
                  <c:v>2.9369999999999999E-3</c:v>
                </c:pt>
                <c:pt idx="467">
                  <c:v>2.8999999999999998E-3</c:v>
                </c:pt>
                <c:pt idx="468">
                  <c:v>2.8080000000000002E-3</c:v>
                </c:pt>
                <c:pt idx="469">
                  <c:v>2.8830000000000001E-3</c:v>
                </c:pt>
                <c:pt idx="470">
                  <c:v>3.0839999999999999E-3</c:v>
                </c:pt>
                <c:pt idx="471">
                  <c:v>3.2260000000000001E-3</c:v>
                </c:pt>
                <c:pt idx="472">
                  <c:v>3.1649999999999998E-3</c:v>
                </c:pt>
                <c:pt idx="473">
                  <c:v>3.2599999999999999E-3</c:v>
                </c:pt>
                <c:pt idx="474">
                  <c:v>3.2260000000000001E-3</c:v>
                </c:pt>
                <c:pt idx="475">
                  <c:v>2.9550000000000002E-3</c:v>
                </c:pt>
                <c:pt idx="476">
                  <c:v>2.843E-3</c:v>
                </c:pt>
                <c:pt idx="477">
                  <c:v>2.6840000000000002E-3</c:v>
                </c:pt>
                <c:pt idx="478">
                  <c:v>2.6350000000000002E-3</c:v>
                </c:pt>
                <c:pt idx="479">
                  <c:v>2.8270000000000001E-3</c:v>
                </c:pt>
                <c:pt idx="480">
                  <c:v>2.7590000000000002E-3</c:v>
                </c:pt>
                <c:pt idx="481">
                  <c:v>2.7599999999999999E-3</c:v>
                </c:pt>
                <c:pt idx="482">
                  <c:v>2.8379999999999998E-3</c:v>
                </c:pt>
                <c:pt idx="483">
                  <c:v>2.8709999999999999E-3</c:v>
                </c:pt>
                <c:pt idx="484">
                  <c:v>3.0739999999999999E-3</c:v>
                </c:pt>
                <c:pt idx="485">
                  <c:v>3.0349999999999999E-3</c:v>
                </c:pt>
                <c:pt idx="486">
                  <c:v>2.8340000000000001E-3</c:v>
                </c:pt>
                <c:pt idx="487">
                  <c:v>2.7339999999999999E-3</c:v>
                </c:pt>
                <c:pt idx="488">
                  <c:v>2.748E-3</c:v>
                </c:pt>
                <c:pt idx="489">
                  <c:v>2.7460000000000002E-3</c:v>
                </c:pt>
                <c:pt idx="490">
                  <c:v>2.64E-3</c:v>
                </c:pt>
                <c:pt idx="491">
                  <c:v>2.4910000000000002E-3</c:v>
                </c:pt>
                <c:pt idx="492">
                  <c:v>2.6930000000000001E-3</c:v>
                </c:pt>
                <c:pt idx="493">
                  <c:v>2.598E-3</c:v>
                </c:pt>
                <c:pt idx="494">
                  <c:v>2.967E-3</c:v>
                </c:pt>
                <c:pt idx="495">
                  <c:v>3.0430000000000001E-3</c:v>
                </c:pt>
                <c:pt idx="496">
                  <c:v>3.1110000000000001E-3</c:v>
                </c:pt>
                <c:pt idx="497">
                  <c:v>3.1809999999999998E-3</c:v>
                </c:pt>
                <c:pt idx="498">
                  <c:v>3.3029999999999999E-3</c:v>
                </c:pt>
                <c:pt idx="499">
                  <c:v>3.3059999999999999E-3</c:v>
                </c:pt>
                <c:pt idx="500">
                  <c:v>3.483E-3</c:v>
                </c:pt>
                <c:pt idx="501">
                  <c:v>3.3140000000000001E-3</c:v>
                </c:pt>
                <c:pt idx="502">
                  <c:v>3.4780000000000002E-3</c:v>
                </c:pt>
                <c:pt idx="503">
                  <c:v>3.5239999999999998E-3</c:v>
                </c:pt>
                <c:pt idx="504">
                  <c:v>3.4459999999999998E-3</c:v>
                </c:pt>
                <c:pt idx="505">
                  <c:v>3.323E-3</c:v>
                </c:pt>
                <c:pt idx="506">
                  <c:v>3.1649999999999998E-3</c:v>
                </c:pt>
                <c:pt idx="507">
                  <c:v>3.32E-3</c:v>
                </c:pt>
                <c:pt idx="508">
                  <c:v>3.3180000000000002E-3</c:v>
                </c:pt>
                <c:pt idx="509">
                  <c:v>3.2820000000000002E-3</c:v>
                </c:pt>
                <c:pt idx="510">
                  <c:v>3.738E-3</c:v>
                </c:pt>
                <c:pt idx="511">
                  <c:v>3.441E-3</c:v>
                </c:pt>
                <c:pt idx="512">
                  <c:v>4.1660000000000004E-3</c:v>
                </c:pt>
                <c:pt idx="513">
                  <c:v>4.4010000000000004E-3</c:v>
                </c:pt>
                <c:pt idx="514">
                  <c:v>4.561E-3</c:v>
                </c:pt>
                <c:pt idx="515">
                  <c:v>4.6010000000000001E-3</c:v>
                </c:pt>
                <c:pt idx="516">
                  <c:v>4.8650000000000004E-3</c:v>
                </c:pt>
                <c:pt idx="517">
                  <c:v>4.4900000000000001E-3</c:v>
                </c:pt>
                <c:pt idx="518">
                  <c:v>3.8430000000000001E-3</c:v>
                </c:pt>
                <c:pt idx="519">
                  <c:v>4.2490000000000002E-3</c:v>
                </c:pt>
                <c:pt idx="520">
                  <c:v>3.699E-3</c:v>
                </c:pt>
                <c:pt idx="521">
                  <c:v>4.071E-3</c:v>
                </c:pt>
                <c:pt idx="522">
                  <c:v>4.3229999999999996E-3</c:v>
                </c:pt>
                <c:pt idx="523">
                  <c:v>3.8110000000000002E-3</c:v>
                </c:pt>
                <c:pt idx="524">
                  <c:v>3.7079999999999999E-3</c:v>
                </c:pt>
                <c:pt idx="525">
                  <c:v>3.6779999999999998E-3</c:v>
                </c:pt>
                <c:pt idx="526">
                  <c:v>3.4589999999999998E-3</c:v>
                </c:pt>
                <c:pt idx="527">
                  <c:v>3.6619999999999999E-3</c:v>
                </c:pt>
                <c:pt idx="528">
                  <c:v>3.777E-3</c:v>
                </c:pt>
                <c:pt idx="529">
                  <c:v>3.6979999999999999E-3</c:v>
                </c:pt>
                <c:pt idx="530">
                  <c:v>3.5560000000000001E-3</c:v>
                </c:pt>
                <c:pt idx="531">
                  <c:v>3.4030000000000002E-3</c:v>
                </c:pt>
                <c:pt idx="532">
                  <c:v>3.3830000000000002E-3</c:v>
                </c:pt>
                <c:pt idx="533">
                  <c:v>3.313E-3</c:v>
                </c:pt>
                <c:pt idx="534">
                  <c:v>3.2569999999999999E-3</c:v>
                </c:pt>
                <c:pt idx="535">
                  <c:v>3.539E-3</c:v>
                </c:pt>
                <c:pt idx="536">
                  <c:v>3.258E-3</c:v>
                </c:pt>
                <c:pt idx="537">
                  <c:v>3.2000000000000002E-3</c:v>
                </c:pt>
                <c:pt idx="538">
                  <c:v>3.1830000000000001E-3</c:v>
                </c:pt>
                <c:pt idx="539">
                  <c:v>3.2160000000000001E-3</c:v>
                </c:pt>
                <c:pt idx="540">
                  <c:v>3.2000000000000002E-3</c:v>
                </c:pt>
                <c:pt idx="541">
                  <c:v>3.15E-3</c:v>
                </c:pt>
                <c:pt idx="542">
                  <c:v>3.13E-3</c:v>
                </c:pt>
                <c:pt idx="543">
                  <c:v>3.1580000000000002E-3</c:v>
                </c:pt>
                <c:pt idx="544">
                  <c:v>3.2880000000000001E-3</c:v>
                </c:pt>
                <c:pt idx="545">
                  <c:v>3.032E-3</c:v>
                </c:pt>
                <c:pt idx="546">
                  <c:v>3.1480000000000002E-3</c:v>
                </c:pt>
                <c:pt idx="547">
                  <c:v>3.1849999999999999E-3</c:v>
                </c:pt>
                <c:pt idx="548">
                  <c:v>3.0899999999999999E-3</c:v>
                </c:pt>
                <c:pt idx="549">
                  <c:v>3.0760000000000002E-3</c:v>
                </c:pt>
                <c:pt idx="550">
                  <c:v>3.1359999999999999E-3</c:v>
                </c:pt>
                <c:pt idx="551">
                  <c:v>3.1410000000000001E-3</c:v>
                </c:pt>
                <c:pt idx="552">
                  <c:v>3.1459999999999999E-3</c:v>
                </c:pt>
                <c:pt idx="553">
                  <c:v>3.241E-3</c:v>
                </c:pt>
                <c:pt idx="554">
                  <c:v>3.2980000000000002E-3</c:v>
                </c:pt>
                <c:pt idx="555">
                  <c:v>3.2880000000000001E-3</c:v>
                </c:pt>
                <c:pt idx="556">
                  <c:v>3.356E-3</c:v>
                </c:pt>
                <c:pt idx="557">
                  <c:v>3.405E-3</c:v>
                </c:pt>
                <c:pt idx="558">
                  <c:v>3.457E-3</c:v>
                </c:pt>
                <c:pt idx="559">
                  <c:v>3.3040000000000001E-3</c:v>
                </c:pt>
                <c:pt idx="560">
                  <c:v>3.3379999999999998E-3</c:v>
                </c:pt>
                <c:pt idx="561">
                  <c:v>3.4749999999999998E-3</c:v>
                </c:pt>
                <c:pt idx="562">
                  <c:v>3.3289999999999999E-3</c:v>
                </c:pt>
                <c:pt idx="563">
                  <c:v>3.3479999999999998E-3</c:v>
                </c:pt>
                <c:pt idx="564">
                  <c:v>3.4810000000000002E-3</c:v>
                </c:pt>
                <c:pt idx="565">
                  <c:v>3.5230000000000001E-3</c:v>
                </c:pt>
                <c:pt idx="566">
                  <c:v>3.3809999999999999E-3</c:v>
                </c:pt>
                <c:pt idx="567">
                  <c:v>3.5669999999999999E-3</c:v>
                </c:pt>
                <c:pt idx="568">
                  <c:v>3.9249999999999997E-3</c:v>
                </c:pt>
                <c:pt idx="569">
                  <c:v>3.0829999999999998E-3</c:v>
                </c:pt>
                <c:pt idx="570">
                  <c:v>3.006E-3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BB-4E99-A29D-9F9F8D2E5E9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359.55188388505195</c:v>
                </c:pt>
                <c:pt idx="1">
                  <c:v>359.881648935052</c:v>
                </c:pt>
                <c:pt idx="2">
                  <c:v>362.26139866388689</c:v>
                </c:pt>
                <c:pt idx="3">
                  <c:v>360.23862352006864</c:v>
                </c:pt>
                <c:pt idx="4">
                  <c:v>357.51621558297188</c:v>
                </c:pt>
                <c:pt idx="5">
                  <c:v>355.6434889173554</c:v>
                </c:pt>
                <c:pt idx="6">
                  <c:v>357.27741548438735</c:v>
                </c:pt>
                <c:pt idx="7">
                  <c:v>361.98940652842327</c:v>
                </c:pt>
                <c:pt idx="8">
                  <c:v>364.49951617753834</c:v>
                </c:pt>
                <c:pt idx="9">
                  <c:v>366.34315207572013</c:v>
                </c:pt>
                <c:pt idx="10">
                  <c:v>365.92607528943438</c:v>
                </c:pt>
                <c:pt idx="11">
                  <c:v>366.92047749726049</c:v>
                </c:pt>
                <c:pt idx="12">
                  <c:v>366.53439599590462</c:v>
                </c:pt>
                <c:pt idx="13">
                  <c:v>366.23445432869147</c:v>
                </c:pt>
                <c:pt idx="14">
                  <c:v>363.79378122097717</c:v>
                </c:pt>
                <c:pt idx="15">
                  <c:v>366.50394407562834</c:v>
                </c:pt>
                <c:pt idx="16">
                  <c:v>364.50625051090617</c:v>
                </c:pt>
                <c:pt idx="17">
                  <c:v>362.61765857814754</c:v>
                </c:pt>
                <c:pt idx="18">
                  <c:v>363.49564958025275</c:v>
                </c:pt>
                <c:pt idx="19">
                  <c:v>363.05048210433728</c:v>
                </c:pt>
                <c:pt idx="20">
                  <c:v>363.79133683220613</c:v>
                </c:pt>
                <c:pt idx="21">
                  <c:v>365.4119059090811</c:v>
                </c:pt>
                <c:pt idx="22">
                  <c:v>363.37582836377504</c:v>
                </c:pt>
                <c:pt idx="23">
                  <c:v>366.34067911112794</c:v>
                </c:pt>
                <c:pt idx="24">
                  <c:v>367.43595398993745</c:v>
                </c:pt>
                <c:pt idx="25">
                  <c:v>369.04287324771525</c:v>
                </c:pt>
                <c:pt idx="26">
                  <c:v>367.74667760607588</c:v>
                </c:pt>
                <c:pt idx="27">
                  <c:v>366.36019877179012</c:v>
                </c:pt>
                <c:pt idx="28">
                  <c:v>366.36019877179012</c:v>
                </c:pt>
                <c:pt idx="29">
                  <c:v>366.21507406841943</c:v>
                </c:pt>
                <c:pt idx="30">
                  <c:v>367.97732534602812</c:v>
                </c:pt>
                <c:pt idx="31">
                  <c:v>370.98154642644232</c:v>
                </c:pt>
                <c:pt idx="32">
                  <c:v>371.67847640840961</c:v>
                </c:pt>
                <c:pt idx="33">
                  <c:v>369.96656892907623</c:v>
                </c:pt>
                <c:pt idx="34">
                  <c:v>368.85084117211977</c:v>
                </c:pt>
                <c:pt idx="35">
                  <c:v>371.03475464848339</c:v>
                </c:pt>
                <c:pt idx="36">
                  <c:v>367.34303601848336</c:v>
                </c:pt>
                <c:pt idx="37">
                  <c:v>367.68846178971796</c:v>
                </c:pt>
                <c:pt idx="38">
                  <c:v>366.19275518268091</c:v>
                </c:pt>
                <c:pt idx="39">
                  <c:v>366.14317006177174</c:v>
                </c:pt>
                <c:pt idx="40">
                  <c:v>365.78984704138219</c:v>
                </c:pt>
                <c:pt idx="41">
                  <c:v>364.84014047414809</c:v>
                </c:pt>
                <c:pt idx="42">
                  <c:v>365.79334307646695</c:v>
                </c:pt>
                <c:pt idx="43">
                  <c:v>371.31173863717481</c:v>
                </c:pt>
                <c:pt idx="44">
                  <c:v>367.83192802090264</c:v>
                </c:pt>
                <c:pt idx="45">
                  <c:v>362.7483281516503</c:v>
                </c:pt>
                <c:pt idx="46">
                  <c:v>366.85925149004015</c:v>
                </c:pt>
                <c:pt idx="47">
                  <c:v>365.68430646027269</c:v>
                </c:pt>
                <c:pt idx="48">
                  <c:v>365.44311527430779</c:v>
                </c:pt>
                <c:pt idx="49">
                  <c:v>369.73462164594963</c:v>
                </c:pt>
                <c:pt idx="50">
                  <c:v>373.36680814070075</c:v>
                </c:pt>
                <c:pt idx="51">
                  <c:v>369.57381697135867</c:v>
                </c:pt>
                <c:pt idx="52">
                  <c:v>369.32726325064436</c:v>
                </c:pt>
                <c:pt idx="53">
                  <c:v>363.63453625781278</c:v>
                </c:pt>
                <c:pt idx="54">
                  <c:v>366.64984483213715</c:v>
                </c:pt>
                <c:pt idx="55">
                  <c:v>364.74938198213715</c:v>
                </c:pt>
                <c:pt idx="56">
                  <c:v>369.97907780627958</c:v>
                </c:pt>
                <c:pt idx="57">
                  <c:v>360.87686174975784</c:v>
                </c:pt>
                <c:pt idx="58">
                  <c:v>365.08450060946655</c:v>
                </c:pt>
                <c:pt idx="59">
                  <c:v>372.9144424984666</c:v>
                </c:pt>
                <c:pt idx="60">
                  <c:v>369.76812149387939</c:v>
                </c:pt>
                <c:pt idx="61">
                  <c:v>373.53397284542206</c:v>
                </c:pt>
                <c:pt idx="62">
                  <c:v>385.76855555552811</c:v>
                </c:pt>
                <c:pt idx="63">
                  <c:v>326.70064162552814</c:v>
                </c:pt>
                <c:pt idx="64">
                  <c:v>317.9729937055281</c:v>
                </c:pt>
                <c:pt idx="65">
                  <c:v>319.708415642783</c:v>
                </c:pt>
                <c:pt idx="66">
                  <c:v>319.1356094929817</c:v>
                </c:pt>
                <c:pt idx="67">
                  <c:v>324.03293886454566</c:v>
                </c:pt>
                <c:pt idx="68">
                  <c:v>320.97276858652845</c:v>
                </c:pt>
                <c:pt idx="69">
                  <c:v>313.93019605536563</c:v>
                </c:pt>
                <c:pt idx="70">
                  <c:v>306.47324990457196</c:v>
                </c:pt>
                <c:pt idx="71">
                  <c:v>323.87130444041009</c:v>
                </c:pt>
                <c:pt idx="72">
                  <c:v>319.35378903953296</c:v>
                </c:pt>
                <c:pt idx="73">
                  <c:v>320.7302172004691</c:v>
                </c:pt>
                <c:pt idx="74">
                  <c:v>321.31096560410543</c:v>
                </c:pt>
                <c:pt idx="75">
                  <c:v>320.23482982910542</c:v>
                </c:pt>
                <c:pt idx="76">
                  <c:v>318.40956177910539</c:v>
                </c:pt>
                <c:pt idx="77">
                  <c:v>314.15164488263474</c:v>
                </c:pt>
                <c:pt idx="78">
                  <c:v>314.50339811896129</c:v>
                </c:pt>
                <c:pt idx="79">
                  <c:v>318.5724041343197</c:v>
                </c:pt>
                <c:pt idx="80">
                  <c:v>316.48361275431967</c:v>
                </c:pt>
                <c:pt idx="81">
                  <c:v>311.63296165208504</c:v>
                </c:pt>
                <c:pt idx="82">
                  <c:v>312.17109293621843</c:v>
                </c:pt>
                <c:pt idx="83">
                  <c:v>310.15987348269732</c:v>
                </c:pt>
                <c:pt idx="84">
                  <c:v>311.94827725433368</c:v>
                </c:pt>
                <c:pt idx="85">
                  <c:v>313.17820615254794</c:v>
                </c:pt>
                <c:pt idx="86">
                  <c:v>311.20834616459615</c:v>
                </c:pt>
                <c:pt idx="87">
                  <c:v>305.83507293132925</c:v>
                </c:pt>
                <c:pt idx="88">
                  <c:v>299.87032955866658</c:v>
                </c:pt>
                <c:pt idx="89">
                  <c:v>314.66408331070591</c:v>
                </c:pt>
                <c:pt idx="90">
                  <c:v>308.2212037332269</c:v>
                </c:pt>
                <c:pt idx="91">
                  <c:v>304.57422571511671</c:v>
                </c:pt>
                <c:pt idx="92">
                  <c:v>300.25284753840026</c:v>
                </c:pt>
                <c:pt idx="93">
                  <c:v>306.30649596582697</c:v>
                </c:pt>
                <c:pt idx="94">
                  <c:v>310.24693312821637</c:v>
                </c:pt>
                <c:pt idx="95">
                  <c:v>305.55455511939289</c:v>
                </c:pt>
                <c:pt idx="96">
                  <c:v>306.94312945707878</c:v>
                </c:pt>
                <c:pt idx="97">
                  <c:v>305.62791812670145</c:v>
                </c:pt>
                <c:pt idx="98">
                  <c:v>305.48898131055688</c:v>
                </c:pt>
                <c:pt idx="99">
                  <c:v>310.03902707280491</c:v>
                </c:pt>
                <c:pt idx="100">
                  <c:v>306.2107688059084</c:v>
                </c:pt>
                <c:pt idx="101">
                  <c:v>302.43774750715835</c:v>
                </c:pt>
                <c:pt idx="102">
                  <c:v>300.71901980215841</c:v>
                </c:pt>
                <c:pt idx="103">
                  <c:v>300.42110397082507</c:v>
                </c:pt>
                <c:pt idx="104">
                  <c:v>302.3747197416584</c:v>
                </c:pt>
                <c:pt idx="105">
                  <c:v>306.51159406146235</c:v>
                </c:pt>
                <c:pt idx="106">
                  <c:v>305.10852222927053</c:v>
                </c:pt>
                <c:pt idx="107">
                  <c:v>299.84111695909354</c:v>
                </c:pt>
                <c:pt idx="108">
                  <c:v>300.34158965842687</c:v>
                </c:pt>
                <c:pt idx="109">
                  <c:v>301.14774575842688</c:v>
                </c:pt>
                <c:pt idx="110">
                  <c:v>304.54022220262442</c:v>
                </c:pt>
                <c:pt idx="111">
                  <c:v>307.39456168590317</c:v>
                </c:pt>
                <c:pt idx="112">
                  <c:v>299.44505250962862</c:v>
                </c:pt>
                <c:pt idx="113">
                  <c:v>300.8778341976286</c:v>
                </c:pt>
                <c:pt idx="114">
                  <c:v>325.97860727328407</c:v>
                </c:pt>
                <c:pt idx="115">
                  <c:v>315.94141083703818</c:v>
                </c:pt>
                <c:pt idx="116">
                  <c:v>315.45529136267925</c:v>
                </c:pt>
                <c:pt idx="117">
                  <c:v>314.03236018970625</c:v>
                </c:pt>
                <c:pt idx="118">
                  <c:v>315.39696443459519</c:v>
                </c:pt>
                <c:pt idx="119">
                  <c:v>310.1232053374523</c:v>
                </c:pt>
                <c:pt idx="120">
                  <c:v>305.41544562454914</c:v>
                </c:pt>
                <c:pt idx="121">
                  <c:v>305.9850383452158</c:v>
                </c:pt>
                <c:pt idx="122">
                  <c:v>311.5358987720814</c:v>
                </c:pt>
                <c:pt idx="123">
                  <c:v>316.69356949977373</c:v>
                </c:pt>
                <c:pt idx="124">
                  <c:v>311.97421807186163</c:v>
                </c:pt>
                <c:pt idx="125">
                  <c:v>312.64789209477499</c:v>
                </c:pt>
                <c:pt idx="126">
                  <c:v>313.94059364738541</c:v>
                </c:pt>
                <c:pt idx="127">
                  <c:v>311.315812472213</c:v>
                </c:pt>
                <c:pt idx="128">
                  <c:v>306.95452858705835</c:v>
                </c:pt>
                <c:pt idx="129">
                  <c:v>309.94183448809736</c:v>
                </c:pt>
                <c:pt idx="130">
                  <c:v>312.86053314834123</c:v>
                </c:pt>
                <c:pt idx="131">
                  <c:v>312.80885748268088</c:v>
                </c:pt>
                <c:pt idx="132">
                  <c:v>310.19041770764539</c:v>
                </c:pt>
                <c:pt idx="133">
                  <c:v>312.53578639283057</c:v>
                </c:pt>
                <c:pt idx="134">
                  <c:v>313.8879993063843</c:v>
                </c:pt>
                <c:pt idx="135">
                  <c:v>309.83185708978851</c:v>
                </c:pt>
                <c:pt idx="136">
                  <c:v>304.56917416062191</c:v>
                </c:pt>
                <c:pt idx="137">
                  <c:v>305.10041863685268</c:v>
                </c:pt>
                <c:pt idx="138">
                  <c:v>300.58531528974038</c:v>
                </c:pt>
                <c:pt idx="139">
                  <c:v>299.74369163666347</c:v>
                </c:pt>
                <c:pt idx="140">
                  <c:v>304.96361750136316</c:v>
                </c:pt>
                <c:pt idx="141">
                  <c:v>302.30835319736315</c:v>
                </c:pt>
                <c:pt idx="142">
                  <c:v>296.15185368736314</c:v>
                </c:pt>
                <c:pt idx="143">
                  <c:v>303.81619715578137</c:v>
                </c:pt>
                <c:pt idx="144">
                  <c:v>302.53578201499874</c:v>
                </c:pt>
                <c:pt idx="145">
                  <c:v>311.76740598968343</c:v>
                </c:pt>
                <c:pt idx="146">
                  <c:v>303.03786938766029</c:v>
                </c:pt>
                <c:pt idx="147">
                  <c:v>299.24129387807949</c:v>
                </c:pt>
                <c:pt idx="148">
                  <c:v>303.01270899807946</c:v>
                </c:pt>
                <c:pt idx="149">
                  <c:v>298.23067267926598</c:v>
                </c:pt>
                <c:pt idx="150">
                  <c:v>295.8459749084185</c:v>
                </c:pt>
                <c:pt idx="151">
                  <c:v>301.96044334041846</c:v>
                </c:pt>
                <c:pt idx="152">
                  <c:v>302.54429253057845</c:v>
                </c:pt>
                <c:pt idx="153">
                  <c:v>303.80625068573966</c:v>
                </c:pt>
                <c:pt idx="154">
                  <c:v>298.20674773199426</c:v>
                </c:pt>
                <c:pt idx="155">
                  <c:v>306.09009599717155</c:v>
                </c:pt>
                <c:pt idx="156">
                  <c:v>290.58427851071934</c:v>
                </c:pt>
                <c:pt idx="157">
                  <c:v>311.41489329830557</c:v>
                </c:pt>
                <c:pt idx="158">
                  <c:v>302.24451149705209</c:v>
                </c:pt>
                <c:pt idx="159">
                  <c:v>302.90247435479677</c:v>
                </c:pt>
                <c:pt idx="160">
                  <c:v>307.06008771571038</c:v>
                </c:pt>
                <c:pt idx="161">
                  <c:v>303.70409849950346</c:v>
                </c:pt>
                <c:pt idx="162">
                  <c:v>295.63077346289339</c:v>
                </c:pt>
                <c:pt idx="163">
                  <c:v>298.10950678517912</c:v>
                </c:pt>
                <c:pt idx="164">
                  <c:v>308.01355812909082</c:v>
                </c:pt>
                <c:pt idx="165">
                  <c:v>312.63823508521216</c:v>
                </c:pt>
                <c:pt idx="166">
                  <c:v>307.63960397777521</c:v>
                </c:pt>
                <c:pt idx="167">
                  <c:v>302.2971045866496</c:v>
                </c:pt>
                <c:pt idx="168">
                  <c:v>295.59010379475762</c:v>
                </c:pt>
                <c:pt idx="169">
                  <c:v>297.90772394097928</c:v>
                </c:pt>
                <c:pt idx="170">
                  <c:v>296.60904178644256</c:v>
                </c:pt>
                <c:pt idx="171">
                  <c:v>292.18793374694656</c:v>
                </c:pt>
                <c:pt idx="172">
                  <c:v>287.56696815431854</c:v>
                </c:pt>
                <c:pt idx="173">
                  <c:v>290.47294986853825</c:v>
                </c:pt>
                <c:pt idx="174">
                  <c:v>284.71994339076946</c:v>
                </c:pt>
                <c:pt idx="175">
                  <c:v>278.264921363128</c:v>
                </c:pt>
                <c:pt idx="176">
                  <c:v>272.85498373944205</c:v>
                </c:pt>
                <c:pt idx="177">
                  <c:v>266.21574143168971</c:v>
                </c:pt>
                <c:pt idx="178">
                  <c:v>269.94649749715819</c:v>
                </c:pt>
                <c:pt idx="179">
                  <c:v>270.2201147032182</c:v>
                </c:pt>
                <c:pt idx="180">
                  <c:v>300.12689146557403</c:v>
                </c:pt>
                <c:pt idx="181">
                  <c:v>296.6916129488875</c:v>
                </c:pt>
                <c:pt idx="182">
                  <c:v>290.81687497515065</c:v>
                </c:pt>
                <c:pt idx="183">
                  <c:v>285.02378821008233</c:v>
                </c:pt>
                <c:pt idx="184">
                  <c:v>283.628570596072</c:v>
                </c:pt>
                <c:pt idx="185">
                  <c:v>277.86446833361589</c:v>
                </c:pt>
                <c:pt idx="186">
                  <c:v>281.4501222890384</c:v>
                </c:pt>
                <c:pt idx="187">
                  <c:v>276.58175942854979</c:v>
                </c:pt>
                <c:pt idx="188">
                  <c:v>275.68883132822856</c:v>
                </c:pt>
                <c:pt idx="189">
                  <c:v>271.22278125254815</c:v>
                </c:pt>
                <c:pt idx="190">
                  <c:v>266.77249025964494</c:v>
                </c:pt>
                <c:pt idx="191">
                  <c:v>262.95962346259574</c:v>
                </c:pt>
                <c:pt idx="192">
                  <c:v>265.27669250568857</c:v>
                </c:pt>
                <c:pt idx="193">
                  <c:v>268.94640584830938</c:v>
                </c:pt>
                <c:pt idx="194">
                  <c:v>268.8481147124719</c:v>
                </c:pt>
                <c:pt idx="195">
                  <c:v>267.1424377977844</c:v>
                </c:pt>
                <c:pt idx="196">
                  <c:v>269.42917597926953</c:v>
                </c:pt>
                <c:pt idx="197">
                  <c:v>270.96970332497898</c:v>
                </c:pt>
                <c:pt idx="198">
                  <c:v>270.29880284605184</c:v>
                </c:pt>
                <c:pt idx="199">
                  <c:v>271.77206944925689</c:v>
                </c:pt>
                <c:pt idx="200">
                  <c:v>272.15380290705099</c:v>
                </c:pt>
                <c:pt idx="201">
                  <c:v>271.21924989822264</c:v>
                </c:pt>
                <c:pt idx="202">
                  <c:v>271.9129862920654</c:v>
                </c:pt>
                <c:pt idx="203">
                  <c:v>269.67413587742919</c:v>
                </c:pt>
                <c:pt idx="204">
                  <c:v>273.20009802803816</c:v>
                </c:pt>
                <c:pt idx="205">
                  <c:v>274.11575195380846</c:v>
                </c:pt>
                <c:pt idx="206">
                  <c:v>271.57143549885325</c:v>
                </c:pt>
                <c:pt idx="207">
                  <c:v>272.0000845211336</c:v>
                </c:pt>
                <c:pt idx="208">
                  <c:v>270.23646684010987</c:v>
                </c:pt>
                <c:pt idx="209">
                  <c:v>266.58145297284494</c:v>
                </c:pt>
                <c:pt idx="210">
                  <c:v>261.56836792004253</c:v>
                </c:pt>
                <c:pt idx="211">
                  <c:v>259.16045947279423</c:v>
                </c:pt>
                <c:pt idx="212">
                  <c:v>252.59525252279423</c:v>
                </c:pt>
                <c:pt idx="213">
                  <c:v>246.84327811530801</c:v>
                </c:pt>
                <c:pt idx="214">
                  <c:v>242.44444071415893</c:v>
                </c:pt>
                <c:pt idx="215">
                  <c:v>238.63518869987325</c:v>
                </c:pt>
                <c:pt idx="216">
                  <c:v>235.27389906478089</c:v>
                </c:pt>
                <c:pt idx="217">
                  <c:v>249.48714834985745</c:v>
                </c:pt>
                <c:pt idx="218">
                  <c:v>244.06697705883178</c:v>
                </c:pt>
                <c:pt idx="219">
                  <c:v>238.34768170044362</c:v>
                </c:pt>
                <c:pt idx="220">
                  <c:v>236.3749865061867</c:v>
                </c:pt>
                <c:pt idx="221">
                  <c:v>249.09274443128103</c:v>
                </c:pt>
                <c:pt idx="222">
                  <c:v>245.2516674410752</c:v>
                </c:pt>
                <c:pt idx="223">
                  <c:v>250.20537807602491</c:v>
                </c:pt>
                <c:pt idx="224">
                  <c:v>254.54028046805388</c:v>
                </c:pt>
                <c:pt idx="225">
                  <c:v>255.54964737737066</c:v>
                </c:pt>
                <c:pt idx="226">
                  <c:v>257.72102091869806</c:v>
                </c:pt>
                <c:pt idx="227">
                  <c:v>257.76160093496316</c:v>
                </c:pt>
                <c:pt idx="228">
                  <c:v>254.12368884476896</c:v>
                </c:pt>
                <c:pt idx="229">
                  <c:v>250.74617416978532</c:v>
                </c:pt>
                <c:pt idx="230">
                  <c:v>247.64792007206009</c:v>
                </c:pt>
                <c:pt idx="231">
                  <c:v>251.79631430805145</c:v>
                </c:pt>
                <c:pt idx="232">
                  <c:v>254.54007204936977</c:v>
                </c:pt>
                <c:pt idx="233">
                  <c:v>248.56545559161876</c:v>
                </c:pt>
                <c:pt idx="234">
                  <c:v>244.43545131469568</c:v>
                </c:pt>
                <c:pt idx="235">
                  <c:v>251.16160007222899</c:v>
                </c:pt>
                <c:pt idx="236">
                  <c:v>250.04878052689568</c:v>
                </c:pt>
                <c:pt idx="237">
                  <c:v>259.63130740502561</c:v>
                </c:pt>
                <c:pt idx="238">
                  <c:v>255.2005455836528</c:v>
                </c:pt>
                <c:pt idx="239">
                  <c:v>248.3253104136528</c:v>
                </c:pt>
                <c:pt idx="240">
                  <c:v>245.4236214156528</c:v>
                </c:pt>
                <c:pt idx="241">
                  <c:v>247.18619325527899</c:v>
                </c:pt>
                <c:pt idx="242">
                  <c:v>240.57733322768931</c:v>
                </c:pt>
                <c:pt idx="243">
                  <c:v>237.23359927566329</c:v>
                </c:pt>
                <c:pt idx="244">
                  <c:v>237.84790384258099</c:v>
                </c:pt>
                <c:pt idx="245">
                  <c:v>245.10806146193727</c:v>
                </c:pt>
                <c:pt idx="246">
                  <c:v>247.81239821717742</c:v>
                </c:pt>
                <c:pt idx="247">
                  <c:v>233.17462083251942</c:v>
                </c:pt>
                <c:pt idx="248">
                  <c:v>228.82958552443054</c:v>
                </c:pt>
                <c:pt idx="249">
                  <c:v>216.113562853926</c:v>
                </c:pt>
                <c:pt idx="250">
                  <c:v>219.00856917381594</c:v>
                </c:pt>
                <c:pt idx="251">
                  <c:v>212.58150673225964</c:v>
                </c:pt>
                <c:pt idx="252">
                  <c:v>212.86233585259296</c:v>
                </c:pt>
                <c:pt idx="253">
                  <c:v>202.22561867050456</c:v>
                </c:pt>
                <c:pt idx="254">
                  <c:v>212.30590974212089</c:v>
                </c:pt>
                <c:pt idx="255">
                  <c:v>213.12603035093733</c:v>
                </c:pt>
                <c:pt idx="256">
                  <c:v>215.93368615293647</c:v>
                </c:pt>
                <c:pt idx="257">
                  <c:v>216.87302632023747</c:v>
                </c:pt>
                <c:pt idx="258">
                  <c:v>221.443967841203</c:v>
                </c:pt>
                <c:pt idx="259">
                  <c:v>219.797063950709</c:v>
                </c:pt>
                <c:pt idx="260">
                  <c:v>216.2942658523794</c:v>
                </c:pt>
                <c:pt idx="261">
                  <c:v>225.40570822143926</c:v>
                </c:pt>
                <c:pt idx="262">
                  <c:v>216.28332909806127</c:v>
                </c:pt>
                <c:pt idx="263">
                  <c:v>222.19090484364642</c:v>
                </c:pt>
                <c:pt idx="264">
                  <c:v>221.02410640663109</c:v>
                </c:pt>
                <c:pt idx="265">
                  <c:v>226.22427129788588</c:v>
                </c:pt>
                <c:pt idx="266">
                  <c:v>221.92369506645153</c:v>
                </c:pt>
                <c:pt idx="267">
                  <c:v>224.25793727758884</c:v>
                </c:pt>
                <c:pt idx="268">
                  <c:v>217.47054674040749</c:v>
                </c:pt>
                <c:pt idx="269">
                  <c:v>228.61132578980644</c:v>
                </c:pt>
                <c:pt idx="270">
                  <c:v>234.93230780709419</c:v>
                </c:pt>
                <c:pt idx="271">
                  <c:v>231.95213016826145</c:v>
                </c:pt>
                <c:pt idx="272">
                  <c:v>231.37807869874158</c:v>
                </c:pt>
                <c:pt idx="273">
                  <c:v>220.46896167241775</c:v>
                </c:pt>
                <c:pt idx="274">
                  <c:v>220.55929163717636</c:v>
                </c:pt>
                <c:pt idx="275">
                  <c:v>221.22868452424098</c:v>
                </c:pt>
                <c:pt idx="276">
                  <c:v>200.80523108861377</c:v>
                </c:pt>
                <c:pt idx="277">
                  <c:v>179.01060736882991</c:v>
                </c:pt>
                <c:pt idx="278">
                  <c:v>180.84620598580074</c:v>
                </c:pt>
                <c:pt idx="279">
                  <c:v>195.74452981342742</c:v>
                </c:pt>
                <c:pt idx="280">
                  <c:v>160.47882175043318</c:v>
                </c:pt>
                <c:pt idx="281">
                  <c:v>184.60410448037499</c:v>
                </c:pt>
                <c:pt idx="282">
                  <c:v>210.08787982737101</c:v>
                </c:pt>
                <c:pt idx="283">
                  <c:v>204.29010574247255</c:v>
                </c:pt>
                <c:pt idx="284">
                  <c:v>213.35872356577596</c:v>
                </c:pt>
                <c:pt idx="285">
                  <c:v>209.13659890691568</c:v>
                </c:pt>
                <c:pt idx="286">
                  <c:v>214.23879914806545</c:v>
                </c:pt>
                <c:pt idx="287">
                  <c:v>165.10584520871612</c:v>
                </c:pt>
                <c:pt idx="288">
                  <c:v>156.2973211278246</c:v>
                </c:pt>
                <c:pt idx="289">
                  <c:v>134.26976168732961</c:v>
                </c:pt>
                <c:pt idx="290">
                  <c:v>120.96089342613955</c:v>
                </c:pt>
                <c:pt idx="291">
                  <c:v>127.54735519733678</c:v>
                </c:pt>
                <c:pt idx="292">
                  <c:v>122.11753685513403</c:v>
                </c:pt>
                <c:pt idx="293">
                  <c:v>125.93296785926788</c:v>
                </c:pt>
                <c:pt idx="294">
                  <c:v>122.93656687788392</c:v>
                </c:pt>
                <c:pt idx="295">
                  <c:v>107.85018099198517</c:v>
                </c:pt>
                <c:pt idx="296">
                  <c:v>114.02659315486136</c:v>
                </c:pt>
                <c:pt idx="297">
                  <c:v>114.91101130568401</c:v>
                </c:pt>
                <c:pt idx="298">
                  <c:v>128.1763013353949</c:v>
                </c:pt>
                <c:pt idx="299">
                  <c:v>118.59128571958185</c:v>
                </c:pt>
                <c:pt idx="300">
                  <c:v>131.24867517352843</c:v>
                </c:pt>
                <c:pt idx="301">
                  <c:v>128.9637700670724</c:v>
                </c:pt>
                <c:pt idx="302">
                  <c:v>123.07448967672178</c:v>
                </c:pt>
                <c:pt idx="303">
                  <c:v>115.69863472300932</c:v>
                </c:pt>
                <c:pt idx="304">
                  <c:v>117.00554823252901</c:v>
                </c:pt>
                <c:pt idx="305">
                  <c:v>117.467104698529</c:v>
                </c:pt>
                <c:pt idx="306">
                  <c:v>118.11324177083898</c:v>
                </c:pt>
                <c:pt idx="307">
                  <c:v>105.00947473296021</c:v>
                </c:pt>
                <c:pt idx="308">
                  <c:v>97.262975788097194</c:v>
                </c:pt>
                <c:pt idx="309">
                  <c:v>99.43970309416045</c:v>
                </c:pt>
                <c:pt idx="310">
                  <c:v>107.5411375821438</c:v>
                </c:pt>
                <c:pt idx="311">
                  <c:v>94.316312536417314</c:v>
                </c:pt>
                <c:pt idx="312">
                  <c:v>105.03398663218518</c:v>
                </c:pt>
                <c:pt idx="313">
                  <c:v>97.683159091167482</c:v>
                </c:pt>
                <c:pt idx="314">
                  <c:v>127.85359065071732</c:v>
                </c:pt>
                <c:pt idx="315">
                  <c:v>112.71918598933686</c:v>
                </c:pt>
                <c:pt idx="316">
                  <c:v>99.269276594035546</c:v>
                </c:pt>
                <c:pt idx="317">
                  <c:v>83.088136051437189</c:v>
                </c:pt>
                <c:pt idx="318">
                  <c:v>104.67622329836443</c:v>
                </c:pt>
                <c:pt idx="319">
                  <c:v>70.052913349980628</c:v>
                </c:pt>
                <c:pt idx="320">
                  <c:v>71.692507266570331</c:v>
                </c:pt>
                <c:pt idx="321">
                  <c:v>61.643100001990192</c:v>
                </c:pt>
                <c:pt idx="322">
                  <c:v>62.568712622893422</c:v>
                </c:pt>
                <c:pt idx="323">
                  <c:v>61.068854860591543</c:v>
                </c:pt>
                <c:pt idx="324">
                  <c:v>59.364060215677455</c:v>
                </c:pt>
                <c:pt idx="325">
                  <c:v>56.011406931844114</c:v>
                </c:pt>
                <c:pt idx="326">
                  <c:v>53.233172258677179</c:v>
                </c:pt>
                <c:pt idx="327">
                  <c:v>51.76365093034385</c:v>
                </c:pt>
                <c:pt idx="328">
                  <c:v>50.566819161143322</c:v>
                </c:pt>
                <c:pt idx="329">
                  <c:v>49.164253793801997</c:v>
                </c:pt>
                <c:pt idx="330">
                  <c:v>49.707017817176606</c:v>
                </c:pt>
                <c:pt idx="331">
                  <c:v>48.705751021785908</c:v>
                </c:pt>
                <c:pt idx="332">
                  <c:v>47.394886649831896</c:v>
                </c:pt>
                <c:pt idx="333">
                  <c:v>47.432660270411702</c:v>
                </c:pt>
                <c:pt idx="334">
                  <c:v>47.631719810268109</c:v>
                </c:pt>
                <c:pt idx="335">
                  <c:v>47.211306293328136</c:v>
                </c:pt>
                <c:pt idx="336">
                  <c:v>45.893422845198515</c:v>
                </c:pt>
                <c:pt idx="337">
                  <c:v>48.496137092797156</c:v>
                </c:pt>
                <c:pt idx="338">
                  <c:v>52.476601069053075</c:v>
                </c:pt>
                <c:pt idx="339">
                  <c:v>52.367069286744417</c:v>
                </c:pt>
                <c:pt idx="340">
                  <c:v>49.019196413825433</c:v>
                </c:pt>
                <c:pt idx="341">
                  <c:v>46.755373855755401</c:v>
                </c:pt>
                <c:pt idx="342">
                  <c:v>48.755949046282637</c:v>
                </c:pt>
                <c:pt idx="343">
                  <c:v>44.098340090722623</c:v>
                </c:pt>
                <c:pt idx="344">
                  <c:v>38.920610415629668</c:v>
                </c:pt>
                <c:pt idx="345">
                  <c:v>36.86007836651855</c:v>
                </c:pt>
                <c:pt idx="346">
                  <c:v>37.790964158032317</c:v>
                </c:pt>
                <c:pt idx="347">
                  <c:v>38.869481805848736</c:v>
                </c:pt>
                <c:pt idx="348">
                  <c:v>39.777290183013662</c:v>
                </c:pt>
                <c:pt idx="349">
                  <c:v>34.60451225451213</c:v>
                </c:pt>
                <c:pt idx="350">
                  <c:v>23.470301681805431</c:v>
                </c:pt>
                <c:pt idx="351">
                  <c:v>19.134973620725152</c:v>
                </c:pt>
                <c:pt idx="352">
                  <c:v>22.000515854935678</c:v>
                </c:pt>
                <c:pt idx="353">
                  <c:v>18.908773905340698</c:v>
                </c:pt>
                <c:pt idx="354">
                  <c:v>16.087659180223174</c:v>
                </c:pt>
                <c:pt idx="355">
                  <c:v>14.254890795735466</c:v>
                </c:pt>
                <c:pt idx="356">
                  <c:v>16.83117227836156</c:v>
                </c:pt>
                <c:pt idx="357">
                  <c:v>9.95574266487586</c:v>
                </c:pt>
                <c:pt idx="358">
                  <c:v>14.31248231437082</c:v>
                </c:pt>
                <c:pt idx="359">
                  <c:v>16.050624192625751</c:v>
                </c:pt>
                <c:pt idx="360">
                  <c:v>0.14337315279668361</c:v>
                </c:pt>
                <c:pt idx="361">
                  <c:v>0.45934386288590429</c:v>
                </c:pt>
                <c:pt idx="362">
                  <c:v>-5.1583357656779265</c:v>
                </c:pt>
                <c:pt idx="363">
                  <c:v>4.3714207487537093</c:v>
                </c:pt>
                <c:pt idx="364">
                  <c:v>20.325147825283576</c:v>
                </c:pt>
                <c:pt idx="365">
                  <c:v>4.4795119934736976</c:v>
                </c:pt>
                <c:pt idx="366">
                  <c:v>5.3651419187351888</c:v>
                </c:pt>
                <c:pt idx="367">
                  <c:v>4.94112804043937</c:v>
                </c:pt>
                <c:pt idx="368">
                  <c:v>6.8888444943169125</c:v>
                </c:pt>
                <c:pt idx="369">
                  <c:v>6.6222848809835737</c:v>
                </c:pt>
                <c:pt idx="370">
                  <c:v>5.8169349800433965</c:v>
                </c:pt>
                <c:pt idx="371">
                  <c:v>3.5610631068669258</c:v>
                </c:pt>
                <c:pt idx="372">
                  <c:v>5.8977570941018511</c:v>
                </c:pt>
                <c:pt idx="373">
                  <c:v>2.8759437277968662</c:v>
                </c:pt>
                <c:pt idx="374">
                  <c:v>6.475586537532485</c:v>
                </c:pt>
                <c:pt idx="375">
                  <c:v>2.3957131088019818</c:v>
                </c:pt>
                <c:pt idx="376">
                  <c:v>3.0377660579717896</c:v>
                </c:pt>
                <c:pt idx="377">
                  <c:v>0.86436461740036041</c:v>
                </c:pt>
                <c:pt idx="378">
                  <c:v>1.3777124477285296E-2</c:v>
                </c:pt>
                <c:pt idx="379">
                  <c:v>-1.149579324522727</c:v>
                </c:pt>
                <c:pt idx="380">
                  <c:v>-3.4471328023005103</c:v>
                </c:pt>
                <c:pt idx="381">
                  <c:v>-3.396202024378669</c:v>
                </c:pt>
                <c:pt idx="382">
                  <c:v>-0.46986978281653913</c:v>
                </c:pt>
                <c:pt idx="383">
                  <c:v>0.85244154607005418</c:v>
                </c:pt>
                <c:pt idx="384">
                  <c:v>-3.4871500775224802</c:v>
                </c:pt>
                <c:pt idx="385">
                  <c:v>-4.3003406771086938</c:v>
                </c:pt>
                <c:pt idx="386">
                  <c:v>-6.9960991297916078</c:v>
                </c:pt>
                <c:pt idx="387">
                  <c:v>-12.133631280191619</c:v>
                </c:pt>
                <c:pt idx="388">
                  <c:v>-15.050423074587426</c:v>
                </c:pt>
                <c:pt idx="389">
                  <c:v>-13.309240294497524</c:v>
                </c:pt>
                <c:pt idx="390">
                  <c:v>18.031394605983486</c:v>
                </c:pt>
                <c:pt idx="391">
                  <c:v>7.4523132608171316</c:v>
                </c:pt>
                <c:pt idx="392">
                  <c:v>5.6182953767095549</c:v>
                </c:pt>
                <c:pt idx="393">
                  <c:v>7.1263076801090612</c:v>
                </c:pt>
                <c:pt idx="394">
                  <c:v>7.2508051983306343</c:v>
                </c:pt>
                <c:pt idx="395">
                  <c:v>7.276474157609913</c:v>
                </c:pt>
                <c:pt idx="396">
                  <c:v>7.6119414448582328</c:v>
                </c:pt>
                <c:pt idx="397">
                  <c:v>7.882133348084043</c:v>
                </c:pt>
                <c:pt idx="398">
                  <c:v>7.4598897948296061</c:v>
                </c:pt>
                <c:pt idx="399">
                  <c:v>8.2051197695085065</c:v>
                </c:pt>
                <c:pt idx="400">
                  <c:v>7.1874815653885067</c:v>
                </c:pt>
                <c:pt idx="401">
                  <c:v>9.4160205555898475</c:v>
                </c:pt>
                <c:pt idx="402">
                  <c:v>9.5930523023098484</c:v>
                </c:pt>
                <c:pt idx="403">
                  <c:v>10.979974386131502</c:v>
                </c:pt>
                <c:pt idx="404">
                  <c:v>10.781209544512068</c:v>
                </c:pt>
                <c:pt idx="405">
                  <c:v>11.21085196105053</c:v>
                </c:pt>
                <c:pt idx="406">
                  <c:v>10.097526350632116</c:v>
                </c:pt>
                <c:pt idx="407">
                  <c:v>9.903654604128052</c:v>
                </c:pt>
                <c:pt idx="408">
                  <c:v>9.1217887425184614</c:v>
                </c:pt>
                <c:pt idx="409">
                  <c:v>9.083487539740684</c:v>
                </c:pt>
                <c:pt idx="410">
                  <c:v>9.333524370923481</c:v>
                </c:pt>
                <c:pt idx="411">
                  <c:v>9.1509592395160748</c:v>
                </c:pt>
                <c:pt idx="412">
                  <c:v>8.9213249644414461</c:v>
                </c:pt>
                <c:pt idx="413">
                  <c:v>9.1943505918098669</c:v>
                </c:pt>
                <c:pt idx="414">
                  <c:v>9.3570596616403758</c:v>
                </c:pt>
                <c:pt idx="415">
                  <c:v>8.7159975137038685</c:v>
                </c:pt>
                <c:pt idx="416">
                  <c:v>9.1344934096740182</c:v>
                </c:pt>
                <c:pt idx="417">
                  <c:v>9.4891092579421734</c:v>
                </c:pt>
                <c:pt idx="418">
                  <c:v>9.3946609569217632</c:v>
                </c:pt>
                <c:pt idx="419">
                  <c:v>7.6386536898258743</c:v>
                </c:pt>
                <c:pt idx="420">
                  <c:v>8.6023452145599197</c:v>
                </c:pt>
                <c:pt idx="421">
                  <c:v>8.7836600080381793</c:v>
                </c:pt>
                <c:pt idx="422">
                  <c:v>7.794485037284411</c:v>
                </c:pt>
                <c:pt idx="423">
                  <c:v>8.1541802777928858</c:v>
                </c:pt>
                <c:pt idx="424">
                  <c:v>7.0787473663356026</c:v>
                </c:pt>
                <c:pt idx="425">
                  <c:v>7.31342130441507</c:v>
                </c:pt>
                <c:pt idx="426">
                  <c:v>5.4220016634573263</c:v>
                </c:pt>
                <c:pt idx="427">
                  <c:v>4.9732765466522162</c:v>
                </c:pt>
                <c:pt idx="428">
                  <c:v>6.4584279228883421</c:v>
                </c:pt>
                <c:pt idx="429">
                  <c:v>8.6757014182471224</c:v>
                </c:pt>
                <c:pt idx="430">
                  <c:v>4.306475864742171</c:v>
                </c:pt>
                <c:pt idx="431">
                  <c:v>3.4469205451382101</c:v>
                </c:pt>
                <c:pt idx="432">
                  <c:v>3.1903652615080729</c:v>
                </c:pt>
                <c:pt idx="433">
                  <c:v>1.9028532643980978</c:v>
                </c:pt>
                <c:pt idx="434">
                  <c:v>2.1155952519843031</c:v>
                </c:pt>
                <c:pt idx="435">
                  <c:v>1.8180359060488198</c:v>
                </c:pt>
                <c:pt idx="436">
                  <c:v>1.690541374838628</c:v>
                </c:pt>
                <c:pt idx="437">
                  <c:v>1.1219038900121299</c:v>
                </c:pt>
                <c:pt idx="438">
                  <c:v>0.45282141402787879</c:v>
                </c:pt>
                <c:pt idx="439">
                  <c:v>1.2364215046528748</c:v>
                </c:pt>
                <c:pt idx="440">
                  <c:v>1.2121006878107703</c:v>
                </c:pt>
                <c:pt idx="441">
                  <c:v>0.85042140585954951</c:v>
                </c:pt>
                <c:pt idx="442">
                  <c:v>0.99378536389233729</c:v>
                </c:pt>
                <c:pt idx="443">
                  <c:v>1.0895022529033278</c:v>
                </c:pt>
                <c:pt idx="444">
                  <c:v>0.75788302607405911</c:v>
                </c:pt>
                <c:pt idx="445">
                  <c:v>0.81218531270263061</c:v>
                </c:pt>
                <c:pt idx="446">
                  <c:v>0.24470264199556171</c:v>
                </c:pt>
                <c:pt idx="447">
                  <c:v>1.675063444593748</c:v>
                </c:pt>
                <c:pt idx="448">
                  <c:v>1.3373196968916199</c:v>
                </c:pt>
                <c:pt idx="449">
                  <c:v>0.7254761101835453</c:v>
                </c:pt>
                <c:pt idx="450">
                  <c:v>1.09684803266762</c:v>
                </c:pt>
                <c:pt idx="451">
                  <c:v>0.76113067319393812</c:v>
                </c:pt>
                <c:pt idx="452">
                  <c:v>1.3400310012662302</c:v>
                </c:pt>
                <c:pt idx="453">
                  <c:v>1.2155691663431487</c:v>
                </c:pt>
                <c:pt idx="454">
                  <c:v>1.638075711957186</c:v>
                </c:pt>
                <c:pt idx="455">
                  <c:v>1.7313739267886465</c:v>
                </c:pt>
                <c:pt idx="456">
                  <c:v>1.1771456049704661</c:v>
                </c:pt>
                <c:pt idx="457">
                  <c:v>2.0313385499524146</c:v>
                </c:pt>
                <c:pt idx="458">
                  <c:v>1.5152576191190823</c:v>
                </c:pt>
                <c:pt idx="459">
                  <c:v>1.7422284621960058</c:v>
                </c:pt>
                <c:pt idx="460">
                  <c:v>2.2513553551721963</c:v>
                </c:pt>
                <c:pt idx="461">
                  <c:v>2.1361178134330645</c:v>
                </c:pt>
                <c:pt idx="462">
                  <c:v>2.1724058653962546</c:v>
                </c:pt>
                <c:pt idx="463">
                  <c:v>2.3130844660084993</c:v>
                </c:pt>
                <c:pt idx="464">
                  <c:v>1.7184431337504364</c:v>
                </c:pt>
                <c:pt idx="465">
                  <c:v>2.6579656117992134</c:v>
                </c:pt>
                <c:pt idx="466">
                  <c:v>3.1284431226038105</c:v>
                </c:pt>
                <c:pt idx="467">
                  <c:v>2.8880122523910448</c:v>
                </c:pt>
                <c:pt idx="468">
                  <c:v>2.4030018423910451</c:v>
                </c:pt>
                <c:pt idx="469">
                  <c:v>2.9795534023910428</c:v>
                </c:pt>
                <c:pt idx="470">
                  <c:v>4.2366851084579835</c:v>
                </c:pt>
                <c:pt idx="471">
                  <c:v>4.565495246457985</c:v>
                </c:pt>
                <c:pt idx="472">
                  <c:v>4.4713820512198872</c:v>
                </c:pt>
                <c:pt idx="473">
                  <c:v>4.8910806305349599</c:v>
                </c:pt>
                <c:pt idx="474">
                  <c:v>4.5436315378305592</c:v>
                </c:pt>
                <c:pt idx="475">
                  <c:v>3.4308225446390654</c:v>
                </c:pt>
                <c:pt idx="476">
                  <c:v>2.930024651247761</c:v>
                </c:pt>
                <c:pt idx="477">
                  <c:v>2.50181939990247</c:v>
                </c:pt>
                <c:pt idx="478">
                  <c:v>2.3041546547217457</c:v>
                </c:pt>
                <c:pt idx="479">
                  <c:v>2.8248688666634929</c:v>
                </c:pt>
                <c:pt idx="480">
                  <c:v>2.5793256650505869</c:v>
                </c:pt>
                <c:pt idx="481">
                  <c:v>2.242391068069455</c:v>
                </c:pt>
                <c:pt idx="482">
                  <c:v>2.3996331809523381</c:v>
                </c:pt>
                <c:pt idx="483">
                  <c:v>2.0533826200493306</c:v>
                </c:pt>
                <c:pt idx="484">
                  <c:v>2.6790639059868311</c:v>
                </c:pt>
                <c:pt idx="485">
                  <c:v>3.7306823462337482</c:v>
                </c:pt>
                <c:pt idx="486">
                  <c:v>2.7374942732885454</c:v>
                </c:pt>
                <c:pt idx="487">
                  <c:v>2.4997716834363239</c:v>
                </c:pt>
                <c:pt idx="488">
                  <c:v>2.479856828436326</c:v>
                </c:pt>
                <c:pt idx="489">
                  <c:v>2.6195431641226006</c:v>
                </c:pt>
                <c:pt idx="490">
                  <c:v>2.2325164352388782</c:v>
                </c:pt>
                <c:pt idx="491">
                  <c:v>1.808505117978604</c:v>
                </c:pt>
                <c:pt idx="492">
                  <c:v>2.4913538035260467</c:v>
                </c:pt>
                <c:pt idx="493">
                  <c:v>1.8747376641772098</c:v>
                </c:pt>
                <c:pt idx="494">
                  <c:v>2.7076624759790127</c:v>
                </c:pt>
                <c:pt idx="495">
                  <c:v>2.787377628873748</c:v>
                </c:pt>
                <c:pt idx="496">
                  <c:v>3.0255861575622713</c:v>
                </c:pt>
                <c:pt idx="497">
                  <c:v>3.432787223828937</c:v>
                </c:pt>
                <c:pt idx="498">
                  <c:v>4.0289518419539387</c:v>
                </c:pt>
                <c:pt idx="499">
                  <c:v>3.9092376469874965</c:v>
                </c:pt>
                <c:pt idx="500">
                  <c:v>4.7863129871773697</c:v>
                </c:pt>
                <c:pt idx="501">
                  <c:v>4.0635163528111722</c:v>
                </c:pt>
                <c:pt idx="502">
                  <c:v>4.3501029066206947</c:v>
                </c:pt>
                <c:pt idx="503">
                  <c:v>4.2360853541762475</c:v>
                </c:pt>
                <c:pt idx="504">
                  <c:v>3.3534266978382217</c:v>
                </c:pt>
                <c:pt idx="505">
                  <c:v>3.2620226588020782</c:v>
                </c:pt>
                <c:pt idx="506">
                  <c:v>2.7473991177229422</c:v>
                </c:pt>
                <c:pt idx="507">
                  <c:v>3.1091081264687075</c:v>
                </c:pt>
                <c:pt idx="508">
                  <c:v>2.6900339085247813</c:v>
                </c:pt>
                <c:pt idx="509">
                  <c:v>2.4021347897826399</c:v>
                </c:pt>
                <c:pt idx="510">
                  <c:v>4.6419657929047409</c:v>
                </c:pt>
                <c:pt idx="511">
                  <c:v>4.1935016101800642</c:v>
                </c:pt>
                <c:pt idx="512">
                  <c:v>6.8901284190793612</c:v>
                </c:pt>
                <c:pt idx="513">
                  <c:v>7.2898872586289061</c:v>
                </c:pt>
                <c:pt idx="514">
                  <c:v>8.3089118265942723</c:v>
                </c:pt>
                <c:pt idx="515">
                  <c:v>10.646363945344266</c:v>
                </c:pt>
                <c:pt idx="516">
                  <c:v>12.836593466363791</c:v>
                </c:pt>
                <c:pt idx="517">
                  <c:v>9.2658424569112796</c:v>
                </c:pt>
                <c:pt idx="518">
                  <c:v>3.6840550141334973</c:v>
                </c:pt>
                <c:pt idx="519">
                  <c:v>5.7516165755068878</c:v>
                </c:pt>
                <c:pt idx="520">
                  <c:v>3.0308544544460463</c:v>
                </c:pt>
                <c:pt idx="521">
                  <c:v>4.5388052435107937</c:v>
                </c:pt>
                <c:pt idx="522">
                  <c:v>8.1119027343178072</c:v>
                </c:pt>
                <c:pt idx="523">
                  <c:v>6.3700210678197076</c:v>
                </c:pt>
                <c:pt idx="524">
                  <c:v>5.6747277319996012</c:v>
                </c:pt>
                <c:pt idx="525">
                  <c:v>5.8588733757638609</c:v>
                </c:pt>
                <c:pt idx="526">
                  <c:v>5.178599768509625</c:v>
                </c:pt>
                <c:pt idx="527">
                  <c:v>6.3473683533572727</c:v>
                </c:pt>
                <c:pt idx="528">
                  <c:v>6.8519672447319362</c:v>
                </c:pt>
                <c:pt idx="529">
                  <c:v>8.549780444895875</c:v>
                </c:pt>
                <c:pt idx="530">
                  <c:v>6.6456036853813156</c:v>
                </c:pt>
                <c:pt idx="531">
                  <c:v>6.557781240192635</c:v>
                </c:pt>
                <c:pt idx="532">
                  <c:v>5.3367730801926356</c:v>
                </c:pt>
                <c:pt idx="533">
                  <c:v>3.978382692692628</c:v>
                </c:pt>
                <c:pt idx="534">
                  <c:v>3.0400813968435698</c:v>
                </c:pt>
                <c:pt idx="535">
                  <c:v>4.0763483169589545</c:v>
                </c:pt>
                <c:pt idx="536">
                  <c:v>2.5155851274934742</c:v>
                </c:pt>
                <c:pt idx="537">
                  <c:v>1.3214605093370477</c:v>
                </c:pt>
                <c:pt idx="538">
                  <c:v>0.90447334323534923</c:v>
                </c:pt>
                <c:pt idx="539">
                  <c:v>0.73760861436034642</c:v>
                </c:pt>
                <c:pt idx="540">
                  <c:v>0.32468742897572722</c:v>
                </c:pt>
                <c:pt idx="541">
                  <c:v>-0.12772551209954278</c:v>
                </c:pt>
                <c:pt idx="542">
                  <c:v>-0.18500165199201629</c:v>
                </c:pt>
                <c:pt idx="543">
                  <c:v>0.53276644428705577</c:v>
                </c:pt>
                <c:pt idx="544">
                  <c:v>0.78012642345372041</c:v>
                </c:pt>
                <c:pt idx="545">
                  <c:v>-1.1211453198167209</c:v>
                </c:pt>
                <c:pt idx="546">
                  <c:v>-0.37842433206161968</c:v>
                </c:pt>
                <c:pt idx="547">
                  <c:v>-0.32076321970868227</c:v>
                </c:pt>
                <c:pt idx="548">
                  <c:v>-0.40755949388735624</c:v>
                </c:pt>
                <c:pt idx="549">
                  <c:v>-1.4183103340400269</c:v>
                </c:pt>
                <c:pt idx="550">
                  <c:v>-0.34928882169283937</c:v>
                </c:pt>
                <c:pt idx="551">
                  <c:v>-0.28644159587465617</c:v>
                </c:pt>
                <c:pt idx="552">
                  <c:v>0.15436944436924543</c:v>
                </c:pt>
                <c:pt idx="553">
                  <c:v>0.13762307803458426</c:v>
                </c:pt>
                <c:pt idx="554">
                  <c:v>0.34829879857029966</c:v>
                </c:pt>
                <c:pt idx="555">
                  <c:v>-0.24612085903840231</c:v>
                </c:pt>
                <c:pt idx="556">
                  <c:v>0.31459509199863522</c:v>
                </c:pt>
                <c:pt idx="557">
                  <c:v>0.62821938611628303</c:v>
                </c:pt>
                <c:pt idx="558">
                  <c:v>0.87519127589406043</c:v>
                </c:pt>
                <c:pt idx="559">
                  <c:v>0.46072485022242021</c:v>
                </c:pt>
                <c:pt idx="560">
                  <c:v>0.66505632563225547</c:v>
                </c:pt>
                <c:pt idx="561">
                  <c:v>1.3015918398989237</c:v>
                </c:pt>
                <c:pt idx="562">
                  <c:v>0.92933802378781427</c:v>
                </c:pt>
                <c:pt idx="563">
                  <c:v>1.1821524165228567</c:v>
                </c:pt>
                <c:pt idx="564">
                  <c:v>2.1374390394876825</c:v>
                </c:pt>
                <c:pt idx="565">
                  <c:v>1.7990741577485516</c:v>
                </c:pt>
                <c:pt idx="566">
                  <c:v>2.0662394011622811</c:v>
                </c:pt>
                <c:pt idx="567">
                  <c:v>2.0074713170652472</c:v>
                </c:pt>
                <c:pt idx="568">
                  <c:v>3.1578551171254903</c:v>
                </c:pt>
                <c:pt idx="569">
                  <c:v>-0.27763722878754749</c:v>
                </c:pt>
                <c:pt idx="570">
                  <c:v>-0.19946685572944309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BB-4E99-A29D-9F9F8D2E5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175280"/>
        <c:axId val="525404032"/>
      </c:lineChart>
      <c:dateAx>
        <c:axId val="536175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404032"/>
        <c:crosses val="autoZero"/>
        <c:auto val="1"/>
        <c:lblOffset val="100"/>
        <c:baseTimeUnit val="days"/>
      </c:dateAx>
      <c:valAx>
        <c:axId val="52540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889C19-6CBF-48DA-AA5F-6AB67F11958B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B1D919-70B8-4CB6-A553-9F1D6040975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6.4000000000000001E-2</v>
      </c>
      <c r="D2" s="4">
        <f>MIN(D3:D1912)</f>
        <v>2.2910000000000001E-3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9.5700000000000004E-3</v>
      </c>
      <c r="C5">
        <v>9.7699999999999992E-3</v>
      </c>
      <c r="D5">
        <v>9.4199999999999996E-3</v>
      </c>
      <c r="E5">
        <v>9.4199999999999996E-3</v>
      </c>
      <c r="F5">
        <v>32976505</v>
      </c>
      <c r="G5">
        <v>9.4199999999999996E-3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-32976505</v>
      </c>
      <c r="R5">
        <f t="shared" ref="R5" si="2">R6+Q5</f>
        <v>35955188388.505196</v>
      </c>
      <c r="S5">
        <f t="shared" ref="S5" si="3">R5/100000</f>
        <v>359551.88388505194</v>
      </c>
      <c r="T5">
        <f t="shared" ref="T5" si="4">S5/1000</f>
        <v>359.55188388505195</v>
      </c>
    </row>
    <row r="6" spans="1:20" x14ac:dyDescent="0.25">
      <c r="A6" s="5">
        <v>44587</v>
      </c>
      <c r="B6">
        <v>9.4800000000000006E-3</v>
      </c>
      <c r="C6">
        <v>1.0359999999999999E-2</v>
      </c>
      <c r="D6">
        <v>9.3299999999999998E-3</v>
      </c>
      <c r="E6">
        <v>9.5600000000000008E-3</v>
      </c>
      <c r="F6">
        <v>430024951</v>
      </c>
      <c r="G6">
        <v>9.5600000000000008E-3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-0.55339805825242505</v>
      </c>
      <c r="Q6">
        <f t="shared" ref="Q6" si="6">F6*P6</f>
        <v>-237974972.88349423</v>
      </c>
      <c r="R6">
        <f t="shared" ref="R6" si="7">R7+Q6</f>
        <v>35988164893.505196</v>
      </c>
      <c r="S6">
        <f t="shared" ref="S6" si="8">R6/100000</f>
        <v>359881.64893505198</v>
      </c>
      <c r="T6">
        <f t="shared" ref="T6" si="9">S6/1000</f>
        <v>359.881648935052</v>
      </c>
    </row>
    <row r="7" spans="1:20" x14ac:dyDescent="0.25">
      <c r="A7" s="5">
        <v>44586</v>
      </c>
      <c r="B7">
        <v>9.3900000000000008E-3</v>
      </c>
      <c r="C7">
        <v>9.5899999999999996E-3</v>
      </c>
      <c r="D7">
        <v>9.0399999999999994E-3</v>
      </c>
      <c r="E7">
        <v>9.4699999999999993E-3</v>
      </c>
      <c r="F7">
        <v>358879461</v>
      </c>
      <c r="G7">
        <v>9.4699999999999993E-3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0.5636363636363626</v>
      </c>
      <c r="Q7">
        <f t="shared" ref="Q7" si="11">F7*P7</f>
        <v>202277514.38181782</v>
      </c>
      <c r="R7">
        <f t="shared" ref="R7" si="12">R8+Q7</f>
        <v>36226139866.388687</v>
      </c>
      <c r="S7">
        <f t="shared" ref="S7" si="13">R7/100000</f>
        <v>362261.39866388688</v>
      </c>
      <c r="T7">
        <f t="shared" ref="T7" si="14">S7/1000</f>
        <v>362.26139866388689</v>
      </c>
    </row>
    <row r="8" spans="1:20" x14ac:dyDescent="0.25">
      <c r="A8" s="5">
        <v>44585</v>
      </c>
      <c r="B8">
        <v>9.8399999999999998E-3</v>
      </c>
      <c r="C8">
        <v>9.8399999999999998E-3</v>
      </c>
      <c r="D8">
        <v>8.2900000000000005E-3</v>
      </c>
      <c r="E8">
        <v>9.3900000000000008E-3</v>
      </c>
      <c r="F8">
        <v>649189585</v>
      </c>
      <c r="G8">
        <v>9.3900000000000008E-3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0.41935483870967843</v>
      </c>
      <c r="Q8">
        <f t="shared" ref="Q8" si="16">F8*P8</f>
        <v>272240793.70967805</v>
      </c>
      <c r="R8">
        <f t="shared" ref="R8" si="17">R9+Q8</f>
        <v>36023862352.006866</v>
      </c>
      <c r="S8">
        <f t="shared" ref="S8" si="18">R8/100000</f>
        <v>360238.62352006865</v>
      </c>
      <c r="T8">
        <f t="shared" ref="T8" si="19">S8/1000</f>
        <v>360.23862352006864</v>
      </c>
    </row>
    <row r="9" spans="1:20" x14ac:dyDescent="0.25">
      <c r="A9" s="5">
        <v>44584</v>
      </c>
      <c r="B9">
        <v>9.4299999999999991E-3</v>
      </c>
      <c r="C9">
        <v>9.9900000000000006E-3</v>
      </c>
      <c r="D9">
        <v>9.2599999999999991E-3</v>
      </c>
      <c r="E9">
        <v>9.8300000000000002E-3</v>
      </c>
      <c r="F9">
        <v>333436699</v>
      </c>
      <c r="G9">
        <v>9.8300000000000002E-3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0.56164383561643805</v>
      </c>
      <c r="Q9">
        <f t="shared" ref="Q9" si="21">F9*P9</f>
        <v>187272666.56164372</v>
      </c>
      <c r="R9">
        <f t="shared" ref="R9" si="22">R10+Q9</f>
        <v>35751621558.297188</v>
      </c>
      <c r="S9">
        <f t="shared" ref="S9" si="23">R9/100000</f>
        <v>357516.21558297187</v>
      </c>
      <c r="T9">
        <f t="shared" ref="T9" si="24">S9/1000</f>
        <v>357.51621558297188</v>
      </c>
    </row>
    <row r="10" spans="1:20" x14ac:dyDescent="0.25">
      <c r="A10" s="5">
        <v>44583</v>
      </c>
      <c r="B10">
        <v>1.0410000000000001E-2</v>
      </c>
      <c r="C10">
        <v>1.074E-2</v>
      </c>
      <c r="D10">
        <v>8.5500000000000003E-3</v>
      </c>
      <c r="E10">
        <v>9.4400000000000005E-3</v>
      </c>
      <c r="F10">
        <v>872755898</v>
      </c>
      <c r="G10">
        <v>9.4400000000000005E-3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-0.18721461187214569</v>
      </c>
      <c r="Q10">
        <f t="shared" ref="Q10" si="26">F10*P10</f>
        <v>-163392656.70319599</v>
      </c>
      <c r="R10">
        <f t="shared" ref="R10" si="27">R11+Q10</f>
        <v>35564348891.735542</v>
      </c>
      <c r="S10">
        <f t="shared" ref="S10" si="28">R10/100000</f>
        <v>355643.48891735543</v>
      </c>
      <c r="T10">
        <f t="shared" ref="T10" si="29">S10/1000</f>
        <v>355.6434889173554</v>
      </c>
    </row>
    <row r="11" spans="1:20" x14ac:dyDescent="0.25">
      <c r="A11" s="5">
        <v>44582</v>
      </c>
      <c r="B11">
        <v>1.2149999999999999E-2</v>
      </c>
      <c r="C11">
        <v>1.231E-2</v>
      </c>
      <c r="D11">
        <v>1.008E-2</v>
      </c>
      <c r="E11">
        <v>1.043E-2</v>
      </c>
      <c r="F11">
        <v>686780394</v>
      </c>
      <c r="G11">
        <v>1.043E-2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-0.68609865470852038</v>
      </c>
      <c r="Q11">
        <f t="shared" ref="Q11" si="31">F11*P11</f>
        <v>-471199104.40358758</v>
      </c>
      <c r="R11">
        <f t="shared" ref="R11" si="32">R12+Q11</f>
        <v>35727741548.438736</v>
      </c>
      <c r="S11">
        <f t="shared" ref="S11" si="33">R11/100000</f>
        <v>357277.41548438737</v>
      </c>
      <c r="T11">
        <f t="shared" ref="T11" si="34">S11/1000</f>
        <v>357.27741548438735</v>
      </c>
    </row>
    <row r="12" spans="1:20" x14ac:dyDescent="0.25">
      <c r="A12" s="5">
        <v>44581</v>
      </c>
      <c r="B12">
        <v>1.269E-2</v>
      </c>
      <c r="C12">
        <v>1.323E-2</v>
      </c>
      <c r="D12">
        <v>1.21E-2</v>
      </c>
      <c r="E12">
        <v>1.217E-2</v>
      </c>
      <c r="F12">
        <v>286507465</v>
      </c>
      <c r="G12">
        <v>1.217E-2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-0.87610619469026452</v>
      </c>
      <c r="Q12">
        <f t="shared" ref="Q12" si="36">F12*P12</f>
        <v>-251010964.91150415</v>
      </c>
      <c r="R12">
        <f t="shared" ref="R12" si="37">R13+Q12</f>
        <v>36198940652.842323</v>
      </c>
      <c r="S12">
        <f t="shared" ref="S12" si="38">R12/100000</f>
        <v>361989.40652842325</v>
      </c>
      <c r="T12">
        <f t="shared" ref="T12" si="39">S12/1000</f>
        <v>361.98940652842327</v>
      </c>
    </row>
    <row r="13" spans="1:20" x14ac:dyDescent="0.25">
      <c r="A13" s="5">
        <v>44580</v>
      </c>
      <c r="B13">
        <v>1.332E-2</v>
      </c>
      <c r="C13">
        <v>1.333E-2</v>
      </c>
      <c r="D13">
        <v>1.2670000000000001E-2</v>
      </c>
      <c r="E13">
        <v>1.268E-2</v>
      </c>
      <c r="F13">
        <v>190124952</v>
      </c>
      <c r="G13">
        <v>1.268E-2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-0.96969696969697095</v>
      </c>
      <c r="Q13">
        <f t="shared" ref="Q13" si="41">F13*P13</f>
        <v>-184363589.81818205</v>
      </c>
      <c r="R13">
        <f t="shared" ref="R13" si="42">R14+Q13</f>
        <v>36449951617.75383</v>
      </c>
      <c r="S13">
        <f t="shared" ref="S13" si="43">R13/100000</f>
        <v>364499.51617753832</v>
      </c>
      <c r="T13">
        <f t="shared" ref="T13" si="44">S13/1000</f>
        <v>364.49951617753834</v>
      </c>
    </row>
    <row r="14" spans="1:20" x14ac:dyDescent="0.25">
      <c r="A14" s="5">
        <v>44579</v>
      </c>
      <c r="B14">
        <v>1.3509999999999999E-2</v>
      </c>
      <c r="C14">
        <v>1.357E-2</v>
      </c>
      <c r="D14">
        <v>1.2869999999999999E-2</v>
      </c>
      <c r="E14">
        <v>1.3299999999999999E-2</v>
      </c>
      <c r="F14">
        <v>182471094</v>
      </c>
      <c r="G14">
        <v>1.3299999999999999E-2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0.22857142857142637</v>
      </c>
      <c r="Q14">
        <f t="shared" ref="Q14" si="46">F14*P14</f>
        <v>41707678.628571026</v>
      </c>
      <c r="R14">
        <f t="shared" ref="R14" si="47">R15+Q14</f>
        <v>36634315207.572014</v>
      </c>
      <c r="S14">
        <f t="shared" ref="S14" si="48">R14/100000</f>
        <v>366343.15207572014</v>
      </c>
      <c r="T14">
        <f t="shared" ref="T14" si="49">S14/1000</f>
        <v>366.34315207572013</v>
      </c>
    </row>
    <row r="15" spans="1:20" x14ac:dyDescent="0.25">
      <c r="A15" s="5">
        <v>44578</v>
      </c>
      <c r="B15">
        <v>1.4109999999999999E-2</v>
      </c>
      <c r="C15">
        <v>1.418E-2</v>
      </c>
      <c r="D15">
        <v>1.3259999999999999E-2</v>
      </c>
      <c r="E15">
        <v>1.3509999999999999E-2</v>
      </c>
      <c r="F15">
        <v>217821436</v>
      </c>
      <c r="G15">
        <v>1.3509999999999999E-2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-0.4565217391304347</v>
      </c>
      <c r="Q15">
        <f t="shared" ref="Q15" si="51">F15*P15</f>
        <v>-99440220.782608673</v>
      </c>
      <c r="R15">
        <f t="shared" ref="R15" si="52">R16+Q15</f>
        <v>36592607528.943443</v>
      </c>
      <c r="S15">
        <f t="shared" ref="S15" si="53">R15/100000</f>
        <v>365926.0752894344</v>
      </c>
      <c r="T15">
        <f t="shared" ref="T15" si="54">S15/1000</f>
        <v>365.92607528943438</v>
      </c>
    </row>
    <row r="16" spans="1:20" x14ac:dyDescent="0.25">
      <c r="A16" s="5">
        <v>44577</v>
      </c>
      <c r="B16">
        <v>1.405E-2</v>
      </c>
      <c r="C16">
        <v>1.434E-2</v>
      </c>
      <c r="D16">
        <v>1.375E-2</v>
      </c>
      <c r="E16">
        <v>1.41E-2</v>
      </c>
      <c r="F16">
        <v>207080078</v>
      </c>
      <c r="G16">
        <v>1.41E-2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0.18644067796609989</v>
      </c>
      <c r="Q16">
        <f t="shared" ref="Q16" si="56">F16*P16</f>
        <v>38608150.135592848</v>
      </c>
      <c r="R16">
        <f t="shared" ref="R16" si="57">R17+Q16</f>
        <v>36692047749.726051</v>
      </c>
      <c r="S16">
        <f t="shared" ref="S16" si="58">R16/100000</f>
        <v>366920.47749726049</v>
      </c>
      <c r="T16">
        <f t="shared" ref="T16" si="59">S16/1000</f>
        <v>366.92047749726049</v>
      </c>
    </row>
    <row r="17" spans="1:20" x14ac:dyDescent="0.25">
      <c r="A17" s="5">
        <v>44576</v>
      </c>
      <c r="B17">
        <v>1.3849999999999999E-2</v>
      </c>
      <c r="C17">
        <v>1.427E-2</v>
      </c>
      <c r="D17">
        <v>1.366E-2</v>
      </c>
      <c r="E17">
        <v>1.404E-2</v>
      </c>
      <c r="F17">
        <v>121976278</v>
      </c>
      <c r="G17">
        <v>1.404E-2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0.24590163934426387</v>
      </c>
      <c r="Q17">
        <f t="shared" ref="Q17" si="61">F17*P17</f>
        <v>29994166.721311666</v>
      </c>
      <c r="R17">
        <f t="shared" ref="R17" si="62">R18+Q17</f>
        <v>36653439599.590462</v>
      </c>
      <c r="S17">
        <f t="shared" ref="S17" si="63">R17/100000</f>
        <v>366534.39599590463</v>
      </c>
      <c r="T17">
        <f t="shared" ref="T17" si="64">S17/1000</f>
        <v>366.53439599590462</v>
      </c>
    </row>
    <row r="18" spans="1:20" x14ac:dyDescent="0.25">
      <c r="A18" s="5">
        <v>44575</v>
      </c>
      <c r="B18">
        <v>1.345E-2</v>
      </c>
      <c r="C18">
        <v>1.3939999999999999E-2</v>
      </c>
      <c r="D18">
        <v>1.324E-2</v>
      </c>
      <c r="E18">
        <v>1.3860000000000001E-2</v>
      </c>
      <c r="F18">
        <v>316383551</v>
      </c>
      <c r="G18">
        <v>1.3860000000000001E-2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0.77142857142857557</v>
      </c>
      <c r="Q18">
        <f t="shared" ref="Q18" si="66">F18*P18</f>
        <v>244067310.7714299</v>
      </c>
      <c r="R18">
        <f t="shared" ref="R18" si="67">R19+Q18</f>
        <v>36623445432.869148</v>
      </c>
      <c r="S18">
        <f t="shared" ref="S18" si="68">R18/100000</f>
        <v>366234.45432869147</v>
      </c>
      <c r="T18">
        <f t="shared" ref="T18" si="69">S18/1000</f>
        <v>366.23445432869147</v>
      </c>
    </row>
    <row r="19" spans="1:20" x14ac:dyDescent="0.25">
      <c r="A19" s="5">
        <v>44574</v>
      </c>
      <c r="B19">
        <v>1.4E-2</v>
      </c>
      <c r="C19">
        <v>1.423E-2</v>
      </c>
      <c r="D19">
        <v>1.337E-2</v>
      </c>
      <c r="E19">
        <v>1.345E-2</v>
      </c>
      <c r="F19">
        <v>332962865</v>
      </c>
      <c r="G19">
        <v>1.345E-2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-0.81395348837209247</v>
      </c>
      <c r="Q19">
        <f t="shared" ref="Q19" si="71">F19*P19</f>
        <v>-271016285.46511608</v>
      </c>
      <c r="R19">
        <f t="shared" ref="R19" si="72">R20+Q19</f>
        <v>36379378122.097717</v>
      </c>
      <c r="S19">
        <f t="shared" ref="S19" si="73">R19/100000</f>
        <v>363793.78122097719</v>
      </c>
      <c r="T19">
        <f t="shared" ref="T19" si="74">S19/1000</f>
        <v>363.79378122097717</v>
      </c>
    </row>
    <row r="20" spans="1:20" x14ac:dyDescent="0.25">
      <c r="A20" s="5">
        <v>44573</v>
      </c>
      <c r="B20">
        <v>1.353E-2</v>
      </c>
      <c r="C20">
        <v>1.414E-2</v>
      </c>
      <c r="D20">
        <v>1.342E-2</v>
      </c>
      <c r="E20">
        <v>1.401E-2</v>
      </c>
      <c r="F20">
        <v>312682471</v>
      </c>
      <c r="G20">
        <v>1.401E-2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0.63888888888888917</v>
      </c>
      <c r="Q20">
        <f t="shared" ref="Q20" si="76">F20*P20</f>
        <v>199769356.4722223</v>
      </c>
      <c r="R20">
        <f t="shared" ref="R20" si="77">R21+Q20</f>
        <v>36650394407.562836</v>
      </c>
      <c r="S20">
        <f t="shared" ref="S20" si="78">R20/100000</f>
        <v>366503.94407562836</v>
      </c>
      <c r="T20">
        <f t="shared" ref="T20" si="79">S20/1000</f>
        <v>366.50394407562834</v>
      </c>
    </row>
    <row r="21" spans="1:20" x14ac:dyDescent="0.25">
      <c r="A21" s="5">
        <v>44572</v>
      </c>
      <c r="B21">
        <v>1.2959999999999999E-2</v>
      </c>
      <c r="C21">
        <v>1.367E-2</v>
      </c>
      <c r="D21">
        <v>1.2800000000000001E-2</v>
      </c>
      <c r="E21">
        <v>1.353E-2</v>
      </c>
      <c r="F21">
        <v>278487285</v>
      </c>
      <c r="G21">
        <v>1.353E-2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0.67816091954023072</v>
      </c>
      <c r="Q21">
        <f t="shared" ref="Q21" si="81">F21*P21</f>
        <v>188859193.27586231</v>
      </c>
      <c r="R21">
        <f t="shared" ref="R21" si="82">R22+Q21</f>
        <v>36450625051.090614</v>
      </c>
      <c r="S21">
        <f t="shared" ref="S21" si="83">R21/100000</f>
        <v>364506.25051090616</v>
      </c>
      <c r="T21">
        <f t="shared" ref="T21" si="84">S21/1000</f>
        <v>364.50625051090617</v>
      </c>
    </row>
    <row r="22" spans="1:20" x14ac:dyDescent="0.25">
      <c r="A22" s="5">
        <v>44571</v>
      </c>
      <c r="B22">
        <v>1.349E-2</v>
      </c>
      <c r="C22">
        <v>1.388E-2</v>
      </c>
      <c r="D22">
        <v>1.2359999999999999E-2</v>
      </c>
      <c r="E22">
        <v>1.2959999999999999E-2</v>
      </c>
      <c r="F22">
        <v>417045726</v>
      </c>
      <c r="G22">
        <v>1.2959999999999999E-2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-0.21052631578947417</v>
      </c>
      <c r="Q22">
        <f t="shared" ref="Q22" si="86">F22*P22</f>
        <v>-87799100.210526526</v>
      </c>
      <c r="R22">
        <f t="shared" ref="R22" si="87">R23+Q22</f>
        <v>36261765857.814751</v>
      </c>
      <c r="S22">
        <f t="shared" ref="S22" si="88">R22/100000</f>
        <v>362617.65857814753</v>
      </c>
      <c r="T22">
        <f t="shared" ref="T22" si="89">S22/1000</f>
        <v>362.61765857814754</v>
      </c>
    </row>
    <row r="23" spans="1:20" x14ac:dyDescent="0.25">
      <c r="A23" s="5">
        <v>44570</v>
      </c>
      <c r="B23">
        <v>1.3220000000000001E-2</v>
      </c>
      <c r="C23">
        <v>1.376E-2</v>
      </c>
      <c r="D23">
        <v>1.3050000000000001E-2</v>
      </c>
      <c r="E23">
        <v>1.349E-2</v>
      </c>
      <c r="F23">
        <v>185922887</v>
      </c>
      <c r="G23">
        <v>1.349E-2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0.23943661971831026</v>
      </c>
      <c r="Q23">
        <f t="shared" ref="Q23" si="91">F23*P23</f>
        <v>44516747.591549374</v>
      </c>
      <c r="R23">
        <f t="shared" ref="R23" si="92">R24+Q23</f>
        <v>36349564958.025276</v>
      </c>
      <c r="S23">
        <f t="shared" ref="S23" si="93">R23/100000</f>
        <v>363495.64958025276</v>
      </c>
      <c r="T23">
        <f t="shared" ref="T23" si="94">S23/1000</f>
        <v>363.49564958025275</v>
      </c>
    </row>
    <row r="24" spans="1:20" x14ac:dyDescent="0.25">
      <c r="A24" s="5">
        <v>44569</v>
      </c>
      <c r="B24">
        <v>1.3610000000000001E-2</v>
      </c>
      <c r="C24">
        <v>1.3990000000000001E-2</v>
      </c>
      <c r="D24">
        <v>1.277E-2</v>
      </c>
      <c r="E24">
        <v>1.3220000000000001E-2</v>
      </c>
      <c r="F24">
        <v>282450865</v>
      </c>
      <c r="G24">
        <v>1.3220000000000001E-2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-0.26229508196721224</v>
      </c>
      <c r="Q24">
        <f t="shared" ref="Q24" si="96">F24*P24</f>
        <v>-74085472.786884993</v>
      </c>
      <c r="R24">
        <f t="shared" ref="R24" si="97">R25+Q24</f>
        <v>36305048210.433723</v>
      </c>
      <c r="S24">
        <f t="shared" ref="S24" si="98">R24/100000</f>
        <v>363050.48210433725</v>
      </c>
      <c r="T24">
        <f t="shared" ref="T24" si="99">S24/1000</f>
        <v>363.05048210433728</v>
      </c>
    </row>
    <row r="25" spans="1:20" x14ac:dyDescent="0.25">
      <c r="A25" s="5">
        <v>44568</v>
      </c>
      <c r="B25">
        <v>1.448E-2</v>
      </c>
      <c r="C25">
        <v>1.453E-2</v>
      </c>
      <c r="D25">
        <v>1.325E-2</v>
      </c>
      <c r="E25">
        <v>1.3610000000000001E-2</v>
      </c>
      <c r="F25">
        <v>370415789</v>
      </c>
      <c r="G25">
        <v>1.3610000000000001E-2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-0.4374999999999985</v>
      </c>
      <c r="Q25">
        <f t="shared" ref="Q25" si="101">F25*P25</f>
        <v>-162056907.68749943</v>
      </c>
      <c r="R25">
        <f t="shared" ref="R25" si="102">R26+Q25</f>
        <v>36379133683.220612</v>
      </c>
      <c r="S25">
        <f t="shared" ref="S25" si="103">R25/100000</f>
        <v>363791.33683220611</v>
      </c>
      <c r="T25">
        <f t="shared" ref="T25" si="104">S25/1000</f>
        <v>363.79133683220613</v>
      </c>
    </row>
    <row r="26" spans="1:20" x14ac:dyDescent="0.25">
      <c r="A26" s="5">
        <v>44567</v>
      </c>
      <c r="B26">
        <v>1.444E-2</v>
      </c>
      <c r="C26">
        <v>1.4659999999999999E-2</v>
      </c>
      <c r="D26">
        <v>1.3679999999999999E-2</v>
      </c>
      <c r="E26">
        <v>1.448E-2</v>
      </c>
      <c r="F26">
        <v>321831612</v>
      </c>
      <c r="G26">
        <v>1.448E-2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0.63265306122449061</v>
      </c>
      <c r="Q26">
        <f t="shared" ref="Q26" si="106">F26*P26</f>
        <v>203607754.5306125</v>
      </c>
      <c r="R26">
        <f t="shared" ref="R26" si="107">R27+Q26</f>
        <v>36541190590.908112</v>
      </c>
      <c r="S26">
        <f t="shared" ref="S26" si="108">R26/100000</f>
        <v>365411.90590908111</v>
      </c>
      <c r="T26">
        <f t="shared" ref="T26" si="109">S26/1000</f>
        <v>365.4119059090811</v>
      </c>
    </row>
    <row r="27" spans="1:20" x14ac:dyDescent="0.25">
      <c r="A27" s="5">
        <v>44566</v>
      </c>
      <c r="B27">
        <v>1.5480000000000001E-2</v>
      </c>
      <c r="C27">
        <v>1.602E-2</v>
      </c>
      <c r="D27">
        <v>1.3979999999999999E-2</v>
      </c>
      <c r="E27">
        <v>1.443E-2</v>
      </c>
      <c r="F27">
        <v>530552239</v>
      </c>
      <c r="G27">
        <v>1.443E-2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-0.55882352941176405</v>
      </c>
      <c r="Q27">
        <f t="shared" ref="Q27" si="111">F27*P27</f>
        <v>-296485074.73529375</v>
      </c>
      <c r="R27">
        <f t="shared" ref="R27" si="112">R28+Q27</f>
        <v>36337582836.377502</v>
      </c>
      <c r="S27">
        <f t="shared" ref="S27" si="113">R27/100000</f>
        <v>363375.82836377504</v>
      </c>
      <c r="T27">
        <f t="shared" ref="T27" si="114">S27/1000</f>
        <v>363.37582836377504</v>
      </c>
    </row>
    <row r="28" spans="1:20" x14ac:dyDescent="0.25">
      <c r="A28" s="5">
        <v>44565</v>
      </c>
      <c r="B28">
        <v>1.575E-2</v>
      </c>
      <c r="C28">
        <v>1.609E-2</v>
      </c>
      <c r="D28">
        <v>1.525E-2</v>
      </c>
      <c r="E28">
        <v>1.55E-2</v>
      </c>
      <c r="F28">
        <v>270597323</v>
      </c>
      <c r="G28">
        <v>1.55E-2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-0.40476190476190455</v>
      </c>
      <c r="Q28">
        <f t="shared" ref="Q28" si="116">F28*P28</f>
        <v>-109527487.88095233</v>
      </c>
      <c r="R28">
        <f t="shared" ref="R28" si="117">R29+Q28</f>
        <v>36634067911.112793</v>
      </c>
      <c r="S28">
        <f t="shared" ref="S28" si="118">R28/100000</f>
        <v>366340.67911112792</v>
      </c>
      <c r="T28">
        <f t="shared" ref="T28" si="119">S28/1000</f>
        <v>366.34067911112794</v>
      </c>
    </row>
    <row r="29" spans="1:20" x14ac:dyDescent="0.25">
      <c r="A29" s="5">
        <v>44564</v>
      </c>
      <c r="B29">
        <v>1.6199999999999999E-2</v>
      </c>
      <c r="C29">
        <v>1.636E-2</v>
      </c>
      <c r="D29">
        <v>1.546E-2</v>
      </c>
      <c r="E29">
        <v>1.5740000000000001E-2</v>
      </c>
      <c r="F29">
        <v>425360980</v>
      </c>
      <c r="G29">
        <v>1.5740000000000001E-2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-0.37777777777777599</v>
      </c>
      <c r="Q29">
        <f t="shared" ref="Q29" si="121">F29*P29</f>
        <v>-160691925.77777702</v>
      </c>
      <c r="R29">
        <f t="shared" ref="R29" si="122">R30+Q29</f>
        <v>36743595398.993744</v>
      </c>
      <c r="S29">
        <f t="shared" ref="S29" si="123">R29/100000</f>
        <v>367435.95398993744</v>
      </c>
      <c r="T29">
        <f t="shared" ref="T29" si="124">S29/1000</f>
        <v>367.43595398993745</v>
      </c>
    </row>
    <row r="30" spans="1:20" x14ac:dyDescent="0.25">
      <c r="A30" s="5">
        <v>44563</v>
      </c>
      <c r="B30">
        <v>1.5570000000000001E-2</v>
      </c>
      <c r="C30">
        <v>1.6549999999999999E-2</v>
      </c>
      <c r="D30">
        <v>1.533E-2</v>
      </c>
      <c r="E30">
        <v>1.6199999999999999E-2</v>
      </c>
      <c r="F30">
        <v>304107439</v>
      </c>
      <c r="G30">
        <v>1.6199999999999999E-2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0.4262295081967214</v>
      </c>
      <c r="Q30">
        <f t="shared" ref="Q30" si="126">F30*P30</f>
        <v>129619564.16393445</v>
      </c>
      <c r="R30">
        <f t="shared" ref="R30" si="127">R31+Q30</f>
        <v>36904287324.771523</v>
      </c>
      <c r="S30">
        <f t="shared" ref="S30" si="128">R30/100000</f>
        <v>369042.87324771524</v>
      </c>
      <c r="T30">
        <f t="shared" ref="T30" si="129">S30/1000</f>
        <v>369.04287324771525</v>
      </c>
    </row>
    <row r="31" spans="1:20" x14ac:dyDescent="0.25">
      <c r="A31" s="5">
        <v>44562</v>
      </c>
      <c r="B31">
        <v>1.5180000000000001E-2</v>
      </c>
      <c r="C31">
        <v>1.5599999999999999E-2</v>
      </c>
      <c r="D31">
        <v>1.5180000000000001E-2</v>
      </c>
      <c r="E31">
        <v>1.5570000000000001E-2</v>
      </c>
      <c r="F31">
        <v>161755864</v>
      </c>
      <c r="G31">
        <v>1.5570000000000001E-2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0.85714285714286242</v>
      </c>
      <c r="Q31">
        <f t="shared" ref="Q31" si="131">F31*P31</f>
        <v>138647883.4285723</v>
      </c>
      <c r="R31">
        <f t="shared" ref="R31" si="132">R32+Q31</f>
        <v>36774667760.60759</v>
      </c>
      <c r="S31">
        <f t="shared" ref="S31" si="133">R31/100000</f>
        <v>367746.67760607589</v>
      </c>
      <c r="T31">
        <f t="shared" ref="T31" si="134">S31/1000</f>
        <v>367.74667760607588</v>
      </c>
    </row>
    <row r="32" spans="1:20" x14ac:dyDescent="0.25">
      <c r="A32" s="5">
        <v>44561</v>
      </c>
      <c r="B32">
        <v>1.5299999999999999E-2</v>
      </c>
      <c r="C32">
        <v>1.5679999999999999E-2</v>
      </c>
      <c r="D32">
        <v>1.468E-2</v>
      </c>
      <c r="E32">
        <v>1.5180000000000001E-2</v>
      </c>
      <c r="F32">
        <v>215550111</v>
      </c>
      <c r="G32">
        <v>1.5180000000000001E-2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1.7347234759768085E-15</v>
      </c>
      <c r="Q32">
        <f t="shared" ref="Q32" si="136">F32*P32</f>
        <v>3.7391983780110692E-7</v>
      </c>
      <c r="R32">
        <f t="shared" ref="R32" si="137">R33+Q32</f>
        <v>36636019877.179016</v>
      </c>
      <c r="S32">
        <f t="shared" ref="S32" si="138">R32/100000</f>
        <v>366360.19877179014</v>
      </c>
      <c r="T32">
        <f t="shared" ref="T32" si="139">S32/1000</f>
        <v>366.36019877179012</v>
      </c>
    </row>
    <row r="33" spans="1:20" x14ac:dyDescent="0.25">
      <c r="A33" s="5">
        <v>44560</v>
      </c>
      <c r="B33">
        <v>1.516E-2</v>
      </c>
      <c r="C33">
        <v>1.5720000000000001E-2</v>
      </c>
      <c r="D33">
        <v>1.4829999999999999E-2</v>
      </c>
      <c r="E33">
        <v>1.5299999999999999E-2</v>
      </c>
      <c r="F33">
        <v>258321972</v>
      </c>
      <c r="G33">
        <v>1.5299999999999999E-2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5.6179775280896467E-2</v>
      </c>
      <c r="Q33">
        <f t="shared" ref="Q33" si="141">F33*P33</f>
        <v>14512470.337078029</v>
      </c>
      <c r="R33">
        <f t="shared" ref="R33" si="142">R34+Q33</f>
        <v>36636019877.179016</v>
      </c>
      <c r="S33">
        <f t="shared" ref="S33" si="143">R33/100000</f>
        <v>366360.19877179014</v>
      </c>
      <c r="T33">
        <f t="shared" ref="T33" si="144">S33/1000</f>
        <v>366.36019877179012</v>
      </c>
    </row>
    <row r="34" spans="1:20" x14ac:dyDescent="0.25">
      <c r="A34" s="5">
        <v>44559</v>
      </c>
      <c r="B34">
        <v>1.5599999999999999E-2</v>
      </c>
      <c r="C34">
        <v>1.5900000000000001E-2</v>
      </c>
      <c r="D34">
        <v>1.498E-2</v>
      </c>
      <c r="E34">
        <v>1.515E-2</v>
      </c>
      <c r="F34">
        <v>279529513</v>
      </c>
      <c r="G34">
        <v>1.515E-2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-0.6304347826086959</v>
      </c>
      <c r="Q34">
        <f t="shared" ref="Q34" si="146">F34*P34</f>
        <v>-176225127.76086962</v>
      </c>
      <c r="R34">
        <f t="shared" ref="R34" si="147">R35+Q34</f>
        <v>36621507406.841942</v>
      </c>
      <c r="S34">
        <f t="shared" ref="S34" si="148">R34/100000</f>
        <v>366215.0740684194</v>
      </c>
      <c r="T34">
        <f t="shared" ref="T34" si="149">S34/1000</f>
        <v>366.21507406841943</v>
      </c>
    </row>
    <row r="35" spans="1:20" x14ac:dyDescent="0.25">
      <c r="A35" s="5">
        <v>44558</v>
      </c>
      <c r="B35">
        <v>1.7139999999999999E-2</v>
      </c>
      <c r="C35">
        <v>1.7139999999999999E-2</v>
      </c>
      <c r="D35">
        <v>1.545E-2</v>
      </c>
      <c r="E35">
        <v>1.559E-2</v>
      </c>
      <c r="F35">
        <v>360080399</v>
      </c>
      <c r="G35">
        <v>1.559E-2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-0.83431952662721942</v>
      </c>
      <c r="Q35">
        <f t="shared" ref="Q35" si="151">F35*P35</f>
        <v>-300422108.04142028</v>
      </c>
      <c r="R35">
        <f t="shared" ref="R35" si="152">R36+Q35</f>
        <v>36797732534.602814</v>
      </c>
      <c r="S35">
        <f t="shared" ref="S35" si="153">R35/100000</f>
        <v>367977.32534602814</v>
      </c>
      <c r="T35">
        <f t="shared" ref="T35" si="154">S35/1000</f>
        <v>367.97732534602812</v>
      </c>
    </row>
    <row r="36" spans="1:20" x14ac:dyDescent="0.25">
      <c r="A36" s="5">
        <v>44557</v>
      </c>
      <c r="B36">
        <v>1.668E-2</v>
      </c>
      <c r="C36">
        <v>1.7840000000000002E-2</v>
      </c>
      <c r="D36">
        <v>1.6619999999999999E-2</v>
      </c>
      <c r="E36">
        <v>1.7129999999999999E-2</v>
      </c>
      <c r="F36">
        <v>425127289</v>
      </c>
      <c r="G36">
        <v>1.7129999999999999E-2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-0.16393442622950974</v>
      </c>
      <c r="Q36">
        <f t="shared" ref="Q36" si="156">F36*P36</f>
        <v>-69692998.196721971</v>
      </c>
      <c r="R36">
        <f t="shared" ref="R36" si="157">R37+Q36</f>
        <v>37098154642.644234</v>
      </c>
      <c r="S36">
        <f t="shared" ref="S36" si="158">R36/100000</f>
        <v>370981.54642644234</v>
      </c>
      <c r="T36">
        <f t="shared" ref="T36" si="159">S36/1000</f>
        <v>370.98154642644232</v>
      </c>
    </row>
    <row r="37" spans="1:20" x14ac:dyDescent="0.25">
      <c r="A37" s="5">
        <v>44556</v>
      </c>
      <c r="B37">
        <v>1.6709999999999999E-2</v>
      </c>
      <c r="C37">
        <v>1.6799999999999999E-2</v>
      </c>
      <c r="D37">
        <v>1.6049999999999998E-2</v>
      </c>
      <c r="E37">
        <v>1.6670000000000001E-2</v>
      </c>
      <c r="F37">
        <v>262026655</v>
      </c>
      <c r="G37">
        <v>1.6670000000000001E-2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0.65333333333333854</v>
      </c>
      <c r="Q37">
        <f t="shared" ref="Q37" si="161">F37*P37</f>
        <v>171190747.93333471</v>
      </c>
      <c r="R37">
        <f t="shared" ref="R37" si="162">R38+Q37</f>
        <v>37167847640.840958</v>
      </c>
      <c r="S37">
        <f t="shared" ref="S37" si="163">R37/100000</f>
        <v>371678.4764084096</v>
      </c>
      <c r="T37">
        <f t="shared" ref="T37" si="164">S37/1000</f>
        <v>371.67847640840961</v>
      </c>
    </row>
    <row r="38" spans="1:20" x14ac:dyDescent="0.25">
      <c r="A38" s="5">
        <v>44555</v>
      </c>
      <c r="B38">
        <v>1.653E-2</v>
      </c>
      <c r="C38">
        <v>1.6840000000000001E-2</v>
      </c>
      <c r="D38">
        <v>1.6379999999999999E-2</v>
      </c>
      <c r="E38">
        <v>1.6719999999999999E-2</v>
      </c>
      <c r="F38">
        <v>233288531</v>
      </c>
      <c r="G38">
        <v>1.6719999999999999E-2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0.47826086956521086</v>
      </c>
      <c r="Q38">
        <f t="shared" ref="Q38" si="166">F38*P38</f>
        <v>111572775.69565065</v>
      </c>
      <c r="R38">
        <f t="shared" ref="R38" si="167">R39+Q38</f>
        <v>36996656892.907623</v>
      </c>
      <c r="S38">
        <f t="shared" ref="S38" si="168">R38/100000</f>
        <v>369966.56892907625</v>
      </c>
      <c r="T38">
        <f t="shared" ref="T38" si="169">S38/1000</f>
        <v>369.96656892907623</v>
      </c>
    </row>
    <row r="39" spans="1:20" x14ac:dyDescent="0.25">
      <c r="A39" s="5">
        <v>44554</v>
      </c>
      <c r="B39">
        <v>1.704E-2</v>
      </c>
      <c r="C39">
        <v>1.7260000000000001E-2</v>
      </c>
      <c r="D39">
        <v>1.6379999999999999E-2</v>
      </c>
      <c r="E39">
        <v>1.651E-2</v>
      </c>
      <c r="F39">
        <v>309974816</v>
      </c>
      <c r="G39">
        <v>1.651E-2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-0.70454545454545159</v>
      </c>
      <c r="Q39">
        <f t="shared" ref="Q39" si="171">F39*P39</f>
        <v>-218391347.63636273</v>
      </c>
      <c r="R39">
        <f t="shared" ref="R39" si="172">R40+Q39</f>
        <v>36885084117.211975</v>
      </c>
      <c r="S39">
        <f t="shared" ref="S39" si="173">R39/100000</f>
        <v>368850.84117211978</v>
      </c>
      <c r="T39">
        <f t="shared" ref="T39" si="174">S39/1000</f>
        <v>368.85084117211977</v>
      </c>
    </row>
    <row r="40" spans="1:20" x14ac:dyDescent="0.25">
      <c r="A40" s="5">
        <v>44553</v>
      </c>
      <c r="B40">
        <v>1.6049999999999998E-2</v>
      </c>
      <c r="C40">
        <v>1.704E-2</v>
      </c>
      <c r="D40">
        <v>1.5730000000000001E-2</v>
      </c>
      <c r="E40">
        <v>1.704E-2</v>
      </c>
      <c r="F40">
        <v>369171863</v>
      </c>
      <c r="G40">
        <v>1.704E-2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1</v>
      </c>
      <c r="Q40">
        <f t="shared" ref="Q40" si="176">F40*P40</f>
        <v>369171863</v>
      </c>
      <c r="R40">
        <f t="shared" ref="R40" si="177">R41+Q40</f>
        <v>37103475464.848335</v>
      </c>
      <c r="S40">
        <f t="shared" ref="S40" si="178">R40/100000</f>
        <v>371034.75464848336</v>
      </c>
      <c r="T40">
        <f t="shared" ref="T40" si="179">S40/1000</f>
        <v>371.03475464848339</v>
      </c>
    </row>
    <row r="41" spans="1:20" x14ac:dyDescent="0.25">
      <c r="A41" s="5">
        <v>44552</v>
      </c>
      <c r="B41">
        <v>1.5740000000000001E-2</v>
      </c>
      <c r="C41">
        <v>1.6490000000000001E-2</v>
      </c>
      <c r="D41">
        <v>1.5679999999999999E-2</v>
      </c>
      <c r="E41">
        <v>1.6029999999999999E-2</v>
      </c>
      <c r="F41">
        <v>254358977</v>
      </c>
      <c r="G41">
        <v>1.6029999999999999E-2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-0.13580246913580521</v>
      </c>
      <c r="Q41">
        <f t="shared" ref="Q41" si="181">F41*P41</f>
        <v>-34542577.123457484</v>
      </c>
      <c r="R41">
        <f t="shared" ref="R41" si="182">R42+Q41</f>
        <v>36734303601.848335</v>
      </c>
      <c r="S41">
        <f t="shared" ref="S41" si="183">R41/100000</f>
        <v>367343.03601848334</v>
      </c>
      <c r="T41">
        <f t="shared" ref="T41" si="184">S41/1000</f>
        <v>367.34303601848336</v>
      </c>
    </row>
    <row r="42" spans="1:20" x14ac:dyDescent="0.25">
      <c r="A42" s="5">
        <v>44551</v>
      </c>
      <c r="B42">
        <v>1.495E-2</v>
      </c>
      <c r="C42">
        <v>1.5890000000000001E-2</v>
      </c>
      <c r="D42">
        <v>1.481E-2</v>
      </c>
      <c r="E42">
        <v>1.5730000000000001E-2</v>
      </c>
      <c r="F42">
        <v>212547781</v>
      </c>
      <c r="G42">
        <v>1.5730000000000001E-2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0.70370370370370328</v>
      </c>
      <c r="Q42">
        <f t="shared" ref="Q42" si="186">F42*P42</f>
        <v>149570660.70370361</v>
      </c>
      <c r="R42">
        <f t="shared" ref="R42" si="187">R43+Q42</f>
        <v>36768846178.971794</v>
      </c>
      <c r="S42">
        <f t="shared" ref="S42" si="188">R42/100000</f>
        <v>367688.46178971796</v>
      </c>
      <c r="T42">
        <f t="shared" ref="T42" si="189">S42/1000</f>
        <v>367.68846178971796</v>
      </c>
    </row>
    <row r="43" spans="1:20" x14ac:dyDescent="0.25">
      <c r="A43" s="5">
        <v>44550</v>
      </c>
      <c r="B43">
        <v>1.538E-2</v>
      </c>
      <c r="C43">
        <v>1.5469999999999999E-2</v>
      </c>
      <c r="D43">
        <v>1.4370000000000001E-2</v>
      </c>
      <c r="E43">
        <v>1.4930000000000001E-2</v>
      </c>
      <c r="F43">
        <v>272718165</v>
      </c>
      <c r="G43">
        <v>1.4930000000000001E-2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1.8181818181819041E-2</v>
      </c>
      <c r="Q43">
        <f t="shared" ref="Q43" si="191">F43*P43</f>
        <v>4958512.0909093255</v>
      </c>
      <c r="R43">
        <f t="shared" ref="R43" si="192">R44+Q43</f>
        <v>36619275518.268089</v>
      </c>
      <c r="S43">
        <f t="shared" ref="S43" si="193">R43/100000</f>
        <v>366192.75518268091</v>
      </c>
      <c r="T43">
        <f t="shared" ref="T43" si="194">S43/1000</f>
        <v>366.19275518268091</v>
      </c>
    </row>
    <row r="44" spans="1:20" x14ac:dyDescent="0.25">
      <c r="A44" s="5">
        <v>44549</v>
      </c>
      <c r="B44">
        <v>1.536E-2</v>
      </c>
      <c r="C44">
        <v>1.5720000000000001E-2</v>
      </c>
      <c r="D44">
        <v>1.495E-2</v>
      </c>
      <c r="E44">
        <v>1.538E-2</v>
      </c>
      <c r="F44">
        <v>302287473</v>
      </c>
      <c r="G44">
        <v>1.538E-2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0.11688311688311413</v>
      </c>
      <c r="Q44">
        <f t="shared" ref="Q44" si="196">F44*P44</f>
        <v>35332302.038960211</v>
      </c>
      <c r="R44">
        <f t="shared" ref="R44" si="197">R45+Q44</f>
        <v>36614317006.177177</v>
      </c>
      <c r="S44">
        <f t="shared" ref="S44" si="198">R44/100000</f>
        <v>366143.17006177176</v>
      </c>
      <c r="T44">
        <f t="shared" ref="T44" si="199">S44/1000</f>
        <v>366.14317006177174</v>
      </c>
    </row>
    <row r="45" spans="1:20" x14ac:dyDescent="0.25">
      <c r="A45" s="5">
        <v>44548</v>
      </c>
      <c r="B45">
        <v>1.502E-2</v>
      </c>
      <c r="C45">
        <v>1.566E-2</v>
      </c>
      <c r="D45">
        <v>1.472E-2</v>
      </c>
      <c r="E45">
        <v>1.537E-2</v>
      </c>
      <c r="F45">
        <v>247978937</v>
      </c>
      <c r="G45">
        <v>1.537E-2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0.38297872340425454</v>
      </c>
      <c r="Q45">
        <f t="shared" ref="Q45" si="201">F45*P45</f>
        <v>94970656.723404065</v>
      </c>
      <c r="R45">
        <f t="shared" ref="R45" si="202">R46+Q45</f>
        <v>36578984704.138214</v>
      </c>
      <c r="S45">
        <f t="shared" ref="S45" si="203">R45/100000</f>
        <v>365789.84704138216</v>
      </c>
      <c r="T45">
        <f t="shared" ref="T45" si="204">S45/1000</f>
        <v>365.78984704138219</v>
      </c>
    </row>
    <row r="46" spans="1:20" x14ac:dyDescent="0.25">
      <c r="A46" s="5">
        <v>44547</v>
      </c>
      <c r="B46">
        <v>1.5350000000000001E-2</v>
      </c>
      <c r="C46">
        <v>1.5789999999999998E-2</v>
      </c>
      <c r="D46">
        <v>1.4409999999999999E-2</v>
      </c>
      <c r="E46">
        <v>1.499E-2</v>
      </c>
      <c r="F46">
        <v>597917996</v>
      </c>
      <c r="G46">
        <v>1.499E-2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-0.15942028985507109</v>
      </c>
      <c r="Q46">
        <f t="shared" ref="Q46" si="206">F46*P46</f>
        <v>-95320260.231883243</v>
      </c>
      <c r="R46">
        <f t="shared" ref="R46" si="207">R47+Q46</f>
        <v>36484014047.41481</v>
      </c>
      <c r="S46">
        <f t="shared" ref="S46" si="208">R46/100000</f>
        <v>364840.14047414809</v>
      </c>
      <c r="T46">
        <f t="shared" ref="T46" si="209">S46/1000</f>
        <v>364.84014047414809</v>
      </c>
    </row>
    <row r="47" spans="1:20" x14ac:dyDescent="0.25">
      <c r="A47" s="5">
        <v>44546</v>
      </c>
      <c r="B47">
        <v>1.5810000000000001E-2</v>
      </c>
      <c r="C47">
        <v>1.643E-2</v>
      </c>
      <c r="D47">
        <v>1.5299999999999999E-2</v>
      </c>
      <c r="E47">
        <v>1.5350000000000001E-2</v>
      </c>
      <c r="F47">
        <v>605416212</v>
      </c>
      <c r="G47">
        <v>1.5350000000000001E-2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-0.91150442477875859</v>
      </c>
      <c r="Q47">
        <f t="shared" ref="Q47" si="211">F47*P47</f>
        <v>-551839556.07079494</v>
      </c>
      <c r="R47">
        <f t="shared" ref="R47" si="212">R48+Q47</f>
        <v>36579334307.64669</v>
      </c>
      <c r="S47">
        <f t="shared" ref="S47" si="213">R47/100000</f>
        <v>365793.34307646693</v>
      </c>
      <c r="T47">
        <f t="shared" ref="T47" si="214">S47/1000</f>
        <v>365.79334307646695</v>
      </c>
    </row>
    <row r="48" spans="1:20" x14ac:dyDescent="0.25">
      <c r="A48" s="5">
        <v>44545</v>
      </c>
      <c r="B48">
        <v>1.5219999999999999E-2</v>
      </c>
      <c r="C48">
        <v>1.593E-2</v>
      </c>
      <c r="D48">
        <v>1.4239999999999999E-2</v>
      </c>
      <c r="E48">
        <v>1.5810000000000001E-2</v>
      </c>
      <c r="F48">
        <v>405577927</v>
      </c>
      <c r="G48">
        <v>1.5810000000000001E-2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0.85798816568047509</v>
      </c>
      <c r="Q48">
        <f t="shared" ref="Q48" si="216">F48*P48</f>
        <v>347981061.62721962</v>
      </c>
      <c r="R48">
        <f t="shared" ref="R48" si="217">R49+Q48</f>
        <v>37131173863.717484</v>
      </c>
      <c r="S48">
        <f t="shared" ref="S48" si="218">R48/100000</f>
        <v>371311.73863717483</v>
      </c>
      <c r="T48">
        <f t="shared" ref="T48" si="219">S48/1000</f>
        <v>371.31173863717481</v>
      </c>
    </row>
    <row r="49" spans="1:20" x14ac:dyDescent="0.25">
      <c r="A49" s="5">
        <v>44544</v>
      </c>
      <c r="B49">
        <v>1.4659999999999999E-2</v>
      </c>
      <c r="C49">
        <v>1.528E-2</v>
      </c>
      <c r="D49">
        <v>1.421E-2</v>
      </c>
      <c r="E49">
        <v>1.523E-2</v>
      </c>
      <c r="F49">
        <v>560768233</v>
      </c>
      <c r="G49">
        <v>1.523E-2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0.9065420560747669</v>
      </c>
      <c r="Q49">
        <f t="shared" ref="Q49" si="221">F49*P49</f>
        <v>508359986.92523396</v>
      </c>
      <c r="R49">
        <f t="shared" ref="R49" si="222">R50+Q49</f>
        <v>36783192802.090263</v>
      </c>
      <c r="S49">
        <f t="shared" ref="S49" si="223">R49/100000</f>
        <v>367831.92802090262</v>
      </c>
      <c r="T49">
        <f t="shared" ref="T49" si="224">S49/1000</f>
        <v>367.83192802090264</v>
      </c>
    </row>
    <row r="50" spans="1:20" x14ac:dyDescent="0.25">
      <c r="A50" s="5">
        <v>44543</v>
      </c>
      <c r="B50">
        <v>1.6729999999999998E-2</v>
      </c>
      <c r="C50">
        <v>1.686E-2</v>
      </c>
      <c r="D50">
        <v>1.4500000000000001E-2</v>
      </c>
      <c r="E50">
        <v>1.4670000000000001E-2</v>
      </c>
      <c r="F50">
        <v>480286093</v>
      </c>
      <c r="G50">
        <v>1.4670000000000001E-2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-0.85593220338983045</v>
      </c>
      <c r="Q50">
        <f t="shared" ref="Q50" si="226">F50*P50</f>
        <v>-411092333.838983</v>
      </c>
      <c r="R50">
        <f t="shared" ref="R50" si="227">R51+Q50</f>
        <v>36274832815.165031</v>
      </c>
      <c r="S50">
        <f t="shared" ref="S50" si="228">R50/100000</f>
        <v>362748.32815165032</v>
      </c>
      <c r="T50">
        <f t="shared" ref="T50" si="229">S50/1000</f>
        <v>362.7483281516503</v>
      </c>
    </row>
    <row r="51" spans="1:20" x14ac:dyDescent="0.25">
      <c r="A51" s="5">
        <v>44542</v>
      </c>
      <c r="B51">
        <v>1.6629999999999999E-2</v>
      </c>
      <c r="C51">
        <v>1.694E-2</v>
      </c>
      <c r="D51">
        <v>1.6080000000000001E-2</v>
      </c>
      <c r="E51">
        <v>1.6740000000000001E-2</v>
      </c>
      <c r="F51">
        <v>219663636</v>
      </c>
      <c r="G51">
        <v>1.6740000000000001E-2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0.53488372093023517</v>
      </c>
      <c r="Q51">
        <f t="shared" ref="Q51" si="231">F51*P51</f>
        <v>117494502.97674476</v>
      </c>
      <c r="R51">
        <f t="shared" ref="R51" si="232">R52+Q51</f>
        <v>36685925149.004013</v>
      </c>
      <c r="S51">
        <f t="shared" ref="S51" si="233">R51/100000</f>
        <v>366859.25149004016</v>
      </c>
      <c r="T51">
        <f t="shared" ref="T51" si="234">S51/1000</f>
        <v>366.85925149004015</v>
      </c>
    </row>
    <row r="52" spans="1:20" x14ac:dyDescent="0.25">
      <c r="A52" s="5">
        <v>44541</v>
      </c>
      <c r="B52">
        <v>1.6049999999999998E-2</v>
      </c>
      <c r="C52">
        <v>1.6199999999999999E-2</v>
      </c>
      <c r="D52">
        <v>1.5630000000000002E-2</v>
      </c>
      <c r="E52">
        <v>1.61E-2</v>
      </c>
      <c r="F52">
        <v>37156480</v>
      </c>
      <c r="G52">
        <v>1.61E-2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0.64912280701754455</v>
      </c>
      <c r="Q52">
        <f t="shared" ref="Q52" si="236">F52*P52</f>
        <v>24119118.596491255</v>
      </c>
      <c r="R52">
        <f t="shared" ref="R52" si="237">R53+Q52</f>
        <v>36568430646.027267</v>
      </c>
      <c r="S52">
        <f t="shared" ref="S52" si="238">R52/100000</f>
        <v>365684.3064602727</v>
      </c>
      <c r="T52">
        <f t="shared" ref="T52" si="239">S52/1000</f>
        <v>365.68430646027269</v>
      </c>
    </row>
    <row r="53" spans="1:20" x14ac:dyDescent="0.25">
      <c r="A53" s="5">
        <v>44540</v>
      </c>
      <c r="B53">
        <v>1.6199999999999999E-2</v>
      </c>
      <c r="C53">
        <v>1.7139999999999999E-2</v>
      </c>
      <c r="D53">
        <v>1.5800000000000002E-2</v>
      </c>
      <c r="E53">
        <v>1.6049999999999998E-2</v>
      </c>
      <c r="F53">
        <v>684597445</v>
      </c>
      <c r="G53">
        <v>1.6049999999999998E-2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-0.62686567164179519</v>
      </c>
      <c r="Q53">
        <f t="shared" ref="Q53" si="241">F53*P53</f>
        <v>-429150637.16418195</v>
      </c>
      <c r="R53">
        <f t="shared" ref="R53" si="242">R54+Q53</f>
        <v>36544311527.430779</v>
      </c>
      <c r="S53">
        <f t="shared" ref="S53" si="243">R53/100000</f>
        <v>365443.11527430778</v>
      </c>
      <c r="T53">
        <f t="shared" ref="T53" si="244">S53/1000</f>
        <v>365.44311527430779</v>
      </c>
    </row>
    <row r="54" spans="1:20" x14ac:dyDescent="0.25">
      <c r="A54" s="5">
        <v>44539</v>
      </c>
      <c r="B54">
        <v>1.8239999999999999E-2</v>
      </c>
      <c r="C54">
        <v>1.8370000000000001E-2</v>
      </c>
      <c r="D54">
        <v>1.6160000000000001E-2</v>
      </c>
      <c r="E54">
        <v>1.6230000000000001E-2</v>
      </c>
      <c r="F54">
        <v>387784162</v>
      </c>
      <c r="G54">
        <v>1.6230000000000001E-2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-0.93665158371040669</v>
      </c>
      <c r="Q54">
        <f t="shared" ref="Q54" si="246">F54*P54</f>
        <v>-363218649.47511292</v>
      </c>
      <c r="R54">
        <f t="shared" ref="R54" si="247">R55+Q54</f>
        <v>36973462164.594963</v>
      </c>
      <c r="S54">
        <f t="shared" ref="S54" si="248">R54/100000</f>
        <v>369734.62164594961</v>
      </c>
      <c r="T54">
        <f t="shared" ref="T54" si="249">S54/1000</f>
        <v>369.73462164594963</v>
      </c>
    </row>
    <row r="55" spans="1:20" x14ac:dyDescent="0.25">
      <c r="A55" s="5">
        <v>44538</v>
      </c>
      <c r="B55">
        <v>1.7919999999999998E-2</v>
      </c>
      <c r="C55">
        <v>1.8380000000000001E-2</v>
      </c>
      <c r="D55">
        <v>1.686E-2</v>
      </c>
      <c r="E55">
        <v>1.821E-2</v>
      </c>
      <c r="F55">
        <v>488588693</v>
      </c>
      <c r="G55">
        <v>1.821E-2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0.77631578947368429</v>
      </c>
      <c r="Q55">
        <f t="shared" ref="Q55" si="251">F55*P55</f>
        <v>379299116.93421054</v>
      </c>
      <c r="R55">
        <f t="shared" ref="R55" si="252">R56+Q55</f>
        <v>37336680814.070076</v>
      </c>
      <c r="S55">
        <f t="shared" ref="S55" si="253">R55/100000</f>
        <v>373366.80814070074</v>
      </c>
      <c r="T55">
        <f t="shared" ref="T55" si="254">S55/1000</f>
        <v>373.36680814070075</v>
      </c>
    </row>
    <row r="56" spans="1:20" x14ac:dyDescent="0.25">
      <c r="A56" s="5">
        <v>44537</v>
      </c>
      <c r="B56">
        <v>1.738E-2</v>
      </c>
      <c r="C56">
        <v>1.8460000000000001E-2</v>
      </c>
      <c r="D56">
        <v>1.7340000000000001E-2</v>
      </c>
      <c r="E56">
        <v>1.7919999999999998E-2</v>
      </c>
      <c r="F56">
        <v>690350418</v>
      </c>
      <c r="G56">
        <v>1.7919999999999998E-2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3.5714285714281181E-2</v>
      </c>
      <c r="Q56">
        <f t="shared" ref="Q56" si="256">F56*P56</f>
        <v>24655372.071425442</v>
      </c>
      <c r="R56">
        <f t="shared" ref="R56" si="257">R57+Q56</f>
        <v>36957381697.135864</v>
      </c>
      <c r="S56">
        <f t="shared" ref="S56" si="258">R56/100000</f>
        <v>369573.81697135867</v>
      </c>
      <c r="T56">
        <f t="shared" ref="T56" si="259">S56/1000</f>
        <v>369.57381697135867</v>
      </c>
    </row>
    <row r="57" spans="1:20" x14ac:dyDescent="0.25">
      <c r="A57" s="5">
        <v>44536</v>
      </c>
      <c r="B57">
        <v>1.7059999999999999E-2</v>
      </c>
      <c r="C57">
        <v>1.7899999999999999E-2</v>
      </c>
      <c r="D57">
        <v>1.511E-2</v>
      </c>
      <c r="E57">
        <v>1.738E-2</v>
      </c>
      <c r="F57">
        <v>907583332</v>
      </c>
      <c r="G57">
        <v>1.738E-2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0.62724014336917577</v>
      </c>
      <c r="Q57">
        <f t="shared" ref="Q57" si="261">F57*P57</f>
        <v>569272699.28315425</v>
      </c>
      <c r="R57">
        <f t="shared" ref="R57" si="262">R58+Q57</f>
        <v>36932726325.064438</v>
      </c>
      <c r="S57">
        <f t="shared" ref="S57" si="263">R57/100000</f>
        <v>369327.26325064438</v>
      </c>
      <c r="T57">
        <f t="shared" ref="T57" si="264">S57/1000</f>
        <v>369.32726325064436</v>
      </c>
    </row>
    <row r="58" spans="1:20" x14ac:dyDescent="0.25">
      <c r="A58" s="5">
        <v>44535</v>
      </c>
      <c r="B58">
        <v>1.7860000000000001E-2</v>
      </c>
      <c r="C58">
        <v>1.883E-2</v>
      </c>
      <c r="D58">
        <v>1.6240000000000001E-2</v>
      </c>
      <c r="E58">
        <v>1.7049999999999999E-2</v>
      </c>
      <c r="F58">
        <v>805118475</v>
      </c>
      <c r="G58">
        <v>1.7049999999999999E-2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-0.37451737451737555</v>
      </c>
      <c r="Q58">
        <f t="shared" ref="Q58" si="266">F58*P58</f>
        <v>-301530857.43243325</v>
      </c>
      <c r="R58">
        <f t="shared" ref="R58" si="267">R59+Q58</f>
        <v>36363453625.781281</v>
      </c>
      <c r="S58">
        <f t="shared" ref="S58" si="268">R58/100000</f>
        <v>363634.53625781281</v>
      </c>
      <c r="T58">
        <f t="shared" ref="T58" si="269">S58/1000</f>
        <v>363.63453625781278</v>
      </c>
    </row>
    <row r="59" spans="1:20" x14ac:dyDescent="0.25">
      <c r="A59" s="5">
        <v>44534</v>
      </c>
      <c r="B59">
        <v>2.104E-2</v>
      </c>
      <c r="C59">
        <v>2.1049999999999999E-2</v>
      </c>
      <c r="D59">
        <v>1.4E-2</v>
      </c>
      <c r="E59">
        <v>1.7850000000000001E-2</v>
      </c>
      <c r="F59">
        <v>2061271245</v>
      </c>
      <c r="G59">
        <v>1.7850000000000001E-2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9.2198581560284126E-2</v>
      </c>
      <c r="Q59">
        <f t="shared" ref="Q59" si="271">F59*P59</f>
        <v>190046285.00000089</v>
      </c>
      <c r="R59">
        <f t="shared" ref="R59" si="272">R60+Q59</f>
        <v>36664984483.213715</v>
      </c>
      <c r="S59">
        <f t="shared" ref="S59" si="273">R59/100000</f>
        <v>366649.84483213717</v>
      </c>
      <c r="T59">
        <f t="shared" ref="T59" si="274">S59/1000</f>
        <v>366.64984483213715</v>
      </c>
    </row>
    <row r="60" spans="1:20" x14ac:dyDescent="0.25">
      <c r="A60" s="5">
        <v>44533</v>
      </c>
      <c r="B60">
        <v>2.4039999999999999E-2</v>
      </c>
      <c r="C60">
        <v>2.4289999999999999E-2</v>
      </c>
      <c r="D60">
        <v>2.0500000000000001E-2</v>
      </c>
      <c r="E60">
        <v>2.1049999999999999E-2</v>
      </c>
      <c r="F60">
        <v>736823315</v>
      </c>
      <c r="G60">
        <v>2.1049999999999999E-2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-0.70976253298153102</v>
      </c>
      <c r="Q60">
        <f t="shared" ref="Q60" si="276">F60*P60</f>
        <v>-522969582.41424853</v>
      </c>
      <c r="R60">
        <f t="shared" ref="R60" si="277">R61+Q60</f>
        <v>36474938198.213715</v>
      </c>
      <c r="S60">
        <f t="shared" ref="S60" si="278">R60/100000</f>
        <v>364749.38198213716</v>
      </c>
      <c r="T60">
        <f t="shared" ref="T60" si="279">S60/1000</f>
        <v>364.74938198213715</v>
      </c>
    </row>
    <row r="61" spans="1:20" x14ac:dyDescent="0.25">
      <c r="A61" s="5">
        <v>44532</v>
      </c>
      <c r="B61">
        <v>2.2720000000000001E-2</v>
      </c>
      <c r="C61">
        <v>2.41E-2</v>
      </c>
      <c r="D61">
        <v>2.18E-2</v>
      </c>
      <c r="E61">
        <v>2.4049999999999998E-2</v>
      </c>
      <c r="F61">
        <v>951595315</v>
      </c>
      <c r="G61">
        <v>2.4049999999999998E-2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0.95652173913043359</v>
      </c>
      <c r="Q61">
        <f t="shared" ref="Q61" si="281">F61*P61</f>
        <v>910221605.6521728</v>
      </c>
      <c r="R61">
        <f t="shared" ref="R61" si="282">R62+Q61</f>
        <v>36997907780.62796</v>
      </c>
      <c r="S61">
        <f t="shared" ref="S61" si="283">R61/100000</f>
        <v>369979.07780627959</v>
      </c>
      <c r="T61">
        <f t="shared" ref="T61" si="284">S61/1000</f>
        <v>369.97907780627958</v>
      </c>
    </row>
    <row r="62" spans="1:20" x14ac:dyDescent="0.25">
      <c r="A62" s="5">
        <v>44531</v>
      </c>
      <c r="B62">
        <v>2.3400000000000001E-2</v>
      </c>
      <c r="C62">
        <v>2.3570000000000001E-2</v>
      </c>
      <c r="D62">
        <v>2.2540000000000001E-2</v>
      </c>
      <c r="E62">
        <v>2.273E-2</v>
      </c>
      <c r="F62">
        <v>666748927</v>
      </c>
      <c r="G62">
        <v>2.273E-2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-0.63106796116504993</v>
      </c>
      <c r="Q62">
        <f t="shared" ref="Q62" si="286">F62*P62</f>
        <v>-420763885.97087473</v>
      </c>
      <c r="R62">
        <f t="shared" ref="R62" si="287">R63+Q62</f>
        <v>36087686174.975784</v>
      </c>
      <c r="S62">
        <f t="shared" ref="S62" si="288">R62/100000</f>
        <v>360876.86174975784</v>
      </c>
      <c r="T62">
        <f t="shared" ref="T62" si="289">S62/1000</f>
        <v>360.87686174975784</v>
      </c>
    </row>
    <row r="63" spans="1:20" x14ac:dyDescent="0.25">
      <c r="A63" s="5">
        <v>44530</v>
      </c>
      <c r="B63">
        <v>2.5899999999999999E-2</v>
      </c>
      <c r="C63">
        <v>2.5989999999999999E-2</v>
      </c>
      <c r="D63">
        <v>2.3189999999999999E-2</v>
      </c>
      <c r="E63">
        <v>2.3400000000000001E-2</v>
      </c>
      <c r="F63">
        <v>921169634</v>
      </c>
      <c r="G63">
        <v>2.3400000000000001E-2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-0.84999999999999865</v>
      </c>
      <c r="Q63">
        <f t="shared" ref="Q63" si="291">F63*P63</f>
        <v>-782994188.89999878</v>
      </c>
      <c r="R63">
        <f t="shared" ref="R63" si="292">R64+Q63</f>
        <v>36508450060.946655</v>
      </c>
      <c r="S63">
        <f t="shared" ref="S63" si="293">R63/100000</f>
        <v>365084.50060946657</v>
      </c>
      <c r="T63">
        <f t="shared" ref="T63" si="294">S63/1000</f>
        <v>365.08450060946655</v>
      </c>
    </row>
    <row r="64" spans="1:20" x14ac:dyDescent="0.25">
      <c r="A64" s="5">
        <v>44529</v>
      </c>
      <c r="B64">
        <v>2.4649999999999998E-2</v>
      </c>
      <c r="C64">
        <v>2.673E-2</v>
      </c>
      <c r="D64">
        <v>2.4549999999999999E-2</v>
      </c>
      <c r="E64">
        <v>2.589E-2</v>
      </c>
      <c r="F64">
        <v>1371795958</v>
      </c>
      <c r="G64">
        <v>2.589E-2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0.22935779816513768</v>
      </c>
      <c r="Q64">
        <f t="shared" ref="Q64" si="296">F64*P64</f>
        <v>314632100.45871568</v>
      </c>
      <c r="R64">
        <f t="shared" ref="R64" si="297">R65+Q64</f>
        <v>37291444249.846657</v>
      </c>
      <c r="S64">
        <f t="shared" ref="S64" si="298">R64/100000</f>
        <v>372914.44249846658</v>
      </c>
      <c r="T64">
        <f t="shared" ref="T64" si="299">S64/1000</f>
        <v>372.9144424984666</v>
      </c>
    </row>
    <row r="65" spans="1:20" x14ac:dyDescent="0.25">
      <c r="A65" s="5">
        <v>44528</v>
      </c>
      <c r="B65">
        <v>2.6409999999999999E-2</v>
      </c>
      <c r="C65">
        <v>2.7900000000000001E-2</v>
      </c>
      <c r="D65">
        <v>2.239E-2</v>
      </c>
      <c r="E65">
        <v>2.4649999999999998E-2</v>
      </c>
      <c r="F65">
        <v>2095943530</v>
      </c>
      <c r="G65">
        <v>2.4649999999999998E-2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-0.17967332123412061</v>
      </c>
      <c r="Q65">
        <f t="shared" ref="Q65" si="301">F65*P65</f>
        <v>-376585135.15426672</v>
      </c>
      <c r="R65">
        <f t="shared" ref="R65" si="302">R66+Q65</f>
        <v>36976812149.387939</v>
      </c>
      <c r="S65">
        <f t="shared" ref="S65" si="303">R65/100000</f>
        <v>369768.12149387941</v>
      </c>
      <c r="T65">
        <f t="shared" ref="T65" si="304">S65/1000</f>
        <v>369.76812149387939</v>
      </c>
    </row>
    <row r="66" spans="1:20" x14ac:dyDescent="0.25">
      <c r="A66" s="5">
        <v>44527</v>
      </c>
      <c r="B66">
        <v>2.6409999999999999E-2</v>
      </c>
      <c r="C66">
        <v>0.03</v>
      </c>
      <c r="D66">
        <v>2.4340000000000001E-2</v>
      </c>
      <c r="E66">
        <v>2.6409999999999999E-2</v>
      </c>
      <c r="F66">
        <v>4555772246</v>
      </c>
      <c r="G66">
        <v>2.6409999999999999E-2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-0.2685512367491168</v>
      </c>
      <c r="Q66">
        <f t="shared" ref="Q66" si="306">F66*P66</f>
        <v>-1223458271.0106015</v>
      </c>
      <c r="R66">
        <f t="shared" ref="R66" si="307">R67+Q66</f>
        <v>37353397284.542206</v>
      </c>
      <c r="S66">
        <f t="shared" ref="S66" si="308">R66/100000</f>
        <v>373533.97284542205</v>
      </c>
      <c r="T66">
        <f t="shared" ref="T66" si="309">S66/1000</f>
        <v>373.53397284542206</v>
      </c>
    </row>
    <row r="67" spans="1:20" x14ac:dyDescent="0.25">
      <c r="A67" s="5">
        <v>44526</v>
      </c>
      <c r="B67">
        <v>2.2069999999999999E-2</v>
      </c>
      <c r="C67">
        <v>2.649E-2</v>
      </c>
      <c r="D67">
        <v>2.1360000000000001E-2</v>
      </c>
      <c r="E67">
        <v>2.649E-2</v>
      </c>
      <c r="F67">
        <v>5906791393</v>
      </c>
      <c r="G67">
        <v>2.649E-2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1</v>
      </c>
      <c r="Q67">
        <f t="shared" ref="Q67" si="311">F67*P67</f>
        <v>5906791393</v>
      </c>
      <c r="R67">
        <f t="shared" ref="R67" si="312">R68+Q67</f>
        <v>38576855555.552811</v>
      </c>
      <c r="S67">
        <f t="shared" ref="S67" si="313">R67/100000</f>
        <v>385768.55555552809</v>
      </c>
      <c r="T67">
        <f t="shared" ref="T67" si="314">S67/1000</f>
        <v>385.76855555552811</v>
      </c>
    </row>
    <row r="68" spans="1:20" x14ac:dyDescent="0.25">
      <c r="A68" s="5">
        <v>44525</v>
      </c>
      <c r="B68">
        <v>1.9980000000000001E-2</v>
      </c>
      <c r="C68">
        <v>2.2370000000000001E-2</v>
      </c>
      <c r="D68">
        <v>1.967E-2</v>
      </c>
      <c r="E68">
        <v>2.2100000000000002E-2</v>
      </c>
      <c r="F68">
        <v>1090955990</v>
      </c>
      <c r="G68">
        <v>2.2100000000000002E-2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0.80000000000000049</v>
      </c>
      <c r="Q68">
        <f t="shared" ref="Q68" si="316">F68*P68</f>
        <v>872764792.00000048</v>
      </c>
      <c r="R68">
        <f t="shared" ref="R68" si="317">R69+Q68</f>
        <v>32670064162.552811</v>
      </c>
      <c r="S68">
        <f t="shared" ref="S68" si="318">R68/100000</f>
        <v>326700.64162552811</v>
      </c>
      <c r="T68">
        <f t="shared" ref="T68" si="319">S68/1000</f>
        <v>326.70064162552814</v>
      </c>
    </row>
    <row r="69" spans="1:20" x14ac:dyDescent="0.25">
      <c r="A69" s="5">
        <v>44524</v>
      </c>
      <c r="B69">
        <v>2.027E-2</v>
      </c>
      <c r="C69">
        <v>2.0660000000000001E-2</v>
      </c>
      <c r="D69">
        <v>1.9640000000000001E-2</v>
      </c>
      <c r="E69">
        <v>1.9800000000000002E-2</v>
      </c>
      <c r="F69">
        <v>252875768</v>
      </c>
      <c r="G69">
        <v>1.9800000000000002E-2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-0.6862745098039208</v>
      </c>
      <c r="Q69">
        <f t="shared" ref="Q69" si="321">F69*P69</f>
        <v>-173542193.72549</v>
      </c>
      <c r="R69">
        <f t="shared" ref="R69" si="322">R70+Q69</f>
        <v>31797299370.552811</v>
      </c>
      <c r="S69">
        <f t="shared" ref="S69" si="323">R69/100000</f>
        <v>317972.99370552809</v>
      </c>
      <c r="T69">
        <f t="shared" ref="T69" si="324">S69/1000</f>
        <v>317.9729937055281</v>
      </c>
    </row>
    <row r="70" spans="1:20" x14ac:dyDescent="0.25">
      <c r="A70" s="5">
        <v>44523</v>
      </c>
      <c r="B70">
        <v>2.0639999999999999E-2</v>
      </c>
      <c r="C70">
        <v>2.0979999999999999E-2</v>
      </c>
      <c r="D70">
        <v>1.9470000000000001E-2</v>
      </c>
      <c r="E70">
        <v>2.0289999999999999E-2</v>
      </c>
      <c r="F70">
        <v>665336374</v>
      </c>
      <c r="G70">
        <v>2.0289999999999999E-2</v>
      </c>
      <c r="L70" t="s">
        <v>7</v>
      </c>
      <c r="M70" t="s">
        <v>8</v>
      </c>
      <c r="N70" t="s">
        <v>8</v>
      </c>
      <c r="P70">
        <f t="shared" ref="P70" si="325">IF(C70=D70,0,((E70-D70)-(C70-E70))/(C70-D70))</f>
        <v>8.609271523178702E-2</v>
      </c>
      <c r="Q70">
        <f t="shared" ref="Q70" si="326">F70*P70</f>
        <v>57280614.980131745</v>
      </c>
      <c r="R70">
        <f t="shared" ref="R70" si="327">R71+Q70</f>
        <v>31970841564.278301</v>
      </c>
      <c r="S70">
        <f t="shared" ref="S70" si="328">R70/100000</f>
        <v>319708.41564278299</v>
      </c>
      <c r="T70">
        <f t="shared" ref="T70" si="329">S70/1000</f>
        <v>319.708415642783</v>
      </c>
    </row>
    <row r="71" spans="1:20" x14ac:dyDescent="0.25">
      <c r="A71" s="5">
        <v>44522</v>
      </c>
      <c r="B71">
        <v>2.2110000000000001E-2</v>
      </c>
      <c r="C71">
        <v>2.2280000000000001E-2</v>
      </c>
      <c r="D71">
        <v>2.017E-2</v>
      </c>
      <c r="E71">
        <v>2.0650000000000002E-2</v>
      </c>
      <c r="F71">
        <v>898553476</v>
      </c>
      <c r="G71">
        <v>2.0650000000000002E-2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-0.54502369668246342</v>
      </c>
      <c r="Q71">
        <f t="shared" ref="Q71" si="331">F71*P71</f>
        <v>-489732937.15639716</v>
      </c>
      <c r="R71">
        <f t="shared" ref="R71" si="332">R72+Q71</f>
        <v>31913560949.298168</v>
      </c>
      <c r="S71">
        <f t="shared" ref="S71" si="333">R71/100000</f>
        <v>319135.60949298169</v>
      </c>
      <c r="T71">
        <f t="shared" ref="T71" si="334">S71/1000</f>
        <v>319.1356094929817</v>
      </c>
    </row>
    <row r="72" spans="1:20" x14ac:dyDescent="0.25">
      <c r="A72" s="5">
        <v>44521</v>
      </c>
      <c r="B72">
        <v>2.163E-2</v>
      </c>
      <c r="C72">
        <v>2.2950000000000002E-2</v>
      </c>
      <c r="D72">
        <v>2.0629999999999999E-2</v>
      </c>
      <c r="E72">
        <v>2.2100000000000002E-2</v>
      </c>
      <c r="F72">
        <v>1145095975</v>
      </c>
      <c r="G72">
        <v>2.2100000000000002E-2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0.26724137931034558</v>
      </c>
      <c r="Q72">
        <f t="shared" ref="Q72" si="336">F72*P72</f>
        <v>306017027.80172503</v>
      </c>
      <c r="R72">
        <f t="shared" ref="R72" si="337">R73+Q72</f>
        <v>32403293886.454567</v>
      </c>
      <c r="S72">
        <f t="shared" ref="S72" si="338">R72/100000</f>
        <v>324032.93886454566</v>
      </c>
      <c r="T72">
        <f t="shared" ref="T72" si="339">S72/1000</f>
        <v>324.03293886454566</v>
      </c>
    </row>
    <row r="73" spans="1:20" x14ac:dyDescent="0.25">
      <c r="A73" s="5">
        <v>44520</v>
      </c>
      <c r="B73">
        <v>2.0650000000000002E-2</v>
      </c>
      <c r="C73">
        <v>2.1749999999999999E-2</v>
      </c>
      <c r="D73">
        <v>2.0029999999999999E-2</v>
      </c>
      <c r="E73">
        <v>2.163E-2</v>
      </c>
      <c r="F73">
        <v>818461132</v>
      </c>
      <c r="G73">
        <v>2.163E-2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0.86046511627907141</v>
      </c>
      <c r="Q73">
        <f t="shared" ref="Q73" si="341">F73*P73</f>
        <v>704257253.11628044</v>
      </c>
      <c r="R73">
        <f t="shared" ref="R73" si="342">R74+Q73</f>
        <v>32097276858.652843</v>
      </c>
      <c r="S73">
        <f t="shared" ref="S73" si="343">R73/100000</f>
        <v>320972.76858652843</v>
      </c>
      <c r="T73">
        <f t="shared" ref="T73" si="344">S73/1000</f>
        <v>320.97276858652845</v>
      </c>
    </row>
    <row r="74" spans="1:20" x14ac:dyDescent="0.25">
      <c r="A74" s="5">
        <v>44519</v>
      </c>
      <c r="B74">
        <v>1.8800000000000001E-2</v>
      </c>
      <c r="C74">
        <v>2.068E-2</v>
      </c>
      <c r="D74">
        <v>1.8159999999999999E-2</v>
      </c>
      <c r="E74">
        <v>2.0670000000000001E-2</v>
      </c>
      <c r="F74">
        <v>751660172</v>
      </c>
      <c r="G74">
        <v>2.0670000000000001E-2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0.99206349206349242</v>
      </c>
      <c r="Q74">
        <f t="shared" ref="Q74" si="346">F74*P74</f>
        <v>745694615.07936537</v>
      </c>
      <c r="R74">
        <f t="shared" ref="R74" si="347">R75+Q74</f>
        <v>31393019605.536564</v>
      </c>
      <c r="S74">
        <f t="shared" ref="S74" si="348">R74/100000</f>
        <v>313930.19605536561</v>
      </c>
      <c r="T74">
        <f t="shared" ref="T74" si="349">S74/1000</f>
        <v>313.93019605536563</v>
      </c>
    </row>
    <row r="75" spans="1:20" x14ac:dyDescent="0.25">
      <c r="A75" s="5">
        <v>44518</v>
      </c>
      <c r="B75">
        <v>1.9789999999999999E-2</v>
      </c>
      <c r="C75">
        <v>2.196E-2</v>
      </c>
      <c r="D75">
        <v>1.8499999999999999E-2</v>
      </c>
      <c r="E75">
        <v>1.8780000000000002E-2</v>
      </c>
      <c r="F75">
        <v>2075767886</v>
      </c>
      <c r="G75">
        <v>1.8780000000000002E-2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-0.83815028901733968</v>
      </c>
      <c r="Q75">
        <f t="shared" ref="Q75" si="351">F75*P75</f>
        <v>-1739805453.5838122</v>
      </c>
      <c r="R75">
        <f t="shared" ref="R75" si="352">R76+Q75</f>
        <v>30647324990.457199</v>
      </c>
      <c r="S75">
        <f t="shared" ref="S75" si="353">R75/100000</f>
        <v>306473.24990457197</v>
      </c>
      <c r="T75">
        <f t="shared" ref="T75" si="354">S75/1000</f>
        <v>306.47324990457196</v>
      </c>
    </row>
    <row r="76" spans="1:20" x14ac:dyDescent="0.25">
      <c r="A76" s="5">
        <v>44517</v>
      </c>
      <c r="B76">
        <v>1.8530000000000001E-2</v>
      </c>
      <c r="C76">
        <v>2.01E-2</v>
      </c>
      <c r="D76">
        <v>1.839E-2</v>
      </c>
      <c r="E76">
        <v>1.9769999999999999E-2</v>
      </c>
      <c r="F76">
        <v>735709651</v>
      </c>
      <c r="G76">
        <v>1.9769999999999999E-2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0.61403508771929771</v>
      </c>
      <c r="Q76">
        <f t="shared" ref="Q76" si="356">F76*P76</f>
        <v>451751540.0877189</v>
      </c>
      <c r="R76">
        <f t="shared" ref="R76" si="357">R77+Q76</f>
        <v>32387130444.041012</v>
      </c>
      <c r="S76">
        <f t="shared" ref="S76" si="358">R76/100000</f>
        <v>323871.30444041011</v>
      </c>
      <c r="T76">
        <f t="shared" ref="T76" si="359">S76/1000</f>
        <v>323.87130444041009</v>
      </c>
    </row>
    <row r="77" spans="1:20" x14ac:dyDescent="0.25">
      <c r="A77" s="5">
        <v>44516</v>
      </c>
      <c r="B77">
        <v>1.9900000000000001E-2</v>
      </c>
      <c r="C77">
        <v>1.9910000000000001E-2</v>
      </c>
      <c r="D77">
        <v>1.7559999999999999E-2</v>
      </c>
      <c r="E77">
        <v>1.8550000000000001E-2</v>
      </c>
      <c r="F77">
        <v>874217886</v>
      </c>
      <c r="G77">
        <v>1.8550000000000001E-2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-0.15744680851063769</v>
      </c>
      <c r="Q77">
        <f t="shared" ref="Q77" si="361">F77*P77</f>
        <v>-137642816.09361649</v>
      </c>
      <c r="R77">
        <f t="shared" ref="R77" si="362">R78+Q77</f>
        <v>31935378903.953293</v>
      </c>
      <c r="S77">
        <f t="shared" ref="S77" si="363">R77/100000</f>
        <v>319353.78903953295</v>
      </c>
      <c r="T77">
        <f t="shared" ref="T77" si="364">S77/1000</f>
        <v>319.35378903953296</v>
      </c>
    </row>
    <row r="78" spans="1:20" x14ac:dyDescent="0.25">
      <c r="A78" s="5">
        <v>44515</v>
      </c>
      <c r="B78">
        <v>1.9779999999999999E-2</v>
      </c>
      <c r="C78">
        <v>2.026E-2</v>
      </c>
      <c r="D78">
        <v>1.9599999999999999E-2</v>
      </c>
      <c r="E78">
        <v>1.9900000000000001E-2</v>
      </c>
      <c r="F78">
        <v>638823244</v>
      </c>
      <c r="G78">
        <v>1.9900000000000001E-2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-9.0909090909087081E-2</v>
      </c>
      <c r="Q78">
        <f t="shared" ref="Q78" si="366">F78*P78</f>
        <v>-58074840.363633916</v>
      </c>
      <c r="R78">
        <f t="shared" ref="R78" si="367">R79+Q78</f>
        <v>32073021720.046909</v>
      </c>
      <c r="S78">
        <f t="shared" ref="S78" si="368">R78/100000</f>
        <v>320730.21720046911</v>
      </c>
      <c r="T78">
        <f t="shared" ref="T78" si="369">S78/1000</f>
        <v>320.7302172004691</v>
      </c>
    </row>
    <row r="79" spans="1:20" x14ac:dyDescent="0.25">
      <c r="A79" s="5">
        <v>44514</v>
      </c>
      <c r="B79">
        <v>1.9900000000000001E-2</v>
      </c>
      <c r="C79">
        <v>2.0119999999999999E-2</v>
      </c>
      <c r="D79">
        <v>1.9199999999999998E-2</v>
      </c>
      <c r="E79">
        <v>1.9789999999999999E-2</v>
      </c>
      <c r="F79">
        <v>380786505</v>
      </c>
      <c r="G79">
        <v>1.9789999999999999E-2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0.2826086956521735</v>
      </c>
      <c r="Q79">
        <f t="shared" ref="Q79" si="371">F79*P79</f>
        <v>107613577.49999985</v>
      </c>
      <c r="R79">
        <f t="shared" ref="R79" si="372">R80+Q79</f>
        <v>32131096560.410542</v>
      </c>
      <c r="S79">
        <f t="shared" ref="S79" si="373">R79/100000</f>
        <v>321310.96560410544</v>
      </c>
      <c r="T79">
        <f t="shared" ref="T79" si="374">S79/1000</f>
        <v>321.31096560410543</v>
      </c>
    </row>
    <row r="80" spans="1:20" x14ac:dyDescent="0.25">
      <c r="A80" s="5">
        <v>44513</v>
      </c>
      <c r="B80">
        <v>1.9720000000000001E-2</v>
      </c>
      <c r="C80">
        <v>2.0160000000000001E-2</v>
      </c>
      <c r="D80">
        <v>1.9380000000000001E-2</v>
      </c>
      <c r="E80">
        <v>1.9900000000000001E-2</v>
      </c>
      <c r="F80">
        <v>547580415</v>
      </c>
      <c r="G80">
        <v>1.9900000000000001E-2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0.33333333333333331</v>
      </c>
      <c r="Q80">
        <f t="shared" ref="Q80" si="376">F80*P80</f>
        <v>182526805</v>
      </c>
      <c r="R80">
        <f t="shared" ref="R80" si="377">R81+Q80</f>
        <v>32023482982.910542</v>
      </c>
      <c r="S80">
        <f t="shared" ref="S80" si="378">R80/100000</f>
        <v>320234.82982910541</v>
      </c>
      <c r="T80">
        <f t="shared" ref="T80" si="379">S80/1000</f>
        <v>320.23482982910542</v>
      </c>
    </row>
    <row r="81" spans="1:20" x14ac:dyDescent="0.25">
      <c r="A81" s="5">
        <v>44512</v>
      </c>
      <c r="B81">
        <v>1.9869999999999999E-2</v>
      </c>
      <c r="C81">
        <v>1.9949999999999999E-2</v>
      </c>
      <c r="D81">
        <v>1.8929999999999999E-2</v>
      </c>
      <c r="E81">
        <v>1.9720000000000001E-2</v>
      </c>
      <c r="F81">
        <v>775549149</v>
      </c>
      <c r="G81">
        <v>1.9720000000000001E-2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0.54901960784314208</v>
      </c>
      <c r="Q81">
        <f t="shared" ref="Q81" si="381">F81*P81</f>
        <v>425791689.64706254</v>
      </c>
      <c r="R81">
        <f t="shared" ref="R81" si="382">R82+Q81</f>
        <v>31840956177.910542</v>
      </c>
      <c r="S81">
        <f t="shared" ref="S81" si="383">R81/100000</f>
        <v>318409.5617791054</v>
      </c>
      <c r="T81">
        <f t="shared" ref="T81" si="384">S81/1000</f>
        <v>318.40956177910539</v>
      </c>
    </row>
    <row r="82" spans="1:20" x14ac:dyDescent="0.25">
      <c r="A82" s="5">
        <v>44511</v>
      </c>
      <c r="B82">
        <v>1.9630000000000002E-2</v>
      </c>
      <c r="C82">
        <v>2.0400000000000001E-2</v>
      </c>
      <c r="D82">
        <v>1.942E-2</v>
      </c>
      <c r="E82">
        <v>1.9879999999999998E-2</v>
      </c>
      <c r="F82">
        <v>574530286</v>
      </c>
      <c r="G82">
        <v>1.9879999999999998E-2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-6.1224489795922848E-2</v>
      </c>
      <c r="Q82">
        <f t="shared" ref="Q82" si="386">F82*P82</f>
        <v>-35175323.632655635</v>
      </c>
      <c r="R82">
        <f t="shared" ref="R82" si="387">R83+Q82</f>
        <v>31415164488.263477</v>
      </c>
      <c r="S82">
        <f t="shared" ref="S82" si="388">R82/100000</f>
        <v>314151.64488263475</v>
      </c>
      <c r="T82">
        <f t="shared" ref="T82" si="389">S82/1000</f>
        <v>314.15164488263474</v>
      </c>
    </row>
    <row r="83" spans="1:20" x14ac:dyDescent="0.25">
      <c r="A83" s="5">
        <v>44510</v>
      </c>
      <c r="B83">
        <v>2.1129999999999999E-2</v>
      </c>
      <c r="C83">
        <v>2.1729999999999999E-2</v>
      </c>
      <c r="D83">
        <v>1.8800000000000001E-2</v>
      </c>
      <c r="E83">
        <v>1.9640000000000001E-2</v>
      </c>
      <c r="F83">
        <v>953775010</v>
      </c>
      <c r="G83">
        <v>1.9640000000000001E-2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-0.42662116040955572</v>
      </c>
      <c r="Q83">
        <f t="shared" ref="Q83" si="391">F83*P83</f>
        <v>-406900601.53583562</v>
      </c>
      <c r="R83">
        <f t="shared" ref="R83" si="392">R84+Q83</f>
        <v>31450339811.896133</v>
      </c>
      <c r="S83">
        <f t="shared" ref="S83" si="393">R83/100000</f>
        <v>314503.39811896131</v>
      </c>
      <c r="T83">
        <f t="shared" ref="T83" si="394">S83/1000</f>
        <v>314.50339811896129</v>
      </c>
    </row>
    <row r="84" spans="1:20" x14ac:dyDescent="0.25">
      <c r="A84" s="5">
        <v>44509</v>
      </c>
      <c r="B84">
        <v>2.1080000000000002E-2</v>
      </c>
      <c r="C84">
        <v>2.1499999999999998E-2</v>
      </c>
      <c r="D84">
        <v>2.052E-2</v>
      </c>
      <c r="E84">
        <v>2.1139999999999999E-2</v>
      </c>
      <c r="F84">
        <v>787313674</v>
      </c>
      <c r="G84">
        <v>2.1139999999999999E-2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0.26530612244897989</v>
      </c>
      <c r="Q84">
        <f t="shared" ref="Q84" si="396">F84*P84</f>
        <v>208879138.00000024</v>
      </c>
      <c r="R84">
        <f t="shared" ref="R84" si="397">R85+Q84</f>
        <v>31857240413.431969</v>
      </c>
      <c r="S84">
        <f t="shared" ref="S84" si="398">R84/100000</f>
        <v>318572.40413431969</v>
      </c>
      <c r="T84">
        <f t="shared" ref="T84" si="399">S84/1000</f>
        <v>318.5724041343197</v>
      </c>
    </row>
    <row r="85" spans="1:20" x14ac:dyDescent="0.25">
      <c r="A85" s="5">
        <v>44508</v>
      </c>
      <c r="B85">
        <v>1.992E-2</v>
      </c>
      <c r="C85">
        <v>2.1600000000000001E-2</v>
      </c>
      <c r="D85">
        <v>1.9810000000000001E-2</v>
      </c>
      <c r="E85">
        <v>2.1059999999999999E-2</v>
      </c>
      <c r="F85">
        <v>1222910630</v>
      </c>
      <c r="G85">
        <v>2.1059999999999999E-2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0.39664804469273485</v>
      </c>
      <c r="Q85">
        <f t="shared" ref="Q85" si="401">F85*P85</f>
        <v>485065110.22346056</v>
      </c>
      <c r="R85">
        <f t="shared" ref="R85" si="402">R86+Q85</f>
        <v>31648361275.431969</v>
      </c>
      <c r="S85">
        <f t="shared" ref="S85" si="403">R85/100000</f>
        <v>316483.61275431968</v>
      </c>
      <c r="T85">
        <f t="shared" ref="T85" si="404">S85/1000</f>
        <v>316.48361275431967</v>
      </c>
    </row>
    <row r="86" spans="1:20" x14ac:dyDescent="0.25">
      <c r="A86" s="5">
        <v>44507</v>
      </c>
      <c r="B86">
        <v>1.9740000000000001E-2</v>
      </c>
      <c r="C86">
        <v>2.0320000000000001E-2</v>
      </c>
      <c r="D86">
        <v>1.9570000000000001E-2</v>
      </c>
      <c r="E86">
        <v>1.9910000000000001E-2</v>
      </c>
      <c r="F86">
        <v>576569233</v>
      </c>
      <c r="G86">
        <v>1.9910000000000001E-2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-9.3333333333334073E-2</v>
      </c>
      <c r="Q86">
        <f t="shared" ref="Q86" si="406">F86*P86</f>
        <v>-53813128.413333759</v>
      </c>
      <c r="R86">
        <f t="shared" ref="R86" si="407">R87+Q86</f>
        <v>31163296165.208508</v>
      </c>
      <c r="S86">
        <f t="shared" ref="S86" si="408">R86/100000</f>
        <v>311632.96165208507</v>
      </c>
      <c r="T86">
        <f t="shared" ref="T86" si="409">S86/1000</f>
        <v>311.63296165208504</v>
      </c>
    </row>
    <row r="87" spans="1:20" x14ac:dyDescent="0.25">
      <c r="A87" s="5">
        <v>44506</v>
      </c>
      <c r="B87">
        <v>1.9640000000000001E-2</v>
      </c>
      <c r="C87">
        <v>2.0070000000000001E-2</v>
      </c>
      <c r="D87">
        <v>1.865E-2</v>
      </c>
      <c r="E87">
        <v>1.9720000000000001E-2</v>
      </c>
      <c r="F87">
        <v>396657170</v>
      </c>
      <c r="G87">
        <v>1.9720000000000001E-2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0.50704225352112764</v>
      </c>
      <c r="Q87">
        <f t="shared" ref="Q87" si="411">F87*P87</f>
        <v>201121945.35211304</v>
      </c>
      <c r="R87">
        <f t="shared" ref="R87" si="412">R88+Q87</f>
        <v>31217109293.621841</v>
      </c>
      <c r="S87">
        <f t="shared" ref="S87" si="413">R87/100000</f>
        <v>312171.09293621843</v>
      </c>
      <c r="T87">
        <f t="shared" ref="T87" si="414">S87/1000</f>
        <v>312.17109293621843</v>
      </c>
    </row>
    <row r="88" spans="1:20" x14ac:dyDescent="0.25">
      <c r="A88" s="5">
        <v>44505</v>
      </c>
      <c r="B88">
        <v>2.009E-2</v>
      </c>
      <c r="C88">
        <v>2.0369999999999999E-2</v>
      </c>
      <c r="D88">
        <v>1.9269999999999999E-2</v>
      </c>
      <c r="E88">
        <v>1.9640000000000001E-2</v>
      </c>
      <c r="F88">
        <v>546456708</v>
      </c>
      <c r="G88">
        <v>1.9640000000000001E-2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-0.32727272727272333</v>
      </c>
      <c r="Q88">
        <f t="shared" ref="Q88" si="416">F88*P88</f>
        <v>-178840377.16363421</v>
      </c>
      <c r="R88">
        <f t="shared" ref="R88" si="417">R89+Q88</f>
        <v>31015987348.26973</v>
      </c>
      <c r="S88">
        <f t="shared" ref="S88" si="418">R88/100000</f>
        <v>310159.87348269729</v>
      </c>
      <c r="T88">
        <f t="shared" ref="T88" si="419">S88/1000</f>
        <v>310.15987348269732</v>
      </c>
    </row>
    <row r="89" spans="1:20" x14ac:dyDescent="0.25">
      <c r="A89" s="5">
        <v>44504</v>
      </c>
      <c r="B89">
        <v>2.0840000000000001E-2</v>
      </c>
      <c r="C89">
        <v>2.1090000000000001E-2</v>
      </c>
      <c r="D89">
        <v>1.941E-2</v>
      </c>
      <c r="E89">
        <v>2.01E-2</v>
      </c>
      <c r="F89">
        <v>688760183</v>
      </c>
      <c r="G89">
        <v>2.01E-2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-0.17857142857142946</v>
      </c>
      <c r="Q89">
        <f t="shared" ref="Q89" si="421">F89*P89</f>
        <v>-122992889.82142919</v>
      </c>
      <c r="R89">
        <f t="shared" ref="R89" si="422">R90+Q89</f>
        <v>31194827725.433365</v>
      </c>
      <c r="S89">
        <f t="shared" ref="S89" si="423">R89/100000</f>
        <v>311948.27725433366</v>
      </c>
      <c r="T89">
        <f t="shared" ref="T89" si="424">S89/1000</f>
        <v>311.94827725433368</v>
      </c>
    </row>
    <row r="90" spans="1:20" x14ac:dyDescent="0.25">
      <c r="A90" s="5">
        <v>44503</v>
      </c>
      <c r="B90">
        <v>2.146E-2</v>
      </c>
      <c r="C90">
        <v>2.1479999999999999E-2</v>
      </c>
      <c r="D90">
        <v>1.9820000000000001E-2</v>
      </c>
      <c r="E90">
        <v>2.085E-2</v>
      </c>
      <c r="F90">
        <v>817491895</v>
      </c>
      <c r="G90">
        <v>2.085E-2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0.24096385542168763</v>
      </c>
      <c r="Q90">
        <f t="shared" ref="Q90" si="426">F90*P90</f>
        <v>196985998.79518145</v>
      </c>
      <c r="R90">
        <f t="shared" ref="R90" si="427">R91+Q90</f>
        <v>31317820615.254795</v>
      </c>
      <c r="S90">
        <f t="shared" ref="S90" si="428">R90/100000</f>
        <v>313178.20615254797</v>
      </c>
      <c r="T90">
        <f t="shared" ref="T90" si="429">S90/1000</f>
        <v>313.17820615254794</v>
      </c>
    </row>
    <row r="91" spans="1:20" x14ac:dyDescent="0.25">
      <c r="A91" s="5">
        <v>44502</v>
      </c>
      <c r="B91">
        <v>2.0039999999999999E-2</v>
      </c>
      <c r="C91">
        <v>2.2270000000000002E-2</v>
      </c>
      <c r="D91">
        <v>1.976E-2</v>
      </c>
      <c r="E91">
        <v>2.1489999999999999E-2</v>
      </c>
      <c r="F91">
        <v>1419675349</v>
      </c>
      <c r="G91">
        <v>2.1489999999999999E-2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0.37848605577689054</v>
      </c>
      <c r="Q91">
        <f t="shared" ref="Q91" si="431">F91*P91</f>
        <v>537327323.32669055</v>
      </c>
      <c r="R91">
        <f t="shared" ref="R91" si="432">R92+Q91</f>
        <v>31120834616.459614</v>
      </c>
      <c r="S91">
        <f t="shared" ref="S91" si="433">R91/100000</f>
        <v>311208.34616459615</v>
      </c>
      <c r="T91">
        <f t="shared" ref="T91" si="434">S91/1000</f>
        <v>311.20834616459615</v>
      </c>
    </row>
    <row r="92" spans="1:20" x14ac:dyDescent="0.25">
      <c r="A92" s="5">
        <v>44501</v>
      </c>
      <c r="B92">
        <v>2.0449999999999999E-2</v>
      </c>
      <c r="C92">
        <v>2.051E-2</v>
      </c>
      <c r="D92">
        <v>1.882E-2</v>
      </c>
      <c r="E92">
        <v>2.0049999999999998E-2</v>
      </c>
      <c r="F92">
        <v>1309144974</v>
      </c>
      <c r="G92">
        <v>2.0049999999999998E-2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0.45562130177514565</v>
      </c>
      <c r="Q92">
        <f t="shared" ref="Q92" si="436">F92*P92</f>
        <v>596474337.26626921</v>
      </c>
      <c r="R92">
        <f t="shared" ref="R92" si="437">R93+Q92</f>
        <v>30583507293.132923</v>
      </c>
      <c r="S92">
        <f t="shared" ref="S92" si="438">R92/100000</f>
        <v>305835.07293132925</v>
      </c>
      <c r="T92">
        <f t="shared" ref="T92" si="439">S92/1000</f>
        <v>305.83507293132925</v>
      </c>
    </row>
    <row r="93" spans="1:20" x14ac:dyDescent="0.25">
      <c r="A93" s="5">
        <v>44500</v>
      </c>
      <c r="B93">
        <v>1.8749999999999999E-2</v>
      </c>
      <c r="C93">
        <v>2.3990000000000001E-2</v>
      </c>
      <c r="D93">
        <v>1.84E-2</v>
      </c>
      <c r="E93">
        <v>2.0459999999999999E-2</v>
      </c>
      <c r="F93">
        <v>5625651937</v>
      </c>
      <c r="G93">
        <v>2.0459999999999999E-2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-0.26296958855098429</v>
      </c>
      <c r="Q93">
        <f t="shared" ref="Q93" si="441">F93*P93</f>
        <v>-1479375375.2039378</v>
      </c>
      <c r="R93">
        <f t="shared" ref="R93" si="442">R94+Q93</f>
        <v>29987032955.866653</v>
      </c>
      <c r="S93">
        <f t="shared" ref="S93" si="443">R93/100000</f>
        <v>299870.32955866656</v>
      </c>
      <c r="T93">
        <f t="shared" ref="T93" si="444">S93/1000</f>
        <v>299.87032955866658</v>
      </c>
    </row>
    <row r="94" spans="1:20" x14ac:dyDescent="0.25">
      <c r="A94" s="5">
        <v>44499</v>
      </c>
      <c r="B94">
        <v>1.848E-2</v>
      </c>
      <c r="C94">
        <v>1.8839999999999999E-2</v>
      </c>
      <c r="D94">
        <v>1.7649999999999999E-2</v>
      </c>
      <c r="E94">
        <v>1.8759999999999999E-2</v>
      </c>
      <c r="F94">
        <v>744371524</v>
      </c>
      <c r="G94">
        <v>1.8759999999999999E-2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0.86554621848739466</v>
      </c>
      <c r="Q94">
        <f t="shared" ref="Q94" si="446">F94*P94</f>
        <v>644287957.74789894</v>
      </c>
      <c r="R94">
        <f t="shared" ref="R94" si="447">R95+Q94</f>
        <v>31466408331.070591</v>
      </c>
      <c r="S94">
        <f t="shared" ref="S94" si="448">R94/100000</f>
        <v>314664.0833107059</v>
      </c>
      <c r="T94">
        <f t="shared" ref="T94" si="449">S94/1000</f>
        <v>314.66408331070591</v>
      </c>
    </row>
    <row r="95" spans="1:20" x14ac:dyDescent="0.25">
      <c r="A95" s="5">
        <v>44498</v>
      </c>
      <c r="B95">
        <v>1.7520000000000001E-2</v>
      </c>
      <c r="C95">
        <v>1.866E-2</v>
      </c>
      <c r="D95">
        <v>1.7389999999999999E-2</v>
      </c>
      <c r="E95">
        <v>1.847E-2</v>
      </c>
      <c r="F95">
        <v>520411470</v>
      </c>
      <c r="G95">
        <v>1.847E-2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0.70078740157480446</v>
      </c>
      <c r="Q95">
        <f t="shared" ref="Q95" si="451">F95*P95</f>
        <v>364697801.81102431</v>
      </c>
      <c r="R95">
        <f t="shared" ref="R95" si="452">R96+Q95</f>
        <v>30822120373.322693</v>
      </c>
      <c r="S95">
        <f t="shared" ref="S95" si="453">R95/100000</f>
        <v>308221.20373322692</v>
      </c>
      <c r="T95">
        <f t="shared" ref="T95" si="454">S95/1000</f>
        <v>308.2212037332269</v>
      </c>
    </row>
    <row r="96" spans="1:20" x14ac:dyDescent="0.25">
      <c r="A96" s="5">
        <v>44497</v>
      </c>
      <c r="B96">
        <v>1.6469999999999999E-2</v>
      </c>
      <c r="C96">
        <v>1.7600000000000001E-2</v>
      </c>
      <c r="D96">
        <v>1.626E-2</v>
      </c>
      <c r="E96">
        <v>1.7520000000000001E-2</v>
      </c>
      <c r="F96">
        <v>490732776</v>
      </c>
      <c r="G96">
        <v>1.7520000000000001E-2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0.8805970149253729</v>
      </c>
      <c r="Q96">
        <f t="shared" ref="Q96" si="456">F96*P96</f>
        <v>432137817.67164165</v>
      </c>
      <c r="R96">
        <f t="shared" ref="R96" si="457">R97+Q96</f>
        <v>30457422571.511669</v>
      </c>
      <c r="S96">
        <f t="shared" ref="S96" si="458">R96/100000</f>
        <v>304574.22571511671</v>
      </c>
      <c r="T96">
        <f t="shared" ref="T96" si="459">S96/1000</f>
        <v>304.57422571511671</v>
      </c>
    </row>
    <row r="97" spans="1:20" x14ac:dyDescent="0.25">
      <c r="A97" s="5">
        <v>44496</v>
      </c>
      <c r="B97">
        <v>1.8759999999999999E-2</v>
      </c>
      <c r="C97">
        <v>1.9109999999999999E-2</v>
      </c>
      <c r="D97">
        <v>1.6039999999999999E-2</v>
      </c>
      <c r="E97">
        <v>1.6469999999999999E-2</v>
      </c>
      <c r="F97">
        <v>840936682</v>
      </c>
      <c r="G97">
        <v>1.6469999999999999E-2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-0.71986970684039098</v>
      </c>
      <c r="Q97">
        <f t="shared" ref="Q97" si="461">F97*P97</f>
        <v>-605364842.74267113</v>
      </c>
      <c r="R97">
        <f t="shared" ref="R97" si="462">R98+Q97</f>
        <v>30025284753.840027</v>
      </c>
      <c r="S97">
        <f t="shared" ref="S97" si="463">R97/100000</f>
        <v>300252.84753840027</v>
      </c>
      <c r="T97">
        <f t="shared" ref="T97" si="464">S97/1000</f>
        <v>300.25284753840026</v>
      </c>
    </row>
    <row r="98" spans="1:20" x14ac:dyDescent="0.25">
      <c r="A98" s="5">
        <v>44495</v>
      </c>
      <c r="B98">
        <v>1.9029999999999998E-2</v>
      </c>
      <c r="C98">
        <v>1.9619999999999999E-2</v>
      </c>
      <c r="D98">
        <v>1.8489999999999999E-2</v>
      </c>
      <c r="E98">
        <v>1.8749999999999999E-2</v>
      </c>
      <c r="F98">
        <v>729949835</v>
      </c>
      <c r="G98">
        <v>1.8749999999999999E-2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-0.53982300884955747</v>
      </c>
      <c r="Q98">
        <f t="shared" ref="Q98" si="466">F98*P98</f>
        <v>-394043716.23893803</v>
      </c>
      <c r="R98">
        <f t="shared" ref="R98" si="467">R99+Q98</f>
        <v>30630649596.582699</v>
      </c>
      <c r="S98">
        <f t="shared" ref="S98" si="468">R98/100000</f>
        <v>306306.49596582697</v>
      </c>
      <c r="T98">
        <f t="shared" ref="T98" si="469">S98/1000</f>
        <v>306.30649596582697</v>
      </c>
    </row>
    <row r="99" spans="1:20" x14ac:dyDescent="0.25">
      <c r="A99" s="5">
        <v>44494</v>
      </c>
      <c r="B99">
        <v>1.821E-2</v>
      </c>
      <c r="C99">
        <v>1.907E-2</v>
      </c>
      <c r="D99">
        <v>1.805E-2</v>
      </c>
      <c r="E99">
        <v>1.9009999999999999E-2</v>
      </c>
      <c r="F99">
        <v>531802841</v>
      </c>
      <c r="G99">
        <v>1.9009999999999999E-2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0.88235294117646856</v>
      </c>
      <c r="Q99">
        <f t="shared" ref="Q99" si="471">F99*P99</f>
        <v>469237800.88235188</v>
      </c>
      <c r="R99">
        <f t="shared" ref="R99" si="472">R100+Q99</f>
        <v>31024693312.821636</v>
      </c>
      <c r="S99">
        <f t="shared" ref="S99" si="473">R99/100000</f>
        <v>310246.93312821636</v>
      </c>
      <c r="T99">
        <f t="shared" ref="T99" si="474">S99/1000</f>
        <v>310.24693312821637</v>
      </c>
    </row>
    <row r="100" spans="1:20" x14ac:dyDescent="0.25">
      <c r="A100" s="5">
        <v>44493</v>
      </c>
      <c r="B100">
        <v>1.8689999999999998E-2</v>
      </c>
      <c r="C100">
        <v>1.8950000000000002E-2</v>
      </c>
      <c r="D100">
        <v>1.7739999999999999E-2</v>
      </c>
      <c r="E100">
        <v>1.821E-2</v>
      </c>
      <c r="F100">
        <v>622287018</v>
      </c>
      <c r="G100">
        <v>1.821E-2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-0.2231404958677676</v>
      </c>
      <c r="Q100">
        <f t="shared" ref="Q100" si="476">F100*P100</f>
        <v>-138857433.76859441</v>
      </c>
      <c r="R100">
        <f t="shared" ref="R100" si="477">R101+Q100</f>
        <v>30555455511.939285</v>
      </c>
      <c r="S100">
        <f t="shared" ref="S100" si="478">R100/100000</f>
        <v>305554.55511939287</v>
      </c>
      <c r="T100">
        <f t="shared" ref="T100" si="479">S100/1000</f>
        <v>305.55455511939289</v>
      </c>
    </row>
    <row r="101" spans="1:20" x14ac:dyDescent="0.25">
      <c r="A101" s="5">
        <v>44492</v>
      </c>
      <c r="B101">
        <v>1.866E-2</v>
      </c>
      <c r="C101">
        <v>1.882E-2</v>
      </c>
      <c r="D101">
        <v>1.8290000000000001E-2</v>
      </c>
      <c r="E101">
        <v>1.8689999999999998E-2</v>
      </c>
      <c r="F101">
        <v>258171113</v>
      </c>
      <c r="G101">
        <v>1.8689999999999998E-2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0.50943396226414406</v>
      </c>
      <c r="Q101">
        <f t="shared" ref="Q101" si="481">F101*P101</f>
        <v>131521133.03773408</v>
      </c>
      <c r="R101">
        <f t="shared" ref="R101" si="482">R102+Q101</f>
        <v>30694312945.707878</v>
      </c>
      <c r="S101">
        <f t="shared" ref="S101" si="483">R101/100000</f>
        <v>306943.12945707876</v>
      </c>
      <c r="T101">
        <f t="shared" ref="T101" si="484">S101/1000</f>
        <v>306.94312945707878</v>
      </c>
    </row>
    <row r="102" spans="1:20" x14ac:dyDescent="0.25">
      <c r="A102" s="5">
        <v>44491</v>
      </c>
      <c r="B102">
        <v>1.8239999999999999E-2</v>
      </c>
      <c r="C102">
        <v>1.9050000000000001E-2</v>
      </c>
      <c r="D102">
        <v>1.822E-2</v>
      </c>
      <c r="E102">
        <v>1.865E-2</v>
      </c>
      <c r="F102">
        <v>384391858</v>
      </c>
      <c r="G102">
        <v>1.865E-2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3.6144578313251498E-2</v>
      </c>
      <c r="Q102">
        <f t="shared" ref="Q102" si="486">F102*P102</f>
        <v>13893681.61445725</v>
      </c>
      <c r="R102">
        <f t="shared" ref="R102" si="487">R103+Q102</f>
        <v>30562791812.670143</v>
      </c>
      <c r="S102">
        <f t="shared" ref="S102" si="488">R102/100000</f>
        <v>305627.91812670144</v>
      </c>
      <c r="T102">
        <f t="shared" ref="T102" si="489">S102/1000</f>
        <v>305.62791812670145</v>
      </c>
    </row>
    <row r="103" spans="1:20" x14ac:dyDescent="0.25">
      <c r="A103" s="5">
        <v>44490</v>
      </c>
      <c r="B103">
        <v>1.908E-2</v>
      </c>
      <c r="C103">
        <v>1.9429999999999999E-2</v>
      </c>
      <c r="D103">
        <v>1.814E-2</v>
      </c>
      <c r="E103">
        <v>1.8249999999999999E-2</v>
      </c>
      <c r="F103">
        <v>548556919</v>
      </c>
      <c r="G103">
        <v>1.8249999999999999E-2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-0.82945736434108674</v>
      </c>
      <c r="Q103">
        <f t="shared" ref="Q103" si="491">F103*P103</f>
        <v>-455004576.22480702</v>
      </c>
      <c r="R103">
        <f t="shared" ref="R103" si="492">R104+Q103</f>
        <v>30548898131.055687</v>
      </c>
      <c r="S103">
        <f t="shared" ref="S103" si="493">R103/100000</f>
        <v>305488.98131055688</v>
      </c>
      <c r="T103">
        <f t="shared" ref="T103" si="494">S103/1000</f>
        <v>305.48898131055688</v>
      </c>
    </row>
    <row r="104" spans="1:20" x14ac:dyDescent="0.25">
      <c r="A104" s="5">
        <v>44489</v>
      </c>
      <c r="B104">
        <v>1.8350000000000002E-2</v>
      </c>
      <c r="C104">
        <v>1.9390000000000001E-2</v>
      </c>
      <c r="D104">
        <v>1.7940000000000001E-2</v>
      </c>
      <c r="E104">
        <v>1.9089999999999999E-2</v>
      </c>
      <c r="F104">
        <v>653055822</v>
      </c>
      <c r="G104">
        <v>1.9089999999999999E-2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0.58620689655172187</v>
      </c>
      <c r="Q104">
        <f t="shared" ref="Q104" si="496">F104*P104</f>
        <v>382825826.68965369</v>
      </c>
      <c r="R104">
        <f t="shared" ref="R104" si="497">R105+Q104</f>
        <v>31003902707.280495</v>
      </c>
      <c r="S104">
        <f t="shared" ref="S104" si="498">R104/100000</f>
        <v>310039.02707280492</v>
      </c>
      <c r="T104">
        <f t="shared" ref="T104" si="499">S104/1000</f>
        <v>310.03902707280491</v>
      </c>
    </row>
    <row r="105" spans="1:20" x14ac:dyDescent="0.25">
      <c r="A105" s="5">
        <v>44488</v>
      </c>
      <c r="B105">
        <v>1.8370000000000001E-2</v>
      </c>
      <c r="C105">
        <v>1.8450000000000001E-2</v>
      </c>
      <c r="D105">
        <v>1.7809999999999999E-2</v>
      </c>
      <c r="E105">
        <v>1.8350000000000002E-2</v>
      </c>
      <c r="F105">
        <v>548803098</v>
      </c>
      <c r="G105">
        <v>1.8350000000000002E-2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0.68750000000000266</v>
      </c>
      <c r="Q105">
        <f t="shared" ref="Q105" si="501">F105*P105</f>
        <v>377302129.87500149</v>
      </c>
      <c r="R105">
        <f t="shared" ref="R105" si="502">R106+Q105</f>
        <v>30621076880.590839</v>
      </c>
      <c r="S105">
        <f t="shared" ref="S105" si="503">R105/100000</f>
        <v>306210.76880590839</v>
      </c>
      <c r="T105">
        <f t="shared" ref="T105" si="504">S105/1000</f>
        <v>306.2107688059084</v>
      </c>
    </row>
    <row r="106" spans="1:20" x14ac:dyDescent="0.25">
      <c r="A106" s="5">
        <v>44487</v>
      </c>
      <c r="B106">
        <v>1.7729999999999999E-2</v>
      </c>
      <c r="C106">
        <v>1.8880000000000001E-2</v>
      </c>
      <c r="D106">
        <v>1.7520000000000001E-2</v>
      </c>
      <c r="E106">
        <v>1.8370000000000001E-2</v>
      </c>
      <c r="F106">
        <v>687491082</v>
      </c>
      <c r="G106">
        <v>1.8370000000000001E-2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0.25</v>
      </c>
      <c r="Q106">
        <f t="shared" ref="Q106" si="506">F106*P106</f>
        <v>171872770.5</v>
      </c>
      <c r="R106">
        <f t="shared" ref="R106" si="507">R107+Q106</f>
        <v>30243774750.715839</v>
      </c>
      <c r="S106">
        <f t="shared" ref="S106" si="508">R106/100000</f>
        <v>302437.74750715838</v>
      </c>
      <c r="T106">
        <f t="shared" ref="T106" si="509">S106/1000</f>
        <v>302.43774750715835</v>
      </c>
    </row>
    <row r="107" spans="1:20" x14ac:dyDescent="0.25">
      <c r="A107" s="5">
        <v>44486</v>
      </c>
      <c r="B107">
        <v>1.83E-2</v>
      </c>
      <c r="C107">
        <v>1.831E-2</v>
      </c>
      <c r="D107">
        <v>1.711E-2</v>
      </c>
      <c r="E107">
        <v>1.7749999999999998E-2</v>
      </c>
      <c r="F107">
        <v>446873747</v>
      </c>
      <c r="G107">
        <v>1.7749999999999998E-2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6.6666666666663973E-2</v>
      </c>
      <c r="Q107">
        <f t="shared" ref="Q107" si="511">F107*P107</f>
        <v>29791583.13333213</v>
      </c>
      <c r="R107">
        <f t="shared" ref="R107" si="512">R108+Q107</f>
        <v>30071901980.215839</v>
      </c>
      <c r="S107">
        <f t="shared" ref="S107" si="513">R107/100000</f>
        <v>300719.01980215841</v>
      </c>
      <c r="T107">
        <f t="shared" ref="T107" si="514">S107/1000</f>
        <v>300.71901980215841</v>
      </c>
    </row>
    <row r="108" spans="1:20" x14ac:dyDescent="0.25">
      <c r="A108" s="5">
        <v>44485</v>
      </c>
      <c r="B108">
        <v>1.8509999999999999E-2</v>
      </c>
      <c r="C108">
        <v>1.8800000000000001E-2</v>
      </c>
      <c r="D108">
        <v>1.8079999999999999E-2</v>
      </c>
      <c r="E108">
        <v>1.8290000000000001E-2</v>
      </c>
      <c r="F108">
        <v>468867785</v>
      </c>
      <c r="G108">
        <v>1.8290000000000001E-2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-0.41666666666666308</v>
      </c>
      <c r="Q108">
        <f t="shared" ref="Q108" si="516">F108*P108</f>
        <v>-195361577.08333164</v>
      </c>
      <c r="R108">
        <f t="shared" ref="R108" si="517">R109+Q108</f>
        <v>30042110397.082508</v>
      </c>
      <c r="S108">
        <f t="shared" ref="S108" si="518">R108/100000</f>
        <v>300421.10397082509</v>
      </c>
      <c r="T108">
        <f t="shared" ref="T108" si="519">S108/1000</f>
        <v>300.42110397082507</v>
      </c>
    </row>
    <row r="109" spans="1:20" x14ac:dyDescent="0.25">
      <c r="A109" s="5">
        <v>44484</v>
      </c>
      <c r="B109">
        <v>1.8929999999999999E-2</v>
      </c>
      <c r="C109">
        <v>2.0129999999999999E-2</v>
      </c>
      <c r="D109">
        <v>1.7579999999999998E-2</v>
      </c>
      <c r="E109">
        <v>1.8499999999999999E-2</v>
      </c>
      <c r="F109">
        <v>1485778805</v>
      </c>
      <c r="G109">
        <v>1.8499999999999999E-2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-0.27843137254901912</v>
      </c>
      <c r="Q109">
        <f t="shared" ref="Q109" si="521">F109*P109</f>
        <v>-413687431.98039144</v>
      </c>
      <c r="R109">
        <f t="shared" ref="R109" si="522">R110+Q109</f>
        <v>30237471974.16584</v>
      </c>
      <c r="S109">
        <f t="shared" ref="S109" si="523">R109/100000</f>
        <v>302374.71974165842</v>
      </c>
      <c r="T109">
        <f t="shared" ref="T109" si="524">S109/1000</f>
        <v>302.3747197416584</v>
      </c>
    </row>
    <row r="110" spans="1:20" x14ac:dyDescent="0.25">
      <c r="A110" s="5">
        <v>44483</v>
      </c>
      <c r="B110">
        <v>1.881E-2</v>
      </c>
      <c r="C110">
        <v>1.9179999999999999E-2</v>
      </c>
      <c r="D110">
        <v>1.8450000000000001E-2</v>
      </c>
      <c r="E110">
        <v>1.8939999999999999E-2</v>
      </c>
      <c r="F110">
        <v>409696975</v>
      </c>
      <c r="G110">
        <v>1.8939999999999999E-2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0.34246575342465402</v>
      </c>
      <c r="Q110">
        <f t="shared" ref="Q110" si="526">F110*P110</f>
        <v>140307183.21917665</v>
      </c>
      <c r="R110">
        <f t="shared" ref="R110" si="527">R111+Q110</f>
        <v>30651159406.146233</v>
      </c>
      <c r="S110">
        <f t="shared" ref="S110" si="528">R110/100000</f>
        <v>306511.59406146233</v>
      </c>
      <c r="T110">
        <f t="shared" ref="T110" si="529">S110/1000</f>
        <v>306.51159406146235</v>
      </c>
    </row>
    <row r="111" spans="1:20" x14ac:dyDescent="0.25">
      <c r="A111" s="5">
        <v>44482</v>
      </c>
      <c r="B111">
        <v>1.8030000000000001E-2</v>
      </c>
      <c r="C111">
        <v>1.883E-2</v>
      </c>
      <c r="D111">
        <v>1.77E-2</v>
      </c>
      <c r="E111">
        <v>1.8800000000000001E-2</v>
      </c>
      <c r="F111">
        <v>556277379</v>
      </c>
      <c r="G111">
        <v>1.8800000000000001E-2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0.94690265486725878</v>
      </c>
      <c r="Q111">
        <f t="shared" ref="Q111" si="531">F111*P111</f>
        <v>526740527.01770031</v>
      </c>
      <c r="R111">
        <f t="shared" ref="R111" si="532">R112+Q111</f>
        <v>30510852222.927055</v>
      </c>
      <c r="S111">
        <f t="shared" ref="S111" si="533">R111/100000</f>
        <v>305108.52222927054</v>
      </c>
      <c r="T111">
        <f t="shared" ref="T111" si="534">S111/1000</f>
        <v>305.10852222927053</v>
      </c>
    </row>
    <row r="112" spans="1:20" x14ac:dyDescent="0.25">
      <c r="A112" s="5">
        <v>44481</v>
      </c>
      <c r="B112">
        <v>1.9050000000000001E-2</v>
      </c>
      <c r="C112">
        <v>1.9089999999999999E-2</v>
      </c>
      <c r="D112">
        <v>1.7139999999999999E-2</v>
      </c>
      <c r="E112">
        <v>1.805E-2</v>
      </c>
      <c r="F112">
        <v>750709049</v>
      </c>
      <c r="G112">
        <v>1.805E-2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-6.6666666666665722E-2</v>
      </c>
      <c r="Q112">
        <f t="shared" ref="Q112" si="536">F112*P112</f>
        <v>-50047269.933332622</v>
      </c>
      <c r="R112">
        <f t="shared" ref="R112" si="537">R113+Q112</f>
        <v>29984111695.909355</v>
      </c>
      <c r="S112">
        <f t="shared" ref="S112" si="538">R112/100000</f>
        <v>299841.11695909355</v>
      </c>
      <c r="T112">
        <f t="shared" ref="T112" si="539">S112/1000</f>
        <v>299.84111695909354</v>
      </c>
    </row>
    <row r="113" spans="1:20" x14ac:dyDescent="0.25">
      <c r="A113" s="5">
        <v>44480</v>
      </c>
      <c r="B113">
        <v>1.9619999999999999E-2</v>
      </c>
      <c r="C113">
        <v>1.9869999999999999E-2</v>
      </c>
      <c r="D113">
        <v>1.8450000000000001E-2</v>
      </c>
      <c r="E113">
        <v>1.9060000000000001E-2</v>
      </c>
      <c r="F113">
        <v>572370831</v>
      </c>
      <c r="G113">
        <v>1.9060000000000001E-2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-0.14084507042253458</v>
      </c>
      <c r="Q113">
        <f t="shared" ref="Q113" si="541">F113*P113</f>
        <v>-80615609.999999642</v>
      </c>
      <c r="R113">
        <f t="shared" ref="R113" si="542">R114+Q113</f>
        <v>30034158965.84269</v>
      </c>
      <c r="S113">
        <f t="shared" ref="S113" si="543">R113/100000</f>
        <v>300341.58965842688</v>
      </c>
      <c r="T113">
        <f t="shared" ref="T113" si="544">S113/1000</f>
        <v>300.34158965842687</v>
      </c>
    </row>
    <row r="114" spans="1:20" x14ac:dyDescent="0.25">
      <c r="A114" s="5">
        <v>44479</v>
      </c>
      <c r="B114">
        <v>2.0750000000000001E-2</v>
      </c>
      <c r="C114">
        <v>2.0899999999999998E-2</v>
      </c>
      <c r="D114">
        <v>1.9279999999999999E-2</v>
      </c>
      <c r="E114">
        <v>1.9619999999999999E-2</v>
      </c>
      <c r="F114">
        <v>584660834</v>
      </c>
      <c r="G114">
        <v>1.9619999999999999E-2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-0.58024691358024683</v>
      </c>
      <c r="Q114">
        <f t="shared" ref="Q114" si="546">F114*P114</f>
        <v>-339247644.41975302</v>
      </c>
      <c r="R114">
        <f t="shared" ref="R114" si="547">R115+Q114</f>
        <v>30114774575.84269</v>
      </c>
      <c r="S114">
        <f t="shared" ref="S114" si="548">R114/100000</f>
        <v>301147.7457584269</v>
      </c>
      <c r="T114">
        <f t="shared" ref="T114" si="549">S114/1000</f>
        <v>301.14774575842688</v>
      </c>
    </row>
    <row r="115" spans="1:20" x14ac:dyDescent="0.25">
      <c r="A115" s="5">
        <v>44478</v>
      </c>
      <c r="B115">
        <v>2.0140000000000002E-2</v>
      </c>
      <c r="C115">
        <v>2.2190000000000001E-2</v>
      </c>
      <c r="D115">
        <v>1.975E-2</v>
      </c>
      <c r="E115">
        <v>2.0729999999999998E-2</v>
      </c>
      <c r="F115">
        <v>1450955904</v>
      </c>
      <c r="G115">
        <v>2.0729999999999998E-2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-0.19672131147541166</v>
      </c>
      <c r="Q115">
        <f t="shared" ref="Q115" si="551">F115*P115</f>
        <v>-285433948.3278715</v>
      </c>
      <c r="R115">
        <f t="shared" ref="R115" si="552">R116+Q115</f>
        <v>30454022220.262444</v>
      </c>
      <c r="S115">
        <f t="shared" ref="S115" si="553">R115/100000</f>
        <v>304540.22220262443</v>
      </c>
      <c r="T115">
        <f t="shared" ref="T115" si="554">S115/1000</f>
        <v>304.54022220262442</v>
      </c>
    </row>
    <row r="116" spans="1:20" x14ac:dyDescent="0.25">
      <c r="A116" s="5">
        <v>44477</v>
      </c>
      <c r="B116">
        <v>1.8550000000000001E-2</v>
      </c>
      <c r="C116">
        <v>2.0559999999999998E-2</v>
      </c>
      <c r="D116">
        <v>1.8519999999999998E-2</v>
      </c>
      <c r="E116">
        <v>2.0119999999999999E-2</v>
      </c>
      <c r="F116">
        <v>1398017131</v>
      </c>
      <c r="G116">
        <v>2.0119999999999999E-2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0.5686274509803928</v>
      </c>
      <c r="Q116">
        <f t="shared" ref="Q116" si="556">F116*P116</f>
        <v>794950917.6274519</v>
      </c>
      <c r="R116">
        <f t="shared" ref="R116" si="557">R117+Q116</f>
        <v>30739456168.590317</v>
      </c>
      <c r="S116">
        <f t="shared" ref="S116" si="558">R116/100000</f>
        <v>307394.56168590317</v>
      </c>
      <c r="T116">
        <f t="shared" ref="T116" si="559">S116/1000</f>
        <v>307.39456168590317</v>
      </c>
    </row>
    <row r="117" spans="1:20" x14ac:dyDescent="0.25">
      <c r="A117" s="5">
        <v>44476</v>
      </c>
      <c r="B117">
        <v>1.908E-2</v>
      </c>
      <c r="C117">
        <v>1.9120000000000002E-2</v>
      </c>
      <c r="D117">
        <v>1.8120000000000001E-2</v>
      </c>
      <c r="E117">
        <v>1.8540000000000001E-2</v>
      </c>
      <c r="F117">
        <v>895488555</v>
      </c>
      <c r="G117">
        <v>1.8540000000000001E-2</v>
      </c>
      <c r="L117" t="s">
        <v>7</v>
      </c>
      <c r="M117" t="s">
        <v>7</v>
      </c>
      <c r="N117" t="s">
        <v>8</v>
      </c>
      <c r="P117">
        <f t="shared" ref="P117" si="560">IF(C117=D117,0,((E117-D117)-(C117-E117))/(C117-D117))</f>
        <v>-0.16000000000000028</v>
      </c>
      <c r="Q117">
        <f t="shared" ref="Q117" si="561">F117*P117</f>
        <v>-143278168.80000025</v>
      </c>
      <c r="R117">
        <f t="shared" ref="R117" si="562">R118+Q117</f>
        <v>29944505250.962864</v>
      </c>
      <c r="S117">
        <f t="shared" ref="S117" si="563">R117/100000</f>
        <v>299445.05250962864</v>
      </c>
      <c r="T117">
        <f t="shared" ref="T117" si="564">S117/1000</f>
        <v>299.44505250962862</v>
      </c>
    </row>
    <row r="118" spans="1:20" x14ac:dyDescent="0.25">
      <c r="A118" s="5">
        <v>44475</v>
      </c>
      <c r="B118">
        <v>1.8360000000000001E-2</v>
      </c>
      <c r="C118">
        <v>2.3349999999999999E-2</v>
      </c>
      <c r="D118">
        <v>1.8010000000000002E-2</v>
      </c>
      <c r="E118">
        <v>1.908E-2</v>
      </c>
      <c r="F118">
        <v>4188691507</v>
      </c>
      <c r="G118">
        <v>1.908E-2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-0.59925093632958859</v>
      </c>
      <c r="Q118">
        <f t="shared" ref="Q118" si="566">F118*P118</f>
        <v>-2510077307.5655456</v>
      </c>
      <c r="R118">
        <f t="shared" ref="R118" si="567">R119+Q118</f>
        <v>30087783419.762863</v>
      </c>
      <c r="S118">
        <f t="shared" ref="S118" si="568">R118/100000</f>
        <v>300877.8341976286</v>
      </c>
      <c r="T118">
        <f t="shared" ref="T118" si="569">S118/1000</f>
        <v>300.8778341976286</v>
      </c>
    </row>
    <row r="119" spans="1:20" x14ac:dyDescent="0.25">
      <c r="A119" s="5">
        <v>44474</v>
      </c>
      <c r="B119">
        <v>1.617E-2</v>
      </c>
      <c r="C119">
        <v>1.9E-2</v>
      </c>
      <c r="D119">
        <v>1.5990000000000001E-2</v>
      </c>
      <c r="E119">
        <v>1.8350000000000002E-2</v>
      </c>
      <c r="F119">
        <v>1766781361</v>
      </c>
      <c r="G119">
        <v>1.8350000000000002E-2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0.56810631229236008</v>
      </c>
      <c r="Q119">
        <f t="shared" ref="Q119" si="571">F119*P119</f>
        <v>1003719643.6245869</v>
      </c>
      <c r="R119">
        <f t="shared" ref="R119" si="572">R120+Q119</f>
        <v>32597860727.328407</v>
      </c>
      <c r="S119">
        <f t="shared" ref="S119" si="573">R119/100000</f>
        <v>325978.60727328405</v>
      </c>
      <c r="T119">
        <f t="shared" ref="T119" si="574">S119/1000</f>
        <v>325.97860727328407</v>
      </c>
    </row>
    <row r="120" spans="1:20" x14ac:dyDescent="0.25">
      <c r="A120" s="5">
        <v>44473</v>
      </c>
      <c r="B120">
        <v>1.6570000000000001E-2</v>
      </c>
      <c r="C120">
        <v>1.6580000000000001E-2</v>
      </c>
      <c r="D120">
        <v>1.541E-2</v>
      </c>
      <c r="E120">
        <v>1.6049999999999998E-2</v>
      </c>
      <c r="F120">
        <v>517054350</v>
      </c>
      <c r="G120">
        <v>1.6049999999999998E-2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9.4017094017090116E-2</v>
      </c>
      <c r="Q120">
        <f t="shared" ref="Q120" si="576">F120*P120</f>
        <v>48611947.435895421</v>
      </c>
      <c r="R120">
        <f t="shared" ref="R120" si="577">R121+Q120</f>
        <v>31594141083.703819</v>
      </c>
      <c r="S120">
        <f t="shared" ref="S120" si="578">R120/100000</f>
        <v>315941.41083703819</v>
      </c>
      <c r="T120">
        <f t="shared" ref="T120" si="579">S120/1000</f>
        <v>315.94141083703818</v>
      </c>
    </row>
    <row r="121" spans="1:20" x14ac:dyDescent="0.25">
      <c r="A121" s="5">
        <v>44472</v>
      </c>
      <c r="B121">
        <v>1.6060000000000001E-2</v>
      </c>
      <c r="C121">
        <v>1.7129999999999999E-2</v>
      </c>
      <c r="D121">
        <v>1.5650000000000001E-2</v>
      </c>
      <c r="E121">
        <v>1.6590000000000001E-2</v>
      </c>
      <c r="F121">
        <v>526484534</v>
      </c>
      <c r="G121">
        <v>1.6590000000000001E-2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0.27027027027027123</v>
      </c>
      <c r="Q121">
        <f t="shared" ref="Q121" si="581">F121*P121</f>
        <v>142293117.29729781</v>
      </c>
      <c r="R121">
        <f t="shared" ref="R121" si="582">R122+Q121</f>
        <v>31545529136.267925</v>
      </c>
      <c r="S121">
        <f t="shared" ref="S121" si="583">R121/100000</f>
        <v>315455.29136267927</v>
      </c>
      <c r="T121">
        <f t="shared" ref="T121" si="584">S121/1000</f>
        <v>315.45529136267925</v>
      </c>
    </row>
    <row r="122" spans="1:20" x14ac:dyDescent="0.25">
      <c r="A122" s="5">
        <v>44471</v>
      </c>
      <c r="B122">
        <v>1.609E-2</v>
      </c>
      <c r="C122">
        <v>1.6639999999999999E-2</v>
      </c>
      <c r="D122">
        <v>1.5740000000000001E-2</v>
      </c>
      <c r="E122">
        <v>1.6049999999999998E-2</v>
      </c>
      <c r="F122">
        <v>438622793</v>
      </c>
      <c r="G122">
        <v>1.6049999999999998E-2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-0.31111111111111456</v>
      </c>
      <c r="Q122">
        <f t="shared" ref="Q122" si="586">F122*P122</f>
        <v>-136460424.48889041</v>
      </c>
      <c r="R122">
        <f t="shared" ref="R122" si="587">R123+Q122</f>
        <v>31403236018.970627</v>
      </c>
      <c r="S122">
        <f t="shared" ref="S122" si="588">R122/100000</f>
        <v>314032.36018970626</v>
      </c>
      <c r="T122">
        <f t="shared" ref="T122" si="589">S122/1000</f>
        <v>314.03236018970625</v>
      </c>
    </row>
    <row r="123" spans="1:20" x14ac:dyDescent="0.25">
      <c r="A123" s="5">
        <v>44470</v>
      </c>
      <c r="B123">
        <v>1.456E-2</v>
      </c>
      <c r="C123">
        <v>1.6279999999999999E-2</v>
      </c>
      <c r="D123">
        <v>1.4460000000000001E-2</v>
      </c>
      <c r="E123">
        <v>1.6080000000000001E-2</v>
      </c>
      <c r="F123">
        <v>675932504</v>
      </c>
      <c r="G123">
        <v>1.6080000000000001E-2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0.78021978021978144</v>
      </c>
      <c r="Q123">
        <f t="shared" ref="Q123" si="591">F123*P123</f>
        <v>527375909.71428657</v>
      </c>
      <c r="R123">
        <f t="shared" ref="R123" si="592">R124+Q123</f>
        <v>31539696443.459518</v>
      </c>
      <c r="S123">
        <f t="shared" ref="S123" si="593">R123/100000</f>
        <v>315396.9644345952</v>
      </c>
      <c r="T123">
        <f t="shared" ref="T123" si="594">S123/1000</f>
        <v>315.39696443459519</v>
      </c>
    </row>
    <row r="124" spans="1:20" x14ac:dyDescent="0.25">
      <c r="A124" s="5">
        <v>44469</v>
      </c>
      <c r="B124">
        <v>1.375E-2</v>
      </c>
      <c r="C124">
        <v>1.46E-2</v>
      </c>
      <c r="D124">
        <v>1.367E-2</v>
      </c>
      <c r="E124">
        <v>1.456E-2</v>
      </c>
      <c r="F124">
        <v>515084298</v>
      </c>
      <c r="G124">
        <v>1.456E-2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0.91397849462365577</v>
      </c>
      <c r="Q124">
        <f t="shared" ref="Q124" si="596">F124*P124</f>
        <v>470775971.29032248</v>
      </c>
      <c r="R124">
        <f t="shared" ref="R124" si="597">R125+Q124</f>
        <v>31012320533.745232</v>
      </c>
      <c r="S124">
        <f t="shared" ref="S124" si="598">R124/100000</f>
        <v>310123.20533745229</v>
      </c>
      <c r="T124">
        <f t="shared" ref="T124" si="599">S124/1000</f>
        <v>310.1232053374523</v>
      </c>
    </row>
    <row r="125" spans="1:20" x14ac:dyDescent="0.25">
      <c r="A125" s="5">
        <v>44468</v>
      </c>
      <c r="B125">
        <v>1.3310000000000001E-2</v>
      </c>
      <c r="C125">
        <v>1.44E-2</v>
      </c>
      <c r="D125">
        <v>1.32E-2</v>
      </c>
      <c r="E125">
        <v>1.3729999999999999E-2</v>
      </c>
      <c r="F125">
        <v>488222332</v>
      </c>
      <c r="G125">
        <v>1.3729999999999999E-2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-0.11666666666666772</v>
      </c>
      <c r="Q125">
        <f t="shared" ref="Q125" si="601">F125*P125</f>
        <v>-56959272.066667184</v>
      </c>
      <c r="R125">
        <f t="shared" ref="R125" si="602">R126+Q125</f>
        <v>30541544562.45491</v>
      </c>
      <c r="S125">
        <f t="shared" ref="S125" si="603">R125/100000</f>
        <v>305415.44562454912</v>
      </c>
      <c r="T125">
        <f t="shared" ref="T125" si="604">S125/1000</f>
        <v>305.41544562454914</v>
      </c>
    </row>
    <row r="126" spans="1:20" x14ac:dyDescent="0.25">
      <c r="A126" s="5">
        <v>44467</v>
      </c>
      <c r="B126">
        <v>1.4149999999999999E-2</v>
      </c>
      <c r="C126">
        <v>1.4579999999999999E-2</v>
      </c>
      <c r="D126">
        <v>1.324E-2</v>
      </c>
      <c r="E126">
        <v>1.3310000000000001E-2</v>
      </c>
      <c r="F126">
        <v>619846081</v>
      </c>
      <c r="G126">
        <v>1.3310000000000001E-2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-0.89552238805970052</v>
      </c>
      <c r="Q126">
        <f t="shared" ref="Q126" si="606">F126*P126</f>
        <v>-555086042.68656659</v>
      </c>
      <c r="R126">
        <f t="shared" ref="R126" si="607">R127+Q126</f>
        <v>30598503834.521576</v>
      </c>
      <c r="S126">
        <f t="shared" ref="S126" si="608">R126/100000</f>
        <v>305985.03834521578</v>
      </c>
      <c r="T126">
        <f t="shared" ref="T126" si="609">S126/1000</f>
        <v>305.9850383452158</v>
      </c>
    </row>
    <row r="127" spans="1:20" x14ac:dyDescent="0.25">
      <c r="A127" s="5">
        <v>44466</v>
      </c>
      <c r="B127">
        <v>1.4970000000000001E-2</v>
      </c>
      <c r="C127">
        <v>1.5299999999999999E-2</v>
      </c>
      <c r="D127">
        <v>1.413E-2</v>
      </c>
      <c r="E127">
        <v>1.4160000000000001E-2</v>
      </c>
      <c r="F127">
        <v>543646374</v>
      </c>
      <c r="G127">
        <v>1.4160000000000001E-2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-0.94871794871794779</v>
      </c>
      <c r="Q127">
        <f t="shared" ref="Q127" si="611">F127*P127</f>
        <v>-515767072.76923025</v>
      </c>
      <c r="R127">
        <f t="shared" ref="R127" si="612">R128+Q127</f>
        <v>31153589877.208141</v>
      </c>
      <c r="S127">
        <f t="shared" ref="S127" si="613">R127/100000</f>
        <v>311535.89877208142</v>
      </c>
      <c r="T127">
        <f t="shared" ref="T127" si="614">S127/1000</f>
        <v>311.5358987720814</v>
      </c>
    </row>
    <row r="128" spans="1:20" x14ac:dyDescent="0.25">
      <c r="A128" s="5">
        <v>44465</v>
      </c>
      <c r="B128">
        <v>1.4760000000000001E-2</v>
      </c>
      <c r="C128">
        <v>1.536E-2</v>
      </c>
      <c r="D128">
        <v>1.354E-2</v>
      </c>
      <c r="E128">
        <v>1.499E-2</v>
      </c>
      <c r="F128">
        <v>795298111</v>
      </c>
      <c r="G128">
        <v>1.499E-2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0.59340659340659296</v>
      </c>
      <c r="Q128">
        <f t="shared" ref="Q128" si="616">F128*P128</f>
        <v>471935142.79120845</v>
      </c>
      <c r="R128">
        <f t="shared" ref="R128" si="617">R129+Q128</f>
        <v>31669356949.977371</v>
      </c>
      <c r="S128">
        <f t="shared" ref="S128" si="618">R128/100000</f>
        <v>316693.56949977373</v>
      </c>
      <c r="T128">
        <f t="shared" ref="T128" si="619">S128/1000</f>
        <v>316.69356949977373</v>
      </c>
    </row>
    <row r="129" spans="1:20" x14ac:dyDescent="0.25">
      <c r="A129" s="5">
        <v>44464</v>
      </c>
      <c r="B129">
        <v>1.49E-2</v>
      </c>
      <c r="C129">
        <v>1.5469999999999999E-2</v>
      </c>
      <c r="D129">
        <v>1.4200000000000001E-2</v>
      </c>
      <c r="E129">
        <v>1.4749999999999999E-2</v>
      </c>
      <c r="F129">
        <v>503274123</v>
      </c>
      <c r="G129">
        <v>1.4749999999999999E-2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-0.13385826771653697</v>
      </c>
      <c r="Q129">
        <f t="shared" ref="Q129" si="621">F129*P129</f>
        <v>-67367402.291339353</v>
      </c>
      <c r="R129">
        <f t="shared" ref="R129" si="622">R130+Q129</f>
        <v>31197421807.186161</v>
      </c>
      <c r="S129">
        <f t="shared" ref="S129" si="623">R129/100000</f>
        <v>311974.2180718616</v>
      </c>
      <c r="T129">
        <f t="shared" ref="T129" si="624">S129/1000</f>
        <v>311.97421807186163</v>
      </c>
    </row>
    <row r="130" spans="1:20" x14ac:dyDescent="0.25">
      <c r="A130" s="5">
        <v>44463</v>
      </c>
      <c r="B130">
        <v>1.6320000000000001E-2</v>
      </c>
      <c r="C130">
        <v>1.6389999999999998E-2</v>
      </c>
      <c r="D130">
        <v>1.3899999999999999E-2</v>
      </c>
      <c r="E130">
        <v>1.491E-2</v>
      </c>
      <c r="F130">
        <v>684856780</v>
      </c>
      <c r="G130">
        <v>1.491E-2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-0.18875502008032063</v>
      </c>
      <c r="Q130">
        <f t="shared" ref="Q130" si="626">F130*P130</f>
        <v>-129270155.26104373</v>
      </c>
      <c r="R130">
        <f t="shared" ref="R130" si="627">R131+Q130</f>
        <v>31264789209.477501</v>
      </c>
      <c r="S130">
        <f t="shared" ref="S130" si="628">R130/100000</f>
        <v>312647.89209477499</v>
      </c>
      <c r="T130">
        <f t="shared" ref="T130" si="629">S130/1000</f>
        <v>312.64789209477499</v>
      </c>
    </row>
    <row r="131" spans="1:20" x14ac:dyDescent="0.25">
      <c r="A131" s="5">
        <v>44462</v>
      </c>
      <c r="B131">
        <v>1.5959999999999998E-2</v>
      </c>
      <c r="C131">
        <v>1.652E-2</v>
      </c>
      <c r="D131">
        <v>1.5650000000000001E-2</v>
      </c>
      <c r="E131">
        <v>1.6330000000000001E-2</v>
      </c>
      <c r="F131">
        <v>466032576</v>
      </c>
      <c r="G131">
        <v>1.6330000000000001E-2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0.56321839080459912</v>
      </c>
      <c r="Q131">
        <f t="shared" ref="Q131" si="631">F131*P131</f>
        <v>262478117.51724204</v>
      </c>
      <c r="R131">
        <f t="shared" ref="R131" si="632">R132+Q131</f>
        <v>31394059364.738544</v>
      </c>
      <c r="S131">
        <f t="shared" ref="S131" si="633">R131/100000</f>
        <v>313940.59364738542</v>
      </c>
      <c r="T131">
        <f t="shared" ref="T131" si="634">S131/1000</f>
        <v>313.94059364738541</v>
      </c>
    </row>
    <row r="132" spans="1:20" x14ac:dyDescent="0.25">
      <c r="A132" s="5">
        <v>44461</v>
      </c>
      <c r="B132">
        <v>1.434E-2</v>
      </c>
      <c r="C132">
        <v>1.6129999999999999E-2</v>
      </c>
      <c r="D132">
        <v>1.4189999999999999E-2</v>
      </c>
      <c r="E132">
        <v>1.5970000000000002E-2</v>
      </c>
      <c r="F132">
        <v>522277206</v>
      </c>
      <c r="G132">
        <v>1.5970000000000002E-2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0.83505154639175561</v>
      </c>
      <c r="Q132">
        <f t="shared" ref="Q132" si="636">F132*P132</f>
        <v>436128388.5154655</v>
      </c>
      <c r="R132">
        <f t="shared" ref="R132" si="637">R133+Q132</f>
        <v>31131581247.221302</v>
      </c>
      <c r="S132">
        <f t="shared" ref="S132" si="638">R132/100000</f>
        <v>311315.812472213</v>
      </c>
      <c r="T132">
        <f t="shared" ref="T132" si="639">S132/1000</f>
        <v>311.315812472213</v>
      </c>
    </row>
    <row r="133" spans="1:20" x14ac:dyDescent="0.25">
      <c r="A133" s="5">
        <v>44460</v>
      </c>
      <c r="B133">
        <v>1.541E-2</v>
      </c>
      <c r="C133">
        <v>1.592E-2</v>
      </c>
      <c r="D133">
        <v>1.3610000000000001E-2</v>
      </c>
      <c r="E133">
        <v>1.4330000000000001E-2</v>
      </c>
      <c r="F133">
        <v>793181222</v>
      </c>
      <c r="G133">
        <v>1.4330000000000001E-2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-0.37662337662337636</v>
      </c>
      <c r="Q133">
        <f t="shared" ref="Q133" si="641">F133*P133</f>
        <v>-298730590.1038959</v>
      </c>
      <c r="R133">
        <f t="shared" ref="R133" si="642">R134+Q133</f>
        <v>30695452858.705837</v>
      </c>
      <c r="S133">
        <f t="shared" ref="S133" si="643">R133/100000</f>
        <v>306954.52858705836</v>
      </c>
      <c r="T133">
        <f t="shared" ref="T133" si="644">S133/1000</f>
        <v>306.95452858705835</v>
      </c>
    </row>
    <row r="134" spans="1:20" x14ac:dyDescent="0.25">
      <c r="A134" s="5">
        <v>44459</v>
      </c>
      <c r="B134">
        <v>1.8030000000000001E-2</v>
      </c>
      <c r="C134">
        <v>1.814E-2</v>
      </c>
      <c r="D134">
        <v>1.609E-2</v>
      </c>
      <c r="E134">
        <v>1.6379999999999999E-2</v>
      </c>
      <c r="F134">
        <v>407029405</v>
      </c>
      <c r="G134">
        <v>1.6379999999999999E-2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-0.71707317073170862</v>
      </c>
      <c r="Q134">
        <f t="shared" ref="Q134" si="646">F134*P134</f>
        <v>-291869866.02439076</v>
      </c>
      <c r="R134">
        <f t="shared" ref="R134" si="647">R135+Q134</f>
        <v>30994183448.809734</v>
      </c>
      <c r="S134">
        <f t="shared" ref="S134" si="648">R134/100000</f>
        <v>309941.83448809735</v>
      </c>
      <c r="T134">
        <f t="shared" ref="T134" si="649">S134/1000</f>
        <v>309.94183448809736</v>
      </c>
    </row>
    <row r="135" spans="1:20" x14ac:dyDescent="0.25">
      <c r="A135" s="5">
        <v>44458</v>
      </c>
      <c r="B135">
        <v>1.9060000000000001E-2</v>
      </c>
      <c r="C135">
        <v>1.908E-2</v>
      </c>
      <c r="D135">
        <v>1.6959999999999999E-2</v>
      </c>
      <c r="E135">
        <v>1.8030000000000001E-2</v>
      </c>
      <c r="F135">
        <v>547762056</v>
      </c>
      <c r="G135">
        <v>1.8030000000000001E-2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9.4339622641521938E-3</v>
      </c>
      <c r="Q135">
        <f t="shared" ref="Q135" si="651">F135*P135</f>
        <v>5167566.5660384204</v>
      </c>
      <c r="R135">
        <f t="shared" ref="R135" si="652">R136+Q135</f>
        <v>31286053314.834126</v>
      </c>
      <c r="S135">
        <f t="shared" ref="S135" si="653">R135/100000</f>
        <v>312860.53314834123</v>
      </c>
      <c r="T135">
        <f t="shared" ref="T135" si="654">S135/1000</f>
        <v>312.86053314834123</v>
      </c>
    </row>
    <row r="136" spans="1:20" x14ac:dyDescent="0.25">
      <c r="A136" s="5">
        <v>44457</v>
      </c>
      <c r="B136">
        <v>1.8180000000000002E-2</v>
      </c>
      <c r="C136">
        <v>1.9380000000000001E-2</v>
      </c>
      <c r="D136">
        <v>1.797E-2</v>
      </c>
      <c r="E136">
        <v>1.9040000000000001E-2</v>
      </c>
      <c r="F136">
        <v>505753436</v>
      </c>
      <c r="G136">
        <v>1.9040000000000001E-2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0.51773049645390123</v>
      </c>
      <c r="Q136">
        <f t="shared" ref="Q136" si="656">F136*P136</f>
        <v>261843977.50354636</v>
      </c>
      <c r="R136">
        <f t="shared" ref="R136" si="657">R137+Q136</f>
        <v>31280885748.268085</v>
      </c>
      <c r="S136">
        <f t="shared" ref="S136" si="658">R136/100000</f>
        <v>312808.85748268088</v>
      </c>
      <c r="T136">
        <f t="shared" ref="T136" si="659">S136/1000</f>
        <v>312.80885748268088</v>
      </c>
    </row>
    <row r="137" spans="1:20" x14ac:dyDescent="0.25">
      <c r="A137" s="5">
        <v>44456</v>
      </c>
      <c r="B137">
        <v>1.8919999999999999E-2</v>
      </c>
      <c r="C137">
        <v>1.899E-2</v>
      </c>
      <c r="D137">
        <v>1.7909999999999999E-2</v>
      </c>
      <c r="E137">
        <v>1.8200000000000001E-2</v>
      </c>
      <c r="F137">
        <v>506599636</v>
      </c>
      <c r="G137">
        <v>1.8200000000000001E-2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-0.46296296296295969</v>
      </c>
      <c r="Q137">
        <f t="shared" ref="Q137" si="661">F137*P137</f>
        <v>-234536868.51851687</v>
      </c>
      <c r="R137">
        <f t="shared" ref="R137" si="662">R138+Q137</f>
        <v>31019041770.764538</v>
      </c>
      <c r="S137">
        <f t="shared" ref="S137" si="663">R137/100000</f>
        <v>310190.41770764539</v>
      </c>
      <c r="T137">
        <f t="shared" ref="T137" si="664">S137/1000</f>
        <v>310.19041770764539</v>
      </c>
    </row>
    <row r="138" spans="1:20" x14ac:dyDescent="0.25">
      <c r="A138" s="5">
        <v>44455</v>
      </c>
      <c r="B138">
        <v>1.9449999999999999E-2</v>
      </c>
      <c r="C138">
        <v>1.9699999999999999E-2</v>
      </c>
      <c r="D138">
        <v>1.8489999999999999E-2</v>
      </c>
      <c r="E138">
        <v>1.8939999999999999E-2</v>
      </c>
      <c r="F138">
        <v>527799234</v>
      </c>
      <c r="G138">
        <v>1.8939999999999999E-2</v>
      </c>
      <c r="L138" t="s">
        <v>8</v>
      </c>
      <c r="M138" t="s">
        <v>7</v>
      </c>
      <c r="N138" t="s">
        <v>7</v>
      </c>
      <c r="P138">
        <f t="shared" ref="P138" si="665">IF(C138=D138,0,((E138-D138)-(C138-E138))/(C138-D138))</f>
        <v>-0.25619834710743922</v>
      </c>
      <c r="Q138">
        <f t="shared" ref="Q138" si="666">F138*P138</f>
        <v>-135221291.35537255</v>
      </c>
      <c r="R138">
        <f t="shared" ref="R138" si="667">R139+Q138</f>
        <v>31253578639.283054</v>
      </c>
      <c r="S138">
        <f t="shared" ref="S138" si="668">R138/100000</f>
        <v>312535.78639283055</v>
      </c>
      <c r="T138">
        <f t="shared" ref="T138" si="669">S138/1000</f>
        <v>312.53578639283057</v>
      </c>
    </row>
    <row r="139" spans="1:20" x14ac:dyDescent="0.25">
      <c r="A139" s="5">
        <v>44454</v>
      </c>
      <c r="B139">
        <v>1.8849999999999999E-2</v>
      </c>
      <c r="C139">
        <v>1.95E-2</v>
      </c>
      <c r="D139">
        <v>1.856E-2</v>
      </c>
      <c r="E139">
        <v>1.9449999999999999E-2</v>
      </c>
      <c r="F139">
        <v>453901629</v>
      </c>
      <c r="G139">
        <v>1.9449999999999999E-2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0.8936170212765927</v>
      </c>
      <c r="Q139">
        <f t="shared" ref="Q139" si="671">F139*P139</f>
        <v>405614221.65957308</v>
      </c>
      <c r="R139">
        <f t="shared" ref="R139" si="672">R140+Q139</f>
        <v>31388799930.638428</v>
      </c>
      <c r="S139">
        <f t="shared" ref="S139" si="673">R139/100000</f>
        <v>313887.9993063843</v>
      </c>
      <c r="T139">
        <f t="shared" ref="T139" si="674">S139/1000</f>
        <v>313.8879993063843</v>
      </c>
    </row>
    <row r="140" spans="1:20" x14ac:dyDescent="0.25">
      <c r="A140" s="5">
        <v>44453</v>
      </c>
      <c r="B140">
        <v>1.8200000000000001E-2</v>
      </c>
      <c r="C140">
        <v>1.8890000000000001E-2</v>
      </c>
      <c r="D140">
        <v>1.7930000000000001E-2</v>
      </c>
      <c r="E140">
        <v>1.8849999999999999E-2</v>
      </c>
      <c r="F140">
        <v>574110865</v>
      </c>
      <c r="G140">
        <v>1.8849999999999999E-2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0.91666666666666274</v>
      </c>
      <c r="Q140">
        <f t="shared" ref="Q140" si="676">F140*P140</f>
        <v>526268292.91666442</v>
      </c>
      <c r="R140">
        <f t="shared" ref="R140" si="677">R141+Q140</f>
        <v>30983185708.978855</v>
      </c>
      <c r="S140">
        <f t="shared" ref="S140" si="678">R140/100000</f>
        <v>309831.85708978854</v>
      </c>
      <c r="T140">
        <f t="shared" ref="T140" si="679">S140/1000</f>
        <v>309.83185708978851</v>
      </c>
    </row>
    <row r="141" spans="1:20" x14ac:dyDescent="0.25">
      <c r="A141" s="5">
        <v>44452</v>
      </c>
      <c r="B141">
        <v>1.959E-2</v>
      </c>
      <c r="C141">
        <v>1.9609999999999999E-2</v>
      </c>
      <c r="D141">
        <v>1.7010000000000001E-2</v>
      </c>
      <c r="E141">
        <v>1.8200000000000001E-2</v>
      </c>
      <c r="F141">
        <v>627834381</v>
      </c>
      <c r="G141">
        <v>1.8200000000000001E-2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-8.4615384615383898E-2</v>
      </c>
      <c r="Q141">
        <f t="shared" ref="Q141" si="681">F141*P141</f>
        <v>-53124447.623076476</v>
      </c>
      <c r="R141">
        <f t="shared" ref="R141" si="682">R142+Q141</f>
        <v>30456917416.062191</v>
      </c>
      <c r="S141">
        <f t="shared" ref="S141" si="683">R141/100000</f>
        <v>304569.17416062189</v>
      </c>
      <c r="T141">
        <f t="shared" ref="T141" si="684">S141/1000</f>
        <v>304.56917416062191</v>
      </c>
    </row>
    <row r="142" spans="1:20" x14ac:dyDescent="0.25">
      <c r="A142" s="5">
        <v>44451</v>
      </c>
      <c r="B142">
        <v>1.856E-2</v>
      </c>
      <c r="C142">
        <v>1.9970000000000002E-2</v>
      </c>
      <c r="D142">
        <v>1.8100000000000002E-2</v>
      </c>
      <c r="E142">
        <v>1.9619999999999999E-2</v>
      </c>
      <c r="F142">
        <v>721644723</v>
      </c>
      <c r="G142">
        <v>1.9619999999999999E-2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0.62566844919785769</v>
      </c>
      <c r="Q142">
        <f t="shared" ref="Q142" si="686">F142*P142</f>
        <v>451510334.7112276</v>
      </c>
      <c r="R142">
        <f t="shared" ref="R142" si="687">R143+Q142</f>
        <v>30510041863.685268</v>
      </c>
      <c r="S142">
        <f t="shared" ref="S142" si="688">R142/100000</f>
        <v>305100.4186368527</v>
      </c>
      <c r="T142">
        <f t="shared" ref="T142" si="689">S142/1000</f>
        <v>305.10041863685268</v>
      </c>
    </row>
    <row r="143" spans="1:20" x14ac:dyDescent="0.25">
      <c r="A143" s="5">
        <v>44450</v>
      </c>
      <c r="B143">
        <v>1.8159999999999999E-2</v>
      </c>
      <c r="C143">
        <v>1.8970000000000001E-2</v>
      </c>
      <c r="D143">
        <v>1.7930000000000001E-2</v>
      </c>
      <c r="E143">
        <v>1.8540000000000001E-2</v>
      </c>
      <c r="F143">
        <v>486271444</v>
      </c>
      <c r="G143">
        <v>1.8540000000000001E-2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0.17307692307692282</v>
      </c>
      <c r="Q143">
        <f t="shared" ref="Q143" si="691">F143*P143</f>
        <v>84162365.307692185</v>
      </c>
      <c r="R143">
        <f t="shared" ref="R143" si="692">R144+Q143</f>
        <v>30058531528.974041</v>
      </c>
      <c r="S143">
        <f t="shared" ref="S143" si="693">R143/100000</f>
        <v>300585.31528974039</v>
      </c>
      <c r="T143">
        <f t="shared" ref="T143" si="694">S143/1000</f>
        <v>300.58531528974038</v>
      </c>
    </row>
    <row r="144" spans="1:20" x14ac:dyDescent="0.25">
      <c r="A144" s="5">
        <v>44449</v>
      </c>
      <c r="B144">
        <v>1.9970000000000002E-2</v>
      </c>
      <c r="C144">
        <v>2.0500000000000001E-2</v>
      </c>
      <c r="D144">
        <v>1.7670000000000002E-2</v>
      </c>
      <c r="E144">
        <v>1.8169999999999999E-2</v>
      </c>
      <c r="F144">
        <v>807234437</v>
      </c>
      <c r="G144">
        <v>1.8169999999999999E-2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-0.64664310954063808</v>
      </c>
      <c r="Q144">
        <f t="shared" ref="Q144" si="696">F144*P144</f>
        <v>-521992586.46996629</v>
      </c>
      <c r="R144">
        <f t="shared" ref="R144" si="697">R145+Q144</f>
        <v>29974369163.666348</v>
      </c>
      <c r="S144">
        <f t="shared" ref="S144" si="698">R144/100000</f>
        <v>299743.69163666345</v>
      </c>
      <c r="T144">
        <f t="shared" ref="T144" si="699">S144/1000</f>
        <v>299.74369163666347</v>
      </c>
    </row>
    <row r="145" spans="1:20" x14ac:dyDescent="0.25">
      <c r="A145" s="5">
        <v>44448</v>
      </c>
      <c r="B145">
        <v>1.9210000000000001E-2</v>
      </c>
      <c r="C145">
        <v>2.0500000000000001E-2</v>
      </c>
      <c r="D145">
        <v>1.9050000000000001E-2</v>
      </c>
      <c r="E145">
        <v>1.9980000000000001E-2</v>
      </c>
      <c r="F145">
        <v>939056888</v>
      </c>
      <c r="G145">
        <v>1.9980000000000001E-2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0.28275862068965563</v>
      </c>
      <c r="Q145">
        <f t="shared" ref="Q145" si="701">F145*P145</f>
        <v>265526430.40000042</v>
      </c>
      <c r="R145">
        <f t="shared" ref="R145" si="702">R146+Q145</f>
        <v>30496361750.136314</v>
      </c>
      <c r="S145">
        <f t="shared" ref="S145" si="703">R145/100000</f>
        <v>304963.61750136316</v>
      </c>
      <c r="T145">
        <f t="shared" ref="T145" si="704">S145/1000</f>
        <v>304.96361750136316</v>
      </c>
    </row>
    <row r="146" spans="1:20" x14ac:dyDescent="0.25">
      <c r="A146" s="5">
        <v>44447</v>
      </c>
      <c r="B146">
        <v>1.9310000000000001E-2</v>
      </c>
      <c r="C146">
        <v>1.9869999999999999E-2</v>
      </c>
      <c r="D146">
        <v>1.6879999999999999E-2</v>
      </c>
      <c r="E146">
        <v>1.9179999999999999E-2</v>
      </c>
      <c r="F146">
        <v>1143349909</v>
      </c>
      <c r="G146">
        <v>1.9179999999999999E-2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0.53846153846153866</v>
      </c>
      <c r="Q146">
        <f t="shared" ref="Q146" si="706">F146*P146</f>
        <v>615649951.00000024</v>
      </c>
      <c r="R146">
        <f t="shared" ref="R146" si="707">R147+Q146</f>
        <v>30230835319.736313</v>
      </c>
      <c r="S146">
        <f t="shared" ref="S146" si="708">R146/100000</f>
        <v>302308.35319736315</v>
      </c>
      <c r="T146">
        <f t="shared" ref="T146" si="709">S146/1000</f>
        <v>302.30835319736315</v>
      </c>
    </row>
    <row r="147" spans="1:20" x14ac:dyDescent="0.25">
      <c r="A147" s="5">
        <v>44446</v>
      </c>
      <c r="B147">
        <v>2.4539999999999999E-2</v>
      </c>
      <c r="C147">
        <v>2.477E-2</v>
      </c>
      <c r="D147">
        <v>1.7309999999999999E-2</v>
      </c>
      <c r="E147">
        <v>1.933E-2</v>
      </c>
      <c r="F147">
        <v>1671812932</v>
      </c>
      <c r="G147">
        <v>1.933E-2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-0.45844504021447707</v>
      </c>
      <c r="Q147">
        <f t="shared" ref="Q147" si="711">F147*P147</f>
        <v>-766434346.84182286</v>
      </c>
      <c r="R147">
        <f t="shared" ref="R147" si="712">R148+Q147</f>
        <v>29615185368.736313</v>
      </c>
      <c r="S147">
        <f t="shared" ref="S147" si="713">R147/100000</f>
        <v>296151.85368736315</v>
      </c>
      <c r="T147">
        <f t="shared" ref="T147" si="714">S147/1000</f>
        <v>296.15185368736314</v>
      </c>
    </row>
    <row r="148" spans="1:20" x14ac:dyDescent="0.25">
      <c r="A148" s="5">
        <v>44445</v>
      </c>
      <c r="B148">
        <v>2.47E-2</v>
      </c>
      <c r="C148">
        <v>2.5579999999999999E-2</v>
      </c>
      <c r="D148">
        <v>2.3279999999999999E-2</v>
      </c>
      <c r="E148">
        <v>2.4539999999999999E-2</v>
      </c>
      <c r="F148">
        <v>1338615829</v>
      </c>
      <c r="G148">
        <v>2.4539999999999999E-2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9.5652173913044106E-2</v>
      </c>
      <c r="Q148">
        <f t="shared" ref="Q148" si="716">F148*P148</f>
        <v>128041514.0782617</v>
      </c>
      <c r="R148">
        <f t="shared" ref="R148" si="717">R149+Q148</f>
        <v>30381619715.578136</v>
      </c>
      <c r="S148">
        <f t="shared" ref="S148" si="718">R148/100000</f>
        <v>303816.19715578138</v>
      </c>
      <c r="T148">
        <f t="shared" ref="T148" si="719">S148/1000</f>
        <v>303.81619715578137</v>
      </c>
    </row>
    <row r="149" spans="1:20" x14ac:dyDescent="0.25">
      <c r="A149" s="5">
        <v>44444</v>
      </c>
      <c r="B149">
        <v>2.4029999999999999E-2</v>
      </c>
      <c r="C149">
        <v>2.7640000000000001E-2</v>
      </c>
      <c r="D149">
        <v>2.3199999999999998E-2</v>
      </c>
      <c r="E149">
        <v>2.4709999999999999E-2</v>
      </c>
      <c r="F149">
        <v>2886507778</v>
      </c>
      <c r="G149">
        <v>2.4709999999999999E-2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-0.31981981981981988</v>
      </c>
      <c r="Q149">
        <f t="shared" ref="Q149" si="721">F149*P149</f>
        <v>-923162397.46846867</v>
      </c>
      <c r="R149">
        <f t="shared" ref="R149" si="722">R150+Q149</f>
        <v>30253578201.499874</v>
      </c>
      <c r="S149">
        <f t="shared" ref="S149" si="723">R149/100000</f>
        <v>302535.78201499872</v>
      </c>
      <c r="T149">
        <f t="shared" ref="T149" si="724">S149/1000</f>
        <v>302.53578201499874</v>
      </c>
    </row>
    <row r="150" spans="1:20" x14ac:dyDescent="0.25">
      <c r="A150" s="5">
        <v>44443</v>
      </c>
      <c r="B150">
        <v>2.1420000000000002E-2</v>
      </c>
      <c r="C150">
        <v>2.4590000000000001E-2</v>
      </c>
      <c r="D150">
        <v>2.1129999999999999E-2</v>
      </c>
      <c r="E150">
        <v>2.401E-2</v>
      </c>
      <c r="F150">
        <v>1313225941</v>
      </c>
      <c r="G150">
        <v>2.401E-2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0.66473988439306331</v>
      </c>
      <c r="Q150">
        <f t="shared" ref="Q150" si="726">F150*P150</f>
        <v>872953660.20231175</v>
      </c>
      <c r="R150">
        <f t="shared" ref="R150" si="727">R151+Q150</f>
        <v>31176740598.968342</v>
      </c>
      <c r="S150">
        <f t="shared" ref="S150" si="728">R150/100000</f>
        <v>311767.40598968341</v>
      </c>
      <c r="T150">
        <f t="shared" ref="T150" si="729">S150/1000</f>
        <v>311.76740598968343</v>
      </c>
    </row>
    <row r="151" spans="1:20" x14ac:dyDescent="0.25">
      <c r="A151" s="5">
        <v>44442</v>
      </c>
      <c r="B151">
        <v>2.068E-2</v>
      </c>
      <c r="C151">
        <v>2.1850000000000001E-2</v>
      </c>
      <c r="D151">
        <v>2.018E-2</v>
      </c>
      <c r="E151">
        <v>2.1399999999999999E-2</v>
      </c>
      <c r="F151">
        <v>823413130</v>
      </c>
      <c r="G151">
        <v>2.1399999999999999E-2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0.46107784431137472</v>
      </c>
      <c r="Q151">
        <f t="shared" ref="Q151" si="731">F151*P151</f>
        <v>379657550.95808172</v>
      </c>
      <c r="R151">
        <f t="shared" ref="R151" si="732">R152+Q151</f>
        <v>30303786938.766029</v>
      </c>
      <c r="S151">
        <f t="shared" ref="S151" si="733">R151/100000</f>
        <v>303037.86938766029</v>
      </c>
      <c r="T151">
        <f t="shared" ref="T151" si="734">S151/1000</f>
        <v>303.03786938766029</v>
      </c>
    </row>
    <row r="152" spans="1:20" x14ac:dyDescent="0.25">
      <c r="A152" s="5">
        <v>44441</v>
      </c>
      <c r="B152">
        <v>2.0750000000000001E-2</v>
      </c>
      <c r="C152">
        <v>2.128E-2</v>
      </c>
      <c r="D152">
        <v>2.052E-2</v>
      </c>
      <c r="E152">
        <v>2.068E-2</v>
      </c>
      <c r="F152">
        <v>651426248</v>
      </c>
      <c r="G152">
        <v>2.068E-2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-0.57894736842105166</v>
      </c>
      <c r="Q152">
        <f t="shared" ref="Q152" si="736">F152*P152</f>
        <v>-377141511.99999934</v>
      </c>
      <c r="R152">
        <f t="shared" ref="R152" si="737">R153+Q152</f>
        <v>29924129387.807949</v>
      </c>
      <c r="S152">
        <f t="shared" ref="S152" si="738">R152/100000</f>
        <v>299241.29387807951</v>
      </c>
      <c r="T152">
        <f t="shared" ref="T152" si="739">S152/1000</f>
        <v>299.24129387807949</v>
      </c>
    </row>
    <row r="153" spans="1:20" x14ac:dyDescent="0.25">
      <c r="A153" s="5">
        <v>44440</v>
      </c>
      <c r="B153">
        <v>1.9699999999999999E-2</v>
      </c>
      <c r="C153">
        <v>2.1000000000000001E-2</v>
      </c>
      <c r="D153">
        <v>1.9230000000000001E-2</v>
      </c>
      <c r="E153">
        <v>2.0760000000000001E-2</v>
      </c>
      <c r="F153">
        <v>656139867</v>
      </c>
      <c r="G153">
        <v>2.0760000000000001E-2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0.72881355932203329</v>
      </c>
      <c r="Q153">
        <f t="shared" ref="Q153" si="741">F153*P153</f>
        <v>478203631.88135552</v>
      </c>
      <c r="R153">
        <f t="shared" ref="R153" si="742">R154+Q153</f>
        <v>30301270899.807949</v>
      </c>
      <c r="S153">
        <f t="shared" ref="S153" si="743">R153/100000</f>
        <v>303012.70899807947</v>
      </c>
      <c r="T153">
        <f t="shared" ref="T153" si="744">S153/1000</f>
        <v>303.01270899807946</v>
      </c>
    </row>
    <row r="154" spans="1:20" x14ac:dyDescent="0.25">
      <c r="A154" s="5">
        <v>44439</v>
      </c>
      <c r="B154">
        <v>1.934E-2</v>
      </c>
      <c r="C154">
        <v>2.0129999999999999E-2</v>
      </c>
      <c r="D154">
        <v>1.8950000000000002E-2</v>
      </c>
      <c r="E154">
        <v>1.9720000000000001E-2</v>
      </c>
      <c r="F154">
        <v>781650936</v>
      </c>
      <c r="G154">
        <v>1.9720000000000001E-2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0.30508474576271488</v>
      </c>
      <c r="Q154">
        <f t="shared" ref="Q154" si="746">F154*P154</f>
        <v>238469777.08474812</v>
      </c>
      <c r="R154">
        <f t="shared" ref="R154" si="747">R155+Q154</f>
        <v>29823067267.926594</v>
      </c>
      <c r="S154">
        <f t="shared" ref="S154" si="748">R154/100000</f>
        <v>298230.67267926596</v>
      </c>
      <c r="T154">
        <f t="shared" ref="T154" si="749">S154/1000</f>
        <v>298.23067267926598</v>
      </c>
    </row>
    <row r="155" spans="1:20" x14ac:dyDescent="0.25">
      <c r="A155" s="5">
        <v>44438</v>
      </c>
      <c r="B155">
        <v>2.0840000000000001E-2</v>
      </c>
      <c r="C155">
        <v>2.086E-2</v>
      </c>
      <c r="D155">
        <v>1.9109999999999999E-2</v>
      </c>
      <c r="E155">
        <v>1.932E-2</v>
      </c>
      <c r="F155">
        <v>804535320</v>
      </c>
      <c r="G155">
        <v>1.932E-2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-0.75999999999999812</v>
      </c>
      <c r="Q155">
        <f t="shared" ref="Q155" si="751">F155*P155</f>
        <v>-611446843.1999985</v>
      </c>
      <c r="R155">
        <f t="shared" ref="R155" si="752">R156+Q155</f>
        <v>29584597490.841846</v>
      </c>
      <c r="S155">
        <f t="shared" ref="S155" si="753">R155/100000</f>
        <v>295845.97490841849</v>
      </c>
      <c r="T155">
        <f t="shared" ref="T155" si="754">S155/1000</f>
        <v>295.8459749084185</v>
      </c>
    </row>
    <row r="156" spans="1:20" x14ac:dyDescent="0.25">
      <c r="A156" s="5">
        <v>44437</v>
      </c>
      <c r="B156">
        <v>2.1250000000000002E-2</v>
      </c>
      <c r="C156">
        <v>2.1489999999999999E-2</v>
      </c>
      <c r="D156">
        <v>2.0240000000000001E-2</v>
      </c>
      <c r="E156">
        <v>2.0820000000000002E-2</v>
      </c>
      <c r="F156">
        <v>810901653</v>
      </c>
      <c r="G156">
        <v>2.0820000000000002E-2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-7.1999999999997205E-2</v>
      </c>
      <c r="Q156">
        <f t="shared" ref="Q156" si="756">F156*P156</f>
        <v>-58384919.01599773</v>
      </c>
      <c r="R156">
        <f t="shared" ref="R156" si="757">R157+Q156</f>
        <v>30196044334.041843</v>
      </c>
      <c r="S156">
        <f t="shared" ref="S156" si="758">R156/100000</f>
        <v>301960.44334041845</v>
      </c>
      <c r="T156">
        <f t="shared" ref="T156" si="759">S156/1000</f>
        <v>301.96044334041846</v>
      </c>
    </row>
    <row r="157" spans="1:20" x14ac:dyDescent="0.25">
      <c r="A157" s="5">
        <v>44436</v>
      </c>
      <c r="B157">
        <v>2.198E-2</v>
      </c>
      <c r="C157">
        <v>2.2020000000000001E-2</v>
      </c>
      <c r="D157">
        <v>2.078E-2</v>
      </c>
      <c r="E157">
        <v>2.1260000000000001E-2</v>
      </c>
      <c r="F157">
        <v>558867183</v>
      </c>
      <c r="G157">
        <v>2.1260000000000001E-2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-0.22580645161290214</v>
      </c>
      <c r="Q157">
        <f t="shared" ref="Q157" si="761">F157*P157</f>
        <v>-126195815.51612842</v>
      </c>
      <c r="R157">
        <f t="shared" ref="R157" si="762">R158+Q157</f>
        <v>30254429253.057842</v>
      </c>
      <c r="S157">
        <f t="shared" ref="S157" si="763">R157/100000</f>
        <v>302544.29253057844</v>
      </c>
      <c r="T157">
        <f t="shared" ref="T157" si="764">S157/1000</f>
        <v>302.54429253057845</v>
      </c>
    </row>
    <row r="158" spans="1:20" x14ac:dyDescent="0.25">
      <c r="A158" s="5">
        <v>44435</v>
      </c>
      <c r="B158">
        <v>2.1080000000000002E-2</v>
      </c>
      <c r="C158">
        <v>2.2579999999999999E-2</v>
      </c>
      <c r="D158">
        <v>1.983E-2</v>
      </c>
      <c r="E158">
        <v>2.196E-2</v>
      </c>
      <c r="F158">
        <v>1019777028</v>
      </c>
      <c r="G158">
        <v>2.196E-2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0.54909090909090963</v>
      </c>
      <c r="Q158">
        <f t="shared" ref="Q158" si="766">F158*P158</f>
        <v>559950295.37454605</v>
      </c>
      <c r="R158">
        <f t="shared" ref="R158" si="767">R159+Q158</f>
        <v>30380625068.573971</v>
      </c>
      <c r="S158">
        <f t="shared" ref="S158" si="768">R158/100000</f>
        <v>303806.25068573968</v>
      </c>
      <c r="T158">
        <f t="shared" ref="T158" si="769">S158/1000</f>
        <v>303.80625068573966</v>
      </c>
    </row>
    <row r="159" spans="1:20" x14ac:dyDescent="0.25">
      <c r="A159" s="5">
        <v>44434</v>
      </c>
      <c r="B159">
        <v>2.2981000000000001E-2</v>
      </c>
      <c r="C159">
        <v>2.3227999999999999E-2</v>
      </c>
      <c r="D159">
        <v>2.069E-2</v>
      </c>
      <c r="E159">
        <v>2.1049999999999999E-2</v>
      </c>
      <c r="F159">
        <v>1100546639</v>
      </c>
      <c r="G159">
        <v>2.1049999999999999E-2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-0.71631205673758913</v>
      </c>
      <c r="Q159">
        <f t="shared" ref="Q159" si="771">F159*P159</f>
        <v>-788334826.51773107</v>
      </c>
      <c r="R159">
        <f t="shared" ref="R159" si="772">R160+Q159</f>
        <v>29820674773.199425</v>
      </c>
      <c r="S159">
        <f t="shared" ref="S159" si="773">R159/100000</f>
        <v>298206.74773199426</v>
      </c>
      <c r="T159">
        <f t="shared" ref="T159" si="774">S159/1000</f>
        <v>298.20674773199426</v>
      </c>
    </row>
    <row r="160" spans="1:20" x14ac:dyDescent="0.25">
      <c r="A160" s="5">
        <v>44433</v>
      </c>
      <c r="B160">
        <v>2.0382000000000001E-2</v>
      </c>
      <c r="C160">
        <v>2.3310999999999998E-2</v>
      </c>
      <c r="D160">
        <v>1.9923E-2</v>
      </c>
      <c r="E160">
        <v>2.2971999999999999E-2</v>
      </c>
      <c r="F160">
        <v>1938513271</v>
      </c>
      <c r="G160">
        <v>2.2971999999999999E-2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0.79988193624557313</v>
      </c>
      <c r="Q160">
        <f t="shared" ref="Q160" si="776">F160*P160</f>
        <v>1550581748.6452193</v>
      </c>
      <c r="R160">
        <f t="shared" ref="R160" si="777">R161+Q160</f>
        <v>30609009599.717155</v>
      </c>
      <c r="S160">
        <f t="shared" ref="S160" si="778">R160/100000</f>
        <v>306090.09599717153</v>
      </c>
      <c r="T160">
        <f t="shared" ref="T160" si="779">S160/1000</f>
        <v>306.09009599717155</v>
      </c>
    </row>
    <row r="161" spans="1:20" x14ac:dyDescent="0.25">
      <c r="A161" s="5">
        <v>44432</v>
      </c>
      <c r="B161">
        <v>2.0895E-2</v>
      </c>
      <c r="C161">
        <v>2.3699999999999999E-2</v>
      </c>
      <c r="D161">
        <v>1.9872000000000001E-2</v>
      </c>
      <c r="E161">
        <v>2.0369999999999999E-2</v>
      </c>
      <c r="F161">
        <v>2815663609</v>
      </c>
      <c r="G161">
        <v>2.0369999999999999E-2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-0.73981191222570597</v>
      </c>
      <c r="Q161">
        <f t="shared" ref="Q161" si="781">F161*P161</f>
        <v>-2083061478.7586224</v>
      </c>
      <c r="R161">
        <f t="shared" ref="R161" si="782">R162+Q161</f>
        <v>29058427851.071938</v>
      </c>
      <c r="S161">
        <f t="shared" ref="S161" si="783">R161/100000</f>
        <v>290584.27851071936</v>
      </c>
      <c r="T161">
        <f t="shared" ref="T161" si="784">S161/1000</f>
        <v>290.58427851071934</v>
      </c>
    </row>
    <row r="162" spans="1:20" x14ac:dyDescent="0.25">
      <c r="A162" s="5">
        <v>44431</v>
      </c>
      <c r="B162">
        <v>1.9342999999999999E-2</v>
      </c>
      <c r="C162">
        <v>2.1248E-2</v>
      </c>
      <c r="D162">
        <v>1.9078000000000001E-2</v>
      </c>
      <c r="E162">
        <v>2.0895E-2</v>
      </c>
      <c r="F162">
        <v>1359271073</v>
      </c>
      <c r="G162">
        <v>2.0895E-2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0.6746543778801849</v>
      </c>
      <c r="Q162">
        <f t="shared" ref="Q162" si="786">F162*P162</f>
        <v>917038180.12534642</v>
      </c>
      <c r="R162">
        <f t="shared" ref="R162" si="787">R163+Q162</f>
        <v>31141489329.830559</v>
      </c>
      <c r="S162">
        <f t="shared" ref="S162" si="788">R162/100000</f>
        <v>311414.89329830557</v>
      </c>
      <c r="T162">
        <f t="shared" ref="T162" si="789">S162/1000</f>
        <v>311.41489329830557</v>
      </c>
    </row>
    <row r="163" spans="1:20" x14ac:dyDescent="0.25">
      <c r="A163" s="5">
        <v>44430</v>
      </c>
      <c r="B163">
        <v>1.8568000000000001E-2</v>
      </c>
      <c r="C163">
        <v>1.95E-2</v>
      </c>
      <c r="D163">
        <v>1.8426999999999999E-2</v>
      </c>
      <c r="E163">
        <v>1.8769999999999998E-2</v>
      </c>
      <c r="F163">
        <v>182427428</v>
      </c>
      <c r="G163">
        <v>1.8769999999999998E-2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-0.36067101584343109</v>
      </c>
      <c r="Q163">
        <f t="shared" ref="Q163" si="791">F163*P163</f>
        <v>-65796285.774464384</v>
      </c>
      <c r="R163">
        <f t="shared" ref="R163" si="792">R164+Q163</f>
        <v>30224451149.705212</v>
      </c>
      <c r="S163">
        <f t="shared" ref="S163" si="793">R163/100000</f>
        <v>302244.5114970521</v>
      </c>
      <c r="T163">
        <f t="shared" ref="T163" si="794">S163/1000</f>
        <v>302.24451149705209</v>
      </c>
    </row>
    <row r="164" spans="1:20" x14ac:dyDescent="0.25">
      <c r="A164" s="5">
        <v>44429</v>
      </c>
      <c r="B164">
        <v>1.8995000000000001E-2</v>
      </c>
      <c r="C164">
        <v>1.9851000000000001E-2</v>
      </c>
      <c r="D164">
        <v>1.8252999999999998E-2</v>
      </c>
      <c r="E164">
        <v>1.8571000000000001E-2</v>
      </c>
      <c r="F164">
        <v>690630577</v>
      </c>
      <c r="G164">
        <v>1.8571000000000001E-2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-0.60200250312890879</v>
      </c>
      <c r="Q164">
        <f t="shared" ref="Q164" si="796">F164*P164</f>
        <v>-415761336.0913626</v>
      </c>
      <c r="R164">
        <f t="shared" ref="R164" si="797">R165+Q164</f>
        <v>30290247435.479675</v>
      </c>
      <c r="S164">
        <f t="shared" ref="S164" si="798">R164/100000</f>
        <v>302902.47435479675</v>
      </c>
      <c r="T164">
        <f t="shared" ref="T164" si="799">S164/1000</f>
        <v>302.90247435479677</v>
      </c>
    </row>
    <row r="165" spans="1:20" x14ac:dyDescent="0.25">
      <c r="A165" s="5">
        <v>44428</v>
      </c>
      <c r="B165">
        <v>1.8319999999999999E-2</v>
      </c>
      <c r="C165">
        <v>1.9421000000000001E-2</v>
      </c>
      <c r="D165">
        <v>1.8145000000000001E-2</v>
      </c>
      <c r="E165">
        <v>1.9029000000000001E-2</v>
      </c>
      <c r="F165">
        <v>870374439</v>
      </c>
      <c r="G165">
        <v>1.9029000000000001E-2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0.38557993730407497</v>
      </c>
      <c r="Q165">
        <f t="shared" ref="Q165" si="801">F165*P165</f>
        <v>335598921.62068945</v>
      </c>
      <c r="R165">
        <f t="shared" ref="R165" si="802">R166+Q165</f>
        <v>30706008771.571037</v>
      </c>
      <c r="S165">
        <f t="shared" ref="S165" si="803">R165/100000</f>
        <v>307060.0877157104</v>
      </c>
      <c r="T165">
        <f t="shared" ref="T165" si="804">S165/1000</f>
        <v>307.06008771571038</v>
      </c>
    </row>
    <row r="166" spans="1:20" x14ac:dyDescent="0.25">
      <c r="A166" s="5">
        <v>44427</v>
      </c>
      <c r="B166">
        <v>1.7315000000000001E-2</v>
      </c>
      <c r="C166">
        <v>1.8319999999999999E-2</v>
      </c>
      <c r="D166">
        <v>1.6670999999999998E-2</v>
      </c>
      <c r="E166">
        <v>1.8318999999999998E-2</v>
      </c>
      <c r="F166">
        <v>808312871</v>
      </c>
      <c r="G166">
        <v>1.8318999999999998E-2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0.99878714372346755</v>
      </c>
      <c r="Q166">
        <f t="shared" ref="Q166" si="806">F166*P166</f>
        <v>807332503.66100574</v>
      </c>
      <c r="R166">
        <f t="shared" ref="R166" si="807">R167+Q166</f>
        <v>30370409849.950348</v>
      </c>
      <c r="S166">
        <f t="shared" ref="S166" si="808">R166/100000</f>
        <v>303704.09849950345</v>
      </c>
      <c r="T166">
        <f t="shared" ref="T166" si="809">S166/1000</f>
        <v>303.70409849950346</v>
      </c>
    </row>
    <row r="167" spans="1:20" x14ac:dyDescent="0.25">
      <c r="A167" s="5">
        <v>44426</v>
      </c>
      <c r="B167">
        <v>1.7850000000000001E-2</v>
      </c>
      <c r="C167">
        <v>1.8224000000000001E-2</v>
      </c>
      <c r="D167">
        <v>1.6754000000000002E-2</v>
      </c>
      <c r="E167">
        <v>1.7301E-2</v>
      </c>
      <c r="F167">
        <v>969079251</v>
      </c>
      <c r="G167">
        <v>1.7301E-2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-0.25578231292517112</v>
      </c>
      <c r="Q167">
        <f t="shared" ref="Q167" si="811">F167*P167</f>
        <v>-247873332.22857246</v>
      </c>
      <c r="R167">
        <f t="shared" ref="R167" si="812">R168+Q167</f>
        <v>29563077346.289341</v>
      </c>
      <c r="S167">
        <f t="shared" ref="S167" si="813">R167/100000</f>
        <v>295630.77346289338</v>
      </c>
      <c r="T167">
        <f t="shared" ref="T167" si="814">S167/1000</f>
        <v>295.63077346289339</v>
      </c>
    </row>
    <row r="168" spans="1:20" x14ac:dyDescent="0.25">
      <c r="A168" s="5">
        <v>44425</v>
      </c>
      <c r="B168">
        <v>1.9477999999999999E-2</v>
      </c>
      <c r="C168">
        <v>1.9966999999999999E-2</v>
      </c>
      <c r="D168">
        <v>1.7500000000000002E-2</v>
      </c>
      <c r="E168">
        <v>1.7852E-2</v>
      </c>
      <c r="F168">
        <v>1385893061</v>
      </c>
      <c r="G168">
        <v>1.7852E-2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-0.71463315768139557</v>
      </c>
      <c r="Q168">
        <f t="shared" ref="Q168" si="816">F168*P168</f>
        <v>-990405134.39116502</v>
      </c>
      <c r="R168">
        <f t="shared" ref="R168" si="817">R169+Q168</f>
        <v>29810950678.517914</v>
      </c>
      <c r="S168">
        <f t="shared" ref="S168" si="818">R168/100000</f>
        <v>298109.50678517914</v>
      </c>
      <c r="T168">
        <f t="shared" ref="T168" si="819">S168/1000</f>
        <v>298.10950678517912</v>
      </c>
    </row>
    <row r="169" spans="1:20" x14ac:dyDescent="0.25">
      <c r="A169" s="5">
        <v>44424</v>
      </c>
      <c r="B169">
        <v>1.9602000000000001E-2</v>
      </c>
      <c r="C169">
        <v>2.1000000000000001E-2</v>
      </c>
      <c r="D169">
        <v>1.8726E-2</v>
      </c>
      <c r="E169">
        <v>1.9481999999999999E-2</v>
      </c>
      <c r="F169">
        <v>1380120131</v>
      </c>
      <c r="G169">
        <v>1.9481999999999999E-2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-0.33509234828496115</v>
      </c>
      <c r="Q169">
        <f t="shared" ref="Q169" si="821">F169*P169</f>
        <v>-462467695.61213821</v>
      </c>
      <c r="R169">
        <f t="shared" ref="R169" si="822">R170+Q169</f>
        <v>30801355812.909081</v>
      </c>
      <c r="S169">
        <f t="shared" ref="S169" si="823">R169/100000</f>
        <v>308013.55812909082</v>
      </c>
      <c r="T169">
        <f t="shared" ref="T169" si="824">S169/1000</f>
        <v>308.01355812909082</v>
      </c>
    </row>
    <row r="170" spans="1:20" x14ac:dyDescent="0.25">
      <c r="A170" s="5">
        <v>44423</v>
      </c>
      <c r="B170">
        <v>1.9455E-2</v>
      </c>
      <c r="C170">
        <v>1.9809E-2</v>
      </c>
      <c r="D170">
        <v>1.8182E-2</v>
      </c>
      <c r="E170">
        <v>1.9618E-2</v>
      </c>
      <c r="F170">
        <v>653234764</v>
      </c>
      <c r="G170">
        <v>1.9618E-2</v>
      </c>
      <c r="L170" t="s">
        <v>7</v>
      </c>
      <c r="M170" t="s">
        <v>8</v>
      </c>
      <c r="N170" t="s">
        <v>7</v>
      </c>
      <c r="P170">
        <f t="shared" ref="P170" si="825">IF(C170=D170,0,((E170-D170)-(C170-E170))/(C170-D170))</f>
        <v>0.76521204671173915</v>
      </c>
      <c r="Q170">
        <f t="shared" ref="Q170" si="826">F170*P170</f>
        <v>499863110.74369991</v>
      </c>
      <c r="R170">
        <f t="shared" ref="R170" si="827">R171+Q170</f>
        <v>31263823508.521217</v>
      </c>
      <c r="S170">
        <f t="shared" ref="S170" si="828">R170/100000</f>
        <v>312638.23508521216</v>
      </c>
      <c r="T170">
        <f t="shared" ref="T170" si="829">S170/1000</f>
        <v>312.63823508521216</v>
      </c>
    </row>
    <row r="171" spans="1:20" x14ac:dyDescent="0.25">
      <c r="A171" s="5">
        <v>44422</v>
      </c>
      <c r="B171">
        <v>1.9103999999999999E-2</v>
      </c>
      <c r="C171">
        <v>1.9685000000000001E-2</v>
      </c>
      <c r="D171">
        <v>1.8308000000000001E-2</v>
      </c>
      <c r="E171">
        <v>1.9446000000000001E-2</v>
      </c>
      <c r="F171">
        <v>818311642</v>
      </c>
      <c r="G171">
        <v>1.9446000000000001E-2</v>
      </c>
      <c r="L171" t="s">
        <v>8</v>
      </c>
      <c r="M171" t="s">
        <v>8</v>
      </c>
      <c r="N171" t="s">
        <v>7</v>
      </c>
      <c r="P171">
        <f t="shared" ref="P171" si="830">IF(C171=D171,0,((E171-D171)-(C171-E171))/(C171-D171))</f>
        <v>0.65286855482933959</v>
      </c>
      <c r="Q171">
        <f t="shared" ref="Q171" si="831">F171*P171</f>
        <v>534249939.11256391</v>
      </c>
      <c r="R171">
        <f t="shared" ref="R171" si="832">R172+Q171</f>
        <v>30763960397.777519</v>
      </c>
      <c r="S171">
        <f t="shared" ref="S171" si="833">R171/100000</f>
        <v>307639.6039777752</v>
      </c>
      <c r="T171">
        <f t="shared" ref="T171" si="834">S171/1000</f>
        <v>307.63960397777521</v>
      </c>
    </row>
    <row r="172" spans="1:20" x14ac:dyDescent="0.25">
      <c r="A172" s="5">
        <v>44421</v>
      </c>
      <c r="B172">
        <v>1.7663999999999999E-2</v>
      </c>
      <c r="C172">
        <v>1.9147999999999998E-2</v>
      </c>
      <c r="D172">
        <v>1.7520000000000001E-2</v>
      </c>
      <c r="E172">
        <v>1.9103999999999999E-2</v>
      </c>
      <c r="F172">
        <v>709025798</v>
      </c>
      <c r="G172">
        <v>1.9103999999999999E-2</v>
      </c>
      <c r="L172" t="s">
        <v>8</v>
      </c>
      <c r="M172" t="s">
        <v>8</v>
      </c>
      <c r="N172" t="s">
        <v>7</v>
      </c>
      <c r="P172">
        <f t="shared" ref="P172" si="835">IF(C172=D172,0,((E172-D172)-(C172-E172))/(C172-D172))</f>
        <v>0.94594594594594716</v>
      </c>
      <c r="Q172">
        <f t="shared" ref="Q172" si="836">F172*P172</f>
        <v>670700079.18919003</v>
      </c>
      <c r="R172">
        <f t="shared" ref="R172" si="837">R173+Q172</f>
        <v>30229710458.664955</v>
      </c>
      <c r="S172">
        <f t="shared" ref="S172" si="838">R172/100000</f>
        <v>302297.10458664957</v>
      </c>
      <c r="T172">
        <f t="shared" ref="T172" si="839">S172/1000</f>
        <v>302.2971045866496</v>
      </c>
    </row>
    <row r="173" spans="1:20" x14ac:dyDescent="0.25">
      <c r="A173" s="5">
        <v>44420</v>
      </c>
      <c r="B173">
        <v>1.8245999999999998E-2</v>
      </c>
      <c r="C173">
        <v>1.9108E-2</v>
      </c>
      <c r="D173">
        <v>1.6861000000000001E-2</v>
      </c>
      <c r="E173">
        <v>1.7668E-2</v>
      </c>
      <c r="F173">
        <v>822700232</v>
      </c>
      <c r="G173">
        <v>1.7668E-2</v>
      </c>
      <c r="L173" t="s">
        <v>7</v>
      </c>
      <c r="M173" t="s">
        <v>8</v>
      </c>
      <c r="N173" t="s">
        <v>7</v>
      </c>
      <c r="P173">
        <f t="shared" ref="P173" si="840">IF(C173=D173,0,((E173-D173)-(C173-E173))/(C173-D173))</f>
        <v>-0.28170894526034795</v>
      </c>
      <c r="Q173">
        <f t="shared" ref="Q173" si="841">F173*P173</f>
        <v>-231762014.62216356</v>
      </c>
      <c r="R173">
        <f t="shared" ref="R173" si="842">R174+Q173</f>
        <v>29559010379.475765</v>
      </c>
      <c r="S173">
        <f t="shared" ref="S173" si="843">R173/100000</f>
        <v>295590.10379475763</v>
      </c>
      <c r="T173">
        <f t="shared" ref="T173" si="844">S173/1000</f>
        <v>295.59010379475762</v>
      </c>
    </row>
    <row r="174" spans="1:20" x14ac:dyDescent="0.25">
      <c r="A174" s="5">
        <v>44419</v>
      </c>
      <c r="B174">
        <v>1.7276E-2</v>
      </c>
      <c r="C174">
        <v>1.9099999999999999E-2</v>
      </c>
      <c r="D174">
        <v>1.7232999999999998E-2</v>
      </c>
      <c r="E174">
        <v>1.8277999999999999E-2</v>
      </c>
      <c r="F174">
        <v>1087282324</v>
      </c>
      <c r="G174">
        <v>1.8277999999999999E-2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0.11944295661489068</v>
      </c>
      <c r="Q174">
        <f t="shared" ref="Q174" si="846">F174*P174</f>
        <v>129868215.45366952</v>
      </c>
      <c r="R174">
        <f t="shared" ref="R174" si="847">R175+Q174</f>
        <v>29790772394.097927</v>
      </c>
      <c r="S174">
        <f t="shared" ref="S174" si="848">R174/100000</f>
        <v>297907.72394097928</v>
      </c>
      <c r="T174">
        <f t="shared" ref="T174" si="849">S174/1000</f>
        <v>297.90772394097928</v>
      </c>
    </row>
    <row r="175" spans="1:20" x14ac:dyDescent="0.25">
      <c r="A175" s="5">
        <v>44418</v>
      </c>
      <c r="B175">
        <v>1.7003999999999998E-2</v>
      </c>
      <c r="C175">
        <v>1.7500000000000002E-2</v>
      </c>
      <c r="D175">
        <v>1.6369000000000002E-2</v>
      </c>
      <c r="E175">
        <v>1.7274999999999999E-2</v>
      </c>
      <c r="F175">
        <v>734254507</v>
      </c>
      <c r="G175">
        <v>1.7274999999999999E-2</v>
      </c>
      <c r="L175" t="s">
        <v>8</v>
      </c>
      <c r="M175" t="s">
        <v>8</v>
      </c>
      <c r="N175" t="s">
        <v>7</v>
      </c>
      <c r="P175">
        <f t="shared" ref="P175" si="850">IF(C175=D175,0,((E175-D175)-(C175-E175))/(C175-D175))</f>
        <v>0.60212201591511416</v>
      </c>
      <c r="Q175">
        <f t="shared" ref="Q175" si="851">F175*P175</f>
        <v>442110803.94959831</v>
      </c>
      <c r="R175">
        <f t="shared" ref="R175" si="852">R176+Q175</f>
        <v>29660904178.644257</v>
      </c>
      <c r="S175">
        <f t="shared" ref="S175" si="853">R175/100000</f>
        <v>296609.04178644257</v>
      </c>
      <c r="T175">
        <f t="shared" ref="T175" si="854">S175/1000</f>
        <v>296.60904178644256</v>
      </c>
    </row>
    <row r="176" spans="1:20" x14ac:dyDescent="0.25">
      <c r="A176" s="5">
        <v>44417</v>
      </c>
      <c r="B176">
        <v>1.6396999999999998E-2</v>
      </c>
      <c r="C176">
        <v>1.7187000000000001E-2</v>
      </c>
      <c r="D176">
        <v>1.5429E-2</v>
      </c>
      <c r="E176">
        <v>1.6983999999999999E-2</v>
      </c>
      <c r="F176">
        <v>600862242</v>
      </c>
      <c r="G176">
        <v>1.6983999999999999E-2</v>
      </c>
      <c r="L176" t="s">
        <v>7</v>
      </c>
      <c r="M176" t="s">
        <v>8</v>
      </c>
      <c r="N176" t="s">
        <v>7</v>
      </c>
      <c r="P176">
        <f t="shared" ref="P176" si="855">IF(C176=D176,0,((E176-D176)-(C176-E176))/(C176-D176))</f>
        <v>0.76905574516495823</v>
      </c>
      <c r="Q176">
        <f t="shared" ref="Q176" si="856">F176*P176</f>
        <v>462096559.26279747</v>
      </c>
      <c r="R176">
        <f t="shared" ref="R176" si="857">R177+Q176</f>
        <v>29218793374.694656</v>
      </c>
      <c r="S176">
        <f t="shared" ref="S176" si="858">R176/100000</f>
        <v>292187.93374694657</v>
      </c>
      <c r="T176">
        <f t="shared" ref="T176" si="859">S176/1000</f>
        <v>292.18793374694656</v>
      </c>
    </row>
    <row r="177" spans="1:20" x14ac:dyDescent="0.25">
      <c r="A177" s="5">
        <v>44416</v>
      </c>
      <c r="B177">
        <v>1.7576999999999999E-2</v>
      </c>
      <c r="C177">
        <v>1.7644E-2</v>
      </c>
      <c r="D177">
        <v>1.5914000000000001E-2</v>
      </c>
      <c r="E177">
        <v>1.6399E-2</v>
      </c>
      <c r="F177">
        <v>661493206</v>
      </c>
      <c r="G177">
        <v>1.6399E-2</v>
      </c>
      <c r="L177" t="s">
        <v>7</v>
      </c>
      <c r="M177" t="s">
        <v>8</v>
      </c>
      <c r="N177" t="s">
        <v>7</v>
      </c>
      <c r="P177">
        <f t="shared" ref="P177" si="860">IF(C177=D177,0,((E177-D177)-(C177-E177))/(C177-D177))</f>
        <v>-0.43930635838150334</v>
      </c>
      <c r="Q177">
        <f t="shared" ref="Q177" si="861">F177*P177</f>
        <v>-290598171.4219656</v>
      </c>
      <c r="R177">
        <f t="shared" ref="R177" si="862">R178+Q177</f>
        <v>28756696815.431858</v>
      </c>
      <c r="S177">
        <f t="shared" ref="S177" si="863">R177/100000</f>
        <v>287566.96815431857</v>
      </c>
      <c r="T177">
        <f t="shared" ref="T177" si="864">S177/1000</f>
        <v>287.56696815431854</v>
      </c>
    </row>
    <row r="178" spans="1:20" x14ac:dyDescent="0.25">
      <c r="A178" s="5">
        <v>44415</v>
      </c>
      <c r="B178">
        <v>1.7219000000000002E-2</v>
      </c>
      <c r="C178">
        <v>1.7819999999999999E-2</v>
      </c>
      <c r="D178">
        <v>1.6583000000000001E-2</v>
      </c>
      <c r="E178">
        <v>1.7573999999999999E-2</v>
      </c>
      <c r="F178">
        <v>955230740</v>
      </c>
      <c r="G178">
        <v>1.7573999999999999E-2</v>
      </c>
      <c r="L178" t="s">
        <v>8</v>
      </c>
      <c r="M178" t="s">
        <v>8</v>
      </c>
      <c r="N178" t="s">
        <v>7</v>
      </c>
      <c r="P178">
        <f t="shared" ref="P178" si="865">IF(C178=D178,0,((E178-D178)-(C178-E178))/(C178-D178))</f>
        <v>0.60226354082457556</v>
      </c>
      <c r="Q178">
        <f t="shared" ref="Q178" si="866">F178*P178</f>
        <v>575300647.77687955</v>
      </c>
      <c r="R178">
        <f t="shared" ref="R178" si="867">R179+Q178</f>
        <v>29047294986.853825</v>
      </c>
      <c r="S178">
        <f t="shared" ref="S178" si="868">R178/100000</f>
        <v>290472.94986853824</v>
      </c>
      <c r="T178">
        <f t="shared" ref="T178" si="869">S178/1000</f>
        <v>290.47294986853825</v>
      </c>
    </row>
    <row r="179" spans="1:20" x14ac:dyDescent="0.25">
      <c r="A179" s="5">
        <v>44414</v>
      </c>
      <c r="B179">
        <v>1.6147000000000002E-2</v>
      </c>
      <c r="C179">
        <v>1.7417999999999999E-2</v>
      </c>
      <c r="D179">
        <v>1.5739E-2</v>
      </c>
      <c r="E179">
        <v>1.7219000000000002E-2</v>
      </c>
      <c r="F179">
        <v>846056361</v>
      </c>
      <c r="G179">
        <v>1.7219000000000002E-2</v>
      </c>
      <c r="L179" t="s">
        <v>8</v>
      </c>
      <c r="M179" t="s">
        <v>7</v>
      </c>
      <c r="N179" t="s">
        <v>7</v>
      </c>
      <c r="P179">
        <f t="shared" ref="P179" si="870">IF(C179=D179,0,((E179-D179)-(C179-E179))/(C179-D179))</f>
        <v>0.7629541393686744</v>
      </c>
      <c r="Q179">
        <f t="shared" ref="Q179" si="871">F179*P179</f>
        <v>645502202.76414752</v>
      </c>
      <c r="R179">
        <f t="shared" ref="R179" si="872">R180+Q179</f>
        <v>28471994339.076946</v>
      </c>
      <c r="S179">
        <f t="shared" ref="S179" si="873">R179/100000</f>
        <v>284719.94339076948</v>
      </c>
      <c r="T179">
        <f t="shared" ref="T179" si="874">S179/1000</f>
        <v>284.71994339076946</v>
      </c>
    </row>
    <row r="180" spans="1:20" x14ac:dyDescent="0.25">
      <c r="A180" s="5">
        <v>44413</v>
      </c>
      <c r="B180">
        <v>1.5883000000000001E-2</v>
      </c>
      <c r="C180">
        <v>1.6324000000000002E-2</v>
      </c>
      <c r="D180">
        <v>1.5076000000000001E-2</v>
      </c>
      <c r="E180">
        <v>1.6157999999999999E-2</v>
      </c>
      <c r="F180">
        <v>737074471</v>
      </c>
      <c r="G180">
        <v>1.6157999999999999E-2</v>
      </c>
      <c r="L180" t="s">
        <v>8</v>
      </c>
      <c r="M180" t="s">
        <v>7</v>
      </c>
      <c r="N180" t="s">
        <v>7</v>
      </c>
      <c r="P180">
        <f t="shared" ref="P180" si="875">IF(C180=D180,0,((E180-D180)-(C180-E180))/(C180-D180))</f>
        <v>0.73397435897435448</v>
      </c>
      <c r="Q180">
        <f t="shared" ref="Q180" si="876">F180*P180</f>
        <v>540993762.36858642</v>
      </c>
      <c r="R180">
        <f t="shared" ref="R180" si="877">R181+Q180</f>
        <v>27826492136.312798</v>
      </c>
      <c r="S180">
        <f t="shared" ref="S180" si="878">R180/100000</f>
        <v>278264.921363128</v>
      </c>
      <c r="T180">
        <f t="shared" ref="T180" si="879">S180/1000</f>
        <v>278.264921363128</v>
      </c>
    </row>
    <row r="181" spans="1:20" x14ac:dyDescent="0.25">
      <c r="A181" s="5">
        <v>44412</v>
      </c>
      <c r="B181">
        <v>1.498E-2</v>
      </c>
      <c r="C181">
        <v>1.5987999999999999E-2</v>
      </c>
      <c r="D181">
        <v>1.4938E-2</v>
      </c>
      <c r="E181">
        <v>1.5883999999999999E-2</v>
      </c>
      <c r="F181">
        <v>827934017</v>
      </c>
      <c r="G181">
        <v>1.5883999999999999E-2</v>
      </c>
      <c r="L181" t="s">
        <v>8</v>
      </c>
      <c r="M181" t="s">
        <v>7</v>
      </c>
      <c r="N181" t="s">
        <v>7</v>
      </c>
      <c r="P181">
        <f t="shared" ref="P181" si="880">IF(C181=D181,0,((E181-D181)-(C181-E181))/(C181-D181))</f>
        <v>0.80190476190476179</v>
      </c>
      <c r="Q181">
        <f t="shared" ref="Q181" si="881">F181*P181</f>
        <v>663924230.77523804</v>
      </c>
      <c r="R181">
        <f t="shared" ref="R181" si="882">R182+Q181</f>
        <v>27285498373.94421</v>
      </c>
      <c r="S181">
        <f t="shared" ref="S181" si="883">R181/100000</f>
        <v>272854.98373944208</v>
      </c>
      <c r="T181">
        <f t="shared" ref="T181" si="884">S181/1000</f>
        <v>272.85498373944205</v>
      </c>
    </row>
    <row r="182" spans="1:20" x14ac:dyDescent="0.25">
      <c r="A182" s="5">
        <v>44411</v>
      </c>
      <c r="B182">
        <v>1.5921999999999999E-2</v>
      </c>
      <c r="C182">
        <v>1.5968E-2</v>
      </c>
      <c r="D182">
        <v>1.4527E-2</v>
      </c>
      <c r="E182">
        <v>1.4976E-2</v>
      </c>
      <c r="F182">
        <v>990058838</v>
      </c>
      <c r="G182">
        <v>1.4976E-2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-0.3768216516308121</v>
      </c>
      <c r="Q182">
        <f t="shared" ref="Q182" si="886">F182*P182</f>
        <v>-373075606.54684263</v>
      </c>
      <c r="R182">
        <f t="shared" ref="R182" si="887">R183+Q182</f>
        <v>26621574143.168972</v>
      </c>
      <c r="S182">
        <f t="shared" ref="S182" si="888">R182/100000</f>
        <v>266215.7414316897</v>
      </c>
      <c r="T182">
        <f t="shared" ref="T182" si="889">S182/1000</f>
        <v>266.21574143168971</v>
      </c>
    </row>
    <row r="183" spans="1:20" x14ac:dyDescent="0.25">
      <c r="A183" s="5">
        <v>44410</v>
      </c>
      <c r="B183">
        <v>1.5837E-2</v>
      </c>
      <c r="C183">
        <v>1.6494999999999999E-2</v>
      </c>
      <c r="D183">
        <v>1.5363E-2</v>
      </c>
      <c r="E183">
        <v>1.592E-2</v>
      </c>
      <c r="F183">
        <v>1720748207</v>
      </c>
      <c r="G183">
        <v>1.592E-2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-1.5901060070670433E-2</v>
      </c>
      <c r="Q183">
        <f t="shared" ref="Q183" si="891">F183*P183</f>
        <v>-27361720.606005441</v>
      </c>
      <c r="R183">
        <f t="shared" ref="R183" si="892">R184+Q183</f>
        <v>26994649749.715816</v>
      </c>
      <c r="S183">
        <f t="shared" ref="S183" si="893">R183/100000</f>
        <v>269946.49749715818</v>
      </c>
      <c r="T183">
        <f t="shared" ref="T183" si="894">S183/1000</f>
        <v>269.94649749715819</v>
      </c>
    </row>
    <row r="184" spans="1:20" x14ac:dyDescent="0.25">
      <c r="A184" s="5">
        <v>44409</v>
      </c>
      <c r="B184">
        <v>1.4988E-2</v>
      </c>
      <c r="C184">
        <v>2.0337999999999998E-2</v>
      </c>
      <c r="D184">
        <v>1.4964E-2</v>
      </c>
      <c r="E184">
        <v>1.5845999999999999E-2</v>
      </c>
      <c r="F184">
        <v>4452050369</v>
      </c>
      <c r="G184">
        <v>1.5845999999999999E-2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-0.67175288425753654</v>
      </c>
      <c r="Q184">
        <f t="shared" ref="Q184" si="896">F184*P184</f>
        <v>-2990677676.23558</v>
      </c>
      <c r="R184">
        <f t="shared" ref="R184" si="897">R185+Q184</f>
        <v>27022011470.321823</v>
      </c>
      <c r="S184">
        <f t="shared" ref="S184" si="898">R184/100000</f>
        <v>270220.11470321822</v>
      </c>
      <c r="T184">
        <f t="shared" ref="T184" si="899">S184/1000</f>
        <v>270.2201147032182</v>
      </c>
    </row>
    <row r="185" spans="1:20" x14ac:dyDescent="0.25">
      <c r="A185" s="5">
        <v>44408</v>
      </c>
      <c r="B185">
        <v>1.4050999999999999E-2</v>
      </c>
      <c r="C185">
        <v>1.5447000000000001E-2</v>
      </c>
      <c r="D185">
        <v>1.3769E-2</v>
      </c>
      <c r="E185">
        <v>1.4978E-2</v>
      </c>
      <c r="F185">
        <v>778972615</v>
      </c>
      <c r="G185">
        <v>1.4978E-2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0.44100119189511267</v>
      </c>
      <c r="Q185">
        <f t="shared" ref="Q185" si="901">F185*P185</f>
        <v>343527851.66865271</v>
      </c>
      <c r="R185">
        <f t="shared" ref="R185" si="902">R186+Q185</f>
        <v>30012689146.557404</v>
      </c>
      <c r="S185">
        <f t="shared" ref="S185" si="903">R185/100000</f>
        <v>300126.89146557404</v>
      </c>
      <c r="T185">
        <f t="shared" ref="T185" si="904">S185/1000</f>
        <v>300.12689146557403</v>
      </c>
    </row>
    <row r="186" spans="1:20" x14ac:dyDescent="0.25">
      <c r="A186" s="5">
        <v>44407</v>
      </c>
      <c r="B186">
        <v>1.3465E-2</v>
      </c>
      <c r="C186">
        <v>1.423E-2</v>
      </c>
      <c r="D186">
        <v>1.2801E-2</v>
      </c>
      <c r="E186">
        <v>1.4029E-2</v>
      </c>
      <c r="F186">
        <v>817429461</v>
      </c>
      <c r="G186">
        <v>1.4029E-2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0.71868439468159573</v>
      </c>
      <c r="Q186">
        <f t="shared" ref="Q186" si="906">F186*P186</f>
        <v>587473797.3736881</v>
      </c>
      <c r="R186">
        <f t="shared" ref="R186" si="907">R187+Q186</f>
        <v>29669161294.888752</v>
      </c>
      <c r="S186">
        <f t="shared" ref="S186" si="908">R186/100000</f>
        <v>296691.61294888752</v>
      </c>
      <c r="T186">
        <f t="shared" ref="T186" si="909">S186/1000</f>
        <v>296.6916129488875</v>
      </c>
    </row>
    <row r="187" spans="1:20" x14ac:dyDescent="0.25">
      <c r="A187" s="5">
        <v>44406</v>
      </c>
      <c r="B187">
        <v>1.2743000000000001E-2</v>
      </c>
      <c r="C187">
        <v>1.3527000000000001E-2</v>
      </c>
      <c r="D187">
        <v>1.2282E-2</v>
      </c>
      <c r="E187">
        <v>1.3459E-2</v>
      </c>
      <c r="F187">
        <v>650351039</v>
      </c>
      <c r="G187">
        <v>1.3459E-2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0.89076305220883489</v>
      </c>
      <c r="Q187">
        <f t="shared" ref="Q187" si="911">F187*P187</f>
        <v>579308676.506827</v>
      </c>
      <c r="R187">
        <f t="shared" ref="R187" si="912">R188+Q187</f>
        <v>29081687497.515064</v>
      </c>
      <c r="S187">
        <f t="shared" ref="S187" si="913">R187/100000</f>
        <v>290816.87497515063</v>
      </c>
      <c r="T187">
        <f t="shared" ref="T187" si="914">S187/1000</f>
        <v>290.81687497515065</v>
      </c>
    </row>
    <row r="188" spans="1:20" x14ac:dyDescent="0.25">
      <c r="A188" s="5">
        <v>44405</v>
      </c>
      <c r="B188">
        <v>1.2432E-2</v>
      </c>
      <c r="C188">
        <v>1.3134E-2</v>
      </c>
      <c r="D188">
        <v>1.2168999999999999E-2</v>
      </c>
      <c r="E188">
        <v>1.2737999999999999E-2</v>
      </c>
      <c r="F188">
        <v>778257224</v>
      </c>
      <c r="G188">
        <v>1.2737999999999999E-2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0.17927461139896314</v>
      </c>
      <c r="Q188">
        <f t="shared" ref="Q188" si="916">F188*P188</f>
        <v>139521761.40103582</v>
      </c>
      <c r="R188">
        <f t="shared" ref="R188" si="917">R189+Q188</f>
        <v>28502378821.008236</v>
      </c>
      <c r="S188">
        <f t="shared" ref="S188" si="918">R188/100000</f>
        <v>285023.78821008233</v>
      </c>
      <c r="T188">
        <f t="shared" ref="T188" si="919">S188/1000</f>
        <v>285.02378821008233</v>
      </c>
    </row>
    <row r="189" spans="1:20" x14ac:dyDescent="0.25">
      <c r="A189" s="5">
        <v>44404</v>
      </c>
      <c r="B189">
        <v>1.1958999999999999E-2</v>
      </c>
      <c r="C189">
        <v>1.2468E-2</v>
      </c>
      <c r="D189">
        <v>1.1328E-2</v>
      </c>
      <c r="E189">
        <v>1.2458E-2</v>
      </c>
      <c r="F189">
        <v>586703266</v>
      </c>
      <c r="G189">
        <v>1.2458E-2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0.98245614035087792</v>
      </c>
      <c r="Q189">
        <f t="shared" ref="Q189" si="921">F189*P189</f>
        <v>576410226.24561441</v>
      </c>
      <c r="R189">
        <f t="shared" ref="R189" si="922">R190+Q189</f>
        <v>28362857059.607201</v>
      </c>
      <c r="S189">
        <f t="shared" ref="S189" si="923">R189/100000</f>
        <v>283628.57059607201</v>
      </c>
      <c r="T189">
        <f t="shared" ref="T189" si="924">S189/1000</f>
        <v>283.628570596072</v>
      </c>
    </row>
    <row r="190" spans="1:20" x14ac:dyDescent="0.25">
      <c r="A190" s="5">
        <v>44403</v>
      </c>
      <c r="B190">
        <v>1.1579000000000001E-2</v>
      </c>
      <c r="C190">
        <v>1.2997E-2</v>
      </c>
      <c r="D190">
        <v>1.1494000000000001E-2</v>
      </c>
      <c r="E190">
        <v>1.196E-2</v>
      </c>
      <c r="F190">
        <v>943824500</v>
      </c>
      <c r="G190">
        <v>1.196E-2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-0.37990685296074561</v>
      </c>
      <c r="Q190">
        <f t="shared" ref="Q190" si="926">F190*P190</f>
        <v>-358565395.54224926</v>
      </c>
      <c r="R190">
        <f t="shared" ref="R190" si="927">R191+Q190</f>
        <v>27786446833.361588</v>
      </c>
      <c r="S190">
        <f t="shared" ref="S190" si="928">R190/100000</f>
        <v>277864.46833361586</v>
      </c>
      <c r="T190">
        <f t="shared" ref="T190" si="929">S190/1000</f>
        <v>277.86446833361589</v>
      </c>
    </row>
    <row r="191" spans="1:20" x14ac:dyDescent="0.25">
      <c r="A191" s="5">
        <v>44402</v>
      </c>
      <c r="B191">
        <v>1.1261E-2</v>
      </c>
      <c r="C191">
        <v>1.1634E-2</v>
      </c>
      <c r="D191">
        <v>1.0978999999999999E-2</v>
      </c>
      <c r="E191">
        <v>1.1575999999999999E-2</v>
      </c>
      <c r="F191">
        <v>591609958</v>
      </c>
      <c r="G191">
        <v>1.1575999999999999E-2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0.8229007633587766</v>
      </c>
      <c r="Q191">
        <f t="shared" ref="Q191" si="931">F191*P191</f>
        <v>486836286.04885375</v>
      </c>
      <c r="R191">
        <f t="shared" ref="R191" si="932">R192+Q191</f>
        <v>28145012228.903835</v>
      </c>
      <c r="S191">
        <f t="shared" ref="S191" si="933">R191/100000</f>
        <v>281450.12228903838</v>
      </c>
      <c r="T191">
        <f t="shared" ref="T191:T197" si="934">S191/1000</f>
        <v>281.4501222890384</v>
      </c>
    </row>
    <row r="192" spans="1:20" x14ac:dyDescent="0.25">
      <c r="A192" s="5">
        <v>44401</v>
      </c>
      <c r="B192">
        <v>1.119E-2</v>
      </c>
      <c r="C192">
        <v>1.1419E-2</v>
      </c>
      <c r="D192">
        <v>1.0952E-2</v>
      </c>
      <c r="E192">
        <v>1.1247E-2</v>
      </c>
      <c r="F192">
        <v>339022295</v>
      </c>
      <c r="G192">
        <v>1.1247E-2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0.26338329764453905</v>
      </c>
      <c r="Q192">
        <f t="shared" ref="Q192" si="936">F192*P192</f>
        <v>89292810.032119721</v>
      </c>
      <c r="R192">
        <f t="shared" ref="R192" si="937">R193+Q192</f>
        <v>27658175942.85498</v>
      </c>
      <c r="S192">
        <f t="shared" ref="S192" si="938">R192/100000</f>
        <v>276581.75942854979</v>
      </c>
      <c r="T192">
        <f t="shared" si="934"/>
        <v>276.58175942854979</v>
      </c>
    </row>
    <row r="193" spans="1:20" x14ac:dyDescent="0.25">
      <c r="A193" s="5">
        <v>44400</v>
      </c>
      <c r="B193">
        <v>1.0824E-2</v>
      </c>
      <c r="C193">
        <v>1.1198E-2</v>
      </c>
      <c r="D193">
        <v>1.0352999999999999E-2</v>
      </c>
      <c r="E193">
        <v>1.1171E-2</v>
      </c>
      <c r="F193">
        <v>477093845</v>
      </c>
      <c r="G193">
        <v>1.1171E-2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0.93609467455621487</v>
      </c>
      <c r="Q193">
        <f t="shared" ref="Q193" si="940">F193*P193</f>
        <v>446605007.56804824</v>
      </c>
      <c r="R193">
        <f t="shared" ref="R193" si="941">R194+Q193</f>
        <v>27568883132.822861</v>
      </c>
      <c r="S193">
        <f t="shared" ref="S193" si="942">R193/100000</f>
        <v>275688.83132822858</v>
      </c>
      <c r="T193">
        <f t="shared" si="934"/>
        <v>275.68883132822856</v>
      </c>
    </row>
    <row r="194" spans="1:20" x14ac:dyDescent="0.25">
      <c r="A194" s="5">
        <v>44399</v>
      </c>
      <c r="B194">
        <v>1.0640999999999999E-2</v>
      </c>
      <c r="C194">
        <v>1.0836E-2</v>
      </c>
      <c r="D194">
        <v>1.0371E-2</v>
      </c>
      <c r="E194">
        <v>1.0824E-2</v>
      </c>
      <c r="F194">
        <v>469248370</v>
      </c>
      <c r="G194">
        <v>1.0824E-2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0.94838709677419419</v>
      </c>
      <c r="Q194">
        <f t="shared" ref="Q194" si="944">F194*P194</f>
        <v>445029099.2903229</v>
      </c>
      <c r="R194">
        <f t="shared" ref="R194" si="945">R195+Q194</f>
        <v>27122278125.254814</v>
      </c>
      <c r="S194">
        <f t="shared" ref="S194" si="946">R194/100000</f>
        <v>271222.78125254816</v>
      </c>
      <c r="T194">
        <f t="shared" si="934"/>
        <v>271.22278125254815</v>
      </c>
    </row>
    <row r="195" spans="1:20" x14ac:dyDescent="0.25">
      <c r="A195" s="5">
        <v>44398</v>
      </c>
      <c r="B195">
        <v>9.7630000000000008E-3</v>
      </c>
      <c r="C195">
        <v>1.0999E-2</v>
      </c>
      <c r="D195">
        <v>9.5350000000000001E-3</v>
      </c>
      <c r="E195">
        <v>1.0636E-2</v>
      </c>
      <c r="F195">
        <v>756373576</v>
      </c>
      <c r="G195">
        <v>1.0636E-2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0.5040983606557371</v>
      </c>
      <c r="Q195">
        <f t="shared" ref="Q195" si="948">F195*P195</f>
        <v>381286679.70491755</v>
      </c>
      <c r="R195">
        <f t="shared" ref="R195" si="949">R196+Q195</f>
        <v>26677249025.964493</v>
      </c>
      <c r="S195">
        <f t="shared" ref="S195" si="950">R195/100000</f>
        <v>266772.49025964492</v>
      </c>
      <c r="T195">
        <f t="shared" si="934"/>
        <v>266.77249025964494</v>
      </c>
    </row>
    <row r="196" spans="1:20" x14ac:dyDescent="0.25">
      <c r="A196" s="5">
        <v>44397</v>
      </c>
      <c r="B196">
        <v>1.0670000000000001E-2</v>
      </c>
      <c r="C196">
        <v>1.0852000000000001E-2</v>
      </c>
      <c r="D196">
        <v>9.2999999999999992E-3</v>
      </c>
      <c r="E196">
        <v>9.7719999999999994E-3</v>
      </c>
      <c r="F196">
        <v>591462361</v>
      </c>
      <c r="G196">
        <v>9.7719999999999994E-3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-0.3917525773195879</v>
      </c>
      <c r="Q196">
        <f t="shared" ref="Q196" si="952">F196*P196</f>
        <v>-231706904.30927852</v>
      </c>
      <c r="R196">
        <f t="shared" ref="R196" si="953">R197+Q196</f>
        <v>26295962346.259575</v>
      </c>
      <c r="S196">
        <f t="shared" ref="S196" si="954">R196/100000</f>
        <v>262959.62346259574</v>
      </c>
      <c r="T196">
        <f t="shared" si="934"/>
        <v>262.95962346259574</v>
      </c>
    </row>
    <row r="197" spans="1:20" x14ac:dyDescent="0.25">
      <c r="A197" s="5">
        <v>44396</v>
      </c>
      <c r="B197">
        <v>1.1223E-2</v>
      </c>
      <c r="C197">
        <v>1.1710999999999999E-2</v>
      </c>
      <c r="D197">
        <v>1.0532E-2</v>
      </c>
      <c r="E197">
        <v>1.0656000000000001E-2</v>
      </c>
      <c r="F197">
        <v>464725245</v>
      </c>
      <c r="G197">
        <v>0</v>
      </c>
      <c r="L197" t="s">
        <v>8</v>
      </c>
      <c r="M197" t="s">
        <v>7</v>
      </c>
      <c r="N197" t="s">
        <v>8</v>
      </c>
      <c r="P197">
        <f t="shared" ref="P197" si="955">IF(C197=D197,0,((E197-D197)-(C197-E197))/(C197-D197))</f>
        <v>-0.7896522476675133</v>
      </c>
      <c r="Q197">
        <f t="shared" ref="Q197" si="956">F197*P197</f>
        <v>-366971334.2620858</v>
      </c>
      <c r="R197">
        <f t="shared" ref="R197" si="957">R198+Q197</f>
        <v>26527669250.568855</v>
      </c>
      <c r="S197">
        <f t="shared" ref="S197" si="958">R197/100000</f>
        <v>265276.69250568858</v>
      </c>
      <c r="T197">
        <f t="shared" si="934"/>
        <v>265.27669250568857</v>
      </c>
    </row>
    <row r="198" spans="1:20" x14ac:dyDescent="0.25">
      <c r="A198" s="5">
        <v>44395</v>
      </c>
      <c r="B198">
        <v>1.0987E-2</v>
      </c>
      <c r="C198">
        <v>1.1508000000000001E-2</v>
      </c>
      <c r="D198">
        <v>1.0905E-2</v>
      </c>
      <c r="E198">
        <v>1.1218000000000001E-2</v>
      </c>
      <c r="F198">
        <v>257693717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3.8142620232173151E-2</v>
      </c>
      <c r="Q198">
        <f t="shared" ref="Q198:Q261" si="960">F198*P198</f>
        <v>9829113.5837481022</v>
      </c>
      <c r="R198">
        <f t="shared" ref="R198:R261" si="961">R199+Q198</f>
        <v>26894640584.83094</v>
      </c>
      <c r="S198">
        <f t="shared" ref="S198:S261" si="962">R198/100000</f>
        <v>268946.4058483094</v>
      </c>
      <c r="T198">
        <f t="shared" ref="T198:T261" si="963">S198/1000</f>
        <v>268.94640584830938</v>
      </c>
    </row>
    <row r="199" spans="1:20" x14ac:dyDescent="0.25">
      <c r="A199" s="5">
        <v>44394</v>
      </c>
      <c r="B199">
        <v>1.0789E-2</v>
      </c>
      <c r="C199">
        <v>1.116E-2</v>
      </c>
      <c r="D199">
        <v>1.052E-2</v>
      </c>
      <c r="E199">
        <v>1.0985999999999999E-2</v>
      </c>
      <c r="F199">
        <v>373846995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0.45624999999999827</v>
      </c>
      <c r="Q199">
        <f t="shared" si="960"/>
        <v>170567691.46874934</v>
      </c>
      <c r="R199">
        <f t="shared" si="961"/>
        <v>26884811471.247192</v>
      </c>
      <c r="S199">
        <f t="shared" si="962"/>
        <v>268848.1147124719</v>
      </c>
      <c r="T199">
        <f t="shared" si="963"/>
        <v>268.8481147124719</v>
      </c>
    </row>
    <row r="200" spans="1:20" x14ac:dyDescent="0.25">
      <c r="A200" s="5">
        <v>44393</v>
      </c>
      <c r="B200">
        <v>1.1341E-2</v>
      </c>
      <c r="C200">
        <v>1.1632E-2</v>
      </c>
      <c r="D200">
        <v>1.0621999999999999E-2</v>
      </c>
      <c r="E200">
        <v>1.0798E-2</v>
      </c>
      <c r="F200">
        <v>351003885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-0.65148514851485007</v>
      </c>
      <c r="Q200">
        <f t="shared" si="960"/>
        <v>-228673818.14851436</v>
      </c>
      <c r="R200">
        <f t="shared" si="961"/>
        <v>26714243779.778442</v>
      </c>
      <c r="S200">
        <f t="shared" si="962"/>
        <v>267142.4377977844</v>
      </c>
      <c r="T200">
        <f t="shared" si="963"/>
        <v>267.1424377977844</v>
      </c>
    </row>
    <row r="201" spans="1:20" x14ac:dyDescent="0.25">
      <c r="A201" s="5">
        <v>44392</v>
      </c>
      <c r="B201">
        <v>1.18E-2</v>
      </c>
      <c r="C201">
        <v>1.2168E-2</v>
      </c>
      <c r="D201">
        <v>1.0998000000000001E-2</v>
      </c>
      <c r="E201">
        <v>1.1369000000000001E-2</v>
      </c>
      <c r="F201">
        <v>421125466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-0.36581196581196568</v>
      </c>
      <c r="Q201">
        <f t="shared" si="960"/>
        <v>-154052734.57094011</v>
      </c>
      <c r="R201">
        <f t="shared" si="961"/>
        <v>26942917597.926956</v>
      </c>
      <c r="S201">
        <f t="shared" si="962"/>
        <v>269429.17597926955</v>
      </c>
      <c r="T201">
        <f t="shared" si="963"/>
        <v>269.42917597926953</v>
      </c>
    </row>
    <row r="202" spans="1:20" x14ac:dyDescent="0.25">
      <c r="A202" s="5">
        <v>44391</v>
      </c>
      <c r="B202">
        <v>1.2166E-2</v>
      </c>
      <c r="C202">
        <v>1.2315E-2</v>
      </c>
      <c r="D202">
        <v>1.1094E-2</v>
      </c>
      <c r="E202">
        <v>1.18E-2</v>
      </c>
      <c r="F202">
        <v>428884547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0.15642915642915661</v>
      </c>
      <c r="Q202">
        <f t="shared" si="960"/>
        <v>67090047.892710969</v>
      </c>
      <c r="R202">
        <f t="shared" si="961"/>
        <v>27096970332.497898</v>
      </c>
      <c r="S202">
        <f t="shared" si="962"/>
        <v>270969.703324979</v>
      </c>
      <c r="T202">
        <f t="shared" si="963"/>
        <v>270.96970332497898</v>
      </c>
    </row>
    <row r="203" spans="1:20" x14ac:dyDescent="0.25">
      <c r="A203" s="5">
        <v>44390</v>
      </c>
      <c r="B203">
        <v>1.2654E-2</v>
      </c>
      <c r="C203">
        <v>1.2907E-2</v>
      </c>
      <c r="D203">
        <v>1.1946E-2</v>
      </c>
      <c r="E203">
        <v>1.2166E-2</v>
      </c>
      <c r="F203">
        <v>271748408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-0.54214360041623377</v>
      </c>
      <c r="Q203">
        <f t="shared" si="960"/>
        <v>-147326660.32049966</v>
      </c>
      <c r="R203">
        <f t="shared" si="961"/>
        <v>27029880284.605186</v>
      </c>
      <c r="S203">
        <f t="shared" si="962"/>
        <v>270298.80284605187</v>
      </c>
      <c r="T203">
        <f t="shared" si="963"/>
        <v>270.29880284605184</v>
      </c>
    </row>
    <row r="204" spans="1:20" x14ac:dyDescent="0.25">
      <c r="A204" s="5">
        <v>44389</v>
      </c>
      <c r="B204">
        <v>1.3016E-2</v>
      </c>
      <c r="C204">
        <v>1.3048000000000001E-2</v>
      </c>
      <c r="D204">
        <v>1.2368000000000001E-2</v>
      </c>
      <c r="E204">
        <v>1.2652999999999999E-2</v>
      </c>
      <c r="F204">
        <v>235980683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-0.16176470588235653</v>
      </c>
      <c r="Q204">
        <f t="shared" si="960"/>
        <v>-38173345.779412612</v>
      </c>
      <c r="R204">
        <f t="shared" si="961"/>
        <v>27177206944.925686</v>
      </c>
      <c r="S204">
        <f t="shared" si="962"/>
        <v>271772.06944925687</v>
      </c>
      <c r="T204">
        <f t="shared" si="963"/>
        <v>271.77206944925689</v>
      </c>
    </row>
    <row r="205" spans="1:20" x14ac:dyDescent="0.25">
      <c r="A205" s="5">
        <v>44388</v>
      </c>
      <c r="B205">
        <v>1.2801999999999999E-2</v>
      </c>
      <c r="C205">
        <v>1.3207999999999999E-2</v>
      </c>
      <c r="D205">
        <v>1.2474000000000001E-2</v>
      </c>
      <c r="E205">
        <v>1.2989000000000001E-2</v>
      </c>
      <c r="F205">
        <v>231743888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0.40326975476839472</v>
      </c>
      <c r="Q205">
        <f t="shared" si="960"/>
        <v>93455300.88283433</v>
      </c>
      <c r="R205">
        <f t="shared" si="961"/>
        <v>27215380290.705097</v>
      </c>
      <c r="S205">
        <f t="shared" si="962"/>
        <v>272153.80290705099</v>
      </c>
      <c r="T205">
        <f t="shared" si="963"/>
        <v>272.15380290705099</v>
      </c>
    </row>
    <row r="206" spans="1:20" x14ac:dyDescent="0.25">
      <c r="A206" s="5">
        <v>44387</v>
      </c>
      <c r="B206">
        <v>1.3233E-2</v>
      </c>
      <c r="C206">
        <v>1.3416000000000001E-2</v>
      </c>
      <c r="D206">
        <v>1.2500000000000001E-2</v>
      </c>
      <c r="E206">
        <v>1.2808999999999999E-2</v>
      </c>
      <c r="F206">
        <v>213242462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-0.32532751091703394</v>
      </c>
      <c r="Q206">
        <f t="shared" si="960"/>
        <v>-69373639.38428019</v>
      </c>
      <c r="R206">
        <f t="shared" si="961"/>
        <v>27121924989.822262</v>
      </c>
      <c r="S206">
        <f t="shared" si="962"/>
        <v>271219.24989822262</v>
      </c>
      <c r="T206">
        <f t="shared" si="963"/>
        <v>271.21924989822264</v>
      </c>
    </row>
    <row r="207" spans="1:20" x14ac:dyDescent="0.25">
      <c r="A207" s="5">
        <v>44386</v>
      </c>
      <c r="B207">
        <v>1.3384999999999999E-2</v>
      </c>
      <c r="C207">
        <v>1.341E-2</v>
      </c>
      <c r="D207">
        <v>1.2448000000000001E-2</v>
      </c>
      <c r="E207">
        <v>1.3233E-2</v>
      </c>
      <c r="F207">
        <v>354239161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0.63201663201663161</v>
      </c>
      <c r="Q207">
        <f t="shared" si="960"/>
        <v>223885041.46361732</v>
      </c>
      <c r="R207">
        <f t="shared" si="961"/>
        <v>27191298629.206543</v>
      </c>
      <c r="S207">
        <f t="shared" si="962"/>
        <v>271912.98629206541</v>
      </c>
      <c r="T207">
        <f t="shared" si="963"/>
        <v>271.9129862920654</v>
      </c>
    </row>
    <row r="208" spans="1:20" x14ac:dyDescent="0.25">
      <c r="A208" s="5">
        <v>44385</v>
      </c>
      <c r="B208">
        <v>1.4186000000000001E-2</v>
      </c>
      <c r="C208">
        <v>1.4992999999999999E-2</v>
      </c>
      <c r="D208">
        <v>1.2891E-2</v>
      </c>
      <c r="E208">
        <v>1.3403E-2</v>
      </c>
      <c r="F208">
        <v>687529911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-0.51284490960989493</v>
      </c>
      <c r="Q208">
        <f t="shared" si="960"/>
        <v>-352596215.06089413</v>
      </c>
      <c r="R208">
        <f t="shared" si="961"/>
        <v>26967413587.742924</v>
      </c>
      <c r="S208">
        <f t="shared" si="962"/>
        <v>269674.13587742922</v>
      </c>
      <c r="T208">
        <f t="shared" si="963"/>
        <v>269.67413587742919</v>
      </c>
    </row>
    <row r="209" spans="1:20" x14ac:dyDescent="0.25">
      <c r="A209" s="5">
        <v>44384</v>
      </c>
      <c r="B209">
        <v>1.3922E-2</v>
      </c>
      <c r="C209">
        <v>1.4999999999999999E-2</v>
      </c>
      <c r="D209">
        <v>1.3572000000000001E-2</v>
      </c>
      <c r="E209">
        <v>1.4186000000000001E-2</v>
      </c>
      <c r="F209">
        <v>653776903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-0.14005602240896287</v>
      </c>
      <c r="Q209">
        <f t="shared" si="960"/>
        <v>-91565392.577030346</v>
      </c>
      <c r="R209">
        <f t="shared" si="961"/>
        <v>27320009802.803818</v>
      </c>
      <c r="S209">
        <f t="shared" si="962"/>
        <v>273200.09802803816</v>
      </c>
      <c r="T209">
        <f t="shared" si="963"/>
        <v>273.20009802803816</v>
      </c>
    </row>
    <row r="210" spans="1:20" x14ac:dyDescent="0.25">
      <c r="A210" s="5">
        <v>44383</v>
      </c>
      <c r="B210">
        <v>1.3436E-2</v>
      </c>
      <c r="C210">
        <v>1.4194999999999999E-2</v>
      </c>
      <c r="D210">
        <v>1.319E-2</v>
      </c>
      <c r="E210">
        <v>1.3922E-2</v>
      </c>
      <c r="F210">
        <v>557088897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0.45671641791044931</v>
      </c>
      <c r="Q210">
        <f t="shared" si="960"/>
        <v>254431645.49552324</v>
      </c>
      <c r="R210">
        <f t="shared" si="961"/>
        <v>27411575195.380848</v>
      </c>
      <c r="S210">
        <f t="shared" si="962"/>
        <v>274115.75195380847</v>
      </c>
      <c r="T210">
        <f t="shared" si="963"/>
        <v>274.11575195380846</v>
      </c>
    </row>
    <row r="211" spans="1:20" x14ac:dyDescent="0.25">
      <c r="A211" s="5">
        <v>44382</v>
      </c>
      <c r="B211">
        <v>1.3971000000000001E-2</v>
      </c>
      <c r="C211">
        <v>1.3998999999999999E-2</v>
      </c>
      <c r="D211">
        <v>1.2929E-2</v>
      </c>
      <c r="E211">
        <v>1.342E-2</v>
      </c>
      <c r="F211">
        <v>521198243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-8.2242990654205192E-2</v>
      </c>
      <c r="Q211">
        <f t="shared" si="960"/>
        <v>-42864902.228037164</v>
      </c>
      <c r="R211">
        <f t="shared" si="961"/>
        <v>27157143549.885326</v>
      </c>
      <c r="S211">
        <f t="shared" si="962"/>
        <v>271571.43549885327</v>
      </c>
      <c r="T211">
        <f t="shared" si="963"/>
        <v>271.57143549885325</v>
      </c>
    </row>
    <row r="212" spans="1:20" x14ac:dyDescent="0.25">
      <c r="A212" s="5">
        <v>44381</v>
      </c>
      <c r="B212">
        <v>1.3779E-2</v>
      </c>
      <c r="C212">
        <v>1.4330000000000001E-2</v>
      </c>
      <c r="D212">
        <v>1.3363E-2</v>
      </c>
      <c r="E212">
        <v>1.3995E-2</v>
      </c>
      <c r="F212">
        <v>574214915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0.30713547052740447</v>
      </c>
      <c r="Q212">
        <f t="shared" si="960"/>
        <v>176361768.10237858</v>
      </c>
      <c r="R212">
        <f t="shared" si="961"/>
        <v>27200008452.113365</v>
      </c>
      <c r="S212">
        <f t="shared" si="962"/>
        <v>272000.08452113363</v>
      </c>
      <c r="T212">
        <f t="shared" si="963"/>
        <v>272.0000845211336</v>
      </c>
    </row>
    <row r="213" spans="1:20" x14ac:dyDescent="0.25">
      <c r="A213" s="5">
        <v>44380</v>
      </c>
      <c r="B213">
        <v>1.3292E-2</v>
      </c>
      <c r="C213">
        <v>1.3897E-2</v>
      </c>
      <c r="D213">
        <v>1.2737999999999999E-2</v>
      </c>
      <c r="E213">
        <v>1.3782000000000001E-2</v>
      </c>
      <c r="F213">
        <v>455991504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0.80155306298533435</v>
      </c>
      <c r="Q213">
        <f t="shared" si="960"/>
        <v>365501386.72648937</v>
      </c>
      <c r="R213">
        <f t="shared" si="961"/>
        <v>27023646684.010986</v>
      </c>
      <c r="S213">
        <f t="shared" si="962"/>
        <v>270236.46684010985</v>
      </c>
      <c r="T213">
        <f t="shared" si="963"/>
        <v>270.23646684010987</v>
      </c>
    </row>
    <row r="214" spans="1:20" x14ac:dyDescent="0.25">
      <c r="A214" s="5">
        <v>44379</v>
      </c>
      <c r="B214">
        <v>1.3063999999999999E-2</v>
      </c>
      <c r="C214">
        <v>1.3336000000000001E-2</v>
      </c>
      <c r="D214">
        <v>1.2187E-2</v>
      </c>
      <c r="E214">
        <v>1.3280999999999999E-2</v>
      </c>
      <c r="F214">
        <v>554382553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0.90426457789381864</v>
      </c>
      <c r="Q214">
        <f t="shared" si="960"/>
        <v>501308505.28024256</v>
      </c>
      <c r="R214">
        <f t="shared" si="961"/>
        <v>26658145297.284496</v>
      </c>
      <c r="S214">
        <f t="shared" si="962"/>
        <v>266581.45297284494</v>
      </c>
      <c r="T214">
        <f t="shared" si="963"/>
        <v>266.58145297284494</v>
      </c>
    </row>
    <row r="215" spans="1:20" x14ac:dyDescent="0.25">
      <c r="A215" s="5">
        <v>44378</v>
      </c>
      <c r="B215">
        <v>1.3311E-2</v>
      </c>
      <c r="C215">
        <v>1.3390000000000001E-2</v>
      </c>
      <c r="D215">
        <v>1.2347E-2</v>
      </c>
      <c r="E215">
        <v>1.307E-2</v>
      </c>
      <c r="F215">
        <v>623188216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0.3863854266538817</v>
      </c>
      <c r="Q215">
        <f t="shared" si="960"/>
        <v>240790844.7248314</v>
      </c>
      <c r="R215">
        <f t="shared" si="961"/>
        <v>26156836792.004253</v>
      </c>
      <c r="S215">
        <f t="shared" si="962"/>
        <v>261568.36792004254</v>
      </c>
      <c r="T215">
        <f t="shared" si="963"/>
        <v>261.56836792004253</v>
      </c>
    </row>
    <row r="216" spans="1:20" x14ac:dyDescent="0.25">
      <c r="A216" s="5">
        <v>44377</v>
      </c>
      <c r="B216">
        <v>1.2929E-2</v>
      </c>
      <c r="C216">
        <v>1.3311E-2</v>
      </c>
      <c r="D216">
        <v>1.1801000000000001E-2</v>
      </c>
      <c r="E216">
        <v>1.3311E-2</v>
      </c>
      <c r="F216">
        <v>656520695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1</v>
      </c>
      <c r="Q216">
        <f t="shared" si="960"/>
        <v>656520695</v>
      </c>
      <c r="R216">
        <f t="shared" si="961"/>
        <v>25916045947.279423</v>
      </c>
      <c r="S216">
        <f t="shared" si="962"/>
        <v>259160.45947279423</v>
      </c>
      <c r="T216">
        <f t="shared" si="963"/>
        <v>259.16045947279423</v>
      </c>
    </row>
    <row r="217" spans="1:20" x14ac:dyDescent="0.25">
      <c r="A217" s="5">
        <v>44376</v>
      </c>
      <c r="B217">
        <v>1.2049000000000001E-2</v>
      </c>
      <c r="C217">
        <v>1.3100000000000001E-2</v>
      </c>
      <c r="D217">
        <v>1.201E-2</v>
      </c>
      <c r="E217">
        <v>1.2931E-2</v>
      </c>
      <c r="F217">
        <v>833730333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0.68990825688073276</v>
      </c>
      <c r="Q217">
        <f t="shared" si="960"/>
        <v>575197440.74862289</v>
      </c>
      <c r="R217">
        <f t="shared" si="961"/>
        <v>25259525252.279423</v>
      </c>
      <c r="S217">
        <f t="shared" si="962"/>
        <v>252595.25252279424</v>
      </c>
      <c r="T217">
        <f t="shared" si="963"/>
        <v>252.59525252279423</v>
      </c>
    </row>
    <row r="218" spans="1:20" x14ac:dyDescent="0.25">
      <c r="A218" s="5">
        <v>44375</v>
      </c>
      <c r="B218">
        <v>1.1261999999999999E-2</v>
      </c>
      <c r="C218">
        <v>1.2395E-2</v>
      </c>
      <c r="D218">
        <v>1.1107000000000001E-2</v>
      </c>
      <c r="E218">
        <v>1.2057999999999999E-2</v>
      </c>
      <c r="F218">
        <v>922752862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0.47670807453416042</v>
      </c>
      <c r="Q218">
        <f t="shared" si="960"/>
        <v>439883740.11490583</v>
      </c>
      <c r="R218">
        <f t="shared" si="961"/>
        <v>24684327811.5308</v>
      </c>
      <c r="S218">
        <f t="shared" si="962"/>
        <v>246843.278115308</v>
      </c>
      <c r="T218">
        <f t="shared" si="963"/>
        <v>246.84327811530801</v>
      </c>
    </row>
    <row r="219" spans="1:20" x14ac:dyDescent="0.25">
      <c r="A219" s="5">
        <v>44374</v>
      </c>
      <c r="B219">
        <v>1.0914E-2</v>
      </c>
      <c r="C219">
        <v>1.1299999999999999E-2</v>
      </c>
      <c r="D219">
        <v>1.0432E-2</v>
      </c>
      <c r="E219">
        <v>1.1235999999999999E-2</v>
      </c>
      <c r="F219">
        <v>446814966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0.85253456221198176</v>
      </c>
      <c r="Q219">
        <f t="shared" si="960"/>
        <v>380925201.42857152</v>
      </c>
      <c r="R219">
        <f t="shared" si="961"/>
        <v>24244444071.415894</v>
      </c>
      <c r="S219">
        <f t="shared" si="962"/>
        <v>242444.44071415893</v>
      </c>
      <c r="T219">
        <f t="shared" si="963"/>
        <v>242.44444071415893</v>
      </c>
    </row>
    <row r="220" spans="1:20" x14ac:dyDescent="0.25">
      <c r="A220" s="5">
        <v>44373</v>
      </c>
      <c r="B220">
        <v>1.0638999999999999E-2</v>
      </c>
      <c r="C220">
        <v>1.119E-2</v>
      </c>
      <c r="D220">
        <v>1.0052999999999999E-2</v>
      </c>
      <c r="E220">
        <v>1.0914E-2</v>
      </c>
      <c r="F220">
        <v>653296806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0.51451187335092352</v>
      </c>
      <c r="Q220">
        <f t="shared" si="960"/>
        <v>336128963.50923485</v>
      </c>
      <c r="R220">
        <f t="shared" si="961"/>
        <v>23863518869.987324</v>
      </c>
      <c r="S220">
        <f t="shared" si="962"/>
        <v>238635.18869987325</v>
      </c>
      <c r="T220">
        <f t="shared" si="963"/>
        <v>238.63518869987325</v>
      </c>
    </row>
    <row r="221" spans="1:20" x14ac:dyDescent="0.25">
      <c r="A221" s="5">
        <v>44372</v>
      </c>
      <c r="B221">
        <v>1.1585E-2</v>
      </c>
      <c r="C221">
        <v>1.2160000000000001E-2</v>
      </c>
      <c r="D221">
        <v>1.0527E-2</v>
      </c>
      <c r="E221">
        <v>1.0629E-2</v>
      </c>
      <c r="F221">
        <v>1624229257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-0.87507654623392572</v>
      </c>
      <c r="Q221">
        <f t="shared" si="960"/>
        <v>-1421324928.5076554</v>
      </c>
      <c r="R221">
        <f t="shared" si="961"/>
        <v>23527389906.478088</v>
      </c>
      <c r="S221">
        <f t="shared" si="962"/>
        <v>235273.89906478088</v>
      </c>
      <c r="T221">
        <f t="shared" si="963"/>
        <v>235.27389906478089</v>
      </c>
    </row>
    <row r="222" spans="1:20" x14ac:dyDescent="0.25">
      <c r="A222" s="5">
        <v>44371</v>
      </c>
      <c r="B222">
        <v>1.0428E-2</v>
      </c>
      <c r="C222">
        <v>1.2E-2</v>
      </c>
      <c r="D222">
        <v>9.894E-3</v>
      </c>
      <c r="E222">
        <v>1.1582E-2</v>
      </c>
      <c r="F222">
        <v>898809507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0.6030389363722698</v>
      </c>
      <c r="Q222">
        <f t="shared" si="960"/>
        <v>542017129.10256422</v>
      </c>
      <c r="R222">
        <f t="shared" si="961"/>
        <v>24948714834.985744</v>
      </c>
      <c r="S222">
        <f t="shared" si="962"/>
        <v>249487.14834985745</v>
      </c>
      <c r="T222">
        <f t="shared" si="963"/>
        <v>249.48714834985745</v>
      </c>
    </row>
    <row r="223" spans="1:20" x14ac:dyDescent="0.25">
      <c r="A223" s="5">
        <v>44370</v>
      </c>
      <c r="B223">
        <v>9.3880000000000005E-3</v>
      </c>
      <c r="C223">
        <v>1.0717000000000001E-2</v>
      </c>
      <c r="D223">
        <v>8.9549999999999994E-3</v>
      </c>
      <c r="E223">
        <v>1.0409E-2</v>
      </c>
      <c r="F223">
        <v>879354138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0.65039727582292761</v>
      </c>
      <c r="Q223">
        <f t="shared" si="960"/>
        <v>571929535.83881879</v>
      </c>
      <c r="R223">
        <f t="shared" si="961"/>
        <v>24406697705.883179</v>
      </c>
      <c r="S223">
        <f t="shared" si="962"/>
        <v>244066.97705883178</v>
      </c>
      <c r="T223">
        <f t="shared" si="963"/>
        <v>244.06697705883178</v>
      </c>
    </row>
    <row r="224" spans="1:20" x14ac:dyDescent="0.25">
      <c r="A224" s="5">
        <v>44369</v>
      </c>
      <c r="B224">
        <v>9.8429999999999993E-3</v>
      </c>
      <c r="C224">
        <v>1.0800000000000001E-2</v>
      </c>
      <c r="D224">
        <v>7.6239999999999997E-3</v>
      </c>
      <c r="E224">
        <v>9.3880000000000005E-3</v>
      </c>
      <c r="F224">
        <v>1779909073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0.11083123425692716</v>
      </c>
      <c r="Q224">
        <f t="shared" si="960"/>
        <v>197269519.42569306</v>
      </c>
      <c r="R224">
        <f t="shared" si="961"/>
        <v>23834768170.044361</v>
      </c>
      <c r="S224">
        <f t="shared" si="962"/>
        <v>238347.68170044362</v>
      </c>
      <c r="T224">
        <f t="shared" si="963"/>
        <v>238.34768170044362</v>
      </c>
    </row>
    <row r="225" spans="1:20" x14ac:dyDescent="0.25">
      <c r="A225" s="5">
        <v>44368</v>
      </c>
      <c r="B225">
        <v>1.3247999999999999E-2</v>
      </c>
      <c r="C225">
        <v>1.3419E-2</v>
      </c>
      <c r="D225">
        <v>9.7619999999999998E-3</v>
      </c>
      <c r="E225">
        <v>9.8309999999999995E-3</v>
      </c>
      <c r="F225">
        <v>1321649353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-0.96226415094339646</v>
      </c>
      <c r="Q225">
        <f t="shared" si="960"/>
        <v>-1271775792.5094342</v>
      </c>
      <c r="R225">
        <f t="shared" si="961"/>
        <v>23637498650.618668</v>
      </c>
      <c r="S225">
        <f t="shared" si="962"/>
        <v>236374.98650618669</v>
      </c>
      <c r="T225">
        <f t="shared" si="963"/>
        <v>236.3749865061867</v>
      </c>
    </row>
    <row r="226" spans="1:20" x14ac:dyDescent="0.25">
      <c r="A226" s="5">
        <v>44367</v>
      </c>
      <c r="B226">
        <v>1.3342E-2</v>
      </c>
      <c r="C226">
        <v>1.3582E-2</v>
      </c>
      <c r="D226">
        <v>1.2173E-2</v>
      </c>
      <c r="E226">
        <v>1.3245E-2</v>
      </c>
      <c r="F226">
        <v>736337072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0.52164655784244096</v>
      </c>
      <c r="Q226">
        <f t="shared" si="960"/>
        <v>384107699.0205816</v>
      </c>
      <c r="R226">
        <f t="shared" si="961"/>
        <v>24909274443.128101</v>
      </c>
      <c r="S226">
        <f t="shared" si="962"/>
        <v>249092.74443128103</v>
      </c>
      <c r="T226">
        <f t="shared" si="963"/>
        <v>249.09274443128103</v>
      </c>
    </row>
    <row r="227" spans="1:20" x14ac:dyDescent="0.25">
      <c r="A227" s="5">
        <v>44366</v>
      </c>
      <c r="B227">
        <v>1.4138E-2</v>
      </c>
      <c r="C227">
        <v>1.439E-2</v>
      </c>
      <c r="D227">
        <v>1.3297E-2</v>
      </c>
      <c r="E227">
        <v>1.3356E-2</v>
      </c>
      <c r="F227">
        <v>555323664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-0.89204025617566329</v>
      </c>
      <c r="Q227">
        <f t="shared" si="960"/>
        <v>-495371063.494968</v>
      </c>
      <c r="R227">
        <f t="shared" si="961"/>
        <v>24525166744.107521</v>
      </c>
      <c r="S227">
        <f t="shared" si="962"/>
        <v>245251.6674410752</v>
      </c>
      <c r="T227">
        <f t="shared" si="963"/>
        <v>245.2516674410752</v>
      </c>
    </row>
    <row r="228" spans="1:20" x14ac:dyDescent="0.25">
      <c r="A228" s="5">
        <v>44365</v>
      </c>
      <c r="B228">
        <v>1.4961E-2</v>
      </c>
      <c r="C228">
        <v>1.5594E-2</v>
      </c>
      <c r="D228">
        <v>1.3662000000000001E-2</v>
      </c>
      <c r="E228">
        <v>1.4138E-2</v>
      </c>
      <c r="F228">
        <v>854595043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-0.50724637681159512</v>
      </c>
      <c r="Q228">
        <f t="shared" si="960"/>
        <v>-433490239.20289934</v>
      </c>
      <c r="R228">
        <f t="shared" si="961"/>
        <v>25020537807.602489</v>
      </c>
      <c r="S228">
        <f t="shared" si="962"/>
        <v>250205.37807602491</v>
      </c>
      <c r="T228">
        <f t="shared" si="963"/>
        <v>250.20537807602491</v>
      </c>
    </row>
    <row r="229" spans="1:20" x14ac:dyDescent="0.25">
      <c r="A229" s="5">
        <v>44364</v>
      </c>
      <c r="B229">
        <v>1.5192000000000001E-2</v>
      </c>
      <c r="C229">
        <v>1.5566E-2</v>
      </c>
      <c r="D229">
        <v>1.46E-2</v>
      </c>
      <c r="E229">
        <v>1.4963000000000001E-2</v>
      </c>
      <c r="F229">
        <v>406270181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-0.24844720496894299</v>
      </c>
      <c r="Q229">
        <f t="shared" si="960"/>
        <v>-100936690.93167657</v>
      </c>
      <c r="R229">
        <f t="shared" si="961"/>
        <v>25454028046.805389</v>
      </c>
      <c r="S229">
        <f t="shared" si="962"/>
        <v>254540.28046805388</v>
      </c>
      <c r="T229">
        <f t="shared" si="963"/>
        <v>254.54028046805388</v>
      </c>
    </row>
    <row r="230" spans="1:20" x14ac:dyDescent="0.25">
      <c r="A230" s="5">
        <v>44363</v>
      </c>
      <c r="B230">
        <v>1.5990999999999998E-2</v>
      </c>
      <c r="C230">
        <v>1.6038E-2</v>
      </c>
      <c r="D230">
        <v>1.4907999999999999E-2</v>
      </c>
      <c r="E230">
        <v>1.5188E-2</v>
      </c>
      <c r="F230">
        <v>430465281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-0.50442477876106095</v>
      </c>
      <c r="Q230">
        <f t="shared" si="960"/>
        <v>-217137354.13274294</v>
      </c>
      <c r="R230">
        <f t="shared" si="961"/>
        <v>25554964737.737064</v>
      </c>
      <c r="S230">
        <f t="shared" si="962"/>
        <v>255549.64737737065</v>
      </c>
      <c r="T230">
        <f t="shared" si="963"/>
        <v>255.54964737737066</v>
      </c>
    </row>
    <row r="231" spans="1:20" x14ac:dyDescent="0.25">
      <c r="A231" s="5">
        <v>44362</v>
      </c>
      <c r="B231">
        <v>1.6119000000000001E-2</v>
      </c>
      <c r="C231">
        <v>1.6462000000000001E-2</v>
      </c>
      <c r="D231">
        <v>1.5549E-2</v>
      </c>
      <c r="E231">
        <v>1.6001999999999999E-2</v>
      </c>
      <c r="F231">
        <v>529279355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-7.6670317634211678E-3</v>
      </c>
      <c r="Q231">
        <f t="shared" si="960"/>
        <v>-4058001.6265080683</v>
      </c>
      <c r="R231">
        <f t="shared" si="961"/>
        <v>25772102091.869808</v>
      </c>
      <c r="S231">
        <f t="shared" si="962"/>
        <v>257721.02091869808</v>
      </c>
      <c r="T231">
        <f t="shared" si="963"/>
        <v>257.72102091869806</v>
      </c>
    </row>
    <row r="232" spans="1:20" x14ac:dyDescent="0.25">
      <c r="A232" s="5">
        <v>44361</v>
      </c>
      <c r="B232">
        <v>1.5672999999999999E-2</v>
      </c>
      <c r="C232">
        <v>1.6320000000000001E-2</v>
      </c>
      <c r="D232">
        <v>1.5495999999999999E-2</v>
      </c>
      <c r="E232">
        <v>1.6129000000000001E-2</v>
      </c>
      <c r="F232">
        <v>678198996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0.5364077669902918</v>
      </c>
      <c r="Q232">
        <f t="shared" si="960"/>
        <v>363791209.01941782</v>
      </c>
      <c r="R232">
        <f t="shared" si="961"/>
        <v>25776160093.496315</v>
      </c>
      <c r="S232">
        <f t="shared" si="962"/>
        <v>257761.60093496315</v>
      </c>
      <c r="T232">
        <f t="shared" si="963"/>
        <v>257.76160093496316</v>
      </c>
    </row>
    <row r="233" spans="1:20" x14ac:dyDescent="0.25">
      <c r="A233" s="5">
        <v>44360</v>
      </c>
      <c r="B233">
        <v>1.5054E-2</v>
      </c>
      <c r="C233">
        <v>1.5883999999999999E-2</v>
      </c>
      <c r="D233">
        <v>1.4659999999999999E-2</v>
      </c>
      <c r="E233">
        <v>1.5651000000000002E-2</v>
      </c>
      <c r="F233">
        <v>545392871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0.61928104575163856</v>
      </c>
      <c r="Q233">
        <f t="shared" si="960"/>
        <v>337751467.4983685</v>
      </c>
      <c r="R233">
        <f t="shared" si="961"/>
        <v>25412368884.476898</v>
      </c>
      <c r="S233">
        <f t="shared" si="962"/>
        <v>254123.68884476897</v>
      </c>
      <c r="T233">
        <f t="shared" si="963"/>
        <v>254.12368884476896</v>
      </c>
    </row>
    <row r="234" spans="1:20" x14ac:dyDescent="0.25">
      <c r="A234" s="5">
        <v>44359</v>
      </c>
      <c r="B234">
        <v>1.5450999999999999E-2</v>
      </c>
      <c r="C234">
        <v>1.5467E-2</v>
      </c>
      <c r="D234">
        <v>1.3901999999999999E-2</v>
      </c>
      <c r="E234">
        <v>1.5021E-2</v>
      </c>
      <c r="F234">
        <v>720470678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0.43003194888178903</v>
      </c>
      <c r="Q234">
        <f t="shared" si="960"/>
        <v>309825409.77252388</v>
      </c>
      <c r="R234">
        <f t="shared" si="961"/>
        <v>25074617416.978531</v>
      </c>
      <c r="S234">
        <f t="shared" si="962"/>
        <v>250746.17416978531</v>
      </c>
      <c r="T234">
        <f t="shared" si="963"/>
        <v>250.74617416978532</v>
      </c>
    </row>
    <row r="235" spans="1:20" x14ac:dyDescent="0.25">
      <c r="A235" s="5">
        <v>44358</v>
      </c>
      <c r="B235">
        <v>1.6417000000000001E-2</v>
      </c>
      <c r="C235">
        <v>1.702E-2</v>
      </c>
      <c r="D235">
        <v>1.5164E-2</v>
      </c>
      <c r="E235">
        <v>1.5442000000000001E-2</v>
      </c>
      <c r="F235">
        <v>592263054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-0.70043103448275812</v>
      </c>
      <c r="Q235">
        <f t="shared" si="960"/>
        <v>-414839423.5991376</v>
      </c>
      <c r="R235">
        <f t="shared" si="961"/>
        <v>24764792007.206009</v>
      </c>
      <c r="S235">
        <f t="shared" si="962"/>
        <v>247647.92007206008</v>
      </c>
      <c r="T235">
        <f t="shared" si="963"/>
        <v>247.64792007206009</v>
      </c>
    </row>
    <row r="236" spans="1:20" x14ac:dyDescent="0.25">
      <c r="A236" s="5">
        <v>44357</v>
      </c>
      <c r="B236">
        <v>1.6782999999999999E-2</v>
      </c>
      <c r="C236">
        <v>1.7610000000000001E-2</v>
      </c>
      <c r="D236">
        <v>1.5744000000000001E-2</v>
      </c>
      <c r="E236">
        <v>1.6420000000000001E-2</v>
      </c>
      <c r="F236">
        <v>996080145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-0.27545551982851052</v>
      </c>
      <c r="Q236">
        <f t="shared" si="960"/>
        <v>-274375774.13183314</v>
      </c>
      <c r="R236">
        <f t="shared" si="961"/>
        <v>25179631430.805145</v>
      </c>
      <c r="S236">
        <f t="shared" si="962"/>
        <v>251796.31430805146</v>
      </c>
      <c r="T236">
        <f t="shared" si="963"/>
        <v>251.79631430805145</v>
      </c>
    </row>
    <row r="237" spans="1:20" x14ac:dyDescent="0.25">
      <c r="A237" s="5">
        <v>44356</v>
      </c>
      <c r="B237">
        <v>1.6063000000000001E-2</v>
      </c>
      <c r="C237">
        <v>1.6891E-2</v>
      </c>
      <c r="D237">
        <v>1.5148E-2</v>
      </c>
      <c r="E237">
        <v>1.6775000000000002E-2</v>
      </c>
      <c r="F237">
        <v>689196326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0.86689615605278481</v>
      </c>
      <c r="Q237">
        <f t="shared" si="960"/>
        <v>597461645.7751019</v>
      </c>
      <c r="R237">
        <f t="shared" si="961"/>
        <v>25454007204.936977</v>
      </c>
      <c r="S237">
        <f t="shared" si="962"/>
        <v>254540.07204936977</v>
      </c>
      <c r="T237">
        <f t="shared" si="963"/>
        <v>254.54007204936977</v>
      </c>
    </row>
    <row r="238" spans="1:20" x14ac:dyDescent="0.25">
      <c r="A238" s="5">
        <v>44355</v>
      </c>
      <c r="B238">
        <v>1.6489E-2</v>
      </c>
      <c r="C238">
        <v>1.6822E-2</v>
      </c>
      <c r="D238">
        <v>1.43E-2</v>
      </c>
      <c r="E238">
        <v>1.6046000000000001E-2</v>
      </c>
      <c r="F238">
        <v>1073801112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0.38461538461538547</v>
      </c>
      <c r="Q238">
        <f t="shared" si="960"/>
        <v>413000427.6923086</v>
      </c>
      <c r="R238">
        <f t="shared" si="961"/>
        <v>24856545559.161877</v>
      </c>
      <c r="S238">
        <f t="shared" si="962"/>
        <v>248565.45559161875</v>
      </c>
      <c r="T238">
        <f t="shared" si="963"/>
        <v>248.56545559161876</v>
      </c>
    </row>
    <row r="239" spans="1:20" x14ac:dyDescent="0.25">
      <c r="A239" s="5">
        <v>44354</v>
      </c>
      <c r="B239">
        <v>1.8758E-2</v>
      </c>
      <c r="C239">
        <v>1.9167E-2</v>
      </c>
      <c r="D239">
        <v>1.6167000000000001E-2</v>
      </c>
      <c r="E239">
        <v>1.6532000000000002E-2</v>
      </c>
      <c r="F239">
        <v>888918338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-0.75666666666666615</v>
      </c>
      <c r="Q239">
        <f t="shared" si="960"/>
        <v>-672614875.75333285</v>
      </c>
      <c r="R239">
        <f t="shared" si="961"/>
        <v>24443545131.469566</v>
      </c>
      <c r="S239">
        <f t="shared" si="962"/>
        <v>244435.45131469567</v>
      </c>
      <c r="T239">
        <f t="shared" si="963"/>
        <v>244.43545131469568</v>
      </c>
    </row>
    <row r="240" spans="1:20" x14ac:dyDescent="0.25">
      <c r="A240" s="5">
        <v>44353</v>
      </c>
      <c r="B240">
        <v>1.8186000000000001E-2</v>
      </c>
      <c r="C240">
        <v>1.9331000000000001E-2</v>
      </c>
      <c r="D240">
        <v>1.7951000000000002E-2</v>
      </c>
      <c r="E240">
        <v>1.8733E-2</v>
      </c>
      <c r="F240">
        <v>834614659</v>
      </c>
      <c r="G240">
        <v>0</v>
      </c>
      <c r="L240" t="s">
        <v>7</v>
      </c>
      <c r="M240" t="s">
        <v>8</v>
      </c>
      <c r="N240" t="s">
        <v>8</v>
      </c>
      <c r="P240">
        <f t="shared" si="959"/>
        <v>0.133333333333331</v>
      </c>
      <c r="Q240">
        <f t="shared" si="960"/>
        <v>111281954.53333138</v>
      </c>
      <c r="R240">
        <f t="shared" si="961"/>
        <v>25116160007.2229</v>
      </c>
      <c r="S240">
        <f t="shared" si="962"/>
        <v>251161.60007222899</v>
      </c>
      <c r="T240">
        <f t="shared" si="963"/>
        <v>251.16160007222899</v>
      </c>
    </row>
    <row r="241" spans="1:20" x14ac:dyDescent="0.25">
      <c r="A241" s="5">
        <v>44352</v>
      </c>
      <c r="B241">
        <v>1.8541999999999999E-2</v>
      </c>
      <c r="C241">
        <v>2.0500000000000001E-2</v>
      </c>
      <c r="D241">
        <v>1.7559000000000002E-2</v>
      </c>
      <c r="E241">
        <v>1.8196E-2</v>
      </c>
      <c r="F241">
        <v>1690594574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-0.56681400884053124</v>
      </c>
      <c r="Q241">
        <f t="shared" si="960"/>
        <v>-958252687.81299019</v>
      </c>
      <c r="R241">
        <f t="shared" si="961"/>
        <v>25004878052.689568</v>
      </c>
      <c r="S241">
        <f t="shared" si="962"/>
        <v>250048.78052689569</v>
      </c>
      <c r="T241">
        <f t="shared" si="963"/>
        <v>250.04878052689568</v>
      </c>
    </row>
    <row r="242" spans="1:20" x14ac:dyDescent="0.25">
      <c r="A242" s="5">
        <v>44351</v>
      </c>
      <c r="B242">
        <v>1.8846000000000002E-2</v>
      </c>
      <c r="C242">
        <v>1.9671999999999999E-2</v>
      </c>
      <c r="D242">
        <v>1.6292000000000001E-2</v>
      </c>
      <c r="E242">
        <v>1.8519000000000001E-2</v>
      </c>
      <c r="F242">
        <v>1394411076</v>
      </c>
      <c r="G242">
        <v>0</v>
      </c>
      <c r="L242" t="s">
        <v>8</v>
      </c>
      <c r="M242" t="s">
        <v>8</v>
      </c>
      <c r="N242" t="s">
        <v>8</v>
      </c>
      <c r="P242">
        <f t="shared" si="959"/>
        <v>0.31775147928994169</v>
      </c>
      <c r="Q242">
        <f t="shared" si="960"/>
        <v>443076182.13727927</v>
      </c>
      <c r="R242">
        <f t="shared" si="961"/>
        <v>25963130740.50256</v>
      </c>
      <c r="S242">
        <f t="shared" si="962"/>
        <v>259631.30740502561</v>
      </c>
      <c r="T242">
        <f t="shared" si="963"/>
        <v>259.63130740502561</v>
      </c>
    </row>
    <row r="243" spans="1:20" x14ac:dyDescent="0.25">
      <c r="A243" s="5">
        <v>44350</v>
      </c>
      <c r="B243">
        <v>1.7592E-2</v>
      </c>
      <c r="C243">
        <v>1.8853000000000002E-2</v>
      </c>
      <c r="D243">
        <v>1.7321E-2</v>
      </c>
      <c r="E243">
        <v>1.8853000000000002E-2</v>
      </c>
      <c r="F243">
        <v>687523517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1</v>
      </c>
      <c r="Q243">
        <f t="shared" si="960"/>
        <v>687523517</v>
      </c>
      <c r="R243">
        <f t="shared" si="961"/>
        <v>25520054558.36528</v>
      </c>
      <c r="S243">
        <f t="shared" si="962"/>
        <v>255200.5455836528</v>
      </c>
      <c r="T243">
        <f t="shared" si="963"/>
        <v>255.2005455836528</v>
      </c>
    </row>
    <row r="244" spans="1:20" x14ac:dyDescent="0.25">
      <c r="A244" s="5">
        <v>44349</v>
      </c>
      <c r="B244">
        <v>1.7156000000000001E-2</v>
      </c>
      <c r="C244">
        <v>1.7859E-2</v>
      </c>
      <c r="D244">
        <v>1.6784E-2</v>
      </c>
      <c r="E244">
        <v>1.7600999999999999E-2</v>
      </c>
      <c r="F244">
        <v>558017115</v>
      </c>
      <c r="G244">
        <v>0</v>
      </c>
      <c r="L244" t="s">
        <v>7</v>
      </c>
      <c r="M244" t="s">
        <v>7</v>
      </c>
      <c r="N244" t="s">
        <v>8</v>
      </c>
      <c r="P244">
        <f t="shared" si="959"/>
        <v>0.51999999999999746</v>
      </c>
      <c r="Q244">
        <f t="shared" si="960"/>
        <v>290168899.79999858</v>
      </c>
      <c r="R244">
        <f t="shared" si="961"/>
        <v>24832531041.36528</v>
      </c>
      <c r="S244">
        <f t="shared" si="962"/>
        <v>248325.3104136528</v>
      </c>
      <c r="T244">
        <f t="shared" si="963"/>
        <v>248.3253104136528</v>
      </c>
    </row>
    <row r="245" spans="1:20" x14ac:dyDescent="0.25">
      <c r="A245" s="5">
        <v>44348</v>
      </c>
      <c r="B245">
        <v>1.7840000000000002E-2</v>
      </c>
      <c r="C245">
        <v>1.8119E-2</v>
      </c>
      <c r="D245">
        <v>1.6621E-2</v>
      </c>
      <c r="E245">
        <v>1.7127E-2</v>
      </c>
      <c r="F245">
        <v>543278316</v>
      </c>
      <c r="G245">
        <v>0</v>
      </c>
      <c r="L245" t="s">
        <v>8</v>
      </c>
      <c r="M245" t="s">
        <v>7</v>
      </c>
      <c r="N245" t="s">
        <v>8</v>
      </c>
      <c r="P245">
        <f t="shared" si="959"/>
        <v>-0.3244325767690257</v>
      </c>
      <c r="Q245">
        <f t="shared" si="960"/>
        <v>-176257183.96261701</v>
      </c>
      <c r="R245">
        <f t="shared" si="961"/>
        <v>24542362141.565281</v>
      </c>
      <c r="S245">
        <f t="shared" si="962"/>
        <v>245423.6214156528</v>
      </c>
      <c r="T245">
        <f t="shared" si="963"/>
        <v>245.4236214156528</v>
      </c>
    </row>
    <row r="246" spans="1:20" x14ac:dyDescent="0.25">
      <c r="A246" s="5">
        <v>44347</v>
      </c>
      <c r="B246">
        <v>1.7044E-2</v>
      </c>
      <c r="C246">
        <v>1.7930000000000001E-2</v>
      </c>
      <c r="D246">
        <v>1.5921999999999999E-2</v>
      </c>
      <c r="E246">
        <v>1.7840000000000002E-2</v>
      </c>
      <c r="F246">
        <v>725962305</v>
      </c>
      <c r="G246">
        <v>0</v>
      </c>
      <c r="L246" t="s">
        <v>7</v>
      </c>
      <c r="M246" t="s">
        <v>7</v>
      </c>
      <c r="N246" t="s">
        <v>8</v>
      </c>
      <c r="P246">
        <f t="shared" si="959"/>
        <v>0.91035856573705209</v>
      </c>
      <c r="Q246">
        <f t="shared" si="960"/>
        <v>660886002.75896442</v>
      </c>
      <c r="R246">
        <f t="shared" si="961"/>
        <v>24718619325.527897</v>
      </c>
      <c r="S246">
        <f t="shared" si="962"/>
        <v>247186.19325527898</v>
      </c>
      <c r="T246">
        <f t="shared" si="963"/>
        <v>247.18619325527899</v>
      </c>
    </row>
    <row r="247" spans="1:20" x14ac:dyDescent="0.25">
      <c r="A247" s="5">
        <v>44346</v>
      </c>
      <c r="B247">
        <v>1.6258999999999999E-2</v>
      </c>
      <c r="C247">
        <v>1.7655000000000001E-2</v>
      </c>
      <c r="D247">
        <v>1.5350000000000001E-2</v>
      </c>
      <c r="E247">
        <v>1.7044E-2</v>
      </c>
      <c r="F247">
        <v>711662674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0.46984815618221215</v>
      </c>
      <c r="Q247">
        <f t="shared" si="960"/>
        <v>334373395.20260274</v>
      </c>
      <c r="R247">
        <f t="shared" si="961"/>
        <v>24057733322.768932</v>
      </c>
      <c r="S247">
        <f t="shared" si="962"/>
        <v>240577.33322768932</v>
      </c>
      <c r="T247">
        <f t="shared" si="963"/>
        <v>240.57733322768931</v>
      </c>
    </row>
    <row r="248" spans="1:20" x14ac:dyDescent="0.25">
      <c r="A248" s="5">
        <v>44345</v>
      </c>
      <c r="B248">
        <v>1.668E-2</v>
      </c>
      <c r="C248">
        <v>1.7461999999999998E-2</v>
      </c>
      <c r="D248">
        <v>1.5178000000000001E-2</v>
      </c>
      <c r="E248">
        <v>1.6237000000000001E-2</v>
      </c>
      <c r="F248">
        <v>845223874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-7.2679509632222486E-2</v>
      </c>
      <c r="Q248">
        <f t="shared" si="960"/>
        <v>-61430456.691767402</v>
      </c>
      <c r="R248">
        <f t="shared" si="961"/>
        <v>23723359927.56633</v>
      </c>
      <c r="S248">
        <f t="shared" si="962"/>
        <v>237233.59927566329</v>
      </c>
      <c r="T248">
        <f t="shared" si="963"/>
        <v>237.23359927566329</v>
      </c>
    </row>
    <row r="249" spans="1:20" x14ac:dyDescent="0.25">
      <c r="A249" s="5">
        <v>44344</v>
      </c>
      <c r="B249">
        <v>1.9035E-2</v>
      </c>
      <c r="C249">
        <v>1.9439000000000001E-2</v>
      </c>
      <c r="D249">
        <v>1.6005999999999999E-2</v>
      </c>
      <c r="E249">
        <v>1.6684999999999998E-2</v>
      </c>
      <c r="F249">
        <v>1201162463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-0.60442761433148928</v>
      </c>
      <c r="Q249">
        <f t="shared" si="960"/>
        <v>-726015761.93562579</v>
      </c>
      <c r="R249">
        <f t="shared" si="961"/>
        <v>23784790384.258099</v>
      </c>
      <c r="S249">
        <f t="shared" si="962"/>
        <v>237847.903842581</v>
      </c>
      <c r="T249">
        <f t="shared" si="963"/>
        <v>237.84790384258099</v>
      </c>
    </row>
    <row r="250" spans="1:20" x14ac:dyDescent="0.25">
      <c r="A250" s="5">
        <v>44343</v>
      </c>
      <c r="B250">
        <v>2.0490000000000001E-2</v>
      </c>
      <c r="C250">
        <v>2.0513E-2</v>
      </c>
      <c r="D250">
        <v>1.8223E-2</v>
      </c>
      <c r="E250">
        <v>1.9033000000000001E-2</v>
      </c>
      <c r="F250">
        <v>924318085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-0.29257641921397243</v>
      </c>
      <c r="Q250">
        <f t="shared" si="960"/>
        <v>-270433675.5240162</v>
      </c>
      <c r="R250">
        <f t="shared" si="961"/>
        <v>24510806146.193726</v>
      </c>
      <c r="S250">
        <f t="shared" si="962"/>
        <v>245108.06146193726</v>
      </c>
      <c r="T250">
        <f t="shared" si="963"/>
        <v>245.10806146193727</v>
      </c>
    </row>
    <row r="251" spans="1:20" x14ac:dyDescent="0.25">
      <c r="A251" s="5">
        <v>44342</v>
      </c>
      <c r="B251">
        <v>1.763E-2</v>
      </c>
      <c r="C251">
        <v>2.1000000000000001E-2</v>
      </c>
      <c r="D251">
        <v>1.7607999999999999E-2</v>
      </c>
      <c r="E251">
        <v>2.0466999999999999E-2</v>
      </c>
      <c r="F251">
        <v>2134623426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0.68573113207547065</v>
      </c>
      <c r="Q251">
        <f t="shared" si="960"/>
        <v>1463777738.4657996</v>
      </c>
      <c r="R251">
        <f t="shared" si="961"/>
        <v>24781239821.717743</v>
      </c>
      <c r="S251">
        <f t="shared" si="962"/>
        <v>247812.39821717743</v>
      </c>
      <c r="T251">
        <f t="shared" si="963"/>
        <v>247.81239821717742</v>
      </c>
    </row>
    <row r="252" spans="1:20" x14ac:dyDescent="0.25">
      <c r="A252" s="5">
        <v>44341</v>
      </c>
      <c r="B252">
        <v>1.7845E-2</v>
      </c>
      <c r="C252">
        <v>1.848E-2</v>
      </c>
      <c r="D252">
        <v>1.5869000000000001E-2</v>
      </c>
      <c r="E252">
        <v>1.7559000000000002E-2</v>
      </c>
      <c r="F252">
        <v>1475277918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0.29452317119877547</v>
      </c>
      <c r="Q252">
        <f t="shared" si="960"/>
        <v>434503530.80888706</v>
      </c>
      <c r="R252">
        <f t="shared" si="961"/>
        <v>23317462083.251942</v>
      </c>
      <c r="S252">
        <f t="shared" si="962"/>
        <v>233174.62083251943</v>
      </c>
      <c r="T252">
        <f t="shared" si="963"/>
        <v>233.17462083251942</v>
      </c>
    </row>
    <row r="253" spans="1:20" x14ac:dyDescent="0.25">
      <c r="A253" s="5">
        <v>44340</v>
      </c>
      <c r="B253">
        <v>1.4964999999999999E-2</v>
      </c>
      <c r="C253">
        <v>1.8204999999999999E-2</v>
      </c>
      <c r="D253">
        <v>1.4142E-2</v>
      </c>
      <c r="E253">
        <v>1.7853999999999998E-2</v>
      </c>
      <c r="F253">
        <v>1537197266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0.82722126507506732</v>
      </c>
      <c r="Q253">
        <f t="shared" si="960"/>
        <v>1271602267.0504549</v>
      </c>
      <c r="R253">
        <f t="shared" si="961"/>
        <v>22882958552.443054</v>
      </c>
      <c r="S253">
        <f t="shared" si="962"/>
        <v>228829.58552443053</v>
      </c>
      <c r="T253">
        <f t="shared" si="963"/>
        <v>228.82958552443054</v>
      </c>
    </row>
    <row r="254" spans="1:20" x14ac:dyDescent="0.25">
      <c r="A254" s="5">
        <v>44339</v>
      </c>
      <c r="B254">
        <v>1.9054999999999999E-2</v>
      </c>
      <c r="C254">
        <v>1.9054999999999999E-2</v>
      </c>
      <c r="D254">
        <v>1.1965999999999999E-2</v>
      </c>
      <c r="E254">
        <v>1.4951000000000001E-2</v>
      </c>
      <c r="F254">
        <v>1834021430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-0.15785019043588613</v>
      </c>
      <c r="Q254">
        <f t="shared" si="960"/>
        <v>-289500631.98899621</v>
      </c>
      <c r="R254">
        <f t="shared" si="961"/>
        <v>21611356285.392601</v>
      </c>
      <c r="S254">
        <f t="shared" si="962"/>
        <v>216113.56285392601</v>
      </c>
      <c r="T254">
        <f t="shared" si="963"/>
        <v>216.113562853926</v>
      </c>
    </row>
    <row r="255" spans="1:20" x14ac:dyDescent="0.25">
      <c r="A255" s="5">
        <v>44338</v>
      </c>
      <c r="B255">
        <v>1.9040999999999999E-2</v>
      </c>
      <c r="C255">
        <v>1.9709000000000001E-2</v>
      </c>
      <c r="D255">
        <v>1.6778999999999999E-2</v>
      </c>
      <c r="E255">
        <v>1.9009999999999999E-2</v>
      </c>
      <c r="F255">
        <v>1229196668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0.5228668941979514</v>
      </c>
      <c r="Q255">
        <f t="shared" si="960"/>
        <v>642706244.15563035</v>
      </c>
      <c r="R255">
        <f t="shared" si="961"/>
        <v>21900856917.381596</v>
      </c>
      <c r="S255">
        <f t="shared" si="962"/>
        <v>219008.56917381595</v>
      </c>
      <c r="T255">
        <f t="shared" si="963"/>
        <v>219.00856917381594</v>
      </c>
    </row>
    <row r="256" spans="1:20" x14ac:dyDescent="0.25">
      <c r="A256" s="5">
        <v>44337</v>
      </c>
      <c r="B256">
        <v>2.0291E-2</v>
      </c>
      <c r="C256">
        <v>2.3E-2</v>
      </c>
      <c r="D256">
        <v>1.52E-2</v>
      </c>
      <c r="E256">
        <v>1.9035E-2</v>
      </c>
      <c r="F256">
        <v>1684974722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-1.6666666666666656E-2</v>
      </c>
      <c r="Q256">
        <f t="shared" si="960"/>
        <v>-28082912.033333316</v>
      </c>
      <c r="R256">
        <f t="shared" si="961"/>
        <v>21258150673.225964</v>
      </c>
      <c r="S256">
        <f t="shared" si="962"/>
        <v>212581.50673225964</v>
      </c>
      <c r="T256">
        <f t="shared" si="963"/>
        <v>212.58150673225964</v>
      </c>
    </row>
    <row r="257" spans="1:20" x14ac:dyDescent="0.25">
      <c r="A257" s="5">
        <v>44336</v>
      </c>
      <c r="B257">
        <v>1.7059999999999999E-2</v>
      </c>
      <c r="C257">
        <v>2.1231E-2</v>
      </c>
      <c r="D257">
        <v>1.5054E-2</v>
      </c>
      <c r="E257">
        <v>2.0330999999999998E-2</v>
      </c>
      <c r="F257">
        <v>1501096688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0.70859640602234042</v>
      </c>
      <c r="Q257">
        <f t="shared" si="960"/>
        <v>1063671718.2088385</v>
      </c>
      <c r="R257">
        <f t="shared" si="961"/>
        <v>21286233585.259296</v>
      </c>
      <c r="S257">
        <f t="shared" si="962"/>
        <v>212862.33585259295</v>
      </c>
      <c r="T257">
        <f t="shared" si="963"/>
        <v>212.86233585259296</v>
      </c>
    </row>
    <row r="258" spans="1:20" x14ac:dyDescent="0.25">
      <c r="A258" s="5">
        <v>44335</v>
      </c>
      <c r="B258">
        <v>2.6956999999999998E-2</v>
      </c>
      <c r="C258">
        <v>2.7651999999999999E-2</v>
      </c>
      <c r="D258">
        <v>1.2123E-2</v>
      </c>
      <c r="E258">
        <v>1.7054E-2</v>
      </c>
      <c r="F258">
        <v>2762252339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-0.36493013072316316</v>
      </c>
      <c r="Q258">
        <f t="shared" si="960"/>
        <v>-1008029107.1616333</v>
      </c>
      <c r="R258">
        <f t="shared" si="961"/>
        <v>20222561867.050457</v>
      </c>
      <c r="S258">
        <f t="shared" si="962"/>
        <v>202225.61867050457</v>
      </c>
      <c r="T258">
        <f t="shared" si="963"/>
        <v>202.22561867050456</v>
      </c>
    </row>
    <row r="259" spans="1:20" x14ac:dyDescent="0.25">
      <c r="A259" s="5">
        <v>44334</v>
      </c>
      <c r="B259">
        <v>2.6055999999999999E-2</v>
      </c>
      <c r="C259">
        <v>2.8500000000000001E-2</v>
      </c>
      <c r="D259">
        <v>2.5677999999999999E-2</v>
      </c>
      <c r="E259">
        <v>2.6950999999999999E-2</v>
      </c>
      <c r="F259">
        <v>838543608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-9.780297661233231E-2</v>
      </c>
      <c r="Q259">
        <f t="shared" si="960"/>
        <v>-82012060.881644756</v>
      </c>
      <c r="R259">
        <f t="shared" si="961"/>
        <v>21230590974.21209</v>
      </c>
      <c r="S259">
        <f t="shared" si="962"/>
        <v>212305.90974212089</v>
      </c>
      <c r="T259">
        <f t="shared" si="963"/>
        <v>212.30590974212089</v>
      </c>
    </row>
    <row r="260" spans="1:20" x14ac:dyDescent="0.25">
      <c r="A260" s="5">
        <v>44333</v>
      </c>
      <c r="B260">
        <v>2.8903999999999999E-2</v>
      </c>
      <c r="C260">
        <v>2.8996999999999998E-2</v>
      </c>
      <c r="D260">
        <v>2.4395E-2</v>
      </c>
      <c r="E260">
        <v>2.6061999999999998E-2</v>
      </c>
      <c r="F260">
        <v>1018993060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-0.27553237722729296</v>
      </c>
      <c r="Q260">
        <f t="shared" si="960"/>
        <v>-280765580.19991356</v>
      </c>
      <c r="R260">
        <f t="shared" si="961"/>
        <v>21312603035.093735</v>
      </c>
      <c r="S260">
        <f t="shared" si="962"/>
        <v>213126.03035093733</v>
      </c>
      <c r="T260">
        <f t="shared" si="963"/>
        <v>213.12603035093733</v>
      </c>
    </row>
    <row r="261" spans="1:20" x14ac:dyDescent="0.25">
      <c r="A261" s="5">
        <v>44332</v>
      </c>
      <c r="B261">
        <v>2.9163999999999999E-2</v>
      </c>
      <c r="C261">
        <v>3.2097000000000001E-2</v>
      </c>
      <c r="D261">
        <v>2.6369E-2</v>
      </c>
      <c r="E261">
        <v>2.8902000000000001E-2</v>
      </c>
      <c r="F261">
        <v>812770465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-0.11557262569832391</v>
      </c>
      <c r="Q261">
        <f t="shared" si="960"/>
        <v>-93934016.730097681</v>
      </c>
      <c r="R261">
        <f t="shared" si="961"/>
        <v>21593368615.293648</v>
      </c>
      <c r="S261">
        <f t="shared" si="962"/>
        <v>215933.68615293648</v>
      </c>
      <c r="T261">
        <f t="shared" si="963"/>
        <v>215.93368615293647</v>
      </c>
    </row>
    <row r="262" spans="1:20" x14ac:dyDescent="0.25">
      <c r="A262" s="5">
        <v>44331</v>
      </c>
      <c r="B262">
        <v>3.2303999999999999E-2</v>
      </c>
      <c r="C262">
        <v>3.2735E-2</v>
      </c>
      <c r="D262">
        <v>2.8385000000000001E-2</v>
      </c>
      <c r="E262">
        <v>2.9165E-2</v>
      </c>
      <c r="F262">
        <v>712673678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-0.64137931034482787</v>
      </c>
      <c r="Q262">
        <f t="shared" ref="Q262:Q325" si="965">F262*P262</f>
        <v>-457094152.09655195</v>
      </c>
      <c r="R262">
        <f t="shared" ref="R262:R325" si="966">R263+Q262</f>
        <v>21687302632.023746</v>
      </c>
      <c r="S262">
        <f t="shared" ref="S262:S325" si="967">R262/100000</f>
        <v>216873.02632023746</v>
      </c>
      <c r="T262">
        <f t="shared" ref="T262:T325" si="968">S262/1000</f>
        <v>216.87302632023747</v>
      </c>
    </row>
    <row r="263" spans="1:20" x14ac:dyDescent="0.25">
      <c r="A263" s="5">
        <v>44330</v>
      </c>
      <c r="B263">
        <v>3.0502000000000001E-2</v>
      </c>
      <c r="C263">
        <v>3.3579999999999999E-2</v>
      </c>
      <c r="D263">
        <v>3.0341E-2</v>
      </c>
      <c r="E263">
        <v>3.2300000000000002E-2</v>
      </c>
      <c r="F263">
        <v>785614389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0.20963260265514241</v>
      </c>
      <c r="Q263">
        <f t="shared" si="965"/>
        <v>164690389.0493995</v>
      </c>
      <c r="R263">
        <f t="shared" si="966"/>
        <v>22144396784.1203</v>
      </c>
      <c r="S263">
        <f t="shared" si="967"/>
        <v>221443.967841203</v>
      </c>
      <c r="T263">
        <f t="shared" si="968"/>
        <v>221.443967841203</v>
      </c>
    </row>
    <row r="264" spans="1:20" x14ac:dyDescent="0.25">
      <c r="A264" s="5">
        <v>44329</v>
      </c>
      <c r="B264">
        <v>2.9391E-2</v>
      </c>
      <c r="C264">
        <v>3.2807000000000003E-2</v>
      </c>
      <c r="D264">
        <v>2.7E-2</v>
      </c>
      <c r="E264">
        <v>3.0540999999999999E-2</v>
      </c>
      <c r="F264">
        <v>1595352828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0.21956259686585056</v>
      </c>
      <c r="Q264">
        <f t="shared" si="965"/>
        <v>350279809.83295864</v>
      </c>
      <c r="R264">
        <f t="shared" si="966"/>
        <v>21979706395.0709</v>
      </c>
      <c r="S264">
        <f t="shared" si="967"/>
        <v>219797.06395070901</v>
      </c>
      <c r="T264">
        <f t="shared" si="968"/>
        <v>219.797063950709</v>
      </c>
    </row>
    <row r="265" spans="1:20" x14ac:dyDescent="0.25">
      <c r="A265" s="5">
        <v>44328</v>
      </c>
      <c r="B265">
        <v>3.7272E-2</v>
      </c>
      <c r="C265">
        <v>3.8581999999999998E-2</v>
      </c>
      <c r="D265">
        <v>2.8753999999999998E-2</v>
      </c>
      <c r="E265">
        <v>2.9426000000000001E-2</v>
      </c>
      <c r="F265">
        <v>1055483918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-0.86324786324786273</v>
      </c>
      <c r="Q265">
        <f t="shared" si="965"/>
        <v>-911144236.90598238</v>
      </c>
      <c r="R265">
        <f t="shared" si="966"/>
        <v>21629426585.237942</v>
      </c>
      <c r="S265">
        <f t="shared" si="967"/>
        <v>216294.26585237941</v>
      </c>
      <c r="T265">
        <f t="shared" si="968"/>
        <v>216.2942658523794</v>
      </c>
    </row>
    <row r="266" spans="1:20" x14ac:dyDescent="0.25">
      <c r="A266" s="5">
        <v>44327</v>
      </c>
      <c r="B266">
        <v>3.4512000000000001E-2</v>
      </c>
      <c r="C266">
        <v>3.7829000000000002E-2</v>
      </c>
      <c r="D266">
        <v>3.3048000000000001E-2</v>
      </c>
      <c r="E266">
        <v>3.7283999999999998E-2</v>
      </c>
      <c r="F266">
        <v>1181633557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0.77201422296590516</v>
      </c>
      <c r="Q266">
        <f t="shared" si="965"/>
        <v>912237912.33779359</v>
      </c>
      <c r="R266">
        <f t="shared" si="966"/>
        <v>22540570822.143925</v>
      </c>
      <c r="S266">
        <f t="shared" si="967"/>
        <v>225405.70822143924</v>
      </c>
      <c r="T266">
        <f t="shared" si="968"/>
        <v>225.40570822143926</v>
      </c>
    </row>
    <row r="267" spans="1:20" x14ac:dyDescent="0.25">
      <c r="A267" s="5">
        <v>44326</v>
      </c>
      <c r="B267">
        <v>3.9376000000000001E-2</v>
      </c>
      <c r="C267">
        <v>4.0108999999999999E-2</v>
      </c>
      <c r="D267">
        <v>3.2067999999999999E-2</v>
      </c>
      <c r="E267">
        <v>3.4500999999999997E-2</v>
      </c>
      <c r="F267">
        <v>1496151703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-0.39485138664345287</v>
      </c>
      <c r="Q267">
        <f t="shared" si="965"/>
        <v>-590757574.55851352</v>
      </c>
      <c r="R267">
        <f t="shared" si="966"/>
        <v>21628332909.806129</v>
      </c>
      <c r="S267">
        <f t="shared" si="967"/>
        <v>216283.32909806128</v>
      </c>
      <c r="T267">
        <f t="shared" si="968"/>
        <v>216.28332909806127</v>
      </c>
    </row>
    <row r="268" spans="1:20" x14ac:dyDescent="0.25">
      <c r="A268" s="5">
        <v>44325</v>
      </c>
      <c r="B268">
        <v>4.0390000000000002E-2</v>
      </c>
      <c r="C268">
        <v>4.1223000000000003E-2</v>
      </c>
      <c r="D268">
        <v>3.7189E-2</v>
      </c>
      <c r="E268">
        <v>3.9399999999999998E-2</v>
      </c>
      <c r="F268">
        <v>1213109509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9.6182449181951471E-2</v>
      </c>
      <c r="Q268">
        <f t="shared" si="965"/>
        <v>116679843.7015346</v>
      </c>
      <c r="R268">
        <f t="shared" si="966"/>
        <v>22219090484.364643</v>
      </c>
      <c r="S268">
        <f t="shared" si="967"/>
        <v>222190.90484364642</v>
      </c>
      <c r="T268">
        <f t="shared" si="968"/>
        <v>222.19090484364642</v>
      </c>
    </row>
    <row r="269" spans="1:20" x14ac:dyDescent="0.25">
      <c r="A269" s="5">
        <v>44324</v>
      </c>
      <c r="B269">
        <v>4.2417999999999997E-2</v>
      </c>
      <c r="C269">
        <v>4.2880000000000001E-2</v>
      </c>
      <c r="D269">
        <v>3.9516999999999997E-2</v>
      </c>
      <c r="E269">
        <v>4.0389000000000001E-2</v>
      </c>
      <c r="F269">
        <v>1080182491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-0.48141540291406276</v>
      </c>
      <c r="Q269">
        <f t="shared" si="965"/>
        <v>-520016489.12548095</v>
      </c>
      <c r="R269">
        <f t="shared" si="966"/>
        <v>22102410640.663109</v>
      </c>
      <c r="S269">
        <f t="shared" si="967"/>
        <v>221024.10640663109</v>
      </c>
      <c r="T269">
        <f t="shared" si="968"/>
        <v>221.02410640663109</v>
      </c>
    </row>
    <row r="270" spans="1:20" x14ac:dyDescent="0.25">
      <c r="A270" s="5">
        <v>44323</v>
      </c>
      <c r="B270">
        <v>4.1230000000000003E-2</v>
      </c>
      <c r="C270">
        <v>4.4734000000000003E-2</v>
      </c>
      <c r="D270">
        <v>3.8836000000000002E-2</v>
      </c>
      <c r="E270">
        <v>4.2415000000000001E-2</v>
      </c>
      <c r="F270">
        <v>2013079255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0.21363173957273604</v>
      </c>
      <c r="Q270">
        <f t="shared" si="965"/>
        <v>430057623.1434375</v>
      </c>
      <c r="R270">
        <f t="shared" si="966"/>
        <v>22622427129.788589</v>
      </c>
      <c r="S270">
        <f t="shared" si="967"/>
        <v>226224.27129788589</v>
      </c>
      <c r="T270">
        <f t="shared" si="968"/>
        <v>226.22427129788588</v>
      </c>
    </row>
    <row r="271" spans="1:20" x14ac:dyDescent="0.25">
      <c r="A271" s="5">
        <v>44322</v>
      </c>
      <c r="B271">
        <v>4.1138000000000001E-2</v>
      </c>
      <c r="C271">
        <v>4.4276999999999997E-2</v>
      </c>
      <c r="D271">
        <v>3.8773000000000002E-2</v>
      </c>
      <c r="E271">
        <v>4.1230000000000003E-2</v>
      </c>
      <c r="F271">
        <v>2177571039</v>
      </c>
      <c r="G271">
        <v>0</v>
      </c>
      <c r="L271" t="s">
        <v>7</v>
      </c>
      <c r="M271" t="s">
        <v>8</v>
      </c>
      <c r="N271" t="s">
        <v>8</v>
      </c>
      <c r="P271">
        <f t="shared" si="964"/>
        <v>-0.10719476744185935</v>
      </c>
      <c r="Q271">
        <f t="shared" si="965"/>
        <v>-233424221.11373305</v>
      </c>
      <c r="R271">
        <f t="shared" si="966"/>
        <v>22192369506.645153</v>
      </c>
      <c r="S271">
        <f t="shared" si="967"/>
        <v>221923.69506645153</v>
      </c>
      <c r="T271">
        <f t="shared" si="968"/>
        <v>221.92369506645153</v>
      </c>
    </row>
    <row r="272" spans="1:20" x14ac:dyDescent="0.25">
      <c r="A272" s="5">
        <v>44321</v>
      </c>
      <c r="B272">
        <v>3.5783000000000002E-2</v>
      </c>
      <c r="C272">
        <v>4.4999999999999998E-2</v>
      </c>
      <c r="D272">
        <v>3.5349999999999999E-2</v>
      </c>
      <c r="E272">
        <v>4.1105000000000003E-2</v>
      </c>
      <c r="F272">
        <v>3521414983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0.19274611398963809</v>
      </c>
      <c r="Q272">
        <f t="shared" si="965"/>
        <v>678739053.7181375</v>
      </c>
      <c r="R272">
        <f t="shared" si="966"/>
        <v>22425793727.758884</v>
      </c>
      <c r="S272">
        <f t="shared" si="967"/>
        <v>224257.93727758885</v>
      </c>
      <c r="T272">
        <f t="shared" si="968"/>
        <v>224.25793727758884</v>
      </c>
    </row>
    <row r="273" spans="1:20" x14ac:dyDescent="0.25">
      <c r="A273" s="5">
        <v>44320</v>
      </c>
      <c r="B273">
        <v>4.0596E-2</v>
      </c>
      <c r="C273">
        <v>4.0680000000000001E-2</v>
      </c>
      <c r="D273">
        <v>3.4689999999999999E-2</v>
      </c>
      <c r="E273">
        <v>3.5784000000000003E-2</v>
      </c>
      <c r="F273">
        <v>1755214795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-0.6347245409015011</v>
      </c>
      <c r="Q273">
        <f t="shared" si="965"/>
        <v>-1114077904.9398973</v>
      </c>
      <c r="R273">
        <f t="shared" si="966"/>
        <v>21747054674.040749</v>
      </c>
      <c r="S273">
        <f t="shared" si="967"/>
        <v>217470.54674040747</v>
      </c>
      <c r="T273">
        <f t="shared" si="968"/>
        <v>217.47054674040749</v>
      </c>
    </row>
    <row r="274" spans="1:20" x14ac:dyDescent="0.25">
      <c r="A274" s="5">
        <v>44319</v>
      </c>
      <c r="B274">
        <v>4.1376999999999997E-2</v>
      </c>
      <c r="C274">
        <v>4.2779999999999999E-2</v>
      </c>
      <c r="D274">
        <v>0.04</v>
      </c>
      <c r="E274">
        <v>4.0633000000000002E-2</v>
      </c>
      <c r="F274">
        <v>1160655879</v>
      </c>
      <c r="G274">
        <v>0</v>
      </c>
      <c r="L274" t="s">
        <v>7</v>
      </c>
      <c r="M274" t="s">
        <v>8</v>
      </c>
      <c r="N274" t="s">
        <v>8</v>
      </c>
      <c r="P274">
        <f t="shared" si="964"/>
        <v>-0.54460431654676111</v>
      </c>
      <c r="Q274">
        <f t="shared" si="965"/>
        <v>-632098201.72877526</v>
      </c>
      <c r="R274">
        <f t="shared" si="966"/>
        <v>22861132578.980644</v>
      </c>
      <c r="S274">
        <f t="shared" si="967"/>
        <v>228611.32578980643</v>
      </c>
      <c r="T274">
        <f t="shared" si="968"/>
        <v>228.61132578980644</v>
      </c>
    </row>
    <row r="275" spans="1:20" x14ac:dyDescent="0.25">
      <c r="A275" s="5">
        <v>44318</v>
      </c>
      <c r="B275">
        <v>3.9955999999999998E-2</v>
      </c>
      <c r="C275">
        <v>4.2950000000000002E-2</v>
      </c>
      <c r="D275">
        <v>3.9266000000000002E-2</v>
      </c>
      <c r="E275">
        <v>4.1390999999999997E-2</v>
      </c>
      <c r="F275">
        <v>1939748131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0.15363735070575193</v>
      </c>
      <c r="Q275">
        <f t="shared" si="965"/>
        <v>298017763.88327384</v>
      </c>
      <c r="R275">
        <f t="shared" si="966"/>
        <v>23493230780.709419</v>
      </c>
      <c r="S275">
        <f t="shared" si="967"/>
        <v>234932.30780709418</v>
      </c>
      <c r="T275">
        <f t="shared" si="968"/>
        <v>234.93230780709419</v>
      </c>
    </row>
    <row r="276" spans="1:20" x14ac:dyDescent="0.25">
      <c r="A276" s="5">
        <v>44317</v>
      </c>
      <c r="B276">
        <v>4.0811E-2</v>
      </c>
      <c r="C276">
        <v>4.1231999999999998E-2</v>
      </c>
      <c r="D276">
        <v>3.8545000000000003E-2</v>
      </c>
      <c r="E276">
        <v>3.9955999999999998E-2</v>
      </c>
      <c r="F276">
        <v>1142575036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5.0241905470783957E-2</v>
      </c>
      <c r="Q276">
        <f t="shared" si="965"/>
        <v>57405146.951989576</v>
      </c>
      <c r="R276">
        <f t="shared" si="966"/>
        <v>23195213016.826145</v>
      </c>
      <c r="S276">
        <f t="shared" si="967"/>
        <v>231952.13016826144</v>
      </c>
      <c r="T276">
        <f t="shared" si="968"/>
        <v>231.95213016826145</v>
      </c>
    </row>
    <row r="277" spans="1:20" x14ac:dyDescent="0.25">
      <c r="A277" s="5">
        <v>44316</v>
      </c>
      <c r="B277">
        <v>3.7748999999999998E-2</v>
      </c>
      <c r="C277">
        <v>4.1000000000000002E-2</v>
      </c>
      <c r="D277">
        <v>3.6799999999999999E-2</v>
      </c>
      <c r="E277">
        <v>4.0828000000000003E-2</v>
      </c>
      <c r="F277">
        <v>1188233701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0.91809523809523885</v>
      </c>
      <c r="Q277">
        <f t="shared" si="965"/>
        <v>1090911702.6323819</v>
      </c>
      <c r="R277">
        <f t="shared" si="966"/>
        <v>23137807869.874157</v>
      </c>
      <c r="S277">
        <f t="shared" si="967"/>
        <v>231378.07869874156</v>
      </c>
      <c r="T277">
        <f t="shared" si="968"/>
        <v>231.37807869874158</v>
      </c>
    </row>
    <row r="278" spans="1:20" x14ac:dyDescent="0.25">
      <c r="A278" s="5">
        <v>44315</v>
      </c>
      <c r="B278">
        <v>3.9291E-2</v>
      </c>
      <c r="C278">
        <v>3.95E-2</v>
      </c>
      <c r="D278">
        <v>3.6020000000000003E-2</v>
      </c>
      <c r="E278">
        <v>3.7747000000000003E-2</v>
      </c>
      <c r="F278">
        <v>1209031836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-7.4712643678155949E-3</v>
      </c>
      <c r="Q278">
        <f t="shared" si="965"/>
        <v>-9032996.4758614674</v>
      </c>
      <c r="R278">
        <f t="shared" si="966"/>
        <v>22046896167.241776</v>
      </c>
      <c r="S278">
        <f t="shared" si="967"/>
        <v>220468.96167241776</v>
      </c>
      <c r="T278">
        <f t="shared" si="968"/>
        <v>220.46896167241775</v>
      </c>
    </row>
    <row r="279" spans="1:20" x14ac:dyDescent="0.25">
      <c r="A279" s="5">
        <v>44314</v>
      </c>
      <c r="B279">
        <v>4.1118000000000002E-2</v>
      </c>
      <c r="C279">
        <v>4.3056999999999998E-2</v>
      </c>
      <c r="D279">
        <v>3.5861999999999998E-2</v>
      </c>
      <c r="E279">
        <v>3.9336000000000003E-2</v>
      </c>
      <c r="F279">
        <v>1949911669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-3.4329395413480235E-2</v>
      </c>
      <c r="Q279">
        <f t="shared" si="965"/>
        <v>-66939288.706460193</v>
      </c>
      <c r="R279">
        <f t="shared" si="966"/>
        <v>22055929163.717636</v>
      </c>
      <c r="S279">
        <f t="shared" si="967"/>
        <v>220559.29163717636</v>
      </c>
      <c r="T279">
        <f t="shared" si="968"/>
        <v>220.55929163717636</v>
      </c>
    </row>
    <row r="280" spans="1:20" x14ac:dyDescent="0.25">
      <c r="A280" s="5">
        <v>44313</v>
      </c>
      <c r="B280">
        <v>3.6747000000000002E-2</v>
      </c>
      <c r="C280">
        <v>4.19E-2</v>
      </c>
      <c r="D280">
        <v>3.5538E-2</v>
      </c>
      <c r="E280">
        <v>4.1118000000000002E-2</v>
      </c>
      <c r="F280">
        <v>2708086927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0.75416535680603647</v>
      </c>
      <c r="Q280">
        <f t="shared" si="965"/>
        <v>2042345343.5627179</v>
      </c>
      <c r="R280">
        <f t="shared" si="966"/>
        <v>22122868452.424095</v>
      </c>
      <c r="S280">
        <f t="shared" si="967"/>
        <v>221228.68452424096</v>
      </c>
      <c r="T280">
        <f t="shared" si="968"/>
        <v>221.22868452424098</v>
      </c>
    </row>
    <row r="281" spans="1:20" x14ac:dyDescent="0.25">
      <c r="A281" s="5">
        <v>44312</v>
      </c>
      <c r="B281">
        <v>3.0615E-2</v>
      </c>
      <c r="C281">
        <v>3.6999999999999998E-2</v>
      </c>
      <c r="D281">
        <v>2.9968000000000002E-2</v>
      </c>
      <c r="E281">
        <v>3.6799999999999999E-2</v>
      </c>
      <c r="F281">
        <v>2310913661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0.94311717861205946</v>
      </c>
      <c r="Q281">
        <f t="shared" si="965"/>
        <v>2179462371.9783854</v>
      </c>
      <c r="R281">
        <f t="shared" si="966"/>
        <v>20080523108.861378</v>
      </c>
      <c r="S281">
        <f t="shared" si="967"/>
        <v>200805.23108861377</v>
      </c>
      <c r="T281">
        <f t="shared" si="968"/>
        <v>200.80523108861377</v>
      </c>
    </row>
    <row r="282" spans="1:20" x14ac:dyDescent="0.25">
      <c r="A282" s="5">
        <v>44311</v>
      </c>
      <c r="B282">
        <v>3.1248000000000001E-2</v>
      </c>
      <c r="C282">
        <v>3.4319000000000002E-2</v>
      </c>
      <c r="D282">
        <v>2.7567999999999999E-2</v>
      </c>
      <c r="E282">
        <v>3.0615E-2</v>
      </c>
      <c r="F282">
        <v>1886168381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-9.7318915716190335E-2</v>
      </c>
      <c r="Q282">
        <f t="shared" si="965"/>
        <v>-183559861.69708219</v>
      </c>
      <c r="R282">
        <f t="shared" si="966"/>
        <v>17901060736.882992</v>
      </c>
      <c r="S282">
        <f t="shared" si="967"/>
        <v>179010.60736882992</v>
      </c>
      <c r="T282">
        <f t="shared" si="968"/>
        <v>179.01060736882991</v>
      </c>
    </row>
    <row r="283" spans="1:20" x14ac:dyDescent="0.25">
      <c r="A283" s="5">
        <v>44310</v>
      </c>
      <c r="B283">
        <v>3.4429000000000001E-2</v>
      </c>
      <c r="C283">
        <v>3.5360000000000003E-2</v>
      </c>
      <c r="D283">
        <v>3.0387999999999998E-2</v>
      </c>
      <c r="E283">
        <v>3.1198E-2</v>
      </c>
      <c r="F283">
        <v>2209858773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-0.67417538213998351</v>
      </c>
      <c r="Q283">
        <f t="shared" si="965"/>
        <v>-1489832382.76267</v>
      </c>
      <c r="R283">
        <f t="shared" si="966"/>
        <v>18084620598.580074</v>
      </c>
      <c r="S283">
        <f t="shared" si="967"/>
        <v>180846.20598580074</v>
      </c>
      <c r="T283">
        <f t="shared" si="968"/>
        <v>180.84620598580074</v>
      </c>
    </row>
    <row r="284" spans="1:20" x14ac:dyDescent="0.25">
      <c r="A284" s="5">
        <v>44309</v>
      </c>
      <c r="B284">
        <v>3.4674000000000003E-2</v>
      </c>
      <c r="C284">
        <v>3.526E-2</v>
      </c>
      <c r="D284">
        <v>2.5401E-2</v>
      </c>
      <c r="E284">
        <v>3.4429000000000001E-2</v>
      </c>
      <c r="F284">
        <v>4241608098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0.83142306521959664</v>
      </c>
      <c r="Q284">
        <f t="shared" si="965"/>
        <v>3526570806.2994232</v>
      </c>
      <c r="R284">
        <f t="shared" si="966"/>
        <v>19574452981.342743</v>
      </c>
      <c r="S284">
        <f t="shared" si="967"/>
        <v>195744.52981342742</v>
      </c>
      <c r="T284">
        <f t="shared" si="968"/>
        <v>195.74452981342742</v>
      </c>
    </row>
    <row r="285" spans="1:20" x14ac:dyDescent="0.25">
      <c r="A285" s="5">
        <v>44308</v>
      </c>
      <c r="B285">
        <v>4.2243999999999997E-2</v>
      </c>
      <c r="C285">
        <v>4.2987999999999998E-2</v>
      </c>
      <c r="D285">
        <v>3.3366E-2</v>
      </c>
      <c r="E285">
        <v>3.4672000000000001E-2</v>
      </c>
      <c r="F285">
        <v>3311461775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-0.72853876532945294</v>
      </c>
      <c r="Q285">
        <f t="shared" si="965"/>
        <v>-2412528272.9941788</v>
      </c>
      <c r="R285">
        <f t="shared" si="966"/>
        <v>16047882175.04332</v>
      </c>
      <c r="S285">
        <f t="shared" si="967"/>
        <v>160478.82175043318</v>
      </c>
      <c r="T285">
        <f t="shared" si="968"/>
        <v>160.47882175043318</v>
      </c>
    </row>
    <row r="286" spans="1:20" x14ac:dyDescent="0.25">
      <c r="A286" s="5">
        <v>44307</v>
      </c>
      <c r="B286">
        <v>4.4849E-2</v>
      </c>
      <c r="C286">
        <v>4.7899999999999998E-2</v>
      </c>
      <c r="D286">
        <v>4.1605000000000003E-2</v>
      </c>
      <c r="E286">
        <v>4.2159000000000002E-2</v>
      </c>
      <c r="F286">
        <v>3092738882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-0.82398729150119165</v>
      </c>
      <c r="Q286">
        <f t="shared" si="965"/>
        <v>-2548377534.6996036</v>
      </c>
      <c r="R286">
        <f t="shared" si="966"/>
        <v>18460410448.037498</v>
      </c>
      <c r="S286">
        <f t="shared" si="967"/>
        <v>184604.10448037498</v>
      </c>
      <c r="T286">
        <f t="shared" si="968"/>
        <v>184.60410448037499</v>
      </c>
    </row>
    <row r="287" spans="1:20" x14ac:dyDescent="0.25">
      <c r="A287" s="5">
        <v>44306</v>
      </c>
      <c r="B287">
        <v>4.3743999999999998E-2</v>
      </c>
      <c r="C287">
        <v>5.0200000000000002E-2</v>
      </c>
      <c r="D287">
        <v>3.7838999999999998E-2</v>
      </c>
      <c r="E287">
        <v>4.4844000000000002E-2</v>
      </c>
      <c r="F287">
        <v>4346045207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0.13340344632311335</v>
      </c>
      <c r="Q287">
        <f t="shared" si="965"/>
        <v>579777408.48984849</v>
      </c>
      <c r="R287">
        <f t="shared" si="966"/>
        <v>21008787982.737103</v>
      </c>
      <c r="S287">
        <f t="shared" si="967"/>
        <v>210087.87982737101</v>
      </c>
      <c r="T287">
        <f t="shared" si="968"/>
        <v>210.08787982737101</v>
      </c>
    </row>
    <row r="288" spans="1:20" x14ac:dyDescent="0.25">
      <c r="A288" s="5">
        <v>44305</v>
      </c>
      <c r="B288">
        <v>4.8084000000000002E-2</v>
      </c>
      <c r="C288">
        <v>4.9821999999999998E-2</v>
      </c>
      <c r="D288">
        <v>4.002E-2</v>
      </c>
      <c r="E288">
        <v>4.367E-2</v>
      </c>
      <c r="F288">
        <v>3552781451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-0.25525402978983858</v>
      </c>
      <c r="Q288">
        <f t="shared" si="965"/>
        <v>-906861782.33033991</v>
      </c>
      <c r="R288">
        <f t="shared" si="966"/>
        <v>20429010574.247253</v>
      </c>
      <c r="S288">
        <f t="shared" si="967"/>
        <v>204290.10574247254</v>
      </c>
      <c r="T288">
        <f t="shared" si="968"/>
        <v>204.29010574247255</v>
      </c>
    </row>
    <row r="289" spans="1:20" x14ac:dyDescent="0.25">
      <c r="A289" s="5">
        <v>44304</v>
      </c>
      <c r="B289">
        <v>5.2948000000000002E-2</v>
      </c>
      <c r="C289">
        <v>5.6857999999999999E-2</v>
      </c>
      <c r="D289">
        <v>3.8100000000000002E-2</v>
      </c>
      <c r="E289">
        <v>4.8084000000000002E-2</v>
      </c>
      <c r="F289">
        <v>6545340029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6.4505810854035769E-2</v>
      </c>
      <c r="Q289">
        <f t="shared" si="965"/>
        <v>422212465.88602298</v>
      </c>
      <c r="R289">
        <f t="shared" si="966"/>
        <v>21335872356.577595</v>
      </c>
      <c r="S289">
        <f t="shared" si="967"/>
        <v>213358.72356577596</v>
      </c>
      <c r="T289">
        <f t="shared" si="968"/>
        <v>213.35872356577596</v>
      </c>
    </row>
    <row r="290" spans="1:20" x14ac:dyDescent="0.25">
      <c r="A290" s="5">
        <v>44303</v>
      </c>
      <c r="B290">
        <v>4.2588000000000001E-2</v>
      </c>
      <c r="C290">
        <v>6.4000000000000001E-2</v>
      </c>
      <c r="D290">
        <v>4.2587E-2</v>
      </c>
      <c r="E290">
        <v>5.2948000000000002E-2</v>
      </c>
      <c r="F290">
        <v>15810913714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-3.2270116284499939E-2</v>
      </c>
      <c r="Q290">
        <f t="shared" si="965"/>
        <v>-510220024.1149748</v>
      </c>
      <c r="R290">
        <f t="shared" si="966"/>
        <v>20913659890.69157</v>
      </c>
      <c r="S290">
        <f t="shared" si="967"/>
        <v>209136.59890691569</v>
      </c>
      <c r="T290">
        <f t="shared" si="968"/>
        <v>209.13659890691568</v>
      </c>
    </row>
    <row r="291" spans="1:20" x14ac:dyDescent="0.25">
      <c r="A291" s="5">
        <v>44302</v>
      </c>
      <c r="B291">
        <v>3.3132000000000002E-2</v>
      </c>
      <c r="C291">
        <v>4.5400000000000003E-2</v>
      </c>
      <c r="D291">
        <v>3.0461999999999999E-2</v>
      </c>
      <c r="E291">
        <v>4.2583000000000003E-2</v>
      </c>
      <c r="F291">
        <v>7888521775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0.62284107644932396</v>
      </c>
      <c r="Q291">
        <f t="shared" si="965"/>
        <v>4913295393.9349318</v>
      </c>
      <c r="R291">
        <f t="shared" si="966"/>
        <v>21423879914.806545</v>
      </c>
      <c r="S291">
        <f t="shared" si="967"/>
        <v>214238.79914806545</v>
      </c>
      <c r="T291">
        <f t="shared" si="968"/>
        <v>214.23879914806545</v>
      </c>
    </row>
    <row r="292" spans="1:20" x14ac:dyDescent="0.25">
      <c r="A292" s="5">
        <v>44301</v>
      </c>
      <c r="B292">
        <v>3.3488999999999998E-2</v>
      </c>
      <c r="C292">
        <v>3.4430000000000002E-2</v>
      </c>
      <c r="D292">
        <v>3.0280000000000001E-2</v>
      </c>
      <c r="E292">
        <v>3.3169999999999998E-2</v>
      </c>
      <c r="F292">
        <v>2242661039</v>
      </c>
      <c r="G292">
        <v>0</v>
      </c>
      <c r="L292" t="s">
        <v>7</v>
      </c>
      <c r="M292" t="s">
        <v>7</v>
      </c>
      <c r="N292" t="s">
        <v>8</v>
      </c>
      <c r="P292">
        <f t="shared" si="964"/>
        <v>0.39277108433734753</v>
      </c>
      <c r="Q292">
        <f t="shared" si="965"/>
        <v>880852408.08915246</v>
      </c>
      <c r="R292">
        <f t="shared" si="966"/>
        <v>16510584520.871613</v>
      </c>
      <c r="S292">
        <f t="shared" si="967"/>
        <v>165105.84520871611</v>
      </c>
      <c r="T292">
        <f t="shared" si="968"/>
        <v>165.10584520871612</v>
      </c>
    </row>
    <row r="293" spans="1:20" x14ac:dyDescent="0.25">
      <c r="A293" s="5">
        <v>44300</v>
      </c>
      <c r="B293">
        <v>2.8103E-2</v>
      </c>
      <c r="C293">
        <v>3.6900000000000002E-2</v>
      </c>
      <c r="D293">
        <v>2.6860999999999999E-2</v>
      </c>
      <c r="E293">
        <v>3.3459999999999997E-2</v>
      </c>
      <c r="F293">
        <v>7000147807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0.31467277617292466</v>
      </c>
      <c r="Q293">
        <f t="shared" si="965"/>
        <v>2202755944.0495005</v>
      </c>
      <c r="R293">
        <f t="shared" si="966"/>
        <v>15629732112.782459</v>
      </c>
      <c r="S293">
        <f t="shared" si="967"/>
        <v>156297.3211278246</v>
      </c>
      <c r="T293">
        <f t="shared" si="968"/>
        <v>156.2973211278246</v>
      </c>
    </row>
    <row r="294" spans="1:20" x14ac:dyDescent="0.25">
      <c r="A294" s="5">
        <v>44299</v>
      </c>
      <c r="B294">
        <v>2.6327E-2</v>
      </c>
      <c r="C294">
        <v>2.8459000000000002E-2</v>
      </c>
      <c r="D294">
        <v>2.4829E-2</v>
      </c>
      <c r="E294">
        <v>2.8101999999999999E-2</v>
      </c>
      <c r="F294">
        <v>1656762407</v>
      </c>
      <c r="G294">
        <v>0</v>
      </c>
      <c r="L294" t="s">
        <v>8</v>
      </c>
      <c r="M294" t="s">
        <v>7</v>
      </c>
      <c r="N294" t="s">
        <v>7</v>
      </c>
      <c r="P294">
        <f t="shared" si="964"/>
        <v>0.80330578512396533</v>
      </c>
      <c r="Q294">
        <f t="shared" si="965"/>
        <v>1330886826.1190057</v>
      </c>
      <c r="R294">
        <f t="shared" si="966"/>
        <v>13426976168.73296</v>
      </c>
      <c r="S294">
        <f t="shared" si="967"/>
        <v>134269.76168732959</v>
      </c>
      <c r="T294">
        <f t="shared" si="968"/>
        <v>134.26976168732961</v>
      </c>
    </row>
    <row r="295" spans="1:20" x14ac:dyDescent="0.25">
      <c r="A295" s="5">
        <v>44298</v>
      </c>
      <c r="B295">
        <v>2.7616999999999999E-2</v>
      </c>
      <c r="C295">
        <v>2.7782999999999999E-2</v>
      </c>
      <c r="D295">
        <v>2.6029E-2</v>
      </c>
      <c r="E295">
        <v>2.6332000000000001E-2</v>
      </c>
      <c r="F295">
        <v>1006328741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-0.65450399087799149</v>
      </c>
      <c r="Q295">
        <f t="shared" si="965"/>
        <v>-658646177.11972463</v>
      </c>
      <c r="R295">
        <f t="shared" si="966"/>
        <v>12096089342.613955</v>
      </c>
      <c r="S295">
        <f t="shared" si="967"/>
        <v>120960.89342613955</v>
      </c>
      <c r="T295">
        <f t="shared" si="968"/>
        <v>120.96089342613955</v>
      </c>
    </row>
    <row r="296" spans="1:20" x14ac:dyDescent="0.25">
      <c r="A296" s="5">
        <v>44297</v>
      </c>
      <c r="B296">
        <v>2.8011999999999999E-2</v>
      </c>
      <c r="C296">
        <v>2.8278999999999999E-2</v>
      </c>
      <c r="D296">
        <v>2.6109E-2</v>
      </c>
      <c r="E296">
        <v>2.7616999999999999E-2</v>
      </c>
      <c r="F296">
        <v>1392754823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0.38986175115207383</v>
      </c>
      <c r="Q296">
        <f t="shared" si="965"/>
        <v>542981834.22027659</v>
      </c>
      <c r="R296">
        <f t="shared" si="966"/>
        <v>12754735519.733679</v>
      </c>
      <c r="S296">
        <f t="shared" si="967"/>
        <v>127547.35519733679</v>
      </c>
      <c r="T296">
        <f t="shared" si="968"/>
        <v>127.54735519733678</v>
      </c>
    </row>
    <row r="297" spans="1:20" x14ac:dyDescent="0.25">
      <c r="A297" s="5">
        <v>44296</v>
      </c>
      <c r="B297">
        <v>2.9895999999999999E-2</v>
      </c>
      <c r="C297">
        <v>3.0047999999999998E-2</v>
      </c>
      <c r="D297">
        <v>2.7E-2</v>
      </c>
      <c r="E297">
        <v>2.8059000000000001E-2</v>
      </c>
      <c r="F297">
        <v>1250476742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-0.30511811023621954</v>
      </c>
      <c r="Q297">
        <f t="shared" si="965"/>
        <v>-381543100.41338468</v>
      </c>
      <c r="R297">
        <f t="shared" si="966"/>
        <v>12211753685.513403</v>
      </c>
      <c r="S297">
        <f t="shared" si="967"/>
        <v>122117.53685513404</v>
      </c>
      <c r="T297">
        <f t="shared" si="968"/>
        <v>122.11753685513403</v>
      </c>
    </row>
    <row r="298" spans="1:20" x14ac:dyDescent="0.25">
      <c r="A298" s="5">
        <v>44295</v>
      </c>
      <c r="B298">
        <v>2.9565999999999999E-2</v>
      </c>
      <c r="C298">
        <v>3.0499999999999999E-2</v>
      </c>
      <c r="D298">
        <v>2.8867E-2</v>
      </c>
      <c r="E298">
        <v>2.9895000000000001E-2</v>
      </c>
      <c r="F298">
        <v>1156766620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0.25903245560318644</v>
      </c>
      <c r="Q298">
        <f t="shared" si="965"/>
        <v>299640098.13839805</v>
      </c>
      <c r="R298">
        <f t="shared" si="966"/>
        <v>12593296785.926788</v>
      </c>
      <c r="S298">
        <f t="shared" si="967"/>
        <v>125932.96785926788</v>
      </c>
      <c r="T298">
        <f t="shared" si="968"/>
        <v>125.93296785926788</v>
      </c>
    </row>
    <row r="299" spans="1:20" x14ac:dyDescent="0.25">
      <c r="A299" s="5">
        <v>44294</v>
      </c>
      <c r="B299">
        <v>2.6032E-2</v>
      </c>
      <c r="C299">
        <v>2.9708999999999999E-2</v>
      </c>
      <c r="D299">
        <v>2.572E-2</v>
      </c>
      <c r="E299">
        <v>2.9582000000000001E-2</v>
      </c>
      <c r="F299">
        <v>1611234091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0.93632489345700742</v>
      </c>
      <c r="Q299">
        <f t="shared" si="965"/>
        <v>1508638588.5898733</v>
      </c>
      <c r="R299">
        <f t="shared" si="966"/>
        <v>12293656687.788391</v>
      </c>
      <c r="S299">
        <f t="shared" si="967"/>
        <v>122936.56687788392</v>
      </c>
      <c r="T299">
        <f t="shared" si="968"/>
        <v>122.93656687788392</v>
      </c>
    </row>
    <row r="300" spans="1:20" x14ac:dyDescent="0.25">
      <c r="A300" s="5">
        <v>44293</v>
      </c>
      <c r="B300">
        <v>2.9891999999999998E-2</v>
      </c>
      <c r="C300">
        <v>3.0231999999999998E-2</v>
      </c>
      <c r="D300">
        <v>2.3626000000000001E-2</v>
      </c>
      <c r="E300">
        <v>2.6062999999999999E-2</v>
      </c>
      <c r="F300">
        <v>2355737803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-0.26218589161368477</v>
      </c>
      <c r="Q300">
        <f t="shared" si="965"/>
        <v>-617641216.28761792</v>
      </c>
      <c r="R300">
        <f t="shared" si="966"/>
        <v>10785018099.198517</v>
      </c>
      <c r="S300">
        <f t="shared" si="967"/>
        <v>107850.18099198517</v>
      </c>
      <c r="T300">
        <f t="shared" si="968"/>
        <v>107.85018099198517</v>
      </c>
    </row>
    <row r="301" spans="1:20" x14ac:dyDescent="0.25">
      <c r="A301" s="5">
        <v>44292</v>
      </c>
      <c r="B301">
        <v>3.2242E-2</v>
      </c>
      <c r="C301">
        <v>3.2423E-2</v>
      </c>
      <c r="D301">
        <v>2.75E-2</v>
      </c>
      <c r="E301">
        <v>2.9864000000000002E-2</v>
      </c>
      <c r="F301">
        <v>2232815670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-3.9609993906154224E-2</v>
      </c>
      <c r="Q301">
        <f t="shared" si="965"/>
        <v>-88441815.08226566</v>
      </c>
      <c r="R301">
        <f t="shared" si="966"/>
        <v>11402659315.486135</v>
      </c>
      <c r="S301">
        <f t="shared" si="967"/>
        <v>114026.59315486136</v>
      </c>
      <c r="T301">
        <f t="shared" si="968"/>
        <v>114.02659315486136</v>
      </c>
    </row>
    <row r="302" spans="1:20" x14ac:dyDescent="0.25">
      <c r="A302" s="5">
        <v>44291</v>
      </c>
      <c r="B302">
        <v>2.9281999999999999E-2</v>
      </c>
      <c r="C302">
        <v>3.7199000000000003E-2</v>
      </c>
      <c r="D302">
        <v>2.9243999999999999E-2</v>
      </c>
      <c r="E302">
        <v>3.2199999999999999E-2</v>
      </c>
      <c r="F302">
        <v>5165216945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-0.25681961030798267</v>
      </c>
      <c r="Q302">
        <f t="shared" si="965"/>
        <v>-1326529002.9710886</v>
      </c>
      <c r="R302">
        <f t="shared" si="966"/>
        <v>11491101130.568401</v>
      </c>
      <c r="S302">
        <f t="shared" si="967"/>
        <v>114911.01130568402</v>
      </c>
      <c r="T302">
        <f t="shared" si="968"/>
        <v>114.91101130568401</v>
      </c>
    </row>
    <row r="303" spans="1:20" x14ac:dyDescent="0.25">
      <c r="A303" s="5">
        <v>44290</v>
      </c>
      <c r="B303">
        <v>2.6255000000000001E-2</v>
      </c>
      <c r="C303">
        <v>2.9947999999999999E-2</v>
      </c>
      <c r="D303">
        <v>2.5839999999999998E-2</v>
      </c>
      <c r="E303">
        <v>2.9281999999999999E-2</v>
      </c>
      <c r="F303">
        <v>1418416576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0.6757546251217138</v>
      </c>
      <c r="Q303">
        <f t="shared" si="965"/>
        <v>958501561.58130491</v>
      </c>
      <c r="R303">
        <f t="shared" si="966"/>
        <v>12817630133.53949</v>
      </c>
      <c r="S303">
        <f t="shared" si="967"/>
        <v>128176.30133539489</v>
      </c>
      <c r="T303">
        <f t="shared" si="968"/>
        <v>128.1763013353949</v>
      </c>
    </row>
    <row r="304" spans="1:20" x14ac:dyDescent="0.25">
      <c r="A304" s="5">
        <v>44289</v>
      </c>
      <c r="B304">
        <v>3.0506999999999999E-2</v>
      </c>
      <c r="C304">
        <v>3.1789999999999999E-2</v>
      </c>
      <c r="D304">
        <v>2.58E-2</v>
      </c>
      <c r="E304">
        <v>2.6294000000000001E-2</v>
      </c>
      <c r="F304">
        <v>1515748957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-0.83505843071786257</v>
      </c>
      <c r="Q304">
        <f t="shared" si="965"/>
        <v>-1265738945.3946569</v>
      </c>
      <c r="R304">
        <f t="shared" si="966"/>
        <v>11859128571.958185</v>
      </c>
      <c r="S304">
        <f t="shared" si="967"/>
        <v>118591.28571958185</v>
      </c>
      <c r="T304">
        <f t="shared" si="968"/>
        <v>118.59128571958185</v>
      </c>
    </row>
    <row r="305" spans="1:20" x14ac:dyDescent="0.25">
      <c r="A305" s="5">
        <v>44288</v>
      </c>
      <c r="B305">
        <v>2.8388E-2</v>
      </c>
      <c r="C305">
        <v>3.2419999999999997E-2</v>
      </c>
      <c r="D305">
        <v>2.8021000000000001E-2</v>
      </c>
      <c r="E305">
        <v>3.0438E-2</v>
      </c>
      <c r="F305">
        <v>2310643118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9.8886110479654857E-2</v>
      </c>
      <c r="Q305">
        <f t="shared" si="965"/>
        <v>228490510.64560217</v>
      </c>
      <c r="R305">
        <f t="shared" si="966"/>
        <v>13124867517.352842</v>
      </c>
      <c r="S305">
        <f t="shared" si="967"/>
        <v>131248.67517352843</v>
      </c>
      <c r="T305">
        <f t="shared" si="968"/>
        <v>131.24867517352843</v>
      </c>
    </row>
    <row r="306" spans="1:20" x14ac:dyDescent="0.25">
      <c r="A306" s="5">
        <v>44287</v>
      </c>
      <c r="B306">
        <v>2.5808000000000001E-2</v>
      </c>
      <c r="C306">
        <v>2.9968999999999999E-2</v>
      </c>
      <c r="D306">
        <v>2.5690999999999999E-2</v>
      </c>
      <c r="E306">
        <v>2.8393999999999999E-2</v>
      </c>
      <c r="F306">
        <v>2233540914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0.26367461430575045</v>
      </c>
      <c r="Q306">
        <f t="shared" si="965"/>
        <v>588928039.03506339</v>
      </c>
      <c r="R306">
        <f t="shared" si="966"/>
        <v>12896377006.707241</v>
      </c>
      <c r="S306">
        <f t="shared" si="967"/>
        <v>128963.77006707242</v>
      </c>
      <c r="T306">
        <f t="shared" si="968"/>
        <v>128.9637700670724</v>
      </c>
    </row>
    <row r="307" spans="1:20" x14ac:dyDescent="0.25">
      <c r="A307" s="5">
        <v>44286</v>
      </c>
      <c r="B307">
        <v>2.5316000000000002E-2</v>
      </c>
      <c r="C307">
        <v>2.6589999999999999E-2</v>
      </c>
      <c r="D307">
        <v>2.2862E-2</v>
      </c>
      <c r="E307">
        <v>2.5808000000000001E-2</v>
      </c>
      <c r="F307">
        <v>1270664846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0.58047210300429275</v>
      </c>
      <c r="Q307">
        <f t="shared" si="965"/>
        <v>737585495.37124574</v>
      </c>
      <c r="R307">
        <f t="shared" si="966"/>
        <v>12307448967.672178</v>
      </c>
      <c r="S307">
        <f t="shared" si="967"/>
        <v>123074.48967672179</v>
      </c>
      <c r="T307">
        <f t="shared" si="968"/>
        <v>123.07448967672178</v>
      </c>
    </row>
    <row r="308" spans="1:20" x14ac:dyDescent="0.25">
      <c r="A308" s="5">
        <v>44285</v>
      </c>
      <c r="B308">
        <v>2.4917999999999999E-2</v>
      </c>
      <c r="C308">
        <v>2.6374000000000002E-2</v>
      </c>
      <c r="D308">
        <v>2.4542000000000001E-2</v>
      </c>
      <c r="E308">
        <v>2.5361999999999999E-2</v>
      </c>
      <c r="F308">
        <v>1247013307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-0.10480349344978419</v>
      </c>
      <c r="Q308">
        <f t="shared" si="965"/>
        <v>-130691350.95196822</v>
      </c>
      <c r="R308">
        <f t="shared" si="966"/>
        <v>11569863472.300932</v>
      </c>
      <c r="S308">
        <f t="shared" si="967"/>
        <v>115698.63472300932</v>
      </c>
      <c r="T308">
        <f t="shared" si="968"/>
        <v>115.69863472300932</v>
      </c>
    </row>
    <row r="309" spans="1:20" x14ac:dyDescent="0.25">
      <c r="A309" s="5">
        <v>44284</v>
      </c>
      <c r="B309">
        <v>2.4868999999999999E-2</v>
      </c>
      <c r="C309">
        <v>2.64E-2</v>
      </c>
      <c r="D309">
        <v>2.3574999999999999E-2</v>
      </c>
      <c r="E309">
        <v>2.4937000000000001E-2</v>
      </c>
      <c r="F309">
        <v>1290987145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-3.575221238937943E-2</v>
      </c>
      <c r="Q309">
        <f t="shared" si="965"/>
        <v>-46155646.599998578</v>
      </c>
      <c r="R309">
        <f t="shared" si="966"/>
        <v>11700554823.252901</v>
      </c>
      <c r="S309">
        <f t="shared" si="967"/>
        <v>117005.54823252901</v>
      </c>
      <c r="T309">
        <f t="shared" si="968"/>
        <v>117.00554823252901</v>
      </c>
    </row>
    <row r="310" spans="1:20" x14ac:dyDescent="0.25">
      <c r="A310" s="5">
        <v>44283</v>
      </c>
      <c r="B310">
        <v>2.3442000000000001E-2</v>
      </c>
      <c r="C310">
        <v>2.7621E-2</v>
      </c>
      <c r="D310">
        <v>2.2239999999999999E-2</v>
      </c>
      <c r="E310">
        <v>2.4865999999999999E-2</v>
      </c>
      <c r="F310">
        <v>2695243090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-2.3973239174874678E-2</v>
      </c>
      <c r="Q310">
        <f t="shared" si="965"/>
        <v>-64613707.230998278</v>
      </c>
      <c r="R310">
        <f t="shared" si="966"/>
        <v>11746710469.8529</v>
      </c>
      <c r="S310">
        <f t="shared" si="967"/>
        <v>117467.104698529</v>
      </c>
      <c r="T310">
        <f t="shared" si="968"/>
        <v>117.467104698529</v>
      </c>
    </row>
    <row r="311" spans="1:20" x14ac:dyDescent="0.25">
      <c r="A311" s="5">
        <v>44282</v>
      </c>
      <c r="B311">
        <v>2.1232000000000001E-2</v>
      </c>
      <c r="C311">
        <v>2.3584999999999998E-2</v>
      </c>
      <c r="D311">
        <v>2.0417000000000001E-2</v>
      </c>
      <c r="E311">
        <v>2.3428999999999998E-2</v>
      </c>
      <c r="F311">
        <v>1453527100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0.90151515151515149</v>
      </c>
      <c r="Q311">
        <f t="shared" si="965"/>
        <v>1310376703.7878788</v>
      </c>
      <c r="R311">
        <f t="shared" si="966"/>
        <v>11811324177.083899</v>
      </c>
      <c r="S311">
        <f t="shared" si="967"/>
        <v>118113.24177083898</v>
      </c>
      <c r="T311">
        <f t="shared" si="968"/>
        <v>118.11324177083898</v>
      </c>
    </row>
    <row r="312" spans="1:20" x14ac:dyDescent="0.25">
      <c r="A312" s="5">
        <v>44281</v>
      </c>
      <c r="B312">
        <v>1.8513999999999999E-2</v>
      </c>
      <c r="C312">
        <v>2.1999999999999999E-2</v>
      </c>
      <c r="D312">
        <v>1.8495999999999999E-2</v>
      </c>
      <c r="E312">
        <v>2.1288999999999999E-2</v>
      </c>
      <c r="F312">
        <v>1303733540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0.59417808219178092</v>
      </c>
      <c r="Q312">
        <f t="shared" si="965"/>
        <v>774649894.48630154</v>
      </c>
      <c r="R312">
        <f t="shared" si="966"/>
        <v>10500947473.296021</v>
      </c>
      <c r="S312">
        <f t="shared" si="967"/>
        <v>105009.47473296021</v>
      </c>
      <c r="T312">
        <f t="shared" si="968"/>
        <v>105.00947473296021</v>
      </c>
    </row>
    <row r="313" spans="1:20" x14ac:dyDescent="0.25">
      <c r="A313" s="5">
        <v>44280</v>
      </c>
      <c r="B313">
        <v>1.9324000000000001E-2</v>
      </c>
      <c r="C313">
        <v>1.9899E-2</v>
      </c>
      <c r="D313">
        <v>1.7590000000000001E-2</v>
      </c>
      <c r="E313">
        <v>1.8526999999999998E-2</v>
      </c>
      <c r="F313">
        <v>1155416862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-0.1883932438284994</v>
      </c>
      <c r="Q313">
        <f t="shared" si="965"/>
        <v>-217672730.60632563</v>
      </c>
      <c r="R313">
        <f t="shared" si="966"/>
        <v>9726297578.8097191</v>
      </c>
      <c r="S313">
        <f t="shared" si="967"/>
        <v>97262.975788097188</v>
      </c>
      <c r="T313">
        <f t="shared" si="968"/>
        <v>97.262975788097194</v>
      </c>
    </row>
    <row r="314" spans="1:20" x14ac:dyDescent="0.25">
      <c r="A314" s="5">
        <v>44279</v>
      </c>
      <c r="B314">
        <v>2.1933000000000001E-2</v>
      </c>
      <c r="C314">
        <v>2.2790000000000001E-2</v>
      </c>
      <c r="D314">
        <v>1.8942000000000001E-2</v>
      </c>
      <c r="E314">
        <v>1.9324000000000001E-2</v>
      </c>
      <c r="F314">
        <v>1010840464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-0.80145530145530131</v>
      </c>
      <c r="Q314">
        <f t="shared" si="965"/>
        <v>-810143448.79833663</v>
      </c>
      <c r="R314">
        <f t="shared" si="966"/>
        <v>9943970309.4160442</v>
      </c>
      <c r="S314">
        <f t="shared" si="967"/>
        <v>99439.703094160446</v>
      </c>
      <c r="T314">
        <f t="shared" si="968"/>
        <v>99.43970309416045</v>
      </c>
    </row>
    <row r="315" spans="1:20" x14ac:dyDescent="0.25">
      <c r="A315" s="5">
        <v>44278</v>
      </c>
      <c r="B315">
        <v>2.1420000000000002E-2</v>
      </c>
      <c r="C315">
        <v>2.24E-2</v>
      </c>
      <c r="D315">
        <v>1.8539E-2</v>
      </c>
      <c r="E315">
        <v>2.1961999999999999E-2</v>
      </c>
      <c r="F315">
        <v>1710587923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0.77311577311577262</v>
      </c>
      <c r="Q315">
        <f t="shared" si="965"/>
        <v>1322482504.5726488</v>
      </c>
      <c r="R315">
        <f t="shared" si="966"/>
        <v>10754113758.21438</v>
      </c>
      <c r="S315">
        <f t="shared" si="967"/>
        <v>107541.1375821438</v>
      </c>
      <c r="T315">
        <f t="shared" si="968"/>
        <v>107.5411375821438</v>
      </c>
    </row>
    <row r="316" spans="1:20" x14ac:dyDescent="0.25">
      <c r="A316" s="5">
        <v>44277</v>
      </c>
      <c r="B316">
        <v>2.4663000000000001E-2</v>
      </c>
      <c r="C316">
        <v>2.5857999999999999E-2</v>
      </c>
      <c r="D316">
        <v>2.0551E-2</v>
      </c>
      <c r="E316">
        <v>2.1474E-2</v>
      </c>
      <c r="F316">
        <v>1643417984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-0.65215752779348013</v>
      </c>
      <c r="Q316">
        <f t="shared" si="965"/>
        <v>-1071767409.5767851</v>
      </c>
      <c r="R316">
        <f t="shared" si="966"/>
        <v>9431631253.6417313</v>
      </c>
      <c r="S316">
        <f t="shared" si="967"/>
        <v>94316.312536417317</v>
      </c>
      <c r="T316">
        <f t="shared" si="968"/>
        <v>94.316312536417314</v>
      </c>
    </row>
    <row r="317" spans="1:20" x14ac:dyDescent="0.25">
      <c r="A317" s="5">
        <v>44276</v>
      </c>
      <c r="B317">
        <v>2.2918000000000001E-2</v>
      </c>
      <c r="C317">
        <v>2.5323999999999999E-2</v>
      </c>
      <c r="D317">
        <v>2.2100999999999999E-2</v>
      </c>
      <c r="E317">
        <v>2.4655E-2</v>
      </c>
      <c r="F317">
        <v>1256855022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0.58485882717964666</v>
      </c>
      <c r="Q317">
        <f t="shared" si="965"/>
        <v>735082754.10176897</v>
      </c>
      <c r="R317">
        <f t="shared" si="966"/>
        <v>10503398663.218517</v>
      </c>
      <c r="S317">
        <f t="shared" si="967"/>
        <v>105033.98663218517</v>
      </c>
      <c r="T317">
        <f t="shared" si="968"/>
        <v>105.03398663218518</v>
      </c>
    </row>
    <row r="318" spans="1:20" x14ac:dyDescent="0.25">
      <c r="A318" s="5">
        <v>44275</v>
      </c>
      <c r="B318">
        <v>2.4374E-2</v>
      </c>
      <c r="C318">
        <v>2.93E-2</v>
      </c>
      <c r="D318">
        <v>2.2703000000000001E-2</v>
      </c>
      <c r="E318">
        <v>2.2918999999999998E-2</v>
      </c>
      <c r="F318">
        <v>3228456399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-0.9345156889495233</v>
      </c>
      <c r="Q318">
        <f t="shared" si="965"/>
        <v>-3017043155.9549823</v>
      </c>
      <c r="R318">
        <f t="shared" si="966"/>
        <v>9768315909.1167488</v>
      </c>
      <c r="S318">
        <f t="shared" si="967"/>
        <v>97683.159091167487</v>
      </c>
      <c r="T318">
        <f t="shared" si="968"/>
        <v>97.683159091167482</v>
      </c>
    </row>
    <row r="319" spans="1:20" x14ac:dyDescent="0.25">
      <c r="A319" s="5">
        <v>44274</v>
      </c>
      <c r="B319">
        <v>2.2620000000000001E-2</v>
      </c>
      <c r="C319">
        <v>2.4622000000000002E-2</v>
      </c>
      <c r="D319">
        <v>2.1000000000000001E-2</v>
      </c>
      <c r="E319">
        <v>2.4365000000000001E-2</v>
      </c>
      <c r="F319">
        <v>1763732744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0.85808945334069564</v>
      </c>
      <c r="Q319">
        <f t="shared" si="965"/>
        <v>1513440466.1380451</v>
      </c>
      <c r="R319">
        <f t="shared" si="966"/>
        <v>12785359065.071732</v>
      </c>
      <c r="S319">
        <f t="shared" si="967"/>
        <v>127853.59065071732</v>
      </c>
      <c r="T319">
        <f t="shared" si="968"/>
        <v>127.85359065071732</v>
      </c>
    </row>
    <row r="320" spans="1:20" x14ac:dyDescent="0.25">
      <c r="A320" s="5">
        <v>44273</v>
      </c>
      <c r="B320">
        <v>2.0150000000000001E-2</v>
      </c>
      <c r="C320">
        <v>2.2988000000000001E-2</v>
      </c>
      <c r="D320">
        <v>1.9071999999999999E-2</v>
      </c>
      <c r="E320">
        <v>2.2620000000000001E-2</v>
      </c>
      <c r="F320">
        <v>1656284440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0.81205311542390191</v>
      </c>
      <c r="Q320">
        <f t="shared" si="965"/>
        <v>1344990939.5301328</v>
      </c>
      <c r="R320">
        <f t="shared" si="966"/>
        <v>11271918598.933687</v>
      </c>
      <c r="S320">
        <f t="shared" si="967"/>
        <v>112719.18598933687</v>
      </c>
      <c r="T320">
        <f t="shared" si="968"/>
        <v>112.71918598933686</v>
      </c>
    </row>
    <row r="321" spans="1:20" x14ac:dyDescent="0.25">
      <c r="A321" s="5">
        <v>44272</v>
      </c>
      <c r="B321">
        <v>1.8218000000000002E-2</v>
      </c>
      <c r="C321">
        <v>2.0205000000000001E-2</v>
      </c>
      <c r="D321">
        <v>1.7003000000000001E-2</v>
      </c>
      <c r="E321">
        <v>2.0114E-2</v>
      </c>
      <c r="F321">
        <v>1715629537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0.94316052467207945</v>
      </c>
      <c r="Q321">
        <f t="shared" si="965"/>
        <v>1618114054.2598367</v>
      </c>
      <c r="R321">
        <f t="shared" si="966"/>
        <v>9926927659.4035549</v>
      </c>
      <c r="S321">
        <f t="shared" si="967"/>
        <v>99269.276594035546</v>
      </c>
      <c r="T321">
        <f t="shared" si="968"/>
        <v>99.269276594035546</v>
      </c>
    </row>
    <row r="322" spans="1:20" x14ac:dyDescent="0.25">
      <c r="A322" s="5">
        <v>44271</v>
      </c>
      <c r="B322">
        <v>1.8860999999999999E-2</v>
      </c>
      <c r="C322">
        <v>2.1350000000000001E-2</v>
      </c>
      <c r="D322">
        <v>1.6937000000000001E-2</v>
      </c>
      <c r="E322">
        <v>1.8218000000000002E-2</v>
      </c>
      <c r="F322">
        <v>5146851919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-0.41944255608429604</v>
      </c>
      <c r="Q322">
        <f t="shared" si="965"/>
        <v>-2158808724.6927242</v>
      </c>
      <c r="R322">
        <f t="shared" si="966"/>
        <v>8308813605.1437187</v>
      </c>
      <c r="S322">
        <f t="shared" si="967"/>
        <v>83088.136051437192</v>
      </c>
      <c r="T322">
        <f t="shared" si="968"/>
        <v>83.088136051437189</v>
      </c>
    </row>
    <row r="323" spans="1:20" x14ac:dyDescent="0.25">
      <c r="A323" s="5">
        <v>44270</v>
      </c>
      <c r="B323">
        <v>1.4059E-2</v>
      </c>
      <c r="C323">
        <v>1.9866000000000002E-2</v>
      </c>
      <c r="D323">
        <v>1.2800000000000001E-2</v>
      </c>
      <c r="E323">
        <v>1.8865E-2</v>
      </c>
      <c r="F323">
        <v>4831127727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0.71667138409283848</v>
      </c>
      <c r="Q323">
        <f t="shared" si="965"/>
        <v>3462330994.8383789</v>
      </c>
      <c r="R323">
        <f t="shared" si="966"/>
        <v>10467622329.836443</v>
      </c>
      <c r="S323">
        <f t="shared" si="967"/>
        <v>104676.22329836444</v>
      </c>
      <c r="T323">
        <f t="shared" si="968"/>
        <v>104.67622329836443</v>
      </c>
    </row>
    <row r="324" spans="1:20" x14ac:dyDescent="0.25">
      <c r="A324" s="5">
        <v>44269</v>
      </c>
      <c r="B324">
        <v>1.3461000000000001E-2</v>
      </c>
      <c r="C324">
        <v>1.4999999999999999E-2</v>
      </c>
      <c r="D324">
        <v>1.3266999999999999E-2</v>
      </c>
      <c r="E324">
        <v>1.4056000000000001E-2</v>
      </c>
      <c r="F324">
        <v>1833171779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-8.9440276976339952E-2</v>
      </c>
      <c r="Q324">
        <f t="shared" si="965"/>
        <v>-163959391.65896985</v>
      </c>
      <c r="R324">
        <f t="shared" si="966"/>
        <v>7005291334.998064</v>
      </c>
      <c r="S324">
        <f t="shared" si="967"/>
        <v>70052.913349980634</v>
      </c>
      <c r="T324">
        <f t="shared" si="968"/>
        <v>70.052913349980628</v>
      </c>
    </row>
    <row r="325" spans="1:20" x14ac:dyDescent="0.25">
      <c r="A325" s="5">
        <v>44268</v>
      </c>
      <c r="B325">
        <v>1.17E-2</v>
      </c>
      <c r="C325">
        <v>1.3658E-2</v>
      </c>
      <c r="D325">
        <v>1.1299999999999999E-2</v>
      </c>
      <c r="E325">
        <v>1.3472E-2</v>
      </c>
      <c r="F325">
        <v>1193177358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0.84223918575063583</v>
      </c>
      <c r="Q325">
        <f t="shared" si="965"/>
        <v>1004940726.458015</v>
      </c>
      <c r="R325">
        <f t="shared" si="966"/>
        <v>7169250726.6570339</v>
      </c>
      <c r="S325">
        <f t="shared" si="967"/>
        <v>71692.507266570334</v>
      </c>
      <c r="T325">
        <f t="shared" si="968"/>
        <v>71.692507266570331</v>
      </c>
    </row>
    <row r="326" spans="1:20" x14ac:dyDescent="0.25">
      <c r="A326" s="5">
        <v>44267</v>
      </c>
      <c r="B326">
        <v>1.1849999999999999E-2</v>
      </c>
      <c r="C326">
        <v>1.223E-2</v>
      </c>
      <c r="D326">
        <v>1.1299999999999999E-2</v>
      </c>
      <c r="E326">
        <v>1.1686999999999999E-2</v>
      </c>
      <c r="F326">
        <v>551807524</v>
      </c>
      <c r="G326">
        <v>0</v>
      </c>
      <c r="L326" t="s">
        <v>8</v>
      </c>
      <c r="M326" t="s">
        <v>8</v>
      </c>
      <c r="N326" t="s">
        <v>7</v>
      </c>
      <c r="P326">
        <f t="shared" ref="P326:P389" si="969">IF(C326=D326,0,((E326-D326)-(C326-E326))/(C326-D326))</f>
        <v>-0.16774193548387079</v>
      </c>
      <c r="Q326">
        <f t="shared" ref="Q326:Q389" si="970">F326*P326</f>
        <v>-92561262.09032248</v>
      </c>
      <c r="R326">
        <f t="shared" ref="R326:R389" si="971">R327+Q326</f>
        <v>6164310000.1990194</v>
      </c>
      <c r="S326">
        <f t="shared" ref="S326:S389" si="972">R326/100000</f>
        <v>61643.100001990191</v>
      </c>
      <c r="T326">
        <f t="shared" ref="T326:T389" si="973">S326/1000</f>
        <v>61.643100001990192</v>
      </c>
    </row>
    <row r="327" spans="1:20" x14ac:dyDescent="0.25">
      <c r="A327" s="5">
        <v>44266</v>
      </c>
      <c r="B327">
        <v>1.2017999999999999E-2</v>
      </c>
      <c r="C327">
        <v>1.2063000000000001E-2</v>
      </c>
      <c r="D327">
        <v>1.1268E-2</v>
      </c>
      <c r="E327">
        <v>1.1849999999999999E-2</v>
      </c>
      <c r="F327">
        <v>323140087</v>
      </c>
      <c r="G327">
        <v>0</v>
      </c>
      <c r="L327" t="s">
        <v>7</v>
      </c>
      <c r="M327" t="s">
        <v>8</v>
      </c>
      <c r="N327" t="s">
        <v>7</v>
      </c>
      <c r="P327">
        <f t="shared" si="969"/>
        <v>0.46415094339622331</v>
      </c>
      <c r="Q327">
        <f t="shared" si="970"/>
        <v>149985776.23018768</v>
      </c>
      <c r="R327">
        <f t="shared" si="971"/>
        <v>6256871262.2893419</v>
      </c>
      <c r="S327">
        <f t="shared" si="972"/>
        <v>62568.712622893421</v>
      </c>
      <c r="T327">
        <f t="shared" si="973"/>
        <v>62.568712622893422</v>
      </c>
    </row>
    <row r="328" spans="1:20" x14ac:dyDescent="0.25">
      <c r="A328" s="5">
        <v>44265</v>
      </c>
      <c r="B328">
        <v>1.2063000000000001E-2</v>
      </c>
      <c r="C328">
        <v>1.2421E-2</v>
      </c>
      <c r="D328">
        <v>1.1257E-2</v>
      </c>
      <c r="E328">
        <v>1.2002000000000001E-2</v>
      </c>
      <c r="F328">
        <v>608705818</v>
      </c>
      <c r="G328">
        <v>0</v>
      </c>
      <c r="L328" t="s">
        <v>8</v>
      </c>
      <c r="M328" t="s">
        <v>8</v>
      </c>
      <c r="N328" t="s">
        <v>7</v>
      </c>
      <c r="P328">
        <f t="shared" si="969"/>
        <v>0.28006872852233816</v>
      </c>
      <c r="Q328">
        <f t="shared" si="970"/>
        <v>170479464.49140978</v>
      </c>
      <c r="R328">
        <f t="shared" si="971"/>
        <v>6106885486.0591545</v>
      </c>
      <c r="S328">
        <f t="shared" si="972"/>
        <v>61068.854860591542</v>
      </c>
      <c r="T328">
        <f t="shared" si="973"/>
        <v>61.068854860591543</v>
      </c>
    </row>
    <row r="329" spans="1:20" x14ac:dyDescent="0.25">
      <c r="A329" s="5">
        <v>44264</v>
      </c>
      <c r="B329">
        <v>1.1361E-2</v>
      </c>
      <c r="C329">
        <v>1.2064E-2</v>
      </c>
      <c r="D329">
        <v>1.1103999999999999E-2</v>
      </c>
      <c r="E329">
        <v>1.2063000000000001E-2</v>
      </c>
      <c r="F329">
        <v>335965256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0.99791666666666823</v>
      </c>
      <c r="Q329">
        <f t="shared" si="970"/>
        <v>335265328.38333386</v>
      </c>
      <c r="R329">
        <f t="shared" si="971"/>
        <v>5936406021.5677452</v>
      </c>
      <c r="S329">
        <f t="shared" si="972"/>
        <v>59364.060215677455</v>
      </c>
      <c r="T329">
        <f t="shared" si="973"/>
        <v>59.364060215677455</v>
      </c>
    </row>
    <row r="330" spans="1:20" x14ac:dyDescent="0.25">
      <c r="A330" s="5">
        <v>44263</v>
      </c>
      <c r="B330">
        <v>1.0891E-2</v>
      </c>
      <c r="C330">
        <v>1.1438E-2</v>
      </c>
      <c r="D330">
        <v>1.0796999999999999E-2</v>
      </c>
      <c r="E330">
        <v>1.1355000000000001E-2</v>
      </c>
      <c r="F330">
        <v>374915458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0.74102964118564862</v>
      </c>
      <c r="Q330">
        <f t="shared" si="970"/>
        <v>277823467.31669313</v>
      </c>
      <c r="R330">
        <f t="shared" si="971"/>
        <v>5601140693.184411</v>
      </c>
      <c r="S330">
        <f t="shared" si="972"/>
        <v>56011.406931844111</v>
      </c>
      <c r="T330">
        <f t="shared" si="973"/>
        <v>56.011406931844114</v>
      </c>
    </row>
    <row r="331" spans="1:20" x14ac:dyDescent="0.25">
      <c r="A331" s="5">
        <v>44262</v>
      </c>
      <c r="B331">
        <v>1.0692999999999999E-2</v>
      </c>
      <c r="C331">
        <v>1.0918000000000001E-2</v>
      </c>
      <c r="D331">
        <v>1.0522E-2</v>
      </c>
      <c r="E331">
        <v>1.0881E-2</v>
      </c>
      <c r="F331">
        <v>180723741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0.81313131313131048</v>
      </c>
      <c r="Q331">
        <f t="shared" si="970"/>
        <v>146952132.83333287</v>
      </c>
      <c r="R331">
        <f t="shared" si="971"/>
        <v>5323317225.8677177</v>
      </c>
      <c r="S331">
        <f t="shared" si="972"/>
        <v>53233.172258677179</v>
      </c>
      <c r="T331">
        <f t="shared" si="973"/>
        <v>53.233172258677179</v>
      </c>
    </row>
    <row r="332" spans="1:20" x14ac:dyDescent="0.25">
      <c r="A332" s="5">
        <v>44261</v>
      </c>
      <c r="B332">
        <v>1.0574E-2</v>
      </c>
      <c r="C332">
        <v>1.0904E-2</v>
      </c>
      <c r="D332">
        <v>1.0141000000000001E-2</v>
      </c>
      <c r="E332">
        <v>1.0692E-2</v>
      </c>
      <c r="F332">
        <v>269375410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0.44429882044560826</v>
      </c>
      <c r="Q332">
        <f t="shared" si="970"/>
        <v>119683176.92005211</v>
      </c>
      <c r="R332">
        <f t="shared" si="971"/>
        <v>5176365093.0343847</v>
      </c>
      <c r="S332">
        <f t="shared" si="972"/>
        <v>51763.650930343851</v>
      </c>
      <c r="T332">
        <f t="shared" si="973"/>
        <v>51.76365093034385</v>
      </c>
    </row>
    <row r="333" spans="1:20" x14ac:dyDescent="0.25">
      <c r="A333" s="5">
        <v>44260</v>
      </c>
      <c r="B333">
        <v>1.0482E-2</v>
      </c>
      <c r="C333">
        <v>1.0737999999999999E-2</v>
      </c>
      <c r="D333">
        <v>9.9030000000000003E-3</v>
      </c>
      <c r="E333">
        <v>1.0559000000000001E-2</v>
      </c>
      <c r="F333">
        <v>245522449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0.57125748502994289</v>
      </c>
      <c r="Q333">
        <f t="shared" si="970"/>
        <v>140256536.73413241</v>
      </c>
      <c r="R333">
        <f t="shared" si="971"/>
        <v>5056681916.1143322</v>
      </c>
      <c r="S333">
        <f t="shared" si="972"/>
        <v>50566.819161143321</v>
      </c>
      <c r="T333">
        <f t="shared" si="973"/>
        <v>50.566819161143322</v>
      </c>
    </row>
    <row r="334" spans="1:20" x14ac:dyDescent="0.25">
      <c r="A334" s="5">
        <v>44259</v>
      </c>
      <c r="B334">
        <v>1.0681E-2</v>
      </c>
      <c r="C334">
        <v>1.1067E-2</v>
      </c>
      <c r="D334">
        <v>1.0097999999999999E-2</v>
      </c>
      <c r="E334">
        <v>1.0482E-2</v>
      </c>
      <c r="F334">
        <v>261660865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-0.20743034055727508</v>
      </c>
      <c r="Q334">
        <f t="shared" si="970"/>
        <v>-54276402.337461181</v>
      </c>
      <c r="R334">
        <f t="shared" si="971"/>
        <v>4916425379.3801994</v>
      </c>
      <c r="S334">
        <f t="shared" si="972"/>
        <v>49164.253793801996</v>
      </c>
      <c r="T334">
        <f t="shared" si="973"/>
        <v>49.164253793801997</v>
      </c>
    </row>
    <row r="335" spans="1:20" x14ac:dyDescent="0.25">
      <c r="A335" s="5">
        <v>44258</v>
      </c>
      <c r="B335">
        <v>1.0151E-2</v>
      </c>
      <c r="C335">
        <v>1.1043000000000001E-2</v>
      </c>
      <c r="D335">
        <v>1.0031999999999999E-2</v>
      </c>
      <c r="E335">
        <v>1.0703000000000001E-2</v>
      </c>
      <c r="F335">
        <v>305824994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0.32739861523244407</v>
      </c>
      <c r="Q335">
        <f t="shared" si="970"/>
        <v>100126679.53907052</v>
      </c>
      <c r="R335">
        <f t="shared" si="971"/>
        <v>4970701781.7176609</v>
      </c>
      <c r="S335">
        <f t="shared" si="972"/>
        <v>49707.017817176609</v>
      </c>
      <c r="T335">
        <f t="shared" si="973"/>
        <v>49.707017817176606</v>
      </c>
    </row>
    <row r="336" spans="1:20" x14ac:dyDescent="0.25">
      <c r="A336" s="5">
        <v>44257</v>
      </c>
      <c r="B336">
        <v>1.0231000000000001E-2</v>
      </c>
      <c r="C336">
        <v>1.0318000000000001E-2</v>
      </c>
      <c r="D336">
        <v>9.6220000000000003E-3</v>
      </c>
      <c r="E336">
        <v>1.0152E-2</v>
      </c>
      <c r="F336">
        <v>250648792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0.52298850574712319</v>
      </c>
      <c r="Q336">
        <f t="shared" si="970"/>
        <v>131086437.19540149</v>
      </c>
      <c r="R336">
        <f t="shared" si="971"/>
        <v>4870575102.1785908</v>
      </c>
      <c r="S336">
        <f t="shared" si="972"/>
        <v>48705.751021785909</v>
      </c>
      <c r="T336">
        <f t="shared" si="973"/>
        <v>48.705751021785908</v>
      </c>
    </row>
    <row r="337" spans="1:20" x14ac:dyDescent="0.25">
      <c r="A337" s="5">
        <v>44256</v>
      </c>
      <c r="B337">
        <v>9.6380000000000007E-3</v>
      </c>
      <c r="C337">
        <v>1.0995E-2</v>
      </c>
      <c r="D337">
        <v>9.4599999999999997E-3</v>
      </c>
      <c r="E337">
        <v>1.0217E-2</v>
      </c>
      <c r="F337">
        <v>276107179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-1.3680781758956645E-2</v>
      </c>
      <c r="Q337">
        <f t="shared" si="970"/>
        <v>-3777362.0579801775</v>
      </c>
      <c r="R337">
        <f t="shared" si="971"/>
        <v>4739488664.9831896</v>
      </c>
      <c r="S337">
        <f t="shared" si="972"/>
        <v>47394.886649831897</v>
      </c>
      <c r="T337">
        <f t="shared" si="973"/>
        <v>47.394886649831896</v>
      </c>
    </row>
    <row r="338" spans="1:20" x14ac:dyDescent="0.25">
      <c r="A338" s="5">
        <v>44255</v>
      </c>
      <c r="B338">
        <v>1.0089000000000001E-2</v>
      </c>
      <c r="C338">
        <v>1.065E-2</v>
      </c>
      <c r="D338">
        <v>8.6999999999999994E-3</v>
      </c>
      <c r="E338">
        <v>9.6369999999999997E-3</v>
      </c>
      <c r="F338">
        <v>510744872</v>
      </c>
      <c r="G338">
        <v>0</v>
      </c>
      <c r="L338" t="s">
        <v>8</v>
      </c>
      <c r="M338" t="s">
        <v>7</v>
      </c>
      <c r="N338" t="s">
        <v>7</v>
      </c>
      <c r="P338">
        <f t="shared" si="969"/>
        <v>-3.8974358974358803E-2</v>
      </c>
      <c r="Q338">
        <f t="shared" si="970"/>
        <v>-19905953.985640939</v>
      </c>
      <c r="R338">
        <f t="shared" si="971"/>
        <v>4743266027.0411701</v>
      </c>
      <c r="S338">
        <f t="shared" si="972"/>
        <v>47432.660270411703</v>
      </c>
      <c r="T338">
        <f t="shared" si="973"/>
        <v>47.432660270411702</v>
      </c>
    </row>
    <row r="339" spans="1:20" x14ac:dyDescent="0.25">
      <c r="A339" s="5">
        <v>44254</v>
      </c>
      <c r="B339">
        <v>9.8619999999999992E-3</v>
      </c>
      <c r="C339">
        <v>1.0394E-2</v>
      </c>
      <c r="D339">
        <v>9.7109999999999991E-3</v>
      </c>
      <c r="E339">
        <v>1.0092E-2</v>
      </c>
      <c r="F339">
        <v>363471433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0.11566617862372004</v>
      </c>
      <c r="Q339">
        <f t="shared" si="970"/>
        <v>42041351.693997495</v>
      </c>
      <c r="R339">
        <f t="shared" si="971"/>
        <v>4763171981.0268106</v>
      </c>
      <c r="S339">
        <f t="shared" si="972"/>
        <v>47631.719810268107</v>
      </c>
      <c r="T339">
        <f t="shared" si="973"/>
        <v>47.631719810268109</v>
      </c>
    </row>
    <row r="340" spans="1:20" x14ac:dyDescent="0.25">
      <c r="A340" s="5">
        <v>44253</v>
      </c>
      <c r="B340">
        <v>1.0215999999999999E-2</v>
      </c>
      <c r="C340">
        <v>1.0272E-2</v>
      </c>
      <c r="D340">
        <v>9.0530000000000003E-3</v>
      </c>
      <c r="E340">
        <v>9.8329999999999997E-3</v>
      </c>
      <c r="F340">
        <v>471114347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0.27973748974569268</v>
      </c>
      <c r="Q340">
        <f t="shared" si="970"/>
        <v>131788344.81296121</v>
      </c>
      <c r="R340">
        <f t="shared" si="971"/>
        <v>4721130629.3328133</v>
      </c>
      <c r="S340">
        <f t="shared" si="972"/>
        <v>47211.306293328133</v>
      </c>
      <c r="T340">
        <f t="shared" si="973"/>
        <v>47.211306293328136</v>
      </c>
    </row>
    <row r="341" spans="1:20" x14ac:dyDescent="0.25">
      <c r="A341" s="5">
        <v>44252</v>
      </c>
      <c r="B341">
        <v>1.0859000000000001E-2</v>
      </c>
      <c r="C341">
        <v>1.1235999999999999E-2</v>
      </c>
      <c r="D341">
        <v>1.0070000000000001E-2</v>
      </c>
      <c r="E341">
        <v>1.023E-2</v>
      </c>
      <c r="F341">
        <v>358719245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-0.72555746140652</v>
      </c>
      <c r="Q341">
        <f t="shared" si="970"/>
        <v>-260271424.7598635</v>
      </c>
      <c r="R341">
        <f t="shared" si="971"/>
        <v>4589342284.5198517</v>
      </c>
      <c r="S341">
        <f t="shared" si="972"/>
        <v>45893.422845198518</v>
      </c>
      <c r="T341">
        <f t="shared" si="973"/>
        <v>45.893422845198515</v>
      </c>
    </row>
    <row r="342" spans="1:20" x14ac:dyDescent="0.25">
      <c r="A342" s="5">
        <v>44251</v>
      </c>
      <c r="B342">
        <v>1.0699999999999999E-2</v>
      </c>
      <c r="C342">
        <v>1.2632000000000001E-2</v>
      </c>
      <c r="D342">
        <v>1.01E-2</v>
      </c>
      <c r="E342">
        <v>1.0859000000000001E-2</v>
      </c>
      <c r="F342">
        <v>993938342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-0.40047393364928863</v>
      </c>
      <c r="Q342">
        <f t="shared" si="970"/>
        <v>-398046397.62559193</v>
      </c>
      <c r="R342">
        <f t="shared" si="971"/>
        <v>4849613709.2797155</v>
      </c>
      <c r="S342">
        <f t="shared" si="972"/>
        <v>48496.137092797158</v>
      </c>
      <c r="T342">
        <f t="shared" si="973"/>
        <v>48.496137092797156</v>
      </c>
    </row>
    <row r="343" spans="1:20" x14ac:dyDescent="0.25">
      <c r="A343" s="5">
        <v>44250</v>
      </c>
      <c r="B343">
        <v>1.2616E-2</v>
      </c>
      <c r="C343">
        <v>1.2659E-2</v>
      </c>
      <c r="D343">
        <v>8.6999999999999994E-3</v>
      </c>
      <c r="E343">
        <v>1.0699999999999999E-2</v>
      </c>
      <c r="F343">
        <v>1057649576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1.0356150543066271E-2</v>
      </c>
      <c r="Q343">
        <f t="shared" si="970"/>
        <v>10953178.230866211</v>
      </c>
      <c r="R343">
        <f t="shared" si="971"/>
        <v>5247660106.9053078</v>
      </c>
      <c r="S343">
        <f t="shared" si="972"/>
        <v>52476.601069053075</v>
      </c>
      <c r="T343">
        <f t="shared" si="973"/>
        <v>52.476601069053075</v>
      </c>
    </row>
    <row r="344" spans="1:20" x14ac:dyDescent="0.25">
      <c r="A344" s="5">
        <v>44249</v>
      </c>
      <c r="B344">
        <v>1.3682E-2</v>
      </c>
      <c r="C344">
        <v>1.3755E-2</v>
      </c>
      <c r="D344">
        <v>1.0151E-2</v>
      </c>
      <c r="E344">
        <v>1.2652999999999999E-2</v>
      </c>
      <c r="F344">
        <v>861838131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0.38845726970033256</v>
      </c>
      <c r="Q344">
        <f t="shared" si="970"/>
        <v>334787287.29189754</v>
      </c>
      <c r="R344">
        <f t="shared" si="971"/>
        <v>5236706928.6744413</v>
      </c>
      <c r="S344">
        <f t="shared" si="972"/>
        <v>52367.069286744416</v>
      </c>
      <c r="T344">
        <f t="shared" si="973"/>
        <v>52.367069286744417</v>
      </c>
    </row>
    <row r="345" spans="1:20" x14ac:dyDescent="0.25">
      <c r="A345" s="5">
        <v>44248</v>
      </c>
      <c r="B345">
        <v>1.2943E-2</v>
      </c>
      <c r="C345">
        <v>1.4E-2</v>
      </c>
      <c r="D345">
        <v>1.2715000000000001E-2</v>
      </c>
      <c r="E345">
        <v>1.3708E-2</v>
      </c>
      <c r="F345">
        <v>414980312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0.54552529182879272</v>
      </c>
      <c r="Q345">
        <f t="shared" si="970"/>
        <v>226382255.80700347</v>
      </c>
      <c r="R345">
        <f t="shared" si="971"/>
        <v>4901919641.3825436</v>
      </c>
      <c r="S345">
        <f t="shared" si="972"/>
        <v>49019.196413825433</v>
      </c>
      <c r="T345">
        <f t="shared" si="973"/>
        <v>49.019196413825433</v>
      </c>
    </row>
    <row r="346" spans="1:20" x14ac:dyDescent="0.25">
      <c r="A346" s="5">
        <v>44247</v>
      </c>
      <c r="B346">
        <v>1.3468000000000001E-2</v>
      </c>
      <c r="C346">
        <v>1.4395E-2</v>
      </c>
      <c r="D346">
        <v>1.21E-2</v>
      </c>
      <c r="E346">
        <v>1.2924E-2</v>
      </c>
      <c r="F346">
        <v>709632158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-0.28191721132897601</v>
      </c>
      <c r="Q346">
        <f t="shared" si="970"/>
        <v>-200057519.05272329</v>
      </c>
      <c r="R346">
        <f t="shared" si="971"/>
        <v>4675537385.5755405</v>
      </c>
      <c r="S346">
        <f t="shared" si="972"/>
        <v>46755.373855755402</v>
      </c>
      <c r="T346">
        <f t="shared" si="973"/>
        <v>46.755373855755401</v>
      </c>
    </row>
    <row r="347" spans="1:20" x14ac:dyDescent="0.25">
      <c r="A347" s="5">
        <v>44246</v>
      </c>
      <c r="B347">
        <v>1.3431999999999999E-2</v>
      </c>
      <c r="C347">
        <v>1.35E-2</v>
      </c>
      <c r="D347">
        <v>1.2500000000000001E-2</v>
      </c>
      <c r="E347">
        <v>1.3471E-2</v>
      </c>
      <c r="F347">
        <v>494438318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0.94200000000000095</v>
      </c>
      <c r="Q347">
        <f t="shared" si="970"/>
        <v>465760895.55600047</v>
      </c>
      <c r="R347">
        <f t="shared" si="971"/>
        <v>4875594904.6282635</v>
      </c>
      <c r="S347">
        <f t="shared" si="972"/>
        <v>48755.949046282636</v>
      </c>
      <c r="T347">
        <f t="shared" si="973"/>
        <v>48.755949046282637</v>
      </c>
    </row>
    <row r="348" spans="1:20" x14ac:dyDescent="0.25">
      <c r="A348" s="5">
        <v>44245</v>
      </c>
      <c r="B348">
        <v>1.2220999999999999E-2</v>
      </c>
      <c r="C348">
        <v>1.3454000000000001E-2</v>
      </c>
      <c r="D348">
        <v>1.2217E-2</v>
      </c>
      <c r="E348">
        <v>1.3440000000000001E-2</v>
      </c>
      <c r="F348">
        <v>529764401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0.97736459175424395</v>
      </c>
      <c r="Q348">
        <f t="shared" si="970"/>
        <v>517772967.5092966</v>
      </c>
      <c r="R348">
        <f t="shared" si="971"/>
        <v>4409834009.0722628</v>
      </c>
      <c r="S348">
        <f t="shared" si="972"/>
        <v>44098.340090722624</v>
      </c>
      <c r="T348">
        <f t="shared" si="973"/>
        <v>44.098340090722623</v>
      </c>
    </row>
    <row r="349" spans="1:20" x14ac:dyDescent="0.25">
      <c r="A349" s="5">
        <v>44244</v>
      </c>
      <c r="B349">
        <v>1.1486E-2</v>
      </c>
      <c r="C349">
        <v>1.2848999999999999E-2</v>
      </c>
      <c r="D349">
        <v>1.0869E-2</v>
      </c>
      <c r="E349">
        <v>1.2248E-2</v>
      </c>
      <c r="F349">
        <v>524402758</v>
      </c>
      <c r="G349">
        <v>0</v>
      </c>
      <c r="L349" t="s">
        <v>8</v>
      </c>
      <c r="M349" t="s">
        <v>7</v>
      </c>
      <c r="N349" t="s">
        <v>8</v>
      </c>
      <c r="P349">
        <f t="shared" si="969"/>
        <v>0.39292929292929357</v>
      </c>
      <c r="Q349">
        <f t="shared" si="970"/>
        <v>206053204.91111144</v>
      </c>
      <c r="R349">
        <f t="shared" si="971"/>
        <v>3892061041.5629663</v>
      </c>
      <c r="S349">
        <f t="shared" si="972"/>
        <v>38920.610415629664</v>
      </c>
      <c r="T349">
        <f t="shared" si="973"/>
        <v>38.920610415629668</v>
      </c>
    </row>
    <row r="350" spans="1:20" x14ac:dyDescent="0.25">
      <c r="A350" s="5">
        <v>44243</v>
      </c>
      <c r="B350">
        <v>1.1834000000000001E-2</v>
      </c>
      <c r="C350">
        <v>1.2508999999999999E-2</v>
      </c>
      <c r="D350">
        <v>1.0765E-2</v>
      </c>
      <c r="E350">
        <v>1.1479E-2</v>
      </c>
      <c r="F350">
        <v>513754690</v>
      </c>
      <c r="G350">
        <v>0</v>
      </c>
      <c r="L350" t="s">
        <v>7</v>
      </c>
      <c r="M350" t="s">
        <v>7</v>
      </c>
      <c r="N350" t="s">
        <v>8</v>
      </c>
      <c r="P350">
        <f t="shared" si="969"/>
        <v>-0.18119266055045899</v>
      </c>
      <c r="Q350">
        <f t="shared" si="970"/>
        <v>-93088579.151376292</v>
      </c>
      <c r="R350">
        <f t="shared" si="971"/>
        <v>3686007836.651855</v>
      </c>
      <c r="S350">
        <f t="shared" si="972"/>
        <v>36860.078366518552</v>
      </c>
      <c r="T350">
        <f t="shared" si="973"/>
        <v>36.86007836651855</v>
      </c>
    </row>
    <row r="351" spans="1:20" x14ac:dyDescent="0.25">
      <c r="A351" s="5">
        <v>44242</v>
      </c>
      <c r="B351">
        <v>1.269E-2</v>
      </c>
      <c r="C351">
        <v>1.3030999999999999E-2</v>
      </c>
      <c r="D351">
        <v>1.0961E-2</v>
      </c>
      <c r="E351">
        <v>1.1833E-2</v>
      </c>
      <c r="F351">
        <v>684825623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-0.15748792270531403</v>
      </c>
      <c r="Q351">
        <f t="shared" si="970"/>
        <v>-107851764.78164253</v>
      </c>
      <c r="R351">
        <f t="shared" si="971"/>
        <v>3779096415.8032312</v>
      </c>
      <c r="S351">
        <f t="shared" si="972"/>
        <v>37790.964158032315</v>
      </c>
      <c r="T351">
        <f t="shared" si="973"/>
        <v>37.790964158032317</v>
      </c>
    </row>
    <row r="352" spans="1:20" x14ac:dyDescent="0.25">
      <c r="A352" s="5">
        <v>44241</v>
      </c>
      <c r="B352">
        <v>1.3650000000000001E-2</v>
      </c>
      <c r="C352">
        <v>1.3724E-2</v>
      </c>
      <c r="D352">
        <v>1.1911E-2</v>
      </c>
      <c r="E352">
        <v>1.269E-2</v>
      </c>
      <c r="F352">
        <v>645433956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-0.1406508549365692</v>
      </c>
      <c r="Q352">
        <f t="shared" si="970"/>
        <v>-90780837.716491982</v>
      </c>
      <c r="R352">
        <f t="shared" si="971"/>
        <v>3886948180.5848737</v>
      </c>
      <c r="S352">
        <f t="shared" si="972"/>
        <v>38869.481805848736</v>
      </c>
      <c r="T352">
        <f t="shared" si="973"/>
        <v>38.869481805848736</v>
      </c>
    </row>
    <row r="353" spans="1:20" x14ac:dyDescent="0.25">
      <c r="A353" s="5">
        <v>44240</v>
      </c>
      <c r="B353">
        <v>1.2919E-2</v>
      </c>
      <c r="C353">
        <v>1.4212000000000001E-2</v>
      </c>
      <c r="D353">
        <v>1.225E-2</v>
      </c>
      <c r="E353">
        <v>1.3650000000000001E-2</v>
      </c>
      <c r="F353">
        <v>1211096694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0.42711518858307856</v>
      </c>
      <c r="Q353">
        <f t="shared" si="970"/>
        <v>517277792.85015297</v>
      </c>
      <c r="R353">
        <f t="shared" si="971"/>
        <v>3977729018.3013659</v>
      </c>
      <c r="S353">
        <f t="shared" si="972"/>
        <v>39777.290183013662</v>
      </c>
      <c r="T353">
        <f t="shared" si="973"/>
        <v>39.777290183013662</v>
      </c>
    </row>
    <row r="354" spans="1:20" x14ac:dyDescent="0.25">
      <c r="A354" s="5">
        <v>44239</v>
      </c>
      <c r="B354">
        <v>1.1318E-2</v>
      </c>
      <c r="C354">
        <v>1.3136E-2</v>
      </c>
      <c r="D354">
        <v>1.0838E-2</v>
      </c>
      <c r="E354">
        <v>1.2919E-2</v>
      </c>
      <c r="F354">
        <v>1372661797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0.81114012184508255</v>
      </c>
      <c r="Q354">
        <f t="shared" si="970"/>
        <v>1113421057.2706699</v>
      </c>
      <c r="R354">
        <f t="shared" si="971"/>
        <v>3460451225.4512129</v>
      </c>
      <c r="S354">
        <f t="shared" si="972"/>
        <v>34604.512254512127</v>
      </c>
      <c r="T354">
        <f t="shared" si="973"/>
        <v>34.60451225451213</v>
      </c>
    </row>
    <row r="355" spans="1:20" x14ac:dyDescent="0.25">
      <c r="A355" s="5">
        <v>44238</v>
      </c>
      <c r="B355">
        <v>1.0326999999999999E-2</v>
      </c>
      <c r="C355">
        <v>1.1649E-2</v>
      </c>
      <c r="D355">
        <v>1.0316000000000001E-2</v>
      </c>
      <c r="E355">
        <v>1.1303000000000001E-2</v>
      </c>
      <c r="F355">
        <v>901558862</v>
      </c>
      <c r="G355">
        <v>0</v>
      </c>
      <c r="L355" t="s">
        <v>7</v>
      </c>
      <c r="M355" t="s">
        <v>8</v>
      </c>
      <c r="N355" t="s">
        <v>8</v>
      </c>
      <c r="P355">
        <f t="shared" si="969"/>
        <v>0.48087021755438963</v>
      </c>
      <c r="Q355">
        <f t="shared" si="970"/>
        <v>433532806.10802794</v>
      </c>
      <c r="R355">
        <f t="shared" si="971"/>
        <v>2347030168.1805429</v>
      </c>
      <c r="S355">
        <f t="shared" si="972"/>
        <v>23470.301681805431</v>
      </c>
      <c r="T355">
        <f t="shared" si="973"/>
        <v>23.470301681805431</v>
      </c>
    </row>
    <row r="356" spans="1:20" x14ac:dyDescent="0.25">
      <c r="A356" s="5">
        <v>44237</v>
      </c>
      <c r="B356">
        <v>1.0102999999999999E-2</v>
      </c>
      <c r="C356">
        <v>1.1658999999999999E-2</v>
      </c>
      <c r="D356">
        <v>9.4929999999999997E-3</v>
      </c>
      <c r="E356">
        <v>1.0366999999999999E-2</v>
      </c>
      <c r="F356">
        <v>1484871885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-0.19298245614035089</v>
      </c>
      <c r="Q356">
        <f t="shared" si="970"/>
        <v>-286554223.42105263</v>
      </c>
      <c r="R356">
        <f t="shared" si="971"/>
        <v>1913497362.0725152</v>
      </c>
      <c r="S356">
        <f t="shared" si="972"/>
        <v>19134.973620725152</v>
      </c>
      <c r="T356">
        <f t="shared" si="973"/>
        <v>19.134973620725152</v>
      </c>
    </row>
    <row r="357" spans="1:20" x14ac:dyDescent="0.25">
      <c r="A357" s="5">
        <v>44236</v>
      </c>
      <c r="B357">
        <v>8.9910000000000007E-3</v>
      </c>
      <c r="C357">
        <v>1.0999999999999999E-2</v>
      </c>
      <c r="D357">
        <v>8.7779999999999993E-3</v>
      </c>
      <c r="E357">
        <v>1.0089000000000001E-2</v>
      </c>
      <c r="F357">
        <v>1717462653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0.18001800180018127</v>
      </c>
      <c r="Q357">
        <f t="shared" si="970"/>
        <v>309174194.95949811</v>
      </c>
      <c r="R357">
        <f t="shared" si="971"/>
        <v>2200051585.4935679</v>
      </c>
      <c r="S357">
        <f t="shared" si="972"/>
        <v>22000.515854935678</v>
      </c>
      <c r="T357">
        <f t="shared" si="973"/>
        <v>22.000515854935678</v>
      </c>
    </row>
    <row r="358" spans="1:20" x14ac:dyDescent="0.25">
      <c r="A358" s="5">
        <v>44235</v>
      </c>
      <c r="B358">
        <v>8.2799999999999992E-3</v>
      </c>
      <c r="C358">
        <v>9.4750000000000008E-3</v>
      </c>
      <c r="D358">
        <v>7.986E-3</v>
      </c>
      <c r="E358">
        <v>9.0150000000000004E-3</v>
      </c>
      <c r="F358">
        <v>738249530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0.38213566151779704</v>
      </c>
      <c r="Q358">
        <f t="shared" si="970"/>
        <v>282111472.51175272</v>
      </c>
      <c r="R358">
        <f t="shared" si="971"/>
        <v>1890877390.53407</v>
      </c>
      <c r="S358">
        <f t="shared" si="972"/>
        <v>18908.773905340699</v>
      </c>
      <c r="T358">
        <f t="shared" si="973"/>
        <v>18.908773905340698</v>
      </c>
    </row>
    <row r="359" spans="1:20" x14ac:dyDescent="0.25">
      <c r="A359" s="5">
        <v>44234</v>
      </c>
      <c r="B359">
        <v>8.5489999999999993E-3</v>
      </c>
      <c r="C359">
        <v>8.5900000000000004E-3</v>
      </c>
      <c r="D359">
        <v>7.6140000000000001E-3</v>
      </c>
      <c r="E359">
        <v>8.2710000000000006E-3</v>
      </c>
      <c r="F359">
        <v>529225427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0.34631147540983659</v>
      </c>
      <c r="Q359">
        <f t="shared" si="970"/>
        <v>183276838.44877076</v>
      </c>
      <c r="R359">
        <f t="shared" si="971"/>
        <v>1608765918.0223174</v>
      </c>
      <c r="S359">
        <f t="shared" si="972"/>
        <v>16087.659180223174</v>
      </c>
      <c r="T359">
        <f t="shared" si="973"/>
        <v>16.087659180223174</v>
      </c>
    </row>
    <row r="360" spans="1:20" x14ac:dyDescent="0.25">
      <c r="A360" s="5">
        <v>44233</v>
      </c>
      <c r="B360">
        <v>9.3919999999999993E-3</v>
      </c>
      <c r="C360">
        <v>9.4000000000000004E-3</v>
      </c>
      <c r="D360">
        <v>8.2500000000000004E-3</v>
      </c>
      <c r="E360">
        <v>8.5459999999999998E-3</v>
      </c>
      <c r="F360">
        <v>530954069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-0.48521739130434888</v>
      </c>
      <c r="Q360">
        <f t="shared" si="970"/>
        <v>-257628148.26260924</v>
      </c>
      <c r="R360">
        <f t="shared" si="971"/>
        <v>1425489079.5735466</v>
      </c>
      <c r="S360">
        <f t="shared" si="972"/>
        <v>14254.890795735466</v>
      </c>
      <c r="T360">
        <f t="shared" si="973"/>
        <v>14.254890795735466</v>
      </c>
    </row>
    <row r="361" spans="1:20" x14ac:dyDescent="0.25">
      <c r="A361" s="5">
        <v>44232</v>
      </c>
      <c r="B361">
        <v>8.4670000000000006E-3</v>
      </c>
      <c r="C361">
        <v>9.4000000000000004E-3</v>
      </c>
      <c r="D361">
        <v>8.3499999999999998E-3</v>
      </c>
      <c r="E361">
        <v>9.3919999999999993E-3</v>
      </c>
      <c r="F361">
        <v>698181924</v>
      </c>
      <c r="G361">
        <v>0</v>
      </c>
      <c r="L361" t="s">
        <v>8</v>
      </c>
      <c r="M361" t="s">
        <v>7</v>
      </c>
      <c r="N361" t="s">
        <v>8</v>
      </c>
      <c r="P361">
        <f t="shared" si="969"/>
        <v>0.98476190476190273</v>
      </c>
      <c r="Q361">
        <f t="shared" si="970"/>
        <v>687542961.34856999</v>
      </c>
      <c r="R361">
        <f t="shared" si="971"/>
        <v>1683117227.8361559</v>
      </c>
      <c r="S361">
        <f t="shared" si="972"/>
        <v>16831.172278361559</v>
      </c>
      <c r="T361">
        <f t="shared" si="973"/>
        <v>16.83117227836156</v>
      </c>
    </row>
    <row r="362" spans="1:20" x14ac:dyDescent="0.25">
      <c r="A362" s="5">
        <v>44231</v>
      </c>
      <c r="B362">
        <v>8.9210000000000001E-3</v>
      </c>
      <c r="C362">
        <v>9.3179999999999999E-3</v>
      </c>
      <c r="D362">
        <v>8.1300000000000001E-3</v>
      </c>
      <c r="E362">
        <v>8.4639999999999993E-3</v>
      </c>
      <c r="F362">
        <v>995347443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-0.43771043771043894</v>
      </c>
      <c r="Q362">
        <f t="shared" si="970"/>
        <v>-435673964.94949615</v>
      </c>
      <c r="R362">
        <f t="shared" si="971"/>
        <v>995574266.4875859</v>
      </c>
      <c r="S362">
        <f t="shared" si="972"/>
        <v>9955.7426648758592</v>
      </c>
      <c r="T362">
        <f t="shared" si="973"/>
        <v>9.95574266487586</v>
      </c>
    </row>
    <row r="363" spans="1:20" x14ac:dyDescent="0.25">
      <c r="A363" s="5">
        <v>44230</v>
      </c>
      <c r="B363">
        <v>8.7799999999999996E-3</v>
      </c>
      <c r="C363">
        <v>9.7090000000000006E-3</v>
      </c>
      <c r="D363">
        <v>8.2419999999999993E-3</v>
      </c>
      <c r="E363">
        <v>8.9040000000000005E-3</v>
      </c>
      <c r="F363">
        <v>1783114780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-9.7477845944102873E-2</v>
      </c>
      <c r="Q363">
        <f t="shared" si="970"/>
        <v>-173814187.82549289</v>
      </c>
      <c r="R363">
        <f t="shared" si="971"/>
        <v>1431248231.4370821</v>
      </c>
      <c r="S363">
        <f t="shared" si="972"/>
        <v>14312.48231437082</v>
      </c>
      <c r="T363">
        <f t="shared" si="973"/>
        <v>14.31248231437082</v>
      </c>
    </row>
    <row r="364" spans="1:20" x14ac:dyDescent="0.25">
      <c r="A364" s="5">
        <v>44229</v>
      </c>
      <c r="B364">
        <v>7.3070000000000001E-3</v>
      </c>
      <c r="C364">
        <v>8.9359999999999995E-3</v>
      </c>
      <c r="D364">
        <v>7.064E-3</v>
      </c>
      <c r="E364">
        <v>8.7819999999999999E-3</v>
      </c>
      <c r="F364">
        <v>1903988104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0.83547008547008583</v>
      </c>
      <c r="Q364">
        <f t="shared" si="970"/>
        <v>1590725103.9829066</v>
      </c>
      <c r="R364">
        <f t="shared" si="971"/>
        <v>1605062419.2625749</v>
      </c>
      <c r="S364">
        <f t="shared" si="972"/>
        <v>16050.62419262575</v>
      </c>
      <c r="T364">
        <f t="shared" si="973"/>
        <v>16.050624192625751</v>
      </c>
    </row>
    <row r="365" spans="1:20" x14ac:dyDescent="0.25">
      <c r="A365" s="5">
        <v>44228</v>
      </c>
      <c r="B365">
        <v>7.4229999999999999E-3</v>
      </c>
      <c r="C365">
        <v>8.0000000000000002E-3</v>
      </c>
      <c r="D365">
        <v>6.6550000000000003E-3</v>
      </c>
      <c r="E365">
        <v>7.3140000000000002E-3</v>
      </c>
      <c r="F365">
        <v>1574002241</v>
      </c>
      <c r="G365">
        <v>0</v>
      </c>
      <c r="L365" t="s">
        <v>8</v>
      </c>
      <c r="M365" t="s">
        <v>7</v>
      </c>
      <c r="N365" t="s">
        <v>7</v>
      </c>
      <c r="P365">
        <f t="shared" si="969"/>
        <v>-2.007434944237927E-2</v>
      </c>
      <c r="Q365">
        <f t="shared" si="970"/>
        <v>-31597071.00892207</v>
      </c>
      <c r="R365">
        <f t="shared" si="971"/>
        <v>14337315.279668361</v>
      </c>
      <c r="S365">
        <f t="shared" si="972"/>
        <v>143.3731527966836</v>
      </c>
      <c r="T365">
        <f t="shared" si="973"/>
        <v>0.14337315279668361</v>
      </c>
    </row>
    <row r="366" spans="1:20" x14ac:dyDescent="0.25">
      <c r="A366" s="5">
        <v>44227</v>
      </c>
      <c r="B366">
        <v>6.5779999999999996E-3</v>
      </c>
      <c r="C366">
        <v>8.2559999999999995E-3</v>
      </c>
      <c r="D366">
        <v>6.0000000000000001E-3</v>
      </c>
      <c r="E366">
        <v>7.4219999999999998E-3</v>
      </c>
      <c r="F366">
        <v>2155354633</v>
      </c>
      <c r="G366">
        <v>0</v>
      </c>
      <c r="L366" t="s">
        <v>7</v>
      </c>
      <c r="M366" t="s">
        <v>8</v>
      </c>
      <c r="N366" t="s">
        <v>7</v>
      </c>
      <c r="P366">
        <f t="shared" si="969"/>
        <v>0.2606382978723405</v>
      </c>
      <c r="Q366">
        <f t="shared" si="970"/>
        <v>561767962.85638309</v>
      </c>
      <c r="R366">
        <f t="shared" si="971"/>
        <v>45934386.288590431</v>
      </c>
      <c r="S366">
        <f t="shared" si="972"/>
        <v>459.34386288590429</v>
      </c>
      <c r="T366">
        <f t="shared" si="973"/>
        <v>0.45934386288590429</v>
      </c>
    </row>
    <row r="367" spans="1:20" x14ac:dyDescent="0.25">
      <c r="A367" s="5">
        <v>44226</v>
      </c>
      <c r="B367">
        <v>7.345E-3</v>
      </c>
      <c r="C367">
        <v>7.9830000000000005E-3</v>
      </c>
      <c r="D367">
        <v>6.1619999999999999E-3</v>
      </c>
      <c r="E367">
        <v>6.5789999999999998E-3</v>
      </c>
      <c r="F367">
        <v>1758225594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-0.54200988467874822</v>
      </c>
      <c r="Q367">
        <f t="shared" si="970"/>
        <v>-952975651.44316363</v>
      </c>
      <c r="R367">
        <f t="shared" si="971"/>
        <v>-515833576.56779265</v>
      </c>
      <c r="S367">
        <f t="shared" si="972"/>
        <v>-5158.3357656779262</v>
      </c>
      <c r="T367">
        <f t="shared" si="973"/>
        <v>-5.1583357656779265</v>
      </c>
    </row>
    <row r="368" spans="1:20" x14ac:dyDescent="0.25">
      <c r="A368" s="5">
        <v>44225</v>
      </c>
      <c r="B368">
        <v>5.6820000000000004E-3</v>
      </c>
      <c r="C368">
        <v>9.9500000000000005E-3</v>
      </c>
      <c r="D368">
        <v>5.6620000000000004E-3</v>
      </c>
      <c r="E368">
        <v>7.345E-3</v>
      </c>
      <c r="F368">
        <v>7419694328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-0.21501865671641812</v>
      </c>
      <c r="Q368">
        <f t="shared" si="970"/>
        <v>-1595372707.6529865</v>
      </c>
      <c r="R368">
        <f t="shared" si="971"/>
        <v>437142074.87537098</v>
      </c>
      <c r="S368">
        <f t="shared" si="972"/>
        <v>4371.4207487537096</v>
      </c>
      <c r="T368">
        <f t="shared" si="973"/>
        <v>4.3714207487537093</v>
      </c>
    </row>
    <row r="369" spans="1:20" x14ac:dyDescent="0.25">
      <c r="A369" s="5">
        <v>44224</v>
      </c>
      <c r="B369">
        <v>4.1330000000000004E-3</v>
      </c>
      <c r="C369">
        <v>6.2960000000000004E-3</v>
      </c>
      <c r="D369">
        <v>4.1079999999999997E-3</v>
      </c>
      <c r="E369">
        <v>5.6820000000000004E-3</v>
      </c>
      <c r="F369">
        <v>3611484500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0.43875685557586858</v>
      </c>
      <c r="Q369">
        <f t="shared" si="970"/>
        <v>1584563583.1809878</v>
      </c>
      <c r="R369">
        <f t="shared" si="971"/>
        <v>2032514782.5283575</v>
      </c>
      <c r="S369">
        <f t="shared" si="972"/>
        <v>20325.147825283577</v>
      </c>
      <c r="T369">
        <f t="shared" si="973"/>
        <v>20.325147825283576</v>
      </c>
    </row>
    <row r="370" spans="1:20" x14ac:dyDescent="0.25">
      <c r="A370" s="5">
        <v>44223</v>
      </c>
      <c r="B370">
        <v>4.437E-3</v>
      </c>
      <c r="C370">
        <v>4.5640000000000003E-3</v>
      </c>
      <c r="D370">
        <v>3.9329999999999999E-3</v>
      </c>
      <c r="E370">
        <v>4.1419999999999998E-3</v>
      </c>
      <c r="F370">
        <v>262362668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-0.33755942947702117</v>
      </c>
      <c r="Q370">
        <f t="shared" si="970"/>
        <v>-88562992.526149124</v>
      </c>
      <c r="R370">
        <f t="shared" si="971"/>
        <v>447951199.34736979</v>
      </c>
      <c r="S370">
        <f t="shared" si="972"/>
        <v>4479.5119934736977</v>
      </c>
      <c r="T370">
        <f t="shared" si="973"/>
        <v>4.4795119934736976</v>
      </c>
    </row>
    <row r="371" spans="1:20" x14ac:dyDescent="0.25">
      <c r="A371" s="5">
        <v>44222</v>
      </c>
      <c r="B371">
        <v>4.5009999999999998E-3</v>
      </c>
      <c r="C371">
        <v>4.5329999999999997E-3</v>
      </c>
      <c r="D371">
        <v>4.2220000000000001E-3</v>
      </c>
      <c r="E371">
        <v>4.4349999999999997E-3</v>
      </c>
      <c r="F371">
        <v>114668101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0.36977491961414721</v>
      </c>
      <c r="Q371">
        <f t="shared" si="970"/>
        <v>42401387.829581916</v>
      </c>
      <c r="R371">
        <f t="shared" si="971"/>
        <v>536514191.87351888</v>
      </c>
      <c r="S371">
        <f t="shared" si="972"/>
        <v>5365.1419187351885</v>
      </c>
      <c r="T371">
        <f t="shared" si="973"/>
        <v>5.3651419187351888</v>
      </c>
    </row>
    <row r="372" spans="1:20" x14ac:dyDescent="0.25">
      <c r="A372" s="5">
        <v>44221</v>
      </c>
      <c r="B372">
        <v>4.6550000000000003E-3</v>
      </c>
      <c r="C372">
        <v>4.7499999999999999E-3</v>
      </c>
      <c r="D372">
        <v>4.4559999999999999E-3</v>
      </c>
      <c r="E372">
        <v>4.5110000000000003E-3</v>
      </c>
      <c r="F372">
        <v>311211216</v>
      </c>
      <c r="G372">
        <v>0</v>
      </c>
      <c r="L372" t="s">
        <v>7</v>
      </c>
      <c r="M372" t="s">
        <v>7</v>
      </c>
      <c r="N372" t="s">
        <v>8</v>
      </c>
      <c r="P372">
        <f t="shared" si="969"/>
        <v>-0.62585034013605201</v>
      </c>
      <c r="Q372">
        <f t="shared" si="970"/>
        <v>-194771645.38775435</v>
      </c>
      <c r="R372">
        <f t="shared" si="971"/>
        <v>494112804.04393697</v>
      </c>
      <c r="S372">
        <f t="shared" si="972"/>
        <v>4941.1280404393701</v>
      </c>
      <c r="T372">
        <f t="shared" si="973"/>
        <v>4.94112804043937</v>
      </c>
    </row>
    <row r="373" spans="1:20" x14ac:dyDescent="0.25">
      <c r="A373" s="5">
        <v>44220</v>
      </c>
      <c r="B373">
        <v>4.6629999999999996E-3</v>
      </c>
      <c r="C373">
        <v>4.7619999999999997E-3</v>
      </c>
      <c r="D373">
        <v>4.5100000000000001E-3</v>
      </c>
      <c r="E373">
        <v>4.6550000000000003E-3</v>
      </c>
      <c r="F373">
        <v>176771112</v>
      </c>
      <c r="G373">
        <v>0</v>
      </c>
      <c r="L373" t="s">
        <v>8</v>
      </c>
      <c r="M373" t="s">
        <v>7</v>
      </c>
      <c r="N373" t="s">
        <v>8</v>
      </c>
      <c r="P373">
        <f t="shared" si="969"/>
        <v>0.15079365079365384</v>
      </c>
      <c r="Q373">
        <f t="shared" si="970"/>
        <v>26655961.333333872</v>
      </c>
      <c r="R373">
        <f t="shared" si="971"/>
        <v>688884449.43169129</v>
      </c>
      <c r="S373">
        <f t="shared" si="972"/>
        <v>6888.8444943169125</v>
      </c>
      <c r="T373">
        <f t="shared" si="973"/>
        <v>6.8888444943169125</v>
      </c>
    </row>
    <row r="374" spans="1:20" x14ac:dyDescent="0.25">
      <c r="A374" s="5">
        <v>44219</v>
      </c>
      <c r="B374">
        <v>4.5970000000000004E-3</v>
      </c>
      <c r="C374">
        <v>4.7999999999999996E-3</v>
      </c>
      <c r="D374">
        <v>4.4489999999999998E-3</v>
      </c>
      <c r="E374">
        <v>4.666E-3</v>
      </c>
      <c r="F374">
        <v>340575681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0.23646723646723836</v>
      </c>
      <c r="Q374">
        <f t="shared" si="970"/>
        <v>80534990.094017744</v>
      </c>
      <c r="R374">
        <f t="shared" si="971"/>
        <v>662228488.09835744</v>
      </c>
      <c r="S374">
        <f t="shared" si="972"/>
        <v>6622.2848809835741</v>
      </c>
      <c r="T374">
        <f t="shared" si="973"/>
        <v>6.6222848809835737</v>
      </c>
    </row>
    <row r="375" spans="1:20" x14ac:dyDescent="0.25">
      <c r="A375" s="5">
        <v>44218</v>
      </c>
      <c r="B375">
        <v>4.4450000000000002E-3</v>
      </c>
      <c r="C375">
        <v>4.6950000000000004E-3</v>
      </c>
      <c r="D375">
        <v>4.1000000000000003E-3</v>
      </c>
      <c r="E375">
        <v>4.5970000000000004E-3</v>
      </c>
      <c r="F375">
        <v>336401946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0.67058823529411771</v>
      </c>
      <c r="Q375">
        <f t="shared" si="970"/>
        <v>225587187.31764707</v>
      </c>
      <c r="R375">
        <f t="shared" si="971"/>
        <v>581693498.00433969</v>
      </c>
      <c r="S375">
        <f t="shared" si="972"/>
        <v>5816.9349800433965</v>
      </c>
      <c r="T375">
        <f t="shared" si="973"/>
        <v>5.8169349800433965</v>
      </c>
    </row>
    <row r="376" spans="1:20" x14ac:dyDescent="0.25">
      <c r="A376" s="5">
        <v>44217</v>
      </c>
      <c r="B376">
        <v>5.274E-3</v>
      </c>
      <c r="C376">
        <v>5.3E-3</v>
      </c>
      <c r="D376">
        <v>4.3379999999999998E-3</v>
      </c>
      <c r="E376">
        <v>4.4450000000000002E-3</v>
      </c>
      <c r="F376">
        <v>300521339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-0.77754677754677692</v>
      </c>
      <c r="Q376">
        <f t="shared" si="970"/>
        <v>-233669398.72349253</v>
      </c>
      <c r="R376">
        <f t="shared" si="971"/>
        <v>356106310.6866926</v>
      </c>
      <c r="S376">
        <f t="shared" si="972"/>
        <v>3561.0631068669259</v>
      </c>
      <c r="T376">
        <f t="shared" si="973"/>
        <v>3.5610631068669258</v>
      </c>
    </row>
    <row r="377" spans="1:20" x14ac:dyDescent="0.25">
      <c r="A377" s="5">
        <v>44216</v>
      </c>
      <c r="B377">
        <v>5.0179999999999999E-3</v>
      </c>
      <c r="C377">
        <v>5.3489999999999996E-3</v>
      </c>
      <c r="D377">
        <v>4.6670000000000001E-3</v>
      </c>
      <c r="E377">
        <v>5.2709999999999996E-3</v>
      </c>
      <c r="F377">
        <v>391801657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0.77126099706744866</v>
      </c>
      <c r="Q377">
        <f t="shared" si="970"/>
        <v>302181336.63049853</v>
      </c>
      <c r="R377">
        <f t="shared" si="971"/>
        <v>589775709.4101851</v>
      </c>
      <c r="S377">
        <f t="shared" si="972"/>
        <v>5897.7570941018512</v>
      </c>
      <c r="T377">
        <f t="shared" si="973"/>
        <v>5.8977570941018511</v>
      </c>
    </row>
    <row r="378" spans="1:20" x14ac:dyDescent="0.25">
      <c r="A378" s="5">
        <v>44215</v>
      </c>
      <c r="B378">
        <v>4.8710000000000003E-3</v>
      </c>
      <c r="C378">
        <v>5.4999999999999997E-3</v>
      </c>
      <c r="D378">
        <v>4.8570000000000002E-3</v>
      </c>
      <c r="E378">
        <v>5.0179999999999999E-3</v>
      </c>
      <c r="F378">
        <v>721049946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-0.49922239502332871</v>
      </c>
      <c r="Q378">
        <f t="shared" si="970"/>
        <v>-359964280.97356182</v>
      </c>
      <c r="R378">
        <f t="shared" si="971"/>
        <v>287594372.77968663</v>
      </c>
      <c r="S378">
        <f t="shared" si="972"/>
        <v>2875.9437277968664</v>
      </c>
      <c r="T378">
        <f t="shared" si="973"/>
        <v>2.8759437277968662</v>
      </c>
    </row>
    <row r="379" spans="1:20" x14ac:dyDescent="0.25">
      <c r="A379" s="5">
        <v>44214</v>
      </c>
      <c r="B379">
        <v>4.6560000000000004E-3</v>
      </c>
      <c r="C379">
        <v>4.908E-3</v>
      </c>
      <c r="D379">
        <v>4.4590000000000003E-3</v>
      </c>
      <c r="E379">
        <v>4.8719999999999996E-3</v>
      </c>
      <c r="F379">
        <v>485905350</v>
      </c>
      <c r="G379">
        <v>0</v>
      </c>
      <c r="L379" t="s">
        <v>7</v>
      </c>
      <c r="M379" t="s">
        <v>8</v>
      </c>
      <c r="N379" t="s">
        <v>7</v>
      </c>
      <c r="P379">
        <f t="shared" si="969"/>
        <v>0.83964365256124518</v>
      </c>
      <c r="Q379">
        <f t="shared" si="970"/>
        <v>407987342.87305021</v>
      </c>
      <c r="R379">
        <f t="shared" si="971"/>
        <v>647558653.75324845</v>
      </c>
      <c r="S379">
        <f t="shared" si="972"/>
        <v>6475.5865375324847</v>
      </c>
      <c r="T379">
        <f t="shared" si="973"/>
        <v>6.475586537532485</v>
      </c>
    </row>
    <row r="380" spans="1:20" x14ac:dyDescent="0.25">
      <c r="A380" s="5">
        <v>44213</v>
      </c>
      <c r="B380">
        <v>4.7600000000000003E-3</v>
      </c>
      <c r="C380">
        <v>5.1009999999999996E-3</v>
      </c>
      <c r="D380">
        <v>4.3059999999999999E-3</v>
      </c>
      <c r="E380">
        <v>4.6600000000000001E-3</v>
      </c>
      <c r="F380">
        <v>586703557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-0.10943396226415024</v>
      </c>
      <c r="Q380">
        <f t="shared" si="970"/>
        <v>-64205294.916980721</v>
      </c>
      <c r="R380">
        <f t="shared" si="971"/>
        <v>239571310.88019821</v>
      </c>
      <c r="S380">
        <f t="shared" si="972"/>
        <v>2395.7131088019819</v>
      </c>
      <c r="T380">
        <f t="shared" si="973"/>
        <v>2.3957131088019818</v>
      </c>
    </row>
    <row r="381" spans="1:20" x14ac:dyDescent="0.25">
      <c r="A381" s="5">
        <v>44212</v>
      </c>
      <c r="B381">
        <v>4.581E-3</v>
      </c>
      <c r="C381">
        <v>4.8089999999999999E-3</v>
      </c>
      <c r="D381">
        <v>4.529E-3</v>
      </c>
      <c r="E381">
        <v>4.7569999999999999E-3</v>
      </c>
      <c r="F381">
        <v>345768411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0.62857142857142867</v>
      </c>
      <c r="Q381">
        <f t="shared" si="970"/>
        <v>217340144.05714288</v>
      </c>
      <c r="R381">
        <f t="shared" si="971"/>
        <v>303776605.79717892</v>
      </c>
      <c r="S381">
        <f t="shared" si="972"/>
        <v>3037.7660579717895</v>
      </c>
      <c r="T381">
        <f t="shared" si="973"/>
        <v>3.0377660579717896</v>
      </c>
    </row>
    <row r="382" spans="1:20" x14ac:dyDescent="0.25">
      <c r="A382" s="5">
        <v>44211</v>
      </c>
      <c r="B382">
        <v>4.5900000000000003E-3</v>
      </c>
      <c r="C382">
        <v>4.7699999999999999E-3</v>
      </c>
      <c r="D382">
        <v>4.2500000000000003E-3</v>
      </c>
      <c r="E382">
        <v>4.5739999999999999E-3</v>
      </c>
      <c r="F382">
        <v>345551169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0.24615384615384564</v>
      </c>
      <c r="Q382">
        <f t="shared" si="970"/>
        <v>85058749.292307511</v>
      </c>
      <c r="R382">
        <f t="shared" si="971"/>
        <v>86436461.740036041</v>
      </c>
      <c r="S382">
        <f t="shared" si="972"/>
        <v>864.36461740036043</v>
      </c>
      <c r="T382">
        <f t="shared" si="973"/>
        <v>0.86436461740036041</v>
      </c>
    </row>
    <row r="383" spans="1:20" x14ac:dyDescent="0.25">
      <c r="A383" s="5">
        <v>44210</v>
      </c>
      <c r="B383">
        <v>4.4650000000000002E-3</v>
      </c>
      <c r="C383">
        <v>4.7299999999999998E-3</v>
      </c>
      <c r="D383">
        <v>4.3499999999999997E-3</v>
      </c>
      <c r="E383">
        <v>4.5970000000000004E-3</v>
      </c>
      <c r="F383">
        <v>387785483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0.30000000000000321</v>
      </c>
      <c r="Q383">
        <f t="shared" si="970"/>
        <v>116335644.90000124</v>
      </c>
      <c r="R383">
        <f t="shared" si="971"/>
        <v>1377712.4477285296</v>
      </c>
      <c r="S383">
        <f t="shared" si="972"/>
        <v>13.777124477285296</v>
      </c>
      <c r="T383">
        <f t="shared" si="973"/>
        <v>1.3777124477285296E-2</v>
      </c>
    </row>
    <row r="384" spans="1:20" x14ac:dyDescent="0.25">
      <c r="A384" s="5">
        <v>44209</v>
      </c>
      <c r="B384">
        <v>4.2500000000000003E-3</v>
      </c>
      <c r="C384">
        <v>4.5269999999999998E-3</v>
      </c>
      <c r="D384">
        <v>4.0049999999999999E-3</v>
      </c>
      <c r="E384">
        <v>4.4720000000000003E-3</v>
      </c>
      <c r="F384">
        <v>291097795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0.78927203065134288</v>
      </c>
      <c r="Q384">
        <f t="shared" si="970"/>
        <v>229755347.77777833</v>
      </c>
      <c r="R384">
        <f t="shared" si="971"/>
        <v>-114957932.45227271</v>
      </c>
      <c r="S384">
        <f t="shared" si="972"/>
        <v>-1149.5793245227271</v>
      </c>
      <c r="T384">
        <f t="shared" si="973"/>
        <v>-1.149579324522727</v>
      </c>
    </row>
    <row r="385" spans="1:20" x14ac:dyDescent="0.25">
      <c r="A385" s="5">
        <v>44208</v>
      </c>
      <c r="B385">
        <v>4.3379999999999998E-3</v>
      </c>
      <c r="C385">
        <v>4.535E-3</v>
      </c>
      <c r="D385">
        <v>3.9719999999999998E-3</v>
      </c>
      <c r="E385">
        <v>4.2500000000000003E-3</v>
      </c>
      <c r="F385">
        <v>409628971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-1.2433392539963043E-2</v>
      </c>
      <c r="Q385">
        <f t="shared" si="970"/>
        <v>-5093077.7921841377</v>
      </c>
      <c r="R385">
        <f t="shared" si="971"/>
        <v>-344713280.23005104</v>
      </c>
      <c r="S385">
        <f t="shared" si="972"/>
        <v>-3447.1328023005103</v>
      </c>
      <c r="T385">
        <f t="shared" si="973"/>
        <v>-3.4471328023005103</v>
      </c>
    </row>
    <row r="386" spans="1:20" x14ac:dyDescent="0.25">
      <c r="A386" s="5">
        <v>44207</v>
      </c>
      <c r="B386">
        <v>4.9459999999999999E-3</v>
      </c>
      <c r="C386">
        <v>5.4400000000000004E-3</v>
      </c>
      <c r="D386">
        <v>3.7499999999999999E-3</v>
      </c>
      <c r="E386">
        <v>4.346E-3</v>
      </c>
      <c r="F386">
        <v>993072588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-0.29467455621301775</v>
      </c>
      <c r="Q386">
        <f t="shared" si="970"/>
        <v>-292633224.15621299</v>
      </c>
      <c r="R386">
        <f t="shared" si="971"/>
        <v>-339620202.43786693</v>
      </c>
      <c r="S386">
        <f t="shared" si="972"/>
        <v>-3396.2020243786692</v>
      </c>
      <c r="T386">
        <f t="shared" si="973"/>
        <v>-3.396202024378669</v>
      </c>
    </row>
    <row r="387" spans="1:20" x14ac:dyDescent="0.25">
      <c r="A387" s="5">
        <v>44206</v>
      </c>
      <c r="B387">
        <v>5.1060000000000003E-3</v>
      </c>
      <c r="C387">
        <v>5.47E-3</v>
      </c>
      <c r="D387">
        <v>4.4999999999999997E-3</v>
      </c>
      <c r="E387">
        <v>4.9020000000000001E-3</v>
      </c>
      <c r="F387">
        <v>772675897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-0.17113402061855609</v>
      </c>
      <c r="Q387">
        <f t="shared" si="970"/>
        <v>-132231132.88865933</v>
      </c>
      <c r="R387">
        <f t="shared" si="971"/>
        <v>-46986978.281653911</v>
      </c>
      <c r="S387">
        <f t="shared" si="972"/>
        <v>-469.8697828165391</v>
      </c>
      <c r="T387">
        <f t="shared" si="973"/>
        <v>-0.46986978281653913</v>
      </c>
    </row>
    <row r="388" spans="1:20" x14ac:dyDescent="0.25">
      <c r="A388" s="5">
        <v>44205</v>
      </c>
      <c r="B388">
        <v>4.7860000000000003E-3</v>
      </c>
      <c r="C388">
        <v>5.2579999999999997E-3</v>
      </c>
      <c r="D388">
        <v>4.6150000000000002E-3</v>
      </c>
      <c r="E388">
        <v>5.1149999999999998E-3</v>
      </c>
      <c r="F388">
        <v>781612721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0.55520995334370138</v>
      </c>
      <c r="Q388">
        <f t="shared" si="970"/>
        <v>433959162.35925347</v>
      </c>
      <c r="R388">
        <f t="shared" si="971"/>
        <v>85244154.607005417</v>
      </c>
      <c r="S388">
        <f t="shared" si="972"/>
        <v>852.44154607005419</v>
      </c>
      <c r="T388">
        <f t="shared" si="973"/>
        <v>0.85244154607005418</v>
      </c>
    </row>
    <row r="389" spans="1:20" x14ac:dyDescent="0.25">
      <c r="A389" s="5">
        <v>44204</v>
      </c>
      <c r="B389">
        <v>4.8960000000000002E-3</v>
      </c>
      <c r="C389">
        <v>5.0480000000000004E-3</v>
      </c>
      <c r="D389">
        <v>4.4679999999999997E-3</v>
      </c>
      <c r="E389">
        <v>4.7860000000000003E-3</v>
      </c>
      <c r="F389">
        <v>842233121</v>
      </c>
      <c r="G389">
        <v>0</v>
      </c>
      <c r="L389" t="s">
        <v>7</v>
      </c>
      <c r="M389" t="s">
        <v>8</v>
      </c>
      <c r="N389" t="s">
        <v>7</v>
      </c>
      <c r="P389">
        <f t="shared" si="969"/>
        <v>9.6551724137931783E-2</v>
      </c>
      <c r="Q389">
        <f t="shared" si="970"/>
        <v>81319059.958621323</v>
      </c>
      <c r="R389">
        <f t="shared" si="971"/>
        <v>-348715007.75224805</v>
      </c>
      <c r="S389">
        <f t="shared" si="972"/>
        <v>-3487.1500775224804</v>
      </c>
      <c r="T389">
        <f t="shared" si="973"/>
        <v>-3.4871500775224802</v>
      </c>
    </row>
    <row r="390" spans="1:20" x14ac:dyDescent="0.25">
      <c r="A390" s="5">
        <v>44203</v>
      </c>
      <c r="B390">
        <v>4.5649999999999996E-3</v>
      </c>
      <c r="C390">
        <v>5.2199999999999998E-3</v>
      </c>
      <c r="D390">
        <v>4.4000000000000003E-3</v>
      </c>
      <c r="E390">
        <v>4.8979999999999996E-3</v>
      </c>
      <c r="F390">
        <v>1255978370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0.21463414634146241</v>
      </c>
      <c r="Q390">
        <f t="shared" ref="Q390:Q453" si="975">F390*P390</f>
        <v>269575845.26829141</v>
      </c>
      <c r="R390">
        <f t="shared" ref="R390:R453" si="976">R391+Q390</f>
        <v>-430034067.71086937</v>
      </c>
      <c r="S390">
        <f t="shared" ref="S390:S453" si="977">R390/100000</f>
        <v>-4300.3406771086939</v>
      </c>
      <c r="T390">
        <f t="shared" ref="T390:T453" si="978">S390/1000</f>
        <v>-4.3003406771086938</v>
      </c>
    </row>
    <row r="391" spans="1:20" x14ac:dyDescent="0.25">
      <c r="A391" s="5">
        <v>44202</v>
      </c>
      <c r="B391">
        <v>4.2170000000000003E-3</v>
      </c>
      <c r="C391">
        <v>4.8999999999999998E-3</v>
      </c>
      <c r="D391">
        <v>3.8500000000000001E-3</v>
      </c>
      <c r="E391">
        <v>4.5640000000000003E-3</v>
      </c>
      <c r="F391">
        <v>1427092264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0.36000000000000082</v>
      </c>
      <c r="Q391">
        <f t="shared" si="975"/>
        <v>513753215.04000115</v>
      </c>
      <c r="R391">
        <f t="shared" si="976"/>
        <v>-699609912.97916079</v>
      </c>
      <c r="S391">
        <f t="shared" si="977"/>
        <v>-6996.099129791608</v>
      </c>
      <c r="T391">
        <f t="shared" si="978"/>
        <v>-6.9960991297916078</v>
      </c>
    </row>
    <row r="392" spans="1:20" x14ac:dyDescent="0.25">
      <c r="A392" s="5">
        <v>44201</v>
      </c>
      <c r="B392">
        <v>4.3210000000000002E-3</v>
      </c>
      <c r="C392">
        <v>4.3959999999999997E-3</v>
      </c>
      <c r="D392">
        <v>3.8249999999999998E-3</v>
      </c>
      <c r="E392">
        <v>4.2160000000000001E-3</v>
      </c>
      <c r="F392">
        <v>789330860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0.36952714535902054</v>
      </c>
      <c r="Q392">
        <f t="shared" si="975"/>
        <v>291679179.43958068</v>
      </c>
      <c r="R392">
        <f t="shared" si="976"/>
        <v>-1213363128.0191619</v>
      </c>
      <c r="S392">
        <f t="shared" si="977"/>
        <v>-12133.631280191619</v>
      </c>
      <c r="T392">
        <f t="shared" si="978"/>
        <v>-12.133631280191619</v>
      </c>
    </row>
    <row r="393" spans="1:20" x14ac:dyDescent="0.25">
      <c r="A393" s="5">
        <v>44200</v>
      </c>
      <c r="B393">
        <v>4.6740000000000002E-3</v>
      </c>
      <c r="C393">
        <v>4.901E-3</v>
      </c>
      <c r="D393">
        <v>3.8999999999999998E-3</v>
      </c>
      <c r="E393">
        <v>4.3210000000000002E-3</v>
      </c>
      <c r="F393">
        <v>1096178593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-0.15884115884115824</v>
      </c>
      <c r="Q393">
        <f t="shared" si="975"/>
        <v>-174118278.00899035</v>
      </c>
      <c r="R393">
        <f t="shared" si="976"/>
        <v>-1505042307.4587426</v>
      </c>
      <c r="S393">
        <f t="shared" si="977"/>
        <v>-15050.423074587427</v>
      </c>
      <c r="T393">
        <f t="shared" si="978"/>
        <v>-15.050423074587426</v>
      </c>
    </row>
    <row r="394" spans="1:20" x14ac:dyDescent="0.25">
      <c r="A394" s="5">
        <v>44199</v>
      </c>
      <c r="B394">
        <v>4.5360000000000001E-3</v>
      </c>
      <c r="C394">
        <v>5.7999999999999996E-3</v>
      </c>
      <c r="D394">
        <v>4.4279999999999996E-3</v>
      </c>
      <c r="E394">
        <v>4.6610000000000002E-3</v>
      </c>
      <c r="F394">
        <v>4746065241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-0.66034985422740444</v>
      </c>
      <c r="Q394">
        <f t="shared" si="975"/>
        <v>-3134063490.0481009</v>
      </c>
      <c r="R394">
        <f t="shared" si="976"/>
        <v>-1330924029.4497523</v>
      </c>
      <c r="S394">
        <f t="shared" si="977"/>
        <v>-13309.240294497524</v>
      </c>
      <c r="T394">
        <f t="shared" si="978"/>
        <v>-13.309240294497524</v>
      </c>
    </row>
    <row r="395" spans="1:20" x14ac:dyDescent="0.25">
      <c r="A395" s="5">
        <v>44198</v>
      </c>
      <c r="B395">
        <v>3.3800000000000002E-3</v>
      </c>
      <c r="C395">
        <v>5.3039999999999997E-3</v>
      </c>
      <c r="D395">
        <v>3.2599999999999999E-3</v>
      </c>
      <c r="E395">
        <v>4.5360000000000001E-3</v>
      </c>
      <c r="F395">
        <v>4256622494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0.24853228962818039</v>
      </c>
      <c r="Q395">
        <f t="shared" si="975"/>
        <v>1057908134.5166355</v>
      </c>
      <c r="R395">
        <f t="shared" si="976"/>
        <v>1803139460.5983486</v>
      </c>
      <c r="S395">
        <f t="shared" si="977"/>
        <v>18031.394605983485</v>
      </c>
      <c r="T395">
        <f t="shared" si="978"/>
        <v>18.031394605983486</v>
      </c>
    </row>
    <row r="396" spans="1:20" x14ac:dyDescent="0.25">
      <c r="A396" s="5">
        <v>44197</v>
      </c>
      <c r="B396">
        <v>3.1189999999999998E-3</v>
      </c>
      <c r="C396">
        <v>3.5000000000000001E-3</v>
      </c>
      <c r="D396">
        <v>3.091E-3</v>
      </c>
      <c r="E396">
        <v>3.3939999999999999E-3</v>
      </c>
      <c r="F396">
        <v>380768180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0.48166259168704073</v>
      </c>
      <c r="Q396">
        <f t="shared" si="975"/>
        <v>183401788.41075763</v>
      </c>
      <c r="R396">
        <f t="shared" si="976"/>
        <v>745231326.0817132</v>
      </c>
      <c r="S396">
        <f t="shared" si="977"/>
        <v>7452.3132608171318</v>
      </c>
      <c r="T396">
        <f t="shared" si="978"/>
        <v>7.4523132608171316</v>
      </c>
    </row>
    <row r="397" spans="1:20" x14ac:dyDescent="0.25">
      <c r="A397" s="5">
        <v>44196</v>
      </c>
      <c r="B397">
        <v>3.359E-3</v>
      </c>
      <c r="C397">
        <v>3.3700000000000002E-3</v>
      </c>
      <c r="D397">
        <v>2.967E-3</v>
      </c>
      <c r="E397">
        <v>3.114E-3</v>
      </c>
      <c r="F397">
        <v>557549503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-0.27047146401985139</v>
      </c>
      <c r="Q397">
        <f t="shared" si="975"/>
        <v>-150801230.33995053</v>
      </c>
      <c r="R397">
        <f t="shared" si="976"/>
        <v>561829537.67095554</v>
      </c>
      <c r="S397">
        <f t="shared" si="977"/>
        <v>5618.2953767095551</v>
      </c>
      <c r="T397">
        <f t="shared" si="978"/>
        <v>5.6182953767095549</v>
      </c>
    </row>
    <row r="398" spans="1:20" x14ac:dyDescent="0.25">
      <c r="A398" s="5">
        <v>44195</v>
      </c>
      <c r="B398">
        <v>3.2179999999999999E-3</v>
      </c>
      <c r="C398">
        <v>3.5490000000000001E-3</v>
      </c>
      <c r="D398">
        <v>3.2060000000000001E-3</v>
      </c>
      <c r="E398">
        <v>3.3700000000000002E-3</v>
      </c>
      <c r="F398">
        <v>284684325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-4.3731778425655461E-2</v>
      </c>
      <c r="Q398">
        <f t="shared" si="975"/>
        <v>-12449751.822157288</v>
      </c>
      <c r="R398">
        <f t="shared" si="976"/>
        <v>712630768.0109061</v>
      </c>
      <c r="S398">
        <f t="shared" si="977"/>
        <v>7126.307680109061</v>
      </c>
      <c r="T398">
        <f t="shared" si="978"/>
        <v>7.1263076801090612</v>
      </c>
    </row>
    <row r="399" spans="1:20" x14ac:dyDescent="0.25">
      <c r="A399" s="5">
        <v>44194</v>
      </c>
      <c r="B399">
        <v>3.431E-3</v>
      </c>
      <c r="C399">
        <v>3.4420000000000002E-3</v>
      </c>
      <c r="D399">
        <v>2.9979999999999998E-3</v>
      </c>
      <c r="E399">
        <v>3.2179999999999999E-3</v>
      </c>
      <c r="F399">
        <v>284925448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-9.0090090090092206E-3</v>
      </c>
      <c r="Q399">
        <f t="shared" si="975"/>
        <v>-2566895.9279279881</v>
      </c>
      <c r="R399">
        <f t="shared" si="976"/>
        <v>725080519.83306336</v>
      </c>
      <c r="S399">
        <f t="shared" si="977"/>
        <v>7250.8051983306341</v>
      </c>
      <c r="T399">
        <f t="shared" si="978"/>
        <v>7.2508051983306343</v>
      </c>
    </row>
    <row r="400" spans="1:20" x14ac:dyDescent="0.25">
      <c r="A400" s="5">
        <v>44193</v>
      </c>
      <c r="B400">
        <v>3.3279999999999998E-3</v>
      </c>
      <c r="C400">
        <v>3.5999999999999999E-3</v>
      </c>
      <c r="D400">
        <v>3.3019999999999998E-3</v>
      </c>
      <c r="E400">
        <v>3.431E-3</v>
      </c>
      <c r="F400">
        <v>249923129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-0.13422818791946195</v>
      </c>
      <c r="Q400">
        <f t="shared" si="975"/>
        <v>-33546728.724831931</v>
      </c>
      <c r="R400">
        <f t="shared" si="976"/>
        <v>727647415.76099133</v>
      </c>
      <c r="S400">
        <f t="shared" si="977"/>
        <v>7276.4741576099132</v>
      </c>
      <c r="T400">
        <f t="shared" si="978"/>
        <v>7.276474157609913</v>
      </c>
    </row>
    <row r="401" spans="1:20" x14ac:dyDescent="0.25">
      <c r="A401" s="5">
        <v>44192</v>
      </c>
      <c r="B401">
        <v>3.2729999999999999E-3</v>
      </c>
      <c r="C401">
        <v>3.4859999999999999E-3</v>
      </c>
      <c r="D401">
        <v>3.2070000000000002E-3</v>
      </c>
      <c r="E401">
        <v>3.3279999999999998E-3</v>
      </c>
      <c r="F401">
        <v>203739300</v>
      </c>
      <c r="G401">
        <v>0</v>
      </c>
      <c r="L401" t="s">
        <v>8</v>
      </c>
      <c r="M401" t="s">
        <v>8</v>
      </c>
      <c r="N401" t="s">
        <v>7</v>
      </c>
      <c r="P401">
        <f t="shared" si="974"/>
        <v>-0.13261648745519933</v>
      </c>
      <c r="Q401">
        <f t="shared" si="975"/>
        <v>-27019190.322581094</v>
      </c>
      <c r="R401">
        <f t="shared" si="976"/>
        <v>761194144.48582327</v>
      </c>
      <c r="S401">
        <f t="shared" si="977"/>
        <v>7611.9414448582329</v>
      </c>
      <c r="T401">
        <f t="shared" si="978"/>
        <v>7.6119414448582328</v>
      </c>
    </row>
    <row r="402" spans="1:20" x14ac:dyDescent="0.25">
      <c r="A402" s="5">
        <v>44191</v>
      </c>
      <c r="B402">
        <v>3.1059999999999998E-3</v>
      </c>
      <c r="C402">
        <v>3.3890000000000001E-3</v>
      </c>
      <c r="D402">
        <v>3.0509999999999999E-3</v>
      </c>
      <c r="E402">
        <v>3.2699999999999999E-3</v>
      </c>
      <c r="F402">
        <v>142718321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0.29585798816567982</v>
      </c>
      <c r="Q402">
        <f t="shared" si="975"/>
        <v>42224355.325443693</v>
      </c>
      <c r="R402">
        <f t="shared" si="976"/>
        <v>788213334.80840433</v>
      </c>
      <c r="S402">
        <f t="shared" si="977"/>
        <v>7882.1333480840431</v>
      </c>
      <c r="T402">
        <f t="shared" si="978"/>
        <v>7.882133348084043</v>
      </c>
    </row>
    <row r="403" spans="1:20" x14ac:dyDescent="0.25">
      <c r="A403" s="5">
        <v>44190</v>
      </c>
      <c r="B403">
        <v>3.2239999999999999E-3</v>
      </c>
      <c r="C403">
        <v>3.297E-3</v>
      </c>
      <c r="D403">
        <v>3.0790000000000001E-3</v>
      </c>
      <c r="E403">
        <v>3.104E-3</v>
      </c>
      <c r="F403">
        <v>96702461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-0.77064220183486365</v>
      </c>
      <c r="Q403">
        <f t="shared" si="975"/>
        <v>-74522997.467890024</v>
      </c>
      <c r="R403">
        <f t="shared" si="976"/>
        <v>745988979.48296058</v>
      </c>
      <c r="S403">
        <f t="shared" si="977"/>
        <v>7459.8897948296062</v>
      </c>
      <c r="T403">
        <f t="shared" si="978"/>
        <v>7.4598897948296061</v>
      </c>
    </row>
    <row r="404" spans="1:20" x14ac:dyDescent="0.25">
      <c r="A404" s="5">
        <v>44189</v>
      </c>
      <c r="B404">
        <v>2.846E-3</v>
      </c>
      <c r="C404">
        <v>3.277E-3</v>
      </c>
      <c r="D404">
        <v>2.777E-3</v>
      </c>
      <c r="E404">
        <v>3.2079999999999999E-3</v>
      </c>
      <c r="F404">
        <v>140557763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0.72399999999999975</v>
      </c>
      <c r="Q404">
        <f t="shared" si="975"/>
        <v>101763820.41199997</v>
      </c>
      <c r="R404">
        <f t="shared" si="976"/>
        <v>820511976.95085061</v>
      </c>
      <c r="S404">
        <f t="shared" si="977"/>
        <v>8205.1197695085066</v>
      </c>
      <c r="T404">
        <f t="shared" si="978"/>
        <v>8.2051197695085065</v>
      </c>
    </row>
    <row r="405" spans="1:20" x14ac:dyDescent="0.25">
      <c r="A405" s="5">
        <v>44188</v>
      </c>
      <c r="B405">
        <v>3.3999999999999998E-3</v>
      </c>
      <c r="C405">
        <v>3.4120000000000001E-3</v>
      </c>
      <c r="D405">
        <v>2.8159999999999999E-3</v>
      </c>
      <c r="E405">
        <v>2.846E-3</v>
      </c>
      <c r="F405">
        <v>247800231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-0.8993288590604025</v>
      </c>
      <c r="Q405">
        <f t="shared" si="975"/>
        <v>-222853899.02013418</v>
      </c>
      <c r="R405">
        <f t="shared" si="976"/>
        <v>718748156.53885067</v>
      </c>
      <c r="S405">
        <f t="shared" si="977"/>
        <v>7187.4815653885071</v>
      </c>
      <c r="T405">
        <f t="shared" si="978"/>
        <v>7.1874815653885067</v>
      </c>
    </row>
    <row r="406" spans="1:20" x14ac:dyDescent="0.25">
      <c r="A406" s="5">
        <v>44187</v>
      </c>
      <c r="B406">
        <v>3.4880000000000002E-3</v>
      </c>
      <c r="C406">
        <v>3.5249999999999999E-3</v>
      </c>
      <c r="D406">
        <v>3.2750000000000001E-3</v>
      </c>
      <c r="E406">
        <v>3.3830000000000002E-3</v>
      </c>
      <c r="F406">
        <v>130170402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-0.13599999999999909</v>
      </c>
      <c r="Q406">
        <f t="shared" si="975"/>
        <v>-17703174.671999883</v>
      </c>
      <c r="R406">
        <f t="shared" si="976"/>
        <v>941602055.55898488</v>
      </c>
      <c r="S406">
        <f t="shared" si="977"/>
        <v>9416.0205555898483</v>
      </c>
      <c r="T406">
        <f t="shared" si="978"/>
        <v>9.4160205555898475</v>
      </c>
    </row>
    <row r="407" spans="1:20" x14ac:dyDescent="0.25">
      <c r="A407" s="5">
        <v>44186</v>
      </c>
      <c r="B407">
        <v>3.63E-3</v>
      </c>
      <c r="C407">
        <v>3.9379999999999997E-3</v>
      </c>
      <c r="D407">
        <v>3.31E-3</v>
      </c>
      <c r="E407">
        <v>3.5070000000000001E-3</v>
      </c>
      <c r="F407">
        <v>372216696</v>
      </c>
      <c r="G407">
        <v>0</v>
      </c>
      <c r="L407" t="s">
        <v>8</v>
      </c>
      <c r="M407" t="s">
        <v>8</v>
      </c>
      <c r="N407" t="s">
        <v>8</v>
      </c>
      <c r="P407">
        <f t="shared" si="974"/>
        <v>-0.37261146496815212</v>
      </c>
      <c r="Q407">
        <f t="shared" si="975"/>
        <v>-138692208.38216531</v>
      </c>
      <c r="R407">
        <f t="shared" si="976"/>
        <v>959305230.23098481</v>
      </c>
      <c r="S407">
        <f t="shared" si="977"/>
        <v>9593.0523023098485</v>
      </c>
      <c r="T407">
        <f t="shared" si="978"/>
        <v>9.5930523023098484</v>
      </c>
    </row>
    <row r="408" spans="1:20" x14ac:dyDescent="0.25">
      <c r="A408" s="5">
        <v>44185</v>
      </c>
      <c r="B408">
        <v>3.627E-3</v>
      </c>
      <c r="C408">
        <v>3.7420000000000001E-3</v>
      </c>
      <c r="D408">
        <v>3.4949999999999998E-3</v>
      </c>
      <c r="E408">
        <v>3.63E-3</v>
      </c>
      <c r="F408">
        <v>213456156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9.3117408906882568E-2</v>
      </c>
      <c r="Q408">
        <f t="shared" si="975"/>
        <v>19876484.161943316</v>
      </c>
      <c r="R408">
        <f t="shared" si="976"/>
        <v>1097997438.6131501</v>
      </c>
      <c r="S408">
        <f t="shared" si="977"/>
        <v>10979.974386131502</v>
      </c>
      <c r="T408">
        <f t="shared" si="978"/>
        <v>10.979974386131502</v>
      </c>
    </row>
    <row r="409" spans="1:20" x14ac:dyDescent="0.25">
      <c r="A409" s="5">
        <v>44184</v>
      </c>
      <c r="B409">
        <v>3.6129999999999999E-3</v>
      </c>
      <c r="C409">
        <v>3.7260000000000001E-3</v>
      </c>
      <c r="D409">
        <v>3.5699999999999998E-3</v>
      </c>
      <c r="E409">
        <v>3.627E-3</v>
      </c>
      <c r="F409">
        <v>159581469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-0.26923076923076827</v>
      </c>
      <c r="Q409">
        <f t="shared" si="975"/>
        <v>-42964241.653846003</v>
      </c>
      <c r="R409">
        <f t="shared" si="976"/>
        <v>1078120954.4512069</v>
      </c>
      <c r="S409">
        <f t="shared" si="977"/>
        <v>10781.209544512069</v>
      </c>
      <c r="T409">
        <f t="shared" si="978"/>
        <v>10.781209544512068</v>
      </c>
    </row>
    <row r="410" spans="1:20" x14ac:dyDescent="0.25">
      <c r="A410" s="5">
        <v>44183</v>
      </c>
      <c r="B410">
        <v>3.545E-3</v>
      </c>
      <c r="C410">
        <v>3.6289999999999998E-3</v>
      </c>
      <c r="D410">
        <v>3.3899999999999998E-3</v>
      </c>
      <c r="E410">
        <v>3.6080000000000001E-3</v>
      </c>
      <c r="F410">
        <v>135068437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0.82426778242678034</v>
      </c>
      <c r="Q410">
        <f t="shared" si="975"/>
        <v>111332561.04184128</v>
      </c>
      <c r="R410">
        <f t="shared" si="976"/>
        <v>1121085196.1050529</v>
      </c>
      <c r="S410">
        <f t="shared" si="977"/>
        <v>11210.85196105053</v>
      </c>
      <c r="T410">
        <f t="shared" si="978"/>
        <v>11.21085196105053</v>
      </c>
    </row>
    <row r="411" spans="1:20" x14ac:dyDescent="0.25">
      <c r="A411" s="5">
        <v>44182</v>
      </c>
      <c r="B411">
        <v>3.418E-3</v>
      </c>
      <c r="C411">
        <v>3.699E-3</v>
      </c>
      <c r="D411">
        <v>3.3300000000000001E-3</v>
      </c>
      <c r="E411">
        <v>3.5309999999999999E-3</v>
      </c>
      <c r="F411">
        <v>216783862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8.9430894308942036E-2</v>
      </c>
      <c r="Q411">
        <f t="shared" si="975"/>
        <v>19387174.650406275</v>
      </c>
      <c r="R411">
        <f t="shared" si="976"/>
        <v>1009752635.0632116</v>
      </c>
      <c r="S411">
        <f t="shared" si="977"/>
        <v>10097.526350632115</v>
      </c>
      <c r="T411">
        <f t="shared" si="978"/>
        <v>10.097526350632116</v>
      </c>
    </row>
    <row r="412" spans="1:20" x14ac:dyDescent="0.25">
      <c r="A412" s="5">
        <v>44181</v>
      </c>
      <c r="B412">
        <v>3.2420000000000001E-3</v>
      </c>
      <c r="C412">
        <v>3.5899999999999999E-3</v>
      </c>
      <c r="D412">
        <v>3.006E-3</v>
      </c>
      <c r="E412">
        <v>3.4190000000000002E-3</v>
      </c>
      <c r="F412">
        <v>188681679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0.4143835616438365</v>
      </c>
      <c r="Q412">
        <f t="shared" si="975"/>
        <v>78186586.160959065</v>
      </c>
      <c r="R412">
        <f t="shared" si="976"/>
        <v>990365460.41280532</v>
      </c>
      <c r="S412">
        <f t="shared" si="977"/>
        <v>9903.6546041280526</v>
      </c>
      <c r="T412">
        <f t="shared" si="978"/>
        <v>9.903654604128052</v>
      </c>
    </row>
    <row r="413" spans="1:20" x14ac:dyDescent="0.25">
      <c r="A413" s="5">
        <v>44180</v>
      </c>
      <c r="B413">
        <v>3.258E-3</v>
      </c>
      <c r="C413">
        <v>3.2989999999999998E-3</v>
      </c>
      <c r="D413">
        <v>3.1909999999999998E-3</v>
      </c>
      <c r="E413">
        <v>3.2499999999999999E-3</v>
      </c>
      <c r="F413">
        <v>41365299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9.2592592592592809E-2</v>
      </c>
      <c r="Q413">
        <f t="shared" si="975"/>
        <v>3830120.2777777868</v>
      </c>
      <c r="R413">
        <f t="shared" si="976"/>
        <v>912178874.25184619</v>
      </c>
      <c r="S413">
        <f t="shared" si="977"/>
        <v>9121.7887425184617</v>
      </c>
      <c r="T413">
        <f t="shared" si="978"/>
        <v>9.1217887425184614</v>
      </c>
    </row>
    <row r="414" spans="1:20" x14ac:dyDescent="0.25">
      <c r="A414" s="5">
        <v>44179</v>
      </c>
      <c r="B414">
        <v>3.2789999999999998E-3</v>
      </c>
      <c r="C414">
        <v>3.3860000000000001E-3</v>
      </c>
      <c r="D414">
        <v>3.2000000000000002E-3</v>
      </c>
      <c r="E414">
        <v>3.258E-3</v>
      </c>
      <c r="F414">
        <v>66438358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-0.37634408602150643</v>
      </c>
      <c r="Q414">
        <f t="shared" si="975"/>
        <v>-25003683.11827964</v>
      </c>
      <c r="R414">
        <f t="shared" si="976"/>
        <v>908348753.9740684</v>
      </c>
      <c r="S414">
        <f t="shared" si="977"/>
        <v>9083.4875397406831</v>
      </c>
      <c r="T414">
        <f t="shared" si="978"/>
        <v>9.083487539740684</v>
      </c>
    </row>
    <row r="415" spans="1:20" x14ac:dyDescent="0.25">
      <c r="A415" s="5">
        <v>44178</v>
      </c>
      <c r="B415">
        <v>3.2450000000000001E-3</v>
      </c>
      <c r="C415">
        <v>3.3189999999999999E-3</v>
      </c>
      <c r="D415">
        <v>3.1840000000000002E-3</v>
      </c>
      <c r="E415">
        <v>3.2699999999999999E-3</v>
      </c>
      <c r="F415">
        <v>66611602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0.27407407407407253</v>
      </c>
      <c r="Q415">
        <f t="shared" si="975"/>
        <v>18256513.140740637</v>
      </c>
      <c r="R415">
        <f t="shared" si="976"/>
        <v>933352437.0923481</v>
      </c>
      <c r="S415">
        <f t="shared" si="977"/>
        <v>9333.5243709234801</v>
      </c>
      <c r="T415">
        <f t="shared" si="978"/>
        <v>9.333524370923481</v>
      </c>
    </row>
    <row r="416" spans="1:20" x14ac:dyDescent="0.25">
      <c r="A416" s="5">
        <v>44177</v>
      </c>
      <c r="B416">
        <v>3.0739999999999999E-3</v>
      </c>
      <c r="C416">
        <v>3.3419999999999999E-3</v>
      </c>
      <c r="D416">
        <v>3.0739999999999999E-3</v>
      </c>
      <c r="E416">
        <v>3.2460000000000002E-3</v>
      </c>
      <c r="F416">
        <v>80976297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0.28358208955224085</v>
      </c>
      <c r="Q416">
        <f t="shared" si="975"/>
        <v>22963427.507462852</v>
      </c>
      <c r="R416">
        <f t="shared" si="976"/>
        <v>915095923.95160747</v>
      </c>
      <c r="S416">
        <f t="shared" si="977"/>
        <v>9150.9592395160744</v>
      </c>
      <c r="T416">
        <f t="shared" si="978"/>
        <v>9.1509592395160748</v>
      </c>
    </row>
    <row r="417" spans="1:20" x14ac:dyDescent="0.25">
      <c r="A417" s="5">
        <v>44176</v>
      </c>
      <c r="B417">
        <v>3.1879999999999999E-3</v>
      </c>
      <c r="C417">
        <v>3.1879999999999999E-3</v>
      </c>
      <c r="D417">
        <v>2.9979999999999998E-3</v>
      </c>
      <c r="E417">
        <v>3.058E-3</v>
      </c>
      <c r="F417">
        <v>74106956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-0.36842105263157748</v>
      </c>
      <c r="Q417">
        <f t="shared" si="975"/>
        <v>-27302562.736841995</v>
      </c>
      <c r="R417">
        <f t="shared" si="976"/>
        <v>892132496.44414461</v>
      </c>
      <c r="S417">
        <f t="shared" si="977"/>
        <v>8921.3249644414464</v>
      </c>
      <c r="T417">
        <f t="shared" si="978"/>
        <v>8.9213249644414461</v>
      </c>
    </row>
    <row r="418" spans="1:20" x14ac:dyDescent="0.25">
      <c r="A418" s="5">
        <v>44175</v>
      </c>
      <c r="B418">
        <v>3.287E-3</v>
      </c>
      <c r="C418">
        <v>3.3899999999999998E-3</v>
      </c>
      <c r="D418">
        <v>3.0950000000000001E-3</v>
      </c>
      <c r="E418">
        <v>3.2139999999999998E-3</v>
      </c>
      <c r="F418">
        <v>84209080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-0.19322033898305171</v>
      </c>
      <c r="Q418">
        <f t="shared" si="975"/>
        <v>-16270906.98305092</v>
      </c>
      <c r="R418">
        <f t="shared" si="976"/>
        <v>919435059.18098664</v>
      </c>
      <c r="S418">
        <f t="shared" si="977"/>
        <v>9194.3505918098672</v>
      </c>
      <c r="T418">
        <f t="shared" si="978"/>
        <v>9.1943505918098669</v>
      </c>
    </row>
    <row r="419" spans="1:20" x14ac:dyDescent="0.25">
      <c r="A419" s="5">
        <v>44174</v>
      </c>
      <c r="B419">
        <v>3.3010000000000001E-3</v>
      </c>
      <c r="C419">
        <v>3.3210000000000002E-3</v>
      </c>
      <c r="D419">
        <v>3.0690000000000001E-3</v>
      </c>
      <c r="E419">
        <v>3.287E-3</v>
      </c>
      <c r="F419">
        <v>87797642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0.73015873015872879</v>
      </c>
      <c r="Q419">
        <f t="shared" si="975"/>
        <v>64106214.793650672</v>
      </c>
      <c r="R419">
        <f t="shared" si="976"/>
        <v>935705966.16403759</v>
      </c>
      <c r="S419">
        <f t="shared" si="977"/>
        <v>9357.0596616403764</v>
      </c>
      <c r="T419">
        <f t="shared" si="978"/>
        <v>9.3570596616403758</v>
      </c>
    </row>
    <row r="420" spans="1:20" x14ac:dyDescent="0.25">
      <c r="A420" s="5">
        <v>44173</v>
      </c>
      <c r="B420">
        <v>3.5279999999999999E-3</v>
      </c>
      <c r="C420">
        <v>3.5430000000000001E-3</v>
      </c>
      <c r="D420">
        <v>3.2079999999999999E-3</v>
      </c>
      <c r="E420">
        <v>3.2980000000000002E-3</v>
      </c>
      <c r="F420">
        <v>90449113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-0.46268656716417805</v>
      </c>
      <c r="Q420">
        <f t="shared" si="975"/>
        <v>-41849589.59701483</v>
      </c>
      <c r="R420">
        <f t="shared" si="976"/>
        <v>871599751.37038696</v>
      </c>
      <c r="S420">
        <f t="shared" si="977"/>
        <v>8715.9975137038691</v>
      </c>
      <c r="T420">
        <f t="shared" si="978"/>
        <v>8.7159975137038685</v>
      </c>
    </row>
    <row r="421" spans="1:20" x14ac:dyDescent="0.25">
      <c r="A421" s="5">
        <v>44172</v>
      </c>
      <c r="B421">
        <v>3.6189999999999998E-3</v>
      </c>
      <c r="C421">
        <v>3.6289999999999998E-3</v>
      </c>
      <c r="D421">
        <v>3.4499999999999999E-3</v>
      </c>
      <c r="E421">
        <v>3.506E-3</v>
      </c>
      <c r="F421">
        <v>94740652</v>
      </c>
      <c r="G421">
        <v>0</v>
      </c>
      <c r="L421" t="s">
        <v>7</v>
      </c>
      <c r="M421" t="s">
        <v>8</v>
      </c>
      <c r="N421" t="s">
        <v>8</v>
      </c>
      <c r="P421">
        <f t="shared" si="974"/>
        <v>-0.37430167597765263</v>
      </c>
      <c r="Q421">
        <f t="shared" si="975"/>
        <v>-35461584.826815546</v>
      </c>
      <c r="R421">
        <f t="shared" si="976"/>
        <v>913449340.96740174</v>
      </c>
      <c r="S421">
        <f t="shared" si="977"/>
        <v>9134.493409674018</v>
      </c>
      <c r="T421">
        <f t="shared" si="978"/>
        <v>9.1344934096740182</v>
      </c>
    </row>
    <row r="422" spans="1:20" x14ac:dyDescent="0.25">
      <c r="A422" s="5">
        <v>44171</v>
      </c>
      <c r="B422">
        <v>3.7190000000000001E-3</v>
      </c>
      <c r="C422">
        <v>3.7209999999999999E-3</v>
      </c>
      <c r="D422">
        <v>3.4759999999999999E-3</v>
      </c>
      <c r="E422">
        <v>3.614E-3</v>
      </c>
      <c r="F422">
        <v>74644625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0.12653061224489884</v>
      </c>
      <c r="Q422">
        <f t="shared" si="975"/>
        <v>9444830.1020408813</v>
      </c>
      <c r="R422">
        <f t="shared" si="976"/>
        <v>948910925.79421723</v>
      </c>
      <c r="S422">
        <f t="shared" si="977"/>
        <v>9489.1092579421729</v>
      </c>
      <c r="T422">
        <f t="shared" si="978"/>
        <v>9.4891092579421734</v>
      </c>
    </row>
    <row r="423" spans="1:20" x14ac:dyDescent="0.25">
      <c r="A423" s="5">
        <v>44170</v>
      </c>
      <c r="B423">
        <v>3.542E-3</v>
      </c>
      <c r="C423">
        <v>3.7390000000000001E-3</v>
      </c>
      <c r="D423">
        <v>3.3739999999999998E-3</v>
      </c>
      <c r="E423">
        <v>3.735E-3</v>
      </c>
      <c r="F423">
        <v>179535757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0.97808219178082145</v>
      </c>
      <c r="Q423">
        <f t="shared" si="975"/>
        <v>175600726.70958894</v>
      </c>
      <c r="R423">
        <f t="shared" si="976"/>
        <v>939466095.69217634</v>
      </c>
      <c r="S423">
        <f t="shared" si="977"/>
        <v>9394.6609569217635</v>
      </c>
      <c r="T423">
        <f t="shared" si="978"/>
        <v>9.3946609569217632</v>
      </c>
    </row>
    <row r="424" spans="1:20" x14ac:dyDescent="0.25">
      <c r="A424" s="5">
        <v>44169</v>
      </c>
      <c r="B424">
        <v>3.4680000000000002E-3</v>
      </c>
      <c r="C424">
        <v>3.9960000000000004E-3</v>
      </c>
      <c r="D424">
        <v>3.2439999999999999E-3</v>
      </c>
      <c r="E424">
        <v>3.578E-3</v>
      </c>
      <c r="F424">
        <v>862733365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-0.1117021276595748</v>
      </c>
      <c r="Q424">
        <f t="shared" si="975"/>
        <v>-96369152.473404542</v>
      </c>
      <c r="R424">
        <f t="shared" si="976"/>
        <v>763865368.98258746</v>
      </c>
      <c r="S424">
        <f t="shared" si="977"/>
        <v>7638.6536898258746</v>
      </c>
      <c r="T424">
        <f t="shared" si="978"/>
        <v>7.6386536898258743</v>
      </c>
    </row>
    <row r="425" spans="1:20" x14ac:dyDescent="0.25">
      <c r="A425" s="5">
        <v>44168</v>
      </c>
      <c r="B425">
        <v>3.4420000000000002E-3</v>
      </c>
      <c r="C425">
        <v>3.5239999999999998E-3</v>
      </c>
      <c r="D425">
        <v>3.3860000000000001E-3</v>
      </c>
      <c r="E425">
        <v>3.444E-3</v>
      </c>
      <c r="F425">
        <v>113733825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-0.15942028985507201</v>
      </c>
      <c r="Q425">
        <f t="shared" si="975"/>
        <v>-18131479.347826034</v>
      </c>
      <c r="R425">
        <f t="shared" si="976"/>
        <v>860234521.45599198</v>
      </c>
      <c r="S425">
        <f t="shared" si="977"/>
        <v>8602.3452145599204</v>
      </c>
      <c r="T425">
        <f t="shared" si="978"/>
        <v>8.6023452145599197</v>
      </c>
    </row>
    <row r="426" spans="1:20" x14ac:dyDescent="0.25">
      <c r="A426" s="5">
        <v>44167</v>
      </c>
      <c r="B426">
        <v>3.313E-3</v>
      </c>
      <c r="C426">
        <v>3.4770000000000001E-3</v>
      </c>
      <c r="D426">
        <v>3.2780000000000001E-3</v>
      </c>
      <c r="E426">
        <v>3.457E-3</v>
      </c>
      <c r="F426">
        <v>123802402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0.79899497487437132</v>
      </c>
      <c r="Q426">
        <f t="shared" si="975"/>
        <v>98917497.075376824</v>
      </c>
      <c r="R426">
        <f t="shared" si="976"/>
        <v>878366000.80381799</v>
      </c>
      <c r="S426">
        <f t="shared" si="977"/>
        <v>8783.6600080381795</v>
      </c>
      <c r="T426">
        <f t="shared" si="978"/>
        <v>8.7836600080381793</v>
      </c>
    </row>
    <row r="427" spans="1:20" x14ac:dyDescent="0.25">
      <c r="A427" s="5">
        <v>44166</v>
      </c>
      <c r="B427">
        <v>3.3790000000000001E-3</v>
      </c>
      <c r="C427">
        <v>3.5339999999999998E-3</v>
      </c>
      <c r="D427">
        <v>3.1800000000000001E-3</v>
      </c>
      <c r="E427">
        <v>3.3140000000000001E-3</v>
      </c>
      <c r="F427">
        <v>148060599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-0.242937853107344</v>
      </c>
      <c r="Q427">
        <f t="shared" si="975"/>
        <v>-35969524.050847366</v>
      </c>
      <c r="R427">
        <f t="shared" si="976"/>
        <v>779448503.72844112</v>
      </c>
      <c r="S427">
        <f t="shared" si="977"/>
        <v>7794.4850372844112</v>
      </c>
      <c r="T427">
        <f t="shared" si="978"/>
        <v>7.794485037284411</v>
      </c>
    </row>
    <row r="428" spans="1:20" x14ac:dyDescent="0.25">
      <c r="A428" s="5">
        <v>44165</v>
      </c>
      <c r="B428">
        <v>3.202E-3</v>
      </c>
      <c r="C428">
        <v>3.395E-3</v>
      </c>
      <c r="D428">
        <v>3.1960000000000001E-3</v>
      </c>
      <c r="E428">
        <v>3.3739999999999998E-3</v>
      </c>
      <c r="F428">
        <v>136312834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0.78894472361808854</v>
      </c>
      <c r="Q428">
        <f t="shared" si="975"/>
        <v>107543291.14572838</v>
      </c>
      <c r="R428">
        <f t="shared" si="976"/>
        <v>815418027.77928853</v>
      </c>
      <c r="S428">
        <f t="shared" si="977"/>
        <v>8154.1802777928851</v>
      </c>
      <c r="T428">
        <f t="shared" si="978"/>
        <v>8.1541802777928858</v>
      </c>
    </row>
    <row r="429" spans="1:20" x14ac:dyDescent="0.25">
      <c r="A429" s="5">
        <v>44164</v>
      </c>
      <c r="B429">
        <v>3.2299999999999998E-3</v>
      </c>
      <c r="C429">
        <v>3.3E-3</v>
      </c>
      <c r="D429">
        <v>3.1489999999999999E-3</v>
      </c>
      <c r="E429">
        <v>3.2030000000000001E-3</v>
      </c>
      <c r="F429">
        <v>82408755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-0.2847682119205272</v>
      </c>
      <c r="Q429">
        <f t="shared" si="975"/>
        <v>-23467393.807946805</v>
      </c>
      <c r="R429">
        <f t="shared" si="976"/>
        <v>707874736.63356018</v>
      </c>
      <c r="S429">
        <f t="shared" si="977"/>
        <v>7078.7473663356022</v>
      </c>
      <c r="T429">
        <f t="shared" si="978"/>
        <v>7.0787473663356026</v>
      </c>
    </row>
    <row r="430" spans="1:20" x14ac:dyDescent="0.25">
      <c r="A430" s="5">
        <v>44163</v>
      </c>
      <c r="B430">
        <v>2.9970000000000001E-3</v>
      </c>
      <c r="C430">
        <v>3.258E-3</v>
      </c>
      <c r="D430">
        <v>2.9030000000000002E-3</v>
      </c>
      <c r="E430">
        <v>3.2299999999999998E-3</v>
      </c>
      <c r="F430">
        <v>224566546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0.84225352112675911</v>
      </c>
      <c r="Q430">
        <f t="shared" si="975"/>
        <v>189141964.09577432</v>
      </c>
      <c r="R430">
        <f t="shared" si="976"/>
        <v>731342130.44150698</v>
      </c>
      <c r="S430">
        <f t="shared" si="977"/>
        <v>7313.4213044150702</v>
      </c>
      <c r="T430">
        <f t="shared" si="978"/>
        <v>7.31342130441507</v>
      </c>
    </row>
    <row r="431" spans="1:20" x14ac:dyDescent="0.25">
      <c r="A431" s="5">
        <v>44162</v>
      </c>
      <c r="B431">
        <v>3.0439999999999998E-3</v>
      </c>
      <c r="C431">
        <v>3.0999999999999999E-3</v>
      </c>
      <c r="D431">
        <v>2.787E-3</v>
      </c>
      <c r="E431">
        <v>2.9889999999999999E-3</v>
      </c>
      <c r="F431">
        <v>154341716</v>
      </c>
      <c r="G431">
        <v>0</v>
      </c>
      <c r="L431" t="s">
        <v>7</v>
      </c>
      <c r="M431" t="s">
        <v>7</v>
      </c>
      <c r="N431" t="s">
        <v>7</v>
      </c>
      <c r="P431">
        <f t="shared" si="974"/>
        <v>0.29073482428115005</v>
      </c>
      <c r="Q431">
        <f t="shared" si="975"/>
        <v>44872511.680511162</v>
      </c>
      <c r="R431">
        <f t="shared" si="976"/>
        <v>542200166.34573269</v>
      </c>
      <c r="S431">
        <f t="shared" si="977"/>
        <v>5422.0016634573267</v>
      </c>
      <c r="T431">
        <f t="shared" si="978"/>
        <v>5.4220016634573263</v>
      </c>
    </row>
    <row r="432" spans="1:20" x14ac:dyDescent="0.25">
      <c r="A432" s="5">
        <v>44161</v>
      </c>
      <c r="B432">
        <v>3.6480000000000002E-3</v>
      </c>
      <c r="C432">
        <v>3.7919999999999998E-3</v>
      </c>
      <c r="D432">
        <v>2.8010000000000001E-3</v>
      </c>
      <c r="E432">
        <v>3.0439999999999998E-3</v>
      </c>
      <c r="F432">
        <v>291442577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-0.50958627648839594</v>
      </c>
      <c r="Q432">
        <f t="shared" si="975"/>
        <v>-148515137.62361261</v>
      </c>
      <c r="R432">
        <f t="shared" si="976"/>
        <v>497327654.66522157</v>
      </c>
      <c r="S432">
        <f t="shared" si="977"/>
        <v>4973.276546652216</v>
      </c>
      <c r="T432">
        <f t="shared" si="978"/>
        <v>4.9732765466522162</v>
      </c>
    </row>
    <row r="433" spans="1:20" x14ac:dyDescent="0.25">
      <c r="A433" s="5">
        <v>44160</v>
      </c>
      <c r="B433">
        <v>3.8449999999999999E-3</v>
      </c>
      <c r="C433">
        <v>4.1110000000000001E-3</v>
      </c>
      <c r="D433">
        <v>3.4559999999999999E-3</v>
      </c>
      <c r="E433">
        <v>3.6549999999999998E-3</v>
      </c>
      <c r="F433">
        <v>565102778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-0.39236641221374075</v>
      </c>
      <c r="Q433">
        <f t="shared" si="975"/>
        <v>-221727349.53587803</v>
      </c>
      <c r="R433">
        <f t="shared" si="976"/>
        <v>645842792.28883421</v>
      </c>
      <c r="S433">
        <f t="shared" si="977"/>
        <v>6458.4279228883424</v>
      </c>
      <c r="T433">
        <f t="shared" si="978"/>
        <v>6.4584279228883421</v>
      </c>
    </row>
    <row r="434" spans="1:20" x14ac:dyDescent="0.25">
      <c r="A434" s="5">
        <v>44159</v>
      </c>
      <c r="B434">
        <v>3.0839999999999999E-3</v>
      </c>
      <c r="C434">
        <v>4.0889999999999998E-3</v>
      </c>
      <c r="D434">
        <v>3.0790000000000001E-3</v>
      </c>
      <c r="E434">
        <v>3.8649999999999999E-3</v>
      </c>
      <c r="F434">
        <v>785216692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0.5564356435643566</v>
      </c>
      <c r="Q434">
        <f t="shared" si="975"/>
        <v>436922555.35049516</v>
      </c>
      <c r="R434">
        <f t="shared" si="976"/>
        <v>867570141.82471228</v>
      </c>
      <c r="S434">
        <f t="shared" si="977"/>
        <v>8675.701418247123</v>
      </c>
      <c r="T434">
        <f t="shared" si="978"/>
        <v>8.6757014182471224</v>
      </c>
    </row>
    <row r="435" spans="1:20" x14ac:dyDescent="0.25">
      <c r="A435" s="5">
        <v>44158</v>
      </c>
      <c r="B435">
        <v>3.0130000000000001E-3</v>
      </c>
      <c r="C435">
        <v>3.117E-3</v>
      </c>
      <c r="D435">
        <v>2.9150000000000001E-3</v>
      </c>
      <c r="E435">
        <v>3.0920000000000001E-3</v>
      </c>
      <c r="F435">
        <v>114230378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0.75247524752475392</v>
      </c>
      <c r="Q435">
        <f t="shared" si="975"/>
        <v>85955531.9603962</v>
      </c>
      <c r="R435">
        <f t="shared" si="976"/>
        <v>430647586.47421718</v>
      </c>
      <c r="S435">
        <f t="shared" si="977"/>
        <v>4306.4758647421713</v>
      </c>
      <c r="T435">
        <f t="shared" si="978"/>
        <v>4.306475864742171</v>
      </c>
    </row>
    <row r="436" spans="1:20" x14ac:dyDescent="0.25">
      <c r="A436" s="5">
        <v>44157</v>
      </c>
      <c r="B436">
        <v>3.0509999999999999E-3</v>
      </c>
      <c r="C436">
        <v>3.0999999999999999E-3</v>
      </c>
      <c r="D436">
        <v>2.8080000000000002E-3</v>
      </c>
      <c r="E436">
        <v>2.9870000000000001E-3</v>
      </c>
      <c r="F436">
        <v>113506277</v>
      </c>
      <c r="G436">
        <v>0</v>
      </c>
      <c r="L436" t="s">
        <v>7</v>
      </c>
      <c r="M436" t="s">
        <v>8</v>
      </c>
      <c r="N436" t="s">
        <v>7</v>
      </c>
      <c r="P436">
        <f t="shared" si="974"/>
        <v>0.22602739726027449</v>
      </c>
      <c r="Q436">
        <f t="shared" si="975"/>
        <v>25655528.363013756</v>
      </c>
      <c r="R436">
        <f t="shared" si="976"/>
        <v>344692054.51382101</v>
      </c>
      <c r="S436">
        <f t="shared" si="977"/>
        <v>3446.9205451382099</v>
      </c>
      <c r="T436">
        <f t="shared" si="978"/>
        <v>3.4469205451382101</v>
      </c>
    </row>
    <row r="437" spans="1:20" x14ac:dyDescent="0.25">
      <c r="A437" s="5">
        <v>44156</v>
      </c>
      <c r="B437">
        <v>2.7160000000000001E-3</v>
      </c>
      <c r="C437">
        <v>3.0899999999999999E-3</v>
      </c>
      <c r="D437">
        <v>2.699E-3</v>
      </c>
      <c r="E437">
        <v>3.0479999999999999E-3</v>
      </c>
      <c r="F437">
        <v>163979541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0.78516624040920735</v>
      </c>
      <c r="Q437">
        <f t="shared" si="975"/>
        <v>128751199.71099748</v>
      </c>
      <c r="R437">
        <f t="shared" si="976"/>
        <v>319036526.15080726</v>
      </c>
      <c r="S437">
        <f t="shared" si="977"/>
        <v>3190.3652615080728</v>
      </c>
      <c r="T437">
        <f t="shared" si="978"/>
        <v>3.1903652615080729</v>
      </c>
    </row>
    <row r="438" spans="1:20" x14ac:dyDescent="0.25">
      <c r="A438" s="5">
        <v>44155</v>
      </c>
      <c r="B438">
        <v>2.676E-3</v>
      </c>
      <c r="C438">
        <v>2.7750000000000001E-3</v>
      </c>
      <c r="D438">
        <v>2.6589999999999999E-3</v>
      </c>
      <c r="E438">
        <v>2.7060000000000001E-3</v>
      </c>
      <c r="F438">
        <v>112173048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-0.18965517241379176</v>
      </c>
      <c r="Q438">
        <f t="shared" si="975"/>
        <v>-21274198.758620538</v>
      </c>
      <c r="R438">
        <f t="shared" si="976"/>
        <v>190285326.43980977</v>
      </c>
      <c r="S438">
        <f t="shared" si="977"/>
        <v>1902.8532643980977</v>
      </c>
      <c r="T438">
        <f t="shared" si="978"/>
        <v>1.9028532643980978</v>
      </c>
    </row>
    <row r="439" spans="1:20" x14ac:dyDescent="0.25">
      <c r="A439" s="5">
        <v>44154</v>
      </c>
      <c r="B439">
        <v>2.6909999999999998E-3</v>
      </c>
      <c r="C439">
        <v>2.722E-3</v>
      </c>
      <c r="D439">
        <v>2.5669999999999998E-3</v>
      </c>
      <c r="E439">
        <v>2.6749999999999999E-3</v>
      </c>
      <c r="F439">
        <v>75609342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0.39354838709677281</v>
      </c>
      <c r="Q439">
        <f t="shared" si="975"/>
        <v>29755934.593548283</v>
      </c>
      <c r="R439">
        <f t="shared" si="976"/>
        <v>211559525.1984303</v>
      </c>
      <c r="S439">
        <f t="shared" si="977"/>
        <v>2115.5952519843031</v>
      </c>
      <c r="T439">
        <f t="shared" si="978"/>
        <v>2.1155952519843031</v>
      </c>
    </row>
    <row r="440" spans="1:20" x14ac:dyDescent="0.25">
      <c r="A440" s="5">
        <v>44153</v>
      </c>
      <c r="B440">
        <v>2.7339999999999999E-3</v>
      </c>
      <c r="C440">
        <v>2.7729999999999999E-3</v>
      </c>
      <c r="D440">
        <v>2.6159999999999998E-3</v>
      </c>
      <c r="E440">
        <v>2.7049999999999999E-3</v>
      </c>
      <c r="F440">
        <v>95317340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0.13375796178344065</v>
      </c>
      <c r="Q440">
        <f t="shared" si="975"/>
        <v>12749453.12101922</v>
      </c>
      <c r="R440">
        <f t="shared" si="976"/>
        <v>181803590.604882</v>
      </c>
      <c r="S440">
        <f t="shared" si="977"/>
        <v>1818.0359060488199</v>
      </c>
      <c r="T440">
        <f t="shared" si="978"/>
        <v>1.8180359060488198</v>
      </c>
    </row>
    <row r="441" spans="1:20" x14ac:dyDescent="0.25">
      <c r="A441" s="5">
        <v>44152</v>
      </c>
      <c r="B441">
        <v>2.7230000000000002E-3</v>
      </c>
      <c r="C441">
        <v>2.8189999999999999E-3</v>
      </c>
      <c r="D441">
        <v>2.5019999999999999E-3</v>
      </c>
      <c r="E441">
        <v>2.7269999999999998E-3</v>
      </c>
      <c r="F441">
        <v>135532393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0.41955835962145072</v>
      </c>
      <c r="Q441">
        <f t="shared" si="975"/>
        <v>56863748.482649788</v>
      </c>
      <c r="R441">
        <f t="shared" si="976"/>
        <v>169054137.48386279</v>
      </c>
      <c r="S441">
        <f t="shared" si="977"/>
        <v>1690.5413748386279</v>
      </c>
      <c r="T441">
        <f t="shared" si="978"/>
        <v>1.690541374838628</v>
      </c>
    </row>
    <row r="442" spans="1:20" x14ac:dyDescent="0.25">
      <c r="A442" s="5">
        <v>44151</v>
      </c>
      <c r="B442">
        <v>2.6340000000000001E-3</v>
      </c>
      <c r="C442">
        <v>2.735E-3</v>
      </c>
      <c r="D442">
        <v>2.6080000000000001E-3</v>
      </c>
      <c r="E442">
        <v>2.728E-3</v>
      </c>
      <c r="F442">
        <v>75197765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0.88976377952755803</v>
      </c>
      <c r="Q442">
        <f t="shared" si="975"/>
        <v>66908247.59842512</v>
      </c>
      <c r="R442">
        <f t="shared" si="976"/>
        <v>112190389.001213</v>
      </c>
      <c r="S442">
        <f t="shared" si="977"/>
        <v>1121.90389001213</v>
      </c>
      <c r="T442">
        <f t="shared" si="978"/>
        <v>1.1219038900121299</v>
      </c>
    </row>
    <row r="443" spans="1:20" x14ac:dyDescent="0.25">
      <c r="A443" s="5">
        <v>44150</v>
      </c>
      <c r="B443">
        <v>2.6770000000000001E-3</v>
      </c>
      <c r="C443">
        <v>2.7599999999999999E-3</v>
      </c>
      <c r="D443">
        <v>2.5999999999999999E-3</v>
      </c>
      <c r="E443">
        <v>2.6250000000000002E-3</v>
      </c>
      <c r="F443">
        <v>113978195</v>
      </c>
      <c r="G443">
        <v>0</v>
      </c>
      <c r="L443" t="s">
        <v>8</v>
      </c>
      <c r="M443" t="s">
        <v>8</v>
      </c>
      <c r="N443" t="s">
        <v>7</v>
      </c>
      <c r="P443">
        <f t="shared" si="974"/>
        <v>-0.68749999999999645</v>
      </c>
      <c r="Q443">
        <f t="shared" si="975"/>
        <v>-78360009.062499598</v>
      </c>
      <c r="R443">
        <f t="shared" si="976"/>
        <v>45282141.402787879</v>
      </c>
      <c r="S443">
        <f t="shared" si="977"/>
        <v>452.8214140278788</v>
      </c>
      <c r="T443">
        <f t="shared" si="978"/>
        <v>0.45282141402787879</v>
      </c>
    </row>
    <row r="444" spans="1:20" x14ac:dyDescent="0.25">
      <c r="A444" s="5">
        <v>44149</v>
      </c>
      <c r="B444">
        <v>2.7200000000000002E-3</v>
      </c>
      <c r="C444">
        <v>2.7290000000000001E-3</v>
      </c>
      <c r="D444">
        <v>2.6150000000000001E-3</v>
      </c>
      <c r="E444">
        <v>2.676E-3</v>
      </c>
      <c r="F444">
        <v>34657164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7.0175438596489156E-2</v>
      </c>
      <c r="Q444">
        <f t="shared" si="975"/>
        <v>2432081.6842104546</v>
      </c>
      <c r="R444">
        <f t="shared" si="976"/>
        <v>123642150.46528748</v>
      </c>
      <c r="S444">
        <f t="shared" si="977"/>
        <v>1236.4215046528748</v>
      </c>
      <c r="T444">
        <f t="shared" si="978"/>
        <v>1.2364215046528748</v>
      </c>
    </row>
    <row r="445" spans="1:20" x14ac:dyDescent="0.25">
      <c r="A445" s="5">
        <v>44148</v>
      </c>
      <c r="B445">
        <v>2.6480000000000002E-3</v>
      </c>
      <c r="C445">
        <v>2.7290000000000001E-3</v>
      </c>
      <c r="D445">
        <v>2.647E-3</v>
      </c>
      <c r="E445">
        <v>2.7200000000000002E-3</v>
      </c>
      <c r="F445">
        <v>46340158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0.78048780487805147</v>
      </c>
      <c r="Q445">
        <f t="shared" si="975"/>
        <v>36167928.195122078</v>
      </c>
      <c r="R445">
        <f t="shared" si="976"/>
        <v>121210068.78107703</v>
      </c>
      <c r="S445">
        <f t="shared" si="977"/>
        <v>1212.1006878107703</v>
      </c>
      <c r="T445">
        <f t="shared" si="978"/>
        <v>1.2121006878107703</v>
      </c>
    </row>
    <row r="446" spans="1:20" x14ac:dyDescent="0.25">
      <c r="A446" s="5">
        <v>44147</v>
      </c>
      <c r="B446">
        <v>2.7209999999999999E-3</v>
      </c>
      <c r="C446">
        <v>2.7330000000000002E-3</v>
      </c>
      <c r="D446">
        <v>2.611E-3</v>
      </c>
      <c r="E446">
        <v>2.653E-3</v>
      </c>
      <c r="F446">
        <v>46027376</v>
      </c>
      <c r="G446">
        <v>0</v>
      </c>
      <c r="L446" t="s">
        <v>8</v>
      </c>
      <c r="M446" t="s">
        <v>8</v>
      </c>
      <c r="N446" t="s">
        <v>7</v>
      </c>
      <c r="P446">
        <f t="shared" si="974"/>
        <v>-0.31147540983606742</v>
      </c>
      <c r="Q446">
        <f t="shared" si="975"/>
        <v>-14336395.803278774</v>
      </c>
      <c r="R446">
        <f t="shared" si="976"/>
        <v>85042140.585954949</v>
      </c>
      <c r="S446">
        <f t="shared" si="977"/>
        <v>850.42140585954951</v>
      </c>
      <c r="T446">
        <f t="shared" si="978"/>
        <v>0.85042140585954951</v>
      </c>
    </row>
    <row r="447" spans="1:20" x14ac:dyDescent="0.25">
      <c r="A447" s="5">
        <v>44146</v>
      </c>
      <c r="B447">
        <v>2.6930000000000001E-3</v>
      </c>
      <c r="C447">
        <v>2.774E-3</v>
      </c>
      <c r="D447">
        <v>2.6830000000000001E-3</v>
      </c>
      <c r="E447">
        <v>2.7209999999999999E-3</v>
      </c>
      <c r="F447">
        <v>58068246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-0.16483516483516777</v>
      </c>
      <c r="Q447">
        <f t="shared" si="975"/>
        <v>-9571688.9010990709</v>
      </c>
      <c r="R447">
        <f t="shared" si="976"/>
        <v>99378536.389233723</v>
      </c>
      <c r="S447">
        <f t="shared" si="977"/>
        <v>993.78536389233727</v>
      </c>
      <c r="T447">
        <f t="shared" si="978"/>
        <v>0.99378536389233729</v>
      </c>
    </row>
    <row r="448" spans="1:20" x14ac:dyDescent="0.25">
      <c r="A448" s="5">
        <v>44145</v>
      </c>
      <c r="B448">
        <v>2.598E-3</v>
      </c>
      <c r="C448">
        <v>2.7299999999999998E-3</v>
      </c>
      <c r="D448">
        <v>2.5660000000000001E-3</v>
      </c>
      <c r="E448">
        <v>2.6919999999999999E-3</v>
      </c>
      <c r="F448">
        <v>61801765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0.53658536585365946</v>
      </c>
      <c r="Q448">
        <f t="shared" si="975"/>
        <v>33161922.682926886</v>
      </c>
      <c r="R448">
        <f t="shared" si="976"/>
        <v>108950225.29033279</v>
      </c>
      <c r="S448">
        <f t="shared" si="977"/>
        <v>1089.5022529033279</v>
      </c>
      <c r="T448">
        <f t="shared" si="978"/>
        <v>1.0895022529033278</v>
      </c>
    </row>
    <row r="449" spans="1:20" x14ac:dyDescent="0.25">
      <c r="A449" s="5">
        <v>44144</v>
      </c>
      <c r="B449">
        <v>2.686E-3</v>
      </c>
      <c r="C449">
        <v>2.6919999999999999E-3</v>
      </c>
      <c r="D449">
        <v>2.5170000000000001E-3</v>
      </c>
      <c r="E449">
        <v>2.598E-3</v>
      </c>
      <c r="F449">
        <v>73099232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-7.4285714285714316E-2</v>
      </c>
      <c r="Q449">
        <f t="shared" si="975"/>
        <v>-5430228.6628571451</v>
      </c>
      <c r="R449">
        <f t="shared" si="976"/>
        <v>75788302.607405916</v>
      </c>
      <c r="S449">
        <f t="shared" si="977"/>
        <v>757.8830260740591</v>
      </c>
      <c r="T449">
        <f t="shared" si="978"/>
        <v>0.75788302607405911</v>
      </c>
    </row>
    <row r="450" spans="1:20" x14ac:dyDescent="0.25">
      <c r="A450" s="5">
        <v>44143</v>
      </c>
      <c r="B450">
        <v>2.5140000000000002E-3</v>
      </c>
      <c r="C450">
        <v>2.699E-3</v>
      </c>
      <c r="D450">
        <v>2.5010000000000002E-3</v>
      </c>
      <c r="E450">
        <v>2.6649999999999998E-3</v>
      </c>
      <c r="F450">
        <v>86431976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0.65656565656565447</v>
      </c>
      <c r="Q450">
        <f t="shared" si="975"/>
        <v>56748267.070706889</v>
      </c>
      <c r="R450">
        <f t="shared" si="976"/>
        <v>81218531.270263061</v>
      </c>
      <c r="S450">
        <f t="shared" si="977"/>
        <v>812.18531270263065</v>
      </c>
      <c r="T450">
        <f t="shared" si="978"/>
        <v>0.81218531270263061</v>
      </c>
    </row>
    <row r="451" spans="1:20" x14ac:dyDescent="0.25">
      <c r="A451" s="5">
        <v>44142</v>
      </c>
      <c r="B451">
        <v>2.5959999999999998E-3</v>
      </c>
      <c r="C451">
        <v>2.8089999999999999E-3</v>
      </c>
      <c r="D451">
        <v>2.4780000000000002E-3</v>
      </c>
      <c r="E451">
        <v>2.5240000000000002E-3</v>
      </c>
      <c r="F451">
        <v>198095994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-0.72205438066465211</v>
      </c>
      <c r="Q451">
        <f t="shared" si="975"/>
        <v>-143036080.25981864</v>
      </c>
      <c r="R451">
        <f t="shared" si="976"/>
        <v>24470264.199556172</v>
      </c>
      <c r="S451">
        <f t="shared" si="977"/>
        <v>244.70264199556172</v>
      </c>
      <c r="T451">
        <f t="shared" si="978"/>
        <v>0.24470264199556171</v>
      </c>
    </row>
    <row r="452" spans="1:20" x14ac:dyDescent="0.25">
      <c r="A452" s="5">
        <v>44141</v>
      </c>
      <c r="B452">
        <v>2.5019999999999999E-3</v>
      </c>
      <c r="C452">
        <v>2.699E-3</v>
      </c>
      <c r="D452">
        <v>2.464E-3</v>
      </c>
      <c r="E452">
        <v>2.598E-3</v>
      </c>
      <c r="F452">
        <v>240514487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0.14042553191489382</v>
      </c>
      <c r="Q452">
        <f t="shared" si="975"/>
        <v>33774374.770212814</v>
      </c>
      <c r="R452">
        <f t="shared" si="976"/>
        <v>167506344.45937482</v>
      </c>
      <c r="S452">
        <f t="shared" si="977"/>
        <v>1675.063444593748</v>
      </c>
      <c r="T452">
        <f t="shared" si="978"/>
        <v>1.675063444593748</v>
      </c>
    </row>
    <row r="453" spans="1:20" x14ac:dyDescent="0.25">
      <c r="A453" s="5">
        <v>44140</v>
      </c>
      <c r="B453">
        <v>2.3760000000000001E-3</v>
      </c>
      <c r="C453">
        <v>2.5179999999999998E-3</v>
      </c>
      <c r="D453">
        <v>2.3570000000000002E-3</v>
      </c>
      <c r="E453">
        <v>2.5019999999999999E-3</v>
      </c>
      <c r="F453">
        <v>76361874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0.8012422360248449</v>
      </c>
      <c r="Q453">
        <f t="shared" si="975"/>
        <v>61184358.670807466</v>
      </c>
      <c r="R453">
        <f t="shared" si="976"/>
        <v>133731969.689162</v>
      </c>
      <c r="S453">
        <f t="shared" si="977"/>
        <v>1337.31969689162</v>
      </c>
      <c r="T453">
        <f t="shared" si="978"/>
        <v>1.3373196968916199</v>
      </c>
    </row>
    <row r="454" spans="1:20" x14ac:dyDescent="0.25">
      <c r="A454" s="5">
        <v>44139</v>
      </c>
      <c r="B454">
        <v>2.369E-3</v>
      </c>
      <c r="C454">
        <v>2.48E-3</v>
      </c>
      <c r="D454">
        <v>2.323E-3</v>
      </c>
      <c r="E454">
        <v>2.3700000000000001E-3</v>
      </c>
      <c r="F454">
        <v>92548241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-0.40127388535031644</v>
      </c>
      <c r="Q454">
        <f t="shared" ref="Q454:Q517" si="980">F454*P454</f>
        <v>-37137192.248407453</v>
      </c>
      <c r="R454">
        <f t="shared" ref="R454:R517" si="981">R455+Q454</f>
        <v>72547611.018354535</v>
      </c>
      <c r="S454">
        <f t="shared" ref="S454:S517" si="982">R454/100000</f>
        <v>725.4761101835453</v>
      </c>
      <c r="T454">
        <f t="shared" ref="T454:T517" si="983">S454/1000</f>
        <v>0.7254761101835453</v>
      </c>
    </row>
    <row r="455" spans="1:20" x14ac:dyDescent="0.25">
      <c r="A455" s="5">
        <v>44138</v>
      </c>
      <c r="B455">
        <v>2.372E-3</v>
      </c>
      <c r="C455">
        <v>2.3860000000000001E-3</v>
      </c>
      <c r="D455">
        <v>2.2910000000000001E-3</v>
      </c>
      <c r="E455">
        <v>2.3679999999999999E-3</v>
      </c>
      <c r="F455">
        <v>54056185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0.62105263157894286</v>
      </c>
      <c r="Q455">
        <f t="shared" si="980"/>
        <v>33571735.947368175</v>
      </c>
      <c r="R455">
        <f t="shared" si="981"/>
        <v>109684803.26676199</v>
      </c>
      <c r="S455">
        <f t="shared" si="982"/>
        <v>1096.8480326676199</v>
      </c>
      <c r="T455">
        <f t="shared" si="983"/>
        <v>1.09684803266762</v>
      </c>
    </row>
    <row r="456" spans="1:20" x14ac:dyDescent="0.25">
      <c r="A456" s="5">
        <v>44137</v>
      </c>
      <c r="B456">
        <v>2.483E-3</v>
      </c>
      <c r="C456">
        <v>2.506E-3</v>
      </c>
      <c r="D456">
        <v>2.3400000000000001E-3</v>
      </c>
      <c r="E456">
        <v>2.3739999999999998E-3</v>
      </c>
      <c r="F456">
        <v>98058627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-0.59036144578313543</v>
      </c>
      <c r="Q456">
        <f t="shared" si="980"/>
        <v>-57890032.807229199</v>
      </c>
      <c r="R456">
        <f t="shared" si="981"/>
        <v>76113067.319393814</v>
      </c>
      <c r="S456">
        <f t="shared" si="982"/>
        <v>761.13067319393815</v>
      </c>
      <c r="T456">
        <f t="shared" si="983"/>
        <v>0.76113067319393812</v>
      </c>
    </row>
    <row r="457" spans="1:20" x14ac:dyDescent="0.25">
      <c r="A457" s="5">
        <v>44136</v>
      </c>
      <c r="B457">
        <v>2.4780000000000002E-3</v>
      </c>
      <c r="C457">
        <v>2.5149999999999999E-3</v>
      </c>
      <c r="D457">
        <v>2.4499999999999999E-3</v>
      </c>
      <c r="E457">
        <v>2.4870000000000001E-3</v>
      </c>
      <c r="F457">
        <v>89889103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0.1384615384615436</v>
      </c>
      <c r="Q457">
        <f t="shared" si="980"/>
        <v>12446183.492308155</v>
      </c>
      <c r="R457">
        <f t="shared" si="981"/>
        <v>134003100.12662302</v>
      </c>
      <c r="S457">
        <f t="shared" si="982"/>
        <v>1340.0310012662303</v>
      </c>
      <c r="T457">
        <f t="shared" si="983"/>
        <v>1.3400310012662302</v>
      </c>
    </row>
    <row r="458" spans="1:20" x14ac:dyDescent="0.25">
      <c r="A458" s="5">
        <v>44135</v>
      </c>
      <c r="B458">
        <v>2.4840000000000001E-3</v>
      </c>
      <c r="C458">
        <v>2.5560000000000001E-3</v>
      </c>
      <c r="D458">
        <v>2.4420000000000002E-3</v>
      </c>
      <c r="E458">
        <v>2.47E-3</v>
      </c>
      <c r="F458">
        <v>83044390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-0.50877192982456443</v>
      </c>
      <c r="Q458">
        <f t="shared" si="980"/>
        <v>-42250654.561403759</v>
      </c>
      <c r="R458">
        <f t="shared" si="981"/>
        <v>121556916.63431486</v>
      </c>
      <c r="S458">
        <f t="shared" si="982"/>
        <v>1215.5691663431487</v>
      </c>
      <c r="T458">
        <f t="shared" si="983"/>
        <v>1.2155691663431487</v>
      </c>
    </row>
    <row r="459" spans="1:20" x14ac:dyDescent="0.25">
      <c r="A459" s="5">
        <v>44134</v>
      </c>
      <c r="B459">
        <v>2.5639999999999999E-3</v>
      </c>
      <c r="C459">
        <v>2.598E-3</v>
      </c>
      <c r="D459">
        <v>2.4199999999999998E-3</v>
      </c>
      <c r="E459">
        <v>2.493E-3</v>
      </c>
      <c r="F459">
        <v>51897132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-0.17977528089887571</v>
      </c>
      <c r="Q459">
        <f t="shared" si="980"/>
        <v>-9329821.4831460305</v>
      </c>
      <c r="R459">
        <f t="shared" si="981"/>
        <v>163807571.19571862</v>
      </c>
      <c r="S459">
        <f t="shared" si="982"/>
        <v>1638.0757119571861</v>
      </c>
      <c r="T459">
        <f t="shared" si="983"/>
        <v>1.638075711957186</v>
      </c>
    </row>
    <row r="460" spans="1:20" x14ac:dyDescent="0.25">
      <c r="A460" s="5">
        <v>44133</v>
      </c>
      <c r="B460">
        <v>2.513E-3</v>
      </c>
      <c r="C460">
        <v>2.5999999999999999E-3</v>
      </c>
      <c r="D460">
        <v>2.4350000000000001E-3</v>
      </c>
      <c r="E460">
        <v>2.5699999999999998E-3</v>
      </c>
      <c r="F460">
        <v>87093022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0.63636363636363491</v>
      </c>
      <c r="Q460">
        <f t="shared" si="980"/>
        <v>55422832.181818053</v>
      </c>
      <c r="R460">
        <f t="shared" si="981"/>
        <v>173137392.67886466</v>
      </c>
      <c r="S460">
        <f t="shared" si="982"/>
        <v>1731.3739267886465</v>
      </c>
      <c r="T460">
        <f t="shared" si="983"/>
        <v>1.7313739267886465</v>
      </c>
    </row>
    <row r="461" spans="1:20" x14ac:dyDescent="0.25">
      <c r="A461" s="5">
        <v>44132</v>
      </c>
      <c r="B461">
        <v>2.6340000000000001E-3</v>
      </c>
      <c r="C461">
        <v>2.7490000000000001E-3</v>
      </c>
      <c r="D461">
        <v>2.4719999999999998E-3</v>
      </c>
      <c r="E461">
        <v>2.519E-3</v>
      </c>
      <c r="F461">
        <v>129295872</v>
      </c>
      <c r="G461">
        <v>0</v>
      </c>
      <c r="L461" t="s">
        <v>7</v>
      </c>
      <c r="M461" t="s">
        <v>7</v>
      </c>
      <c r="N461" t="s">
        <v>8</v>
      </c>
      <c r="P461">
        <f t="shared" si="979"/>
        <v>-0.66064981949458401</v>
      </c>
      <c r="Q461">
        <f t="shared" si="980"/>
        <v>-85419294.498194844</v>
      </c>
      <c r="R461">
        <f t="shared" si="981"/>
        <v>117714560.49704662</v>
      </c>
      <c r="S461">
        <f t="shared" si="982"/>
        <v>1177.1456049704661</v>
      </c>
      <c r="T461">
        <f t="shared" si="983"/>
        <v>1.1771456049704661</v>
      </c>
    </row>
    <row r="462" spans="1:20" x14ac:dyDescent="0.25">
      <c r="A462" s="5">
        <v>44131</v>
      </c>
      <c r="B462">
        <v>2.601E-3</v>
      </c>
      <c r="C462">
        <v>2.6350000000000002E-3</v>
      </c>
      <c r="D462">
        <v>2.5630000000000002E-3</v>
      </c>
      <c r="E462">
        <v>2.6280000000000001E-3</v>
      </c>
      <c r="F462">
        <v>64065219</v>
      </c>
      <c r="G462">
        <v>0</v>
      </c>
      <c r="L462" t="s">
        <v>7</v>
      </c>
      <c r="M462" t="s">
        <v>7</v>
      </c>
      <c r="N462" t="s">
        <v>8</v>
      </c>
      <c r="P462">
        <f t="shared" si="979"/>
        <v>0.80555555555555391</v>
      </c>
      <c r="Q462">
        <f t="shared" si="980"/>
        <v>51608093.083333232</v>
      </c>
      <c r="R462">
        <f t="shared" si="981"/>
        <v>203133854.99524146</v>
      </c>
      <c r="S462">
        <f t="shared" si="982"/>
        <v>2031.3385499524147</v>
      </c>
      <c r="T462">
        <f t="shared" si="983"/>
        <v>2.0313385499524146</v>
      </c>
    </row>
    <row r="463" spans="1:20" x14ac:dyDescent="0.25">
      <c r="A463" s="5">
        <v>44130</v>
      </c>
      <c r="B463">
        <v>2.6870000000000002E-3</v>
      </c>
      <c r="C463">
        <v>2.7680000000000001E-3</v>
      </c>
      <c r="D463">
        <v>2.4949999999999998E-3</v>
      </c>
      <c r="E463">
        <v>2.5999999999999999E-3</v>
      </c>
      <c r="F463">
        <v>98354032</v>
      </c>
      <c r="G463">
        <v>0</v>
      </c>
      <c r="L463" t="s">
        <v>7</v>
      </c>
      <c r="M463" t="s">
        <v>7</v>
      </c>
      <c r="N463" t="s">
        <v>8</v>
      </c>
      <c r="P463">
        <f t="shared" si="979"/>
        <v>-0.230769230769231</v>
      </c>
      <c r="Q463">
        <f t="shared" si="980"/>
        <v>-22697084.30769233</v>
      </c>
      <c r="R463">
        <f t="shared" si="981"/>
        <v>151525761.91190824</v>
      </c>
      <c r="S463">
        <f t="shared" si="982"/>
        <v>1515.2576191190824</v>
      </c>
      <c r="T463">
        <f t="shared" si="983"/>
        <v>1.5152576191190823</v>
      </c>
    </row>
    <row r="464" spans="1:20" x14ac:dyDescent="0.25">
      <c r="A464" s="5">
        <v>44129</v>
      </c>
      <c r="B464">
        <v>2.7699999999999999E-3</v>
      </c>
      <c r="C464">
        <v>2.8419999999999999E-3</v>
      </c>
      <c r="D464">
        <v>2.6740000000000002E-3</v>
      </c>
      <c r="E464">
        <v>2.6870000000000002E-3</v>
      </c>
      <c r="F464">
        <v>60234731</v>
      </c>
      <c r="G464">
        <v>0</v>
      </c>
      <c r="L464" t="s">
        <v>7</v>
      </c>
      <c r="M464" t="s">
        <v>7</v>
      </c>
      <c r="N464" t="s">
        <v>8</v>
      </c>
      <c r="P464">
        <f t="shared" si="979"/>
        <v>-0.84523809523809512</v>
      </c>
      <c r="Q464">
        <f t="shared" si="980"/>
        <v>-50912689.297619037</v>
      </c>
      <c r="R464">
        <f t="shared" si="981"/>
        <v>174222846.21960056</v>
      </c>
      <c r="S464">
        <f t="shared" si="982"/>
        <v>1742.2284621960057</v>
      </c>
      <c r="T464">
        <f t="shared" si="983"/>
        <v>1.7422284621960058</v>
      </c>
    </row>
    <row r="465" spans="1:20" x14ac:dyDescent="0.25">
      <c r="A465" s="5">
        <v>44128</v>
      </c>
      <c r="B465">
        <v>2.7290000000000001E-3</v>
      </c>
      <c r="C465">
        <v>2.797E-3</v>
      </c>
      <c r="D465">
        <v>2.7049999999999999E-3</v>
      </c>
      <c r="E465">
        <v>2.7690000000000002E-3</v>
      </c>
      <c r="F465">
        <v>29449594</v>
      </c>
      <c r="G465">
        <v>0</v>
      </c>
      <c r="L465" t="s">
        <v>7</v>
      </c>
      <c r="M465" t="s">
        <v>7</v>
      </c>
      <c r="N465" t="s">
        <v>8</v>
      </c>
      <c r="P465">
        <f t="shared" si="979"/>
        <v>0.39130434782609147</v>
      </c>
      <c r="Q465">
        <f t="shared" si="980"/>
        <v>11523754.173913177</v>
      </c>
      <c r="R465">
        <f t="shared" si="981"/>
        <v>225135535.5172196</v>
      </c>
      <c r="S465">
        <f t="shared" si="982"/>
        <v>2251.3553551721961</v>
      </c>
      <c r="T465">
        <f t="shared" si="983"/>
        <v>2.2513553551721963</v>
      </c>
    </row>
    <row r="466" spans="1:20" x14ac:dyDescent="0.25">
      <c r="A466" s="5">
        <v>44127</v>
      </c>
      <c r="B466">
        <v>2.7780000000000001E-3</v>
      </c>
      <c r="C466">
        <v>2.8140000000000001E-3</v>
      </c>
      <c r="D466">
        <v>2.6510000000000001E-3</v>
      </c>
      <c r="E466">
        <v>2.7290000000000001E-3</v>
      </c>
      <c r="F466">
        <v>84499321</v>
      </c>
      <c r="G466">
        <v>0</v>
      </c>
      <c r="L466" t="s">
        <v>7</v>
      </c>
      <c r="M466" t="s">
        <v>7</v>
      </c>
      <c r="N466" t="s">
        <v>8</v>
      </c>
      <c r="P466">
        <f t="shared" si="979"/>
        <v>-4.294478527607401E-2</v>
      </c>
      <c r="Q466">
        <f t="shared" si="980"/>
        <v>-3628805.1963190516</v>
      </c>
      <c r="R466">
        <f t="shared" si="981"/>
        <v>213611781.34330642</v>
      </c>
      <c r="S466">
        <f t="shared" si="982"/>
        <v>2136.1178134330644</v>
      </c>
      <c r="T466">
        <f t="shared" si="983"/>
        <v>2.1361178134330645</v>
      </c>
    </row>
    <row r="467" spans="1:20" x14ac:dyDescent="0.25">
      <c r="A467" s="5">
        <v>44126</v>
      </c>
      <c r="B467">
        <v>2.7209999999999999E-3</v>
      </c>
      <c r="C467">
        <v>2.9020000000000001E-3</v>
      </c>
      <c r="D467">
        <v>2.7060000000000001E-3</v>
      </c>
      <c r="E467">
        <v>2.7780000000000001E-3</v>
      </c>
      <c r="F467">
        <v>53025011</v>
      </c>
      <c r="G467">
        <v>0</v>
      </c>
      <c r="L467" t="s">
        <v>8</v>
      </c>
      <c r="M467" t="s">
        <v>7</v>
      </c>
      <c r="N467" t="s">
        <v>8</v>
      </c>
      <c r="P467">
        <f t="shared" si="979"/>
        <v>-0.26530612244897939</v>
      </c>
      <c r="Q467">
        <f t="shared" si="980"/>
        <v>-14067860.061224479</v>
      </c>
      <c r="R467">
        <f t="shared" si="981"/>
        <v>217240586.53962547</v>
      </c>
      <c r="S467">
        <f t="shared" si="982"/>
        <v>2172.4058653962547</v>
      </c>
      <c r="T467">
        <f t="shared" si="983"/>
        <v>2.1724058653962546</v>
      </c>
    </row>
    <row r="468" spans="1:20" x14ac:dyDescent="0.25">
      <c r="A468" s="5">
        <v>44125</v>
      </c>
      <c r="B468">
        <v>2.565E-3</v>
      </c>
      <c r="C468">
        <v>2.8029999999999999E-3</v>
      </c>
      <c r="D468">
        <v>2.5240000000000002E-3</v>
      </c>
      <c r="E468">
        <v>2.7209999999999999E-3</v>
      </c>
      <c r="F468">
        <v>144265158</v>
      </c>
      <c r="G468">
        <v>0</v>
      </c>
      <c r="L468" t="s">
        <v>8</v>
      </c>
      <c r="M468" t="s">
        <v>7</v>
      </c>
      <c r="N468" t="s">
        <v>8</v>
      </c>
      <c r="P468">
        <f t="shared" si="979"/>
        <v>0.41218637992831453</v>
      </c>
      <c r="Q468">
        <f t="shared" si="980"/>
        <v>59464133.225806326</v>
      </c>
      <c r="R468">
        <f t="shared" si="981"/>
        <v>231308446.60084996</v>
      </c>
      <c r="S468">
        <f t="shared" si="982"/>
        <v>2313.0844660084995</v>
      </c>
      <c r="T468">
        <f t="shared" si="983"/>
        <v>2.3130844660084993</v>
      </c>
    </row>
    <row r="469" spans="1:20" x14ac:dyDescent="0.25">
      <c r="A469" s="5">
        <v>44124</v>
      </c>
      <c r="B469">
        <v>2.7899999999999999E-3</v>
      </c>
      <c r="C469">
        <v>2.813E-3</v>
      </c>
      <c r="D469">
        <v>2.4849999999999998E-3</v>
      </c>
      <c r="E469">
        <v>2.5690000000000001E-3</v>
      </c>
      <c r="F469">
        <v>192602108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-0.48780487804877887</v>
      </c>
      <c r="Q469">
        <f t="shared" si="980"/>
        <v>-93952247.804877743</v>
      </c>
      <c r="R469">
        <f t="shared" si="981"/>
        <v>171844313.37504363</v>
      </c>
      <c r="S469">
        <f t="shared" si="982"/>
        <v>1718.4431337504363</v>
      </c>
      <c r="T469">
        <f t="shared" si="983"/>
        <v>1.7184431337504364</v>
      </c>
    </row>
    <row r="470" spans="1:20" x14ac:dyDescent="0.25">
      <c r="A470" s="5">
        <v>44123</v>
      </c>
      <c r="B470">
        <v>2.9359999999999998E-3</v>
      </c>
      <c r="C470">
        <v>2.9529999999999999E-3</v>
      </c>
      <c r="D470">
        <v>2.7789999999999998E-3</v>
      </c>
      <c r="E470">
        <v>2.7899999999999999E-3</v>
      </c>
      <c r="F470">
        <v>53857294</v>
      </c>
      <c r="G470">
        <v>0</v>
      </c>
      <c r="L470" t="s">
        <v>7</v>
      </c>
      <c r="M470" t="s">
        <v>7</v>
      </c>
      <c r="N470" t="s">
        <v>8</v>
      </c>
      <c r="P470">
        <f t="shared" si="979"/>
        <v>-0.87356321839080286</v>
      </c>
      <c r="Q470">
        <f t="shared" si="980"/>
        <v>-47047751.080459677</v>
      </c>
      <c r="R470">
        <f t="shared" si="981"/>
        <v>265796561.17992136</v>
      </c>
      <c r="S470">
        <f t="shared" si="982"/>
        <v>2657.9656117992135</v>
      </c>
      <c r="T470">
        <f t="shared" si="983"/>
        <v>2.6579656117992134</v>
      </c>
    </row>
    <row r="471" spans="1:20" x14ac:dyDescent="0.25">
      <c r="A471" s="5">
        <v>44122</v>
      </c>
      <c r="B471">
        <v>2.8999999999999998E-3</v>
      </c>
      <c r="C471">
        <v>2.954E-3</v>
      </c>
      <c r="D471">
        <v>2.8600000000000001E-3</v>
      </c>
      <c r="E471">
        <v>2.9369999999999999E-3</v>
      </c>
      <c r="F471">
        <v>37667503</v>
      </c>
      <c r="G471">
        <v>0</v>
      </c>
      <c r="L471" t="s">
        <v>7</v>
      </c>
      <c r="M471" t="s">
        <v>7</v>
      </c>
      <c r="N471" t="s">
        <v>8</v>
      </c>
      <c r="P471">
        <f t="shared" si="979"/>
        <v>0.63829787234042323</v>
      </c>
      <c r="Q471">
        <f t="shared" si="980"/>
        <v>24043087.021276508</v>
      </c>
      <c r="R471">
        <f t="shared" si="981"/>
        <v>312844312.26038104</v>
      </c>
      <c r="S471">
        <f t="shared" si="982"/>
        <v>3128.4431226038105</v>
      </c>
      <c r="T471">
        <f t="shared" si="983"/>
        <v>3.1284431226038105</v>
      </c>
    </row>
    <row r="472" spans="1:20" x14ac:dyDescent="0.25">
      <c r="A472" s="5">
        <v>44121</v>
      </c>
      <c r="B472">
        <v>2.8119999999999998E-3</v>
      </c>
      <c r="C472">
        <v>2.8999999999999998E-3</v>
      </c>
      <c r="D472">
        <v>2.7560000000000002E-3</v>
      </c>
      <c r="E472">
        <v>2.8999999999999998E-3</v>
      </c>
      <c r="F472">
        <v>48501041</v>
      </c>
      <c r="G472">
        <v>0</v>
      </c>
      <c r="L472" t="s">
        <v>7</v>
      </c>
      <c r="M472" t="s">
        <v>7</v>
      </c>
      <c r="N472" t="s">
        <v>8</v>
      </c>
      <c r="P472">
        <f t="shared" si="979"/>
        <v>1</v>
      </c>
      <c r="Q472">
        <f t="shared" si="980"/>
        <v>48501041</v>
      </c>
      <c r="R472">
        <f t="shared" si="981"/>
        <v>288801225.23910451</v>
      </c>
      <c r="S472">
        <f t="shared" si="982"/>
        <v>2888.012252391045</v>
      </c>
      <c r="T472">
        <f t="shared" si="983"/>
        <v>2.8880122523910448</v>
      </c>
    </row>
    <row r="473" spans="1:20" x14ac:dyDescent="0.25">
      <c r="A473" s="5">
        <v>44120</v>
      </c>
      <c r="B473">
        <v>2.875E-3</v>
      </c>
      <c r="C473">
        <v>2.9129999999999998E-3</v>
      </c>
      <c r="D473">
        <v>2.7810000000000001E-3</v>
      </c>
      <c r="E473">
        <v>2.8080000000000002E-3</v>
      </c>
      <c r="F473">
        <v>97570264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-0.59090909090908839</v>
      </c>
      <c r="Q473">
        <f t="shared" si="980"/>
        <v>-57655155.999999754</v>
      </c>
      <c r="R473">
        <f t="shared" si="981"/>
        <v>240300184.23910451</v>
      </c>
      <c r="S473">
        <f t="shared" si="982"/>
        <v>2403.0018423910451</v>
      </c>
      <c r="T473">
        <f t="shared" si="983"/>
        <v>2.4030018423910451</v>
      </c>
    </row>
    <row r="474" spans="1:20" x14ac:dyDescent="0.25">
      <c r="A474" s="5">
        <v>44119</v>
      </c>
      <c r="B474">
        <v>3.088E-3</v>
      </c>
      <c r="C474">
        <v>3.0899999999999999E-3</v>
      </c>
      <c r="D474">
        <v>2.8509999999999998E-3</v>
      </c>
      <c r="E474">
        <v>2.8830000000000001E-3</v>
      </c>
      <c r="F474">
        <v>171688273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-0.73221757322175451</v>
      </c>
      <c r="Q474">
        <f t="shared" si="980"/>
        <v>-125713170.60669407</v>
      </c>
      <c r="R474">
        <f t="shared" si="981"/>
        <v>297955340.23910427</v>
      </c>
      <c r="S474">
        <f t="shared" si="982"/>
        <v>2979.5534023910427</v>
      </c>
      <c r="T474">
        <f t="shared" si="983"/>
        <v>2.9795534023910428</v>
      </c>
    </row>
    <row r="475" spans="1:20" x14ac:dyDescent="0.25">
      <c r="A475" s="5">
        <v>44118</v>
      </c>
      <c r="B475">
        <v>3.2190000000000001E-3</v>
      </c>
      <c r="C475">
        <v>3.2850000000000002E-3</v>
      </c>
      <c r="D475">
        <v>3.0200000000000001E-3</v>
      </c>
      <c r="E475">
        <v>3.0839999999999999E-3</v>
      </c>
      <c r="F475">
        <v>63601961</v>
      </c>
      <c r="G475">
        <v>0</v>
      </c>
      <c r="L475" t="s">
        <v>7</v>
      </c>
      <c r="M475" t="s">
        <v>8</v>
      </c>
      <c r="N475" t="s">
        <v>8</v>
      </c>
      <c r="P475">
        <f t="shared" si="979"/>
        <v>-0.51698113207547314</v>
      </c>
      <c r="Q475">
        <f t="shared" si="980"/>
        <v>-32881013.80000009</v>
      </c>
      <c r="R475">
        <f t="shared" si="981"/>
        <v>423668510.84579837</v>
      </c>
      <c r="S475">
        <f t="shared" si="982"/>
        <v>4236.6851084579839</v>
      </c>
      <c r="T475">
        <f t="shared" si="983"/>
        <v>4.2366851084579835</v>
      </c>
    </row>
    <row r="476" spans="1:20" x14ac:dyDescent="0.25">
      <c r="A476" s="5">
        <v>44117</v>
      </c>
      <c r="B476">
        <v>3.1679999999999998E-3</v>
      </c>
      <c r="C476">
        <v>3.3E-3</v>
      </c>
      <c r="D476">
        <v>3.1319999999999998E-3</v>
      </c>
      <c r="E476">
        <v>3.2260000000000001E-3</v>
      </c>
      <c r="F476">
        <v>79055084</v>
      </c>
      <c r="G476">
        <v>0</v>
      </c>
      <c r="L476" t="s">
        <v>8</v>
      </c>
      <c r="M476" t="s">
        <v>8</v>
      </c>
      <c r="N476" t="s">
        <v>8</v>
      </c>
      <c r="P476">
        <f t="shared" si="979"/>
        <v>0.11904761904762182</v>
      </c>
      <c r="Q476">
        <f t="shared" si="980"/>
        <v>9411319.5238097422</v>
      </c>
      <c r="R476">
        <f t="shared" si="981"/>
        <v>456549524.64579844</v>
      </c>
      <c r="S476">
        <f t="shared" si="982"/>
        <v>4565.4952464579846</v>
      </c>
      <c r="T476">
        <f t="shared" si="983"/>
        <v>4.565495246457985</v>
      </c>
    </row>
    <row r="477" spans="1:20" x14ac:dyDescent="0.25">
      <c r="A477" s="5">
        <v>44116</v>
      </c>
      <c r="B477">
        <v>3.2529999999999998E-3</v>
      </c>
      <c r="C477">
        <v>3.271E-3</v>
      </c>
      <c r="D477">
        <v>3.1250000000000002E-3</v>
      </c>
      <c r="E477">
        <v>3.1649999999999998E-3</v>
      </c>
      <c r="F477">
        <v>92842413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-0.45205479452055192</v>
      </c>
      <c r="Q477">
        <f t="shared" si="980"/>
        <v>-41969857.931507215</v>
      </c>
      <c r="R477">
        <f t="shared" si="981"/>
        <v>447138205.12198871</v>
      </c>
      <c r="S477">
        <f t="shared" si="982"/>
        <v>4471.3820512198872</v>
      </c>
      <c r="T477">
        <f t="shared" si="983"/>
        <v>4.4713820512198872</v>
      </c>
    </row>
    <row r="478" spans="1:20" x14ac:dyDescent="0.25">
      <c r="A478" s="5">
        <v>44115</v>
      </c>
      <c r="B478">
        <v>3.2260000000000001E-3</v>
      </c>
      <c r="C478">
        <v>3.31E-3</v>
      </c>
      <c r="D478">
        <v>3.1510000000000002E-3</v>
      </c>
      <c r="E478">
        <v>3.2599999999999999E-3</v>
      </c>
      <c r="F478">
        <v>93634586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0.37106918238993486</v>
      </c>
      <c r="Q478">
        <f t="shared" si="980"/>
        <v>34744909.270440042</v>
      </c>
      <c r="R478">
        <f t="shared" si="981"/>
        <v>489108063.05349594</v>
      </c>
      <c r="S478">
        <f t="shared" si="982"/>
        <v>4891.0806305349597</v>
      </c>
      <c r="T478">
        <f t="shared" si="983"/>
        <v>4.8910806305349599</v>
      </c>
    </row>
    <row r="479" spans="1:20" x14ac:dyDescent="0.25">
      <c r="A479" s="5">
        <v>44114</v>
      </c>
      <c r="B479">
        <v>2.9719999999999998E-3</v>
      </c>
      <c r="C479">
        <v>3.3349999999999999E-3</v>
      </c>
      <c r="D479">
        <v>2.9589999999999998E-3</v>
      </c>
      <c r="E479">
        <v>3.2260000000000001E-3</v>
      </c>
      <c r="F479">
        <v>264820368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0.42021276595744833</v>
      </c>
      <c r="Q479">
        <f t="shared" si="980"/>
        <v>111280899.31914935</v>
      </c>
      <c r="R479">
        <f t="shared" si="981"/>
        <v>454363153.7830559</v>
      </c>
      <c r="S479">
        <f t="shared" si="982"/>
        <v>4543.631537830559</v>
      </c>
      <c r="T479">
        <f t="shared" si="983"/>
        <v>4.5436315378305592</v>
      </c>
    </row>
    <row r="480" spans="1:20" x14ac:dyDescent="0.25">
      <c r="A480" s="5">
        <v>44113</v>
      </c>
      <c r="B480">
        <v>2.843E-3</v>
      </c>
      <c r="C480">
        <v>3.0040000000000002E-3</v>
      </c>
      <c r="D480">
        <v>2.774E-3</v>
      </c>
      <c r="E480">
        <v>2.9550000000000002E-3</v>
      </c>
      <c r="F480">
        <v>87260239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0.57391304347826122</v>
      </c>
      <c r="Q480">
        <f t="shared" si="980"/>
        <v>50079789.339130469</v>
      </c>
      <c r="R480">
        <f t="shared" si="981"/>
        <v>343082254.46390659</v>
      </c>
      <c r="S480">
        <f t="shared" si="982"/>
        <v>3430.8225446390657</v>
      </c>
      <c r="T480">
        <f t="shared" si="983"/>
        <v>3.4308225446390654</v>
      </c>
    </row>
    <row r="481" spans="1:20" x14ac:dyDescent="0.25">
      <c r="A481" s="5">
        <v>44112</v>
      </c>
      <c r="B481">
        <v>2.6840000000000002E-3</v>
      </c>
      <c r="C481">
        <v>2.8470000000000001E-3</v>
      </c>
      <c r="D481">
        <v>2.624E-3</v>
      </c>
      <c r="E481">
        <v>2.843E-3</v>
      </c>
      <c r="F481">
        <v>44413847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0.96412556053811571</v>
      </c>
      <c r="Q481">
        <f t="shared" si="980"/>
        <v>42820525.134529106</v>
      </c>
      <c r="R481">
        <f t="shared" si="981"/>
        <v>293002465.12477612</v>
      </c>
      <c r="S481">
        <f t="shared" si="982"/>
        <v>2930.0246512477611</v>
      </c>
      <c r="T481">
        <f t="shared" si="983"/>
        <v>2.930024651247761</v>
      </c>
    </row>
    <row r="482" spans="1:20" x14ac:dyDescent="0.25">
      <c r="A482" s="5">
        <v>44111</v>
      </c>
      <c r="B482">
        <v>2.6380000000000002E-3</v>
      </c>
      <c r="C482">
        <v>2.699E-3</v>
      </c>
      <c r="D482">
        <v>2.6159999999999998E-3</v>
      </c>
      <c r="E482">
        <v>2.6840000000000002E-3</v>
      </c>
      <c r="F482">
        <v>30955045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0.63855421686747493</v>
      </c>
      <c r="Q482">
        <f t="shared" si="980"/>
        <v>19766474.518072445</v>
      </c>
      <c r="R482">
        <f t="shared" si="981"/>
        <v>250181939.99024704</v>
      </c>
      <c r="S482">
        <f t="shared" si="982"/>
        <v>2501.8193999024702</v>
      </c>
      <c r="T482">
        <f t="shared" si="983"/>
        <v>2.50181939990247</v>
      </c>
    </row>
    <row r="483" spans="1:20" x14ac:dyDescent="0.25">
      <c r="A483" s="5">
        <v>44110</v>
      </c>
      <c r="B483">
        <v>2.8300000000000001E-3</v>
      </c>
      <c r="C483">
        <v>2.8370000000000001E-3</v>
      </c>
      <c r="D483">
        <v>2.6310000000000001E-3</v>
      </c>
      <c r="E483">
        <v>2.6350000000000002E-3</v>
      </c>
      <c r="F483">
        <v>54175317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-0.96116504854368834</v>
      </c>
      <c r="Q483">
        <f t="shared" si="980"/>
        <v>-52071421.194174707</v>
      </c>
      <c r="R483">
        <f t="shared" si="981"/>
        <v>230415465.47217458</v>
      </c>
      <c r="S483">
        <f t="shared" si="982"/>
        <v>2304.1546547217458</v>
      </c>
      <c r="T483">
        <f t="shared" si="983"/>
        <v>2.3041546547217457</v>
      </c>
    </row>
    <row r="484" spans="1:20" x14ac:dyDescent="0.25">
      <c r="A484" s="5">
        <v>44109</v>
      </c>
      <c r="B484">
        <v>2.7599999999999999E-3</v>
      </c>
      <c r="C484">
        <v>2.8639999999999998E-3</v>
      </c>
      <c r="D484">
        <v>2.7399999999999998E-3</v>
      </c>
      <c r="E484">
        <v>2.8270000000000001E-3</v>
      </c>
      <c r="F484">
        <v>60894714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0.40322580645161754</v>
      </c>
      <c r="Q484">
        <f t="shared" si="980"/>
        <v>24554320.161290605</v>
      </c>
      <c r="R484">
        <f t="shared" si="981"/>
        <v>282486886.66634929</v>
      </c>
      <c r="S484">
        <f t="shared" si="982"/>
        <v>2824.868866663493</v>
      </c>
      <c r="T484">
        <f t="shared" si="983"/>
        <v>2.8248688666634929</v>
      </c>
    </row>
    <row r="485" spans="1:20" x14ac:dyDescent="0.25">
      <c r="A485" s="5">
        <v>44108</v>
      </c>
      <c r="B485">
        <v>2.7590000000000002E-3</v>
      </c>
      <c r="C485">
        <v>2.7690000000000002E-3</v>
      </c>
      <c r="D485">
        <v>2.663E-3</v>
      </c>
      <c r="E485">
        <v>2.7590000000000002E-3</v>
      </c>
      <c r="F485">
        <v>41529148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0.81132075471698095</v>
      </c>
      <c r="Q485">
        <f t="shared" si="980"/>
        <v>33693459.698113203</v>
      </c>
      <c r="R485">
        <f t="shared" si="981"/>
        <v>257932566.50505868</v>
      </c>
      <c r="S485">
        <f t="shared" si="982"/>
        <v>2579.3256650505868</v>
      </c>
      <c r="T485">
        <f t="shared" si="983"/>
        <v>2.5793256650505869</v>
      </c>
    </row>
    <row r="486" spans="1:20" x14ac:dyDescent="0.25">
      <c r="A486" s="5">
        <v>44107</v>
      </c>
      <c r="B486">
        <v>2.823E-3</v>
      </c>
      <c r="C486">
        <v>2.849E-3</v>
      </c>
      <c r="D486">
        <v>2.738E-3</v>
      </c>
      <c r="E486">
        <v>2.7599999999999999E-3</v>
      </c>
      <c r="F486">
        <v>26050559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-0.60360360360360565</v>
      </c>
      <c r="Q486">
        <f t="shared" si="980"/>
        <v>-15724211.288288342</v>
      </c>
      <c r="R486">
        <f t="shared" si="981"/>
        <v>224239106.80694547</v>
      </c>
      <c r="S486">
        <f t="shared" si="982"/>
        <v>2242.3910680694548</v>
      </c>
      <c r="T486">
        <f t="shared" si="983"/>
        <v>2.242391068069455</v>
      </c>
    </row>
    <row r="487" spans="1:20" x14ac:dyDescent="0.25">
      <c r="A487" s="5">
        <v>44106</v>
      </c>
      <c r="B487">
        <v>2.8969999999999998E-3</v>
      </c>
      <c r="C487">
        <v>2.9390000000000002E-3</v>
      </c>
      <c r="D487">
        <v>2.64E-3</v>
      </c>
      <c r="E487">
        <v>2.8379999999999998E-3</v>
      </c>
      <c r="F487">
        <v>106730843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0.32441471571906139</v>
      </c>
      <c r="Q487">
        <f t="shared" si="980"/>
        <v>34625056.090300776</v>
      </c>
      <c r="R487">
        <f t="shared" si="981"/>
        <v>239963318.09523383</v>
      </c>
      <c r="S487">
        <f t="shared" si="982"/>
        <v>2399.6331809523381</v>
      </c>
      <c r="T487">
        <f t="shared" si="983"/>
        <v>2.3996331809523381</v>
      </c>
    </row>
    <row r="488" spans="1:20" x14ac:dyDescent="0.25">
      <c r="A488" s="5">
        <v>44105</v>
      </c>
      <c r="B488">
        <v>3.0739999999999999E-3</v>
      </c>
      <c r="C488">
        <v>3.1410000000000001E-3</v>
      </c>
      <c r="D488">
        <v>2.7569999999999999E-3</v>
      </c>
      <c r="E488">
        <v>2.8709999999999999E-3</v>
      </c>
      <c r="F488">
        <v>154013855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-0.40625000000000061</v>
      </c>
      <c r="Q488">
        <f t="shared" si="980"/>
        <v>-62568128.593750097</v>
      </c>
      <c r="R488">
        <f t="shared" si="981"/>
        <v>205338262.00493306</v>
      </c>
      <c r="S488">
        <f t="shared" si="982"/>
        <v>2053.3826200493304</v>
      </c>
      <c r="T488">
        <f t="shared" si="983"/>
        <v>2.0533826200493306</v>
      </c>
    </row>
    <row r="489" spans="1:20" x14ac:dyDescent="0.25">
      <c r="A489" s="5">
        <v>44104</v>
      </c>
      <c r="B489">
        <v>3.0370000000000002E-3</v>
      </c>
      <c r="C489">
        <v>3.2799999999999999E-3</v>
      </c>
      <c r="D489">
        <v>3.0370000000000002E-3</v>
      </c>
      <c r="E489">
        <v>3.0739999999999999E-3</v>
      </c>
      <c r="F489">
        <v>151209042</v>
      </c>
      <c r="G489">
        <v>0</v>
      </c>
      <c r="L489" t="s">
        <v>8</v>
      </c>
      <c r="M489" t="s">
        <v>8</v>
      </c>
      <c r="N489" t="s">
        <v>7</v>
      </c>
      <c r="P489">
        <f t="shared" si="979"/>
        <v>-0.69547325102880864</v>
      </c>
      <c r="Q489">
        <f t="shared" si="980"/>
        <v>-105161844.02469167</v>
      </c>
      <c r="R489">
        <f t="shared" si="981"/>
        <v>267906390.59868315</v>
      </c>
      <c r="S489">
        <f t="shared" si="982"/>
        <v>2679.0639059868313</v>
      </c>
      <c r="T489">
        <f t="shared" si="983"/>
        <v>2.6790639059868311</v>
      </c>
    </row>
    <row r="490" spans="1:20" x14ac:dyDescent="0.25">
      <c r="A490" s="5">
        <v>44103</v>
      </c>
      <c r="B490">
        <v>2.836E-3</v>
      </c>
      <c r="C490">
        <v>3.1280000000000001E-3</v>
      </c>
      <c r="D490">
        <v>2.836E-3</v>
      </c>
      <c r="E490">
        <v>3.0349999999999999E-3</v>
      </c>
      <c r="F490">
        <v>273595205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0.36301369863013594</v>
      </c>
      <c r="Q490">
        <f t="shared" si="980"/>
        <v>99318807.294520259</v>
      </c>
      <c r="R490">
        <f t="shared" si="981"/>
        <v>373068234.62337482</v>
      </c>
      <c r="S490">
        <f t="shared" si="982"/>
        <v>3730.6823462337484</v>
      </c>
      <c r="T490">
        <f t="shared" si="983"/>
        <v>3.7306823462337482</v>
      </c>
    </row>
    <row r="491" spans="1:20" x14ac:dyDescent="0.25">
      <c r="A491" s="5">
        <v>44102</v>
      </c>
      <c r="B491">
        <v>2.7309999999999999E-3</v>
      </c>
      <c r="C491">
        <v>2.9199999999999999E-3</v>
      </c>
      <c r="D491">
        <v>2.7169999999999998E-3</v>
      </c>
      <c r="E491">
        <v>2.8340000000000001E-3</v>
      </c>
      <c r="F491">
        <v>155669954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0.15270935960591447</v>
      </c>
      <c r="Q491">
        <f t="shared" si="980"/>
        <v>23772258.985222165</v>
      </c>
      <c r="R491">
        <f t="shared" si="981"/>
        <v>273749427.32885456</v>
      </c>
      <c r="S491">
        <f t="shared" si="982"/>
        <v>2737.4942732885456</v>
      </c>
      <c r="T491">
        <f t="shared" si="983"/>
        <v>2.7374942732885454</v>
      </c>
    </row>
    <row r="492" spans="1:20" x14ac:dyDescent="0.25">
      <c r="A492" s="5">
        <v>44101</v>
      </c>
      <c r="B492">
        <v>2.7680000000000001E-3</v>
      </c>
      <c r="C492">
        <v>2.7920000000000002E-3</v>
      </c>
      <c r="D492">
        <v>2.6719999999999999E-3</v>
      </c>
      <c r="E492">
        <v>2.7339999999999999E-3</v>
      </c>
      <c r="F492">
        <v>59744565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3.3333333333330439E-2</v>
      </c>
      <c r="Q492">
        <f t="shared" si="980"/>
        <v>1991485.499999827</v>
      </c>
      <c r="R492">
        <f t="shared" si="981"/>
        <v>249977168.3436324</v>
      </c>
      <c r="S492">
        <f t="shared" si="982"/>
        <v>2499.7716834363241</v>
      </c>
      <c r="T492">
        <f t="shared" si="983"/>
        <v>2.4997716834363239</v>
      </c>
    </row>
    <row r="493" spans="1:20" x14ac:dyDescent="0.25">
      <c r="A493" s="5">
        <v>44100</v>
      </c>
      <c r="B493">
        <v>2.7659999999999998E-3</v>
      </c>
      <c r="C493">
        <v>2.8119999999999998E-3</v>
      </c>
      <c r="D493">
        <v>2.7100000000000002E-3</v>
      </c>
      <c r="E493">
        <v>2.748E-3</v>
      </c>
      <c r="F493">
        <v>54800024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-0.25490196078431437</v>
      </c>
      <c r="Q493">
        <f t="shared" si="980"/>
        <v>-13968633.568627486</v>
      </c>
      <c r="R493">
        <f t="shared" si="981"/>
        <v>247985682.84363258</v>
      </c>
      <c r="S493">
        <f t="shared" si="982"/>
        <v>2479.8568284363259</v>
      </c>
      <c r="T493">
        <f t="shared" si="983"/>
        <v>2.479856828436326</v>
      </c>
    </row>
    <row r="494" spans="1:20" x14ac:dyDescent="0.25">
      <c r="A494" s="5">
        <v>44099</v>
      </c>
      <c r="B494">
        <v>2.6380000000000002E-3</v>
      </c>
      <c r="C494">
        <v>2.8E-3</v>
      </c>
      <c r="D494">
        <v>2.5850000000000001E-3</v>
      </c>
      <c r="E494">
        <v>2.7460000000000002E-3</v>
      </c>
      <c r="F494">
        <v>77767053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0.49767441860465289</v>
      </c>
      <c r="Q494">
        <f t="shared" si="980"/>
        <v>38702672.888372228</v>
      </c>
      <c r="R494">
        <f t="shared" si="981"/>
        <v>261954316.41226006</v>
      </c>
      <c r="S494">
        <f t="shared" si="982"/>
        <v>2619.5431641226005</v>
      </c>
      <c r="T494">
        <f t="shared" si="983"/>
        <v>2.6195431641226006</v>
      </c>
    </row>
    <row r="495" spans="1:20" x14ac:dyDescent="0.25">
      <c r="A495" s="5">
        <v>44098</v>
      </c>
      <c r="B495">
        <v>2.4810000000000001E-3</v>
      </c>
      <c r="C495">
        <v>2.6489999999999999E-3</v>
      </c>
      <c r="D495">
        <v>2.4299999999999999E-3</v>
      </c>
      <c r="E495">
        <v>2.64E-3</v>
      </c>
      <c r="F495">
        <v>46198248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0.9178082191780832</v>
      </c>
      <c r="Q495">
        <f t="shared" si="980"/>
        <v>42401131.726027444</v>
      </c>
      <c r="R495">
        <f t="shared" si="981"/>
        <v>223251643.52388781</v>
      </c>
      <c r="S495">
        <f t="shared" si="982"/>
        <v>2232.5164352388783</v>
      </c>
      <c r="T495">
        <f t="shared" si="983"/>
        <v>2.2325164352388782</v>
      </c>
    </row>
    <row r="496" spans="1:20" x14ac:dyDescent="0.25">
      <c r="A496" s="5">
        <v>44097</v>
      </c>
      <c r="B496">
        <v>2.6930000000000001E-3</v>
      </c>
      <c r="C496">
        <v>2.7200000000000002E-3</v>
      </c>
      <c r="D496">
        <v>2.4459999999999998E-3</v>
      </c>
      <c r="E496">
        <v>2.4910000000000002E-3</v>
      </c>
      <c r="F496">
        <v>101685076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-0.67153284671532643</v>
      </c>
      <c r="Q496">
        <f t="shared" si="980"/>
        <v>-68284868.554744318</v>
      </c>
      <c r="R496">
        <f t="shared" si="981"/>
        <v>180850511.79786038</v>
      </c>
      <c r="S496">
        <f t="shared" si="982"/>
        <v>1808.5051179786039</v>
      </c>
      <c r="T496">
        <f t="shared" si="983"/>
        <v>1.808505117978604</v>
      </c>
    </row>
    <row r="497" spans="1:20" x14ac:dyDescent="0.25">
      <c r="A497" s="5">
        <v>44096</v>
      </c>
      <c r="B497">
        <v>2.5969999999999999E-3</v>
      </c>
      <c r="C497">
        <v>2.7060000000000001E-3</v>
      </c>
      <c r="D497">
        <v>2.4910000000000002E-3</v>
      </c>
      <c r="E497">
        <v>2.6930000000000001E-3</v>
      </c>
      <c r="F497">
        <v>70144164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0.87906976744186049</v>
      </c>
      <c r="Q497">
        <f t="shared" si="980"/>
        <v>61661613.934883721</v>
      </c>
      <c r="R497">
        <f t="shared" si="981"/>
        <v>249135380.35260469</v>
      </c>
      <c r="S497">
        <f t="shared" si="982"/>
        <v>2491.3538035260467</v>
      </c>
      <c r="T497">
        <f t="shared" si="983"/>
        <v>2.4913538035260467</v>
      </c>
    </row>
    <row r="498" spans="1:20" x14ac:dyDescent="0.25">
      <c r="A498" s="5">
        <v>44095</v>
      </c>
      <c r="B498">
        <v>2.97E-3</v>
      </c>
      <c r="C498">
        <v>3.0920000000000001E-3</v>
      </c>
      <c r="D498">
        <v>2.4260000000000002E-3</v>
      </c>
      <c r="E498">
        <v>2.598E-3</v>
      </c>
      <c r="F498">
        <v>172275753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-0.48348348348348391</v>
      </c>
      <c r="Q498">
        <f t="shared" si="980"/>
        <v>-83292481.180180252</v>
      </c>
      <c r="R498">
        <f t="shared" si="981"/>
        <v>187473766.41772097</v>
      </c>
      <c r="S498">
        <f t="shared" si="982"/>
        <v>1874.7376641772098</v>
      </c>
      <c r="T498">
        <f t="shared" si="983"/>
        <v>1.8747376641772098</v>
      </c>
    </row>
    <row r="499" spans="1:20" x14ac:dyDescent="0.25">
      <c r="A499" s="5">
        <v>44094</v>
      </c>
      <c r="B499">
        <v>3.0370000000000002E-3</v>
      </c>
      <c r="C499">
        <v>3.0490000000000001E-3</v>
      </c>
      <c r="D499">
        <v>2.8969999999999998E-3</v>
      </c>
      <c r="E499">
        <v>2.967E-3</v>
      </c>
      <c r="F499">
        <v>100972527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-7.8947368421051586E-2</v>
      </c>
      <c r="Q499">
        <f t="shared" si="980"/>
        <v>-7971515.2894735783</v>
      </c>
      <c r="R499">
        <f t="shared" si="981"/>
        <v>270766247.59790123</v>
      </c>
      <c r="S499">
        <f t="shared" si="982"/>
        <v>2707.6624759790125</v>
      </c>
      <c r="T499">
        <f t="shared" si="983"/>
        <v>2.7076624759790127</v>
      </c>
    </row>
    <row r="500" spans="1:20" x14ac:dyDescent="0.25">
      <c r="A500" s="5">
        <v>44093</v>
      </c>
      <c r="B500">
        <v>3.1129999999999999E-3</v>
      </c>
      <c r="C500">
        <v>3.1470000000000001E-3</v>
      </c>
      <c r="D500">
        <v>2.9640000000000001E-3</v>
      </c>
      <c r="E500">
        <v>3.0430000000000001E-3</v>
      </c>
      <c r="F500">
        <v>174368643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-0.13661202185792268</v>
      </c>
      <c r="Q500">
        <f t="shared" si="980"/>
        <v>-23820852.868852317</v>
      </c>
      <c r="R500">
        <f t="shared" si="981"/>
        <v>278737762.88737482</v>
      </c>
      <c r="S500">
        <f t="shared" si="982"/>
        <v>2787.3776288737481</v>
      </c>
      <c r="T500">
        <f t="shared" si="983"/>
        <v>2.787377628873748</v>
      </c>
    </row>
    <row r="501" spans="1:20" x14ac:dyDescent="0.25">
      <c r="A501" s="5">
        <v>44092</v>
      </c>
      <c r="B501">
        <v>3.1800000000000001E-3</v>
      </c>
      <c r="C501">
        <v>3.2699999999999999E-3</v>
      </c>
      <c r="D501">
        <v>3.045E-3</v>
      </c>
      <c r="E501">
        <v>3.1110000000000001E-3</v>
      </c>
      <c r="F501">
        <v>98516387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-0.41333333333333239</v>
      </c>
      <c r="Q501">
        <f t="shared" si="980"/>
        <v>-40720106.626666576</v>
      </c>
      <c r="R501">
        <f t="shared" si="981"/>
        <v>302558615.75622714</v>
      </c>
      <c r="S501">
        <f t="shared" si="982"/>
        <v>3025.5861575622712</v>
      </c>
      <c r="T501">
        <f t="shared" si="983"/>
        <v>3.0255861575622713</v>
      </c>
    </row>
    <row r="502" spans="1:20" x14ac:dyDescent="0.25">
      <c r="A502" s="5">
        <v>44091</v>
      </c>
      <c r="B502">
        <v>3.3279999999999998E-3</v>
      </c>
      <c r="C502">
        <v>3.46E-3</v>
      </c>
      <c r="D502">
        <v>3.0760000000000002E-3</v>
      </c>
      <c r="E502">
        <v>3.1809999999999998E-3</v>
      </c>
      <c r="F502">
        <v>131567364</v>
      </c>
      <c r="G502">
        <v>0</v>
      </c>
      <c r="L502" t="s">
        <v>7</v>
      </c>
      <c r="M502" t="s">
        <v>8</v>
      </c>
      <c r="N502" t="s">
        <v>7</v>
      </c>
      <c r="P502">
        <f t="shared" si="979"/>
        <v>-0.45312500000000167</v>
      </c>
      <c r="Q502">
        <f t="shared" si="980"/>
        <v>-59616461.812500216</v>
      </c>
      <c r="R502">
        <f t="shared" si="981"/>
        <v>343278722.38289368</v>
      </c>
      <c r="S502">
        <f t="shared" si="982"/>
        <v>3432.7872238289369</v>
      </c>
      <c r="T502">
        <f t="shared" si="983"/>
        <v>3.432787223828937</v>
      </c>
    </row>
    <row r="503" spans="1:20" x14ac:dyDescent="0.25">
      <c r="A503" s="5">
        <v>44090</v>
      </c>
      <c r="B503">
        <v>3.307E-3</v>
      </c>
      <c r="C503">
        <v>3.3600000000000001E-3</v>
      </c>
      <c r="D503">
        <v>3.2109999999999999E-3</v>
      </c>
      <c r="E503">
        <v>3.3029999999999999E-3</v>
      </c>
      <c r="F503">
        <v>50964043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0.23489932885905915</v>
      </c>
      <c r="Q503">
        <f t="shared" si="980"/>
        <v>11971419.496644231</v>
      </c>
      <c r="R503">
        <f t="shared" si="981"/>
        <v>402895184.19539392</v>
      </c>
      <c r="S503">
        <f t="shared" si="982"/>
        <v>4028.951841953939</v>
      </c>
      <c r="T503">
        <f t="shared" si="983"/>
        <v>4.0289518419539387</v>
      </c>
    </row>
    <row r="504" spans="1:20" x14ac:dyDescent="0.25">
      <c r="A504" s="5">
        <v>44089</v>
      </c>
      <c r="B504">
        <v>3.4629999999999999E-3</v>
      </c>
      <c r="C504">
        <v>3.5890000000000002E-3</v>
      </c>
      <c r="D504">
        <v>3.2729999999999999E-3</v>
      </c>
      <c r="E504">
        <v>3.3059999999999999E-3</v>
      </c>
      <c r="F504">
        <v>110862323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-0.791139240506329</v>
      </c>
      <c r="Q504">
        <f t="shared" si="980"/>
        <v>-87707534.018987328</v>
      </c>
      <c r="R504">
        <f t="shared" si="981"/>
        <v>390923764.69874966</v>
      </c>
      <c r="S504">
        <f t="shared" si="982"/>
        <v>3909.2376469874966</v>
      </c>
      <c r="T504">
        <f t="shared" si="983"/>
        <v>3.9092376469874965</v>
      </c>
    </row>
    <row r="505" spans="1:20" x14ac:dyDescent="0.25">
      <c r="A505" s="5">
        <v>44088</v>
      </c>
      <c r="B505">
        <v>3.313E-3</v>
      </c>
      <c r="C505">
        <v>3.5179999999999999E-3</v>
      </c>
      <c r="D505">
        <v>3.2339999999999999E-3</v>
      </c>
      <c r="E505">
        <v>3.483E-3</v>
      </c>
      <c r="F505">
        <v>95922544</v>
      </c>
      <c r="G505">
        <v>0</v>
      </c>
      <c r="L505" t="s">
        <v>8</v>
      </c>
      <c r="M505" t="s">
        <v>8</v>
      </c>
      <c r="N505" t="s">
        <v>7</v>
      </c>
      <c r="P505">
        <f t="shared" si="979"/>
        <v>0.75352112676056426</v>
      </c>
      <c r="Q505">
        <f t="shared" si="980"/>
        <v>72279663.436619803</v>
      </c>
      <c r="R505">
        <f t="shared" si="981"/>
        <v>478631298.71773702</v>
      </c>
      <c r="S505">
        <f t="shared" si="982"/>
        <v>4786.3129871773699</v>
      </c>
      <c r="T505">
        <f t="shared" si="983"/>
        <v>4.7863129871773697</v>
      </c>
    </row>
    <row r="506" spans="1:20" x14ac:dyDescent="0.25">
      <c r="A506" s="5">
        <v>44087</v>
      </c>
      <c r="B506">
        <v>3.4770000000000001E-3</v>
      </c>
      <c r="C506">
        <v>3.5179999999999999E-3</v>
      </c>
      <c r="D506">
        <v>3.2659999999999998E-3</v>
      </c>
      <c r="E506">
        <v>3.3140000000000001E-3</v>
      </c>
      <c r="F506">
        <v>46294751</v>
      </c>
      <c r="G506">
        <v>0</v>
      </c>
      <c r="L506" t="s">
        <v>7</v>
      </c>
      <c r="M506" t="s">
        <v>8</v>
      </c>
      <c r="N506" t="s">
        <v>7</v>
      </c>
      <c r="P506">
        <f t="shared" si="979"/>
        <v>-0.61904761904761674</v>
      </c>
      <c r="Q506">
        <f t="shared" si="980"/>
        <v>-28658655.380952273</v>
      </c>
      <c r="R506">
        <f t="shared" si="981"/>
        <v>406351635.2811172</v>
      </c>
      <c r="S506">
        <f t="shared" si="982"/>
        <v>4063.5163528111721</v>
      </c>
      <c r="T506">
        <f t="shared" si="983"/>
        <v>4.0635163528111722</v>
      </c>
    </row>
    <row r="507" spans="1:20" x14ac:dyDescent="0.25">
      <c r="A507" s="5">
        <v>44086</v>
      </c>
      <c r="B507">
        <v>3.522E-3</v>
      </c>
      <c r="C507">
        <v>3.5349999999999999E-3</v>
      </c>
      <c r="D507">
        <v>3.3999999999999998E-3</v>
      </c>
      <c r="E507">
        <v>3.4780000000000002E-3</v>
      </c>
      <c r="F507">
        <v>73296998</v>
      </c>
      <c r="G507">
        <v>0</v>
      </c>
      <c r="L507" t="s">
        <v>7</v>
      </c>
      <c r="M507" t="s">
        <v>8</v>
      </c>
      <c r="N507" t="s">
        <v>7</v>
      </c>
      <c r="P507">
        <f t="shared" si="979"/>
        <v>0.15555555555555997</v>
      </c>
      <c r="Q507">
        <f t="shared" si="980"/>
        <v>11401755.244444769</v>
      </c>
      <c r="R507">
        <f t="shared" si="981"/>
        <v>435010290.6620695</v>
      </c>
      <c r="S507">
        <f t="shared" si="982"/>
        <v>4350.1029066206947</v>
      </c>
      <c r="T507">
        <f t="shared" si="983"/>
        <v>4.3501029066206947</v>
      </c>
    </row>
    <row r="508" spans="1:20" x14ac:dyDescent="0.25">
      <c r="A508" s="5">
        <v>44085</v>
      </c>
      <c r="B508">
        <v>3.4459999999999998E-3</v>
      </c>
      <c r="C508">
        <v>3.5330000000000001E-3</v>
      </c>
      <c r="D508">
        <v>3.32E-3</v>
      </c>
      <c r="E508">
        <v>3.5239999999999998E-3</v>
      </c>
      <c r="F508">
        <v>96413484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0.91549295774647588</v>
      </c>
      <c r="Q508">
        <f t="shared" si="980"/>
        <v>88265865.633802533</v>
      </c>
      <c r="R508">
        <f t="shared" si="981"/>
        <v>423608535.41762471</v>
      </c>
      <c r="S508">
        <f t="shared" si="982"/>
        <v>4236.0853541762472</v>
      </c>
      <c r="T508">
        <f t="shared" si="983"/>
        <v>4.2360853541762475</v>
      </c>
    </row>
    <row r="509" spans="1:20" x14ac:dyDescent="0.25">
      <c r="A509" s="5">
        <v>44084</v>
      </c>
      <c r="B509">
        <v>3.323E-3</v>
      </c>
      <c r="C509">
        <v>3.5569999999999998E-3</v>
      </c>
      <c r="D509">
        <v>3.3080000000000002E-3</v>
      </c>
      <c r="E509">
        <v>3.4459999999999998E-3</v>
      </c>
      <c r="F509">
        <v>84294836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0.1084337349397579</v>
      </c>
      <c r="Q509">
        <f t="shared" si="980"/>
        <v>9140403.9036143627</v>
      </c>
      <c r="R509">
        <f t="shared" si="981"/>
        <v>335342669.78382218</v>
      </c>
      <c r="S509">
        <f t="shared" si="982"/>
        <v>3353.4266978382216</v>
      </c>
      <c r="T509">
        <f t="shared" si="983"/>
        <v>3.3534266978382217</v>
      </c>
    </row>
    <row r="510" spans="1:20" x14ac:dyDescent="0.25">
      <c r="A510" s="5">
        <v>44083</v>
      </c>
      <c r="B510">
        <v>3.1640000000000001E-3</v>
      </c>
      <c r="C510">
        <v>3.3730000000000001E-3</v>
      </c>
      <c r="D510">
        <v>3.0950000000000001E-3</v>
      </c>
      <c r="E510">
        <v>3.323E-3</v>
      </c>
      <c r="F510">
        <v>80373789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0.64028776978417179</v>
      </c>
      <c r="Q510">
        <f t="shared" si="980"/>
        <v>51462354.107913598</v>
      </c>
      <c r="R510">
        <f t="shared" si="981"/>
        <v>326202265.88020784</v>
      </c>
      <c r="S510">
        <f t="shared" si="982"/>
        <v>3262.0226588020782</v>
      </c>
      <c r="T510">
        <f t="shared" si="983"/>
        <v>3.2620226588020782</v>
      </c>
    </row>
    <row r="511" spans="1:20" x14ac:dyDescent="0.25">
      <c r="A511" s="5">
        <v>44082</v>
      </c>
      <c r="B511">
        <v>3.3400000000000001E-3</v>
      </c>
      <c r="C511">
        <v>3.3540000000000002E-3</v>
      </c>
      <c r="D511">
        <v>3.0590000000000001E-3</v>
      </c>
      <c r="E511">
        <v>3.1649999999999998E-3</v>
      </c>
      <c r="F511">
        <v>128559226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-0.28135593220339178</v>
      </c>
      <c r="Q511">
        <f t="shared" si="980"/>
        <v>-36170900.874576524</v>
      </c>
      <c r="R511">
        <f t="shared" si="981"/>
        <v>274739911.77229422</v>
      </c>
      <c r="S511">
        <f t="shared" si="982"/>
        <v>2747.3991177229423</v>
      </c>
      <c r="T511">
        <f t="shared" si="983"/>
        <v>2.7473991177229422</v>
      </c>
    </row>
    <row r="512" spans="1:20" x14ac:dyDescent="0.25">
      <c r="A512" s="5">
        <v>44081</v>
      </c>
      <c r="B512">
        <v>3.32E-3</v>
      </c>
      <c r="C512">
        <v>3.5349999999999999E-3</v>
      </c>
      <c r="D512">
        <v>3.0000000000000001E-3</v>
      </c>
      <c r="E512">
        <v>3.32E-3</v>
      </c>
      <c r="F512">
        <v>213528292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0.19626168224299081</v>
      </c>
      <c r="Q512">
        <f t="shared" si="980"/>
        <v>41907421.794392556</v>
      </c>
      <c r="R512">
        <f t="shared" si="981"/>
        <v>310910812.64687073</v>
      </c>
      <c r="S512">
        <f t="shared" si="982"/>
        <v>3109.1081264687073</v>
      </c>
      <c r="T512">
        <f t="shared" si="983"/>
        <v>3.1091081264687075</v>
      </c>
    </row>
    <row r="513" spans="1:20" x14ac:dyDescent="0.25">
      <c r="A513" s="5">
        <v>44080</v>
      </c>
      <c r="B513">
        <v>3.2829999999999999E-3</v>
      </c>
      <c r="C513">
        <v>3.4489999999999998E-3</v>
      </c>
      <c r="D513">
        <v>3.1310000000000001E-3</v>
      </c>
      <c r="E513">
        <v>3.3180000000000002E-3</v>
      </c>
      <c r="F513">
        <v>163485571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0.17610062893081932</v>
      </c>
      <c r="Q513">
        <f t="shared" si="980"/>
        <v>28789911.874214116</v>
      </c>
      <c r="R513">
        <f t="shared" si="981"/>
        <v>269003390.85247815</v>
      </c>
      <c r="S513">
        <f t="shared" si="982"/>
        <v>2690.0339085247815</v>
      </c>
      <c r="T513">
        <f t="shared" si="983"/>
        <v>2.6900339085247813</v>
      </c>
    </row>
    <row r="514" spans="1:20" x14ac:dyDescent="0.25">
      <c r="A514" s="5">
        <v>44079</v>
      </c>
      <c r="B514">
        <v>3.7369999999999999E-3</v>
      </c>
      <c r="C514">
        <v>3.8500000000000001E-3</v>
      </c>
      <c r="D514">
        <v>3.2030000000000001E-3</v>
      </c>
      <c r="E514">
        <v>3.2820000000000002E-3</v>
      </c>
      <c r="F514">
        <v>296353918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-0.75579598145285909</v>
      </c>
      <c r="Q514">
        <f t="shared" si="980"/>
        <v>-223983100.31221011</v>
      </c>
      <c r="R514">
        <f t="shared" si="981"/>
        <v>240213478.978264</v>
      </c>
      <c r="S514">
        <f t="shared" si="982"/>
        <v>2402.1347897826399</v>
      </c>
      <c r="T514">
        <f t="shared" si="983"/>
        <v>2.4021347897826399</v>
      </c>
    </row>
    <row r="515" spans="1:20" x14ac:dyDescent="0.25">
      <c r="A515" s="5">
        <v>44078</v>
      </c>
      <c r="B515">
        <v>3.405E-3</v>
      </c>
      <c r="C515">
        <v>4.0470000000000002E-3</v>
      </c>
      <c r="D515">
        <v>3.346E-3</v>
      </c>
      <c r="E515">
        <v>3.738E-3</v>
      </c>
      <c r="F515">
        <v>378763123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0.11840228245363725</v>
      </c>
      <c r="Q515">
        <f t="shared" si="980"/>
        <v>44846418.272467747</v>
      </c>
      <c r="R515">
        <f t="shared" si="981"/>
        <v>464196579.29047412</v>
      </c>
      <c r="S515">
        <f t="shared" si="982"/>
        <v>4641.9657929047407</v>
      </c>
      <c r="T515">
        <f t="shared" si="983"/>
        <v>4.6419657929047409</v>
      </c>
    </row>
    <row r="516" spans="1:20" x14ac:dyDescent="0.25">
      <c r="A516" s="5">
        <v>44077</v>
      </c>
      <c r="B516">
        <v>4.1729999999999996E-3</v>
      </c>
      <c r="C516">
        <v>4.1999999999999997E-3</v>
      </c>
      <c r="D516">
        <v>3.346E-3</v>
      </c>
      <c r="E516">
        <v>3.441E-3</v>
      </c>
      <c r="F516">
        <v>346825195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-0.77751756440281017</v>
      </c>
      <c r="Q516">
        <f t="shared" si="980"/>
        <v>-269662680.88992971</v>
      </c>
      <c r="R516">
        <f t="shared" si="981"/>
        <v>419350161.01800638</v>
      </c>
      <c r="S516">
        <f t="shared" si="982"/>
        <v>4193.5016101800638</v>
      </c>
      <c r="T516">
        <f t="shared" si="983"/>
        <v>4.1935016101800642</v>
      </c>
    </row>
    <row r="517" spans="1:20" x14ac:dyDescent="0.25">
      <c r="A517" s="5">
        <v>44076</v>
      </c>
      <c r="B517">
        <v>4.4289999999999998E-3</v>
      </c>
      <c r="C517">
        <v>4.4860000000000004E-3</v>
      </c>
      <c r="D517">
        <v>3.9309999999999996E-3</v>
      </c>
      <c r="E517">
        <v>4.1660000000000004E-3</v>
      </c>
      <c r="F517">
        <v>261019007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-0.15315315315315137</v>
      </c>
      <c r="Q517">
        <f t="shared" si="980"/>
        <v>-39975883.95495449</v>
      </c>
      <c r="R517">
        <f t="shared" si="981"/>
        <v>689012841.9079361</v>
      </c>
      <c r="S517">
        <f t="shared" si="982"/>
        <v>6890.1284190793613</v>
      </c>
      <c r="T517">
        <f t="shared" si="983"/>
        <v>6.8901284190793612</v>
      </c>
    </row>
    <row r="518" spans="1:20" x14ac:dyDescent="0.25">
      <c r="A518" s="5">
        <v>44075</v>
      </c>
      <c r="B518">
        <v>4.5589999999999997E-3</v>
      </c>
      <c r="C518">
        <v>4.712E-3</v>
      </c>
      <c r="D518">
        <v>4.2500000000000003E-3</v>
      </c>
      <c r="E518">
        <v>4.4010000000000004E-3</v>
      </c>
      <c r="F518">
        <v>294243344</v>
      </c>
      <c r="G518">
        <v>0</v>
      </c>
      <c r="L518" t="s">
        <v>7</v>
      </c>
      <c r="M518" t="s">
        <v>8</v>
      </c>
      <c r="N518" t="s">
        <v>8</v>
      </c>
      <c r="P518">
        <f t="shared" ref="P518:P581" si="984">IF(C518=D518,0,((E518-D518)-(C518-E518))/(C518-D518))</f>
        <v>-0.34632034632034553</v>
      </c>
      <c r="Q518">
        <f t="shared" ref="Q518:Q581" si="985">F518*P518</f>
        <v>-101902456.79653656</v>
      </c>
      <c r="R518">
        <f t="shared" ref="R518:R581" si="986">R519+Q518</f>
        <v>728988725.8628906</v>
      </c>
      <c r="S518">
        <f t="shared" ref="S518:S581" si="987">R518/100000</f>
        <v>7289.8872586289062</v>
      </c>
      <c r="T518">
        <f t="shared" ref="T518:T581" si="988">S518/1000</f>
        <v>7.2898872586289061</v>
      </c>
    </row>
    <row r="519" spans="1:20" x14ac:dyDescent="0.25">
      <c r="A519" s="5">
        <v>44074</v>
      </c>
      <c r="B519">
        <v>4.6010000000000001E-3</v>
      </c>
      <c r="C519">
        <v>4.8999999999999998E-3</v>
      </c>
      <c r="D519">
        <v>4.5319999999999996E-3</v>
      </c>
      <c r="E519">
        <v>4.561E-3</v>
      </c>
      <c r="F519">
        <v>277478187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-0.84239130434782417</v>
      </c>
      <c r="Q519">
        <f t="shared" si="985"/>
        <v>-233745211.87499946</v>
      </c>
      <c r="R519">
        <f t="shared" si="986"/>
        <v>830891182.65942717</v>
      </c>
      <c r="S519">
        <f t="shared" si="987"/>
        <v>8308.9118265942725</v>
      </c>
      <c r="T519">
        <f t="shared" si="988"/>
        <v>8.3089118265942723</v>
      </c>
    </row>
    <row r="520" spans="1:20" x14ac:dyDescent="0.25">
      <c r="A520" s="5">
        <v>44073</v>
      </c>
      <c r="B520">
        <v>4.8650000000000004E-3</v>
      </c>
      <c r="C520">
        <v>4.9500000000000004E-3</v>
      </c>
      <c r="D520">
        <v>4.4889999999999999E-3</v>
      </c>
      <c r="E520">
        <v>4.6010000000000001E-3</v>
      </c>
      <c r="F520">
        <v>426031987</v>
      </c>
      <c r="G520">
        <v>0</v>
      </c>
      <c r="L520" t="s">
        <v>7</v>
      </c>
      <c r="M520" t="s">
        <v>8</v>
      </c>
      <c r="N520" t="s">
        <v>8</v>
      </c>
      <c r="P520">
        <f t="shared" si="984"/>
        <v>-0.51409978308026028</v>
      </c>
      <c r="Q520">
        <f t="shared" si="985"/>
        <v>-219022952.10195225</v>
      </c>
      <c r="R520">
        <f t="shared" si="986"/>
        <v>1064636394.5344267</v>
      </c>
      <c r="S520">
        <f t="shared" si="987"/>
        <v>10646.363945344267</v>
      </c>
      <c r="T520">
        <f t="shared" si="988"/>
        <v>10.646363945344266</v>
      </c>
    </row>
    <row r="521" spans="1:20" x14ac:dyDescent="0.25">
      <c r="A521" s="5">
        <v>44072</v>
      </c>
      <c r="B521">
        <v>4.4900000000000001E-3</v>
      </c>
      <c r="C521">
        <v>5.071E-3</v>
      </c>
      <c r="D521">
        <v>4.45E-3</v>
      </c>
      <c r="E521">
        <v>4.8650000000000004E-3</v>
      </c>
      <c r="F521">
        <v>1060974343</v>
      </c>
      <c r="G521">
        <v>0</v>
      </c>
      <c r="L521" t="s">
        <v>8</v>
      </c>
      <c r="M521" t="s">
        <v>8</v>
      </c>
      <c r="N521" t="s">
        <v>8</v>
      </c>
      <c r="P521">
        <f t="shared" si="984"/>
        <v>0.33655394524959881</v>
      </c>
      <c r="Q521">
        <f t="shared" si="985"/>
        <v>357075100.94525105</v>
      </c>
      <c r="R521">
        <f t="shared" si="986"/>
        <v>1283659346.636379</v>
      </c>
      <c r="S521">
        <f t="shared" si="987"/>
        <v>12836.593466363791</v>
      </c>
      <c r="T521">
        <f t="shared" si="988"/>
        <v>12.836593466363791</v>
      </c>
    </row>
    <row r="522" spans="1:20" x14ac:dyDescent="0.25">
      <c r="A522" s="5">
        <v>44071</v>
      </c>
      <c r="B522">
        <v>3.852E-3</v>
      </c>
      <c r="C522">
        <v>4.5399999999999998E-3</v>
      </c>
      <c r="D522">
        <v>3.82E-3</v>
      </c>
      <c r="E522">
        <v>4.4900000000000001E-3</v>
      </c>
      <c r="F522">
        <v>648207574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0.86111111111111194</v>
      </c>
      <c r="Q522">
        <f t="shared" si="985"/>
        <v>558178744.27777827</v>
      </c>
      <c r="R522">
        <f t="shared" si="986"/>
        <v>926584245.69112802</v>
      </c>
      <c r="S522">
        <f t="shared" si="987"/>
        <v>9265.8424569112794</v>
      </c>
      <c r="T522">
        <f t="shared" si="988"/>
        <v>9.2658424569112796</v>
      </c>
    </row>
    <row r="523" spans="1:20" x14ac:dyDescent="0.25">
      <c r="A523" s="5">
        <v>44070</v>
      </c>
      <c r="B523">
        <v>4.2490000000000002E-3</v>
      </c>
      <c r="C523">
        <v>4.4000000000000003E-3</v>
      </c>
      <c r="D523">
        <v>3.7009999999999999E-3</v>
      </c>
      <c r="E523">
        <v>3.8430000000000001E-3</v>
      </c>
      <c r="F523">
        <v>348247116</v>
      </c>
      <c r="G523">
        <v>0</v>
      </c>
      <c r="L523" t="s">
        <v>8</v>
      </c>
      <c r="M523" t="s">
        <v>8</v>
      </c>
      <c r="N523" t="s">
        <v>8</v>
      </c>
      <c r="P523">
        <f t="shared" si="984"/>
        <v>-0.59370529327610844</v>
      </c>
      <c r="Q523">
        <f t="shared" si="985"/>
        <v>-206756156.13733897</v>
      </c>
      <c r="R523">
        <f t="shared" si="986"/>
        <v>368405501.41334975</v>
      </c>
      <c r="S523">
        <f t="shared" si="987"/>
        <v>3684.0550141334975</v>
      </c>
      <c r="T523">
        <f t="shared" si="988"/>
        <v>3.6840550141334973</v>
      </c>
    </row>
    <row r="524" spans="1:20" x14ac:dyDescent="0.25">
      <c r="A524" s="5">
        <v>44069</v>
      </c>
      <c r="B524">
        <v>3.6960000000000001E-3</v>
      </c>
      <c r="C524">
        <v>4.2950000000000002E-3</v>
      </c>
      <c r="D524">
        <v>3.6540000000000001E-3</v>
      </c>
      <c r="E524">
        <v>4.2490000000000002E-3</v>
      </c>
      <c r="F524">
        <v>317670040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0.85647425897035867</v>
      </c>
      <c r="Q524">
        <f t="shared" si="985"/>
        <v>272076212.10608417</v>
      </c>
      <c r="R524">
        <f t="shared" si="986"/>
        <v>575161657.55068874</v>
      </c>
      <c r="S524">
        <f t="shared" si="987"/>
        <v>5751.6165755068878</v>
      </c>
      <c r="T524">
        <f t="shared" si="988"/>
        <v>5.7516165755068878</v>
      </c>
    </row>
    <row r="525" spans="1:20" x14ac:dyDescent="0.25">
      <c r="A525" s="5">
        <v>44068</v>
      </c>
      <c r="B525">
        <v>4.0569999999999998E-3</v>
      </c>
      <c r="C525">
        <v>4.1240000000000001E-3</v>
      </c>
      <c r="D525">
        <v>3.568E-3</v>
      </c>
      <c r="E525">
        <v>3.699E-3</v>
      </c>
      <c r="F525">
        <v>285177088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-0.52877697841726612</v>
      </c>
      <c r="Q525">
        <f t="shared" si="985"/>
        <v>-150795078.9064748</v>
      </c>
      <c r="R525">
        <f t="shared" si="986"/>
        <v>303085445.44460464</v>
      </c>
      <c r="S525">
        <f t="shared" si="987"/>
        <v>3030.8544544460465</v>
      </c>
      <c r="T525">
        <f t="shared" si="988"/>
        <v>3.0308544544460463</v>
      </c>
    </row>
    <row r="526" spans="1:20" x14ac:dyDescent="0.25">
      <c r="A526" s="5">
        <v>44067</v>
      </c>
      <c r="B526">
        <v>4.3229999999999996E-3</v>
      </c>
      <c r="C526">
        <v>4.5999999999999999E-3</v>
      </c>
      <c r="D526">
        <v>4.0299999999999997E-3</v>
      </c>
      <c r="E526">
        <v>4.071E-3</v>
      </c>
      <c r="F526">
        <v>417349502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-0.8561403508771922</v>
      </c>
      <c r="Q526">
        <f t="shared" si="985"/>
        <v>-357309749.08070141</v>
      </c>
      <c r="R526">
        <f t="shared" si="986"/>
        <v>453880524.3510794</v>
      </c>
      <c r="S526">
        <f t="shared" si="987"/>
        <v>4538.8052435107938</v>
      </c>
      <c r="T526">
        <f t="shared" si="988"/>
        <v>4.5388052435107937</v>
      </c>
    </row>
    <row r="527" spans="1:20" x14ac:dyDescent="0.25">
      <c r="A527" s="5">
        <v>44066</v>
      </c>
      <c r="B527">
        <v>3.8289999999999999E-3</v>
      </c>
      <c r="C527">
        <v>4.5209999999999998E-3</v>
      </c>
      <c r="D527">
        <v>3.7299999999999998E-3</v>
      </c>
      <c r="E527">
        <v>4.3229999999999996E-3</v>
      </c>
      <c r="F527">
        <v>348817316</v>
      </c>
      <c r="G527">
        <v>0</v>
      </c>
      <c r="L527" t="s">
        <v>8</v>
      </c>
      <c r="M527" t="s">
        <v>8</v>
      </c>
      <c r="N527" t="s">
        <v>8</v>
      </c>
      <c r="P527">
        <f t="shared" si="984"/>
        <v>0.49936788874841909</v>
      </c>
      <c r="Q527">
        <f t="shared" si="985"/>
        <v>174188166.64981014</v>
      </c>
      <c r="R527">
        <f t="shared" si="986"/>
        <v>811190273.43178082</v>
      </c>
      <c r="S527">
        <f t="shared" si="987"/>
        <v>8111.9027343178077</v>
      </c>
      <c r="T527">
        <f t="shared" si="988"/>
        <v>8.1119027343178072</v>
      </c>
    </row>
    <row r="528" spans="1:20" x14ac:dyDescent="0.25">
      <c r="A528" s="5">
        <v>44065</v>
      </c>
      <c r="B528">
        <v>3.7079999999999999E-3</v>
      </c>
      <c r="C528">
        <v>3.8990000000000001E-3</v>
      </c>
      <c r="D528">
        <v>3.5209999999999998E-3</v>
      </c>
      <c r="E528">
        <v>3.8110000000000002E-3</v>
      </c>
      <c r="F528">
        <v>130109347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0.53439153439153486</v>
      </c>
      <c r="Q528">
        <f t="shared" si="985"/>
        <v>69529333.582010642</v>
      </c>
      <c r="R528">
        <f t="shared" si="986"/>
        <v>637002106.78197074</v>
      </c>
      <c r="S528">
        <f t="shared" si="987"/>
        <v>6370.0210678197072</v>
      </c>
      <c r="T528">
        <f t="shared" si="988"/>
        <v>6.3700210678197076</v>
      </c>
    </row>
    <row r="529" spans="1:20" x14ac:dyDescent="0.25">
      <c r="A529" s="5">
        <v>44064</v>
      </c>
      <c r="B529">
        <v>3.6779999999999998E-3</v>
      </c>
      <c r="C529">
        <v>3.9880000000000002E-3</v>
      </c>
      <c r="D529">
        <v>3.4619999999999998E-3</v>
      </c>
      <c r="E529">
        <v>3.7079999999999999E-3</v>
      </c>
      <c r="F529">
        <v>284884143</v>
      </c>
      <c r="G529">
        <v>0</v>
      </c>
      <c r="L529" t="s">
        <v>8</v>
      </c>
      <c r="M529" t="s">
        <v>7</v>
      </c>
      <c r="N529" t="s">
        <v>8</v>
      </c>
      <c r="P529">
        <f t="shared" si="984"/>
        <v>-6.4638783269962266E-2</v>
      </c>
      <c r="Q529">
        <f t="shared" si="985"/>
        <v>-18414564.376425937</v>
      </c>
      <c r="R529">
        <f t="shared" si="986"/>
        <v>567472773.19996011</v>
      </c>
      <c r="S529">
        <f t="shared" si="987"/>
        <v>5674.727731999601</v>
      </c>
      <c r="T529">
        <f t="shared" si="988"/>
        <v>5.6747277319996012</v>
      </c>
    </row>
    <row r="530" spans="1:20" x14ac:dyDescent="0.25">
      <c r="A530" s="5">
        <v>44063</v>
      </c>
      <c r="B530">
        <v>3.4589999999999998E-3</v>
      </c>
      <c r="C530">
        <v>3.7060000000000001E-3</v>
      </c>
      <c r="D530">
        <v>3.411E-3</v>
      </c>
      <c r="E530">
        <v>3.6779999999999998E-3</v>
      </c>
      <c r="F530">
        <v>83966826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0.81016949152542217</v>
      </c>
      <c r="Q530">
        <f t="shared" si="985"/>
        <v>68027360.725423604</v>
      </c>
      <c r="R530">
        <f t="shared" si="986"/>
        <v>585887337.57638609</v>
      </c>
      <c r="S530">
        <f t="shared" si="987"/>
        <v>5858.8733757638611</v>
      </c>
      <c r="T530">
        <f t="shared" si="988"/>
        <v>5.8588733757638609</v>
      </c>
    </row>
    <row r="531" spans="1:20" x14ac:dyDescent="0.25">
      <c r="A531" s="5">
        <v>44062</v>
      </c>
      <c r="B531">
        <v>3.6549999999999998E-3</v>
      </c>
      <c r="C531">
        <v>3.8E-3</v>
      </c>
      <c r="D531">
        <v>3.4390000000000002E-3</v>
      </c>
      <c r="E531">
        <v>3.4589999999999998E-3</v>
      </c>
      <c r="F531">
        <v>131440953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-0.88919667590027907</v>
      </c>
      <c r="Q531">
        <f t="shared" si="985"/>
        <v>-116876858.48476481</v>
      </c>
      <c r="R531">
        <f t="shared" si="986"/>
        <v>517859976.85096252</v>
      </c>
      <c r="S531">
        <f t="shared" si="987"/>
        <v>5178.5997685096254</v>
      </c>
      <c r="T531">
        <f t="shared" si="988"/>
        <v>5.178599768509625</v>
      </c>
    </row>
    <row r="532" spans="1:20" x14ac:dyDescent="0.25">
      <c r="A532" s="5">
        <v>44061</v>
      </c>
      <c r="B532">
        <v>3.7580000000000001E-3</v>
      </c>
      <c r="C532">
        <v>3.895E-3</v>
      </c>
      <c r="D532">
        <v>3.5239999999999998E-3</v>
      </c>
      <c r="E532">
        <v>3.6619999999999999E-3</v>
      </c>
      <c r="F532">
        <v>197059146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-0.25606469002695409</v>
      </c>
      <c r="Q532">
        <f t="shared" si="985"/>
        <v>-50459889.137466289</v>
      </c>
      <c r="R532">
        <f t="shared" si="986"/>
        <v>634736835.33572733</v>
      </c>
      <c r="S532">
        <f t="shared" si="987"/>
        <v>6347.368353357273</v>
      </c>
      <c r="T532">
        <f t="shared" si="988"/>
        <v>6.3473683533572727</v>
      </c>
    </row>
    <row r="533" spans="1:20" x14ac:dyDescent="0.25">
      <c r="A533" s="5">
        <v>44060</v>
      </c>
      <c r="B533">
        <v>3.6779999999999998E-3</v>
      </c>
      <c r="C533">
        <v>4.1390000000000003E-3</v>
      </c>
      <c r="D533">
        <v>3.6510000000000002E-3</v>
      </c>
      <c r="E533">
        <v>3.777E-3</v>
      </c>
      <c r="F533">
        <v>351073238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-0.48360655737705011</v>
      </c>
      <c r="Q533">
        <f t="shared" si="985"/>
        <v>-169781320.01639378</v>
      </c>
      <c r="R533">
        <f t="shared" si="986"/>
        <v>685196724.47319365</v>
      </c>
      <c r="S533">
        <f t="shared" si="987"/>
        <v>6851.9672447319363</v>
      </c>
      <c r="T533">
        <f t="shared" si="988"/>
        <v>6.8519672447319362</v>
      </c>
    </row>
    <row r="534" spans="1:20" x14ac:dyDescent="0.25">
      <c r="A534" s="5">
        <v>44059</v>
      </c>
      <c r="B534">
        <v>3.5699999999999998E-3</v>
      </c>
      <c r="C534">
        <v>3.7000000000000002E-3</v>
      </c>
      <c r="D534">
        <v>3.4940000000000001E-3</v>
      </c>
      <c r="E534">
        <v>3.6979999999999999E-3</v>
      </c>
      <c r="F534">
        <v>194188323</v>
      </c>
      <c r="G534">
        <v>0</v>
      </c>
      <c r="L534" t="s">
        <v>7</v>
      </c>
      <c r="M534" t="s">
        <v>8</v>
      </c>
      <c r="N534" t="s">
        <v>7</v>
      </c>
      <c r="P534">
        <f t="shared" si="984"/>
        <v>0.98058252427184212</v>
      </c>
      <c r="Q534">
        <f t="shared" si="985"/>
        <v>190417675.9514558</v>
      </c>
      <c r="R534">
        <f t="shared" si="986"/>
        <v>854978044.48958743</v>
      </c>
      <c r="S534">
        <f t="shared" si="987"/>
        <v>8549.7804448958741</v>
      </c>
      <c r="T534">
        <f t="shared" si="988"/>
        <v>8.549780444895875</v>
      </c>
    </row>
    <row r="535" spans="1:20" x14ac:dyDescent="0.25">
      <c r="A535" s="5">
        <v>44058</v>
      </c>
      <c r="B535">
        <v>3.388E-3</v>
      </c>
      <c r="C535">
        <v>3.7620000000000002E-3</v>
      </c>
      <c r="D535">
        <v>3.3379999999999998E-3</v>
      </c>
      <c r="E535">
        <v>3.5560000000000001E-3</v>
      </c>
      <c r="F535">
        <v>310305973</v>
      </c>
      <c r="G535">
        <v>0</v>
      </c>
      <c r="L535" t="s">
        <v>8</v>
      </c>
      <c r="M535" t="s">
        <v>8</v>
      </c>
      <c r="N535" t="s">
        <v>7</v>
      </c>
      <c r="P535">
        <f t="shared" si="984"/>
        <v>2.8301886792453497E-2</v>
      </c>
      <c r="Q535">
        <f t="shared" si="985"/>
        <v>8782244.5188681316</v>
      </c>
      <c r="R535">
        <f t="shared" si="986"/>
        <v>664560368.53813159</v>
      </c>
      <c r="S535">
        <f t="shared" si="987"/>
        <v>6645.6036853813157</v>
      </c>
      <c r="T535">
        <f t="shared" si="988"/>
        <v>6.6456036853813156</v>
      </c>
    </row>
    <row r="536" spans="1:20" x14ac:dyDescent="0.25">
      <c r="A536" s="5">
        <v>44057</v>
      </c>
      <c r="B536">
        <v>3.385E-3</v>
      </c>
      <c r="C536">
        <v>3.4030000000000002E-3</v>
      </c>
      <c r="D536">
        <v>3.297E-3</v>
      </c>
      <c r="E536">
        <v>3.4030000000000002E-3</v>
      </c>
      <c r="F536">
        <v>122100816</v>
      </c>
      <c r="G536">
        <v>0</v>
      </c>
      <c r="L536" t="s">
        <v>8</v>
      </c>
      <c r="M536" t="s">
        <v>8</v>
      </c>
      <c r="N536" t="s">
        <v>7</v>
      </c>
      <c r="P536">
        <f t="shared" si="984"/>
        <v>1</v>
      </c>
      <c r="Q536">
        <f t="shared" si="985"/>
        <v>122100816</v>
      </c>
      <c r="R536">
        <f t="shared" si="986"/>
        <v>655778124.01926351</v>
      </c>
      <c r="S536">
        <f t="shared" si="987"/>
        <v>6557.7812401926349</v>
      </c>
      <c r="T536">
        <f t="shared" si="988"/>
        <v>6.557781240192635</v>
      </c>
    </row>
    <row r="537" spans="1:20" x14ac:dyDescent="0.25">
      <c r="A537" s="5">
        <v>44056</v>
      </c>
      <c r="B537">
        <v>3.3180000000000002E-3</v>
      </c>
      <c r="C537">
        <v>3.3899999999999998E-3</v>
      </c>
      <c r="D537">
        <v>3.2299999999999998E-3</v>
      </c>
      <c r="E537">
        <v>3.3830000000000002E-3</v>
      </c>
      <c r="F537">
        <v>148864700</v>
      </c>
      <c r="G537">
        <v>0</v>
      </c>
      <c r="L537" t="s">
        <v>8</v>
      </c>
      <c r="M537" t="s">
        <v>8</v>
      </c>
      <c r="N537" t="s">
        <v>7</v>
      </c>
      <c r="P537">
        <f t="shared" si="984"/>
        <v>0.91250000000000464</v>
      </c>
      <c r="Q537">
        <f t="shared" si="985"/>
        <v>135839038.75000069</v>
      </c>
      <c r="R537">
        <f t="shared" si="986"/>
        <v>533677308.01926351</v>
      </c>
      <c r="S537">
        <f t="shared" si="987"/>
        <v>5336.7730801926355</v>
      </c>
      <c r="T537">
        <f t="shared" si="988"/>
        <v>5.3367730801926356</v>
      </c>
    </row>
    <row r="538" spans="1:20" x14ac:dyDescent="0.25">
      <c r="A538" s="5">
        <v>44055</v>
      </c>
      <c r="B538">
        <v>3.264E-3</v>
      </c>
      <c r="C538">
        <v>3.3219999999999999E-3</v>
      </c>
      <c r="D538">
        <v>3.163E-3</v>
      </c>
      <c r="E538">
        <v>3.313E-3</v>
      </c>
      <c r="F538">
        <v>105808444</v>
      </c>
      <c r="G538">
        <v>0</v>
      </c>
      <c r="L538" t="s">
        <v>7</v>
      </c>
      <c r="M538" t="s">
        <v>8</v>
      </c>
      <c r="N538" t="s">
        <v>7</v>
      </c>
      <c r="P538">
        <f t="shared" si="984"/>
        <v>0.88679245283018993</v>
      </c>
      <c r="Q538">
        <f t="shared" si="985"/>
        <v>93830129.584905788</v>
      </c>
      <c r="R538">
        <f t="shared" si="986"/>
        <v>397838269.26926279</v>
      </c>
      <c r="S538">
        <f t="shared" si="987"/>
        <v>3978.3826926926281</v>
      </c>
      <c r="T538">
        <f t="shared" si="988"/>
        <v>3.978382692692628</v>
      </c>
    </row>
    <row r="539" spans="1:20" x14ac:dyDescent="0.25">
      <c r="A539" s="5">
        <v>44054</v>
      </c>
      <c r="B539">
        <v>3.5490000000000001E-3</v>
      </c>
      <c r="C539">
        <v>3.62E-3</v>
      </c>
      <c r="D539">
        <v>3.0999999999999999E-3</v>
      </c>
      <c r="E539">
        <v>3.2569999999999999E-3</v>
      </c>
      <c r="F539">
        <v>261581941</v>
      </c>
      <c r="G539">
        <v>0</v>
      </c>
      <c r="L539" t="s">
        <v>7</v>
      </c>
      <c r="M539" t="s">
        <v>8</v>
      </c>
      <c r="N539" t="s">
        <v>7</v>
      </c>
      <c r="P539">
        <f t="shared" si="984"/>
        <v>-0.39615384615384613</v>
      </c>
      <c r="Q539">
        <f t="shared" si="985"/>
        <v>-103626692.01153846</v>
      </c>
      <c r="R539">
        <f t="shared" si="986"/>
        <v>304008139.68435699</v>
      </c>
      <c r="S539">
        <f t="shared" si="987"/>
        <v>3040.08139684357</v>
      </c>
      <c r="T539">
        <f t="shared" si="988"/>
        <v>3.0400813968435698</v>
      </c>
    </row>
    <row r="540" spans="1:20" x14ac:dyDescent="0.25">
      <c r="A540" s="5">
        <v>44053</v>
      </c>
      <c r="B540">
        <v>3.258E-3</v>
      </c>
      <c r="C540">
        <v>3.64E-3</v>
      </c>
      <c r="D540">
        <v>3.1909999999999998E-3</v>
      </c>
      <c r="E540">
        <v>3.539E-3</v>
      </c>
      <c r="F540">
        <v>283717681</v>
      </c>
      <c r="G540">
        <v>0</v>
      </c>
      <c r="L540" t="s">
        <v>8</v>
      </c>
      <c r="M540" t="s">
        <v>8</v>
      </c>
      <c r="N540" t="s">
        <v>7</v>
      </c>
      <c r="P540">
        <f t="shared" si="984"/>
        <v>0.55011135857461058</v>
      </c>
      <c r="Q540">
        <f t="shared" si="985"/>
        <v>156076318.94654799</v>
      </c>
      <c r="R540">
        <f t="shared" si="986"/>
        <v>407634831.69589543</v>
      </c>
      <c r="S540">
        <f t="shared" si="987"/>
        <v>4076.3483169589545</v>
      </c>
      <c r="T540">
        <f t="shared" si="988"/>
        <v>4.0763483169589545</v>
      </c>
    </row>
    <row r="541" spans="1:20" x14ac:dyDescent="0.25">
      <c r="A541" s="5">
        <v>44052</v>
      </c>
      <c r="B541">
        <v>3.2049999999999999E-3</v>
      </c>
      <c r="C541">
        <v>3.2799999999999999E-3</v>
      </c>
      <c r="D541">
        <v>3.101E-3</v>
      </c>
      <c r="E541">
        <v>3.258E-3</v>
      </c>
      <c r="F541">
        <v>158332079</v>
      </c>
      <c r="G541">
        <v>0</v>
      </c>
      <c r="L541" t="s">
        <v>7</v>
      </c>
      <c r="M541" t="s">
        <v>7</v>
      </c>
      <c r="N541" t="s">
        <v>7</v>
      </c>
      <c r="P541">
        <f t="shared" si="984"/>
        <v>0.75418994413407936</v>
      </c>
      <c r="Q541">
        <f t="shared" si="985"/>
        <v>119412461.81564264</v>
      </c>
      <c r="R541">
        <f t="shared" si="986"/>
        <v>251558512.74934742</v>
      </c>
      <c r="S541">
        <f t="shared" si="987"/>
        <v>2515.5851274934744</v>
      </c>
      <c r="T541">
        <f t="shared" si="988"/>
        <v>2.5155851274934742</v>
      </c>
    </row>
    <row r="542" spans="1:20" x14ac:dyDescent="0.25">
      <c r="A542" s="5">
        <v>44051</v>
      </c>
      <c r="B542">
        <v>3.1700000000000001E-3</v>
      </c>
      <c r="C542">
        <v>3.2299999999999998E-3</v>
      </c>
      <c r="D542">
        <v>3.1120000000000002E-3</v>
      </c>
      <c r="E542">
        <v>3.2000000000000002E-3</v>
      </c>
      <c r="F542">
        <v>84835320</v>
      </c>
      <c r="G542">
        <v>0</v>
      </c>
      <c r="L542" t="s">
        <v>7</v>
      </c>
      <c r="M542" t="s">
        <v>7</v>
      </c>
      <c r="N542" t="s">
        <v>7</v>
      </c>
      <c r="P542">
        <f t="shared" si="984"/>
        <v>0.49152542372881791</v>
      </c>
      <c r="Q542">
        <f t="shared" si="985"/>
        <v>41698716.610169858</v>
      </c>
      <c r="R542">
        <f t="shared" si="986"/>
        <v>132146050.93370478</v>
      </c>
      <c r="S542">
        <f t="shared" si="987"/>
        <v>1321.4605093370478</v>
      </c>
      <c r="T542">
        <f t="shared" si="988"/>
        <v>1.3214605093370477</v>
      </c>
    </row>
    <row r="543" spans="1:20" x14ac:dyDescent="0.25">
      <c r="A543" s="5">
        <v>44050</v>
      </c>
      <c r="B543">
        <v>3.2169999999999998E-3</v>
      </c>
      <c r="C543">
        <v>3.2499999999999999E-3</v>
      </c>
      <c r="D543">
        <v>3.0899999999999999E-3</v>
      </c>
      <c r="E543">
        <v>3.1830000000000001E-3</v>
      </c>
      <c r="F543">
        <v>102685987</v>
      </c>
      <c r="G543">
        <v>0</v>
      </c>
      <c r="L543" t="s">
        <v>7</v>
      </c>
      <c r="M543" t="s">
        <v>7</v>
      </c>
      <c r="N543" t="s">
        <v>7</v>
      </c>
      <c r="P543">
        <f t="shared" si="984"/>
        <v>0.16250000000000261</v>
      </c>
      <c r="Q543">
        <f t="shared" si="985"/>
        <v>16686472.887500269</v>
      </c>
      <c r="R543">
        <f t="shared" si="986"/>
        <v>90447334.323534921</v>
      </c>
      <c r="S543">
        <f t="shared" si="987"/>
        <v>904.47334323534926</v>
      </c>
      <c r="T543">
        <f t="shared" si="988"/>
        <v>0.90447334323534923</v>
      </c>
    </row>
    <row r="544" spans="1:20" x14ac:dyDescent="0.25">
      <c r="A544" s="5">
        <v>44049</v>
      </c>
      <c r="B544">
        <v>3.2000000000000002E-3</v>
      </c>
      <c r="C544">
        <v>3.2369999999999999E-3</v>
      </c>
      <c r="D544">
        <v>3.1459999999999999E-3</v>
      </c>
      <c r="E544">
        <v>3.2160000000000001E-3</v>
      </c>
      <c r="F544">
        <v>76685363</v>
      </c>
      <c r="G544">
        <v>0</v>
      </c>
      <c r="L544" t="s">
        <v>7</v>
      </c>
      <c r="M544" t="s">
        <v>7</v>
      </c>
      <c r="N544" t="s">
        <v>7</v>
      </c>
      <c r="P544">
        <f t="shared" si="984"/>
        <v>0.53846153846154354</v>
      </c>
      <c r="Q544">
        <f t="shared" si="985"/>
        <v>41292118.538461931</v>
      </c>
      <c r="R544">
        <f t="shared" si="986"/>
        <v>73760861.43603465</v>
      </c>
      <c r="S544">
        <f t="shared" si="987"/>
        <v>737.60861436034645</v>
      </c>
      <c r="T544">
        <f t="shared" si="988"/>
        <v>0.73760861436034642</v>
      </c>
    </row>
    <row r="545" spans="1:20" x14ac:dyDescent="0.25">
      <c r="A545" s="5">
        <v>44048</v>
      </c>
      <c r="B545">
        <v>3.1689999999999999E-3</v>
      </c>
      <c r="C545">
        <v>3.2160000000000001E-3</v>
      </c>
      <c r="D545">
        <v>3.1229999999999999E-3</v>
      </c>
      <c r="E545">
        <v>3.2000000000000002E-3</v>
      </c>
      <c r="F545">
        <v>68974432</v>
      </c>
      <c r="G545">
        <v>0</v>
      </c>
      <c r="L545" t="s">
        <v>7</v>
      </c>
      <c r="M545" t="s">
        <v>7</v>
      </c>
      <c r="N545" t="s">
        <v>7</v>
      </c>
      <c r="P545">
        <f t="shared" si="984"/>
        <v>0.6559139784946254</v>
      </c>
      <c r="Q545">
        <f t="shared" si="985"/>
        <v>45241294.107527003</v>
      </c>
      <c r="R545">
        <f t="shared" si="986"/>
        <v>32468742.897572726</v>
      </c>
      <c r="S545">
        <f t="shared" si="987"/>
        <v>324.68742897572724</v>
      </c>
      <c r="T545">
        <f t="shared" si="988"/>
        <v>0.32468742897572722</v>
      </c>
    </row>
    <row r="546" spans="1:20" x14ac:dyDescent="0.25">
      <c r="A546" s="5">
        <v>44047</v>
      </c>
      <c r="B546">
        <v>3.1329999999999999E-3</v>
      </c>
      <c r="C546">
        <v>3.1930000000000001E-3</v>
      </c>
      <c r="D546">
        <v>3.0999999999999999E-3</v>
      </c>
      <c r="E546">
        <v>3.15E-3</v>
      </c>
      <c r="F546">
        <v>76095443</v>
      </c>
      <c r="G546">
        <v>0</v>
      </c>
      <c r="L546" t="s">
        <v>7</v>
      </c>
      <c r="M546" t="s">
        <v>7</v>
      </c>
      <c r="N546" t="s">
        <v>7</v>
      </c>
      <c r="P546">
        <f t="shared" si="984"/>
        <v>7.5268817204301577E-2</v>
      </c>
      <c r="Q546">
        <f t="shared" si="985"/>
        <v>5727613.98924735</v>
      </c>
      <c r="R546">
        <f t="shared" si="986"/>
        <v>-12772551.209954279</v>
      </c>
      <c r="S546">
        <f t="shared" si="987"/>
        <v>-127.72551209954278</v>
      </c>
      <c r="T546">
        <f t="shared" si="988"/>
        <v>-0.12772551209954278</v>
      </c>
    </row>
    <row r="547" spans="1:20" x14ac:dyDescent="0.25">
      <c r="A547" s="5">
        <v>44046</v>
      </c>
      <c r="B547">
        <v>3.1549999999999998E-3</v>
      </c>
      <c r="C547">
        <v>3.2439999999999999E-3</v>
      </c>
      <c r="D547">
        <v>3.1150000000000001E-3</v>
      </c>
      <c r="E547">
        <v>3.13E-3</v>
      </c>
      <c r="F547">
        <v>93527358</v>
      </c>
      <c r="G547">
        <v>0</v>
      </c>
      <c r="L547" t="s">
        <v>7</v>
      </c>
      <c r="M547" t="s">
        <v>7</v>
      </c>
      <c r="N547" t="s">
        <v>7</v>
      </c>
      <c r="P547">
        <f t="shared" si="984"/>
        <v>-0.76744186046511864</v>
      </c>
      <c r="Q547">
        <f t="shared" si="985"/>
        <v>-71776809.627907202</v>
      </c>
      <c r="R547">
        <f t="shared" si="986"/>
        <v>-18500165.199201629</v>
      </c>
      <c r="S547">
        <f t="shared" si="987"/>
        <v>-185.00165199201629</v>
      </c>
      <c r="T547">
        <f t="shared" si="988"/>
        <v>-0.18500165199201629</v>
      </c>
    </row>
    <row r="548" spans="1:20" x14ac:dyDescent="0.25">
      <c r="A548" s="5">
        <v>44045</v>
      </c>
      <c r="B548">
        <v>3.29E-3</v>
      </c>
      <c r="C548">
        <v>3.369E-3</v>
      </c>
      <c r="D548">
        <v>3.009E-3</v>
      </c>
      <c r="E548">
        <v>3.1580000000000002E-3</v>
      </c>
      <c r="F548">
        <v>143628375</v>
      </c>
      <c r="G548">
        <v>0</v>
      </c>
      <c r="L548" t="s">
        <v>8</v>
      </c>
      <c r="M548" t="s">
        <v>7</v>
      </c>
      <c r="N548" t="s">
        <v>7</v>
      </c>
      <c r="P548">
        <f t="shared" si="984"/>
        <v>-0.17222222222222094</v>
      </c>
      <c r="Q548">
        <f t="shared" si="985"/>
        <v>-24735997.916666482</v>
      </c>
      <c r="R548">
        <f t="shared" si="986"/>
        <v>53276644.428705573</v>
      </c>
      <c r="S548">
        <f t="shared" si="987"/>
        <v>532.76644428705572</v>
      </c>
      <c r="T548">
        <f t="shared" si="988"/>
        <v>0.53276644428705577</v>
      </c>
    </row>
    <row r="549" spans="1:20" x14ac:dyDescent="0.25">
      <c r="A549" s="5">
        <v>44044</v>
      </c>
      <c r="B549">
        <v>3.0379999999999999E-3</v>
      </c>
      <c r="C549">
        <v>3.32E-3</v>
      </c>
      <c r="D549">
        <v>3.0019999999999999E-3</v>
      </c>
      <c r="E549">
        <v>3.2880000000000001E-3</v>
      </c>
      <c r="F549">
        <v>238033234</v>
      </c>
      <c r="G549">
        <v>0</v>
      </c>
      <c r="L549" t="s">
        <v>8</v>
      </c>
      <c r="M549" t="s">
        <v>7</v>
      </c>
      <c r="N549" t="s">
        <v>7</v>
      </c>
      <c r="P549">
        <f t="shared" si="984"/>
        <v>0.79874213836478047</v>
      </c>
      <c r="Q549">
        <f t="shared" si="985"/>
        <v>190127174.32704416</v>
      </c>
      <c r="R549">
        <f t="shared" si="986"/>
        <v>78012642.345372051</v>
      </c>
      <c r="S549">
        <f t="shared" si="987"/>
        <v>780.12642345372046</v>
      </c>
      <c r="T549">
        <f t="shared" si="988"/>
        <v>0.78012642345372041</v>
      </c>
    </row>
    <row r="550" spans="1:20" x14ac:dyDescent="0.25">
      <c r="A550" s="5">
        <v>44043</v>
      </c>
      <c r="B550">
        <v>3.1649999999999998E-3</v>
      </c>
      <c r="C550">
        <v>3.1949999999999999E-3</v>
      </c>
      <c r="D550">
        <v>2.9989999999999999E-3</v>
      </c>
      <c r="E550">
        <v>3.032E-3</v>
      </c>
      <c r="F550">
        <v>111979472</v>
      </c>
      <c r="G550">
        <v>0</v>
      </c>
      <c r="L550" t="s">
        <v>7</v>
      </c>
      <c r="M550" t="s">
        <v>7</v>
      </c>
      <c r="N550" t="s">
        <v>7</v>
      </c>
      <c r="P550">
        <f t="shared" si="984"/>
        <v>-0.66326530612244849</v>
      </c>
      <c r="Q550">
        <f t="shared" si="985"/>
        <v>-74272098.775510147</v>
      </c>
      <c r="R550">
        <f t="shared" si="986"/>
        <v>-112114531.98167211</v>
      </c>
      <c r="S550">
        <f t="shared" si="987"/>
        <v>-1121.145319816721</v>
      </c>
      <c r="T550">
        <f t="shared" si="988"/>
        <v>-1.1211453198167209</v>
      </c>
    </row>
    <row r="551" spans="1:20" x14ac:dyDescent="0.25">
      <c r="A551" s="5">
        <v>44042</v>
      </c>
      <c r="B551">
        <v>3.1610000000000002E-3</v>
      </c>
      <c r="C551">
        <v>3.2469999999999999E-3</v>
      </c>
      <c r="D551">
        <v>3.0599999999999998E-3</v>
      </c>
      <c r="E551">
        <v>3.1480000000000002E-3</v>
      </c>
      <c r="F551">
        <v>98023891</v>
      </c>
      <c r="G551">
        <v>0</v>
      </c>
      <c r="L551" t="s">
        <v>7</v>
      </c>
      <c r="M551" t="s">
        <v>7</v>
      </c>
      <c r="N551" t="s">
        <v>7</v>
      </c>
      <c r="P551">
        <f t="shared" si="984"/>
        <v>-5.8823529411760889E-2</v>
      </c>
      <c r="Q551">
        <f t="shared" si="985"/>
        <v>-5766111.2352937432</v>
      </c>
      <c r="R551">
        <f t="shared" si="986"/>
        <v>-37842433.206161968</v>
      </c>
      <c r="S551">
        <f t="shared" si="987"/>
        <v>-378.42433206161968</v>
      </c>
      <c r="T551">
        <f t="shared" si="988"/>
        <v>-0.37842433206161968</v>
      </c>
    </row>
    <row r="552" spans="1:20" x14ac:dyDescent="0.25">
      <c r="A552" s="5">
        <v>44041</v>
      </c>
      <c r="B552">
        <v>3.0899999999999999E-3</v>
      </c>
      <c r="C552">
        <v>3.349E-3</v>
      </c>
      <c r="D552">
        <v>3.0019999999999999E-3</v>
      </c>
      <c r="E552">
        <v>3.1849999999999999E-3</v>
      </c>
      <c r="F552">
        <v>158517406</v>
      </c>
      <c r="G552">
        <v>0</v>
      </c>
      <c r="L552" t="s">
        <v>8</v>
      </c>
      <c r="M552" t="s">
        <v>7</v>
      </c>
      <c r="N552" t="s">
        <v>7</v>
      </c>
      <c r="P552">
        <f t="shared" si="984"/>
        <v>5.4755043227665459E-2</v>
      </c>
      <c r="Q552">
        <f t="shared" si="985"/>
        <v>8679627.417867396</v>
      </c>
      <c r="R552">
        <f t="shared" si="986"/>
        <v>-32076321.970868226</v>
      </c>
      <c r="S552">
        <f t="shared" si="987"/>
        <v>-320.76321970868224</v>
      </c>
      <c r="T552">
        <f t="shared" si="988"/>
        <v>-0.32076321970868227</v>
      </c>
    </row>
    <row r="553" spans="1:20" x14ac:dyDescent="0.25">
      <c r="A553" s="5">
        <v>44040</v>
      </c>
      <c r="B553">
        <v>3.0479999999999999E-3</v>
      </c>
      <c r="C553">
        <v>3.1519999999999999E-3</v>
      </c>
      <c r="D553">
        <v>2.8900000000000002E-3</v>
      </c>
      <c r="E553">
        <v>3.0899999999999999E-3</v>
      </c>
      <c r="F553">
        <v>191896174</v>
      </c>
      <c r="G553">
        <v>0</v>
      </c>
      <c r="L553" t="s">
        <v>7</v>
      </c>
      <c r="M553" t="s">
        <v>7</v>
      </c>
      <c r="N553" t="s">
        <v>7</v>
      </c>
      <c r="P553">
        <f t="shared" si="984"/>
        <v>0.52671755725190783</v>
      </c>
      <c r="Q553">
        <f t="shared" si="985"/>
        <v>101075084.01526707</v>
      </c>
      <c r="R553">
        <f t="shared" si="986"/>
        <v>-40755949.388735622</v>
      </c>
      <c r="S553">
        <f t="shared" si="987"/>
        <v>-407.55949388735621</v>
      </c>
      <c r="T553">
        <f t="shared" si="988"/>
        <v>-0.40755949388735624</v>
      </c>
    </row>
    <row r="554" spans="1:20" x14ac:dyDescent="0.25">
      <c r="A554" s="5">
        <v>44039</v>
      </c>
      <c r="B554">
        <v>3.1199999999999999E-3</v>
      </c>
      <c r="C554">
        <v>3.7000000000000002E-3</v>
      </c>
      <c r="D554">
        <v>2.882E-3</v>
      </c>
      <c r="E554">
        <v>3.0760000000000002E-3</v>
      </c>
      <c r="F554">
        <v>203362697</v>
      </c>
      <c r="G554">
        <v>0</v>
      </c>
      <c r="L554" t="s">
        <v>8</v>
      </c>
      <c r="M554" t="s">
        <v>7</v>
      </c>
      <c r="N554" t="s">
        <v>7</v>
      </c>
      <c r="P554">
        <f t="shared" si="984"/>
        <v>-0.52567237163814151</v>
      </c>
      <c r="Q554">
        <f t="shared" si="985"/>
        <v>-106902151.23471877</v>
      </c>
      <c r="R554">
        <f t="shared" si="986"/>
        <v>-141831033.4040027</v>
      </c>
      <c r="S554">
        <f t="shared" si="987"/>
        <v>-1418.3103340400269</v>
      </c>
      <c r="T554">
        <f t="shared" si="988"/>
        <v>-1.4183103340400269</v>
      </c>
    </row>
    <row r="555" spans="1:20" x14ac:dyDescent="0.25">
      <c r="A555" s="5">
        <v>44038</v>
      </c>
      <c r="B555">
        <v>3.1510000000000002E-3</v>
      </c>
      <c r="C555">
        <v>3.1970000000000002E-3</v>
      </c>
      <c r="D555">
        <v>3.0869999999999999E-3</v>
      </c>
      <c r="E555">
        <v>3.1359999999999999E-3</v>
      </c>
      <c r="F555">
        <v>57609957</v>
      </c>
      <c r="G555">
        <v>0</v>
      </c>
      <c r="L555" t="s">
        <v>8</v>
      </c>
      <c r="M555" t="s">
        <v>7</v>
      </c>
      <c r="N555" t="s">
        <v>8</v>
      </c>
      <c r="P555">
        <f t="shared" si="984"/>
        <v>-0.10909090909091146</v>
      </c>
      <c r="Q555">
        <f t="shared" si="985"/>
        <v>-6284722.581818318</v>
      </c>
      <c r="R555">
        <f t="shared" si="986"/>
        <v>-34928882.169283934</v>
      </c>
      <c r="S555">
        <f t="shared" si="987"/>
        <v>-349.28882169283935</v>
      </c>
      <c r="T555">
        <f t="shared" si="988"/>
        <v>-0.34928882169283937</v>
      </c>
    </row>
    <row r="556" spans="1:20" x14ac:dyDescent="0.25">
      <c r="A556" s="5">
        <v>44037</v>
      </c>
      <c r="B556">
        <v>3.1580000000000002E-3</v>
      </c>
      <c r="C556">
        <v>3.29E-3</v>
      </c>
      <c r="D556">
        <v>3.0850000000000001E-3</v>
      </c>
      <c r="E556">
        <v>3.1410000000000001E-3</v>
      </c>
      <c r="F556">
        <v>97168025</v>
      </c>
      <c r="G556">
        <v>0</v>
      </c>
      <c r="L556" t="s">
        <v>8</v>
      </c>
      <c r="M556" t="s">
        <v>7</v>
      </c>
      <c r="N556" t="s">
        <v>8</v>
      </c>
      <c r="P556">
        <f t="shared" si="984"/>
        <v>-0.45365853658536498</v>
      </c>
      <c r="Q556">
        <f t="shared" si="985"/>
        <v>-44081104.024390161</v>
      </c>
      <c r="R556">
        <f t="shared" si="986"/>
        <v>-28644159.587465618</v>
      </c>
      <c r="S556">
        <f t="shared" si="987"/>
        <v>-286.44159587465617</v>
      </c>
      <c r="T556">
        <f t="shared" si="988"/>
        <v>-0.28644159587465617</v>
      </c>
    </row>
    <row r="557" spans="1:20" x14ac:dyDescent="0.25">
      <c r="A557" s="5">
        <v>44036</v>
      </c>
      <c r="B557">
        <v>3.241E-3</v>
      </c>
      <c r="C557">
        <v>3.2699999999999999E-3</v>
      </c>
      <c r="D557">
        <v>3.019E-3</v>
      </c>
      <c r="E557">
        <v>3.1459999999999999E-3</v>
      </c>
      <c r="F557">
        <v>140111265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1.1952191235059624E-2</v>
      </c>
      <c r="Q557">
        <f t="shared" si="985"/>
        <v>1674636.6334661162</v>
      </c>
      <c r="R557">
        <f t="shared" si="986"/>
        <v>15436944.436924543</v>
      </c>
      <c r="S557">
        <f t="shared" si="987"/>
        <v>154.36944436924543</v>
      </c>
      <c r="T557">
        <f t="shared" si="988"/>
        <v>0.15436944436924543</v>
      </c>
    </row>
    <row r="558" spans="1:20" x14ac:dyDescent="0.25">
      <c r="A558" s="5">
        <v>44035</v>
      </c>
      <c r="B558">
        <v>3.2980000000000002E-3</v>
      </c>
      <c r="C558">
        <v>3.3119999999999998E-3</v>
      </c>
      <c r="D558">
        <v>3.2000000000000002E-3</v>
      </c>
      <c r="E558">
        <v>3.241E-3</v>
      </c>
      <c r="F558">
        <v>78652269</v>
      </c>
      <c r="G558">
        <v>0</v>
      </c>
      <c r="L558" t="s">
        <v>7</v>
      </c>
      <c r="M558" t="s">
        <v>7</v>
      </c>
      <c r="N558" t="s">
        <v>8</v>
      </c>
      <c r="P558">
        <f t="shared" si="984"/>
        <v>-0.26785714285714429</v>
      </c>
      <c r="Q558">
        <f t="shared" si="985"/>
        <v>-21067572.053571541</v>
      </c>
      <c r="R558">
        <f t="shared" si="986"/>
        <v>13762307.803458426</v>
      </c>
      <c r="S558">
        <f t="shared" si="987"/>
        <v>137.62307803458427</v>
      </c>
      <c r="T558">
        <f t="shared" si="988"/>
        <v>0.13762307803458426</v>
      </c>
    </row>
    <row r="559" spans="1:20" x14ac:dyDescent="0.25">
      <c r="A559" s="5">
        <v>44034</v>
      </c>
      <c r="B559">
        <v>3.2880000000000001E-3</v>
      </c>
      <c r="C559">
        <v>3.3189999999999999E-3</v>
      </c>
      <c r="D559">
        <v>3.2269999999999998E-3</v>
      </c>
      <c r="E559">
        <v>3.2980000000000002E-3</v>
      </c>
      <c r="F559">
        <v>109373217</v>
      </c>
      <c r="G559">
        <v>0</v>
      </c>
      <c r="L559" t="s">
        <v>7</v>
      </c>
      <c r="M559" t="s">
        <v>7</v>
      </c>
      <c r="N559" t="s">
        <v>8</v>
      </c>
      <c r="P559">
        <f t="shared" si="984"/>
        <v>0.54347826086957096</v>
      </c>
      <c r="Q559">
        <f t="shared" si="985"/>
        <v>59441965.760870196</v>
      </c>
      <c r="R559">
        <f t="shared" si="986"/>
        <v>34829879.857029967</v>
      </c>
      <c r="S559">
        <f t="shared" si="987"/>
        <v>348.29879857029965</v>
      </c>
      <c r="T559">
        <f t="shared" si="988"/>
        <v>0.34829879857029966</v>
      </c>
    </row>
    <row r="560" spans="1:20" x14ac:dyDescent="0.25">
      <c r="A560" s="5">
        <v>44033</v>
      </c>
      <c r="B560">
        <v>3.356E-3</v>
      </c>
      <c r="C560">
        <v>3.4039999999999999E-3</v>
      </c>
      <c r="D560">
        <v>3.2690000000000002E-3</v>
      </c>
      <c r="E560">
        <v>3.2880000000000001E-3</v>
      </c>
      <c r="F560">
        <v>78037787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-0.71851851851851911</v>
      </c>
      <c r="Q560">
        <f t="shared" si="985"/>
        <v>-56071595.103703752</v>
      </c>
      <c r="R560">
        <f t="shared" si="986"/>
        <v>-24612085.903840229</v>
      </c>
      <c r="S560">
        <f t="shared" si="987"/>
        <v>-246.1208590384023</v>
      </c>
      <c r="T560">
        <f t="shared" si="988"/>
        <v>-0.24612085903840231</v>
      </c>
    </row>
    <row r="561" spans="1:104" x14ac:dyDescent="0.25">
      <c r="A561" s="5">
        <v>44032</v>
      </c>
      <c r="B561">
        <v>3.4069999999999999E-3</v>
      </c>
      <c r="C561">
        <v>3.4399999999999999E-3</v>
      </c>
      <c r="D561">
        <v>3.3210000000000002E-3</v>
      </c>
      <c r="E561">
        <v>3.356E-3</v>
      </c>
      <c r="F561">
        <v>76165900</v>
      </c>
      <c r="G561">
        <v>0</v>
      </c>
      <c r="L561" t="s">
        <v>8</v>
      </c>
      <c r="M561" t="s">
        <v>7</v>
      </c>
      <c r="N561" t="s">
        <v>8</v>
      </c>
      <c r="P561">
        <f t="shared" si="984"/>
        <v>-0.41176470588235381</v>
      </c>
      <c r="Q561">
        <f t="shared" si="985"/>
        <v>-31362429.411764771</v>
      </c>
      <c r="R561">
        <f t="shared" si="986"/>
        <v>31459509.199863523</v>
      </c>
      <c r="S561">
        <f t="shared" si="987"/>
        <v>314.59509199863521</v>
      </c>
      <c r="T561">
        <f t="shared" si="988"/>
        <v>0.31459509199863522</v>
      </c>
      <c r="CZ561" t="s">
        <v>7</v>
      </c>
    </row>
    <row r="562" spans="1:104" x14ac:dyDescent="0.25">
      <c r="A562" s="5">
        <v>44031</v>
      </c>
      <c r="B562">
        <v>3.4619999999999998E-3</v>
      </c>
      <c r="C562">
        <v>3.529E-3</v>
      </c>
      <c r="D562">
        <v>3.349E-3</v>
      </c>
      <c r="E562">
        <v>3.405E-3</v>
      </c>
      <c r="F562">
        <v>65374912</v>
      </c>
      <c r="G562">
        <v>0</v>
      </c>
      <c r="L562" t="s">
        <v>8</v>
      </c>
      <c r="M562" t="s">
        <v>7</v>
      </c>
      <c r="N562" t="s">
        <v>8</v>
      </c>
      <c r="P562">
        <f t="shared" si="984"/>
        <v>-0.37777777777777727</v>
      </c>
      <c r="Q562">
        <f t="shared" si="985"/>
        <v>-24697188.977777746</v>
      </c>
      <c r="R562">
        <f t="shared" si="986"/>
        <v>62821938.611628294</v>
      </c>
      <c r="S562">
        <f t="shared" si="987"/>
        <v>628.21938611628298</v>
      </c>
      <c r="T562">
        <f t="shared" si="988"/>
        <v>0.62821938611628303</v>
      </c>
      <c r="CZ562" t="s">
        <v>7</v>
      </c>
    </row>
    <row r="563" spans="1:104" x14ac:dyDescent="0.25">
      <c r="A563" s="5">
        <v>44030</v>
      </c>
      <c r="B563">
        <v>3.3040000000000001E-3</v>
      </c>
      <c r="C563">
        <v>3.5370000000000002E-3</v>
      </c>
      <c r="D563">
        <v>3.2690000000000002E-3</v>
      </c>
      <c r="E563">
        <v>3.457E-3</v>
      </c>
      <c r="F563">
        <v>102849076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0.40298507462686411</v>
      </c>
      <c r="Q563">
        <f t="shared" si="985"/>
        <v>41446642.567164019</v>
      </c>
      <c r="R563">
        <f t="shared" si="986"/>
        <v>87519127.589406043</v>
      </c>
      <c r="S563">
        <f t="shared" si="987"/>
        <v>875.19127589406048</v>
      </c>
      <c r="T563">
        <f t="shared" si="988"/>
        <v>0.87519127589406043</v>
      </c>
      <c r="CZ563" t="s">
        <v>7</v>
      </c>
    </row>
    <row r="564" spans="1:104" x14ac:dyDescent="0.25">
      <c r="A564" s="5">
        <v>44029</v>
      </c>
      <c r="B564">
        <v>3.3370000000000001E-3</v>
      </c>
      <c r="C564">
        <v>3.3890000000000001E-3</v>
      </c>
      <c r="D564">
        <v>3.2669999999999999E-3</v>
      </c>
      <c r="E564">
        <v>3.3040000000000001E-3</v>
      </c>
      <c r="F564">
        <v>51934250</v>
      </c>
      <c r="G564">
        <v>0</v>
      </c>
      <c r="L564" t="s">
        <v>7</v>
      </c>
      <c r="M564" t="s">
        <v>7</v>
      </c>
      <c r="N564" t="s">
        <v>8</v>
      </c>
      <c r="P564">
        <f t="shared" si="984"/>
        <v>-0.39344262295081811</v>
      </c>
      <c r="Q564">
        <f t="shared" si="985"/>
        <v>-20433147.540983524</v>
      </c>
      <c r="R564">
        <f t="shared" si="986"/>
        <v>46072485.022242025</v>
      </c>
      <c r="S564">
        <f t="shared" si="987"/>
        <v>460.72485022242023</v>
      </c>
      <c r="T564">
        <f t="shared" si="988"/>
        <v>0.46072485022242021</v>
      </c>
    </row>
    <row r="565" spans="1:104" x14ac:dyDescent="0.25">
      <c r="A565" s="5">
        <v>44028</v>
      </c>
      <c r="B565">
        <v>3.4810000000000002E-3</v>
      </c>
      <c r="C565">
        <v>3.715E-3</v>
      </c>
      <c r="D565">
        <v>3.1900000000000001E-3</v>
      </c>
      <c r="E565">
        <v>3.3379999999999998E-3</v>
      </c>
      <c r="F565">
        <v>145930631</v>
      </c>
      <c r="G565">
        <v>0</v>
      </c>
      <c r="L565" t="s">
        <v>8</v>
      </c>
      <c r="M565" t="s">
        <v>7</v>
      </c>
      <c r="N565" t="s">
        <v>8</v>
      </c>
      <c r="P565">
        <f t="shared" si="984"/>
        <v>-0.43619047619047718</v>
      </c>
      <c r="Q565">
        <f t="shared" si="985"/>
        <v>-63653551.426666811</v>
      </c>
      <c r="R565">
        <f t="shared" si="986"/>
        <v>66505632.563225552</v>
      </c>
      <c r="S565">
        <f t="shared" si="987"/>
        <v>665.05632563225549</v>
      </c>
      <c r="T565">
        <f t="shared" si="988"/>
        <v>0.66505632563225547</v>
      </c>
    </row>
    <row r="566" spans="1:104" x14ac:dyDescent="0.25">
      <c r="A566" s="5">
        <v>44027</v>
      </c>
      <c r="B566">
        <v>3.3289999999999999E-3</v>
      </c>
      <c r="C566">
        <v>3.545E-3</v>
      </c>
      <c r="D566">
        <v>3.3289999999999999E-3</v>
      </c>
      <c r="E566">
        <v>3.4749999999999998E-3</v>
      </c>
      <c r="F566">
        <v>105798453</v>
      </c>
      <c r="G566">
        <v>0</v>
      </c>
      <c r="L566" t="s">
        <v>8</v>
      </c>
      <c r="M566" t="s">
        <v>7</v>
      </c>
      <c r="N566" t="s">
        <v>8</v>
      </c>
      <c r="P566">
        <f t="shared" si="984"/>
        <v>0.35185185185185031</v>
      </c>
      <c r="Q566">
        <f t="shared" si="985"/>
        <v>37225381.611110948</v>
      </c>
      <c r="R566">
        <f t="shared" si="986"/>
        <v>130159183.98989236</v>
      </c>
      <c r="S566">
        <f t="shared" si="987"/>
        <v>1301.5918398989236</v>
      </c>
      <c r="T566">
        <f t="shared" si="988"/>
        <v>1.3015918398989237</v>
      </c>
    </row>
    <row r="567" spans="1:104" x14ac:dyDescent="0.25">
      <c r="A567" s="5">
        <v>44026</v>
      </c>
      <c r="B567">
        <v>3.3419999999999999E-3</v>
      </c>
      <c r="C567">
        <v>3.4870000000000001E-3</v>
      </c>
      <c r="D567">
        <v>3.2529999999999998E-3</v>
      </c>
      <c r="E567">
        <v>3.3289999999999999E-3</v>
      </c>
      <c r="F567">
        <v>72144595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-0.35042735042735018</v>
      </c>
      <c r="Q567">
        <f t="shared" si="985"/>
        <v>-25281439.273504257</v>
      </c>
      <c r="R567">
        <f t="shared" si="986"/>
        <v>92933802.378781423</v>
      </c>
      <c r="S567">
        <f t="shared" si="987"/>
        <v>929.33802378781422</v>
      </c>
      <c r="T567">
        <f t="shared" si="988"/>
        <v>0.92933802378781427</v>
      </c>
    </row>
    <row r="568" spans="1:104" x14ac:dyDescent="0.25">
      <c r="A568" s="5">
        <v>44025</v>
      </c>
      <c r="B568">
        <v>3.4810000000000002E-3</v>
      </c>
      <c r="C568">
        <v>3.532E-3</v>
      </c>
      <c r="D568">
        <v>3.333E-3</v>
      </c>
      <c r="E568">
        <v>3.3479999999999998E-3</v>
      </c>
      <c r="F568">
        <v>112486413</v>
      </c>
      <c r="G568">
        <v>0</v>
      </c>
      <c r="L568" t="s">
        <v>8</v>
      </c>
      <c r="M568" t="s">
        <v>7</v>
      </c>
      <c r="N568" t="s">
        <v>8</v>
      </c>
      <c r="P568">
        <f t="shared" si="984"/>
        <v>-0.84924623115578068</v>
      </c>
      <c r="Q568">
        <f t="shared" si="985"/>
        <v>-95528662.296482608</v>
      </c>
      <c r="R568">
        <f t="shared" si="986"/>
        <v>118215241.65228568</v>
      </c>
      <c r="S568">
        <f t="shared" si="987"/>
        <v>1182.1524165228568</v>
      </c>
      <c r="T568">
        <f t="shared" si="988"/>
        <v>1.1821524165228567</v>
      </c>
    </row>
    <row r="569" spans="1:104" x14ac:dyDescent="0.25">
      <c r="A569" s="5">
        <v>44024</v>
      </c>
      <c r="B569">
        <v>3.519E-3</v>
      </c>
      <c r="C569">
        <v>3.5950000000000001E-3</v>
      </c>
      <c r="D569">
        <v>3.2499999999999999E-3</v>
      </c>
      <c r="E569">
        <v>3.4810000000000002E-3</v>
      </c>
      <c r="F569">
        <v>99774260</v>
      </c>
      <c r="G569">
        <v>0</v>
      </c>
      <c r="L569" t="s">
        <v>7</v>
      </c>
      <c r="M569" t="s">
        <v>7</v>
      </c>
      <c r="N569" t="s">
        <v>8</v>
      </c>
      <c r="P569">
        <f t="shared" si="984"/>
        <v>0.33913043478260946</v>
      </c>
      <c r="Q569">
        <f t="shared" si="985"/>
        <v>33836488.173913121</v>
      </c>
      <c r="R569">
        <f t="shared" si="986"/>
        <v>213743903.94876829</v>
      </c>
      <c r="S569">
        <f t="shared" si="987"/>
        <v>2137.4390394876827</v>
      </c>
      <c r="T569">
        <f t="shared" si="988"/>
        <v>2.1374390394876825</v>
      </c>
    </row>
    <row r="570" spans="1:104" x14ac:dyDescent="0.25">
      <c r="A570" s="5">
        <v>44023</v>
      </c>
      <c r="B570">
        <v>3.3930000000000002E-3</v>
      </c>
      <c r="C570">
        <v>3.8500000000000001E-3</v>
      </c>
      <c r="D570">
        <v>3.3110000000000001E-3</v>
      </c>
      <c r="E570">
        <v>3.5230000000000001E-3</v>
      </c>
      <c r="F570">
        <v>125219188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-0.21335807050092781</v>
      </c>
      <c r="Q570">
        <f t="shared" si="985"/>
        <v>-26716524.341372933</v>
      </c>
      <c r="R570">
        <f t="shared" si="986"/>
        <v>179907415.77485517</v>
      </c>
      <c r="S570">
        <f t="shared" si="987"/>
        <v>1799.0741577485517</v>
      </c>
      <c r="T570">
        <f t="shared" si="988"/>
        <v>1.7990741577485516</v>
      </c>
    </row>
    <row r="571" spans="1:104" x14ac:dyDescent="0.25">
      <c r="A571" s="5">
        <v>44022</v>
      </c>
      <c r="B571">
        <v>3.5609999999999999E-3</v>
      </c>
      <c r="C571">
        <v>3.5609999999999999E-3</v>
      </c>
      <c r="D571">
        <v>3.1900000000000001E-3</v>
      </c>
      <c r="E571">
        <v>3.3809999999999999E-3</v>
      </c>
      <c r="F571">
        <v>198208720</v>
      </c>
      <c r="G571">
        <v>0</v>
      </c>
      <c r="L571" t="s">
        <v>7</v>
      </c>
      <c r="M571" t="s">
        <v>7</v>
      </c>
      <c r="N571" t="s">
        <v>8</v>
      </c>
      <c r="P571">
        <f t="shared" si="984"/>
        <v>2.9649595687330811E-2</v>
      </c>
      <c r="Q571">
        <f t="shared" si="985"/>
        <v>5876808.4097033599</v>
      </c>
      <c r="R571">
        <f t="shared" si="986"/>
        <v>206623940.1162281</v>
      </c>
      <c r="S571">
        <f t="shared" si="987"/>
        <v>2066.239401162281</v>
      </c>
      <c r="T571">
        <f t="shared" si="988"/>
        <v>2.0662394011622811</v>
      </c>
    </row>
    <row r="572" spans="1:104" x14ac:dyDescent="0.25">
      <c r="A572" s="5">
        <v>44021</v>
      </c>
      <c r="B572">
        <v>3.9300000000000003E-3</v>
      </c>
      <c r="C572">
        <v>4.0000000000000001E-3</v>
      </c>
      <c r="D572">
        <v>3.336E-3</v>
      </c>
      <c r="E572">
        <v>3.5669999999999999E-3</v>
      </c>
      <c r="F572">
        <v>378145962</v>
      </c>
      <c r="G572">
        <v>0</v>
      </c>
      <c r="L572" t="s">
        <v>7</v>
      </c>
      <c r="M572" t="s">
        <v>7</v>
      </c>
      <c r="N572" t="s">
        <v>8</v>
      </c>
      <c r="P572">
        <f t="shared" si="984"/>
        <v>-0.30421686746988003</v>
      </c>
      <c r="Q572">
        <f t="shared" si="985"/>
        <v>-115038380.00602429</v>
      </c>
      <c r="R572">
        <f t="shared" si="986"/>
        <v>200747131.70652473</v>
      </c>
      <c r="S572">
        <f t="shared" si="987"/>
        <v>2007.4713170652474</v>
      </c>
      <c r="T572">
        <f t="shared" si="988"/>
        <v>2.0074713170652472</v>
      </c>
    </row>
    <row r="573" spans="1:104" x14ac:dyDescent="0.25">
      <c r="A573" s="5">
        <v>44020</v>
      </c>
      <c r="B573">
        <v>3.0829999999999998E-3</v>
      </c>
      <c r="C573">
        <v>4.1900000000000001E-3</v>
      </c>
      <c r="D573">
        <v>3.0400000000000002E-3</v>
      </c>
      <c r="E573">
        <v>3.9249999999999997E-3</v>
      </c>
      <c r="F573">
        <v>637228419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0.5391304347826078</v>
      </c>
      <c r="Q573">
        <f t="shared" si="985"/>
        <v>343549234.59130377</v>
      </c>
      <c r="R573">
        <f t="shared" si="986"/>
        <v>315785511.71254903</v>
      </c>
      <c r="S573">
        <f t="shared" si="987"/>
        <v>3157.8551171254903</v>
      </c>
      <c r="T573">
        <f t="shared" si="988"/>
        <v>3.1578551171254903</v>
      </c>
    </row>
    <row r="574" spans="1:104" x14ac:dyDescent="0.25">
      <c r="A574" s="5">
        <v>44019</v>
      </c>
      <c r="B574">
        <v>2.9989999999999999E-3</v>
      </c>
      <c r="C574">
        <v>3.2669999999999999E-3</v>
      </c>
      <c r="D574">
        <v>2.9399999999999999E-3</v>
      </c>
      <c r="E574">
        <v>3.0829999999999998E-3</v>
      </c>
      <c r="F574">
        <v>62345639</v>
      </c>
      <c r="G574">
        <v>0</v>
      </c>
      <c r="L574" t="s">
        <v>7</v>
      </c>
      <c r="M574" t="s">
        <v>7</v>
      </c>
      <c r="N574" t="s">
        <v>7</v>
      </c>
      <c r="P574">
        <f t="shared" si="984"/>
        <v>-0.12538226299694261</v>
      </c>
      <c r="Q574">
        <f t="shared" si="985"/>
        <v>-7817037.3058104422</v>
      </c>
      <c r="R574">
        <f t="shared" si="986"/>
        <v>-27763722.87875475</v>
      </c>
      <c r="S574">
        <f t="shared" si="987"/>
        <v>-277.63722878754749</v>
      </c>
      <c r="T574">
        <f t="shared" si="988"/>
        <v>-0.27763722878754749</v>
      </c>
    </row>
    <row r="575" spans="1:104" x14ac:dyDescent="0.25">
      <c r="A575" s="5">
        <v>44018</v>
      </c>
      <c r="B575">
        <v>2.977E-3</v>
      </c>
      <c r="C575">
        <v>3.2499999999999999E-3</v>
      </c>
      <c r="D575">
        <v>2.8730000000000001E-3</v>
      </c>
      <c r="E575">
        <v>3.006E-3</v>
      </c>
      <c r="F575">
        <v>67746851</v>
      </c>
      <c r="G575">
        <v>0</v>
      </c>
      <c r="P575">
        <f t="shared" si="984"/>
        <v>-0.29442970822281184</v>
      </c>
      <c r="Q575">
        <f t="shared" si="985"/>
        <v>-19946685.57294431</v>
      </c>
      <c r="R575">
        <f t="shared" si="986"/>
        <v>-19946685.57294431</v>
      </c>
      <c r="S575">
        <f t="shared" si="987"/>
        <v>-199.4668557294431</v>
      </c>
      <c r="T575">
        <f t="shared" si="988"/>
        <v>-0.19946685572944309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P822" sqref="JP822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$A$821</v>
      </c>
      <c r="D111" s="1" t="str">
        <f>ADDRESS(C121-1,D121,1,1)</f>
        <v>$JP$821</v>
      </c>
      <c r="E111"/>
    </row>
    <row r="112" spans="1:5" x14ac:dyDescent="0.25">
      <c r="A112" s="7">
        <v>12164.144957890772</v>
      </c>
      <c r="C112" s="1" t="str">
        <f>ADDRESS(C121,1,1,1)</f>
        <v>$A$822</v>
      </c>
      <c r="D112" s="1" t="str">
        <f>ADDRESS(C121,D121-1,1,1)</f>
        <v>$JO$822</v>
      </c>
      <c r="E112"/>
    </row>
    <row r="113" spans="1:5" x14ac:dyDescent="0.25">
      <c r="A113" s="7">
        <v>11925.63231165762</v>
      </c>
      <c r="C113" s="1" t="str">
        <f>ADDRESS(C121+1,1,1,1)</f>
        <v>$A$823</v>
      </c>
      <c r="D113" s="1" t="str">
        <f>ADDRESS(C121-1,D121+1,1,1)</f>
        <v>$JQ$821</v>
      </c>
    </row>
    <row r="114" spans="1:5" x14ac:dyDescent="0.25">
      <c r="A114" s="7">
        <v>11691.796383978059</v>
      </c>
      <c r="C114" s="1" t="str">
        <f>ADDRESS(C121,D121,1,1)</f>
        <v>$JP$822</v>
      </c>
      <c r="D114" s="1" t="str">
        <f>ADDRESS(C121+1,D121+1,1,1)</f>
        <v>$JQ$823</v>
      </c>
    </row>
    <row r="115" spans="1:5" x14ac:dyDescent="0.25">
      <c r="A115" s="7">
        <v>11462.545474488292</v>
      </c>
      <c r="C115" s="1" t="str">
        <f>ADDRESS(C121+1,D121,1,1)</f>
        <v>$JP$823</v>
      </c>
    </row>
    <row r="116" spans="1:5" x14ac:dyDescent="0.25">
      <c r="A116" s="7">
        <v>11237.789680870874</v>
      </c>
      <c r="C116" s="1">
        <f>C117-1</f>
        <v>821</v>
      </c>
    </row>
    <row r="117" spans="1:5" x14ac:dyDescent="0.25">
      <c r="A117" s="7">
        <v>11017.440863598895</v>
      </c>
      <c r="C117" s="1">
        <f>C121</f>
        <v>822</v>
      </c>
      <c r="D117" s="1">
        <f>D121</f>
        <v>276</v>
      </c>
    </row>
    <row r="118" spans="1:5" x14ac:dyDescent="0.25">
      <c r="A118" s="7">
        <v>10801.412611371465</v>
      </c>
      <c r="C118" s="1">
        <f>C117+1</f>
        <v>823</v>
      </c>
      <c r="D118" s="1">
        <f>D117+1</f>
        <v>277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822</v>
      </c>
      <c r="D121" s="19">
        <v>276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R822</v>
      </c>
      <c r="D123" s="1" t="str">
        <f>"C"&amp;D121</f>
        <v>C276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9.5270761368039299E-3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134" x14ac:dyDescent="0.25">
      <c r="A721" s="7">
        <v>7.0400701055846782E-2</v>
      </c>
      <c r="B721"/>
      <c r="C721"/>
      <c r="D721"/>
      <c r="E721"/>
      <c r="F721" s="27" t="s">
        <v>7</v>
      </c>
    </row>
    <row r="722" spans="1:134" x14ac:dyDescent="0.25">
      <c r="A722" s="7">
        <v>6.9020295152790956E-2</v>
      </c>
      <c r="B722"/>
      <c r="C722"/>
      <c r="D722"/>
      <c r="E722"/>
      <c r="F722" s="27" t="s">
        <v>7</v>
      </c>
    </row>
    <row r="723" spans="1:134" x14ac:dyDescent="0.25">
      <c r="A723" s="7">
        <v>6.7666956032147993E-2</v>
      </c>
      <c r="B723"/>
      <c r="C723"/>
      <c r="D723"/>
      <c r="E723"/>
      <c r="F723" s="27" t="s">
        <v>7</v>
      </c>
    </row>
    <row r="724" spans="1:134" x14ac:dyDescent="0.25">
      <c r="A724" s="7">
        <v>6.6340152972694105E-2</v>
      </c>
      <c r="B724"/>
      <c r="C724"/>
      <c r="D724"/>
      <c r="E724"/>
      <c r="F724" s="27" t="s">
        <v>7</v>
      </c>
    </row>
    <row r="725" spans="1:134" x14ac:dyDescent="0.25">
      <c r="A725" s="7">
        <v>6.5039365659504023E-2</v>
      </c>
      <c r="B725"/>
      <c r="C725"/>
      <c r="D725"/>
      <c r="E725"/>
      <c r="F725" s="27" t="s">
        <v>7</v>
      </c>
    </row>
    <row r="726" spans="1:134" x14ac:dyDescent="0.25">
      <c r="A726" s="7">
        <v>6.3764083979905906E-2</v>
      </c>
      <c r="B726"/>
      <c r="C726"/>
      <c r="D726"/>
      <c r="E726"/>
      <c r="F726" s="27" t="s">
        <v>7</v>
      </c>
      <c r="EC726" s="27" t="s">
        <v>8</v>
      </c>
    </row>
    <row r="727" spans="1:134" x14ac:dyDescent="0.25">
      <c r="A727" s="7">
        <v>6.251380782343717E-2</v>
      </c>
      <c r="B727"/>
      <c r="C727"/>
      <c r="D727"/>
      <c r="E727"/>
      <c r="F727" s="27" t="s">
        <v>7</v>
      </c>
      <c r="EC727" s="27" t="s">
        <v>8</v>
      </c>
      <c r="ED727" s="27" t="s">
        <v>7</v>
      </c>
    </row>
    <row r="728" spans="1:134" x14ac:dyDescent="0.25">
      <c r="A728" s="7">
        <v>6.1288046885722716E-2</v>
      </c>
      <c r="B728"/>
      <c r="C728"/>
      <c r="D728"/>
      <c r="E728"/>
      <c r="F728" s="27" t="s">
        <v>7</v>
      </c>
      <c r="EC728" s="27" t="s">
        <v>8</v>
      </c>
      <c r="ED728" s="27" t="s">
        <v>7</v>
      </c>
    </row>
    <row r="729" spans="1:134" x14ac:dyDescent="0.25">
      <c r="A729" s="7">
        <v>6.0086320476198739E-2</v>
      </c>
      <c r="B729"/>
      <c r="C729"/>
      <c r="D729"/>
      <c r="E729"/>
      <c r="F729" s="27" t="s">
        <v>7</v>
      </c>
      <c r="EC729" s="27" t="s">
        <v>8</v>
      </c>
      <c r="ED729" s="27" t="s">
        <v>7</v>
      </c>
    </row>
    <row r="730" spans="1:134" x14ac:dyDescent="0.25">
      <c r="A730" s="7">
        <v>5.8908157329606609E-2</v>
      </c>
      <c r="B730"/>
      <c r="C730"/>
      <c r="D730"/>
      <c r="E730"/>
      <c r="F730" s="27" t="s">
        <v>7</v>
      </c>
      <c r="EC730" s="27" t="s">
        <v>8</v>
      </c>
      <c r="ED730" s="27" t="s">
        <v>7</v>
      </c>
    </row>
    <row r="731" spans="1:134" x14ac:dyDescent="0.25">
      <c r="A731" s="7">
        <v>5.7753095421182947E-2</v>
      </c>
      <c r="B731"/>
      <c r="C731"/>
      <c r="D731"/>
      <c r="E731"/>
      <c r="F731" s="27" t="s">
        <v>7</v>
      </c>
      <c r="EC731" s="27" t="s">
        <v>8</v>
      </c>
      <c r="ED731" s="27" t="s">
        <v>7</v>
      </c>
    </row>
    <row r="732" spans="1:134" x14ac:dyDescent="0.25">
      <c r="A732" s="7">
        <v>5.6620681785473484E-2</v>
      </c>
      <c r="B732"/>
      <c r="C732"/>
      <c r="D732"/>
      <c r="E732"/>
      <c r="F732" s="27" t="s">
        <v>7</v>
      </c>
      <c r="EC732" s="27" t="s">
        <v>8</v>
      </c>
      <c r="ED732" s="27" t="s">
        <v>7</v>
      </c>
    </row>
    <row r="733" spans="1:134" x14ac:dyDescent="0.25">
      <c r="A733" s="7">
        <v>5.5510472338699497E-2</v>
      </c>
      <c r="B733"/>
      <c r="C733"/>
      <c r="D733"/>
      <c r="E733"/>
      <c r="F733" s="27" t="s">
        <v>7</v>
      </c>
      <c r="EC733" s="27" t="s">
        <v>8</v>
      </c>
      <c r="ED733" s="27" t="s">
        <v>7</v>
      </c>
    </row>
    <row r="734" spans="1:134" x14ac:dyDescent="0.25">
      <c r="A734" s="7">
        <v>5.4422031704607354E-2</v>
      </c>
      <c r="B734"/>
      <c r="C734"/>
      <c r="D734"/>
      <c r="E734"/>
      <c r="F734" s="27" t="s">
        <v>7</v>
      </c>
      <c r="EC734" s="27" t="s">
        <v>8</v>
      </c>
      <c r="ED734" s="27" t="s">
        <v>7</v>
      </c>
    </row>
    <row r="735" spans="1:134" x14ac:dyDescent="0.25">
      <c r="A735" s="7">
        <v>5.3354933043732705E-2</v>
      </c>
      <c r="B735"/>
      <c r="C735"/>
      <c r="D735"/>
      <c r="E735"/>
      <c r="F735" s="27" t="s">
        <v>7</v>
      </c>
      <c r="EC735" s="27" t="s">
        <v>8</v>
      </c>
      <c r="ED735" s="27" t="s">
        <v>7</v>
      </c>
    </row>
    <row r="736" spans="1:134" x14ac:dyDescent="0.25">
      <c r="A736" s="7">
        <v>5.2308757886012455E-2</v>
      </c>
      <c r="B736"/>
      <c r="C736"/>
      <c r="D736"/>
      <c r="E736"/>
      <c r="F736" s="27" t="s">
        <v>7</v>
      </c>
      <c r="EC736" s="27" t="s">
        <v>8</v>
      </c>
      <c r="ED736" s="27" t="s">
        <v>7</v>
      </c>
    </row>
    <row r="737" spans="1:149" x14ac:dyDescent="0.25">
      <c r="A737" s="7">
        <v>5.1283095966678877E-2</v>
      </c>
      <c r="B737"/>
      <c r="C737"/>
      <c r="D737"/>
      <c r="E737"/>
      <c r="F737" s="27" t="s">
        <v>7</v>
      </c>
      <c r="EC737" s="27" t="s">
        <v>8</v>
      </c>
      <c r="ED737" s="27" t="s">
        <v>7</v>
      </c>
    </row>
    <row r="738" spans="1:149" x14ac:dyDescent="0.25">
      <c r="A738" s="7">
        <v>5.0277545065371444E-2</v>
      </c>
      <c r="B738"/>
      <c r="C738"/>
      <c r="D738"/>
      <c r="E738"/>
      <c r="F738" s="27" t="s">
        <v>7</v>
      </c>
      <c r="EC738" s="27" t="s">
        <v>8</v>
      </c>
      <c r="ED738" s="27" t="s">
        <v>7</v>
      </c>
    </row>
    <row r="739" spans="1:149" x14ac:dyDescent="0.25">
      <c r="A739" s="7">
        <v>4.9291710848403378E-2</v>
      </c>
      <c r="B739"/>
      <c r="C739"/>
      <c r="D739"/>
      <c r="E739"/>
      <c r="F739" s="27" t="s">
        <v>7</v>
      </c>
      <c r="EC739" s="27" t="s">
        <v>8</v>
      </c>
      <c r="ED739" s="27" t="s">
        <v>7</v>
      </c>
      <c r="EE739" s="27" t="s">
        <v>8</v>
      </c>
    </row>
    <row r="740" spans="1:149" x14ac:dyDescent="0.25">
      <c r="A740" s="7">
        <v>4.8325206714120959E-2</v>
      </c>
      <c r="B740"/>
      <c r="C740"/>
      <c r="D740"/>
      <c r="E740"/>
      <c r="F740" s="27" t="s">
        <v>7</v>
      </c>
      <c r="EC740" s="27" t="s">
        <v>8</v>
      </c>
      <c r="ED740" s="27" t="s">
        <v>7</v>
      </c>
      <c r="EE740" s="27" t="s">
        <v>8</v>
      </c>
      <c r="EF740" s="27" t="s">
        <v>7</v>
      </c>
    </row>
    <row r="741" spans="1:149" x14ac:dyDescent="0.25">
      <c r="A741" s="7">
        <v>4.7377653641295057E-2</v>
      </c>
      <c r="B741"/>
      <c r="C741"/>
      <c r="D741"/>
      <c r="E741"/>
      <c r="F741" s="27" t="s">
        <v>7</v>
      </c>
      <c r="EC741" s="27" t="s">
        <v>8</v>
      </c>
      <c r="ED741" s="27" t="s">
        <v>7</v>
      </c>
      <c r="EE741" s="27" t="s">
        <v>8</v>
      </c>
      <c r="EF741" s="27" t="s">
        <v>7</v>
      </c>
      <c r="EG741" s="27" t="s">
        <v>8</v>
      </c>
    </row>
    <row r="742" spans="1:149" x14ac:dyDescent="0.25">
      <c r="A742" s="7">
        <v>4.644868004048535E-2</v>
      </c>
      <c r="B742"/>
      <c r="C742"/>
      <c r="D742"/>
      <c r="E742"/>
      <c r="F742" s="27" t="s">
        <v>7</v>
      </c>
      <c r="EC742" s="27" t="s">
        <v>8</v>
      </c>
      <c r="ED742" s="27" t="s">
        <v>7</v>
      </c>
      <c r="EE742" s="27" t="s">
        <v>8</v>
      </c>
      <c r="EF742" s="27" t="s">
        <v>7</v>
      </c>
      <c r="EG742" s="27" t="s">
        <v>8</v>
      </c>
      <c r="EH742" s="27" t="s">
        <v>7</v>
      </c>
    </row>
    <row r="743" spans="1:149" x14ac:dyDescent="0.25">
      <c r="A743" s="7">
        <v>4.5537921608318974E-2</v>
      </c>
      <c r="B743"/>
      <c r="C743"/>
      <c r="D743"/>
      <c r="E743"/>
      <c r="F743" s="27" t="s">
        <v>7</v>
      </c>
      <c r="EC743" s="27" t="s">
        <v>8</v>
      </c>
      <c r="ED743" s="27" t="s">
        <v>7</v>
      </c>
      <c r="EE743" s="27" t="s">
        <v>8</v>
      </c>
      <c r="EF743" s="27" t="s">
        <v>7</v>
      </c>
      <c r="EG743" s="27" t="s">
        <v>8</v>
      </c>
      <c r="EH743" s="27" t="s">
        <v>7</v>
      </c>
    </row>
    <row r="744" spans="1:149" x14ac:dyDescent="0.25">
      <c r="A744" s="7">
        <v>4.4645021184626446E-2</v>
      </c>
      <c r="B744"/>
      <c r="C744"/>
      <c r="D744"/>
      <c r="E744"/>
      <c r="F744" s="27" t="s">
        <v>7</v>
      </c>
      <c r="EC744" s="27" t="s">
        <v>8</v>
      </c>
      <c r="ED744" s="27" t="s">
        <v>7</v>
      </c>
      <c r="EE744" s="27" t="s">
        <v>8</v>
      </c>
      <c r="EF744" s="27" t="s">
        <v>7</v>
      </c>
      <c r="EG744" s="27" t="s">
        <v>8</v>
      </c>
      <c r="EH744" s="27" t="s">
        <v>7</v>
      </c>
      <c r="EO744" s="27" t="s">
        <v>8</v>
      </c>
      <c r="EQ744" s="27" t="s">
        <v>8</v>
      </c>
    </row>
    <row r="745" spans="1:149" x14ac:dyDescent="0.25">
      <c r="A745" s="7">
        <v>4.3769628612378868E-2</v>
      </c>
      <c r="B745"/>
      <c r="C745"/>
      <c r="D745"/>
      <c r="E745"/>
      <c r="F745" s="27" t="s">
        <v>7</v>
      </c>
      <c r="EC745" s="27" t="s">
        <v>8</v>
      </c>
      <c r="ED745" s="27" t="s">
        <v>7</v>
      </c>
      <c r="EE745" s="27" t="s">
        <v>8</v>
      </c>
      <c r="EF745" s="27" t="s">
        <v>7</v>
      </c>
      <c r="EG745" s="27" t="s">
        <v>8</v>
      </c>
      <c r="EH745" s="27" t="s">
        <v>7</v>
      </c>
      <c r="EO745" s="27" t="s">
        <v>8</v>
      </c>
      <c r="EP745" s="27" t="s">
        <v>7</v>
      </c>
      <c r="EQ745" s="27" t="s">
        <v>8</v>
      </c>
      <c r="ER745" s="27" t="s">
        <v>7</v>
      </c>
    </row>
    <row r="746" spans="1:149" x14ac:dyDescent="0.25">
      <c r="A746" s="7">
        <v>4.2911400600371442E-2</v>
      </c>
      <c r="B746"/>
      <c r="C746"/>
      <c r="D746"/>
      <c r="E746"/>
      <c r="F746" s="27" t="s">
        <v>7</v>
      </c>
      <c r="EC746" s="27" t="s">
        <v>8</v>
      </c>
      <c r="ED746" s="27" t="s">
        <v>7</v>
      </c>
      <c r="EE746" s="27" t="s">
        <v>8</v>
      </c>
      <c r="EF746" s="27" t="s">
        <v>7</v>
      </c>
      <c r="EG746" s="27" t="s">
        <v>8</v>
      </c>
      <c r="EH746" s="27" t="s">
        <v>7</v>
      </c>
      <c r="EK746" s="27" t="s">
        <v>8</v>
      </c>
      <c r="EM746" s="27" t="s">
        <v>8</v>
      </c>
      <c r="EO746" s="27" t="s">
        <v>8</v>
      </c>
      <c r="EP746" s="27" t="s">
        <v>7</v>
      </c>
      <c r="EQ746" s="27" t="s">
        <v>8</v>
      </c>
      <c r="ER746" s="27" t="s">
        <v>7</v>
      </c>
    </row>
    <row r="747" spans="1:149" x14ac:dyDescent="0.25">
      <c r="A747" s="7">
        <v>4.2070000588599457E-2</v>
      </c>
      <c r="B747"/>
      <c r="C747"/>
      <c r="D747"/>
      <c r="E747"/>
      <c r="F747" s="27" t="s">
        <v>7</v>
      </c>
      <c r="EC747" s="27" t="s">
        <v>8</v>
      </c>
      <c r="ED747" s="27" t="s">
        <v>7</v>
      </c>
      <c r="EE747" s="27" t="s">
        <v>8</v>
      </c>
      <c r="EF747" s="27" t="s">
        <v>7</v>
      </c>
      <c r="EG747" s="27" t="s">
        <v>8</v>
      </c>
      <c r="EH747" s="27" t="s">
        <v>7</v>
      </c>
      <c r="EK747" s="27" t="s">
        <v>8</v>
      </c>
      <c r="EL747" s="27" t="s">
        <v>7</v>
      </c>
      <c r="EM747" s="27" t="s">
        <v>8</v>
      </c>
      <c r="EN747" s="27" t="s">
        <v>7</v>
      </c>
      <c r="EO747" s="27" t="s">
        <v>8</v>
      </c>
      <c r="EP747" s="27" t="s">
        <v>7</v>
      </c>
      <c r="EQ747" s="27" t="s">
        <v>8</v>
      </c>
      <c r="ER747" s="27" t="s">
        <v>7</v>
      </c>
    </row>
    <row r="748" spans="1:149" x14ac:dyDescent="0.25">
      <c r="A748" s="7">
        <v>4.1245098616273977E-2</v>
      </c>
      <c r="B748"/>
      <c r="C748"/>
      <c r="D748"/>
      <c r="E748"/>
      <c r="F748" s="27" t="s">
        <v>7</v>
      </c>
      <c r="EC748" s="27" t="s">
        <v>8</v>
      </c>
      <c r="ED748" s="27" t="s">
        <v>7</v>
      </c>
      <c r="EE748" s="27" t="s">
        <v>8</v>
      </c>
      <c r="EF748" s="27" t="s">
        <v>7</v>
      </c>
      <c r="EG748" s="27" t="s">
        <v>8</v>
      </c>
      <c r="EH748" s="27" t="s">
        <v>7</v>
      </c>
      <c r="EK748" s="27" t="s">
        <v>8</v>
      </c>
      <c r="EL748" s="27" t="s">
        <v>7</v>
      </c>
      <c r="EM748" s="27" t="s">
        <v>8</v>
      </c>
      <c r="EN748" s="27" t="s">
        <v>7</v>
      </c>
      <c r="EO748" s="27" t="s">
        <v>8</v>
      </c>
      <c r="EP748" s="27" t="s">
        <v>7</v>
      </c>
      <c r="EQ748" s="27" t="s">
        <v>8</v>
      </c>
      <c r="ER748" s="27" t="s">
        <v>7</v>
      </c>
    </row>
    <row r="749" spans="1:149" x14ac:dyDescent="0.25">
      <c r="A749" s="7">
        <v>4.043637119242547E-2</v>
      </c>
      <c r="B749"/>
      <c r="C749"/>
      <c r="D749"/>
      <c r="E749"/>
      <c r="F749" s="27" t="s">
        <v>7</v>
      </c>
      <c r="EC749" s="27" t="s">
        <v>8</v>
      </c>
      <c r="ED749" s="27" t="s">
        <v>7</v>
      </c>
      <c r="EE749" s="27" t="s">
        <v>8</v>
      </c>
      <c r="EF749" s="27" t="s">
        <v>7</v>
      </c>
      <c r="EG749" s="27" t="s">
        <v>8</v>
      </c>
      <c r="EH749" s="27" t="s">
        <v>7</v>
      </c>
      <c r="EK749" s="27" t="s">
        <v>8</v>
      </c>
      <c r="EL749" s="27" t="s">
        <v>7</v>
      </c>
      <c r="EM749" s="27" t="s">
        <v>8</v>
      </c>
      <c r="EN749" s="27" t="s">
        <v>7</v>
      </c>
      <c r="EO749" s="27" t="s">
        <v>8</v>
      </c>
      <c r="EP749" s="27" t="s">
        <v>7</v>
      </c>
      <c r="EQ749" s="27" t="s">
        <v>8</v>
      </c>
      <c r="ER749" s="27" t="s">
        <v>7</v>
      </c>
    </row>
    <row r="750" spans="1:149" x14ac:dyDescent="0.25">
      <c r="A750" s="7">
        <v>3.9643501169044582E-2</v>
      </c>
      <c r="B750"/>
      <c r="C750"/>
      <c r="D750"/>
      <c r="E750"/>
      <c r="F750" s="27" t="s">
        <v>7</v>
      </c>
      <c r="EC750" s="27" t="s">
        <v>8</v>
      </c>
      <c r="ED750" s="27" t="s">
        <v>7</v>
      </c>
      <c r="EE750" s="27" t="s">
        <v>8</v>
      </c>
      <c r="EF750" s="27" t="s">
        <v>7</v>
      </c>
      <c r="EG750" s="27" t="s">
        <v>8</v>
      </c>
      <c r="EH750" s="27" t="s">
        <v>7</v>
      </c>
      <c r="EK750" s="27" t="s">
        <v>8</v>
      </c>
      <c r="EL750" s="27" t="s">
        <v>7</v>
      </c>
      <c r="EM750" s="27" t="s">
        <v>8</v>
      </c>
      <c r="EN750" s="27" t="s">
        <v>7</v>
      </c>
      <c r="EO750" s="27" t="s">
        <v>8</v>
      </c>
      <c r="EP750" s="27" t="s">
        <v>7</v>
      </c>
      <c r="EQ750" s="27" t="s">
        <v>8</v>
      </c>
      <c r="ER750" s="27" t="s">
        <v>7</v>
      </c>
    </row>
    <row r="751" spans="1:149" x14ac:dyDescent="0.25">
      <c r="A751" s="7">
        <v>3.8866177616710372E-2</v>
      </c>
      <c r="B751"/>
      <c r="C751"/>
      <c r="D751"/>
      <c r="E751"/>
      <c r="F751" s="27" t="s">
        <v>7</v>
      </c>
      <c r="EC751" s="27" t="s">
        <v>8</v>
      </c>
      <c r="ED751" s="27" t="s">
        <v>7</v>
      </c>
      <c r="EE751" s="27" t="s">
        <v>8</v>
      </c>
      <c r="EF751" s="27" t="s">
        <v>7</v>
      </c>
      <c r="EG751" s="27" t="s">
        <v>8</v>
      </c>
      <c r="EH751" s="27" t="s">
        <v>7</v>
      </c>
      <c r="EK751" s="27" t="s">
        <v>8</v>
      </c>
      <c r="EL751" s="27" t="s">
        <v>7</v>
      </c>
      <c r="EM751" s="27" t="s">
        <v>8</v>
      </c>
      <c r="EN751" s="27" t="s">
        <v>7</v>
      </c>
      <c r="EO751" s="27" t="s">
        <v>8</v>
      </c>
      <c r="EP751" s="27" t="s">
        <v>7</v>
      </c>
      <c r="ER751" s="27" t="s">
        <v>7</v>
      </c>
    </row>
    <row r="752" spans="1:149" x14ac:dyDescent="0.25">
      <c r="A752" s="7">
        <v>3.8104095702657229E-2</v>
      </c>
      <c r="B752"/>
      <c r="C752"/>
      <c r="D752"/>
      <c r="E752"/>
      <c r="F752" s="27" t="s">
        <v>7</v>
      </c>
      <c r="EC752" s="27" t="s">
        <v>8</v>
      </c>
      <c r="ED752" s="27" t="s">
        <v>7</v>
      </c>
      <c r="EF752" s="27" t="s">
        <v>7</v>
      </c>
      <c r="EH752" s="27" t="s">
        <v>7</v>
      </c>
      <c r="EK752" s="27" t="s">
        <v>8</v>
      </c>
      <c r="EL752" s="27" t="s">
        <v>7</v>
      </c>
      <c r="EM752" s="27" t="s">
        <v>8</v>
      </c>
      <c r="EN752" s="27" t="s">
        <v>7</v>
      </c>
      <c r="EO752" s="27" t="s">
        <v>8</v>
      </c>
      <c r="ER752" s="27" t="s">
        <v>7</v>
      </c>
      <c r="ES752" s="27" t="s">
        <v>8</v>
      </c>
    </row>
    <row r="753" spans="1:248" x14ac:dyDescent="0.25">
      <c r="A753" s="7">
        <v>3.7356956571232579E-2</v>
      </c>
      <c r="B753"/>
      <c r="C753"/>
      <c r="D753"/>
      <c r="E753"/>
      <c r="F753" s="27" t="s">
        <v>7</v>
      </c>
      <c r="EC753" s="27" t="s">
        <v>8</v>
      </c>
      <c r="EH753" s="27" t="s">
        <v>7</v>
      </c>
      <c r="EK753" s="27" t="s">
        <v>8</v>
      </c>
      <c r="EL753" s="27" t="s">
        <v>7</v>
      </c>
      <c r="EM753" s="27" t="s">
        <v>8</v>
      </c>
      <c r="EN753" s="27" t="s">
        <v>7</v>
      </c>
      <c r="EO753" s="27" t="s">
        <v>8</v>
      </c>
      <c r="ER753" s="27" t="s">
        <v>7</v>
      </c>
      <c r="ES753" s="27" t="s">
        <v>8</v>
      </c>
      <c r="ET753" s="27" t="s">
        <v>7</v>
      </c>
    </row>
    <row r="754" spans="1:248" x14ac:dyDescent="0.25">
      <c r="A754" s="7">
        <v>3.6624467226698605E-2</v>
      </c>
      <c r="B754"/>
      <c r="C754"/>
      <c r="D754"/>
      <c r="E754"/>
      <c r="F754" s="27" t="s">
        <v>7</v>
      </c>
      <c r="DW754" s="27" t="s">
        <v>8</v>
      </c>
      <c r="EA754" s="27" t="s">
        <v>8</v>
      </c>
      <c r="EC754" s="27" t="s">
        <v>8</v>
      </c>
      <c r="EH754" s="27" t="s">
        <v>7</v>
      </c>
      <c r="EK754" s="27" t="s">
        <v>8</v>
      </c>
      <c r="EL754" s="27" t="s">
        <v>7</v>
      </c>
      <c r="EN754" s="27" t="s">
        <v>7</v>
      </c>
      <c r="EO754" s="27" t="s">
        <v>8</v>
      </c>
      <c r="ER754" s="27" t="s">
        <v>7</v>
      </c>
      <c r="ES754" s="27" t="s">
        <v>8</v>
      </c>
      <c r="ET754" s="27" t="s">
        <v>7</v>
      </c>
    </row>
    <row r="755" spans="1:248" x14ac:dyDescent="0.25">
      <c r="A755" s="7">
        <v>3.5906340418331961E-2</v>
      </c>
      <c r="B755"/>
      <c r="C755"/>
      <c r="D755"/>
      <c r="E755"/>
      <c r="F755" s="27" t="s">
        <v>7</v>
      </c>
      <c r="DW755" s="27" t="s">
        <v>8</v>
      </c>
      <c r="DX755" s="27" t="s">
        <v>7</v>
      </c>
      <c r="EA755" s="27" t="s">
        <v>8</v>
      </c>
      <c r="EB755" s="27" t="s">
        <v>7</v>
      </c>
      <c r="EC755" s="27" t="s">
        <v>8</v>
      </c>
      <c r="EH755" s="27" t="s">
        <v>7</v>
      </c>
      <c r="EK755" s="27" t="s">
        <v>8</v>
      </c>
      <c r="EN755" s="27" t="s">
        <v>7</v>
      </c>
      <c r="EO755" s="27" t="s">
        <v>8</v>
      </c>
      <c r="ER755" s="27" t="s">
        <v>7</v>
      </c>
      <c r="ES755" s="27" t="s">
        <v>8</v>
      </c>
      <c r="ET755" s="27" t="s">
        <v>7</v>
      </c>
    </row>
    <row r="756" spans="1:248" x14ac:dyDescent="0.25">
      <c r="A756" s="7">
        <v>3.5202294527776436E-2</v>
      </c>
      <c r="B756"/>
      <c r="C756"/>
      <c r="D756"/>
      <c r="E756"/>
      <c r="F756" s="27" t="s">
        <v>7</v>
      </c>
      <c r="DW756" s="27" t="s">
        <v>8</v>
      </c>
      <c r="DX756" s="27" t="s">
        <v>7</v>
      </c>
      <c r="EA756" s="27" t="s">
        <v>8</v>
      </c>
      <c r="EB756" s="27" t="s">
        <v>7</v>
      </c>
      <c r="EC756" s="27" t="s">
        <v>8</v>
      </c>
      <c r="EH756" s="27" t="s">
        <v>7</v>
      </c>
      <c r="EI756" s="27" t="s">
        <v>8</v>
      </c>
      <c r="EK756" s="27" t="s">
        <v>8</v>
      </c>
      <c r="EN756" s="27" t="s">
        <v>7</v>
      </c>
      <c r="ER756" s="27" t="s">
        <v>7</v>
      </c>
      <c r="ES756" s="27" t="s">
        <v>8</v>
      </c>
      <c r="ET756" s="27" t="s">
        <v>7</v>
      </c>
    </row>
    <row r="757" spans="1:248" x14ac:dyDescent="0.25">
      <c r="A757" s="7">
        <v>3.451205345860435E-2</v>
      </c>
      <c r="B757"/>
      <c r="C757"/>
      <c r="D757"/>
      <c r="E757"/>
      <c r="F757" s="27" t="s">
        <v>7</v>
      </c>
      <c r="DW757" s="27" t="s">
        <v>8</v>
      </c>
      <c r="DX757" s="27" t="s">
        <v>7</v>
      </c>
      <c r="EA757" s="27" t="s">
        <v>8</v>
      </c>
      <c r="EB757" s="27" t="s">
        <v>7</v>
      </c>
      <c r="EC757" s="27" t="s">
        <v>8</v>
      </c>
      <c r="EH757" s="27" t="s">
        <v>7</v>
      </c>
      <c r="EI757" s="27" t="s">
        <v>8</v>
      </c>
      <c r="EJ757" s="27" t="s">
        <v>7</v>
      </c>
      <c r="EK757" s="27" t="s">
        <v>8</v>
      </c>
      <c r="ER757" s="27" t="s">
        <v>7</v>
      </c>
      <c r="ES757" s="27" t="s">
        <v>8</v>
      </c>
      <c r="ET757" s="27" t="s">
        <v>7</v>
      </c>
    </row>
    <row r="758" spans="1:248" x14ac:dyDescent="0.25">
      <c r="A758" s="7">
        <v>3.3835346528043479E-2</v>
      </c>
      <c r="B758"/>
      <c r="C758"/>
      <c r="D758"/>
      <c r="E758"/>
      <c r="F758" s="27" t="s">
        <v>7</v>
      </c>
      <c r="DW758" s="27" t="s">
        <v>8</v>
      </c>
      <c r="DX758" s="27" t="s">
        <v>7</v>
      </c>
      <c r="EA758" s="27" t="s">
        <v>8</v>
      </c>
      <c r="EB758" s="27" t="s">
        <v>7</v>
      </c>
      <c r="EC758" s="27" t="s">
        <v>8</v>
      </c>
      <c r="EH758" s="27" t="s">
        <v>7</v>
      </c>
      <c r="EI758" s="27" t="s">
        <v>8</v>
      </c>
      <c r="EJ758" s="27" t="s">
        <v>7</v>
      </c>
      <c r="EK758" s="27" t="s">
        <v>8</v>
      </c>
      <c r="ER758" s="27" t="s">
        <v>7</v>
      </c>
      <c r="ES758" s="27" t="s">
        <v>8</v>
      </c>
      <c r="ET758" s="27" t="s">
        <v>7</v>
      </c>
    </row>
    <row r="759" spans="1:248" x14ac:dyDescent="0.25">
      <c r="A759" s="7">
        <v>3.3171908360826938E-2</v>
      </c>
      <c r="B759"/>
      <c r="C759"/>
      <c r="D759"/>
      <c r="E759"/>
      <c r="F759" s="27" t="s">
        <v>7</v>
      </c>
      <c r="DW759" s="27" t="s">
        <v>8</v>
      </c>
      <c r="DX759" s="27" t="s">
        <v>7</v>
      </c>
      <c r="EA759" s="27" t="s">
        <v>8</v>
      </c>
      <c r="EB759" s="27" t="s">
        <v>7</v>
      </c>
      <c r="EC759" s="27" t="s">
        <v>8</v>
      </c>
      <c r="EH759" s="27" t="s">
        <v>7</v>
      </c>
      <c r="EI759" s="27" t="s">
        <v>8</v>
      </c>
      <c r="EJ759" s="27" t="s">
        <v>7</v>
      </c>
      <c r="EK759" s="27" t="s">
        <v>8</v>
      </c>
      <c r="ER759" s="27" t="s">
        <v>7</v>
      </c>
      <c r="ES759" s="27" t="s">
        <v>8</v>
      </c>
      <c r="ET759" s="27" t="s">
        <v>7</v>
      </c>
      <c r="EU759" s="27" t="s">
        <v>8</v>
      </c>
    </row>
    <row r="760" spans="1:248" x14ac:dyDescent="0.25">
      <c r="A760" s="7">
        <v>3.2521478785124451E-2</v>
      </c>
      <c r="B760"/>
      <c r="C760"/>
      <c r="D760"/>
      <c r="E760"/>
      <c r="F760" s="27" t="s">
        <v>7</v>
      </c>
      <c r="DW760" s="27" t="s">
        <v>8</v>
      </c>
      <c r="DX760" s="27" t="s">
        <v>7</v>
      </c>
      <c r="EA760" s="27" t="s">
        <v>8</v>
      </c>
      <c r="EB760" s="27" t="s">
        <v>7</v>
      </c>
      <c r="EC760" s="27" t="s">
        <v>8</v>
      </c>
      <c r="EH760" s="27" t="s">
        <v>7</v>
      </c>
      <c r="EI760" s="27" t="s">
        <v>8</v>
      </c>
      <c r="EJ760" s="27" t="s">
        <v>7</v>
      </c>
      <c r="EK760" s="27" t="s">
        <v>8</v>
      </c>
      <c r="ER760" s="27" t="s">
        <v>7</v>
      </c>
      <c r="ET760" s="27" t="s">
        <v>7</v>
      </c>
      <c r="EU760" s="27" t="s">
        <v>8</v>
      </c>
      <c r="EV760" s="27" t="s">
        <v>7</v>
      </c>
    </row>
    <row r="761" spans="1:248" x14ac:dyDescent="0.25">
      <c r="A761" s="7">
        <v>3.1883802730514173E-2</v>
      </c>
      <c r="B761"/>
      <c r="C761"/>
      <c r="D761"/>
      <c r="E761"/>
      <c r="F761" s="27" t="s">
        <v>7</v>
      </c>
      <c r="DU761" s="27" t="s">
        <v>8</v>
      </c>
      <c r="DW761" s="27" t="s">
        <v>8</v>
      </c>
      <c r="DX761" s="27" t="s">
        <v>7</v>
      </c>
      <c r="EA761" s="27" t="s">
        <v>8</v>
      </c>
      <c r="EB761" s="27" t="s">
        <v>7</v>
      </c>
      <c r="EC761" s="27" t="s">
        <v>8</v>
      </c>
      <c r="EH761" s="27" t="s">
        <v>7</v>
      </c>
      <c r="EI761" s="27" t="s">
        <v>8</v>
      </c>
      <c r="EJ761" s="27" t="s">
        <v>7</v>
      </c>
      <c r="EK761" s="27" t="s">
        <v>8</v>
      </c>
      <c r="ET761" s="27" t="s">
        <v>7</v>
      </c>
      <c r="EU761" s="27" t="s">
        <v>8</v>
      </c>
      <c r="EV761" s="27" t="s">
        <v>7</v>
      </c>
    </row>
    <row r="762" spans="1:248" x14ac:dyDescent="0.25">
      <c r="A762" s="7">
        <v>3.1258630127955073E-2</v>
      </c>
      <c r="B762"/>
      <c r="C762"/>
      <c r="D762"/>
      <c r="E762"/>
      <c r="F762" s="27" t="s">
        <v>7</v>
      </c>
      <c r="DU762" s="27" t="s">
        <v>8</v>
      </c>
      <c r="DV762" s="27" t="s">
        <v>7</v>
      </c>
      <c r="DW762" s="27" t="s">
        <v>8</v>
      </c>
      <c r="DX762" s="27" t="s">
        <v>7</v>
      </c>
      <c r="EA762" s="27" t="s">
        <v>8</v>
      </c>
      <c r="EB762" s="27" t="s">
        <v>7</v>
      </c>
      <c r="EC762" s="27" t="s">
        <v>8</v>
      </c>
      <c r="EH762" s="27" t="s">
        <v>7</v>
      </c>
      <c r="EI762" s="27" t="s">
        <v>8</v>
      </c>
      <c r="EJ762" s="27" t="s">
        <v>7</v>
      </c>
      <c r="EK762" s="27" t="s">
        <v>8</v>
      </c>
      <c r="ET762" s="27" t="s">
        <v>7</v>
      </c>
      <c r="EU762" s="27" t="s">
        <v>8</v>
      </c>
      <c r="EV762" s="27" t="s">
        <v>7</v>
      </c>
    </row>
    <row r="763" spans="1:248" x14ac:dyDescent="0.25">
      <c r="A763" s="7">
        <v>3.064571581172066E-2</v>
      </c>
      <c r="B763"/>
      <c r="C763"/>
      <c r="D763"/>
      <c r="E763"/>
      <c r="F763" s="27" t="s">
        <v>7</v>
      </c>
      <c r="DU763" s="27" t="s">
        <v>8</v>
      </c>
      <c r="DV763" s="27" t="s">
        <v>7</v>
      </c>
      <c r="DW763" s="27" t="s">
        <v>8</v>
      </c>
      <c r="DX763" s="27" t="s">
        <v>7</v>
      </c>
      <c r="EA763" s="27" t="s">
        <v>8</v>
      </c>
      <c r="EB763" s="27" t="s">
        <v>7</v>
      </c>
      <c r="EH763" s="27" t="s">
        <v>7</v>
      </c>
      <c r="EI763" s="27" t="s">
        <v>8</v>
      </c>
      <c r="EJ763" s="27" t="s">
        <v>7</v>
      </c>
      <c r="EK763" s="27" t="s">
        <v>8</v>
      </c>
      <c r="ET763" s="27" t="s">
        <v>7</v>
      </c>
      <c r="EU763" s="27" t="s">
        <v>8</v>
      </c>
      <c r="EV763" s="27" t="s">
        <v>7</v>
      </c>
    </row>
    <row r="764" spans="1:248" x14ac:dyDescent="0.25">
      <c r="A764" s="7">
        <v>3.0044819423255549E-2</v>
      </c>
      <c r="B764"/>
      <c r="C764"/>
      <c r="D764"/>
      <c r="E764"/>
      <c r="F764" s="27" t="s">
        <v>7</v>
      </c>
      <c r="DU764" s="27" t="s">
        <v>8</v>
      </c>
      <c r="DV764" s="27" t="s">
        <v>7</v>
      </c>
      <c r="DW764" s="27" t="s">
        <v>8</v>
      </c>
      <c r="DX764" s="27" t="s">
        <v>7</v>
      </c>
      <c r="DY764" s="27" t="s">
        <v>8</v>
      </c>
      <c r="EA764" s="27" t="s">
        <v>8</v>
      </c>
      <c r="EH764" s="27" t="s">
        <v>7</v>
      </c>
      <c r="EI764" s="27" t="s">
        <v>8</v>
      </c>
      <c r="EJ764" s="27" t="s">
        <v>7</v>
      </c>
      <c r="EK764" s="27" t="s">
        <v>8</v>
      </c>
      <c r="ET764" s="27" t="s">
        <v>7</v>
      </c>
      <c r="EU764" s="27" t="s">
        <v>8</v>
      </c>
      <c r="EV764" s="27" t="s">
        <v>7</v>
      </c>
    </row>
    <row r="765" spans="1:248" x14ac:dyDescent="0.25">
      <c r="A765" s="7">
        <v>2.9455705316917203E-2</v>
      </c>
      <c r="B765"/>
      <c r="C765"/>
      <c r="D765"/>
      <c r="E765"/>
      <c r="F765" s="27" t="s">
        <v>7</v>
      </c>
      <c r="DU765" s="27" t="s">
        <v>8</v>
      </c>
      <c r="DV765" s="27" t="s">
        <v>7</v>
      </c>
      <c r="DW765" s="27" t="s">
        <v>8</v>
      </c>
      <c r="DX765" s="27" t="s">
        <v>7</v>
      </c>
      <c r="DY765" s="27" t="s">
        <v>8</v>
      </c>
      <c r="DZ765" s="27" t="s">
        <v>7</v>
      </c>
      <c r="EA765" s="27" t="s">
        <v>8</v>
      </c>
      <c r="EH765" s="27" t="s">
        <v>7</v>
      </c>
      <c r="EI765" s="27" t="s">
        <v>8</v>
      </c>
      <c r="EJ765" s="27" t="s">
        <v>7</v>
      </c>
      <c r="EK765" s="27" t="s">
        <v>8</v>
      </c>
      <c r="ET765" s="27" t="s">
        <v>7</v>
      </c>
      <c r="EU765" s="27" t="s">
        <v>8</v>
      </c>
      <c r="EV765" s="27" t="s">
        <v>7</v>
      </c>
      <c r="IM765" s="27" t="s">
        <v>8</v>
      </c>
    </row>
    <row r="766" spans="1:248" x14ac:dyDescent="0.25">
      <c r="A766" s="7">
        <v>2.8878142467565884E-2</v>
      </c>
      <c r="B766"/>
      <c r="C766"/>
      <c r="D766"/>
      <c r="E766"/>
      <c r="F766" s="27" t="s">
        <v>7</v>
      </c>
      <c r="DM766" s="27" t="s">
        <v>8</v>
      </c>
      <c r="DU766" s="27" t="s">
        <v>8</v>
      </c>
      <c r="DV766" s="27" t="s">
        <v>7</v>
      </c>
      <c r="DW766" s="27" t="s">
        <v>8</v>
      </c>
      <c r="DX766" s="27" t="s">
        <v>7</v>
      </c>
      <c r="DY766" s="27" t="s">
        <v>8</v>
      </c>
      <c r="DZ766" s="27" t="s">
        <v>7</v>
      </c>
      <c r="EA766" s="27" t="s">
        <v>8</v>
      </c>
      <c r="EH766" s="27" t="s">
        <v>7</v>
      </c>
      <c r="EI766" s="27" t="s">
        <v>8</v>
      </c>
      <c r="EJ766" s="27" t="s">
        <v>7</v>
      </c>
      <c r="EK766" s="27" t="s">
        <v>8</v>
      </c>
      <c r="ET766" s="27" t="s">
        <v>7</v>
      </c>
      <c r="EU766" s="27" t="s">
        <v>8</v>
      </c>
      <c r="EV766" s="27" t="s">
        <v>7</v>
      </c>
      <c r="IM766" s="27" t="s">
        <v>8</v>
      </c>
      <c r="IN766" s="27" t="s">
        <v>7</v>
      </c>
    </row>
    <row r="767" spans="1:248" x14ac:dyDescent="0.25">
      <c r="A767" s="7">
        <v>2.8311904379966554E-2</v>
      </c>
      <c r="B767"/>
      <c r="C767"/>
      <c r="D767"/>
      <c r="E767"/>
      <c r="F767" s="27" t="s">
        <v>7</v>
      </c>
      <c r="DM767" s="27" t="s">
        <v>8</v>
      </c>
      <c r="DN767" s="27" t="s">
        <v>7</v>
      </c>
      <c r="DU767" s="27" t="s">
        <v>8</v>
      </c>
      <c r="DV767" s="27" t="s">
        <v>7</v>
      </c>
      <c r="DW767" s="27" t="s">
        <v>8</v>
      </c>
      <c r="DX767" s="27" t="s">
        <v>7</v>
      </c>
      <c r="DY767" s="27" t="s">
        <v>8</v>
      </c>
      <c r="DZ767" s="27" t="s">
        <v>7</v>
      </c>
      <c r="EA767" s="27" t="s">
        <v>8</v>
      </c>
      <c r="EH767" s="27" t="s">
        <v>7</v>
      </c>
      <c r="EI767" s="27" t="s">
        <v>8</v>
      </c>
      <c r="EJ767" s="27" t="s">
        <v>7</v>
      </c>
      <c r="EK767" s="27" t="s">
        <v>8</v>
      </c>
      <c r="ET767" s="27" t="s">
        <v>7</v>
      </c>
      <c r="EU767" s="27" t="s">
        <v>8</v>
      </c>
      <c r="EV767" s="27" t="s">
        <v>7</v>
      </c>
      <c r="EW767" s="27" t="s">
        <v>8</v>
      </c>
      <c r="IM767" s="27" t="s">
        <v>8</v>
      </c>
      <c r="IN767" s="27" t="s">
        <v>7</v>
      </c>
    </row>
    <row r="768" spans="1:248" x14ac:dyDescent="0.25">
      <c r="A768" s="7">
        <v>2.7756768999967207E-2</v>
      </c>
      <c r="B768"/>
      <c r="C768"/>
      <c r="D768"/>
      <c r="E768"/>
      <c r="F768" s="27" t="s">
        <v>7</v>
      </c>
      <c r="DM768" s="27" t="s">
        <v>8</v>
      </c>
      <c r="DN768" s="27" t="s">
        <v>7</v>
      </c>
      <c r="DU768" s="27" t="s">
        <v>8</v>
      </c>
      <c r="DV768" s="27" t="s">
        <v>7</v>
      </c>
      <c r="DW768" s="27" t="s">
        <v>8</v>
      </c>
      <c r="DX768" s="27" t="s">
        <v>7</v>
      </c>
      <c r="DY768" s="27" t="s">
        <v>8</v>
      </c>
      <c r="DZ768" s="27" t="s">
        <v>7</v>
      </c>
      <c r="EA768" s="27" t="s">
        <v>8</v>
      </c>
      <c r="EH768" s="27" t="s">
        <v>7</v>
      </c>
      <c r="EI768" s="27" t="s">
        <v>8</v>
      </c>
      <c r="EJ768" s="27" t="s">
        <v>7</v>
      </c>
      <c r="ET768" s="27" t="s">
        <v>7</v>
      </c>
      <c r="EU768" s="27" t="s">
        <v>8</v>
      </c>
      <c r="EV768" s="27" t="s">
        <v>7</v>
      </c>
      <c r="EW768" s="27" t="s">
        <v>8</v>
      </c>
      <c r="EX768" s="27" t="s">
        <v>7</v>
      </c>
      <c r="IM768" s="27" t="s">
        <v>8</v>
      </c>
      <c r="IN768" s="27" t="s">
        <v>7</v>
      </c>
    </row>
    <row r="769" spans="1:250" x14ac:dyDescent="0.25">
      <c r="A769" s="7">
        <v>2.7212518627418834E-2</v>
      </c>
      <c r="B769"/>
      <c r="C769"/>
      <c r="D769"/>
      <c r="E769"/>
      <c r="F769" s="27" t="s">
        <v>7</v>
      </c>
      <c r="DM769" s="27" t="s">
        <v>8</v>
      </c>
      <c r="DN769" s="27" t="s">
        <v>7</v>
      </c>
      <c r="DQ769" s="27" t="s">
        <v>8</v>
      </c>
      <c r="DU769" s="27" t="s">
        <v>8</v>
      </c>
      <c r="DV769" s="27" t="s">
        <v>7</v>
      </c>
      <c r="DW769" s="27" t="s">
        <v>8</v>
      </c>
      <c r="DX769" s="27" t="s">
        <v>7</v>
      </c>
      <c r="DY769" s="27" t="s">
        <v>8</v>
      </c>
      <c r="DZ769" s="27" t="s">
        <v>7</v>
      </c>
      <c r="EA769" s="27" t="s">
        <v>8</v>
      </c>
      <c r="EH769" s="27" t="s">
        <v>7</v>
      </c>
      <c r="EI769" s="27" t="s">
        <v>8</v>
      </c>
      <c r="ET769" s="27" t="s">
        <v>7</v>
      </c>
      <c r="EV769" s="27" t="s">
        <v>7</v>
      </c>
      <c r="EW769" s="27" t="s">
        <v>8</v>
      </c>
      <c r="EX769" s="27" t="s">
        <v>7</v>
      </c>
      <c r="GW769" s="27" t="s">
        <v>8</v>
      </c>
      <c r="IM769" s="27" t="s">
        <v>8</v>
      </c>
      <c r="IN769" s="27" t="s">
        <v>7</v>
      </c>
    </row>
    <row r="770" spans="1:250" x14ac:dyDescent="0.25">
      <c r="A770" s="7">
        <v>2.6678939830802779E-2</v>
      </c>
      <c r="B770"/>
      <c r="C770"/>
      <c r="D770"/>
      <c r="E770"/>
      <c r="F770" s="27" t="s">
        <v>7</v>
      </c>
      <c r="DM770" s="27" t="s">
        <v>8</v>
      </c>
      <c r="DN770" s="27" t="s">
        <v>7</v>
      </c>
      <c r="DQ770" s="27" t="s">
        <v>8</v>
      </c>
      <c r="DR770" s="27" t="s">
        <v>7</v>
      </c>
      <c r="DU770" s="27" t="s">
        <v>8</v>
      </c>
      <c r="DV770" s="27" t="s">
        <v>7</v>
      </c>
      <c r="DW770" s="27" t="s">
        <v>8</v>
      </c>
      <c r="DX770" s="27" t="s">
        <v>7</v>
      </c>
      <c r="DY770" s="27" t="s">
        <v>8</v>
      </c>
      <c r="DZ770" s="27" t="s">
        <v>7</v>
      </c>
      <c r="EA770" s="27" t="s">
        <v>8</v>
      </c>
      <c r="EH770" s="27" t="s">
        <v>7</v>
      </c>
      <c r="EI770" s="27" t="s">
        <v>8</v>
      </c>
      <c r="EV770" s="27" t="s">
        <v>7</v>
      </c>
      <c r="EW770" s="27" t="s">
        <v>8</v>
      </c>
      <c r="EX770" s="27" t="s">
        <v>7</v>
      </c>
      <c r="GW770" s="27" t="s">
        <v>8</v>
      </c>
      <c r="GX770" s="27" t="s">
        <v>7</v>
      </c>
      <c r="IM770" s="27" t="s">
        <v>8</v>
      </c>
      <c r="IN770" s="27" t="s">
        <v>7</v>
      </c>
      <c r="IO770" s="27" t="s">
        <v>8</v>
      </c>
    </row>
    <row r="771" spans="1:250" x14ac:dyDescent="0.25">
      <c r="A771" s="7">
        <v>2.615582336353214E-2</v>
      </c>
      <c r="B771"/>
      <c r="C771"/>
      <c r="D771"/>
      <c r="E771"/>
      <c r="F771" s="27" t="s">
        <v>7</v>
      </c>
      <c r="DM771" s="27" t="s">
        <v>8</v>
      </c>
      <c r="DN771" s="27" t="s">
        <v>7</v>
      </c>
      <c r="DQ771" s="27" t="s">
        <v>8</v>
      </c>
      <c r="DR771" s="27" t="s">
        <v>7</v>
      </c>
      <c r="DS771" s="27" t="s">
        <v>8</v>
      </c>
      <c r="DU771" s="27" t="s">
        <v>8</v>
      </c>
      <c r="DV771" s="27" t="s">
        <v>7</v>
      </c>
      <c r="DX771" s="27" t="s">
        <v>7</v>
      </c>
      <c r="DY771" s="27" t="s">
        <v>8</v>
      </c>
      <c r="DZ771" s="27" t="s">
        <v>7</v>
      </c>
      <c r="EH771" s="27" t="s">
        <v>7</v>
      </c>
      <c r="EI771" s="27" t="s">
        <v>8</v>
      </c>
      <c r="EV771" s="27" t="s">
        <v>7</v>
      </c>
      <c r="EW771" s="27" t="s">
        <v>8</v>
      </c>
      <c r="EX771" s="27" t="s">
        <v>7</v>
      </c>
      <c r="GW771" s="27" t="s">
        <v>8</v>
      </c>
      <c r="GX771" s="27" t="s">
        <v>7</v>
      </c>
      <c r="IM771" s="27" t="s">
        <v>8</v>
      </c>
      <c r="IN771" s="27" t="s">
        <v>7</v>
      </c>
      <c r="IO771" s="27" t="s">
        <v>8</v>
      </c>
      <c r="IP771" s="27" t="s">
        <v>7</v>
      </c>
    </row>
    <row r="772" spans="1:250" x14ac:dyDescent="0.25">
      <c r="A772" s="7">
        <v>2.5642964081894253E-2</v>
      </c>
      <c r="B772"/>
      <c r="C772"/>
      <c r="D772"/>
      <c r="E772"/>
      <c r="F772" s="27" t="s">
        <v>7</v>
      </c>
      <c r="DM772" s="27" t="s">
        <v>8</v>
      </c>
      <c r="DN772" s="27" t="s">
        <v>7</v>
      </c>
      <c r="DQ772" s="27" t="s">
        <v>8</v>
      </c>
      <c r="DR772" s="27" t="s">
        <v>7</v>
      </c>
      <c r="DS772" s="27" t="s">
        <v>8</v>
      </c>
      <c r="DT772" s="27" t="s">
        <v>7</v>
      </c>
      <c r="DU772" s="27" t="s">
        <v>8</v>
      </c>
      <c r="DX772" s="27" t="s">
        <v>7</v>
      </c>
      <c r="DY772" s="27" t="s">
        <v>8</v>
      </c>
      <c r="EH772" s="27" t="s">
        <v>7</v>
      </c>
      <c r="EV772" s="27" t="s">
        <v>7</v>
      </c>
      <c r="EW772" s="27" t="s">
        <v>8</v>
      </c>
      <c r="EX772" s="27" t="s">
        <v>7</v>
      </c>
      <c r="GW772" s="27" t="s">
        <v>8</v>
      </c>
      <c r="GX772" s="27" t="s">
        <v>7</v>
      </c>
      <c r="IM772" s="27" t="s">
        <v>8</v>
      </c>
      <c r="IN772" s="27" t="s">
        <v>7</v>
      </c>
      <c r="IO772" s="27" t="s">
        <v>8</v>
      </c>
      <c r="IP772" s="27" t="s">
        <v>7</v>
      </c>
    </row>
    <row r="773" spans="1:250" x14ac:dyDescent="0.25">
      <c r="A773" s="7">
        <v>2.5140160864602207E-2</v>
      </c>
      <c r="B773"/>
      <c r="C773"/>
      <c r="D773"/>
      <c r="E773"/>
      <c r="F773" s="27" t="s">
        <v>7</v>
      </c>
      <c r="DM773" s="27" t="s">
        <v>8</v>
      </c>
      <c r="DN773" s="27" t="s">
        <v>7</v>
      </c>
      <c r="DQ773" s="27" t="s">
        <v>8</v>
      </c>
      <c r="DR773" s="27" t="s">
        <v>7</v>
      </c>
      <c r="DS773" s="27" t="s">
        <v>8</v>
      </c>
      <c r="DT773" s="27" t="s">
        <v>7</v>
      </c>
      <c r="DU773" s="27" t="s">
        <v>8</v>
      </c>
      <c r="DX773" s="27" t="s">
        <v>7</v>
      </c>
      <c r="DY773" s="27" t="s">
        <v>8</v>
      </c>
      <c r="EV773" s="27" t="s">
        <v>7</v>
      </c>
      <c r="EW773" s="27" t="s">
        <v>8</v>
      </c>
      <c r="EX773" s="27" t="s">
        <v>7</v>
      </c>
      <c r="GW773" s="27" t="s">
        <v>8</v>
      </c>
      <c r="GX773" s="27" t="s">
        <v>7</v>
      </c>
      <c r="IM773" s="27" t="s">
        <v>8</v>
      </c>
      <c r="IN773" s="27" t="s">
        <v>7</v>
      </c>
      <c r="IO773" s="27" t="s">
        <v>8</v>
      </c>
      <c r="IP773" s="27" t="s">
        <v>7</v>
      </c>
    </row>
    <row r="774" spans="1:250" x14ac:dyDescent="0.25">
      <c r="A774" s="7">
        <v>2.4647216533923735E-2</v>
      </c>
      <c r="B774"/>
      <c r="C774"/>
      <c r="D774"/>
      <c r="E774"/>
      <c r="F774" s="27" t="s">
        <v>7</v>
      </c>
      <c r="DM774" s="27" t="s">
        <v>8</v>
      </c>
      <c r="DN774" s="27" t="s">
        <v>7</v>
      </c>
      <c r="DQ774" s="27" t="s">
        <v>8</v>
      </c>
      <c r="DR774" s="27" t="s">
        <v>7</v>
      </c>
      <c r="DS774" s="27" t="s">
        <v>8</v>
      </c>
      <c r="DT774" s="27" t="s">
        <v>7</v>
      </c>
      <c r="DU774" s="27" t="s">
        <v>8</v>
      </c>
      <c r="DX774" s="27" t="s">
        <v>7</v>
      </c>
      <c r="DY774" s="27" t="s">
        <v>8</v>
      </c>
      <c r="EV774" s="27" t="s">
        <v>7</v>
      </c>
      <c r="EX774" s="27" t="s">
        <v>7</v>
      </c>
      <c r="GW774" s="27" t="s">
        <v>8</v>
      </c>
      <c r="GX774" s="27" t="s">
        <v>7</v>
      </c>
      <c r="IM774" s="27" t="s">
        <v>8</v>
      </c>
      <c r="IN774" s="27" t="s">
        <v>7</v>
      </c>
      <c r="IO774" s="27" t="s">
        <v>8</v>
      </c>
      <c r="IP774" s="27" t="s">
        <v>7</v>
      </c>
    </row>
    <row r="775" spans="1:250" x14ac:dyDescent="0.25">
      <c r="A775" s="7">
        <v>2.4163937778356601E-2</v>
      </c>
      <c r="B775"/>
      <c r="C775"/>
      <c r="D775"/>
      <c r="E775"/>
      <c r="F775" s="27" t="s">
        <v>7</v>
      </c>
      <c r="DM775" s="27" t="s">
        <v>8</v>
      </c>
      <c r="DN775" s="27" t="s">
        <v>7</v>
      </c>
      <c r="DQ775" s="27" t="s">
        <v>8</v>
      </c>
      <c r="DR775" s="27" t="s">
        <v>7</v>
      </c>
      <c r="DS775" s="27" t="s">
        <v>8</v>
      </c>
      <c r="DT775" s="27" t="s">
        <v>7</v>
      </c>
      <c r="DU775" s="27" t="s">
        <v>8</v>
      </c>
      <c r="DX775" s="27" t="s">
        <v>7</v>
      </c>
      <c r="DY775" s="27" t="s">
        <v>8</v>
      </c>
      <c r="EX775" s="27" t="s">
        <v>7</v>
      </c>
      <c r="GW775" s="27" t="s">
        <v>8</v>
      </c>
      <c r="GX775" s="27" t="s">
        <v>7</v>
      </c>
      <c r="IM775" s="27" t="s">
        <v>8</v>
      </c>
      <c r="IN775" s="27" t="s">
        <v>7</v>
      </c>
      <c r="IO775" s="27" t="s">
        <v>8</v>
      </c>
      <c r="IP775" s="27" t="s">
        <v>7</v>
      </c>
    </row>
    <row r="776" spans="1:250" x14ac:dyDescent="0.25">
      <c r="A776" s="7">
        <v>2.3690135076820197E-2</v>
      </c>
      <c r="B776"/>
      <c r="C776"/>
      <c r="D776"/>
      <c r="E776"/>
      <c r="F776" s="27" t="s">
        <v>7</v>
      </c>
      <c r="DM776" s="27" t="s">
        <v>8</v>
      </c>
      <c r="DN776" s="27" t="s">
        <v>7</v>
      </c>
      <c r="DQ776" s="27" t="s">
        <v>8</v>
      </c>
      <c r="DR776" s="27" t="s">
        <v>7</v>
      </c>
      <c r="DT776" s="27" t="s">
        <v>7</v>
      </c>
      <c r="DU776" s="27" t="s">
        <v>8</v>
      </c>
      <c r="DX776" s="27" t="s">
        <v>7</v>
      </c>
      <c r="EX776" s="27" t="s">
        <v>7</v>
      </c>
      <c r="GQ776" s="27" t="s">
        <v>8</v>
      </c>
      <c r="GW776" s="27" t="s">
        <v>8</v>
      </c>
      <c r="GX776" s="27" t="s">
        <v>7</v>
      </c>
      <c r="HY776" s="27" t="s">
        <v>8</v>
      </c>
      <c r="IM776" s="27" t="s">
        <v>8</v>
      </c>
      <c r="IN776" s="27" t="s">
        <v>7</v>
      </c>
      <c r="IO776" s="27" t="s">
        <v>8</v>
      </c>
      <c r="IP776" s="27" t="s">
        <v>7</v>
      </c>
    </row>
    <row r="777" spans="1:250" x14ac:dyDescent="0.25">
      <c r="A777" s="7">
        <v>2.3225622624333527E-2</v>
      </c>
      <c r="B777"/>
      <c r="C777"/>
      <c r="D777"/>
      <c r="E777"/>
      <c r="F777" s="27" t="s">
        <v>7</v>
      </c>
      <c r="DM777" s="27" t="s">
        <v>8</v>
      </c>
      <c r="DN777" s="27" t="s">
        <v>7</v>
      </c>
      <c r="DQ777" s="27" t="s">
        <v>8</v>
      </c>
      <c r="DT777" s="27" t="s">
        <v>7</v>
      </c>
      <c r="EX777" s="27" t="s">
        <v>7</v>
      </c>
      <c r="GQ777" s="27" t="s">
        <v>8</v>
      </c>
      <c r="GR777" s="27" t="s">
        <v>7</v>
      </c>
      <c r="GS777" s="27" t="s">
        <v>8</v>
      </c>
      <c r="GW777" s="27" t="s">
        <v>8</v>
      </c>
      <c r="GX777" s="27" t="s">
        <v>7</v>
      </c>
      <c r="HO777" s="27" t="s">
        <v>8</v>
      </c>
      <c r="HY777" s="27" t="s">
        <v>8</v>
      </c>
      <c r="HZ777" s="27" t="s">
        <v>7</v>
      </c>
      <c r="IM777" s="27" t="s">
        <v>8</v>
      </c>
      <c r="IN777" s="27" t="s">
        <v>7</v>
      </c>
      <c r="IO777" s="27" t="s">
        <v>8</v>
      </c>
      <c r="IP777" s="27" t="s">
        <v>7</v>
      </c>
    </row>
    <row r="778" spans="1:250" x14ac:dyDescent="0.25">
      <c r="A778" s="7">
        <v>2.2770218259150519E-2</v>
      </c>
      <c r="B778"/>
      <c r="C778"/>
      <c r="D778"/>
      <c r="E778"/>
      <c r="F778" s="27" t="s">
        <v>7</v>
      </c>
      <c r="DM778" s="27" t="s">
        <v>8</v>
      </c>
      <c r="DN778" s="27" t="s">
        <v>7</v>
      </c>
      <c r="DO778" s="27" t="s">
        <v>8</v>
      </c>
      <c r="DQ778" s="27" t="s">
        <v>8</v>
      </c>
      <c r="EX778" s="27" t="s">
        <v>7</v>
      </c>
      <c r="EY778" s="27" t="s">
        <v>8</v>
      </c>
      <c r="GQ778" s="27" t="s">
        <v>8</v>
      </c>
      <c r="GR778" s="27" t="s">
        <v>7</v>
      </c>
      <c r="GS778" s="27" t="s">
        <v>8</v>
      </c>
      <c r="GT778" s="27" t="s">
        <v>7</v>
      </c>
      <c r="GW778" s="27" t="s">
        <v>8</v>
      </c>
      <c r="GX778" s="27" t="s">
        <v>7</v>
      </c>
      <c r="HO778" s="27" t="s">
        <v>8</v>
      </c>
      <c r="HP778" s="27" t="s">
        <v>7</v>
      </c>
      <c r="HY778" s="27" t="s">
        <v>8</v>
      </c>
      <c r="HZ778" s="27" t="s">
        <v>7</v>
      </c>
      <c r="IK778" s="27" t="s">
        <v>8</v>
      </c>
      <c r="IM778" s="27" t="s">
        <v>8</v>
      </c>
      <c r="IN778" s="27" t="s">
        <v>7</v>
      </c>
      <c r="IP778" s="27" t="s">
        <v>7</v>
      </c>
    </row>
    <row r="779" spans="1:250" x14ac:dyDescent="0.25">
      <c r="A779" s="7">
        <v>2.2323743391324039E-2</v>
      </c>
      <c r="B779"/>
      <c r="C779"/>
      <c r="D779"/>
      <c r="E779"/>
      <c r="F779" s="27" t="s">
        <v>7</v>
      </c>
      <c r="DM779" s="27" t="s">
        <v>8</v>
      </c>
      <c r="DN779" s="27" t="s">
        <v>7</v>
      </c>
      <c r="DO779" s="27" t="s">
        <v>8</v>
      </c>
      <c r="DP779" s="27" t="s">
        <v>7</v>
      </c>
      <c r="DQ779" s="27" t="s">
        <v>8</v>
      </c>
      <c r="EX779" s="27" t="s">
        <v>7</v>
      </c>
      <c r="EY779" s="27" t="s">
        <v>8</v>
      </c>
      <c r="EZ779" s="27" t="s">
        <v>7</v>
      </c>
      <c r="GQ779" s="27" t="s">
        <v>8</v>
      </c>
      <c r="GR779" s="27" t="s">
        <v>7</v>
      </c>
      <c r="GS779" s="27" t="s">
        <v>8</v>
      </c>
      <c r="GT779" s="27" t="s">
        <v>7</v>
      </c>
      <c r="GW779" s="27" t="s">
        <v>8</v>
      </c>
      <c r="GX779" s="27" t="s">
        <v>7</v>
      </c>
      <c r="HO779" s="27" t="s">
        <v>8</v>
      </c>
      <c r="HP779" s="27" t="s">
        <v>7</v>
      </c>
      <c r="HY779" s="27" t="s">
        <v>8</v>
      </c>
      <c r="HZ779" s="27" t="s">
        <v>7</v>
      </c>
      <c r="IK779" s="27" t="s">
        <v>8</v>
      </c>
      <c r="IL779" s="27" t="s">
        <v>7</v>
      </c>
      <c r="IM779" s="27" t="s">
        <v>8</v>
      </c>
      <c r="IP779" s="27" t="s">
        <v>7</v>
      </c>
    </row>
    <row r="780" spans="1:250" x14ac:dyDescent="0.25">
      <c r="A780" s="7">
        <v>2.188602293267063E-2</v>
      </c>
      <c r="B780"/>
      <c r="C780"/>
      <c r="D780"/>
      <c r="E780"/>
      <c r="F780" s="27" t="s">
        <v>7</v>
      </c>
      <c r="DM780" s="27" t="s">
        <v>8</v>
      </c>
      <c r="DN780" s="27" t="s">
        <v>7</v>
      </c>
      <c r="DO780" s="27" t="s">
        <v>8</v>
      </c>
      <c r="DP780" s="27" t="s">
        <v>7</v>
      </c>
      <c r="DQ780" s="27" t="s">
        <v>8</v>
      </c>
      <c r="EX780" s="27" t="s">
        <v>7</v>
      </c>
      <c r="EY780" s="27" t="s">
        <v>8</v>
      </c>
      <c r="EZ780" s="27" t="s">
        <v>7</v>
      </c>
      <c r="GQ780" s="27" t="s">
        <v>8</v>
      </c>
      <c r="GR780" s="27" t="s">
        <v>7</v>
      </c>
      <c r="GS780" s="27" t="s">
        <v>8</v>
      </c>
      <c r="GT780" s="27" t="s">
        <v>7</v>
      </c>
      <c r="GU780" s="27" t="s">
        <v>8</v>
      </c>
      <c r="GW780" s="27" t="s">
        <v>8</v>
      </c>
      <c r="GX780" s="27" t="s">
        <v>7</v>
      </c>
      <c r="HO780" s="27" t="s">
        <v>8</v>
      </c>
      <c r="HP780" s="27" t="s">
        <v>7</v>
      </c>
      <c r="HQ780" s="27" t="s">
        <v>8</v>
      </c>
      <c r="HY780" s="27" t="s">
        <v>8</v>
      </c>
      <c r="HZ780" s="27" t="s">
        <v>7</v>
      </c>
      <c r="IA780" s="27" t="s">
        <v>8</v>
      </c>
      <c r="II780" s="27" t="s">
        <v>8</v>
      </c>
      <c r="IK780" s="27" t="s">
        <v>8</v>
      </c>
      <c r="IL780" s="27" t="s">
        <v>7</v>
      </c>
      <c r="IM780" s="27" t="s">
        <v>8</v>
      </c>
      <c r="IP780" s="27" t="s">
        <v>7</v>
      </c>
    </row>
    <row r="781" spans="1:250" x14ac:dyDescent="0.25">
      <c r="A781" s="7">
        <v>2.1456885228108461E-2</v>
      </c>
      <c r="B781"/>
      <c r="C781"/>
      <c r="D781"/>
      <c r="E781"/>
      <c r="F781" s="27" t="s">
        <v>7</v>
      </c>
      <c r="DM781" s="27" t="s">
        <v>8</v>
      </c>
      <c r="DN781" s="27" t="s">
        <v>7</v>
      </c>
      <c r="DO781" s="27" t="s">
        <v>8</v>
      </c>
      <c r="DP781" s="27" t="s">
        <v>7</v>
      </c>
      <c r="DQ781" s="27" t="s">
        <v>8</v>
      </c>
      <c r="EX781" s="27" t="s">
        <v>7</v>
      </c>
      <c r="EY781" s="27" t="s">
        <v>8</v>
      </c>
      <c r="EZ781" s="27" t="s">
        <v>7</v>
      </c>
      <c r="GQ781" s="27" t="s">
        <v>8</v>
      </c>
      <c r="GR781" s="27" t="s">
        <v>7</v>
      </c>
      <c r="GS781" s="27" t="s">
        <v>8</v>
      </c>
      <c r="GT781" s="27" t="s">
        <v>7</v>
      </c>
      <c r="GU781" s="27" t="s">
        <v>8</v>
      </c>
      <c r="GV781" s="27" t="s">
        <v>7</v>
      </c>
      <c r="GW781" s="27" t="s">
        <v>8</v>
      </c>
      <c r="GX781" s="27" t="s">
        <v>7</v>
      </c>
      <c r="HO781" s="27" t="s">
        <v>8</v>
      </c>
      <c r="HP781" s="27" t="s">
        <v>7</v>
      </c>
      <c r="HQ781" s="27" t="s">
        <v>8</v>
      </c>
      <c r="HR781" s="27" t="s">
        <v>7</v>
      </c>
      <c r="HY781" s="27" t="s">
        <v>8</v>
      </c>
      <c r="HZ781" s="27" t="s">
        <v>7</v>
      </c>
      <c r="IA781" s="27" t="s">
        <v>8</v>
      </c>
      <c r="IB781" s="27" t="s">
        <v>7</v>
      </c>
      <c r="IC781" s="27" t="s">
        <v>8</v>
      </c>
      <c r="II781" s="27" t="s">
        <v>8</v>
      </c>
      <c r="IJ781" s="27" t="s">
        <v>7</v>
      </c>
      <c r="IK781" s="27" t="s">
        <v>8</v>
      </c>
      <c r="IL781" s="27" t="s">
        <v>7</v>
      </c>
      <c r="IM781" s="27" t="s">
        <v>8</v>
      </c>
      <c r="IP781" s="27" t="s">
        <v>7</v>
      </c>
    </row>
    <row r="782" spans="1:250" x14ac:dyDescent="0.25">
      <c r="A782" s="7">
        <v>2.1036161988341632E-2</v>
      </c>
      <c r="B782"/>
      <c r="C782"/>
      <c r="D782"/>
      <c r="E782"/>
      <c r="F782" s="27" t="s">
        <v>7</v>
      </c>
      <c r="DK782" s="27" t="s">
        <v>8</v>
      </c>
      <c r="DM782" s="27" t="s">
        <v>8</v>
      </c>
      <c r="DN782" s="27" t="s">
        <v>7</v>
      </c>
      <c r="DO782" s="27" t="s">
        <v>8</v>
      </c>
      <c r="DP782" s="27" t="s">
        <v>7</v>
      </c>
      <c r="DQ782" s="27" t="s">
        <v>8</v>
      </c>
      <c r="EX782" s="27" t="s">
        <v>7</v>
      </c>
      <c r="EY782" s="27" t="s">
        <v>8</v>
      </c>
      <c r="EZ782" s="27" t="s">
        <v>7</v>
      </c>
      <c r="GQ782" s="27" t="s">
        <v>8</v>
      </c>
      <c r="GR782" s="27" t="s">
        <v>7</v>
      </c>
      <c r="GS782" s="27" t="s">
        <v>8</v>
      </c>
      <c r="GT782" s="27" t="s">
        <v>7</v>
      </c>
      <c r="GU782" s="27" t="s">
        <v>8</v>
      </c>
      <c r="GV782" s="27" t="s">
        <v>7</v>
      </c>
      <c r="GW782" s="27" t="s">
        <v>8</v>
      </c>
      <c r="GX782" s="27" t="s">
        <v>7</v>
      </c>
      <c r="HO782" s="27" t="s">
        <v>8</v>
      </c>
      <c r="HP782" s="27" t="s">
        <v>7</v>
      </c>
      <c r="HQ782" s="27" t="s">
        <v>8</v>
      </c>
      <c r="HR782" s="27" t="s">
        <v>7</v>
      </c>
      <c r="HY782" s="27" t="s">
        <v>8</v>
      </c>
      <c r="HZ782" s="27" t="s">
        <v>7</v>
      </c>
      <c r="IA782" s="27" t="s">
        <v>8</v>
      </c>
      <c r="IB782" s="27" t="s">
        <v>7</v>
      </c>
      <c r="IC782" s="27" t="s">
        <v>8</v>
      </c>
      <c r="ID782" s="27" t="s">
        <v>7</v>
      </c>
      <c r="II782" s="27" t="s">
        <v>8</v>
      </c>
      <c r="IJ782" s="27" t="s">
        <v>7</v>
      </c>
      <c r="IK782" s="27" t="s">
        <v>8</v>
      </c>
      <c r="IL782" s="27" t="s">
        <v>7</v>
      </c>
      <c r="IM782" s="27" t="s">
        <v>8</v>
      </c>
      <c r="IP782" s="27" t="s">
        <v>7</v>
      </c>
    </row>
    <row r="783" spans="1:250" x14ac:dyDescent="0.25">
      <c r="A783" s="7">
        <v>2.0623688223864345E-2</v>
      </c>
      <c r="B783"/>
      <c r="C783"/>
      <c r="D783"/>
      <c r="E783"/>
      <c r="F783" s="27" t="s">
        <v>7</v>
      </c>
      <c r="DK783" s="27" t="s">
        <v>8</v>
      </c>
      <c r="DL783" s="27" t="s">
        <v>7</v>
      </c>
      <c r="DM783" s="27" t="s">
        <v>8</v>
      </c>
      <c r="DN783" s="27" t="s">
        <v>7</v>
      </c>
      <c r="DO783" s="27" t="s">
        <v>8</v>
      </c>
      <c r="DP783" s="27" t="s">
        <v>7</v>
      </c>
      <c r="DQ783" s="27" t="s">
        <v>8</v>
      </c>
      <c r="EX783" s="27" t="s">
        <v>7</v>
      </c>
      <c r="EY783" s="27" t="s">
        <v>8</v>
      </c>
      <c r="EZ783" s="27" t="s">
        <v>7</v>
      </c>
      <c r="FA783" s="27" t="s">
        <v>8</v>
      </c>
      <c r="GM783" s="27" t="s">
        <v>8</v>
      </c>
      <c r="GQ783" s="27" t="s">
        <v>8</v>
      </c>
      <c r="GR783" s="27" t="s">
        <v>7</v>
      </c>
      <c r="GS783" s="27" t="s">
        <v>8</v>
      </c>
      <c r="GT783" s="27" t="s">
        <v>7</v>
      </c>
      <c r="GU783" s="27" t="s">
        <v>8</v>
      </c>
      <c r="GV783" s="27" t="s">
        <v>7</v>
      </c>
      <c r="GW783" s="27" t="s">
        <v>8</v>
      </c>
      <c r="GX783" s="27" t="s">
        <v>7</v>
      </c>
      <c r="HO783" s="27" t="s">
        <v>8</v>
      </c>
      <c r="HP783" s="27" t="s">
        <v>7</v>
      </c>
      <c r="HQ783" s="27" t="s">
        <v>8</v>
      </c>
      <c r="HR783" s="27" t="s">
        <v>7</v>
      </c>
      <c r="HY783" s="27" t="s">
        <v>8</v>
      </c>
      <c r="HZ783" s="27" t="s">
        <v>7</v>
      </c>
      <c r="IA783" s="27" t="s">
        <v>8</v>
      </c>
      <c r="IB783" s="27" t="s">
        <v>7</v>
      </c>
      <c r="IC783" s="27" t="s">
        <v>8</v>
      </c>
      <c r="ID783" s="27" t="s">
        <v>7</v>
      </c>
      <c r="II783" s="27" t="s">
        <v>8</v>
      </c>
      <c r="IJ783" s="27" t="s">
        <v>7</v>
      </c>
      <c r="IK783" s="27" t="s">
        <v>8</v>
      </c>
      <c r="IL783" s="27" t="s">
        <v>7</v>
      </c>
      <c r="IM783" s="27" t="s">
        <v>8</v>
      </c>
      <c r="IP783" s="27" t="s">
        <v>7</v>
      </c>
    </row>
    <row r="784" spans="1:250" x14ac:dyDescent="0.25">
      <c r="A784" s="7">
        <v>2.021930218025916E-2</v>
      </c>
      <c r="B784"/>
      <c r="C784"/>
      <c r="D784"/>
      <c r="E784"/>
      <c r="F784" s="27" t="s">
        <v>7</v>
      </c>
      <c r="DK784" s="27" t="s">
        <v>8</v>
      </c>
      <c r="DL784" s="27" t="s">
        <v>7</v>
      </c>
      <c r="DM784" s="27" t="s">
        <v>8</v>
      </c>
      <c r="DN784" s="27" t="s">
        <v>7</v>
      </c>
      <c r="DO784" s="27" t="s">
        <v>8</v>
      </c>
      <c r="DP784" s="27" t="s">
        <v>7</v>
      </c>
      <c r="DQ784" s="27" t="s">
        <v>8</v>
      </c>
      <c r="EX784" s="27" t="s">
        <v>7</v>
      </c>
      <c r="EY784" s="27" t="s">
        <v>8</v>
      </c>
      <c r="EZ784" s="27" t="s">
        <v>7</v>
      </c>
      <c r="FA784" s="27" t="s">
        <v>8</v>
      </c>
      <c r="FB784" s="27" t="s">
        <v>7</v>
      </c>
      <c r="FG784" s="27" t="s">
        <v>8</v>
      </c>
      <c r="GE784" s="27" t="s">
        <v>8</v>
      </c>
      <c r="GM784" s="27" t="s">
        <v>8</v>
      </c>
      <c r="GN784" s="27" t="s">
        <v>7</v>
      </c>
      <c r="GQ784" s="27" t="s">
        <v>8</v>
      </c>
      <c r="GR784" s="27" t="s">
        <v>7</v>
      </c>
      <c r="GT784" s="27" t="s">
        <v>7</v>
      </c>
      <c r="GV784" s="27" t="s">
        <v>7</v>
      </c>
      <c r="GW784" s="27" t="s">
        <v>8</v>
      </c>
      <c r="GX784" s="27" t="s">
        <v>7</v>
      </c>
      <c r="GY784" s="27" t="s">
        <v>8</v>
      </c>
      <c r="HO784" s="27" t="s">
        <v>8</v>
      </c>
      <c r="HP784" s="27" t="s">
        <v>7</v>
      </c>
      <c r="HQ784" s="27" t="s">
        <v>8</v>
      </c>
      <c r="HR784" s="27" t="s">
        <v>7</v>
      </c>
      <c r="HY784" s="27" t="s">
        <v>8</v>
      </c>
      <c r="HZ784" s="27" t="s">
        <v>7</v>
      </c>
      <c r="IA784" s="27" t="s">
        <v>8</v>
      </c>
      <c r="IB784" s="27" t="s">
        <v>7</v>
      </c>
      <c r="IC784" s="27" t="s">
        <v>8</v>
      </c>
      <c r="ID784" s="27" t="s">
        <v>7</v>
      </c>
      <c r="IE784" s="27" t="s">
        <v>8</v>
      </c>
      <c r="IG784" s="27" t="s">
        <v>8</v>
      </c>
      <c r="II784" s="27" t="s">
        <v>8</v>
      </c>
      <c r="IJ784" s="27" t="s">
        <v>7</v>
      </c>
      <c r="IK784" s="27" t="s">
        <v>8</v>
      </c>
      <c r="IL784" s="27" t="s">
        <v>7</v>
      </c>
      <c r="IM784" s="27" t="s">
        <v>8</v>
      </c>
      <c r="IP784" s="27" t="s">
        <v>7</v>
      </c>
    </row>
    <row r="785" spans="1:266" x14ac:dyDescent="0.25">
      <c r="A785" s="7">
        <v>1.9822845274763884E-2</v>
      </c>
      <c r="B785"/>
      <c r="C785"/>
      <c r="D785"/>
      <c r="E785"/>
      <c r="F785" s="27" t="s">
        <v>7</v>
      </c>
      <c r="DK785" s="27" t="s">
        <v>8</v>
      </c>
      <c r="DL785" s="27" t="s">
        <v>7</v>
      </c>
      <c r="DM785" s="27" t="s">
        <v>8</v>
      </c>
      <c r="DN785" s="27" t="s">
        <v>7</v>
      </c>
      <c r="DO785" s="27" t="s">
        <v>8</v>
      </c>
      <c r="DP785" s="27" t="s">
        <v>7</v>
      </c>
      <c r="DQ785" s="27" t="s">
        <v>8</v>
      </c>
      <c r="EX785" s="27" t="s">
        <v>7</v>
      </c>
      <c r="EY785" s="27" t="s">
        <v>8</v>
      </c>
      <c r="EZ785" s="27" t="s">
        <v>7</v>
      </c>
      <c r="FA785" s="27" t="s">
        <v>8</v>
      </c>
      <c r="FB785" s="27" t="s">
        <v>7</v>
      </c>
      <c r="FG785" s="27" t="s">
        <v>8</v>
      </c>
      <c r="FH785" s="27" t="s">
        <v>7</v>
      </c>
      <c r="GE785" s="27" t="s">
        <v>8</v>
      </c>
      <c r="GF785" s="27" t="s">
        <v>7</v>
      </c>
      <c r="GM785" s="27" t="s">
        <v>8</v>
      </c>
      <c r="GN785" s="27" t="s">
        <v>7</v>
      </c>
      <c r="GO785" s="27" t="s">
        <v>8</v>
      </c>
      <c r="GQ785" s="27" t="s">
        <v>8</v>
      </c>
      <c r="GV785" s="27" t="s">
        <v>7</v>
      </c>
      <c r="GW785" s="27" t="s">
        <v>8</v>
      </c>
      <c r="GX785" s="27" t="s">
        <v>7</v>
      </c>
      <c r="GY785" s="27" t="s">
        <v>8</v>
      </c>
      <c r="GZ785" s="27" t="s">
        <v>7</v>
      </c>
      <c r="HA785" s="27" t="s">
        <v>8</v>
      </c>
      <c r="HO785" s="27" t="s">
        <v>8</v>
      </c>
      <c r="HP785" s="27" t="s">
        <v>7</v>
      </c>
      <c r="HQ785" s="27" t="s">
        <v>8</v>
      </c>
      <c r="HR785" s="27" t="s">
        <v>7</v>
      </c>
      <c r="HS785" s="27" t="s">
        <v>8</v>
      </c>
      <c r="HY785" s="27" t="s">
        <v>8</v>
      </c>
      <c r="HZ785" s="27" t="s">
        <v>7</v>
      </c>
      <c r="IA785" s="27" t="s">
        <v>8</v>
      </c>
      <c r="IB785" s="27" t="s">
        <v>7</v>
      </c>
      <c r="IC785" s="27" t="s">
        <v>8</v>
      </c>
      <c r="ID785" s="27" t="s">
        <v>7</v>
      </c>
      <c r="IE785" s="27" t="s">
        <v>8</v>
      </c>
      <c r="IF785" s="27" t="s">
        <v>7</v>
      </c>
      <c r="IG785" s="27" t="s">
        <v>8</v>
      </c>
      <c r="IH785" s="27" t="s">
        <v>7</v>
      </c>
      <c r="II785" s="27" t="s">
        <v>8</v>
      </c>
      <c r="IJ785" s="27" t="s">
        <v>7</v>
      </c>
      <c r="IK785" s="27" t="s">
        <v>8</v>
      </c>
      <c r="IL785" s="27" t="s">
        <v>7</v>
      </c>
      <c r="IP785" s="27" t="s">
        <v>7</v>
      </c>
    </row>
    <row r="786" spans="1:266" x14ac:dyDescent="0.25">
      <c r="A786" s="7">
        <v>1.9434162034082238E-2</v>
      </c>
      <c r="B786"/>
      <c r="C786"/>
      <c r="D786"/>
      <c r="E786"/>
      <c r="F786" s="27" t="s">
        <v>7</v>
      </c>
      <c r="DK786" s="27" t="s">
        <v>8</v>
      </c>
      <c r="DL786" s="27" t="s">
        <v>7</v>
      </c>
      <c r="DM786" s="27" t="s">
        <v>8</v>
      </c>
      <c r="DN786" s="27" t="s">
        <v>7</v>
      </c>
      <c r="DO786" s="27" t="s">
        <v>8</v>
      </c>
      <c r="DP786" s="27" t="s">
        <v>7</v>
      </c>
      <c r="DQ786" s="27" t="s">
        <v>8</v>
      </c>
      <c r="EX786" s="27" t="s">
        <v>7</v>
      </c>
      <c r="EY786" s="27" t="s">
        <v>8</v>
      </c>
      <c r="EZ786" s="27" t="s">
        <v>7</v>
      </c>
      <c r="FA786" s="27" t="s">
        <v>8</v>
      </c>
      <c r="FB786" s="27" t="s">
        <v>7</v>
      </c>
      <c r="FG786" s="27" t="s">
        <v>8</v>
      </c>
      <c r="FH786" s="27" t="s">
        <v>7</v>
      </c>
      <c r="GE786" s="27" t="s">
        <v>8</v>
      </c>
      <c r="GF786" s="27" t="s">
        <v>7</v>
      </c>
      <c r="GK786" s="27" t="s">
        <v>8</v>
      </c>
      <c r="GM786" s="27" t="s">
        <v>8</v>
      </c>
      <c r="GN786" s="27" t="s">
        <v>7</v>
      </c>
      <c r="GO786" s="27" t="s">
        <v>8</v>
      </c>
      <c r="GP786" s="27" t="s">
        <v>7</v>
      </c>
      <c r="GQ786" s="27" t="s">
        <v>8</v>
      </c>
      <c r="GV786" s="27" t="s">
        <v>7</v>
      </c>
      <c r="GW786" s="27" t="s">
        <v>8</v>
      </c>
      <c r="GX786" s="27" t="s">
        <v>7</v>
      </c>
      <c r="GY786" s="27" t="s">
        <v>8</v>
      </c>
      <c r="GZ786" s="27" t="s">
        <v>7</v>
      </c>
      <c r="HA786" s="27" t="s">
        <v>8</v>
      </c>
      <c r="HB786" s="27" t="s">
        <v>7</v>
      </c>
      <c r="HC786" s="27" t="s">
        <v>8</v>
      </c>
      <c r="HO786" s="27" t="s">
        <v>8</v>
      </c>
      <c r="HP786" s="27" t="s">
        <v>7</v>
      </c>
      <c r="HQ786" s="27" t="s">
        <v>8</v>
      </c>
      <c r="HR786" s="27" t="s">
        <v>7</v>
      </c>
      <c r="HS786" s="27" t="s">
        <v>8</v>
      </c>
      <c r="HT786" s="27" t="s">
        <v>7</v>
      </c>
      <c r="HW786" s="27" t="s">
        <v>8</v>
      </c>
      <c r="HY786" s="27" t="s">
        <v>8</v>
      </c>
      <c r="HZ786" s="27" t="s">
        <v>7</v>
      </c>
      <c r="IA786" s="27" t="s">
        <v>8</v>
      </c>
      <c r="IB786" s="27" t="s">
        <v>7</v>
      </c>
      <c r="IC786" s="27" t="s">
        <v>8</v>
      </c>
      <c r="ID786" s="27" t="s">
        <v>7</v>
      </c>
      <c r="IE786" s="27" t="s">
        <v>8</v>
      </c>
      <c r="IF786" s="27" t="s">
        <v>7</v>
      </c>
      <c r="IG786" s="27" t="s">
        <v>8</v>
      </c>
      <c r="IH786" s="27" t="s">
        <v>7</v>
      </c>
      <c r="II786" s="27" t="s">
        <v>8</v>
      </c>
      <c r="IJ786" s="27" t="s">
        <v>7</v>
      </c>
      <c r="IK786" s="27" t="s">
        <v>8</v>
      </c>
      <c r="IP786" s="27" t="s">
        <v>7</v>
      </c>
    </row>
    <row r="787" spans="1:266" x14ac:dyDescent="0.25">
      <c r="A787" s="7">
        <v>1.9053100033413959E-2</v>
      </c>
      <c r="B787"/>
      <c r="C787"/>
      <c r="D787"/>
      <c r="E787"/>
      <c r="F787" s="27" t="s">
        <v>7</v>
      </c>
      <c r="DK787" s="27" t="s">
        <v>8</v>
      </c>
      <c r="DL787" s="27" t="s">
        <v>7</v>
      </c>
      <c r="DM787" s="27" t="s">
        <v>8</v>
      </c>
      <c r="DN787" s="27" t="s">
        <v>7</v>
      </c>
      <c r="DO787" s="27" t="s">
        <v>8</v>
      </c>
      <c r="DP787" s="27" t="s">
        <v>7</v>
      </c>
      <c r="DQ787" s="27" t="s">
        <v>8</v>
      </c>
      <c r="EX787" s="27" t="s">
        <v>7</v>
      </c>
      <c r="EY787" s="27" t="s">
        <v>8</v>
      </c>
      <c r="EZ787" s="27" t="s">
        <v>7</v>
      </c>
      <c r="FA787" s="27" t="s">
        <v>8</v>
      </c>
      <c r="FB787" s="27" t="s">
        <v>7</v>
      </c>
      <c r="FG787" s="27" t="s">
        <v>8</v>
      </c>
      <c r="FH787" s="27" t="s">
        <v>7</v>
      </c>
      <c r="GE787" s="27" t="s">
        <v>8</v>
      </c>
      <c r="GF787" s="27" t="s">
        <v>7</v>
      </c>
      <c r="GI787" s="27" t="s">
        <v>8</v>
      </c>
      <c r="GK787" s="27" t="s">
        <v>8</v>
      </c>
      <c r="GL787" s="27" t="s">
        <v>7</v>
      </c>
      <c r="GM787" s="27" t="s">
        <v>8</v>
      </c>
      <c r="GN787" s="27" t="s">
        <v>7</v>
      </c>
      <c r="GO787" s="27" t="s">
        <v>8</v>
      </c>
      <c r="GP787" s="27" t="s">
        <v>7</v>
      </c>
      <c r="GQ787" s="27" t="s">
        <v>8</v>
      </c>
      <c r="GV787" s="27" t="s">
        <v>7</v>
      </c>
      <c r="GX787" s="27" t="s">
        <v>7</v>
      </c>
      <c r="GY787" s="27" t="s">
        <v>8</v>
      </c>
      <c r="GZ787" s="27" t="s">
        <v>7</v>
      </c>
      <c r="HA787" s="27" t="s">
        <v>8</v>
      </c>
      <c r="HB787" s="27" t="s">
        <v>7</v>
      </c>
      <c r="HC787" s="27" t="s">
        <v>8</v>
      </c>
      <c r="HD787" s="27" t="s">
        <v>7</v>
      </c>
      <c r="HE787" s="27" t="s">
        <v>8</v>
      </c>
      <c r="HO787" s="27" t="s">
        <v>8</v>
      </c>
      <c r="HP787" s="27" t="s">
        <v>7</v>
      </c>
      <c r="HQ787" s="27" t="s">
        <v>8</v>
      </c>
      <c r="HR787" s="27" t="s">
        <v>7</v>
      </c>
      <c r="HS787" s="27" t="s">
        <v>8</v>
      </c>
      <c r="HT787" s="27" t="s">
        <v>7</v>
      </c>
      <c r="HU787" s="27" t="s">
        <v>8</v>
      </c>
      <c r="HW787" s="27" t="s">
        <v>8</v>
      </c>
      <c r="HX787" s="27" t="s">
        <v>7</v>
      </c>
      <c r="HY787" s="27" t="s">
        <v>8</v>
      </c>
      <c r="HZ787" s="27" t="s">
        <v>7</v>
      </c>
      <c r="IB787" s="27" t="s">
        <v>7</v>
      </c>
      <c r="IC787" s="27" t="s">
        <v>8</v>
      </c>
      <c r="ID787" s="27" t="s">
        <v>7</v>
      </c>
      <c r="IF787" s="27" t="s">
        <v>7</v>
      </c>
      <c r="IH787" s="27" t="s">
        <v>7</v>
      </c>
      <c r="II787" s="27" t="s">
        <v>8</v>
      </c>
      <c r="IJ787" s="27" t="s">
        <v>7</v>
      </c>
      <c r="IK787" s="27" t="s">
        <v>8</v>
      </c>
      <c r="IP787" s="27" t="s">
        <v>7</v>
      </c>
    </row>
    <row r="788" spans="1:266" x14ac:dyDescent="0.25">
      <c r="A788" s="7">
        <v>1.867950983668035E-2</v>
      </c>
      <c r="B788"/>
      <c r="C788"/>
      <c r="D788"/>
      <c r="E788"/>
      <c r="F788" s="27" t="s">
        <v>7</v>
      </c>
      <c r="DK788" s="27" t="s">
        <v>8</v>
      </c>
      <c r="DL788" s="27" t="s">
        <v>7</v>
      </c>
      <c r="DM788" s="27" t="s">
        <v>8</v>
      </c>
      <c r="DN788" s="27" t="s">
        <v>7</v>
      </c>
      <c r="DP788" s="27" t="s">
        <v>7</v>
      </c>
      <c r="DQ788" s="27" t="s">
        <v>8</v>
      </c>
      <c r="EX788" s="27" t="s">
        <v>7</v>
      </c>
      <c r="EY788" s="27" t="s">
        <v>8</v>
      </c>
      <c r="EZ788" s="27" t="s">
        <v>7</v>
      </c>
      <c r="FA788" s="27" t="s">
        <v>8</v>
      </c>
      <c r="FB788" s="27" t="s">
        <v>7</v>
      </c>
      <c r="FG788" s="27" t="s">
        <v>8</v>
      </c>
      <c r="FH788" s="27" t="s">
        <v>7</v>
      </c>
      <c r="GE788" s="27" t="s">
        <v>8</v>
      </c>
      <c r="GF788" s="27" t="s">
        <v>7</v>
      </c>
      <c r="GI788" s="27" t="s">
        <v>8</v>
      </c>
      <c r="GJ788" s="27" t="s">
        <v>7</v>
      </c>
      <c r="GK788" s="27" t="s">
        <v>8</v>
      </c>
      <c r="GL788" s="27" t="s">
        <v>7</v>
      </c>
      <c r="GM788" s="27" t="s">
        <v>8</v>
      </c>
      <c r="GN788" s="27" t="s">
        <v>7</v>
      </c>
      <c r="GO788" s="27" t="s">
        <v>8</v>
      </c>
      <c r="GP788" s="27" t="s">
        <v>7</v>
      </c>
      <c r="GX788" s="27" t="s">
        <v>7</v>
      </c>
      <c r="GY788" s="27" t="s">
        <v>8</v>
      </c>
      <c r="GZ788" s="27" t="s">
        <v>7</v>
      </c>
      <c r="HA788" s="27" t="s">
        <v>8</v>
      </c>
      <c r="HB788" s="27" t="s">
        <v>7</v>
      </c>
      <c r="HC788" s="27" t="s">
        <v>8</v>
      </c>
      <c r="HD788" s="27" t="s">
        <v>7</v>
      </c>
      <c r="HE788" s="27" t="s">
        <v>8</v>
      </c>
      <c r="HF788" s="27" t="s">
        <v>7</v>
      </c>
      <c r="HO788" s="27" t="s">
        <v>8</v>
      </c>
      <c r="HP788" s="27" t="s">
        <v>7</v>
      </c>
      <c r="HQ788" s="27" t="s">
        <v>8</v>
      </c>
      <c r="HR788" s="27" t="s">
        <v>7</v>
      </c>
      <c r="HS788" s="27" t="s">
        <v>8</v>
      </c>
      <c r="HT788" s="27" t="s">
        <v>7</v>
      </c>
      <c r="HU788" s="27" t="s">
        <v>8</v>
      </c>
      <c r="HV788" s="27" t="s">
        <v>7</v>
      </c>
      <c r="HW788" s="27" t="s">
        <v>8</v>
      </c>
      <c r="HX788" s="27" t="s">
        <v>7</v>
      </c>
      <c r="HY788" s="27" t="s">
        <v>8</v>
      </c>
      <c r="IB788" s="27" t="s">
        <v>7</v>
      </c>
      <c r="IH788" s="27" t="s">
        <v>7</v>
      </c>
      <c r="II788" s="27" t="s">
        <v>8</v>
      </c>
      <c r="IJ788" s="27" t="s">
        <v>7</v>
      </c>
      <c r="IK788" s="27" t="s">
        <v>8</v>
      </c>
      <c r="IP788" s="27" t="s">
        <v>7</v>
      </c>
      <c r="IQ788" s="27" t="s">
        <v>8</v>
      </c>
    </row>
    <row r="789" spans="1:266" x14ac:dyDescent="0.25">
      <c r="A789" s="7">
        <v>1.8313244937921913E-2</v>
      </c>
      <c r="B789"/>
      <c r="C789"/>
      <c r="D789"/>
      <c r="E789"/>
      <c r="F789" s="27" t="s">
        <v>7</v>
      </c>
      <c r="DK789" s="27" t="s">
        <v>8</v>
      </c>
      <c r="DL789" s="27" t="s">
        <v>7</v>
      </c>
      <c r="DM789" s="27" t="s">
        <v>8</v>
      </c>
      <c r="DP789" s="27" t="s">
        <v>7</v>
      </c>
      <c r="DQ789" s="27" t="s">
        <v>8</v>
      </c>
      <c r="EX789" s="27" t="s">
        <v>7</v>
      </c>
      <c r="EY789" s="27" t="s">
        <v>8</v>
      </c>
      <c r="EZ789" s="27" t="s">
        <v>7</v>
      </c>
      <c r="FA789" s="27" t="s">
        <v>8</v>
      </c>
      <c r="FB789" s="27" t="s">
        <v>7</v>
      </c>
      <c r="FG789" s="27" t="s">
        <v>8</v>
      </c>
      <c r="FH789" s="27" t="s">
        <v>7</v>
      </c>
      <c r="GE789" s="27" t="s">
        <v>8</v>
      </c>
      <c r="GF789" s="27" t="s">
        <v>7</v>
      </c>
      <c r="GI789" s="27" t="s">
        <v>8</v>
      </c>
      <c r="GJ789" s="27" t="s">
        <v>7</v>
      </c>
      <c r="GK789" s="27" t="s">
        <v>8</v>
      </c>
      <c r="GL789" s="27" t="s">
        <v>7</v>
      </c>
      <c r="GN789" s="27" t="s">
        <v>7</v>
      </c>
      <c r="GO789" s="27" t="s">
        <v>8</v>
      </c>
      <c r="GX789" s="27" t="s">
        <v>7</v>
      </c>
      <c r="GY789" s="27" t="s">
        <v>8</v>
      </c>
      <c r="GZ789" s="27" t="s">
        <v>7</v>
      </c>
      <c r="HA789" s="27" t="s">
        <v>8</v>
      </c>
      <c r="HB789" s="27" t="s">
        <v>7</v>
      </c>
      <c r="HC789" s="27" t="s">
        <v>8</v>
      </c>
      <c r="HD789" s="27" t="s">
        <v>7</v>
      </c>
      <c r="HE789" s="27" t="s">
        <v>8</v>
      </c>
      <c r="HF789" s="27" t="s">
        <v>7</v>
      </c>
      <c r="HO789" s="27" t="s">
        <v>8</v>
      </c>
      <c r="HP789" s="27" t="s">
        <v>7</v>
      </c>
      <c r="HR789" s="27" t="s">
        <v>7</v>
      </c>
      <c r="HS789" s="27" t="s">
        <v>8</v>
      </c>
      <c r="HT789" s="27" t="s">
        <v>7</v>
      </c>
      <c r="HU789" s="27" t="s">
        <v>8</v>
      </c>
      <c r="HV789" s="27" t="s">
        <v>7</v>
      </c>
      <c r="HW789" s="27" t="s">
        <v>8</v>
      </c>
      <c r="HX789" s="27" t="s">
        <v>7</v>
      </c>
      <c r="HY789" s="27" t="s">
        <v>8</v>
      </c>
      <c r="IH789" s="27" t="s">
        <v>7</v>
      </c>
      <c r="II789" s="27" t="s">
        <v>8</v>
      </c>
      <c r="IJ789" s="27" t="s">
        <v>7</v>
      </c>
      <c r="IP789" s="27" t="s">
        <v>7</v>
      </c>
      <c r="IQ789" s="27" t="s">
        <v>8</v>
      </c>
      <c r="IR789" s="27" t="s">
        <v>7</v>
      </c>
      <c r="IS789" s="27" t="s">
        <v>8</v>
      </c>
    </row>
    <row r="790" spans="1:266" x14ac:dyDescent="0.25">
      <c r="A790" s="7">
        <v>1.7954161703845013E-2</v>
      </c>
      <c r="B790"/>
      <c r="C790"/>
      <c r="D790"/>
      <c r="E790"/>
      <c r="F790" s="27" t="s">
        <v>7</v>
      </c>
      <c r="DK790" s="27" t="s">
        <v>8</v>
      </c>
      <c r="DL790" s="27" t="s">
        <v>7</v>
      </c>
      <c r="DM790" s="27" t="s">
        <v>8</v>
      </c>
      <c r="DP790" s="27" t="s">
        <v>7</v>
      </c>
      <c r="DQ790" s="27" t="s">
        <v>8</v>
      </c>
      <c r="EX790" s="27" t="s">
        <v>7</v>
      </c>
      <c r="EY790" s="27" t="s">
        <v>8</v>
      </c>
      <c r="EZ790" s="27" t="s">
        <v>7</v>
      </c>
      <c r="FA790" s="27" t="s">
        <v>8</v>
      </c>
      <c r="FB790" s="27" t="s">
        <v>7</v>
      </c>
      <c r="FE790" s="27" t="s">
        <v>8</v>
      </c>
      <c r="FG790" s="27" t="s">
        <v>8</v>
      </c>
      <c r="FH790" s="27" t="s">
        <v>7</v>
      </c>
      <c r="GE790" s="27" t="s">
        <v>8</v>
      </c>
      <c r="GF790" s="27" t="s">
        <v>7</v>
      </c>
      <c r="GI790" s="27" t="s">
        <v>8</v>
      </c>
      <c r="GJ790" s="27" t="s">
        <v>7</v>
      </c>
      <c r="GK790" s="27" t="s">
        <v>8</v>
      </c>
      <c r="GN790" s="27" t="s">
        <v>7</v>
      </c>
      <c r="GO790" s="27" t="s">
        <v>8</v>
      </c>
      <c r="GX790" s="27" t="s">
        <v>7</v>
      </c>
      <c r="GY790" s="27" t="s">
        <v>8</v>
      </c>
      <c r="GZ790" s="27" t="s">
        <v>7</v>
      </c>
      <c r="HB790" s="27" t="s">
        <v>7</v>
      </c>
      <c r="HC790" s="27" t="s">
        <v>8</v>
      </c>
      <c r="HD790" s="27" t="s">
        <v>7</v>
      </c>
      <c r="HF790" s="27" t="s">
        <v>7</v>
      </c>
      <c r="HO790" s="27" t="s">
        <v>8</v>
      </c>
      <c r="HR790" s="27" t="s">
        <v>7</v>
      </c>
      <c r="HS790" s="27" t="s">
        <v>8</v>
      </c>
      <c r="HT790" s="27" t="s">
        <v>7</v>
      </c>
      <c r="HU790" s="27" t="s">
        <v>8</v>
      </c>
      <c r="HV790" s="27" t="s">
        <v>7</v>
      </c>
      <c r="HX790" s="27" t="s">
        <v>7</v>
      </c>
      <c r="HY790" s="27" t="s">
        <v>8</v>
      </c>
      <c r="IH790" s="27" t="s">
        <v>7</v>
      </c>
      <c r="II790" s="27" t="s">
        <v>8</v>
      </c>
      <c r="IP790" s="27" t="s">
        <v>7</v>
      </c>
      <c r="IQ790" s="27" t="s">
        <v>8</v>
      </c>
      <c r="IR790" s="27" t="s">
        <v>7</v>
      </c>
      <c r="IS790" s="27" t="s">
        <v>8</v>
      </c>
      <c r="IT790" s="27" t="s">
        <v>7</v>
      </c>
    </row>
    <row r="791" spans="1:266" x14ac:dyDescent="0.25">
      <c r="A791" s="7">
        <v>1.7602119317495109E-2</v>
      </c>
      <c r="B791"/>
      <c r="C791"/>
      <c r="D791"/>
      <c r="E791"/>
      <c r="F791" s="27" t="s">
        <v>7</v>
      </c>
      <c r="DK791" s="27" t="s">
        <v>8</v>
      </c>
      <c r="DL791" s="27" t="s">
        <v>7</v>
      </c>
      <c r="DM791" s="27" t="s">
        <v>8</v>
      </c>
      <c r="DP791" s="27" t="s">
        <v>7</v>
      </c>
      <c r="EX791" s="27" t="s">
        <v>7</v>
      </c>
      <c r="EY791" s="27" t="s">
        <v>8</v>
      </c>
      <c r="EZ791" s="27" t="s">
        <v>7</v>
      </c>
      <c r="FA791" s="27" t="s">
        <v>8</v>
      </c>
      <c r="FB791" s="27" t="s">
        <v>7</v>
      </c>
      <c r="FC791" s="27" t="s">
        <v>8</v>
      </c>
      <c r="FE791" s="27" t="s">
        <v>8</v>
      </c>
      <c r="FF791" s="27" t="s">
        <v>7</v>
      </c>
      <c r="FG791" s="27" t="s">
        <v>8</v>
      </c>
      <c r="FH791" s="27" t="s">
        <v>7</v>
      </c>
      <c r="FI791" s="27" t="s">
        <v>8</v>
      </c>
      <c r="GE791" s="27" t="s">
        <v>8</v>
      </c>
      <c r="GF791" s="27" t="s">
        <v>7</v>
      </c>
      <c r="GG791" s="27" t="s">
        <v>8</v>
      </c>
      <c r="GI791" s="27" t="s">
        <v>8</v>
      </c>
      <c r="GJ791" s="27" t="s">
        <v>7</v>
      </c>
      <c r="GK791" s="27" t="s">
        <v>8</v>
      </c>
      <c r="GN791" s="27" t="s">
        <v>7</v>
      </c>
      <c r="GO791" s="27" t="s">
        <v>8</v>
      </c>
      <c r="GX791" s="27" t="s">
        <v>7</v>
      </c>
      <c r="GY791" s="27" t="s">
        <v>8</v>
      </c>
      <c r="HB791" s="27" t="s">
        <v>7</v>
      </c>
      <c r="HC791" s="27" t="s">
        <v>8</v>
      </c>
      <c r="HF791" s="27" t="s">
        <v>7</v>
      </c>
      <c r="HO791" s="27" t="s">
        <v>8</v>
      </c>
      <c r="HR791" s="27" t="s">
        <v>7</v>
      </c>
      <c r="HS791" s="27" t="s">
        <v>8</v>
      </c>
      <c r="HT791" s="27" t="s">
        <v>7</v>
      </c>
      <c r="HU791" s="27" t="s">
        <v>8</v>
      </c>
      <c r="HX791" s="27" t="s">
        <v>7</v>
      </c>
      <c r="HY791" s="27" t="s">
        <v>8</v>
      </c>
      <c r="IH791" s="27" t="s">
        <v>7</v>
      </c>
      <c r="IP791" s="27" t="s">
        <v>7</v>
      </c>
      <c r="IQ791" s="27" t="s">
        <v>8</v>
      </c>
      <c r="IR791" s="27" t="s">
        <v>7</v>
      </c>
      <c r="IS791" s="27" t="s">
        <v>8</v>
      </c>
      <c r="IT791" s="27" t="s">
        <v>7</v>
      </c>
      <c r="JC791" s="27" t="s">
        <v>8</v>
      </c>
    </row>
    <row r="792" spans="1:266" x14ac:dyDescent="0.25">
      <c r="A792" s="7">
        <v>1.7256979723034419E-2</v>
      </c>
      <c r="B792"/>
      <c r="C792"/>
      <c r="D792"/>
      <c r="E792"/>
      <c r="F792" s="27" t="s">
        <v>7</v>
      </c>
      <c r="DK792" s="27" t="s">
        <v>8</v>
      </c>
      <c r="DL792" s="27" t="s">
        <v>7</v>
      </c>
      <c r="EX792" s="27" t="s">
        <v>7</v>
      </c>
      <c r="EY792" s="27" t="s">
        <v>8</v>
      </c>
      <c r="EZ792" s="27" t="s">
        <v>7</v>
      </c>
      <c r="FA792" s="27" t="s">
        <v>8</v>
      </c>
      <c r="FB792" s="27" t="s">
        <v>7</v>
      </c>
      <c r="FC792" s="27" t="s">
        <v>8</v>
      </c>
      <c r="FD792" s="27" t="s">
        <v>7</v>
      </c>
      <c r="FE792" s="27" t="s">
        <v>8</v>
      </c>
      <c r="FF792" s="27" t="s">
        <v>7</v>
      </c>
      <c r="FG792" s="27" t="s">
        <v>8</v>
      </c>
      <c r="FH792" s="27" t="s">
        <v>7</v>
      </c>
      <c r="FI792" s="27" t="s">
        <v>8</v>
      </c>
      <c r="FJ792" s="27" t="s">
        <v>7</v>
      </c>
      <c r="GE792" s="27" t="s">
        <v>8</v>
      </c>
      <c r="GF792" s="27" t="s">
        <v>7</v>
      </c>
      <c r="GG792" s="27" t="s">
        <v>8</v>
      </c>
      <c r="GH792" s="27" t="s">
        <v>7</v>
      </c>
      <c r="GI792" s="27" t="s">
        <v>8</v>
      </c>
      <c r="GJ792" s="27" t="s">
        <v>7</v>
      </c>
      <c r="GK792" s="27" t="s">
        <v>8</v>
      </c>
      <c r="GN792" s="27" t="s">
        <v>7</v>
      </c>
      <c r="GO792" s="27" t="s">
        <v>8</v>
      </c>
      <c r="GX792" s="27" t="s">
        <v>7</v>
      </c>
      <c r="GY792" s="27" t="s">
        <v>8</v>
      </c>
      <c r="HB792" s="27" t="s">
        <v>7</v>
      </c>
      <c r="HF792" s="27" t="s">
        <v>7</v>
      </c>
      <c r="HO792" s="27" t="s">
        <v>8</v>
      </c>
      <c r="HR792" s="27" t="s">
        <v>7</v>
      </c>
      <c r="HT792" s="27" t="s">
        <v>7</v>
      </c>
      <c r="HX792" s="27" t="s">
        <v>7</v>
      </c>
      <c r="HY792" s="27" t="s">
        <v>8</v>
      </c>
      <c r="IP792" s="27" t="s">
        <v>7</v>
      </c>
      <c r="IQ792" s="27" t="s">
        <v>8</v>
      </c>
      <c r="IR792" s="27" t="s">
        <v>7</v>
      </c>
      <c r="IS792" s="27" t="s">
        <v>8</v>
      </c>
      <c r="IT792" s="27" t="s">
        <v>7</v>
      </c>
      <c r="JA792" s="27" t="s">
        <v>8</v>
      </c>
      <c r="JC792" s="27" t="s">
        <v>8</v>
      </c>
      <c r="JD792" s="27" t="s">
        <v>7</v>
      </c>
    </row>
    <row r="793" spans="1:266" x14ac:dyDescent="0.25">
      <c r="A793" s="7">
        <v>1.6918607571602372E-2</v>
      </c>
      <c r="B793"/>
      <c r="C793"/>
      <c r="D793"/>
      <c r="E793"/>
      <c r="F793" s="27" t="s">
        <v>7</v>
      </c>
      <c r="DK793" s="27" t="s">
        <v>8</v>
      </c>
      <c r="EX793" s="27" t="s">
        <v>7</v>
      </c>
      <c r="EY793" s="27" t="s">
        <v>8</v>
      </c>
      <c r="EZ793" s="27" t="s">
        <v>7</v>
      </c>
      <c r="FA793" s="27" t="s">
        <v>8</v>
      </c>
      <c r="FB793" s="27" t="s">
        <v>7</v>
      </c>
      <c r="FC793" s="27" t="s">
        <v>8</v>
      </c>
      <c r="FD793" s="27" t="s">
        <v>7</v>
      </c>
      <c r="FE793" s="27" t="s">
        <v>8</v>
      </c>
      <c r="FF793" s="27" t="s">
        <v>7</v>
      </c>
      <c r="FH793" s="27" t="s">
        <v>7</v>
      </c>
      <c r="FI793" s="27" t="s">
        <v>8</v>
      </c>
      <c r="FJ793" s="27" t="s">
        <v>7</v>
      </c>
      <c r="GE793" s="27" t="s">
        <v>8</v>
      </c>
      <c r="GF793" s="27" t="s">
        <v>7</v>
      </c>
      <c r="GG793" s="27" t="s">
        <v>8</v>
      </c>
      <c r="GH793" s="27" t="s">
        <v>7</v>
      </c>
      <c r="GI793" s="27" t="s">
        <v>8</v>
      </c>
      <c r="GJ793" s="27" t="s">
        <v>7</v>
      </c>
      <c r="GN793" s="27" t="s">
        <v>7</v>
      </c>
      <c r="GX793" s="27" t="s">
        <v>7</v>
      </c>
      <c r="HF793" s="27" t="s">
        <v>7</v>
      </c>
      <c r="HM793" s="27" t="s">
        <v>8</v>
      </c>
      <c r="HO793" s="27" t="s">
        <v>8</v>
      </c>
      <c r="HX793" s="27" t="s">
        <v>7</v>
      </c>
      <c r="HY793" s="27" t="s">
        <v>8</v>
      </c>
      <c r="IP793" s="27" t="s">
        <v>7</v>
      </c>
      <c r="IQ793" s="27" t="s">
        <v>8</v>
      </c>
      <c r="IR793" s="27" t="s">
        <v>7</v>
      </c>
      <c r="IS793" s="27" t="s">
        <v>8</v>
      </c>
      <c r="IT793" s="27" t="s">
        <v>7</v>
      </c>
      <c r="IU793" s="27" t="s">
        <v>8</v>
      </c>
      <c r="JA793" s="27" t="s">
        <v>8</v>
      </c>
      <c r="JB793" s="27" t="s">
        <v>7</v>
      </c>
      <c r="JC793" s="27" t="s">
        <v>8</v>
      </c>
      <c r="JD793" s="27" t="s">
        <v>7</v>
      </c>
    </row>
    <row r="794" spans="1:266" x14ac:dyDescent="0.25">
      <c r="A794" s="7">
        <v>1.6586870168237622E-2</v>
      </c>
      <c r="B794"/>
      <c r="C794"/>
      <c r="D794"/>
      <c r="E794"/>
      <c r="F794" s="27" t="s">
        <v>7</v>
      </c>
      <c r="DK794" s="27" t="s">
        <v>8</v>
      </c>
      <c r="EX794" s="27" t="s">
        <v>7</v>
      </c>
      <c r="EY794" s="27" t="s">
        <v>8</v>
      </c>
      <c r="EZ794" s="27" t="s">
        <v>7</v>
      </c>
      <c r="FA794" s="27" t="s">
        <v>8</v>
      </c>
      <c r="FB794" s="27" t="s">
        <v>7</v>
      </c>
      <c r="FC794" s="27" t="s">
        <v>8</v>
      </c>
      <c r="FD794" s="27" t="s">
        <v>7</v>
      </c>
      <c r="FE794" s="27" t="s">
        <v>8</v>
      </c>
      <c r="FH794" s="27" t="s">
        <v>7</v>
      </c>
      <c r="FI794" s="27" t="s">
        <v>8</v>
      </c>
      <c r="FJ794" s="27" t="s">
        <v>7</v>
      </c>
      <c r="GE794" s="27" t="s">
        <v>8</v>
      </c>
      <c r="GF794" s="27" t="s">
        <v>7</v>
      </c>
      <c r="GG794" s="27" t="s">
        <v>8</v>
      </c>
      <c r="GH794" s="27" t="s">
        <v>7</v>
      </c>
      <c r="GI794" s="27" t="s">
        <v>8</v>
      </c>
      <c r="HF794" s="27" t="s">
        <v>7</v>
      </c>
      <c r="HM794" s="27" t="s">
        <v>8</v>
      </c>
      <c r="HN794" s="27" t="s">
        <v>7</v>
      </c>
      <c r="HO794" s="27" t="s">
        <v>8</v>
      </c>
      <c r="HX794" s="27" t="s">
        <v>7</v>
      </c>
      <c r="HY794" s="27" t="s">
        <v>8</v>
      </c>
      <c r="IP794" s="27" t="s">
        <v>7</v>
      </c>
      <c r="IQ794" s="27" t="s">
        <v>8</v>
      </c>
      <c r="IR794" s="27" t="s">
        <v>7</v>
      </c>
      <c r="IS794" s="27" t="s">
        <v>8</v>
      </c>
      <c r="IT794" s="27" t="s">
        <v>7</v>
      </c>
      <c r="IU794" s="27" t="s">
        <v>8</v>
      </c>
      <c r="IV794" s="27" t="s">
        <v>7</v>
      </c>
      <c r="JA794" s="27" t="s">
        <v>8</v>
      </c>
      <c r="JB794" s="27" t="s">
        <v>7</v>
      </c>
      <c r="JC794" s="27" t="s">
        <v>8</v>
      </c>
      <c r="JD794" s="27" t="s">
        <v>7</v>
      </c>
    </row>
    <row r="795" spans="1:266" x14ac:dyDescent="0.25">
      <c r="A795" s="7">
        <v>1.6261637419840807E-2</v>
      </c>
      <c r="B795"/>
      <c r="C795"/>
      <c r="D795"/>
      <c r="E795"/>
      <c r="F795" s="27" t="s">
        <v>7</v>
      </c>
      <c r="DK795" s="27" t="s">
        <v>8</v>
      </c>
      <c r="EX795" s="27" t="s">
        <v>7</v>
      </c>
      <c r="EY795" s="27" t="s">
        <v>8</v>
      </c>
      <c r="EZ795" s="27" t="s">
        <v>7</v>
      </c>
      <c r="FA795" s="27" t="s">
        <v>8</v>
      </c>
      <c r="FB795" s="27" t="s">
        <v>7</v>
      </c>
      <c r="FC795" s="27" t="s">
        <v>8</v>
      </c>
      <c r="FD795" s="27" t="s">
        <v>7</v>
      </c>
      <c r="FE795" s="27" t="s">
        <v>8</v>
      </c>
      <c r="FH795" s="27" t="s">
        <v>7</v>
      </c>
      <c r="FI795" s="27" t="s">
        <v>8</v>
      </c>
      <c r="FJ795" s="27" t="s">
        <v>7</v>
      </c>
      <c r="FK795" s="27" t="s">
        <v>8</v>
      </c>
      <c r="GE795" s="27" t="s">
        <v>8</v>
      </c>
      <c r="GF795" s="27" t="s">
        <v>7</v>
      </c>
      <c r="GG795" s="27" t="s">
        <v>8</v>
      </c>
      <c r="GH795" s="27" t="s">
        <v>7</v>
      </c>
      <c r="GI795" s="27" t="s">
        <v>8</v>
      </c>
      <c r="HF795" s="27" t="s">
        <v>7</v>
      </c>
      <c r="HG795" s="27" t="s">
        <v>8</v>
      </c>
      <c r="HM795" s="27" t="s">
        <v>8</v>
      </c>
      <c r="HN795" s="27" t="s">
        <v>7</v>
      </c>
      <c r="HO795" s="27" t="s">
        <v>8</v>
      </c>
      <c r="HX795" s="27" t="s">
        <v>7</v>
      </c>
      <c r="IP795" s="27" t="s">
        <v>7</v>
      </c>
      <c r="IQ795" s="27" t="s">
        <v>8</v>
      </c>
      <c r="IR795" s="27" t="s">
        <v>7</v>
      </c>
      <c r="IS795" s="27" t="s">
        <v>8</v>
      </c>
      <c r="IT795" s="27" t="s">
        <v>7</v>
      </c>
      <c r="IU795" s="27" t="s">
        <v>8</v>
      </c>
      <c r="IV795" s="27" t="s">
        <v>7</v>
      </c>
      <c r="IW795" s="27" t="s">
        <v>8</v>
      </c>
      <c r="JA795" s="27" t="s">
        <v>8</v>
      </c>
      <c r="JB795" s="27" t="s">
        <v>7</v>
      </c>
      <c r="JD795" s="27" t="s">
        <v>7</v>
      </c>
      <c r="JE795" s="27" t="s">
        <v>8</v>
      </c>
    </row>
    <row r="796" spans="1:266" x14ac:dyDescent="0.25">
      <c r="A796" s="7">
        <v>1.5942781784157655E-2</v>
      </c>
      <c r="B796"/>
      <c r="C796"/>
      <c r="D796"/>
      <c r="E796"/>
      <c r="F796" s="27" t="s">
        <v>7</v>
      </c>
      <c r="DK796" s="27" t="s">
        <v>8</v>
      </c>
      <c r="EX796" s="27" t="s">
        <v>7</v>
      </c>
      <c r="EY796" s="27" t="s">
        <v>8</v>
      </c>
      <c r="EZ796" s="27" t="s">
        <v>7</v>
      </c>
      <c r="FA796" s="27" t="s">
        <v>8</v>
      </c>
      <c r="FB796" s="27" t="s">
        <v>7</v>
      </c>
      <c r="FC796" s="27" t="s">
        <v>8</v>
      </c>
      <c r="FD796" s="27" t="s">
        <v>7</v>
      </c>
      <c r="FH796" s="27" t="s">
        <v>7</v>
      </c>
      <c r="FI796" s="27" t="s">
        <v>8</v>
      </c>
      <c r="FJ796" s="27" t="s">
        <v>7</v>
      </c>
      <c r="FK796" s="27" t="s">
        <v>8</v>
      </c>
      <c r="FL796" s="27" t="s">
        <v>7</v>
      </c>
      <c r="GE796" s="27" t="s">
        <v>8</v>
      </c>
      <c r="GF796" s="27" t="s">
        <v>7</v>
      </c>
      <c r="GG796" s="27" t="s">
        <v>8</v>
      </c>
      <c r="GH796" s="27" t="s">
        <v>7</v>
      </c>
      <c r="GI796" s="27" t="s">
        <v>8</v>
      </c>
      <c r="HF796" s="27" t="s">
        <v>7</v>
      </c>
      <c r="HG796" s="27" t="s">
        <v>8</v>
      </c>
      <c r="HH796" s="27" t="s">
        <v>7</v>
      </c>
      <c r="HM796" s="27" t="s">
        <v>8</v>
      </c>
      <c r="HN796" s="27" t="s">
        <v>7</v>
      </c>
      <c r="HO796" s="27" t="s">
        <v>8</v>
      </c>
      <c r="IP796" s="27" t="s">
        <v>7</v>
      </c>
      <c r="IQ796" s="27" t="s">
        <v>8</v>
      </c>
      <c r="IR796" s="27" t="s">
        <v>7</v>
      </c>
      <c r="IS796" s="27" t="s">
        <v>8</v>
      </c>
      <c r="IT796" s="27" t="s">
        <v>7</v>
      </c>
      <c r="IU796" s="27" t="s">
        <v>8</v>
      </c>
      <c r="IV796" s="27" t="s">
        <v>7</v>
      </c>
      <c r="IW796" s="27" t="s">
        <v>8</v>
      </c>
      <c r="IX796" s="27" t="s">
        <v>7</v>
      </c>
      <c r="JA796" s="27" t="s">
        <v>8</v>
      </c>
      <c r="JD796" s="27" t="s">
        <v>7</v>
      </c>
      <c r="JE796" s="27" t="s">
        <v>8</v>
      </c>
      <c r="JF796" s="27" t="s">
        <v>7</v>
      </c>
    </row>
    <row r="797" spans="1:266" x14ac:dyDescent="0.25">
      <c r="A797" s="7">
        <v>1.5630178219762408E-2</v>
      </c>
      <c r="B797"/>
      <c r="C797"/>
      <c r="D797"/>
      <c r="E797"/>
      <c r="F797" s="27" t="s">
        <v>7</v>
      </c>
      <c r="DK797" s="27" t="s">
        <v>8</v>
      </c>
      <c r="EX797" s="27" t="s">
        <v>7</v>
      </c>
      <c r="EY797" s="27" t="s">
        <v>8</v>
      </c>
      <c r="EZ797" s="27" t="s">
        <v>7</v>
      </c>
      <c r="FA797" s="27" t="s">
        <v>8</v>
      </c>
      <c r="FB797" s="27" t="s">
        <v>7</v>
      </c>
      <c r="FC797" s="27" t="s">
        <v>8</v>
      </c>
      <c r="FH797" s="27" t="s">
        <v>7</v>
      </c>
      <c r="FI797" s="27" t="s">
        <v>8</v>
      </c>
      <c r="FJ797" s="27" t="s">
        <v>7</v>
      </c>
      <c r="FK797" s="27" t="s">
        <v>8</v>
      </c>
      <c r="FL797" s="27" t="s">
        <v>7</v>
      </c>
      <c r="GE797" s="27" t="s">
        <v>8</v>
      </c>
      <c r="GF797" s="27" t="s">
        <v>7</v>
      </c>
      <c r="GG797" s="27" t="s">
        <v>8</v>
      </c>
      <c r="GH797" s="27" t="s">
        <v>7</v>
      </c>
      <c r="HF797" s="27" t="s">
        <v>7</v>
      </c>
      <c r="HG797" s="27" t="s">
        <v>8</v>
      </c>
      <c r="HH797" s="27" t="s">
        <v>7</v>
      </c>
      <c r="HM797" s="27" t="s">
        <v>8</v>
      </c>
      <c r="HN797" s="27" t="s">
        <v>7</v>
      </c>
      <c r="IP797" s="27" t="s">
        <v>7</v>
      </c>
      <c r="IQ797" s="27" t="s">
        <v>8</v>
      </c>
      <c r="IR797" s="27" t="s">
        <v>7</v>
      </c>
      <c r="IS797" s="27" t="s">
        <v>8</v>
      </c>
      <c r="IT797" s="27" t="s">
        <v>7</v>
      </c>
      <c r="IV797" s="27" t="s">
        <v>7</v>
      </c>
      <c r="IW797" s="27" t="s">
        <v>8</v>
      </c>
      <c r="IX797" s="27" t="s">
        <v>7</v>
      </c>
      <c r="IY797" s="27" t="s">
        <v>8</v>
      </c>
      <c r="JA797" s="27" t="s">
        <v>8</v>
      </c>
      <c r="JD797" s="27" t="s">
        <v>7</v>
      </c>
      <c r="JE797" s="27" t="s">
        <v>8</v>
      </c>
      <c r="JF797" s="27" t="s">
        <v>7</v>
      </c>
    </row>
    <row r="798" spans="1:266" x14ac:dyDescent="0.25">
      <c r="A798" s="7">
        <v>1.5323704137021967E-2</v>
      </c>
      <c r="B798"/>
      <c r="C798"/>
      <c r="D798"/>
      <c r="E798"/>
      <c r="F798" s="27" t="s">
        <v>7</v>
      </c>
      <c r="DK798" s="27" t="s">
        <v>8</v>
      </c>
      <c r="EX798" s="27" t="s">
        <v>7</v>
      </c>
      <c r="EY798" s="27" t="s">
        <v>8</v>
      </c>
      <c r="EZ798" s="27" t="s">
        <v>7</v>
      </c>
      <c r="FA798" s="27" t="s">
        <v>8</v>
      </c>
      <c r="FB798" s="27" t="s">
        <v>7</v>
      </c>
      <c r="FH798" s="27" t="s">
        <v>7</v>
      </c>
      <c r="FI798" s="27" t="s">
        <v>8</v>
      </c>
      <c r="FJ798" s="27" t="s">
        <v>7</v>
      </c>
      <c r="FK798" s="27" t="s">
        <v>8</v>
      </c>
      <c r="FL798" s="27" t="s">
        <v>7</v>
      </c>
      <c r="GE798" s="27" t="s">
        <v>8</v>
      </c>
      <c r="GF798" s="27" t="s">
        <v>7</v>
      </c>
      <c r="GG798" s="27" t="s">
        <v>8</v>
      </c>
      <c r="HF798" s="27" t="s">
        <v>7</v>
      </c>
      <c r="HG798" s="27" t="s">
        <v>8</v>
      </c>
      <c r="HH798" s="27" t="s">
        <v>7</v>
      </c>
      <c r="HI798" s="27" t="s">
        <v>8</v>
      </c>
      <c r="HM798" s="27" t="s">
        <v>8</v>
      </c>
      <c r="IP798" s="27" t="s">
        <v>7</v>
      </c>
      <c r="IQ798" s="27" t="s">
        <v>8</v>
      </c>
      <c r="IR798" s="27" t="s">
        <v>7</v>
      </c>
      <c r="IV798" s="27" t="s">
        <v>7</v>
      </c>
      <c r="IW798" s="27" t="s">
        <v>8</v>
      </c>
      <c r="IX798" s="27" t="s">
        <v>7</v>
      </c>
      <c r="IY798" s="27" t="s">
        <v>8</v>
      </c>
      <c r="IZ798" s="27" t="s">
        <v>7</v>
      </c>
      <c r="JA798" s="27" t="s">
        <v>8</v>
      </c>
      <c r="JD798" s="27" t="s">
        <v>7</v>
      </c>
      <c r="JE798" s="27" t="s">
        <v>8</v>
      </c>
      <c r="JF798" s="27" t="s">
        <v>7</v>
      </c>
    </row>
    <row r="799" spans="1:266" x14ac:dyDescent="0.25">
      <c r="A799" s="7">
        <v>1.5023239350021535E-2</v>
      </c>
      <c r="B799"/>
      <c r="C799"/>
      <c r="D799"/>
      <c r="E799"/>
      <c r="F799" s="27" t="s">
        <v>7</v>
      </c>
      <c r="DK799" s="27" t="s">
        <v>8</v>
      </c>
      <c r="EX799" s="27" t="s">
        <v>7</v>
      </c>
      <c r="EY799" s="27" t="s">
        <v>8</v>
      </c>
      <c r="EZ799" s="27" t="s">
        <v>7</v>
      </c>
      <c r="FA799" s="27" t="s">
        <v>8</v>
      </c>
      <c r="FH799" s="27" t="s">
        <v>7</v>
      </c>
      <c r="FI799" s="27" t="s">
        <v>8</v>
      </c>
      <c r="FJ799" s="27" t="s">
        <v>7</v>
      </c>
      <c r="FK799" s="27" t="s">
        <v>8</v>
      </c>
      <c r="FL799" s="27" t="s">
        <v>7</v>
      </c>
      <c r="GE799" s="27" t="s">
        <v>8</v>
      </c>
      <c r="GF799" s="27" t="s">
        <v>7</v>
      </c>
      <c r="GG799" s="27" t="s">
        <v>8</v>
      </c>
      <c r="HF799" s="27" t="s">
        <v>7</v>
      </c>
      <c r="HG799" s="27" t="s">
        <v>8</v>
      </c>
      <c r="HH799" s="27" t="s">
        <v>7</v>
      </c>
      <c r="HI799" s="27" t="s">
        <v>8</v>
      </c>
      <c r="HJ799" s="27" t="s">
        <v>7</v>
      </c>
      <c r="HK799" s="27" t="s">
        <v>8</v>
      </c>
      <c r="HM799" s="27" t="s">
        <v>8</v>
      </c>
      <c r="IP799" s="27" t="s">
        <v>7</v>
      </c>
      <c r="IQ799" s="27" t="s">
        <v>8</v>
      </c>
      <c r="IV799" s="27" t="s">
        <v>7</v>
      </c>
      <c r="IW799" s="27" t="s">
        <v>8</v>
      </c>
      <c r="IX799" s="27" t="s">
        <v>7</v>
      </c>
      <c r="IY799" s="27" t="s">
        <v>8</v>
      </c>
      <c r="IZ799" s="27" t="s">
        <v>7</v>
      </c>
      <c r="JA799" s="27" t="s">
        <v>8</v>
      </c>
      <c r="JD799" s="27" t="s">
        <v>7</v>
      </c>
      <c r="JE799" s="27" t="s">
        <v>8</v>
      </c>
      <c r="JF799" s="27" t="s">
        <v>7</v>
      </c>
    </row>
    <row r="800" spans="1:266" x14ac:dyDescent="0.25">
      <c r="A800" s="7">
        <v>1.4728666029432878E-2</v>
      </c>
      <c r="B800"/>
      <c r="C800"/>
      <c r="D800"/>
      <c r="E800"/>
      <c r="F800" s="27" t="s">
        <v>7</v>
      </c>
      <c r="DK800" s="27" t="s">
        <v>8</v>
      </c>
      <c r="EX800" s="27" t="s">
        <v>7</v>
      </c>
      <c r="EY800" s="27" t="s">
        <v>8</v>
      </c>
      <c r="EZ800" s="27" t="s">
        <v>7</v>
      </c>
      <c r="FA800" s="27" t="s">
        <v>8</v>
      </c>
      <c r="FH800" s="27" t="s">
        <v>7</v>
      </c>
      <c r="FI800" s="27" t="s">
        <v>8</v>
      </c>
      <c r="FJ800" s="27" t="s">
        <v>7</v>
      </c>
      <c r="FK800" s="27" t="s">
        <v>8</v>
      </c>
      <c r="FL800" s="27" t="s">
        <v>7</v>
      </c>
      <c r="FU800" s="27" t="s">
        <v>8</v>
      </c>
      <c r="GE800" s="27" t="s">
        <v>8</v>
      </c>
      <c r="GF800" s="27" t="s">
        <v>7</v>
      </c>
      <c r="HF800" s="27" t="s">
        <v>7</v>
      </c>
      <c r="HG800" s="27" t="s">
        <v>8</v>
      </c>
      <c r="HH800" s="27" t="s">
        <v>7</v>
      </c>
      <c r="HI800" s="27" t="s">
        <v>8</v>
      </c>
      <c r="HJ800" s="27" t="s">
        <v>7</v>
      </c>
      <c r="HK800" s="27" t="s">
        <v>8</v>
      </c>
      <c r="HL800" s="27" t="s">
        <v>7</v>
      </c>
      <c r="HM800" s="27" t="s">
        <v>8</v>
      </c>
      <c r="IP800" s="27" t="s">
        <v>7</v>
      </c>
      <c r="IQ800" s="27" t="s">
        <v>8</v>
      </c>
      <c r="IV800" s="27" t="s">
        <v>7</v>
      </c>
      <c r="IW800" s="27" t="s">
        <v>8</v>
      </c>
      <c r="IX800" s="27" t="s">
        <v>7</v>
      </c>
      <c r="IY800" s="27" t="s">
        <v>8</v>
      </c>
      <c r="IZ800" s="27" t="s">
        <v>7</v>
      </c>
      <c r="JA800" s="27" t="s">
        <v>8</v>
      </c>
      <c r="JD800" s="27" t="s">
        <v>7</v>
      </c>
      <c r="JF800" s="27" t="s">
        <v>7</v>
      </c>
    </row>
    <row r="801" spans="1:272" x14ac:dyDescent="0.25">
      <c r="A801" s="7">
        <v>1.4439868656306743E-2</v>
      </c>
      <c r="B801"/>
      <c r="C801"/>
      <c r="D801"/>
      <c r="E801"/>
      <c r="F801" s="27" t="s">
        <v>7</v>
      </c>
      <c r="DK801" s="27" t="s">
        <v>8</v>
      </c>
      <c r="EX801" s="27" t="s">
        <v>7</v>
      </c>
      <c r="EY801" s="27" t="s">
        <v>8</v>
      </c>
      <c r="EZ801" s="27" t="s">
        <v>7</v>
      </c>
      <c r="FA801" s="27" t="s">
        <v>8</v>
      </c>
      <c r="FH801" s="27" t="s">
        <v>7</v>
      </c>
      <c r="FJ801" s="27" t="s">
        <v>7</v>
      </c>
      <c r="FK801" s="27" t="s">
        <v>8</v>
      </c>
      <c r="FL801" s="27" t="s">
        <v>7</v>
      </c>
      <c r="FU801" s="27" t="s">
        <v>8</v>
      </c>
      <c r="FV801" s="27" t="s">
        <v>7</v>
      </c>
      <c r="GE801" s="27" t="s">
        <v>8</v>
      </c>
      <c r="HF801" s="27" t="s">
        <v>7</v>
      </c>
      <c r="HG801" s="27" t="s">
        <v>8</v>
      </c>
      <c r="HH801" s="27" t="s">
        <v>7</v>
      </c>
      <c r="HI801" s="27" t="s">
        <v>8</v>
      </c>
      <c r="HJ801" s="27" t="s">
        <v>7</v>
      </c>
      <c r="HK801" s="27" t="s">
        <v>8</v>
      </c>
      <c r="HL801" s="27" t="s">
        <v>7</v>
      </c>
      <c r="HM801" s="27" t="s">
        <v>8</v>
      </c>
      <c r="IP801" s="27" t="s">
        <v>7</v>
      </c>
      <c r="IQ801" s="27" t="s">
        <v>8</v>
      </c>
      <c r="IV801" s="27" t="s">
        <v>7</v>
      </c>
      <c r="IX801" s="27" t="s">
        <v>7</v>
      </c>
      <c r="IZ801" s="27" t="s">
        <v>7</v>
      </c>
      <c r="JF801" s="27" t="s">
        <v>7</v>
      </c>
    </row>
    <row r="802" spans="1:272" x14ac:dyDescent="0.25">
      <c r="A802" s="7">
        <v>1.4156733976771318E-2</v>
      </c>
      <c r="B802"/>
      <c r="C802"/>
      <c r="D802"/>
      <c r="E802"/>
      <c r="F802" s="27" t="s">
        <v>7</v>
      </c>
      <c r="CW802" s="27" t="s">
        <v>8</v>
      </c>
      <c r="DK802" s="27" t="s">
        <v>8</v>
      </c>
      <c r="EX802" s="27" t="s">
        <v>7</v>
      </c>
      <c r="EY802" s="27" t="s">
        <v>8</v>
      </c>
      <c r="EZ802" s="27" t="s">
        <v>7</v>
      </c>
      <c r="FA802" s="27" t="s">
        <v>8</v>
      </c>
      <c r="FJ802" s="27" t="s">
        <v>7</v>
      </c>
      <c r="FL802" s="27" t="s">
        <v>7</v>
      </c>
      <c r="FS802" s="27" t="s">
        <v>8</v>
      </c>
      <c r="FU802" s="27" t="s">
        <v>8</v>
      </c>
      <c r="FV802" s="27" t="s">
        <v>7</v>
      </c>
      <c r="GE802" s="27" t="s">
        <v>8</v>
      </c>
      <c r="HF802" s="27" t="s">
        <v>7</v>
      </c>
      <c r="HG802" s="27" t="s">
        <v>8</v>
      </c>
      <c r="HH802" s="27" t="s">
        <v>7</v>
      </c>
      <c r="HJ802" s="27" t="s">
        <v>7</v>
      </c>
      <c r="HK802" s="27" t="s">
        <v>8</v>
      </c>
      <c r="HL802" s="27" t="s">
        <v>7</v>
      </c>
      <c r="HM802" s="27" t="s">
        <v>8</v>
      </c>
      <c r="IP802" s="27" t="s">
        <v>7</v>
      </c>
      <c r="JF802" s="27" t="s">
        <v>7</v>
      </c>
      <c r="JI802" s="27" t="s">
        <v>8</v>
      </c>
      <c r="JK802" s="27" t="s">
        <v>8</v>
      </c>
    </row>
    <row r="803" spans="1:272" x14ac:dyDescent="0.25">
      <c r="A803" s="7">
        <v>1.3879150957618939E-2</v>
      </c>
      <c r="B803"/>
      <c r="C803"/>
      <c r="D803"/>
      <c r="E803"/>
      <c r="F803" s="27" t="s">
        <v>7</v>
      </c>
      <c r="CW803" s="27" t="s">
        <v>8</v>
      </c>
      <c r="CX803" s="27" t="s">
        <v>7</v>
      </c>
      <c r="DA803" s="27" t="s">
        <v>8</v>
      </c>
      <c r="DK803" s="27" t="s">
        <v>8</v>
      </c>
      <c r="EX803" s="27" t="s">
        <v>7</v>
      </c>
      <c r="EY803" s="27" t="s">
        <v>8</v>
      </c>
      <c r="EZ803" s="27" t="s">
        <v>7</v>
      </c>
      <c r="FA803" s="27" t="s">
        <v>8</v>
      </c>
      <c r="FL803" s="27" t="s">
        <v>7</v>
      </c>
      <c r="FS803" s="27" t="s">
        <v>8</v>
      </c>
      <c r="FT803" s="27" t="s">
        <v>7</v>
      </c>
      <c r="FU803" s="27" t="s">
        <v>8</v>
      </c>
      <c r="FV803" s="27" t="s">
        <v>7</v>
      </c>
      <c r="GE803" s="27" t="s">
        <v>8</v>
      </c>
      <c r="HF803" s="27" t="s">
        <v>7</v>
      </c>
      <c r="HJ803" s="27" t="s">
        <v>7</v>
      </c>
      <c r="HK803" s="27" t="s">
        <v>8</v>
      </c>
      <c r="HL803" s="27" t="s">
        <v>7</v>
      </c>
      <c r="HM803" s="27" t="s">
        <v>8</v>
      </c>
      <c r="JF803" s="27" t="s">
        <v>7</v>
      </c>
      <c r="JG803" s="27" t="s">
        <v>8</v>
      </c>
      <c r="JI803" s="27" t="s">
        <v>8</v>
      </c>
      <c r="JJ803" s="27" t="s">
        <v>7</v>
      </c>
      <c r="JK803" s="27" t="s">
        <v>8</v>
      </c>
      <c r="JL803" s="27" t="s">
        <v>7</v>
      </c>
    </row>
    <row r="804" spans="1:272" x14ac:dyDescent="0.25">
      <c r="A804" s="7">
        <v>1.3607010742763666E-2</v>
      </c>
      <c r="B804"/>
      <c r="C804"/>
      <c r="D804"/>
      <c r="E804"/>
      <c r="F804" s="27" t="s">
        <v>7</v>
      </c>
      <c r="CW804" s="27" t="s">
        <v>8</v>
      </c>
      <c r="CX804" s="27" t="s">
        <v>7</v>
      </c>
      <c r="DA804" s="27" t="s">
        <v>8</v>
      </c>
      <c r="DB804" s="27" t="s">
        <v>7</v>
      </c>
      <c r="DK804" s="27" t="s">
        <v>8</v>
      </c>
      <c r="EX804" s="27" t="s">
        <v>7</v>
      </c>
      <c r="EY804" s="27" t="s">
        <v>8</v>
      </c>
      <c r="EZ804" s="27" t="s">
        <v>7</v>
      </c>
      <c r="FA804" s="27" t="s">
        <v>8</v>
      </c>
      <c r="FL804" s="27" t="s">
        <v>7</v>
      </c>
      <c r="FS804" s="27" t="s">
        <v>8</v>
      </c>
      <c r="FT804" s="27" t="s">
        <v>7</v>
      </c>
      <c r="FU804" s="27" t="s">
        <v>8</v>
      </c>
      <c r="FV804" s="27" t="s">
        <v>7</v>
      </c>
      <c r="GE804" s="27" t="s">
        <v>8</v>
      </c>
      <c r="HJ804" s="27" t="s">
        <v>7</v>
      </c>
      <c r="HL804" s="27" t="s">
        <v>7</v>
      </c>
      <c r="HM804" s="27" t="s">
        <v>8</v>
      </c>
      <c r="JF804" s="27" t="s">
        <v>7</v>
      </c>
      <c r="JG804" s="27" t="s">
        <v>8</v>
      </c>
      <c r="JH804" s="27" t="s">
        <v>7</v>
      </c>
      <c r="JI804" s="27" t="s">
        <v>8</v>
      </c>
      <c r="JJ804" s="27" t="s">
        <v>7</v>
      </c>
      <c r="JK804" s="27" t="s">
        <v>8</v>
      </c>
      <c r="JL804" s="27" t="s">
        <v>7</v>
      </c>
    </row>
    <row r="805" spans="1:272" x14ac:dyDescent="0.25">
      <c r="A805" s="7">
        <v>1.3340206610552614E-2</v>
      </c>
      <c r="B805"/>
      <c r="C805"/>
      <c r="D805"/>
      <c r="E805"/>
      <c r="F805" s="27" t="s">
        <v>7</v>
      </c>
      <c r="CW805" s="27" t="s">
        <v>8</v>
      </c>
      <c r="CX805" s="27" t="s">
        <v>7</v>
      </c>
      <c r="CY805" s="27" t="s">
        <v>8</v>
      </c>
      <c r="DA805" s="27" t="s">
        <v>8</v>
      </c>
      <c r="DB805" s="27" t="s">
        <v>7</v>
      </c>
      <c r="DK805" s="27" t="s">
        <v>8</v>
      </c>
      <c r="EX805" s="27" t="s">
        <v>7</v>
      </c>
      <c r="EY805" s="27" t="s">
        <v>8</v>
      </c>
      <c r="EZ805" s="27" t="s">
        <v>7</v>
      </c>
      <c r="FA805" s="27" t="s">
        <v>8</v>
      </c>
      <c r="FL805" s="27" t="s">
        <v>7</v>
      </c>
      <c r="FQ805" s="27" t="s">
        <v>8</v>
      </c>
      <c r="FS805" s="27" t="s">
        <v>8</v>
      </c>
      <c r="FT805" s="27" t="s">
        <v>7</v>
      </c>
      <c r="FU805" s="27" t="s">
        <v>8</v>
      </c>
      <c r="FV805" s="27" t="s">
        <v>7</v>
      </c>
      <c r="FW805" s="27" t="s">
        <v>8</v>
      </c>
      <c r="GE805" s="27" t="s">
        <v>8</v>
      </c>
      <c r="HL805" s="27" t="s">
        <v>7</v>
      </c>
      <c r="JF805" s="27" t="s">
        <v>7</v>
      </c>
      <c r="JG805" s="27" t="s">
        <v>8</v>
      </c>
      <c r="JH805" s="27" t="s">
        <v>7</v>
      </c>
      <c r="JI805" s="27" t="s">
        <v>8</v>
      </c>
      <c r="JJ805" s="27" t="s">
        <v>7</v>
      </c>
      <c r="JL805" s="27" t="s">
        <v>7</v>
      </c>
    </row>
    <row r="806" spans="1:272" x14ac:dyDescent="0.25">
      <c r="A806" s="7">
        <v>1.3078633931914328E-2</v>
      </c>
      <c r="B806"/>
      <c r="C806"/>
      <c r="D806"/>
      <c r="E806"/>
      <c r="F806" s="27" t="s">
        <v>7</v>
      </c>
      <c r="CW806" s="27" t="s">
        <v>8</v>
      </c>
      <c r="CX806" s="27" t="s">
        <v>7</v>
      </c>
      <c r="CY806" s="27" t="s">
        <v>8</v>
      </c>
      <c r="CZ806" s="27" t="s">
        <v>7</v>
      </c>
      <c r="DA806" s="27" t="s">
        <v>8</v>
      </c>
      <c r="DB806" s="27" t="s">
        <v>7</v>
      </c>
      <c r="DK806" s="27" t="s">
        <v>8</v>
      </c>
      <c r="EX806" s="27" t="s">
        <v>7</v>
      </c>
      <c r="EY806" s="27" t="s">
        <v>8</v>
      </c>
      <c r="EZ806" s="27" t="s">
        <v>7</v>
      </c>
      <c r="FA806" s="27" t="s">
        <v>8</v>
      </c>
      <c r="FL806" s="27" t="s">
        <v>7</v>
      </c>
      <c r="FO806" s="27" t="s">
        <v>8</v>
      </c>
      <c r="FQ806" s="27" t="s">
        <v>8</v>
      </c>
      <c r="FR806" s="27" t="s">
        <v>7</v>
      </c>
      <c r="FS806" s="27" t="s">
        <v>8</v>
      </c>
      <c r="FT806" s="27" t="s">
        <v>7</v>
      </c>
      <c r="FV806" s="27" t="s">
        <v>7</v>
      </c>
      <c r="FW806" s="27" t="s">
        <v>8</v>
      </c>
      <c r="FX806" s="27" t="s">
        <v>7</v>
      </c>
      <c r="GE806" s="27" t="s">
        <v>8</v>
      </c>
      <c r="JF806" s="27" t="s">
        <v>7</v>
      </c>
      <c r="JG806" s="27" t="s">
        <v>8</v>
      </c>
      <c r="JH806" s="27" t="s">
        <v>7</v>
      </c>
      <c r="JI806" s="27" t="s">
        <v>8</v>
      </c>
      <c r="JL806" s="27" t="s">
        <v>7</v>
      </c>
    </row>
    <row r="807" spans="1:272" x14ac:dyDescent="0.25">
      <c r="A807" s="7">
        <v>1.2822190129327771E-2</v>
      </c>
      <c r="B807"/>
      <c r="C807"/>
      <c r="D807"/>
      <c r="E807"/>
      <c r="F807" s="27" t="s">
        <v>7</v>
      </c>
      <c r="CW807" s="27" t="s">
        <v>8</v>
      </c>
      <c r="CX807" s="27" t="s">
        <v>7</v>
      </c>
      <c r="CY807" s="27" t="s">
        <v>8</v>
      </c>
      <c r="CZ807" s="27" t="s">
        <v>7</v>
      </c>
      <c r="DA807" s="27" t="s">
        <v>8</v>
      </c>
      <c r="DB807" s="27" t="s">
        <v>7</v>
      </c>
      <c r="DK807" s="27" t="s">
        <v>8</v>
      </c>
      <c r="EX807" s="27" t="s">
        <v>7</v>
      </c>
      <c r="EY807" s="27" t="s">
        <v>8</v>
      </c>
      <c r="EZ807" s="27" t="s">
        <v>7</v>
      </c>
      <c r="FA807" s="27" t="s">
        <v>8</v>
      </c>
      <c r="FL807" s="27" t="s">
        <v>7</v>
      </c>
      <c r="FO807" s="27" t="s">
        <v>8</v>
      </c>
      <c r="FP807" s="27" t="s">
        <v>7</v>
      </c>
      <c r="FQ807" s="27" t="s">
        <v>8</v>
      </c>
      <c r="FR807" s="27" t="s">
        <v>7</v>
      </c>
      <c r="FS807" s="27" t="s">
        <v>8</v>
      </c>
      <c r="FV807" s="27" t="s">
        <v>7</v>
      </c>
      <c r="FW807" s="27" t="s">
        <v>8</v>
      </c>
      <c r="FX807" s="27" t="s">
        <v>7</v>
      </c>
      <c r="GC807" s="27" t="s">
        <v>8</v>
      </c>
      <c r="GE807" s="27" t="s">
        <v>8</v>
      </c>
      <c r="JF807" s="27" t="s">
        <v>7</v>
      </c>
      <c r="JH807" s="27" t="s">
        <v>7</v>
      </c>
      <c r="JL807" s="27" t="s">
        <v>7</v>
      </c>
    </row>
    <row r="808" spans="1:272" x14ac:dyDescent="0.25">
      <c r="A808" s="7">
        <v>1.2570774636595854E-2</v>
      </c>
      <c r="B808"/>
      <c r="C808"/>
      <c r="D808"/>
      <c r="E808"/>
      <c r="F808" s="27" t="s">
        <v>7</v>
      </c>
      <c r="CW808" s="27" t="s">
        <v>8</v>
      </c>
      <c r="CX808" s="27" t="s">
        <v>7</v>
      </c>
      <c r="CY808" s="27" t="s">
        <v>8</v>
      </c>
      <c r="CZ808" s="27" t="s">
        <v>7</v>
      </c>
      <c r="DA808" s="27" t="s">
        <v>8</v>
      </c>
      <c r="DB808" s="27" t="s">
        <v>7</v>
      </c>
      <c r="DC808" s="27" t="s">
        <v>8</v>
      </c>
      <c r="DK808" s="27" t="s">
        <v>8</v>
      </c>
      <c r="EX808" s="27" t="s">
        <v>7</v>
      </c>
      <c r="EY808" s="27" t="s">
        <v>8</v>
      </c>
      <c r="EZ808" s="27" t="s">
        <v>7</v>
      </c>
      <c r="FA808" s="27" t="s">
        <v>8</v>
      </c>
      <c r="FL808" s="27" t="s">
        <v>7</v>
      </c>
      <c r="FO808" s="27" t="s">
        <v>8</v>
      </c>
      <c r="FP808" s="27" t="s">
        <v>7</v>
      </c>
      <c r="FQ808" s="27" t="s">
        <v>8</v>
      </c>
      <c r="FR808" s="27" t="s">
        <v>7</v>
      </c>
      <c r="FS808" s="27" t="s">
        <v>8</v>
      </c>
      <c r="FV808" s="27" t="s">
        <v>7</v>
      </c>
      <c r="FX808" s="27" t="s">
        <v>7</v>
      </c>
      <c r="GC808" s="27" t="s">
        <v>8</v>
      </c>
      <c r="GD808" s="27" t="s">
        <v>7</v>
      </c>
      <c r="GE808" s="27" t="s">
        <v>8</v>
      </c>
      <c r="JL808" s="27" t="s">
        <v>7</v>
      </c>
    </row>
    <row r="809" spans="1:272" x14ac:dyDescent="0.25">
      <c r="A809" s="7">
        <v>1.23242888594077E-2</v>
      </c>
      <c r="B809"/>
      <c r="C809"/>
      <c r="D809"/>
      <c r="E809"/>
      <c r="F809" s="27" t="s">
        <v>7</v>
      </c>
      <c r="CW809" s="27" t="s">
        <v>8</v>
      </c>
      <c r="CX809" s="27" t="s">
        <v>7</v>
      </c>
      <c r="CY809" s="27" t="s">
        <v>8</v>
      </c>
      <c r="CZ809" s="27" t="s">
        <v>7</v>
      </c>
      <c r="DB809" s="27" t="s">
        <v>7</v>
      </c>
      <c r="DC809" s="27" t="s">
        <v>8</v>
      </c>
      <c r="DD809" s="27" t="s">
        <v>7</v>
      </c>
      <c r="DI809" s="27" t="s">
        <v>8</v>
      </c>
      <c r="DK809" s="27" t="s">
        <v>8</v>
      </c>
      <c r="EX809" s="27" t="s">
        <v>7</v>
      </c>
      <c r="EZ809" s="27" t="s">
        <v>7</v>
      </c>
      <c r="FA809" s="27" t="s">
        <v>8</v>
      </c>
      <c r="FL809" s="27" t="s">
        <v>7</v>
      </c>
      <c r="FO809" s="27" t="s">
        <v>8</v>
      </c>
      <c r="FP809" s="27" t="s">
        <v>7</v>
      </c>
      <c r="FQ809" s="27" t="s">
        <v>8</v>
      </c>
      <c r="FR809" s="27" t="s">
        <v>7</v>
      </c>
      <c r="FX809" s="27" t="s">
        <v>7</v>
      </c>
      <c r="GC809" s="27" t="s">
        <v>8</v>
      </c>
      <c r="GD809" s="27" t="s">
        <v>7</v>
      </c>
      <c r="GE809" s="27" t="s">
        <v>8</v>
      </c>
      <c r="JL809" s="27" t="s">
        <v>7</v>
      </c>
    </row>
    <row r="810" spans="1:272" x14ac:dyDescent="0.25">
      <c r="A810" s="7">
        <v>1.2082636136674216E-2</v>
      </c>
      <c r="B810"/>
      <c r="C810"/>
      <c r="D810"/>
      <c r="E810"/>
      <c r="F810" s="27" t="s">
        <v>7</v>
      </c>
      <c r="CW810" s="27" t="s">
        <v>8</v>
      </c>
      <c r="CX810" s="27" t="s">
        <v>7</v>
      </c>
      <c r="CY810" s="27" t="s">
        <v>8</v>
      </c>
      <c r="DB810" s="27" t="s">
        <v>7</v>
      </c>
      <c r="DC810" s="27" t="s">
        <v>8</v>
      </c>
      <c r="DD810" s="27" t="s">
        <v>7</v>
      </c>
      <c r="DI810" s="27" t="s">
        <v>8</v>
      </c>
      <c r="DJ810" s="27" t="s">
        <v>7</v>
      </c>
      <c r="DK810" s="27" t="s">
        <v>8</v>
      </c>
      <c r="EZ810" s="27" t="s">
        <v>7</v>
      </c>
      <c r="FL810" s="27" t="s">
        <v>7</v>
      </c>
      <c r="FM810" s="27" t="s">
        <v>8</v>
      </c>
      <c r="FO810" s="27" t="s">
        <v>8</v>
      </c>
      <c r="FP810" s="27" t="s">
        <v>7</v>
      </c>
      <c r="FQ810" s="27" t="s">
        <v>8</v>
      </c>
      <c r="FX810" s="27" t="s">
        <v>7</v>
      </c>
      <c r="FY810" s="27" t="s">
        <v>8</v>
      </c>
      <c r="GC810" s="27" t="s">
        <v>8</v>
      </c>
      <c r="GD810" s="27" t="s">
        <v>7</v>
      </c>
      <c r="GE810" s="27" t="s">
        <v>8</v>
      </c>
      <c r="JL810" s="27" t="s">
        <v>7</v>
      </c>
    </row>
    <row r="811" spans="1:272" x14ac:dyDescent="0.25">
      <c r="A811" s="7">
        <v>1.184572170262178E-2</v>
      </c>
      <c r="B811"/>
      <c r="C811"/>
      <c r="D811"/>
      <c r="E811"/>
      <c r="F811" s="27" t="s">
        <v>7</v>
      </c>
      <c r="CW811" s="27" t="s">
        <v>8</v>
      </c>
      <c r="CX811" s="27" t="s">
        <v>7</v>
      </c>
      <c r="CY811" s="27" t="s">
        <v>8</v>
      </c>
      <c r="DB811" s="27" t="s">
        <v>7</v>
      </c>
      <c r="DC811" s="27" t="s">
        <v>8</v>
      </c>
      <c r="DD811" s="27" t="s">
        <v>7</v>
      </c>
      <c r="DI811" s="27" t="s">
        <v>8</v>
      </c>
      <c r="DJ811" s="27" t="s">
        <v>7</v>
      </c>
      <c r="DK811" s="27" t="s">
        <v>8</v>
      </c>
      <c r="FL811" s="27" t="s">
        <v>7</v>
      </c>
      <c r="FM811" s="27" t="s">
        <v>8</v>
      </c>
      <c r="FN811" s="27" t="s">
        <v>7</v>
      </c>
      <c r="FO811" s="27" t="s">
        <v>8</v>
      </c>
      <c r="FP811" s="27" t="s">
        <v>7</v>
      </c>
      <c r="FX811" s="27" t="s">
        <v>7</v>
      </c>
      <c r="FY811" s="27" t="s">
        <v>8</v>
      </c>
      <c r="FZ811" s="27" t="s">
        <v>7</v>
      </c>
      <c r="GC811" s="27" t="s">
        <v>8</v>
      </c>
      <c r="GD811" s="27" t="s">
        <v>7</v>
      </c>
      <c r="GE811" s="27" t="s">
        <v>8</v>
      </c>
      <c r="JL811" s="27" t="s">
        <v>7</v>
      </c>
    </row>
    <row r="812" spans="1:272" x14ac:dyDescent="0.25">
      <c r="A812" s="7">
        <v>1.1613452649629196E-2</v>
      </c>
      <c r="B812"/>
      <c r="C812"/>
      <c r="D812"/>
      <c r="E812"/>
      <c r="F812" s="27" t="s">
        <v>7</v>
      </c>
      <c r="CU812" s="27" t="s">
        <v>8</v>
      </c>
      <c r="CW812" s="27" t="s">
        <v>8</v>
      </c>
      <c r="CX812" s="27" t="s">
        <v>7</v>
      </c>
      <c r="CY812" s="27" t="s">
        <v>8</v>
      </c>
      <c r="DB812" s="27" t="s">
        <v>7</v>
      </c>
      <c r="DC812" s="27" t="s">
        <v>8</v>
      </c>
      <c r="DD812" s="27" t="s">
        <v>7</v>
      </c>
      <c r="DI812" s="27" t="s">
        <v>8</v>
      </c>
      <c r="DJ812" s="27" t="s">
        <v>7</v>
      </c>
      <c r="DK812" s="27" t="s">
        <v>8</v>
      </c>
      <c r="FL812" s="27" t="s">
        <v>7</v>
      </c>
      <c r="FM812" s="27" t="s">
        <v>8</v>
      </c>
      <c r="FN812" s="27" t="s">
        <v>7</v>
      </c>
      <c r="FO812" s="27" t="s">
        <v>8</v>
      </c>
      <c r="FX812" s="27" t="s">
        <v>7</v>
      </c>
      <c r="FY812" s="27" t="s">
        <v>8</v>
      </c>
      <c r="FZ812" s="27" t="s">
        <v>7</v>
      </c>
      <c r="GA812" s="18" t="s">
        <v>8</v>
      </c>
      <c r="GC812" s="27" t="s">
        <v>8</v>
      </c>
      <c r="GD812" s="27" t="s">
        <v>7</v>
      </c>
      <c r="GE812" s="27" t="s">
        <v>8</v>
      </c>
      <c r="JL812" s="27" t="s">
        <v>7</v>
      </c>
    </row>
    <row r="813" spans="1:272" x14ac:dyDescent="0.25">
      <c r="A813" s="7">
        <v>1.138573789179333E-2</v>
      </c>
      <c r="B813"/>
      <c r="C813"/>
      <c r="D813"/>
      <c r="E813"/>
      <c r="F813" s="27" t="s">
        <v>7</v>
      </c>
      <c r="CU813" s="27" t="s">
        <v>8</v>
      </c>
      <c r="CV813" s="27" t="s">
        <v>7</v>
      </c>
      <c r="CW813" s="27" t="s">
        <v>8</v>
      </c>
      <c r="CX813" s="27" t="s">
        <v>7</v>
      </c>
      <c r="CY813" s="27" t="s">
        <v>8</v>
      </c>
      <c r="DB813" s="27" t="s">
        <v>7</v>
      </c>
      <c r="DC813" s="27" t="s">
        <v>8</v>
      </c>
      <c r="DD813" s="27" t="s">
        <v>7</v>
      </c>
      <c r="DI813" s="27" t="s">
        <v>8</v>
      </c>
      <c r="DJ813" s="27" t="s">
        <v>7</v>
      </c>
      <c r="FL813" s="27" t="s">
        <v>7</v>
      </c>
      <c r="FM813" s="27" t="s">
        <v>8</v>
      </c>
      <c r="FN813" s="27" t="s">
        <v>7</v>
      </c>
      <c r="FO813" s="27" t="s">
        <v>8</v>
      </c>
      <c r="FX813" s="27" t="s">
        <v>7</v>
      </c>
      <c r="FY813" s="27" t="s">
        <v>8</v>
      </c>
      <c r="FZ813" s="27" t="s">
        <v>7</v>
      </c>
      <c r="GA813" s="27" t="s">
        <v>8</v>
      </c>
      <c r="GB813" s="27" t="s">
        <v>7</v>
      </c>
      <c r="GC813" s="27" t="s">
        <v>8</v>
      </c>
      <c r="GD813" s="27" t="s">
        <v>7</v>
      </c>
      <c r="JL813" s="27" t="s">
        <v>7</v>
      </c>
    </row>
    <row r="814" spans="1:272" x14ac:dyDescent="0.25">
      <c r="A814" s="7">
        <v>1.1162488129209149E-2</v>
      </c>
      <c r="B814"/>
      <c r="C814"/>
      <c r="D814"/>
      <c r="E814"/>
      <c r="F814" s="27" t="s">
        <v>7</v>
      </c>
      <c r="CU814" s="27" t="s">
        <v>8</v>
      </c>
      <c r="CV814" s="27" t="s">
        <v>7</v>
      </c>
      <c r="CW814" s="27" t="s">
        <v>8</v>
      </c>
      <c r="CX814" s="27" t="s">
        <v>7</v>
      </c>
      <c r="CY814" s="27" t="s">
        <v>8</v>
      </c>
      <c r="DB814" s="27" t="s">
        <v>7</v>
      </c>
      <c r="DC814" s="27" t="s">
        <v>8</v>
      </c>
      <c r="DD814" s="27" t="s">
        <v>7</v>
      </c>
      <c r="DI814" s="27" t="s">
        <v>8</v>
      </c>
      <c r="FL814" s="27" t="s">
        <v>7</v>
      </c>
      <c r="FM814" s="27" t="s">
        <v>8</v>
      </c>
      <c r="FN814" s="27" t="s">
        <v>7</v>
      </c>
      <c r="FO814" s="27" t="s">
        <v>8</v>
      </c>
      <c r="FX814" s="27" t="s">
        <v>7</v>
      </c>
      <c r="FZ814" s="27" t="s">
        <v>7</v>
      </c>
      <c r="GA814" s="27" t="s">
        <v>8</v>
      </c>
      <c r="GB814" s="27" t="s">
        <v>7</v>
      </c>
      <c r="GC814" s="27" t="s">
        <v>8</v>
      </c>
      <c r="JL814" s="27" t="s">
        <v>7</v>
      </c>
    </row>
    <row r="815" spans="1:272" x14ac:dyDescent="0.25">
      <c r="A815" s="7">
        <v>1.0943615812950145E-2</v>
      </c>
      <c r="B815"/>
      <c r="C815"/>
      <c r="D815"/>
      <c r="E815"/>
      <c r="F815" s="27" t="s">
        <v>7</v>
      </c>
      <c r="CU815" s="27" t="s">
        <v>8</v>
      </c>
      <c r="CV815" s="27" t="s">
        <v>7</v>
      </c>
      <c r="CW815" s="27" t="s">
        <v>8</v>
      </c>
      <c r="CX815" s="27" t="s">
        <v>7</v>
      </c>
      <c r="DB815" s="27" t="s">
        <v>7</v>
      </c>
      <c r="DC815" s="27" t="s">
        <v>8</v>
      </c>
      <c r="DD815" s="27" t="s">
        <v>7</v>
      </c>
      <c r="DE815" s="27" t="s">
        <v>8</v>
      </c>
      <c r="DG815" s="27" t="s">
        <v>8</v>
      </c>
      <c r="DI815" s="27" t="s">
        <v>8</v>
      </c>
      <c r="FL815" s="27" t="s">
        <v>7</v>
      </c>
      <c r="FM815" s="27" t="s">
        <v>8</v>
      </c>
      <c r="FN815" s="27" t="s">
        <v>7</v>
      </c>
      <c r="FO815" s="27" t="s">
        <v>8</v>
      </c>
      <c r="FZ815" s="27" t="s">
        <v>7</v>
      </c>
      <c r="GA815" s="27" t="s">
        <v>8</v>
      </c>
      <c r="GB815" s="27" t="s">
        <v>7</v>
      </c>
      <c r="GC815" s="27" t="s">
        <v>8</v>
      </c>
      <c r="JL815" s="27" t="s">
        <v>7</v>
      </c>
    </row>
    <row r="816" spans="1:272" x14ac:dyDescent="0.25">
      <c r="A816" s="7">
        <v>1.0729035110735436E-2</v>
      </c>
      <c r="B816"/>
      <c r="C816"/>
      <c r="D816"/>
      <c r="E816"/>
      <c r="F816" s="27" t="s">
        <v>7</v>
      </c>
      <c r="CU816" s="27" t="s">
        <v>8</v>
      </c>
      <c r="CV816" s="27" t="s">
        <v>7</v>
      </c>
      <c r="CW816" s="27" t="s">
        <v>8</v>
      </c>
      <c r="DB816" s="27" t="s">
        <v>7</v>
      </c>
      <c r="DC816" s="27" t="s">
        <v>8</v>
      </c>
      <c r="DD816" s="27" t="s">
        <v>7</v>
      </c>
      <c r="DE816" s="27" t="s">
        <v>8</v>
      </c>
      <c r="DF816" s="27" t="s">
        <v>7</v>
      </c>
      <c r="DG816" s="27" t="s">
        <v>8</v>
      </c>
      <c r="DH816" s="27" t="s">
        <v>7</v>
      </c>
      <c r="DI816" s="27" t="s">
        <v>8</v>
      </c>
      <c r="FL816" s="27" t="s">
        <v>7</v>
      </c>
      <c r="FM816" s="27" t="s">
        <v>8</v>
      </c>
      <c r="FN816" s="27" t="s">
        <v>7</v>
      </c>
      <c r="FO816" s="27" t="s">
        <v>8</v>
      </c>
      <c r="FZ816" s="27" t="s">
        <v>7</v>
      </c>
      <c r="GB816" s="27" t="s">
        <v>7</v>
      </c>
      <c r="GC816" s="27" t="s">
        <v>8</v>
      </c>
      <c r="JL816" s="27" t="s">
        <v>7</v>
      </c>
    </row>
    <row r="817" spans="1:276" x14ac:dyDescent="0.25">
      <c r="A817" s="7">
        <v>1.0518661873270036E-2</v>
      </c>
      <c r="B817"/>
      <c r="C817"/>
      <c r="D817"/>
      <c r="E817"/>
      <c r="F817" s="27" t="s">
        <v>7</v>
      </c>
      <c r="CU817" s="27" t="s">
        <v>8</v>
      </c>
      <c r="CV817" s="27" t="s">
        <v>7</v>
      </c>
      <c r="DB817" s="27" t="s">
        <v>7</v>
      </c>
      <c r="DC817" s="27" t="s">
        <v>8</v>
      </c>
      <c r="DD817" s="27" t="s">
        <v>7</v>
      </c>
      <c r="DE817" s="27" t="s">
        <v>8</v>
      </c>
      <c r="DF817" s="27" t="s">
        <v>7</v>
      </c>
      <c r="DG817" s="27" t="s">
        <v>8</v>
      </c>
      <c r="DH817" s="27" t="s">
        <v>7</v>
      </c>
      <c r="DI817" s="27" t="s">
        <v>8</v>
      </c>
      <c r="FL817" s="27" t="s">
        <v>7</v>
      </c>
      <c r="FM817" s="27" t="s">
        <v>8</v>
      </c>
      <c r="FN817" s="27" t="s">
        <v>7</v>
      </c>
      <c r="FO817" s="27" t="s">
        <v>8</v>
      </c>
      <c r="GB817" s="27" t="s">
        <v>7</v>
      </c>
      <c r="GC817" s="27" t="s">
        <v>8</v>
      </c>
      <c r="JL817" s="27" t="s">
        <v>7</v>
      </c>
    </row>
    <row r="818" spans="1:276" x14ac:dyDescent="0.25">
      <c r="A818" s="7">
        <v>1.0312413601245135E-2</v>
      </c>
      <c r="B818"/>
      <c r="C818"/>
      <c r="D818"/>
      <c r="E818"/>
      <c r="F818" s="27" t="s">
        <v>7</v>
      </c>
      <c r="CU818" s="27" t="s">
        <v>8</v>
      </c>
      <c r="DB818" s="27" t="s">
        <v>7</v>
      </c>
      <c r="DC818" s="27" t="s">
        <v>8</v>
      </c>
      <c r="DD818" s="27" t="s">
        <v>7</v>
      </c>
      <c r="DE818" s="27" t="s">
        <v>8</v>
      </c>
      <c r="DF818" s="27" t="s">
        <v>7</v>
      </c>
      <c r="DG818" s="27" t="s">
        <v>8</v>
      </c>
      <c r="DH818" s="27" t="s">
        <v>7</v>
      </c>
      <c r="DI818" s="27" t="s">
        <v>8</v>
      </c>
      <c r="FL818" s="27" t="s">
        <v>7</v>
      </c>
      <c r="FM818" s="27" t="s">
        <v>8</v>
      </c>
      <c r="FN818" s="27" t="s">
        <v>7</v>
      </c>
      <c r="FO818" s="27" t="s">
        <v>8</v>
      </c>
      <c r="GB818" s="27" t="s">
        <v>7</v>
      </c>
      <c r="GC818" s="27" t="s">
        <v>8</v>
      </c>
      <c r="JL818" s="27" t="s">
        <v>7</v>
      </c>
      <c r="JO818" s="27" t="s">
        <v>8</v>
      </c>
    </row>
    <row r="819" spans="1:276" x14ac:dyDescent="0.25">
      <c r="A819" s="7">
        <v>1.0110209412985426E-2</v>
      </c>
      <c r="B819"/>
      <c r="C819"/>
      <c r="D819"/>
      <c r="E819"/>
      <c r="F819" s="27" t="s">
        <v>7</v>
      </c>
      <c r="CU819" s="27" t="s">
        <v>8</v>
      </c>
      <c r="DB819" s="27" t="s">
        <v>7</v>
      </c>
      <c r="DC819" s="27" t="s">
        <v>8</v>
      </c>
      <c r="DD819" s="27" t="s">
        <v>7</v>
      </c>
      <c r="DE819" s="27" t="s">
        <v>8</v>
      </c>
      <c r="DF819" s="27" t="s">
        <v>7</v>
      </c>
      <c r="DG819" s="27" t="s">
        <v>8</v>
      </c>
      <c r="DH819" s="27" t="s">
        <v>7</v>
      </c>
      <c r="DI819" s="27" t="s">
        <v>8</v>
      </c>
      <c r="FL819" s="27" t="s">
        <v>7</v>
      </c>
      <c r="FM819" s="27" t="s">
        <v>8</v>
      </c>
      <c r="FN819" s="27" t="s">
        <v>7</v>
      </c>
      <c r="GB819" s="27" t="s">
        <v>7</v>
      </c>
      <c r="GC819" s="27" t="s">
        <v>8</v>
      </c>
      <c r="JL819" s="27" t="s">
        <v>7</v>
      </c>
      <c r="JO819" s="27" t="s">
        <v>8</v>
      </c>
      <c r="JP819" s="27" t="s">
        <v>7</v>
      </c>
    </row>
    <row r="820" spans="1:276" x14ac:dyDescent="0.25">
      <c r="A820" s="7">
        <v>9.9119700127308103E-3</v>
      </c>
      <c r="B820"/>
      <c r="C820"/>
      <c r="D820"/>
      <c r="E820"/>
      <c r="F820" s="27" t="s">
        <v>7</v>
      </c>
      <c r="CO820" s="27" t="s">
        <v>8</v>
      </c>
      <c r="CU820" s="27" t="s">
        <v>8</v>
      </c>
      <c r="DB820" s="27" t="s">
        <v>7</v>
      </c>
      <c r="DC820" s="27" t="s">
        <v>8</v>
      </c>
      <c r="DD820" s="27" t="s">
        <v>7</v>
      </c>
      <c r="DE820" s="27" t="s">
        <v>8</v>
      </c>
      <c r="DF820" s="27" t="s">
        <v>7</v>
      </c>
      <c r="DG820" s="27" t="s">
        <v>8</v>
      </c>
      <c r="DH820" s="27" t="s">
        <v>7</v>
      </c>
      <c r="FL820" s="27" t="s">
        <v>7</v>
      </c>
      <c r="FM820" s="27" t="s">
        <v>8</v>
      </c>
      <c r="GB820" s="27" t="s">
        <v>7</v>
      </c>
      <c r="GC820" s="27" t="s">
        <v>8</v>
      </c>
      <c r="JL820" s="27" t="s">
        <v>7</v>
      </c>
      <c r="JM820" s="27" t="s">
        <v>8</v>
      </c>
      <c r="JO820" s="27" t="s">
        <v>8</v>
      </c>
      <c r="JP820" s="27" t="s">
        <v>7</v>
      </c>
    </row>
    <row r="821" spans="1:276" x14ac:dyDescent="0.25">
      <c r="A821" s="7">
        <v>9.717617659540009E-3</v>
      </c>
      <c r="B821"/>
      <c r="C821"/>
      <c r="D821"/>
      <c r="E821"/>
      <c r="F821" s="27" t="s">
        <v>7</v>
      </c>
      <c r="CO821" s="27" t="s">
        <v>8</v>
      </c>
      <c r="CP821" s="27" t="s">
        <v>7</v>
      </c>
      <c r="CU821" s="27" t="s">
        <v>8</v>
      </c>
      <c r="DB821" s="27" t="s">
        <v>7</v>
      </c>
      <c r="DC821" s="27" t="s">
        <v>8</v>
      </c>
      <c r="DD821" s="27" t="s">
        <v>7</v>
      </c>
      <c r="DE821" s="27" t="s">
        <v>8</v>
      </c>
      <c r="DF821" s="27" t="s">
        <v>7</v>
      </c>
      <c r="FL821" s="27" t="s">
        <v>7</v>
      </c>
      <c r="FM821" s="27" t="s">
        <v>8</v>
      </c>
      <c r="GB821" s="27" t="s">
        <v>7</v>
      </c>
      <c r="GC821" s="27" t="s">
        <v>8</v>
      </c>
      <c r="JL821" s="27" t="s">
        <v>7</v>
      </c>
      <c r="JM821" s="27" t="s">
        <v>8</v>
      </c>
      <c r="JN821" s="27" t="s">
        <v>7</v>
      </c>
      <c r="JO821" s="27" t="s">
        <v>8</v>
      </c>
      <c r="JP821" s="27" t="s">
        <v>7</v>
      </c>
    </row>
    <row r="822" spans="1:276" x14ac:dyDescent="0.25">
      <c r="A822" s="7">
        <v>9.5270761368039299E-3</v>
      </c>
      <c r="B822"/>
      <c r="C822"/>
      <c r="D822"/>
      <c r="E822"/>
      <c r="F822" s="27" t="s">
        <v>7</v>
      </c>
      <c r="CO822" s="27" t="s">
        <v>8</v>
      </c>
      <c r="CP822" s="27" t="s">
        <v>7</v>
      </c>
      <c r="CQ822" s="27" t="s">
        <v>8</v>
      </c>
      <c r="CU822" s="27" t="s">
        <v>8</v>
      </c>
      <c r="DB822" s="27" t="s">
        <v>7</v>
      </c>
      <c r="DC822" s="27" t="s">
        <v>8</v>
      </c>
      <c r="DD822" s="27" t="s">
        <v>7</v>
      </c>
      <c r="DE822" s="27" t="s">
        <v>8</v>
      </c>
      <c r="FL822" s="27" t="s">
        <v>7</v>
      </c>
      <c r="FM822" s="27" t="s">
        <v>8</v>
      </c>
      <c r="GB822" s="27" t="s">
        <v>7</v>
      </c>
      <c r="GC822" s="27" t="s">
        <v>8</v>
      </c>
      <c r="JL822" s="27" t="s">
        <v>7</v>
      </c>
      <c r="JM822" s="27" t="s">
        <v>8</v>
      </c>
      <c r="JN822" s="27" t="s">
        <v>7</v>
      </c>
      <c r="JO822" s="27" t="s">
        <v>8</v>
      </c>
      <c r="JP822" s="27" t="s">
        <v>7</v>
      </c>
    </row>
    <row r="823" spans="1:276" x14ac:dyDescent="0.25">
      <c r="A823" s="7">
        <v>9.3402707223567936E-3</v>
      </c>
      <c r="B823"/>
      <c r="C823"/>
      <c r="D823"/>
      <c r="E823"/>
      <c r="F823" s="27" t="s">
        <v>7</v>
      </c>
      <c r="CO823" s="27" t="s">
        <v>8</v>
      </c>
      <c r="CP823" s="27" t="s">
        <v>7</v>
      </c>
      <c r="CQ823" s="27" t="s">
        <v>8</v>
      </c>
      <c r="CR823" s="27" t="s">
        <v>7</v>
      </c>
      <c r="CS823" s="27" t="s">
        <v>8</v>
      </c>
      <c r="CU823" s="27" t="s">
        <v>8</v>
      </c>
      <c r="DB823" s="27" t="s">
        <v>7</v>
      </c>
      <c r="DC823" s="27" t="s">
        <v>8</v>
      </c>
      <c r="DD823" s="27" t="s">
        <v>7</v>
      </c>
      <c r="DE823" s="27" t="s">
        <v>8</v>
      </c>
      <c r="FL823" s="27" t="s">
        <v>7</v>
      </c>
      <c r="FM823" s="27" t="s">
        <v>8</v>
      </c>
      <c r="GB823" s="27" t="s">
        <v>7</v>
      </c>
      <c r="JL823" s="27" t="s">
        <v>7</v>
      </c>
      <c r="JM823" s="27" t="s">
        <v>8</v>
      </c>
      <c r="JN823" s="27" t="s">
        <v>7</v>
      </c>
      <c r="JO823" s="27" t="s">
        <v>8</v>
      </c>
    </row>
    <row r="824" spans="1:276" x14ac:dyDescent="0.25">
      <c r="A824" s="7">
        <v>9.1571281591733261E-3</v>
      </c>
      <c r="B824"/>
      <c r="C824"/>
      <c r="D824"/>
      <c r="E824"/>
      <c r="F824" s="27" t="s">
        <v>7</v>
      </c>
      <c r="CO824" s="27" t="s">
        <v>8</v>
      </c>
      <c r="CP824" s="27" t="s">
        <v>7</v>
      </c>
      <c r="CQ824" s="27" t="s">
        <v>8</v>
      </c>
      <c r="CR824" s="27" t="s">
        <v>7</v>
      </c>
      <c r="CS824" s="27" t="s">
        <v>8</v>
      </c>
      <c r="CT824" s="27" t="s">
        <v>7</v>
      </c>
      <c r="CU824" s="27" t="s">
        <v>8</v>
      </c>
      <c r="DB824" s="27" t="s">
        <v>7</v>
      </c>
      <c r="DC824" s="27" t="s">
        <v>8</v>
      </c>
      <c r="DD824" s="27" t="s">
        <v>7</v>
      </c>
      <c r="FL824" s="27" t="s">
        <v>7</v>
      </c>
      <c r="FM824" s="27" t="s">
        <v>8</v>
      </c>
      <c r="JL824" s="27" t="s">
        <v>7</v>
      </c>
      <c r="JM824" s="27" t="s">
        <v>8</v>
      </c>
      <c r="JN824" s="27" t="s">
        <v>7</v>
      </c>
      <c r="JO824" s="27" t="s">
        <v>8</v>
      </c>
    </row>
    <row r="825" spans="1:276" x14ac:dyDescent="0.25">
      <c r="A825" s="7">
        <v>8.9775766266405148E-3</v>
      </c>
      <c r="B825"/>
      <c r="C825"/>
      <c r="D825"/>
      <c r="E825"/>
      <c r="F825" s="27" t="s">
        <v>7</v>
      </c>
      <c r="CO825" s="27" t="s">
        <v>8</v>
      </c>
      <c r="CP825" s="27" t="s">
        <v>7</v>
      </c>
      <c r="CQ825" s="27" t="s">
        <v>8</v>
      </c>
      <c r="CR825" s="27" t="s">
        <v>7</v>
      </c>
      <c r="CS825" s="27" t="s">
        <v>8</v>
      </c>
      <c r="CT825" s="27" t="s">
        <v>7</v>
      </c>
      <c r="CU825" s="27" t="s">
        <v>8</v>
      </c>
      <c r="DB825" s="27" t="s">
        <v>7</v>
      </c>
      <c r="DC825" s="27" t="s">
        <v>8</v>
      </c>
      <c r="FL825" s="27" t="s">
        <v>7</v>
      </c>
      <c r="FM825" s="27" t="s">
        <v>8</v>
      </c>
      <c r="JL825" s="27" t="s">
        <v>7</v>
      </c>
      <c r="JM825" s="27" t="s">
        <v>8</v>
      </c>
      <c r="JN825" s="27" t="s">
        <v>7</v>
      </c>
      <c r="JO825" s="27" t="s">
        <v>8</v>
      </c>
    </row>
    <row r="826" spans="1:276" x14ac:dyDescent="0.25">
      <c r="A826" s="7">
        <v>8.8015457123926614E-3</v>
      </c>
      <c r="B826"/>
      <c r="C826"/>
      <c r="D826"/>
      <c r="E826"/>
      <c r="F826" s="27" t="s">
        <v>7</v>
      </c>
      <c r="CO826" s="27" t="s">
        <v>8</v>
      </c>
      <c r="CP826" s="27" t="s">
        <v>7</v>
      </c>
      <c r="CQ826" s="27" t="s">
        <v>8</v>
      </c>
      <c r="CR826" s="27" t="s">
        <v>7</v>
      </c>
      <c r="CS826" s="27" t="s">
        <v>8</v>
      </c>
      <c r="CT826" s="27" t="s">
        <v>7</v>
      </c>
      <c r="CU826" s="27" t="s">
        <v>8</v>
      </c>
      <c r="DB826" s="27" t="s">
        <v>7</v>
      </c>
      <c r="FL826" s="27" t="s">
        <v>7</v>
      </c>
      <c r="FM826" s="27" t="s">
        <v>8</v>
      </c>
      <c r="JL826" s="27" t="s">
        <v>7</v>
      </c>
      <c r="JM826" s="27" t="s">
        <v>8</v>
      </c>
      <c r="JN826" s="27" t="s">
        <v>7</v>
      </c>
      <c r="JO826" s="27" t="s">
        <v>8</v>
      </c>
    </row>
    <row r="827" spans="1:276" x14ac:dyDescent="0.25">
      <c r="A827" s="7">
        <v>8.6289663846986879E-3</v>
      </c>
      <c r="B827"/>
      <c r="C827"/>
      <c r="D827"/>
      <c r="E827"/>
      <c r="F827" s="27" t="s">
        <v>7</v>
      </c>
      <c r="CO827" s="27" t="s">
        <v>8</v>
      </c>
      <c r="CP827" s="27" t="s">
        <v>7</v>
      </c>
      <c r="CQ827" s="27" t="s">
        <v>8</v>
      </c>
      <c r="CR827" s="27" t="s">
        <v>7</v>
      </c>
      <c r="CS827" s="27" t="s">
        <v>8</v>
      </c>
      <c r="CT827" s="27" t="s">
        <v>7</v>
      </c>
      <c r="CU827" s="27" t="s">
        <v>8</v>
      </c>
      <c r="FL827" s="27" t="s">
        <v>7</v>
      </c>
      <c r="FM827" s="27" t="s">
        <v>8</v>
      </c>
      <c r="JL827" s="27" t="s">
        <v>7</v>
      </c>
      <c r="JN827" s="27" t="s">
        <v>7</v>
      </c>
      <c r="JO827" s="27" t="s">
        <v>8</v>
      </c>
    </row>
    <row r="828" spans="1:276" x14ac:dyDescent="0.25">
      <c r="A828" s="7">
        <v>8.4597709653908715E-3</v>
      </c>
      <c r="B828"/>
      <c r="C828"/>
      <c r="D828"/>
      <c r="E828"/>
      <c r="F828" s="27" t="s">
        <v>7</v>
      </c>
      <c r="CO828" s="27" t="s">
        <v>8</v>
      </c>
      <c r="CP828" s="27" t="s">
        <v>7</v>
      </c>
      <c r="CQ828" s="27" t="s">
        <v>8</v>
      </c>
      <c r="CR828" s="27" t="s">
        <v>7</v>
      </c>
      <c r="CS828" s="27" t="s">
        <v>8</v>
      </c>
      <c r="CT828" s="27" t="s">
        <v>7</v>
      </c>
      <c r="CU828" s="27" t="s">
        <v>8</v>
      </c>
      <c r="FL828" s="27" t="s">
        <v>7</v>
      </c>
      <c r="FM828" s="27" t="s">
        <v>8</v>
      </c>
      <c r="JN828" s="27" t="s">
        <v>7</v>
      </c>
      <c r="JO828" s="27" t="s">
        <v>8</v>
      </c>
    </row>
    <row r="829" spans="1:276" x14ac:dyDescent="0.25">
      <c r="A829" s="7">
        <v>8.2938931033243839E-3</v>
      </c>
      <c r="B829"/>
      <c r="C829"/>
      <c r="D829"/>
      <c r="E829"/>
      <c r="F829" s="27" t="s">
        <v>7</v>
      </c>
      <c r="CO829" s="27" t="s">
        <v>8</v>
      </c>
      <c r="CP829" s="27" t="s">
        <v>7</v>
      </c>
      <c r="CQ829" s="27" t="s">
        <v>8</v>
      </c>
      <c r="CR829" s="27" t="s">
        <v>7</v>
      </c>
      <c r="CS829" s="27" t="s">
        <v>8</v>
      </c>
      <c r="CT829" s="27" t="s">
        <v>7</v>
      </c>
      <c r="CU829" s="27" t="s">
        <v>8</v>
      </c>
      <c r="FL829" s="27" t="s">
        <v>7</v>
      </c>
      <c r="FM829" s="27" t="s">
        <v>8</v>
      </c>
      <c r="JN829" s="27" t="s">
        <v>7</v>
      </c>
    </row>
    <row r="830" spans="1:276" x14ac:dyDescent="0.25">
      <c r="A830" s="7">
        <v>8.1312677483572383E-3</v>
      </c>
      <c r="B830"/>
      <c r="C830"/>
      <c r="D830"/>
      <c r="E830"/>
      <c r="F830" s="27" t="s">
        <v>7</v>
      </c>
      <c r="CO830" s="27" t="s">
        <v>8</v>
      </c>
      <c r="CP830" s="27" t="s">
        <v>7</v>
      </c>
      <c r="CQ830" s="27" t="s">
        <v>8</v>
      </c>
      <c r="CR830" s="27" t="s">
        <v>7</v>
      </c>
      <c r="CT830" s="27" t="s">
        <v>7</v>
      </c>
      <c r="CU830" s="27" t="s">
        <v>8</v>
      </c>
      <c r="FL830" s="27" t="s">
        <v>7</v>
      </c>
      <c r="FM830" s="27" t="s">
        <v>8</v>
      </c>
    </row>
    <row r="831" spans="1:276" x14ac:dyDescent="0.25">
      <c r="A831" s="7">
        <v>7.9718311258404305E-3</v>
      </c>
      <c r="B831"/>
      <c r="C831"/>
      <c r="D831"/>
      <c r="E831"/>
      <c r="F831" s="27" t="s">
        <v>7</v>
      </c>
      <c r="CO831" s="27" t="s">
        <v>8</v>
      </c>
      <c r="CP831" s="27" t="s">
        <v>7</v>
      </c>
      <c r="CQ831" s="27" t="s">
        <v>8</v>
      </c>
      <c r="CT831" s="27" t="s">
        <v>7</v>
      </c>
      <c r="CU831" s="27" t="s">
        <v>8</v>
      </c>
      <c r="FL831" s="27" t="s">
        <v>7</v>
      </c>
      <c r="FM831" s="27" t="s">
        <v>8</v>
      </c>
    </row>
    <row r="832" spans="1:276" x14ac:dyDescent="0.25">
      <c r="A832" s="7">
        <v>7.8155207116082648E-3</v>
      </c>
      <c r="B832"/>
      <c r="C832"/>
      <c r="D832"/>
      <c r="E832"/>
      <c r="F832" s="27" t="s">
        <v>7</v>
      </c>
      <c r="CO832" s="27" t="s">
        <v>8</v>
      </c>
      <c r="CP832" s="27" t="s">
        <v>7</v>
      </c>
      <c r="CQ832" s="27" t="s">
        <v>8</v>
      </c>
      <c r="CT832" s="27" t="s">
        <v>7</v>
      </c>
      <c r="CU832" s="27" t="s">
        <v>8</v>
      </c>
      <c r="FL832" s="27" t="s">
        <v>7</v>
      </c>
      <c r="FM832" s="27" t="s">
        <v>8</v>
      </c>
    </row>
    <row r="833" spans="1:168" x14ac:dyDescent="0.25">
      <c r="A833" s="7">
        <v>7.6622752074590825E-3</v>
      </c>
      <c r="B833"/>
      <c r="C833"/>
      <c r="D833"/>
      <c r="E833"/>
      <c r="F833" s="27" t="s">
        <v>7</v>
      </c>
      <c r="CO833" s="27" t="s">
        <v>8</v>
      </c>
      <c r="CP833" s="27" t="s">
        <v>7</v>
      </c>
      <c r="CQ833" s="27" t="s">
        <v>8</v>
      </c>
      <c r="CT833" s="27" t="s">
        <v>7</v>
      </c>
      <c r="FL833" s="27" t="s">
        <v>7</v>
      </c>
    </row>
    <row r="834" spans="1:168" x14ac:dyDescent="0.25">
      <c r="A834" s="7">
        <v>7.5120345171167469E-3</v>
      </c>
      <c r="B834"/>
      <c r="C834"/>
      <c r="D834"/>
      <c r="E834"/>
      <c r="F834" s="27" t="s">
        <v>7</v>
      </c>
      <c r="CO834" s="27" t="s">
        <v>8</v>
      </c>
      <c r="CP834" s="27" t="s">
        <v>7</v>
      </c>
      <c r="CQ834" s="27" t="s">
        <v>8</v>
      </c>
    </row>
    <row r="835" spans="1:168" x14ac:dyDescent="0.25">
      <c r="A835" s="7">
        <v>7.3647397226634772E-3</v>
      </c>
      <c r="B835"/>
      <c r="C835"/>
      <c r="D835"/>
      <c r="E835"/>
      <c r="F835" s="27" t="s">
        <v>7</v>
      </c>
      <c r="CO835" s="27" t="s">
        <v>8</v>
      </c>
      <c r="CP835" s="27" t="s">
        <v>7</v>
      </c>
      <c r="CQ835" s="27" t="s">
        <v>8</v>
      </c>
    </row>
    <row r="836" spans="1:168" x14ac:dyDescent="0.25">
      <c r="A836" s="7">
        <v>7.2203330614347815E-3</v>
      </c>
      <c r="B836"/>
      <c r="C836"/>
      <c r="D836"/>
      <c r="E836"/>
      <c r="F836" s="27" t="s">
        <v>7</v>
      </c>
      <c r="CO836" s="27" t="s">
        <v>8</v>
      </c>
      <c r="CP836" s="27" t="s">
        <v>7</v>
      </c>
      <c r="CQ836" s="27" t="s">
        <v>8</v>
      </c>
    </row>
    <row r="837" spans="1:168" x14ac:dyDescent="0.25">
      <c r="A837" s="7">
        <v>7.0787579033674327E-3</v>
      </c>
      <c r="B837"/>
      <c r="C837"/>
      <c r="D837"/>
      <c r="E837"/>
      <c r="F837" s="27" t="s">
        <v>7</v>
      </c>
      <c r="CO837" s="27" t="s">
        <v>8</v>
      </c>
      <c r="CP837" s="27" t="s">
        <v>7</v>
      </c>
      <c r="CQ837" s="27" t="s">
        <v>8</v>
      </c>
    </row>
    <row r="838" spans="1:168" x14ac:dyDescent="0.25">
      <c r="A838" s="7">
        <v>6.9399587287916013E-3</v>
      </c>
      <c r="B838"/>
      <c r="C838"/>
      <c r="D838"/>
      <c r="E838"/>
      <c r="F838" s="27" t="s">
        <v>7</v>
      </c>
      <c r="CO838" s="27" t="s">
        <v>8</v>
      </c>
      <c r="CP838" s="27" t="s">
        <v>7</v>
      </c>
      <c r="CQ838" s="27" t="s">
        <v>8</v>
      </c>
    </row>
    <row r="839" spans="1:168" x14ac:dyDescent="0.25">
      <c r="A839" s="7">
        <v>6.8038811066584333E-3</v>
      </c>
      <c r="B839"/>
      <c r="C839"/>
      <c r="D839"/>
      <c r="E839"/>
      <c r="F839" s="27" t="s">
        <v>7</v>
      </c>
      <c r="CO839" s="27" t="s">
        <v>8</v>
      </c>
      <c r="CP839" s="27" t="s">
        <v>7</v>
      </c>
      <c r="CQ839" s="27" t="s">
        <v>8</v>
      </c>
    </row>
    <row r="840" spans="1:168" x14ac:dyDescent="0.25">
      <c r="A840" s="7">
        <v>6.6704716731945425E-3</v>
      </c>
      <c r="B840"/>
      <c r="C840"/>
      <c r="D840"/>
      <c r="E840"/>
      <c r="F840" s="27" t="s">
        <v>7</v>
      </c>
      <c r="CO840" s="27" t="s">
        <v>8</v>
      </c>
      <c r="CP840" s="27" t="s">
        <v>7</v>
      </c>
      <c r="CQ840" s="27" t="s">
        <v>8</v>
      </c>
    </row>
    <row r="841" spans="1:168" x14ac:dyDescent="0.25">
      <c r="A841" s="7">
        <v>6.5396781109750427E-3</v>
      </c>
      <c r="B841"/>
      <c r="C841"/>
      <c r="D841"/>
      <c r="E841"/>
      <c r="F841" s="27" t="s">
        <v>7</v>
      </c>
      <c r="CO841" s="27" t="s">
        <v>8</v>
      </c>
      <c r="CP841" s="27" t="s">
        <v>7</v>
      </c>
      <c r="CQ841" s="27" t="s">
        <v>8</v>
      </c>
    </row>
    <row r="842" spans="1:168" x14ac:dyDescent="0.25">
      <c r="A842" s="7">
        <v>6.4114491284069045E-3</v>
      </c>
      <c r="B842"/>
      <c r="C842"/>
      <c r="D842"/>
      <c r="E842"/>
      <c r="F842" s="27" t="s">
        <v>7</v>
      </c>
      <c r="CO842" s="27" t="s">
        <v>8</v>
      </c>
      <c r="CP842" s="27" t="s">
        <v>7</v>
      </c>
      <c r="CQ842" s="27" t="s">
        <v>8</v>
      </c>
    </row>
    <row r="843" spans="1:168" x14ac:dyDescent="0.25">
      <c r="A843" s="7">
        <v>6.2857344396146115E-3</v>
      </c>
      <c r="B843"/>
      <c r="C843"/>
      <c r="D843"/>
      <c r="E843"/>
      <c r="F843" s="27" t="s">
        <v>7</v>
      </c>
      <c r="CO843" s="27" t="s">
        <v>8</v>
      </c>
      <c r="CP843" s="27" t="s">
        <v>7</v>
      </c>
      <c r="CQ843" s="27" t="s">
        <v>8</v>
      </c>
    </row>
    <row r="844" spans="1:168" x14ac:dyDescent="0.25">
      <c r="A844" s="7">
        <v>6.1624847447202076E-3</v>
      </c>
      <c r="B844"/>
      <c r="C844"/>
      <c r="D844"/>
      <c r="E844"/>
      <c r="F844" s="27" t="s">
        <v>7</v>
      </c>
      <c r="CO844" s="27" t="s">
        <v>8</v>
      </c>
      <c r="CP844" s="27" t="s">
        <v>7</v>
      </c>
      <c r="CQ844" s="27" t="s">
        <v>8</v>
      </c>
    </row>
    <row r="845" spans="1:168" x14ac:dyDescent="0.25">
      <c r="A845" s="7">
        <v>6.0416517105100079E-3</v>
      </c>
      <c r="B845"/>
      <c r="C845"/>
      <c r="D845"/>
      <c r="E845"/>
      <c r="F845" s="27" t="s">
        <v>7</v>
      </c>
      <c r="CO845" s="27" t="s">
        <v>8</v>
      </c>
      <c r="CP845" s="27" t="s">
        <v>7</v>
      </c>
    </row>
    <row r="846" spans="1:168" x14ac:dyDescent="0.25">
      <c r="A846" s="7">
        <v>5.9231879514803996E-3</v>
      </c>
      <c r="B846"/>
      <c r="C846"/>
      <c r="D846"/>
      <c r="E846"/>
      <c r="F846" s="27" t="s">
        <v>7</v>
      </c>
      <c r="CO846" s="27" t="s">
        <v>8</v>
      </c>
    </row>
    <row r="847" spans="1:168" x14ac:dyDescent="0.25">
      <c r="A847" s="7">
        <v>5.8070470112552936E-3</v>
      </c>
      <c r="B847"/>
      <c r="C847"/>
      <c r="D847"/>
      <c r="E847"/>
      <c r="F847" s="27" t="s">
        <v>7</v>
      </c>
      <c r="CO847" s="27" t="s">
        <v>8</v>
      </c>
    </row>
    <row r="848" spans="1:168" x14ac:dyDescent="0.25">
      <c r="A848" s="7">
        <v>5.6931833443679353E-3</v>
      </c>
      <c r="B848"/>
      <c r="C848"/>
      <c r="D848"/>
      <c r="E848"/>
      <c r="F848" s="27" t="s">
        <v>7</v>
      </c>
      <c r="CA848" s="27" t="s">
        <v>8</v>
      </c>
      <c r="CO848" s="27" t="s">
        <v>8</v>
      </c>
    </row>
    <row r="849" spans="1:93" x14ac:dyDescent="0.25">
      <c r="A849" s="7">
        <v>5.5815522983999367E-3</v>
      </c>
      <c r="B849"/>
      <c r="C849"/>
      <c r="D849"/>
      <c r="E849"/>
      <c r="F849" s="27" t="s">
        <v>7</v>
      </c>
      <c r="CA849" s="27" t="s">
        <v>8</v>
      </c>
      <c r="CB849" s="27" t="s">
        <v>7</v>
      </c>
      <c r="CO849" s="27" t="s">
        <v>8</v>
      </c>
    </row>
    <row r="850" spans="1:93" x14ac:dyDescent="0.25">
      <c r="A850" s="7">
        <v>5.4721100964705257E-3</v>
      </c>
      <c r="B850"/>
      <c r="C850"/>
      <c r="D850"/>
      <c r="E850"/>
      <c r="F850" s="27" t="s">
        <v>7</v>
      </c>
      <c r="CA850" s="27" t="s">
        <v>8</v>
      </c>
      <c r="CB850" s="27" t="s">
        <v>7</v>
      </c>
      <c r="CK850" s="27" t="s">
        <v>8</v>
      </c>
      <c r="CO850" s="27" t="s">
        <v>8</v>
      </c>
    </row>
    <row r="851" spans="1:93" x14ac:dyDescent="0.25">
      <c r="A851" s="7">
        <v>5.3648138200691423E-3</v>
      </c>
      <c r="B851"/>
      <c r="C851"/>
      <c r="D851"/>
      <c r="E851"/>
      <c r="F851" s="27" t="s">
        <v>7</v>
      </c>
      <c r="CA851" s="27" t="s">
        <v>8</v>
      </c>
      <c r="CB851" s="27" t="s">
        <v>7</v>
      </c>
      <c r="CE851" s="27" t="s">
        <v>8</v>
      </c>
      <c r="CK851" s="27" t="s">
        <v>8</v>
      </c>
      <c r="CL851" s="27" t="s">
        <v>7</v>
      </c>
      <c r="CO851" s="27" t="s">
        <v>8</v>
      </c>
    </row>
    <row r="852" spans="1:93" x14ac:dyDescent="0.25">
      <c r="A852" s="7">
        <v>5.2596213922246494E-3</v>
      </c>
      <c r="B852"/>
      <c r="C852"/>
      <c r="D852"/>
      <c r="E852"/>
      <c r="F852" s="27" t="s">
        <v>7</v>
      </c>
      <c r="CA852" s="27" t="s">
        <v>8</v>
      </c>
      <c r="CB852" s="27" t="s">
        <v>7</v>
      </c>
      <c r="CE852" s="27" t="s">
        <v>8</v>
      </c>
      <c r="CF852" s="27" t="s">
        <v>7</v>
      </c>
      <c r="CK852" s="27" t="s">
        <v>8</v>
      </c>
      <c r="CL852" s="27" t="s">
        <v>7</v>
      </c>
      <c r="CO852" s="27" t="s">
        <v>8</v>
      </c>
    </row>
    <row r="853" spans="1:93" x14ac:dyDescent="0.25">
      <c r="A853" s="7">
        <v>5.1564915610045588E-3</v>
      </c>
      <c r="B853"/>
      <c r="C853"/>
      <c r="D853"/>
      <c r="E853"/>
      <c r="F853" s="27" t="s">
        <v>7</v>
      </c>
      <c r="CA853" s="27" t="s">
        <v>8</v>
      </c>
      <c r="CB853" s="27" t="s">
        <v>7</v>
      </c>
      <c r="CC853" s="27" t="s">
        <v>8</v>
      </c>
      <c r="CE853" s="27" t="s">
        <v>8</v>
      </c>
      <c r="CF853" s="27" t="s">
        <v>7</v>
      </c>
      <c r="CK853" s="27" t="s">
        <v>8</v>
      </c>
      <c r="CL853" s="27" t="s">
        <v>7</v>
      </c>
      <c r="CO853" s="27" t="s">
        <v>8</v>
      </c>
    </row>
    <row r="854" spans="1:93" x14ac:dyDescent="0.25">
      <c r="A854" s="7">
        <v>5.0553838833378023E-3</v>
      </c>
      <c r="B854"/>
      <c r="C854"/>
      <c r="D854"/>
      <c r="E854"/>
      <c r="F854" s="27" t="s">
        <v>7</v>
      </c>
      <c r="AG854" s="27" t="s">
        <v>8</v>
      </c>
      <c r="CA854" s="27" t="s">
        <v>8</v>
      </c>
      <c r="CB854" s="27" t="s">
        <v>7</v>
      </c>
      <c r="CC854" s="27" t="s">
        <v>8</v>
      </c>
      <c r="CD854" s="27" t="s">
        <v>7</v>
      </c>
      <c r="CE854" s="27" t="s">
        <v>8</v>
      </c>
      <c r="CF854" s="27" t="s">
        <v>7</v>
      </c>
      <c r="CI854" s="27" t="s">
        <v>8</v>
      </c>
      <c r="CK854" s="27" t="s">
        <v>8</v>
      </c>
      <c r="CL854" s="27" t="s">
        <v>7</v>
      </c>
      <c r="CO854" s="27" t="s">
        <v>8</v>
      </c>
    </row>
    <row r="855" spans="1:93" x14ac:dyDescent="0.25">
      <c r="A855" s="7">
        <v>4.9562587091547079E-3</v>
      </c>
      <c r="B855"/>
      <c r="C855"/>
      <c r="D855"/>
      <c r="E855"/>
      <c r="F855" s="27" t="s">
        <v>7</v>
      </c>
      <c r="AG855" s="27" t="s">
        <v>8</v>
      </c>
      <c r="AH855" s="27" t="s">
        <v>7</v>
      </c>
      <c r="CA855" s="27" t="s">
        <v>8</v>
      </c>
      <c r="CB855" s="27" t="s">
        <v>7</v>
      </c>
      <c r="CC855" s="27" t="s">
        <v>8</v>
      </c>
      <c r="CD855" s="27" t="s">
        <v>7</v>
      </c>
      <c r="CE855" s="27" t="s">
        <v>8</v>
      </c>
      <c r="CF855" s="27" t="s">
        <v>7</v>
      </c>
      <c r="CI855" s="27" t="s">
        <v>8</v>
      </c>
      <c r="CJ855" s="27" t="s">
        <v>7</v>
      </c>
      <c r="CK855" s="27" t="s">
        <v>8</v>
      </c>
      <c r="CL855" s="27" t="s">
        <v>7</v>
      </c>
      <c r="CO855" s="27" t="s">
        <v>8</v>
      </c>
    </row>
    <row r="856" spans="1:93" x14ac:dyDescent="0.25">
      <c r="A856" s="7">
        <v>4.8590771658379491E-3</v>
      </c>
      <c r="B856"/>
      <c r="C856"/>
      <c r="D856"/>
      <c r="E856"/>
      <c r="F856" s="27" t="s">
        <v>7</v>
      </c>
      <c r="AG856" s="27" t="s">
        <v>8</v>
      </c>
      <c r="AH856" s="27" t="s">
        <v>7</v>
      </c>
      <c r="AI856" s="27" t="s">
        <v>8</v>
      </c>
      <c r="CA856" s="27" t="s">
        <v>8</v>
      </c>
      <c r="CB856" s="27" t="s">
        <v>7</v>
      </c>
      <c r="CC856" s="27" t="s">
        <v>8</v>
      </c>
      <c r="CD856" s="27" t="s">
        <v>7</v>
      </c>
      <c r="CE856" s="27" t="s">
        <v>8</v>
      </c>
      <c r="CF856" s="27" t="s">
        <v>7</v>
      </c>
      <c r="CI856" s="27" t="s">
        <v>8</v>
      </c>
      <c r="CJ856" s="27" t="s">
        <v>7</v>
      </c>
      <c r="CK856" s="27" t="s">
        <v>8</v>
      </c>
      <c r="CL856" s="27" t="s">
        <v>7</v>
      </c>
      <c r="CO856" s="27" t="s">
        <v>8</v>
      </c>
    </row>
    <row r="857" spans="1:93" x14ac:dyDescent="0.25">
      <c r="A857" s="7">
        <v>4.7638011429783815E-3</v>
      </c>
      <c r="B857"/>
      <c r="C857"/>
      <c r="D857"/>
      <c r="E857"/>
      <c r="F857" s="27" t="s">
        <v>7</v>
      </c>
      <c r="AG857" s="27" t="s">
        <v>8</v>
      </c>
      <c r="AH857" s="27" t="s">
        <v>7</v>
      </c>
      <c r="AI857" s="27" t="s">
        <v>8</v>
      </c>
      <c r="AJ857" s="27" t="s">
        <v>7</v>
      </c>
      <c r="CA857" s="27" t="s">
        <v>8</v>
      </c>
      <c r="CB857" s="27" t="s">
        <v>7</v>
      </c>
      <c r="CC857" s="27" t="s">
        <v>8</v>
      </c>
      <c r="CD857" s="27" t="s">
        <v>7</v>
      </c>
      <c r="CE857" s="27" t="s">
        <v>8</v>
      </c>
      <c r="CF857" s="27" t="s">
        <v>7</v>
      </c>
      <c r="CI857" s="27" t="s">
        <v>8</v>
      </c>
      <c r="CJ857" s="27" t="s">
        <v>7</v>
      </c>
      <c r="CK857" s="27" t="s">
        <v>8</v>
      </c>
      <c r="CL857" s="27" t="s">
        <v>7</v>
      </c>
      <c r="CM857" s="27" t="s">
        <v>8</v>
      </c>
      <c r="CO857" s="27" t="s">
        <v>8</v>
      </c>
    </row>
    <row r="858" spans="1:93" x14ac:dyDescent="0.25">
      <c r="A858" s="7">
        <v>4.6703932774297859E-3</v>
      </c>
      <c r="B858"/>
      <c r="C858"/>
      <c r="D858"/>
      <c r="E858"/>
      <c r="F858" s="27" t="s">
        <v>7</v>
      </c>
      <c r="AG858" s="27" t="s">
        <v>8</v>
      </c>
      <c r="AH858" s="27" t="s">
        <v>7</v>
      </c>
      <c r="AI858" s="27" t="s">
        <v>8</v>
      </c>
      <c r="AJ858" s="27" t="s">
        <v>7</v>
      </c>
      <c r="CA858" s="27" t="s">
        <v>8</v>
      </c>
      <c r="CB858" s="27" t="s">
        <v>7</v>
      </c>
      <c r="CC858" s="27" t="s">
        <v>8</v>
      </c>
      <c r="CD858" s="27" t="s">
        <v>7</v>
      </c>
      <c r="CE858" s="27" t="s">
        <v>8</v>
      </c>
      <c r="CF858" s="27" t="s">
        <v>7</v>
      </c>
      <c r="CI858" s="27" t="s">
        <v>8</v>
      </c>
      <c r="CJ858" s="27" t="s">
        <v>7</v>
      </c>
      <c r="CK858" s="27" t="s">
        <v>8</v>
      </c>
      <c r="CL858" s="27" t="s">
        <v>7</v>
      </c>
      <c r="CM858" s="27" t="s">
        <v>8</v>
      </c>
      <c r="CN858" s="27" t="s">
        <v>7</v>
      </c>
      <c r="CO858" s="27" t="s">
        <v>8</v>
      </c>
    </row>
    <row r="859" spans="1:93" x14ac:dyDescent="0.25">
      <c r="A859" s="7">
        <v>4.5788169386566527E-3</v>
      </c>
      <c r="B859"/>
      <c r="C859"/>
      <c r="D859"/>
      <c r="E859"/>
      <c r="F859" s="27" t="s">
        <v>7</v>
      </c>
      <c r="AE859" s="27" t="s">
        <v>8</v>
      </c>
      <c r="AG859" s="27" t="s">
        <v>8</v>
      </c>
      <c r="AH859" s="27" t="s">
        <v>7</v>
      </c>
      <c r="AI859" s="27" t="s">
        <v>8</v>
      </c>
      <c r="AJ859" s="27" t="s">
        <v>7</v>
      </c>
      <c r="CA859" s="27" t="s">
        <v>8</v>
      </c>
      <c r="CB859" s="27" t="s">
        <v>7</v>
      </c>
      <c r="CC859" s="27" t="s">
        <v>8</v>
      </c>
      <c r="CD859" s="27" t="s">
        <v>7</v>
      </c>
      <c r="CE859" s="27" t="s">
        <v>8</v>
      </c>
      <c r="CF859" s="27" t="s">
        <v>7</v>
      </c>
      <c r="CI859" s="27" t="s">
        <v>8</v>
      </c>
      <c r="CJ859" s="27" t="s">
        <v>7</v>
      </c>
      <c r="CK859" s="27" t="s">
        <v>8</v>
      </c>
      <c r="CL859" s="27" t="s">
        <v>7</v>
      </c>
      <c r="CM859" s="27" t="s">
        <v>8</v>
      </c>
      <c r="CN859" s="27" t="s">
        <v>7</v>
      </c>
      <c r="CO859" s="27" t="s">
        <v>8</v>
      </c>
    </row>
    <row r="860" spans="1:93" x14ac:dyDescent="0.25">
      <c r="A860" s="7">
        <v>4.4890362143692672E-3</v>
      </c>
      <c r="B860"/>
      <c r="C860"/>
      <c r="D860"/>
      <c r="E860"/>
      <c r="F860" s="27" t="s">
        <v>7</v>
      </c>
      <c r="AE860" s="27" t="s">
        <v>8</v>
      </c>
      <c r="AF860" s="27" t="s">
        <v>7</v>
      </c>
      <c r="AG860" s="27" t="s">
        <v>8</v>
      </c>
      <c r="AH860" s="27" t="s">
        <v>7</v>
      </c>
      <c r="AJ860" s="27" t="s">
        <v>7</v>
      </c>
      <c r="CA860" s="27" t="s">
        <v>8</v>
      </c>
      <c r="CB860" s="27" t="s">
        <v>7</v>
      </c>
      <c r="CC860" s="27" t="s">
        <v>8</v>
      </c>
      <c r="CD860" s="27" t="s">
        <v>7</v>
      </c>
      <c r="CF860" s="27" t="s">
        <v>7</v>
      </c>
      <c r="CG860" s="27" t="s">
        <v>8</v>
      </c>
      <c r="CI860" s="27" t="s">
        <v>8</v>
      </c>
      <c r="CJ860" s="27" t="s">
        <v>7</v>
      </c>
      <c r="CL860" s="27" t="s">
        <v>7</v>
      </c>
      <c r="CM860" s="27" t="s">
        <v>8</v>
      </c>
      <c r="CN860" s="27" t="s">
        <v>7</v>
      </c>
      <c r="CO860" s="27" t="s">
        <v>8</v>
      </c>
    </row>
    <row r="861" spans="1:93" x14ac:dyDescent="0.25">
      <c r="A861" s="7">
        <v>4.4010158964404578E-3</v>
      </c>
      <c r="B861"/>
      <c r="C861"/>
      <c r="D861"/>
      <c r="E861"/>
      <c r="F861" s="27" t="s">
        <v>7</v>
      </c>
      <c r="AE861" s="27" t="s">
        <v>8</v>
      </c>
      <c r="AF861" s="27" t="s">
        <v>7</v>
      </c>
      <c r="AG861" s="27" t="s">
        <v>8</v>
      </c>
      <c r="AJ861" s="27" t="s">
        <v>7</v>
      </c>
      <c r="CA861" s="27" t="s">
        <v>8</v>
      </c>
      <c r="CB861" s="27" t="s">
        <v>7</v>
      </c>
      <c r="CC861" s="27" t="s">
        <v>8</v>
      </c>
      <c r="CF861" s="27" t="s">
        <v>7</v>
      </c>
      <c r="CG861" s="27" t="s">
        <v>8</v>
      </c>
      <c r="CH861" s="27" t="s">
        <v>7</v>
      </c>
      <c r="CI861" s="27" t="s">
        <v>8</v>
      </c>
      <c r="CL861" s="27" t="s">
        <v>7</v>
      </c>
      <c r="CM861" s="27" t="s">
        <v>8</v>
      </c>
      <c r="CN861" s="27" t="s">
        <v>7</v>
      </c>
      <c r="CO861" s="27" t="s">
        <v>8</v>
      </c>
    </row>
    <row r="862" spans="1:93" x14ac:dyDescent="0.25">
      <c r="A862" s="7">
        <v>4.314721467098488E-3</v>
      </c>
      <c r="B862"/>
      <c r="C862"/>
      <c r="D862"/>
      <c r="E862"/>
      <c r="F862" s="27" t="s">
        <v>7</v>
      </c>
      <c r="AE862" s="27" t="s">
        <v>8</v>
      </c>
      <c r="AF862" s="27" t="s">
        <v>7</v>
      </c>
      <c r="AG862" s="27" t="s">
        <v>8</v>
      </c>
      <c r="AJ862" s="27" t="s">
        <v>7</v>
      </c>
      <c r="CA862" s="27" t="s">
        <v>8</v>
      </c>
      <c r="CB862" s="27" t="s">
        <v>7</v>
      </c>
      <c r="CC862" s="27" t="s">
        <v>8</v>
      </c>
      <c r="CF862" s="27" t="s">
        <v>7</v>
      </c>
      <c r="CG862" s="27" t="s">
        <v>8</v>
      </c>
      <c r="CH862" s="27" t="s">
        <v>7</v>
      </c>
      <c r="CI862" s="27" t="s">
        <v>8</v>
      </c>
      <c r="CL862" s="27" t="s">
        <v>7</v>
      </c>
      <c r="CM862" s="27" t="s">
        <v>8</v>
      </c>
      <c r="CN862" s="27" t="s">
        <v>7</v>
      </c>
      <c r="CO862" s="27" t="s">
        <v>8</v>
      </c>
    </row>
    <row r="863" spans="1:93" x14ac:dyDescent="0.25">
      <c r="A863" s="7">
        <v>4.2301190853906746E-3</v>
      </c>
      <c r="B863"/>
      <c r="C863"/>
      <c r="D863"/>
      <c r="E863"/>
      <c r="F863" s="27" t="s">
        <v>7</v>
      </c>
      <c r="AE863" s="27" t="s">
        <v>8</v>
      </c>
      <c r="AF863" s="27" t="s">
        <v>7</v>
      </c>
      <c r="AG863" s="27" t="s">
        <v>8</v>
      </c>
      <c r="AJ863" s="27" t="s">
        <v>7</v>
      </c>
      <c r="CA863" s="27" t="s">
        <v>8</v>
      </c>
      <c r="CB863" s="27" t="s">
        <v>7</v>
      </c>
      <c r="CC863" s="27" t="s">
        <v>8</v>
      </c>
      <c r="CF863" s="27" t="s">
        <v>7</v>
      </c>
      <c r="CG863" s="27" t="s">
        <v>8</v>
      </c>
      <c r="CH863" s="27" t="s">
        <v>7</v>
      </c>
      <c r="CI863" s="27" t="s">
        <v>8</v>
      </c>
      <c r="CL863" s="27" t="s">
        <v>7</v>
      </c>
      <c r="CM863" s="27" t="s">
        <v>8</v>
      </c>
      <c r="CN863" s="27" t="s">
        <v>7</v>
      </c>
      <c r="CO863" s="27" t="s">
        <v>8</v>
      </c>
    </row>
    <row r="864" spans="1:93" x14ac:dyDescent="0.25">
      <c r="A864" s="7">
        <v>4.1471755739124266E-3</v>
      </c>
      <c r="B864"/>
      <c r="C864"/>
      <c r="D864"/>
      <c r="E864"/>
      <c r="F864" s="27" t="s">
        <v>7</v>
      </c>
      <c r="G864" s="27" t="s">
        <v>8</v>
      </c>
      <c r="AE864" s="27" t="s">
        <v>8</v>
      </c>
      <c r="AF864" s="27" t="s">
        <v>7</v>
      </c>
      <c r="AG864" s="27" t="s">
        <v>8</v>
      </c>
      <c r="AJ864" s="27" t="s">
        <v>7</v>
      </c>
      <c r="CA864" s="27" t="s">
        <v>8</v>
      </c>
      <c r="CB864" s="27" t="s">
        <v>7</v>
      </c>
      <c r="CC864" s="27" t="s">
        <v>8</v>
      </c>
      <c r="CF864" s="27" t="s">
        <v>7</v>
      </c>
      <c r="CG864" s="27" t="s">
        <v>8</v>
      </c>
      <c r="CH864" s="27" t="s">
        <v>7</v>
      </c>
      <c r="CI864" s="27" t="s">
        <v>8</v>
      </c>
      <c r="CL864" s="27" t="s">
        <v>7</v>
      </c>
      <c r="CN864" s="27" t="s">
        <v>7</v>
      </c>
      <c r="CO864" s="27" t="s">
        <v>8</v>
      </c>
    </row>
    <row r="865" spans="1:93" x14ac:dyDescent="0.25">
      <c r="A865" s="7">
        <v>4.0658584057964966E-3</v>
      </c>
      <c r="B865"/>
      <c r="C865"/>
      <c r="D865"/>
      <c r="E865"/>
      <c r="F865" s="27" t="s">
        <v>7</v>
      </c>
      <c r="G865" s="27" t="s">
        <v>8</v>
      </c>
      <c r="H865" s="27" t="s">
        <v>7</v>
      </c>
      <c r="AA865" s="27" t="s">
        <v>8</v>
      </c>
      <c r="AE865" s="27" t="s">
        <v>8</v>
      </c>
      <c r="AF865" s="27" t="s">
        <v>7</v>
      </c>
      <c r="AG865" s="27" t="s">
        <v>8</v>
      </c>
      <c r="AJ865" s="27" t="s">
        <v>7</v>
      </c>
      <c r="BK865" s="27" t="s">
        <v>8</v>
      </c>
      <c r="CA865" s="27" t="s">
        <v>8</v>
      </c>
      <c r="CB865" s="27" t="s">
        <v>7</v>
      </c>
      <c r="CC865" s="27" t="s">
        <v>8</v>
      </c>
      <c r="CF865" s="27" t="s">
        <v>7</v>
      </c>
      <c r="CG865" s="27" t="s">
        <v>8</v>
      </c>
      <c r="CH865" s="27" t="s">
        <v>7</v>
      </c>
      <c r="CN865" s="27" t="s">
        <v>7</v>
      </c>
      <c r="CO865" s="27" t="s">
        <v>8</v>
      </c>
    </row>
    <row r="866" spans="1:93" x14ac:dyDescent="0.25">
      <c r="A866" s="7">
        <v>3.9861356919573491E-3</v>
      </c>
      <c r="B866"/>
      <c r="C866"/>
      <c r="D866"/>
      <c r="E866"/>
      <c r="F866" s="27" t="s">
        <v>7</v>
      </c>
      <c r="G866" s="27" t="s">
        <v>8</v>
      </c>
      <c r="H866" s="27" t="s">
        <v>7</v>
      </c>
      <c r="AA866" s="27" t="s">
        <v>8</v>
      </c>
      <c r="AB866" s="27" t="s">
        <v>7</v>
      </c>
      <c r="AC866" s="27" t="s">
        <v>8</v>
      </c>
      <c r="AE866" s="27" t="s">
        <v>8</v>
      </c>
      <c r="AF866" s="27" t="s">
        <v>7</v>
      </c>
      <c r="AG866" s="27" t="s">
        <v>8</v>
      </c>
      <c r="AJ866" s="27" t="s">
        <v>7</v>
      </c>
      <c r="AK866" s="27" t="s">
        <v>8</v>
      </c>
      <c r="BK866" s="27" t="s">
        <v>8</v>
      </c>
      <c r="BL866" s="27" t="s">
        <v>7</v>
      </c>
      <c r="BM866" s="27" t="s">
        <v>8</v>
      </c>
      <c r="CA866" s="27" t="s">
        <v>8</v>
      </c>
      <c r="CB866" s="27" t="s">
        <v>7</v>
      </c>
      <c r="CC866" s="27" t="s">
        <v>8</v>
      </c>
      <c r="CF866" s="27" t="s">
        <v>7</v>
      </c>
      <c r="CG866" s="27" t="s">
        <v>8</v>
      </c>
      <c r="CN866" s="27" t="s">
        <v>7</v>
      </c>
    </row>
    <row r="867" spans="1:93" x14ac:dyDescent="0.25">
      <c r="A867" s="7">
        <v>3.9079761685856364E-3</v>
      </c>
      <c r="B867"/>
      <c r="C867"/>
      <c r="D867"/>
      <c r="E867"/>
      <c r="F867" s="27" t="s">
        <v>7</v>
      </c>
      <c r="G867" s="27" t="s">
        <v>8</v>
      </c>
      <c r="H867" s="27" t="s">
        <v>7</v>
      </c>
      <c r="AA867" s="27" t="s">
        <v>8</v>
      </c>
      <c r="AB867" s="27" t="s">
        <v>7</v>
      </c>
      <c r="AC867" s="27" t="s">
        <v>8</v>
      </c>
      <c r="AD867" s="27" t="s">
        <v>7</v>
      </c>
      <c r="AE867" s="27" t="s">
        <v>8</v>
      </c>
      <c r="AF867" s="27" t="s">
        <v>7</v>
      </c>
      <c r="AG867" s="27" t="s">
        <v>8</v>
      </c>
      <c r="AJ867" s="27" t="s">
        <v>7</v>
      </c>
      <c r="AK867" s="27" t="s">
        <v>8</v>
      </c>
      <c r="AL867" s="27" t="s">
        <v>7</v>
      </c>
      <c r="BK867" s="27" t="s">
        <v>8</v>
      </c>
      <c r="BL867" s="27" t="s">
        <v>7</v>
      </c>
      <c r="BM867" s="27" t="s">
        <v>8</v>
      </c>
      <c r="BN867" s="27" t="s">
        <v>7</v>
      </c>
      <c r="BU867" s="27" t="s">
        <v>8</v>
      </c>
      <c r="CA867" s="27" t="s">
        <v>8</v>
      </c>
      <c r="CB867" s="27" t="s">
        <v>7</v>
      </c>
      <c r="CC867" s="27" t="s">
        <v>8</v>
      </c>
      <c r="CF867" s="27" t="s">
        <v>7</v>
      </c>
      <c r="CG867" s="27" t="s">
        <v>8</v>
      </c>
    </row>
    <row r="868" spans="1:93" x14ac:dyDescent="0.25">
      <c r="A868" s="7">
        <v>3.8313491848878793E-3</v>
      </c>
      <c r="B868"/>
      <c r="C868"/>
      <c r="D868"/>
      <c r="E868"/>
      <c r="F868" s="27" t="s">
        <v>7</v>
      </c>
      <c r="G868" s="27" t="s">
        <v>8</v>
      </c>
      <c r="H868" s="27" t="s">
        <v>7</v>
      </c>
      <c r="I868" s="27" t="s">
        <v>8</v>
      </c>
      <c r="AA868" s="27" t="s">
        <v>8</v>
      </c>
      <c r="AB868" s="27" t="s">
        <v>7</v>
      </c>
      <c r="AC868" s="27" t="s">
        <v>8</v>
      </c>
      <c r="AD868" s="27" t="s">
        <v>7</v>
      </c>
      <c r="AE868" s="27" t="s">
        <v>8</v>
      </c>
      <c r="AF868" s="27" t="s">
        <v>7</v>
      </c>
      <c r="AG868" s="27" t="s">
        <v>8</v>
      </c>
      <c r="AJ868" s="27" t="s">
        <v>7</v>
      </c>
      <c r="AK868" s="27" t="s">
        <v>8</v>
      </c>
      <c r="AL868" s="27" t="s">
        <v>7</v>
      </c>
      <c r="BK868" s="27" t="s">
        <v>8</v>
      </c>
      <c r="BL868" s="27" t="s">
        <v>7</v>
      </c>
      <c r="BM868" s="27" t="s">
        <v>8</v>
      </c>
      <c r="BN868" s="27" t="s">
        <v>7</v>
      </c>
      <c r="BU868" s="27" t="s">
        <v>8</v>
      </c>
      <c r="BV868" s="27" t="s">
        <v>7</v>
      </c>
      <c r="CA868" s="27" t="s">
        <v>8</v>
      </c>
      <c r="CB868" s="27" t="s">
        <v>7</v>
      </c>
      <c r="CF868" s="27" t="s">
        <v>7</v>
      </c>
      <c r="CG868" s="27" t="s">
        <v>8</v>
      </c>
    </row>
    <row r="869" spans="1:93" x14ac:dyDescent="0.25">
      <c r="A869" s="7">
        <v>3.7562246910665485E-3</v>
      </c>
      <c r="B869"/>
      <c r="C869"/>
      <c r="D869"/>
      <c r="E869"/>
      <c r="F869" s="27" t="s">
        <v>7</v>
      </c>
      <c r="G869" s="27" t="s">
        <v>8</v>
      </c>
      <c r="H869" s="27" t="s">
        <v>7</v>
      </c>
      <c r="I869" s="27" t="s">
        <v>8</v>
      </c>
      <c r="J869" s="27" t="s">
        <v>7</v>
      </c>
      <c r="Y869" s="27" t="s">
        <v>8</v>
      </c>
      <c r="AA869" s="27" t="s">
        <v>8</v>
      </c>
      <c r="AB869" s="27" t="s">
        <v>7</v>
      </c>
      <c r="AC869" s="27" t="s">
        <v>8</v>
      </c>
      <c r="AD869" s="27" t="s">
        <v>7</v>
      </c>
      <c r="AE869" s="27" t="s">
        <v>8</v>
      </c>
      <c r="AF869" s="27" t="s">
        <v>7</v>
      </c>
      <c r="AG869" s="27" t="s">
        <v>8</v>
      </c>
      <c r="AJ869" s="27" t="s">
        <v>7</v>
      </c>
      <c r="AK869" s="27" t="s">
        <v>8</v>
      </c>
      <c r="AL869" s="27" t="s">
        <v>7</v>
      </c>
      <c r="BK869" s="27" t="s">
        <v>8</v>
      </c>
      <c r="BL869" s="27" t="s">
        <v>7</v>
      </c>
      <c r="BM869" s="27" t="s">
        <v>8</v>
      </c>
      <c r="BN869" s="27" t="s">
        <v>7</v>
      </c>
      <c r="BU869" s="27" t="s">
        <v>8</v>
      </c>
      <c r="BV869" s="27" t="s">
        <v>7</v>
      </c>
      <c r="CA869" s="27" t="s">
        <v>8</v>
      </c>
      <c r="CF869" s="27" t="s">
        <v>7</v>
      </c>
    </row>
    <row r="870" spans="1:93" x14ac:dyDescent="0.25">
      <c r="A870" s="7">
        <v>3.6825732265358315E-3</v>
      </c>
      <c r="B870"/>
      <c r="C870"/>
      <c r="D870"/>
      <c r="E870"/>
      <c r="F870" s="27" t="s">
        <v>7</v>
      </c>
      <c r="G870" s="27" t="s">
        <v>8</v>
      </c>
      <c r="H870" s="27" t="s">
        <v>7</v>
      </c>
      <c r="I870" s="27" t="s">
        <v>8</v>
      </c>
      <c r="J870" s="27" t="s">
        <v>7</v>
      </c>
      <c r="M870" s="27" t="s">
        <v>8</v>
      </c>
      <c r="Q870" s="27" t="s">
        <v>8</v>
      </c>
      <c r="Y870" s="27" t="s">
        <v>8</v>
      </c>
      <c r="Z870" s="27" t="s">
        <v>7</v>
      </c>
      <c r="AA870" s="27" t="s">
        <v>8</v>
      </c>
      <c r="AB870" s="27" t="s">
        <v>7</v>
      </c>
      <c r="AC870" s="27" t="s">
        <v>8</v>
      </c>
      <c r="AD870" s="27" t="s">
        <v>7</v>
      </c>
      <c r="AE870" s="27" t="s">
        <v>8</v>
      </c>
      <c r="AF870" s="27" t="s">
        <v>7</v>
      </c>
      <c r="AG870" s="27" t="s">
        <v>8</v>
      </c>
      <c r="AJ870" s="27" t="s">
        <v>7</v>
      </c>
      <c r="AK870" s="27" t="s">
        <v>8</v>
      </c>
      <c r="AL870" s="27" t="s">
        <v>7</v>
      </c>
      <c r="BK870" s="27" t="s">
        <v>8</v>
      </c>
      <c r="BL870" s="27" t="s">
        <v>7</v>
      </c>
      <c r="BM870" s="27" t="s">
        <v>8</v>
      </c>
      <c r="BN870" s="27" t="s">
        <v>7</v>
      </c>
      <c r="BO870" s="27" t="s">
        <v>8</v>
      </c>
      <c r="BS870" s="27" t="s">
        <v>8</v>
      </c>
      <c r="BU870" s="27" t="s">
        <v>8</v>
      </c>
      <c r="BV870" s="27" t="s">
        <v>7</v>
      </c>
      <c r="CA870" s="27" t="s">
        <v>8</v>
      </c>
    </row>
    <row r="871" spans="1:93" x14ac:dyDescent="0.25">
      <c r="A871" s="7">
        <v>3.6103659083684624E-3</v>
      </c>
      <c r="B871"/>
      <c r="C871"/>
      <c r="D871"/>
      <c r="E871"/>
      <c r="F871" s="27" t="s">
        <v>7</v>
      </c>
      <c r="G871" s="27" t="s">
        <v>8</v>
      </c>
      <c r="H871" s="27" t="s">
        <v>7</v>
      </c>
      <c r="I871" s="27" t="s">
        <v>8</v>
      </c>
      <c r="J871" s="27" t="s">
        <v>7</v>
      </c>
      <c r="M871" s="27" t="s">
        <v>8</v>
      </c>
      <c r="N871" s="27" t="s">
        <v>7</v>
      </c>
      <c r="Q871" s="27" t="s">
        <v>8</v>
      </c>
      <c r="R871" s="27" t="s">
        <v>7</v>
      </c>
      <c r="W871" s="27" t="s">
        <v>8</v>
      </c>
      <c r="Y871" s="27" t="s">
        <v>8</v>
      </c>
      <c r="Z871" s="27" t="s">
        <v>7</v>
      </c>
      <c r="AA871" s="27" t="s">
        <v>8</v>
      </c>
      <c r="AB871" s="27" t="s">
        <v>7</v>
      </c>
      <c r="AC871" s="27" t="s">
        <v>8</v>
      </c>
      <c r="AD871" s="27" t="s">
        <v>7</v>
      </c>
      <c r="AE871" s="27" t="s">
        <v>8</v>
      </c>
      <c r="AF871" s="27" t="s">
        <v>7</v>
      </c>
      <c r="AJ871" s="27" t="s">
        <v>7</v>
      </c>
      <c r="AK871" s="27" t="s">
        <v>8</v>
      </c>
      <c r="AL871" s="27" t="s">
        <v>7</v>
      </c>
      <c r="BK871" s="27" t="s">
        <v>8</v>
      </c>
      <c r="BL871" s="27" t="s">
        <v>7</v>
      </c>
      <c r="BM871" s="27" t="s">
        <v>8</v>
      </c>
      <c r="BN871" s="27" t="s">
        <v>7</v>
      </c>
      <c r="BO871" s="27" t="s">
        <v>8</v>
      </c>
      <c r="BP871" s="27" t="s">
        <v>7</v>
      </c>
      <c r="BS871" s="27" t="s">
        <v>8</v>
      </c>
      <c r="BT871" s="27" t="s">
        <v>7</v>
      </c>
      <c r="BU871" s="27" t="s">
        <v>8</v>
      </c>
      <c r="BV871" s="27" t="s">
        <v>7</v>
      </c>
      <c r="CA871" s="27" t="s">
        <v>8</v>
      </c>
    </row>
    <row r="872" spans="1:93" x14ac:dyDescent="0.25">
      <c r="A872" s="7">
        <v>3.539574419969081E-3</v>
      </c>
      <c r="B872"/>
      <c r="C872"/>
      <c r="D872"/>
      <c r="E872"/>
      <c r="F872" s="27" t="s">
        <v>7</v>
      </c>
      <c r="G872" s="27" t="s">
        <v>8</v>
      </c>
      <c r="H872" s="27" t="s">
        <v>7</v>
      </c>
      <c r="I872" s="27" t="s">
        <v>8</v>
      </c>
      <c r="J872" s="27" t="s">
        <v>7</v>
      </c>
      <c r="M872" s="27" t="s">
        <v>8</v>
      </c>
      <c r="N872" s="27" t="s">
        <v>7</v>
      </c>
      <c r="Q872" s="27" t="s">
        <v>8</v>
      </c>
      <c r="R872" s="27" t="s">
        <v>7</v>
      </c>
      <c r="W872" s="27" t="s">
        <v>8</v>
      </c>
      <c r="X872" s="27" t="s">
        <v>7</v>
      </c>
      <c r="Y872" s="27" t="s">
        <v>8</v>
      </c>
      <c r="Z872" s="27" t="s">
        <v>7</v>
      </c>
      <c r="AB872" s="27" t="s">
        <v>7</v>
      </c>
      <c r="AC872" s="27" t="s">
        <v>8</v>
      </c>
      <c r="AD872" s="27" t="s">
        <v>7</v>
      </c>
      <c r="AJ872" s="27" t="s">
        <v>7</v>
      </c>
      <c r="AK872" s="27" t="s">
        <v>8</v>
      </c>
      <c r="AL872" s="27" t="s">
        <v>7</v>
      </c>
      <c r="AO872" s="27" t="s">
        <v>8</v>
      </c>
      <c r="AQ872" s="27" t="s">
        <v>8</v>
      </c>
      <c r="BK872" s="27" t="s">
        <v>8</v>
      </c>
      <c r="BL872" s="27" t="s">
        <v>7</v>
      </c>
      <c r="BM872" s="27" t="s">
        <v>8</v>
      </c>
      <c r="BN872" s="27" t="s">
        <v>7</v>
      </c>
      <c r="BO872" s="27" t="s">
        <v>8</v>
      </c>
      <c r="BP872" s="27" t="s">
        <v>7</v>
      </c>
      <c r="BS872" s="27" t="s">
        <v>8</v>
      </c>
      <c r="BT872" s="27" t="s">
        <v>7</v>
      </c>
      <c r="BU872" s="27" t="s">
        <v>8</v>
      </c>
      <c r="BV872" s="27" t="s">
        <v>7</v>
      </c>
      <c r="BW872" s="27" t="s">
        <v>8</v>
      </c>
      <c r="BY872" s="27" t="s">
        <v>8</v>
      </c>
      <c r="CA872" s="27" t="s">
        <v>8</v>
      </c>
    </row>
    <row r="873" spans="1:93" x14ac:dyDescent="0.25">
      <c r="A873" s="7">
        <v>3.4701709999696872E-3</v>
      </c>
      <c r="B873"/>
      <c r="C873"/>
      <c r="D873"/>
      <c r="E873"/>
      <c r="F873" s="27" t="s">
        <v>7</v>
      </c>
      <c r="G873" s="27" t="s">
        <v>8</v>
      </c>
      <c r="H873" s="27" t="s">
        <v>7</v>
      </c>
      <c r="I873" s="27" t="s">
        <v>8</v>
      </c>
      <c r="J873" s="27" t="s">
        <v>7</v>
      </c>
      <c r="K873" s="27" t="s">
        <v>8</v>
      </c>
      <c r="M873" s="27" t="s">
        <v>8</v>
      </c>
      <c r="N873" s="27" t="s">
        <v>7</v>
      </c>
      <c r="O873" s="27" t="s">
        <v>8</v>
      </c>
      <c r="Q873" s="27" t="s">
        <v>8</v>
      </c>
      <c r="R873" s="27" t="s">
        <v>7</v>
      </c>
      <c r="W873" s="27" t="s">
        <v>8</v>
      </c>
      <c r="X873" s="27" t="s">
        <v>7</v>
      </c>
      <c r="Y873" s="27" t="s">
        <v>8</v>
      </c>
      <c r="AB873" s="27" t="s">
        <v>7</v>
      </c>
      <c r="AJ873" s="27" t="s">
        <v>7</v>
      </c>
      <c r="AK873" s="27" t="s">
        <v>8</v>
      </c>
      <c r="AL873" s="27" t="s">
        <v>7</v>
      </c>
      <c r="AO873" s="27" t="s">
        <v>8</v>
      </c>
      <c r="AP873" s="27" t="s">
        <v>7</v>
      </c>
      <c r="AQ873" s="27" t="s">
        <v>8</v>
      </c>
      <c r="AR873" s="27" t="s">
        <v>7</v>
      </c>
      <c r="BK873" s="27" t="s">
        <v>8</v>
      </c>
      <c r="BL873" s="27" t="s">
        <v>7</v>
      </c>
      <c r="BM873" s="27" t="s">
        <v>8</v>
      </c>
      <c r="BN873" s="27" t="s">
        <v>7</v>
      </c>
      <c r="BO873" s="27" t="s">
        <v>8</v>
      </c>
      <c r="BP873" s="27" t="s">
        <v>7</v>
      </c>
      <c r="BS873" s="27" t="s">
        <v>8</v>
      </c>
      <c r="BT873" s="27" t="s">
        <v>7</v>
      </c>
      <c r="BU873" s="27" t="s">
        <v>8</v>
      </c>
      <c r="BV873" s="27" t="s">
        <v>7</v>
      </c>
      <c r="BW873" s="27" t="s">
        <v>8</v>
      </c>
      <c r="BX873" s="27" t="s">
        <v>7</v>
      </c>
      <c r="BY873" s="27" t="s">
        <v>8</v>
      </c>
      <c r="BZ873" s="27" t="s">
        <v>7</v>
      </c>
      <c r="CA873" s="27" t="s">
        <v>8</v>
      </c>
    </row>
    <row r="874" spans="1:93" x14ac:dyDescent="0.25">
      <c r="A874" s="7">
        <v>3.4021284313428307E-3</v>
      </c>
      <c r="B874"/>
      <c r="C874"/>
      <c r="D874"/>
      <c r="E874"/>
      <c r="F874" s="27" t="s">
        <v>7</v>
      </c>
      <c r="G874" s="27" t="s">
        <v>8</v>
      </c>
      <c r="H874" s="27" t="s">
        <v>7</v>
      </c>
      <c r="I874" s="27" t="s">
        <v>8</v>
      </c>
      <c r="J874" s="27" t="s">
        <v>7</v>
      </c>
      <c r="K874" s="27" t="s">
        <v>8</v>
      </c>
      <c r="L874" s="27" t="s">
        <v>7</v>
      </c>
      <c r="M874" s="27" t="s">
        <v>8</v>
      </c>
      <c r="N874" s="27" t="s">
        <v>7</v>
      </c>
      <c r="O874" s="27" t="s">
        <v>8</v>
      </c>
      <c r="P874" s="27" t="s">
        <v>7</v>
      </c>
      <c r="Q874" s="27" t="s">
        <v>8</v>
      </c>
      <c r="R874" s="27" t="s">
        <v>7</v>
      </c>
      <c r="W874" s="27" t="s">
        <v>8</v>
      </c>
      <c r="X874" s="27" t="s">
        <v>7</v>
      </c>
      <c r="Y874" s="27" t="s">
        <v>8</v>
      </c>
      <c r="AJ874" s="27" t="s">
        <v>7</v>
      </c>
      <c r="AL874" s="27" t="s">
        <v>7</v>
      </c>
      <c r="AO874" s="27" t="s">
        <v>8</v>
      </c>
      <c r="AP874" s="27" t="s">
        <v>7</v>
      </c>
      <c r="AQ874" s="27" t="s">
        <v>8</v>
      </c>
      <c r="AR874" s="27" t="s">
        <v>7</v>
      </c>
      <c r="BK874" s="27" t="s">
        <v>8</v>
      </c>
      <c r="BL874" s="27" t="s">
        <v>7</v>
      </c>
      <c r="BM874" s="27" t="s">
        <v>8</v>
      </c>
      <c r="BN874" s="27" t="s">
        <v>7</v>
      </c>
      <c r="BP874" s="27" t="s">
        <v>7</v>
      </c>
      <c r="BS874" s="27" t="s">
        <v>8</v>
      </c>
      <c r="BT874" s="27" t="s">
        <v>7</v>
      </c>
      <c r="BV874" s="27" t="s">
        <v>7</v>
      </c>
      <c r="BW874" s="27" t="s">
        <v>8</v>
      </c>
      <c r="BX874" s="27" t="s">
        <v>7</v>
      </c>
      <c r="BY874" s="27" t="s">
        <v>8</v>
      </c>
      <c r="BZ874" s="27" t="s">
        <v>7</v>
      </c>
      <c r="CA874" s="27" t="s">
        <v>8</v>
      </c>
    </row>
    <row r="875" spans="1:93" x14ac:dyDescent="0.25">
      <c r="A875" s="7">
        <v>3.3354200307282654E-3</v>
      </c>
      <c r="B875"/>
      <c r="C875"/>
      <c r="D875"/>
      <c r="E875"/>
      <c r="F875" s="27" t="s">
        <v>7</v>
      </c>
      <c r="G875" s="27" t="s">
        <v>8</v>
      </c>
      <c r="H875" s="27" t="s">
        <v>7</v>
      </c>
      <c r="I875" s="27" t="s">
        <v>8</v>
      </c>
      <c r="J875" s="27" t="s">
        <v>7</v>
      </c>
      <c r="K875" s="27" t="s">
        <v>8</v>
      </c>
      <c r="L875" s="27" t="s">
        <v>7</v>
      </c>
      <c r="M875" s="27" t="s">
        <v>8</v>
      </c>
      <c r="N875" s="27" t="s">
        <v>7</v>
      </c>
      <c r="O875" s="27" t="s">
        <v>8</v>
      </c>
      <c r="P875" s="27" t="s">
        <v>7</v>
      </c>
      <c r="Q875" s="27" t="s">
        <v>8</v>
      </c>
      <c r="R875" s="27" t="s">
        <v>7</v>
      </c>
      <c r="S875" s="27" t="s">
        <v>8</v>
      </c>
      <c r="U875" s="27" t="s">
        <v>8</v>
      </c>
      <c r="W875" s="27" t="s">
        <v>8</v>
      </c>
      <c r="X875" s="27" t="s">
        <v>7</v>
      </c>
      <c r="Y875" s="27" t="s">
        <v>8</v>
      </c>
      <c r="AL875" s="27" t="s">
        <v>7</v>
      </c>
      <c r="AM875" s="27" t="s">
        <v>8</v>
      </c>
      <c r="AO875" s="27" t="s">
        <v>8</v>
      </c>
      <c r="AP875" s="27" t="s">
        <v>7</v>
      </c>
      <c r="AQ875" s="27" t="s">
        <v>8</v>
      </c>
      <c r="AR875" s="27" t="s">
        <v>7</v>
      </c>
      <c r="BK875" s="27" t="s">
        <v>8</v>
      </c>
      <c r="BL875" s="27" t="s">
        <v>7</v>
      </c>
      <c r="BM875" s="27" t="s">
        <v>8</v>
      </c>
      <c r="BP875" s="27" t="s">
        <v>7</v>
      </c>
      <c r="BQ875" s="27" t="s">
        <v>8</v>
      </c>
      <c r="BS875" s="27" t="s">
        <v>8</v>
      </c>
      <c r="BV875" s="27" t="s">
        <v>7</v>
      </c>
      <c r="BW875" s="27" t="s">
        <v>8</v>
      </c>
      <c r="BX875" s="27" t="s">
        <v>7</v>
      </c>
      <c r="BY875" s="27" t="s">
        <v>8</v>
      </c>
      <c r="BZ875" s="27" t="s">
        <v>7</v>
      </c>
      <c r="CA875" s="27" t="s">
        <v>8</v>
      </c>
    </row>
    <row r="876" spans="1:93" x14ac:dyDescent="0.25">
      <c r="A876" s="7">
        <v>3.2700196379688881E-3</v>
      </c>
      <c r="B876"/>
      <c r="C876"/>
      <c r="D876"/>
      <c r="E876"/>
      <c r="F876" s="27" t="s">
        <v>7</v>
      </c>
      <c r="G876" s="27" t="s">
        <v>8</v>
      </c>
      <c r="H876" s="27" t="s">
        <v>7</v>
      </c>
      <c r="I876" s="27" t="s">
        <v>8</v>
      </c>
      <c r="J876" s="27" t="s">
        <v>7</v>
      </c>
      <c r="L876" s="27" t="s">
        <v>7</v>
      </c>
      <c r="N876" s="27" t="s">
        <v>7</v>
      </c>
      <c r="P876" s="27" t="s">
        <v>7</v>
      </c>
      <c r="Q876" s="27" t="s">
        <v>8</v>
      </c>
      <c r="R876" s="27" t="s">
        <v>7</v>
      </c>
      <c r="S876" s="27" t="s">
        <v>8</v>
      </c>
      <c r="T876" s="27" t="s">
        <v>7</v>
      </c>
      <c r="U876" s="27" t="s">
        <v>8</v>
      </c>
      <c r="V876" s="27" t="s">
        <v>7</v>
      </c>
      <c r="W876" s="27" t="s">
        <v>8</v>
      </c>
      <c r="X876" s="27" t="s">
        <v>7</v>
      </c>
      <c r="Y876" s="27" t="s">
        <v>8</v>
      </c>
      <c r="AL876" s="27" t="s">
        <v>7</v>
      </c>
      <c r="AM876" s="27" t="s">
        <v>8</v>
      </c>
      <c r="AN876" s="27" t="s">
        <v>7</v>
      </c>
      <c r="AO876" s="27" t="s">
        <v>8</v>
      </c>
      <c r="AP876" s="27" t="s">
        <v>7</v>
      </c>
      <c r="AR876" s="27" t="s">
        <v>7</v>
      </c>
      <c r="AU876" s="27" t="s">
        <v>8</v>
      </c>
      <c r="BA876" s="27" t="s">
        <v>8</v>
      </c>
      <c r="BK876" s="27" t="s">
        <v>8</v>
      </c>
      <c r="BL876" s="27" t="s">
        <v>7</v>
      </c>
      <c r="BM876" s="27" t="s">
        <v>8</v>
      </c>
      <c r="BP876" s="27" t="s">
        <v>7</v>
      </c>
      <c r="BQ876" s="27" t="s">
        <v>8</v>
      </c>
      <c r="BR876" s="27" t="s">
        <v>7</v>
      </c>
      <c r="BS876" s="27" t="s">
        <v>8</v>
      </c>
      <c r="BV876" s="27" t="s">
        <v>7</v>
      </c>
      <c r="BW876" s="27" t="s">
        <v>8</v>
      </c>
      <c r="BX876" s="27" t="s">
        <v>7</v>
      </c>
      <c r="BY876" s="27" t="s">
        <v>8</v>
      </c>
      <c r="BZ876" s="27" t="s">
        <v>7</v>
      </c>
      <c r="CA876" s="27" t="s">
        <v>8</v>
      </c>
    </row>
    <row r="877" spans="1:93" x14ac:dyDescent="0.25">
      <c r="A877" s="7">
        <v>3.205901605851851E-3</v>
      </c>
      <c r="B877"/>
      <c r="C877"/>
      <c r="D877"/>
      <c r="E877"/>
      <c r="F877" s="27" t="s">
        <v>7</v>
      </c>
      <c r="G877" s="27" t="s">
        <v>8</v>
      </c>
      <c r="H877" s="27" t="s">
        <v>7</v>
      </c>
      <c r="P877" s="27" t="s">
        <v>7</v>
      </c>
      <c r="Q877" s="27" t="s">
        <v>8</v>
      </c>
      <c r="R877" s="27" t="s">
        <v>7</v>
      </c>
      <c r="S877" s="27" t="s">
        <v>8</v>
      </c>
      <c r="T877" s="27" t="s">
        <v>7</v>
      </c>
      <c r="U877" s="27" t="s">
        <v>8</v>
      </c>
      <c r="V877" s="27" t="s">
        <v>7</v>
      </c>
      <c r="W877" s="27" t="s">
        <v>8</v>
      </c>
      <c r="X877" s="27" t="s">
        <v>7</v>
      </c>
      <c r="Y877" s="27" t="s">
        <v>8</v>
      </c>
      <c r="AL877" s="27" t="s">
        <v>7</v>
      </c>
      <c r="AM877" s="27" t="s">
        <v>8</v>
      </c>
      <c r="AN877" s="27" t="s">
        <v>7</v>
      </c>
      <c r="AO877" s="27" t="s">
        <v>8</v>
      </c>
      <c r="AR877" s="27" t="s">
        <v>7</v>
      </c>
      <c r="AU877" s="27" t="s">
        <v>8</v>
      </c>
      <c r="AV877" s="27" t="s">
        <v>7</v>
      </c>
      <c r="BA877" s="27" t="s">
        <v>8</v>
      </c>
      <c r="BB877" s="27" t="s">
        <v>7</v>
      </c>
      <c r="BK877" s="27" t="s">
        <v>8</v>
      </c>
      <c r="BL877" s="27" t="s">
        <v>7</v>
      </c>
      <c r="BM877" s="27" t="s">
        <v>8</v>
      </c>
      <c r="BP877" s="27" t="s">
        <v>7</v>
      </c>
      <c r="BQ877" s="27" t="s">
        <v>8</v>
      </c>
      <c r="BR877" s="27" t="s">
        <v>7</v>
      </c>
      <c r="BS877" s="27" t="s">
        <v>8</v>
      </c>
      <c r="BV877" s="27" t="s">
        <v>7</v>
      </c>
      <c r="BW877" s="27" t="s">
        <v>8</v>
      </c>
      <c r="BX877" s="27" t="s">
        <v>7</v>
      </c>
      <c r="BY877" s="27" t="s">
        <v>8</v>
      </c>
      <c r="BZ877" s="27" t="s">
        <v>7</v>
      </c>
      <c r="CA877" s="27" t="s">
        <v>8</v>
      </c>
    </row>
    <row r="878" spans="1:93" x14ac:dyDescent="0.25">
      <c r="A878" s="7">
        <v>3.1430407900508344E-3</v>
      </c>
      <c r="B878"/>
      <c r="C878"/>
      <c r="D878"/>
      <c r="E878"/>
      <c r="F878" s="27" t="s">
        <v>7</v>
      </c>
      <c r="G878" s="27" t="s">
        <v>8</v>
      </c>
      <c r="P878" s="27" t="s">
        <v>7</v>
      </c>
      <c r="Q878" s="27" t="s">
        <v>8</v>
      </c>
      <c r="R878" s="27" t="s">
        <v>7</v>
      </c>
      <c r="S878" s="27" t="s">
        <v>8</v>
      </c>
      <c r="T878" s="27" t="s">
        <v>7</v>
      </c>
      <c r="U878" s="27" t="s">
        <v>8</v>
      </c>
      <c r="V878" s="27" t="s">
        <v>7</v>
      </c>
      <c r="X878" s="27" t="s">
        <v>7</v>
      </c>
      <c r="AL878" s="27" t="s">
        <v>7</v>
      </c>
      <c r="AM878" s="27" t="s">
        <v>8</v>
      </c>
      <c r="AN878" s="27" t="s">
        <v>7</v>
      </c>
      <c r="AR878" s="27" t="s">
        <v>7</v>
      </c>
      <c r="AU878" s="27" t="s">
        <v>8</v>
      </c>
      <c r="AV878" s="27" t="s">
        <v>7</v>
      </c>
      <c r="BA878" s="27" t="s">
        <v>8</v>
      </c>
      <c r="BB878" s="27" t="s">
        <v>7</v>
      </c>
      <c r="BK878" s="27" t="s">
        <v>8</v>
      </c>
      <c r="BL878" s="27" t="s">
        <v>7</v>
      </c>
      <c r="BM878" s="27" t="s">
        <v>8</v>
      </c>
      <c r="BP878" s="27" t="s">
        <v>7</v>
      </c>
      <c r="BQ878" s="27" t="s">
        <v>8</v>
      </c>
      <c r="BR878" s="27" t="s">
        <v>7</v>
      </c>
      <c r="BS878" s="27" t="s">
        <v>8</v>
      </c>
      <c r="BV878" s="27" t="s">
        <v>7</v>
      </c>
      <c r="BW878" s="27" t="s">
        <v>8</v>
      </c>
      <c r="BX878" s="27" t="s">
        <v>7</v>
      </c>
      <c r="BY878" s="27" t="s">
        <v>8</v>
      </c>
      <c r="BZ878" s="27" t="s">
        <v>7</v>
      </c>
      <c r="CA878" s="27" t="s">
        <v>8</v>
      </c>
    </row>
    <row r="879" spans="1:93" x14ac:dyDescent="0.25">
      <c r="A879" s="7">
        <v>3.0814125392655241E-3</v>
      </c>
      <c r="B879"/>
      <c r="C879"/>
      <c r="D879"/>
      <c r="E879"/>
      <c r="F879" s="27" t="s">
        <v>7</v>
      </c>
      <c r="G879" s="27" t="s">
        <v>8</v>
      </c>
      <c r="P879" s="27" t="s">
        <v>7</v>
      </c>
      <c r="Q879" s="27" t="s">
        <v>8</v>
      </c>
      <c r="R879" s="27" t="s">
        <v>7</v>
      </c>
      <c r="S879" s="27" t="s">
        <v>8</v>
      </c>
      <c r="T879" s="27" t="s">
        <v>7</v>
      </c>
      <c r="U879" s="27" t="s">
        <v>8</v>
      </c>
      <c r="AL879" s="27" t="s">
        <v>7</v>
      </c>
      <c r="AM879" s="27" t="s">
        <v>8</v>
      </c>
      <c r="AR879" s="27" t="s">
        <v>7</v>
      </c>
      <c r="AU879" s="27" t="s">
        <v>8</v>
      </c>
      <c r="AV879" s="27" t="s">
        <v>7</v>
      </c>
      <c r="BA879" s="27" t="s">
        <v>8</v>
      </c>
      <c r="BB879" s="27" t="s">
        <v>7</v>
      </c>
      <c r="BI879" s="27" t="s">
        <v>8</v>
      </c>
      <c r="BK879" s="27" t="s">
        <v>8</v>
      </c>
      <c r="BL879" s="27" t="s">
        <v>7</v>
      </c>
      <c r="BM879" s="27" t="s">
        <v>8</v>
      </c>
      <c r="BP879" s="27" t="s">
        <v>7</v>
      </c>
      <c r="BR879" s="27" t="s">
        <v>7</v>
      </c>
      <c r="BS879" s="27" t="s">
        <v>8</v>
      </c>
      <c r="BV879" s="27" t="s">
        <v>7</v>
      </c>
      <c r="BW879" s="27" t="s">
        <v>8</v>
      </c>
      <c r="BX879" s="27" t="s">
        <v>7</v>
      </c>
      <c r="BY879" s="27" t="s">
        <v>8</v>
      </c>
      <c r="BZ879" s="27" t="s">
        <v>7</v>
      </c>
      <c r="CA879" s="27" t="s">
        <v>8</v>
      </c>
    </row>
    <row r="880" spans="1:93" x14ac:dyDescent="0.25">
      <c r="A880" s="7">
        <v>3.0209926855544354E-3</v>
      </c>
      <c r="B880"/>
      <c r="C880"/>
      <c r="D880"/>
      <c r="E880"/>
      <c r="F880" s="27" t="s">
        <v>7</v>
      </c>
      <c r="G880" s="27" t="s">
        <v>8</v>
      </c>
      <c r="P880" s="27" t="s">
        <v>7</v>
      </c>
      <c r="R880" s="27" t="s">
        <v>7</v>
      </c>
      <c r="S880" s="27" t="s">
        <v>8</v>
      </c>
      <c r="T880" s="27" t="s">
        <v>7</v>
      </c>
      <c r="AL880" s="27" t="s">
        <v>7</v>
      </c>
      <c r="AR880" s="27" t="s">
        <v>7</v>
      </c>
      <c r="AU880" s="27" t="s">
        <v>8</v>
      </c>
      <c r="AV880" s="27" t="s">
        <v>7</v>
      </c>
      <c r="BA880" s="27" t="s">
        <v>8</v>
      </c>
      <c r="BB880" s="27" t="s">
        <v>7</v>
      </c>
      <c r="BI880" s="27" t="s">
        <v>8</v>
      </c>
      <c r="BJ880" s="27" t="s">
        <v>7</v>
      </c>
      <c r="BK880" s="27" t="s">
        <v>8</v>
      </c>
      <c r="BL880" s="27" t="s">
        <v>7</v>
      </c>
      <c r="BM880" s="27" t="s">
        <v>8</v>
      </c>
      <c r="BR880" s="27" t="s">
        <v>7</v>
      </c>
      <c r="BV880" s="27" t="s">
        <v>7</v>
      </c>
      <c r="BW880" s="27" t="s">
        <v>8</v>
      </c>
      <c r="BX880" s="27" t="s">
        <v>7</v>
      </c>
      <c r="BZ880" s="27" t="s">
        <v>7</v>
      </c>
    </row>
    <row r="881" spans="1:75" x14ac:dyDescent="0.25">
      <c r="A881" s="7">
        <v>2.9617575348572897E-3</v>
      </c>
      <c r="B881"/>
      <c r="C881"/>
      <c r="D881"/>
      <c r="E881"/>
      <c r="F881" s="27" t="s">
        <v>7</v>
      </c>
      <c r="R881" s="27" t="s">
        <v>7</v>
      </c>
      <c r="S881" s="27" t="s">
        <v>8</v>
      </c>
      <c r="AR881" s="27" t="s">
        <v>7</v>
      </c>
      <c r="AU881" s="27" t="s">
        <v>8</v>
      </c>
      <c r="AV881" s="27" t="s">
        <v>7</v>
      </c>
      <c r="BA881" s="27" t="s">
        <v>8</v>
      </c>
      <c r="BB881" s="27" t="s">
        <v>7</v>
      </c>
      <c r="BI881" s="27" t="s">
        <v>8</v>
      </c>
      <c r="BJ881" s="27" t="s">
        <v>7</v>
      </c>
      <c r="BK881" s="27" t="s">
        <v>8</v>
      </c>
      <c r="BL881" s="27" t="s">
        <v>7</v>
      </c>
      <c r="BM881" s="27" t="s">
        <v>8</v>
      </c>
      <c r="BV881" s="27" t="s">
        <v>7</v>
      </c>
      <c r="BW881" s="27" t="s">
        <v>8</v>
      </c>
    </row>
    <row r="882" spans="1:75" x14ac:dyDescent="0.25">
      <c r="A882" s="7">
        <v>2.9036838577032251E-3</v>
      </c>
      <c r="B882"/>
      <c r="C882"/>
      <c r="D882"/>
      <c r="E882"/>
      <c r="R882" s="27" t="s">
        <v>7</v>
      </c>
      <c r="AR882" s="27" t="s">
        <v>7</v>
      </c>
      <c r="AU882" s="27" t="s">
        <v>8</v>
      </c>
      <c r="AV882" s="27" t="s">
        <v>7</v>
      </c>
      <c r="BA882" s="27" t="s">
        <v>8</v>
      </c>
      <c r="BB882" s="27" t="s">
        <v>7</v>
      </c>
      <c r="BI882" s="27" t="s">
        <v>8</v>
      </c>
      <c r="BJ882" s="27" t="s">
        <v>7</v>
      </c>
      <c r="BK882" s="27" t="s">
        <v>8</v>
      </c>
      <c r="BL882" s="27" t="s">
        <v>7</v>
      </c>
      <c r="BM882" s="27" t="s">
        <v>8</v>
      </c>
      <c r="BV882" s="27" t="s">
        <v>7</v>
      </c>
      <c r="BW882" s="27" t="s">
        <v>8</v>
      </c>
    </row>
    <row r="883" spans="1:75" x14ac:dyDescent="0.25">
      <c r="A883" s="7">
        <v>2.8467488801012012E-3</v>
      </c>
      <c r="B883"/>
      <c r="C883"/>
      <c r="D883"/>
      <c r="E883"/>
      <c r="AR883" s="27" t="s">
        <v>7</v>
      </c>
      <c r="AU883" s="27" t="s">
        <v>8</v>
      </c>
      <c r="AV883" s="27" t="s">
        <v>7</v>
      </c>
      <c r="AW883" s="27" t="s">
        <v>8</v>
      </c>
      <c r="AY883" s="27" t="s">
        <v>8</v>
      </c>
      <c r="BA883" s="27" t="s">
        <v>8</v>
      </c>
      <c r="BB883" s="27" t="s">
        <v>7</v>
      </c>
      <c r="BC883" s="27" t="s">
        <v>8</v>
      </c>
      <c r="BI883" s="27" t="s">
        <v>8</v>
      </c>
      <c r="BJ883" s="27" t="s">
        <v>7</v>
      </c>
      <c r="BL883" s="27" t="s">
        <v>7</v>
      </c>
      <c r="BM883" s="27" t="s">
        <v>8</v>
      </c>
      <c r="BV883" s="27" t="s">
        <v>7</v>
      </c>
      <c r="BW883" s="27" t="s">
        <v>8</v>
      </c>
    </row>
    <row r="884" spans="1:75" x14ac:dyDescent="0.25">
      <c r="A884" s="7">
        <v>2.7909302746090209E-3</v>
      </c>
      <c r="B884"/>
      <c r="C884"/>
      <c r="D884"/>
      <c r="E884"/>
      <c r="AR884" s="27" t="s">
        <v>7</v>
      </c>
      <c r="AU884" s="27" t="s">
        <v>8</v>
      </c>
      <c r="AV884" s="27" t="s">
        <v>7</v>
      </c>
      <c r="AW884" s="27" t="s">
        <v>8</v>
      </c>
      <c r="AX884" s="27" t="s">
        <v>7</v>
      </c>
      <c r="AY884" s="27" t="s">
        <v>8</v>
      </c>
      <c r="AZ884" s="27" t="s">
        <v>7</v>
      </c>
      <c r="BA884" s="27" t="s">
        <v>8</v>
      </c>
      <c r="BB884" s="27" t="s">
        <v>7</v>
      </c>
      <c r="BC884" s="27" t="s">
        <v>8</v>
      </c>
      <c r="BD884" s="27" t="s">
        <v>7</v>
      </c>
      <c r="BE884" s="27" t="s">
        <v>8</v>
      </c>
      <c r="BG884" s="27" t="s">
        <v>8</v>
      </c>
      <c r="BI884" s="27" t="s">
        <v>8</v>
      </c>
      <c r="BL884" s="27" t="s">
        <v>7</v>
      </c>
      <c r="BV884" s="27" t="s">
        <v>7</v>
      </c>
    </row>
    <row r="885" spans="1:75" x14ac:dyDescent="0.25">
      <c r="A885" s="7">
        <v>2.7362061515774716E-3</v>
      </c>
      <c r="B885"/>
      <c r="C885"/>
      <c r="D885"/>
      <c r="E885"/>
      <c r="AR885" s="27" t="s">
        <v>7</v>
      </c>
      <c r="AU885" s="27" t="s">
        <v>8</v>
      </c>
      <c r="AV885" s="27" t="s">
        <v>7</v>
      </c>
      <c r="AW885" s="27" t="s">
        <v>8</v>
      </c>
      <c r="AX885" s="27" t="s">
        <v>7</v>
      </c>
      <c r="AY885" s="27" t="s">
        <v>8</v>
      </c>
      <c r="AZ885" s="27" t="s">
        <v>7</v>
      </c>
      <c r="BA885" s="27" t="s">
        <v>8</v>
      </c>
      <c r="BB885" s="27" t="s">
        <v>7</v>
      </c>
      <c r="BC885" s="27" t="s">
        <v>8</v>
      </c>
      <c r="BD885" s="27" t="s">
        <v>7</v>
      </c>
      <c r="BE885" s="27" t="s">
        <v>8</v>
      </c>
      <c r="BF885" s="27" t="s">
        <v>7</v>
      </c>
      <c r="BG885" s="27" t="s">
        <v>8</v>
      </c>
      <c r="BH885" s="27" t="s">
        <v>7</v>
      </c>
      <c r="BI885" s="27" t="s">
        <v>8</v>
      </c>
    </row>
    <row r="886" spans="1:75" x14ac:dyDescent="0.25">
      <c r="A886" s="7">
        <v>2.6825550505661486E-3</v>
      </c>
      <c r="B886"/>
      <c r="C886"/>
      <c r="D886"/>
      <c r="E886"/>
      <c r="AR886" s="27" t="s">
        <v>7</v>
      </c>
      <c r="AS886" s="27" t="s">
        <v>8</v>
      </c>
      <c r="AU886" s="27" t="s">
        <v>8</v>
      </c>
      <c r="AV886" s="27" t="s">
        <v>7</v>
      </c>
      <c r="AX886" s="27" t="s">
        <v>7</v>
      </c>
      <c r="AZ886" s="27" t="s">
        <v>7</v>
      </c>
      <c r="BA886" s="27" t="s">
        <v>8</v>
      </c>
      <c r="BB886" s="27" t="s">
        <v>7</v>
      </c>
      <c r="BC886" s="27" t="s">
        <v>8</v>
      </c>
      <c r="BD886" s="27" t="s">
        <v>7</v>
      </c>
      <c r="BE886" s="27" t="s">
        <v>8</v>
      </c>
      <c r="BF886" s="27" t="s">
        <v>7</v>
      </c>
      <c r="BG886" s="27" t="s">
        <v>8</v>
      </c>
      <c r="BH886" s="27" t="s">
        <v>7</v>
      </c>
      <c r="BI886" s="27" t="s">
        <v>8</v>
      </c>
    </row>
    <row r="887" spans="1:75" x14ac:dyDescent="0.25">
      <c r="A887" s="7">
        <v>2.6299559319275965E-3</v>
      </c>
      <c r="B887"/>
      <c r="C887"/>
      <c r="D887"/>
      <c r="E887"/>
      <c r="AR887" s="27" t="s">
        <v>7</v>
      </c>
      <c r="AS887" s="27" t="s">
        <v>8</v>
      </c>
      <c r="AT887" s="27" t="s">
        <v>7</v>
      </c>
      <c r="AU887" s="27" t="s">
        <v>8</v>
      </c>
      <c r="AZ887" s="27" t="s">
        <v>7</v>
      </c>
      <c r="BB887" s="27" t="s">
        <v>7</v>
      </c>
      <c r="BC887" s="27" t="s">
        <v>8</v>
      </c>
      <c r="BD887" s="27" t="s">
        <v>7</v>
      </c>
      <c r="BE887" s="27" t="s">
        <v>8</v>
      </c>
      <c r="BF887" s="27" t="s">
        <v>7</v>
      </c>
      <c r="BG887" s="27" t="s">
        <v>8</v>
      </c>
      <c r="BH887" s="27" t="s">
        <v>7</v>
      </c>
      <c r="BI887" s="27" t="s">
        <v>8</v>
      </c>
    </row>
    <row r="888" spans="1:75" x14ac:dyDescent="0.25">
      <c r="A888" s="7">
        <v>2.578388168556467E-3</v>
      </c>
      <c r="B888"/>
      <c r="C888"/>
      <c r="D888"/>
      <c r="E888"/>
      <c r="AR888" s="27" t="s">
        <v>7</v>
      </c>
      <c r="AS888" s="27" t="s">
        <v>8</v>
      </c>
      <c r="AT888" s="27" t="s">
        <v>7</v>
      </c>
      <c r="AU888" s="27" t="s">
        <v>8</v>
      </c>
      <c r="BB888" s="27" t="s">
        <v>7</v>
      </c>
      <c r="BC888" s="27" t="s">
        <v>8</v>
      </c>
      <c r="BD888" s="27" t="s">
        <v>7</v>
      </c>
      <c r="BE888" s="27" t="s">
        <v>8</v>
      </c>
      <c r="BF888" s="27" t="s">
        <v>7</v>
      </c>
      <c r="BG888" s="27" t="s">
        <v>8</v>
      </c>
      <c r="BH888" s="27" t="s">
        <v>7</v>
      </c>
    </row>
    <row r="889" spans="1:75" x14ac:dyDescent="0.25">
      <c r="A889" s="7">
        <v>2.5278315378004577E-3</v>
      </c>
      <c r="B889"/>
      <c r="C889"/>
      <c r="D889"/>
      <c r="E889"/>
      <c r="AR889" s="27" t="s">
        <v>7</v>
      </c>
      <c r="AS889" s="27" t="s">
        <v>8</v>
      </c>
      <c r="AT889" s="27" t="s">
        <v>7</v>
      </c>
      <c r="AU889" s="27" t="s">
        <v>8</v>
      </c>
      <c r="BB889" s="27" t="s">
        <v>7</v>
      </c>
      <c r="BD889" s="27" t="s">
        <v>7</v>
      </c>
      <c r="BE889" s="27" t="s">
        <v>8</v>
      </c>
      <c r="BF889" s="27" t="s">
        <v>7</v>
      </c>
    </row>
    <row r="890" spans="1:75" x14ac:dyDescent="0.25">
      <c r="A890" s="7">
        <v>2.4782662135298603E-3</v>
      </c>
      <c r="B890"/>
      <c r="C890"/>
      <c r="D890"/>
      <c r="E890"/>
      <c r="AR890" s="27" t="s">
        <v>7</v>
      </c>
      <c r="AS890" s="27" t="s">
        <v>8</v>
      </c>
      <c r="AT890" s="27" t="s">
        <v>7</v>
      </c>
      <c r="BD890" s="27" t="s">
        <v>7</v>
      </c>
      <c r="BE890" s="27" t="s">
        <v>8</v>
      </c>
    </row>
    <row r="891" spans="1:75" x14ac:dyDescent="0.25">
      <c r="A891" s="7">
        <v>2.4296727583626083E-3</v>
      </c>
      <c r="B891"/>
      <c r="C891"/>
      <c r="D891"/>
      <c r="E891"/>
      <c r="AR891" s="27" t="s">
        <v>7</v>
      </c>
      <c r="BD891" s="27" t="s">
        <v>7</v>
      </c>
      <c r="BE891" s="27" t="s">
        <v>8</v>
      </c>
    </row>
    <row r="892" spans="1:75" x14ac:dyDescent="0.25">
      <c r="A892" s="7">
        <v>2.3820321160417726E-3</v>
      </c>
      <c r="B892"/>
      <c r="C892"/>
      <c r="D892"/>
      <c r="E892"/>
      <c r="BD892" s="27" t="s">
        <v>7</v>
      </c>
      <c r="BE892" s="27" t="s">
        <v>8</v>
      </c>
    </row>
    <row r="893" spans="1:75" x14ac:dyDescent="0.25">
      <c r="A893" s="7">
        <v>2.3353256039625224E-3</v>
      </c>
      <c r="B893"/>
      <c r="C893"/>
      <c r="D893"/>
      <c r="E893"/>
      <c r="BD893" s="27" t="s">
        <v>7</v>
      </c>
    </row>
    <row r="894" spans="1:75" x14ac:dyDescent="0.25">
      <c r="A894" s="7">
        <v>2.2895349058456101E-3</v>
      </c>
      <c r="B894"/>
      <c r="C894"/>
      <c r="D894"/>
      <c r="E894"/>
    </row>
    <row r="895" spans="1:75" x14ac:dyDescent="0.25">
      <c r="A895" s="7">
        <v>2.24464206455452E-3</v>
      </c>
      <c r="B895"/>
      <c r="C895"/>
      <c r="D895"/>
      <c r="E895"/>
    </row>
    <row r="896" spans="1:7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76" operator="equal">
      <formula>$U$1</formula>
    </cfRule>
    <cfRule type="cellIs" dxfId="89" priority="977" operator="equal">
      <formula>$S$1</formula>
    </cfRule>
  </conditionalFormatting>
  <conditionalFormatting sqref="D27">
    <cfRule type="cellIs" dxfId="88" priority="974" operator="equal">
      <formula>$S$1</formula>
    </cfRule>
    <cfRule type="cellIs" dxfId="87" priority="975" operator="equal">
      <formula>$U$1</formula>
    </cfRule>
  </conditionalFormatting>
  <conditionalFormatting sqref="C164">
    <cfRule type="cellIs" dxfId="86" priority="972" operator="equal">
      <formula>$U$1</formula>
    </cfRule>
    <cfRule type="cellIs" dxfId="85" priority="973" operator="equal">
      <formula>$S$1</formula>
    </cfRule>
  </conditionalFormatting>
  <conditionalFormatting sqref="D164">
    <cfRule type="cellIs" dxfId="84" priority="970" operator="equal">
      <formula>$S$1</formula>
    </cfRule>
    <cfRule type="cellIs" dxfId="83" priority="971" operator="equal">
      <formula>$U$1</formula>
    </cfRule>
  </conditionalFormatting>
  <conditionalFormatting sqref="C55">
    <cfRule type="cellIs" dxfId="82" priority="968" operator="equal">
      <formula>$U$1</formula>
    </cfRule>
    <cfRule type="cellIs" dxfId="81" priority="969" operator="equal">
      <formula>$S$1</formula>
    </cfRule>
  </conditionalFormatting>
  <conditionalFormatting sqref="D55">
    <cfRule type="cellIs" dxfId="80" priority="966" operator="equal">
      <formula>$S$1</formula>
    </cfRule>
    <cfRule type="cellIs" dxfId="79" priority="967" operator="equal">
      <formula>$U$1</formula>
    </cfRule>
  </conditionalFormatting>
  <conditionalFormatting sqref="C89">
    <cfRule type="cellIs" dxfId="78" priority="964" operator="equal">
      <formula>$U$1</formula>
    </cfRule>
    <cfRule type="cellIs" dxfId="77" priority="965" operator="equal">
      <formula>$S$1</formula>
    </cfRule>
  </conditionalFormatting>
  <conditionalFormatting sqref="D89">
    <cfRule type="cellIs" dxfId="76" priority="962" operator="equal">
      <formula>$S$1</formula>
    </cfRule>
    <cfRule type="cellIs" dxfId="75" priority="963" operator="equal">
      <formula>$U$1</formula>
    </cfRule>
  </conditionalFormatting>
  <conditionalFormatting sqref="C136">
    <cfRule type="cellIs" dxfId="74" priority="960" operator="equal">
      <formula>$U$1</formula>
    </cfRule>
    <cfRule type="cellIs" dxfId="73" priority="961" operator="equal">
      <formula>$S$1</formula>
    </cfRule>
  </conditionalFormatting>
  <conditionalFormatting sqref="D136">
    <cfRule type="cellIs" dxfId="72" priority="958" operator="equal">
      <formula>$S$1</formula>
    </cfRule>
    <cfRule type="cellIs" dxfId="71" priority="959" operator="equal">
      <formula>$U$1</formula>
    </cfRule>
  </conditionalFormatting>
  <conditionalFormatting sqref="C1">
    <cfRule type="cellIs" dxfId="70" priority="95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04" zoomScale="90" zoomScaleNormal="90" workbookViewId="0">
      <pane xSplit="4" topLeftCell="BL1" activePane="topRight" state="frozen"/>
      <selection activeCell="A109" sqref="A109"/>
      <selection pane="topRight" activeCell="EA334" sqref="EA33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$A$333</v>
      </c>
      <c r="D111" s="1" t="str">
        <f>ADDRESS(C121-1,D121,1,1)</f>
        <v>$EA$333</v>
      </c>
      <c r="E111"/>
    </row>
    <row r="112" spans="1:5" x14ac:dyDescent="0.25">
      <c r="A112" s="30">
        <v>515.50191262726139</v>
      </c>
      <c r="C112" s="1" t="str">
        <f>ADDRESS(C121,1,1,1)</f>
        <v>$A$334</v>
      </c>
      <c r="D112" s="1" t="str">
        <f>ADDRESS(C121,D121-1,1,1)</f>
        <v>$DZ$334</v>
      </c>
      <c r="E112"/>
    </row>
    <row r="113" spans="1:5" x14ac:dyDescent="0.25">
      <c r="A113" s="30">
        <v>490.95420250215363</v>
      </c>
      <c r="C113" s="1" t="str">
        <f>ADDRESS(C121+1,1,1,1)</f>
        <v>$A$335</v>
      </c>
      <c r="D113" s="1" t="str">
        <f>ADDRESS(C121-1,D121+1,1,1)</f>
        <v>$EB$333</v>
      </c>
    </row>
    <row r="114" spans="1:5" x14ac:dyDescent="0.25">
      <c r="A114" s="30">
        <v>467.57543095443202</v>
      </c>
      <c r="C114" s="1" t="str">
        <f>ADDRESS(C121,D121,1,1)</f>
        <v>$EA$334</v>
      </c>
      <c r="D114" s="1" t="str">
        <f>ADDRESS(C121+1,D121+1,1,1)</f>
        <v>$EB$335</v>
      </c>
    </row>
    <row r="115" spans="1:5" x14ac:dyDescent="0.25">
      <c r="A115" s="30">
        <v>445.30993424231622</v>
      </c>
      <c r="C115" s="1" t="str">
        <f>ADDRESS(C121+1,D121,1,1)</f>
        <v>$EA$335</v>
      </c>
    </row>
    <row r="116" spans="1:5" x14ac:dyDescent="0.25">
      <c r="A116" s="30">
        <v>424.10469927839637</v>
      </c>
      <c r="C116" s="1">
        <f>C117-1</f>
        <v>333</v>
      </c>
    </row>
    <row r="117" spans="1:5" x14ac:dyDescent="0.25">
      <c r="A117" s="30">
        <v>403.9092374079965</v>
      </c>
      <c r="C117" s="1">
        <f>C121</f>
        <v>334</v>
      </c>
      <c r="D117" s="1">
        <f>D121</f>
        <v>131</v>
      </c>
    </row>
    <row r="118" spans="1:5" x14ac:dyDescent="0.25">
      <c r="A118" s="30">
        <v>384.6754641980919</v>
      </c>
      <c r="C118" s="1">
        <f>C117+1</f>
        <v>335</v>
      </c>
      <c r="D118" s="1">
        <f>D117+1</f>
        <v>132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334</v>
      </c>
      <c r="D121" s="19">
        <v>131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R334</v>
      </c>
      <c r="D123" s="1" t="str">
        <f>"C"&amp;D121</f>
        <v>C131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1.0190743895326324E-2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81" x14ac:dyDescent="0.25">
      <c r="A289" s="30">
        <v>9.1563913320997906E-2</v>
      </c>
      <c r="B289"/>
      <c r="C289"/>
      <c r="D289"/>
      <c r="E289"/>
      <c r="F289" s="27" t="s">
        <v>7</v>
      </c>
    </row>
    <row r="290" spans="1:81" x14ac:dyDescent="0.25">
      <c r="A290" s="30">
        <v>8.7203726972378923E-2</v>
      </c>
      <c r="B290"/>
      <c r="C290"/>
      <c r="D290"/>
      <c r="E290"/>
      <c r="F290" s="27" t="s">
        <v>7</v>
      </c>
    </row>
    <row r="291" spans="1:81" x14ac:dyDescent="0.25">
      <c r="A291" s="30">
        <v>8.3051168545122747E-2</v>
      </c>
      <c r="B291"/>
      <c r="C291"/>
      <c r="D291"/>
      <c r="E291"/>
      <c r="F291" s="27" t="s">
        <v>7</v>
      </c>
    </row>
    <row r="292" spans="1:81" x14ac:dyDescent="0.25">
      <c r="A292" s="30">
        <v>7.9096350995354961E-2</v>
      </c>
      <c r="B292"/>
      <c r="C292"/>
      <c r="D292"/>
      <c r="E292"/>
      <c r="F292" s="27" t="s">
        <v>7</v>
      </c>
    </row>
    <row r="293" spans="1:81" x14ac:dyDescent="0.25">
      <c r="A293" s="30">
        <v>7.5329858090814217E-2</v>
      </c>
      <c r="B293"/>
      <c r="C293"/>
      <c r="D293"/>
      <c r="E293"/>
      <c r="F293" s="27" t="s">
        <v>7</v>
      </c>
    </row>
    <row r="294" spans="1:81" x14ac:dyDescent="0.25">
      <c r="A294" s="30">
        <v>7.1742721991251604E-2</v>
      </c>
      <c r="B294"/>
      <c r="C294"/>
      <c r="D294"/>
      <c r="E294"/>
      <c r="F294" s="27" t="s">
        <v>7</v>
      </c>
    </row>
    <row r="295" spans="1:81" x14ac:dyDescent="0.25">
      <c r="A295" s="30">
        <v>6.8326401896430078E-2</v>
      </c>
      <c r="B295"/>
      <c r="C295"/>
      <c r="D295"/>
      <c r="E295"/>
      <c r="F295" s="27" t="s">
        <v>7</v>
      </c>
    </row>
    <row r="296" spans="1:81" x14ac:dyDescent="0.25">
      <c r="A296" s="30">
        <v>6.5072763710885759E-2</v>
      </c>
      <c r="B296"/>
      <c r="C296"/>
      <c r="D296"/>
      <c r="E296"/>
      <c r="F296" s="27" t="s">
        <v>7</v>
      </c>
    </row>
    <row r="297" spans="1:81" x14ac:dyDescent="0.25">
      <c r="A297" s="30">
        <v>6.197406067703403E-2</v>
      </c>
      <c r="B297"/>
      <c r="C297"/>
      <c r="D297"/>
      <c r="E297"/>
      <c r="F297" s="27" t="s">
        <v>7</v>
      </c>
      <c r="BQ297" s="32" t="s">
        <v>8</v>
      </c>
    </row>
    <row r="298" spans="1:81" x14ac:dyDescent="0.25">
      <c r="A298" s="30">
        <v>5.9022914930508576E-2</v>
      </c>
      <c r="B298"/>
      <c r="C298"/>
      <c r="D298"/>
      <c r="E298"/>
      <c r="F298" s="27" t="s">
        <v>7</v>
      </c>
      <c r="BQ298" s="27" t="s">
        <v>8</v>
      </c>
      <c r="BR298" s="32" t="s">
        <v>7</v>
      </c>
    </row>
    <row r="299" spans="1:81" x14ac:dyDescent="0.25">
      <c r="A299" s="30">
        <v>5.6212299933817669E-2</v>
      </c>
      <c r="B299"/>
      <c r="C299"/>
      <c r="D299"/>
      <c r="E299"/>
      <c r="F299" s="27" t="s">
        <v>7</v>
      </c>
      <c r="BQ299" s="27" t="s">
        <v>8</v>
      </c>
      <c r="BR299" s="27" t="s">
        <v>7</v>
      </c>
      <c r="BS299" s="32"/>
    </row>
    <row r="300" spans="1:81" x14ac:dyDescent="0.25">
      <c r="A300" s="30">
        <v>5.3535523746492994E-2</v>
      </c>
      <c r="B300"/>
      <c r="C300"/>
      <c r="D300"/>
      <c r="E300"/>
      <c r="F300" s="27" t="s">
        <v>7</v>
      </c>
      <c r="BQ300" s="27" t="s">
        <v>8</v>
      </c>
      <c r="BR300" s="27" t="s">
        <v>7</v>
      </c>
      <c r="BT300" s="32"/>
    </row>
    <row r="301" spans="1:81" x14ac:dyDescent="0.25">
      <c r="A301" s="30">
        <v>5.0986213091898068E-2</v>
      </c>
      <c r="B301"/>
      <c r="C301"/>
      <c r="D301"/>
      <c r="E301"/>
      <c r="F301" s="27" t="s">
        <v>7</v>
      </c>
      <c r="BQ301" s="27" t="s">
        <v>8</v>
      </c>
      <c r="BR301" s="27" t="s">
        <v>7</v>
      </c>
      <c r="BU301" s="32"/>
    </row>
    <row r="302" spans="1:81" x14ac:dyDescent="0.25">
      <c r="A302" s="30">
        <v>4.8558298182760043E-2</v>
      </c>
      <c r="B302"/>
      <c r="C302"/>
      <c r="D302"/>
      <c r="E302"/>
      <c r="F302" s="27" t="s">
        <v>7</v>
      </c>
      <c r="BQ302" s="27" t="s">
        <v>8</v>
      </c>
      <c r="BR302" s="27" t="s">
        <v>7</v>
      </c>
      <c r="BS302" s="27" t="s">
        <v>8</v>
      </c>
      <c r="BV302" s="32"/>
    </row>
    <row r="303" spans="1:81" x14ac:dyDescent="0.25">
      <c r="A303" s="30">
        <v>4.6245998269295263E-2</v>
      </c>
      <c r="B303"/>
      <c r="C303"/>
      <c r="D303"/>
      <c r="E303"/>
      <c r="F303" s="27" t="s">
        <v>7</v>
      </c>
      <c r="BQ303" s="27" t="s">
        <v>8</v>
      </c>
      <c r="BR303" s="27" t="s">
        <v>7</v>
      </c>
      <c r="BS303" s="27" t="s">
        <v>8</v>
      </c>
      <c r="BT303" s="27" t="s">
        <v>7</v>
      </c>
      <c r="BU303" s="27" t="s">
        <v>8</v>
      </c>
      <c r="BW303" s="32"/>
    </row>
    <row r="304" spans="1:81" x14ac:dyDescent="0.25">
      <c r="A304" s="30">
        <v>4.4043807875519279E-2</v>
      </c>
      <c r="B304"/>
      <c r="C304"/>
      <c r="D304"/>
      <c r="E304"/>
      <c r="F304" s="27" t="s">
        <v>7</v>
      </c>
      <c r="BQ304" s="27" t="s">
        <v>8</v>
      </c>
      <c r="BR304" s="27" t="s">
        <v>7</v>
      </c>
      <c r="BS304" s="27" t="s">
        <v>8</v>
      </c>
      <c r="BT304" s="27" t="s">
        <v>7</v>
      </c>
      <c r="BU304" s="27" t="s">
        <v>8</v>
      </c>
      <c r="BV304" s="27" t="s">
        <v>7</v>
      </c>
      <c r="BX304" s="32"/>
      <c r="CC304" s="32" t="s">
        <v>8</v>
      </c>
    </row>
    <row r="305" spans="1:122" x14ac:dyDescent="0.25">
      <c r="A305" s="30">
        <v>4.1946483690970725E-2</v>
      </c>
      <c r="B305"/>
      <c r="C305"/>
      <c r="D305"/>
      <c r="E305"/>
      <c r="F305" s="27" t="s">
        <v>7</v>
      </c>
      <c r="BQ305" s="27" t="s">
        <v>8</v>
      </c>
      <c r="BR305" s="27" t="s">
        <v>7</v>
      </c>
      <c r="BS305" s="27" t="s">
        <v>8</v>
      </c>
      <c r="BT305" s="27" t="s">
        <v>7</v>
      </c>
      <c r="BU305" s="27" t="s">
        <v>8</v>
      </c>
      <c r="BV305" s="27" t="s">
        <v>7</v>
      </c>
      <c r="BY305" s="33" t="s">
        <v>8</v>
      </c>
      <c r="CA305" s="33" t="s">
        <v>8</v>
      </c>
      <c r="CC305" s="27" t="s">
        <v>8</v>
      </c>
      <c r="CD305" s="32" t="s">
        <v>7</v>
      </c>
    </row>
    <row r="306" spans="1:122" x14ac:dyDescent="0.25">
      <c r="A306" s="30">
        <v>3.9949032086638768E-2</v>
      </c>
      <c r="B306"/>
      <c r="C306"/>
      <c r="D306"/>
      <c r="E306"/>
      <c r="F306" s="27" t="s">
        <v>7</v>
      </c>
      <c r="BQ306" s="27" t="s">
        <v>8</v>
      </c>
      <c r="BR306" s="27" t="s">
        <v>7</v>
      </c>
      <c r="BT306" s="27" t="s">
        <v>7</v>
      </c>
      <c r="BU306" s="27" t="s">
        <v>8</v>
      </c>
      <c r="BV306" s="27" t="s">
        <v>7</v>
      </c>
      <c r="BY306" s="27" t="s">
        <v>8</v>
      </c>
      <c r="BZ306" s="32" t="s">
        <v>7</v>
      </c>
      <c r="CA306" s="27" t="s">
        <v>8</v>
      </c>
      <c r="CB306" s="27" t="s">
        <v>7</v>
      </c>
      <c r="CC306" s="27" t="s">
        <v>8</v>
      </c>
      <c r="CD306" s="27" t="s">
        <v>7</v>
      </c>
      <c r="CE306" s="32"/>
    </row>
    <row r="307" spans="1:122" x14ac:dyDescent="0.25">
      <c r="A307" s="30">
        <v>3.8046697225370241E-2</v>
      </c>
      <c r="B307"/>
      <c r="C307"/>
      <c r="D307"/>
      <c r="E307"/>
      <c r="F307" s="27" t="s">
        <v>7</v>
      </c>
      <c r="BQ307" s="27" t="s">
        <v>8</v>
      </c>
      <c r="BT307" s="34" t="s">
        <v>7</v>
      </c>
      <c r="BV307" s="27" t="s">
        <v>7</v>
      </c>
      <c r="BY307" s="27" t="s">
        <v>8</v>
      </c>
      <c r="BZ307" s="27" t="s">
        <v>7</v>
      </c>
      <c r="CA307" s="27" t="s">
        <v>8</v>
      </c>
      <c r="CB307" s="27" t="s">
        <v>7</v>
      </c>
      <c r="CC307" s="27" t="s">
        <v>8</v>
      </c>
      <c r="CD307" s="27" t="s">
        <v>7</v>
      </c>
      <c r="CF307" s="32"/>
    </row>
    <row r="308" spans="1:122" x14ac:dyDescent="0.25">
      <c r="A308" s="30">
        <v>3.6234949738447833E-2</v>
      </c>
      <c r="B308"/>
      <c r="C308"/>
      <c r="D308"/>
      <c r="E308"/>
      <c r="F308" s="27" t="s">
        <v>7</v>
      </c>
      <c r="BK308" s="27" t="s">
        <v>8</v>
      </c>
      <c r="BO308" s="27" t="s">
        <v>8</v>
      </c>
      <c r="BQ308" s="27" t="s">
        <v>8</v>
      </c>
      <c r="BV308" s="27" t="s">
        <v>7</v>
      </c>
      <c r="BY308" s="31" t="s">
        <v>8</v>
      </c>
      <c r="BZ308" s="33" t="s">
        <v>7</v>
      </c>
      <c r="CB308" s="33" t="s">
        <v>7</v>
      </c>
      <c r="CD308" s="27" t="s">
        <v>7</v>
      </c>
      <c r="CG308" s="32"/>
    </row>
    <row r="309" spans="1:122" x14ac:dyDescent="0.25">
      <c r="A309" s="30">
        <v>3.4509475941378875E-2</v>
      </c>
      <c r="B309"/>
      <c r="C309"/>
      <c r="D309"/>
      <c r="E309"/>
      <c r="F309" s="27" t="s">
        <v>7</v>
      </c>
      <c r="BK309" s="27" t="s">
        <v>8</v>
      </c>
      <c r="BL309" s="27" t="s">
        <v>7</v>
      </c>
      <c r="BO309" s="27" t="s">
        <v>8</v>
      </c>
      <c r="BP309" s="27" t="s">
        <v>7</v>
      </c>
      <c r="BQ309" s="27" t="s">
        <v>8</v>
      </c>
      <c r="BV309" s="27" t="s">
        <v>7</v>
      </c>
      <c r="BW309" s="27" t="s">
        <v>8</v>
      </c>
      <c r="BY309" s="27" t="s">
        <v>8</v>
      </c>
      <c r="CD309" s="34" t="s">
        <v>7</v>
      </c>
      <c r="CH309" s="32"/>
    </row>
    <row r="310" spans="1:122" x14ac:dyDescent="0.25">
      <c r="A310" s="30">
        <v>3.286616756321796E-2</v>
      </c>
      <c r="B310"/>
      <c r="C310"/>
      <c r="D310"/>
      <c r="E310"/>
      <c r="F310" s="27" t="s">
        <v>7</v>
      </c>
      <c r="BK310" s="27" t="s">
        <v>8</v>
      </c>
      <c r="BL310" s="27" t="s">
        <v>7</v>
      </c>
      <c r="BO310" s="27" t="s">
        <v>8</v>
      </c>
      <c r="BP310" s="27" t="s">
        <v>7</v>
      </c>
      <c r="BQ310" s="27" t="s">
        <v>8</v>
      </c>
      <c r="BV310" s="27" t="s">
        <v>7</v>
      </c>
      <c r="BW310" s="27" t="s">
        <v>8</v>
      </c>
      <c r="BX310" s="27" t="s">
        <v>7</v>
      </c>
      <c r="BY310" s="27" t="s">
        <v>8</v>
      </c>
      <c r="CD310" s="27" t="s">
        <v>7</v>
      </c>
      <c r="CE310" s="27" t="s">
        <v>8</v>
      </c>
      <c r="CI310" s="32"/>
    </row>
    <row r="311" spans="1:122" x14ac:dyDescent="0.25">
      <c r="A311" s="30">
        <v>3.1301111964969472E-2</v>
      </c>
      <c r="B311"/>
      <c r="C311"/>
      <c r="D311"/>
      <c r="E311"/>
      <c r="F311" s="27" t="s">
        <v>7</v>
      </c>
      <c r="BI311" s="27" t="s">
        <v>8</v>
      </c>
      <c r="BK311" s="27" t="s">
        <v>8</v>
      </c>
      <c r="BL311" s="27" t="s">
        <v>7</v>
      </c>
      <c r="BO311" s="31" t="s">
        <v>8</v>
      </c>
      <c r="BP311" s="27" t="s">
        <v>7</v>
      </c>
      <c r="BV311" s="27" t="s">
        <v>7</v>
      </c>
      <c r="BW311" s="27" t="s">
        <v>8</v>
      </c>
      <c r="BX311" s="27" t="s">
        <v>7</v>
      </c>
      <c r="BY311" s="27" t="s">
        <v>8</v>
      </c>
      <c r="CD311" s="32" t="s">
        <v>7</v>
      </c>
      <c r="CE311" s="27" t="s">
        <v>8</v>
      </c>
      <c r="CF311" s="27" t="s">
        <v>7</v>
      </c>
      <c r="CJ311" s="32"/>
    </row>
    <row r="312" spans="1:122" x14ac:dyDescent="0.25">
      <c r="A312" s="30">
        <v>2.9810582823780438E-2</v>
      </c>
      <c r="B312"/>
      <c r="C312"/>
      <c r="D312"/>
      <c r="E312"/>
      <c r="F312" s="27" t="s">
        <v>7</v>
      </c>
      <c r="BI312" s="27" t="s">
        <v>8</v>
      </c>
      <c r="BJ312" s="27" t="s">
        <v>7</v>
      </c>
      <c r="BK312" s="27" t="s">
        <v>8</v>
      </c>
      <c r="BL312" s="27" t="s">
        <v>7</v>
      </c>
      <c r="BM312" s="27" t="s">
        <v>8</v>
      </c>
      <c r="BO312" s="27" t="s">
        <v>8</v>
      </c>
      <c r="BV312" s="27" t="s">
        <v>7</v>
      </c>
      <c r="BW312" s="27" t="s">
        <v>8</v>
      </c>
      <c r="BX312" s="27" t="s">
        <v>7</v>
      </c>
      <c r="BY312" s="27" t="s">
        <v>8</v>
      </c>
      <c r="CC312" s="32"/>
      <c r="CD312" s="27" t="s">
        <v>7</v>
      </c>
      <c r="CE312" s="27" t="s">
        <v>8</v>
      </c>
      <c r="CF312" s="27" t="s">
        <v>7</v>
      </c>
      <c r="CK312" s="32"/>
      <c r="DQ312" s="27" t="s">
        <v>8</v>
      </c>
    </row>
    <row r="313" spans="1:122" x14ac:dyDescent="0.25">
      <c r="A313" s="30">
        <v>2.8391031260743264E-2</v>
      </c>
      <c r="B313"/>
      <c r="C313"/>
      <c r="D313"/>
      <c r="E313"/>
      <c r="F313" s="27" t="s">
        <v>7</v>
      </c>
      <c r="BC313" s="27" t="s">
        <v>8</v>
      </c>
      <c r="BI313" s="27" t="s">
        <v>8</v>
      </c>
      <c r="BJ313" s="27" t="s">
        <v>7</v>
      </c>
      <c r="BK313" s="27" t="s">
        <v>8</v>
      </c>
      <c r="BL313" s="27" t="s">
        <v>7</v>
      </c>
      <c r="BM313" s="27" t="s">
        <v>8</v>
      </c>
      <c r="BN313" s="27" t="s">
        <v>7</v>
      </c>
      <c r="BO313" s="27" t="s">
        <v>8</v>
      </c>
      <c r="BV313" s="27" t="s">
        <v>7</v>
      </c>
      <c r="BW313" s="27" t="s">
        <v>8</v>
      </c>
      <c r="BX313" s="27" t="s">
        <v>7</v>
      </c>
      <c r="CB313" s="32"/>
      <c r="CD313" s="27" t="s">
        <v>7</v>
      </c>
      <c r="CE313" s="27" t="s">
        <v>8</v>
      </c>
      <c r="CF313" s="27" t="s">
        <v>7</v>
      </c>
      <c r="CG313" s="27" t="s">
        <v>8</v>
      </c>
      <c r="CL313" s="32"/>
      <c r="DQ313" s="27" t="s">
        <v>8</v>
      </c>
      <c r="DR313" s="27" t="s">
        <v>7</v>
      </c>
    </row>
    <row r="314" spans="1:122" x14ac:dyDescent="0.25">
      <c r="A314" s="30">
        <v>2.7039077391184052E-2</v>
      </c>
      <c r="B314"/>
      <c r="C314"/>
      <c r="D314"/>
      <c r="E314"/>
      <c r="F314" s="27" t="s">
        <v>7</v>
      </c>
      <c r="BC314" s="27" t="s">
        <v>8</v>
      </c>
      <c r="BD314" s="27" t="s">
        <v>7</v>
      </c>
      <c r="BG314" s="27" t="s">
        <v>8</v>
      </c>
      <c r="BI314" s="27" t="s">
        <v>8</v>
      </c>
      <c r="BJ314" s="27" t="s">
        <v>7</v>
      </c>
      <c r="BL314" s="27" t="s">
        <v>7</v>
      </c>
      <c r="BM314" s="27" t="s">
        <v>8</v>
      </c>
      <c r="BN314" s="27" t="s">
        <v>7</v>
      </c>
      <c r="BO314" s="27" t="s">
        <v>8</v>
      </c>
      <c r="BV314" s="27" t="s">
        <v>7</v>
      </c>
      <c r="BW314" s="27" t="s">
        <v>8</v>
      </c>
      <c r="CA314" s="32"/>
      <c r="CD314" s="27" t="s">
        <v>7</v>
      </c>
      <c r="CF314" s="27" t="s">
        <v>7</v>
      </c>
      <c r="CG314" s="27" t="s">
        <v>8</v>
      </c>
      <c r="CH314" s="27" t="s">
        <v>7</v>
      </c>
      <c r="CM314" s="32"/>
      <c r="DA314" s="27" t="s">
        <v>8</v>
      </c>
      <c r="DQ314" s="27" t="s">
        <v>8</v>
      </c>
      <c r="DR314" s="27" t="s">
        <v>7</v>
      </c>
    </row>
    <row r="315" spans="1:122" x14ac:dyDescent="0.25">
      <c r="A315" s="30">
        <v>2.5751502277318133E-2</v>
      </c>
      <c r="B315"/>
      <c r="C315"/>
      <c r="D315"/>
      <c r="E315"/>
      <c r="F315" s="27" t="s">
        <v>7</v>
      </c>
      <c r="BC315" s="27" t="s">
        <v>8</v>
      </c>
      <c r="BD315" s="27" t="s">
        <v>7</v>
      </c>
      <c r="BG315" s="27" t="s">
        <v>8</v>
      </c>
      <c r="BH315" s="27" t="s">
        <v>7</v>
      </c>
      <c r="BI315" s="27" t="s">
        <v>8</v>
      </c>
      <c r="BL315" s="34" t="s">
        <v>7</v>
      </c>
      <c r="BM315" s="27" t="s">
        <v>8</v>
      </c>
      <c r="BN315" s="27" t="s">
        <v>7</v>
      </c>
      <c r="BV315" s="27" t="s">
        <v>7</v>
      </c>
      <c r="BZ315" s="32"/>
      <c r="CF315" s="27" t="s">
        <v>7</v>
      </c>
      <c r="CG315" s="27" t="s">
        <v>8</v>
      </c>
      <c r="CH315" s="27" t="s">
        <v>7</v>
      </c>
      <c r="CN315" s="32"/>
      <c r="DA315" s="27" t="s">
        <v>8</v>
      </c>
      <c r="DB315" s="27" t="s">
        <v>7</v>
      </c>
      <c r="DQ315" s="27" t="s">
        <v>8</v>
      </c>
      <c r="DR315" s="27" t="s">
        <v>7</v>
      </c>
    </row>
    <row r="316" spans="1:122" x14ac:dyDescent="0.25">
      <c r="A316" s="30">
        <v>2.4525240264112496E-2</v>
      </c>
      <c r="B316"/>
      <c r="C316"/>
      <c r="D316"/>
      <c r="E316"/>
      <c r="F316" s="27" t="s">
        <v>7</v>
      </c>
      <c r="BC316" s="27" t="s">
        <v>8</v>
      </c>
      <c r="BD316" s="27" t="s">
        <v>7</v>
      </c>
      <c r="BG316" s="27" t="s">
        <v>8</v>
      </c>
      <c r="BH316" s="27" t="s">
        <v>7</v>
      </c>
      <c r="BI316" s="27" t="s">
        <v>8</v>
      </c>
      <c r="BL316" s="27" t="s">
        <v>7</v>
      </c>
      <c r="BY316" s="32"/>
      <c r="CF316" s="27" t="s">
        <v>7</v>
      </c>
      <c r="CH316" s="27" t="s">
        <v>7</v>
      </c>
      <c r="CO316" s="32"/>
      <c r="DA316" s="27" t="s">
        <v>8</v>
      </c>
      <c r="DB316" s="27" t="s">
        <v>7</v>
      </c>
      <c r="DQ316" s="27" t="s">
        <v>8</v>
      </c>
      <c r="DR316" s="27" t="s">
        <v>7</v>
      </c>
    </row>
    <row r="317" spans="1:122" x14ac:dyDescent="0.25">
      <c r="A317" s="30">
        <v>2.3357371680107129E-2</v>
      </c>
      <c r="B317"/>
      <c r="C317"/>
      <c r="D317"/>
      <c r="E317"/>
      <c r="F317" s="27" t="s">
        <v>7</v>
      </c>
      <c r="BC317" s="27" t="s">
        <v>8</v>
      </c>
      <c r="BD317" s="27" t="s">
        <v>7</v>
      </c>
      <c r="BG317" s="31" t="s">
        <v>8</v>
      </c>
      <c r="BH317" s="27" t="s">
        <v>7</v>
      </c>
      <c r="BX317" s="32"/>
      <c r="CH317" s="27" t="s">
        <v>7</v>
      </c>
      <c r="CP317" s="32"/>
      <c r="CY317" s="27" t="s">
        <v>8</v>
      </c>
      <c r="DA317" s="27" t="s">
        <v>8</v>
      </c>
      <c r="DB317" s="27" t="s">
        <v>7</v>
      </c>
      <c r="DK317" s="27" t="s">
        <v>8</v>
      </c>
      <c r="DQ317" s="27" t="s">
        <v>8</v>
      </c>
      <c r="DR317" s="27" t="s">
        <v>7</v>
      </c>
    </row>
    <row r="318" spans="1:122" x14ac:dyDescent="0.25">
      <c r="A318" s="30">
        <v>2.2245115885816305E-2</v>
      </c>
      <c r="B318"/>
      <c r="C318"/>
      <c r="D318"/>
      <c r="E318"/>
      <c r="F318" s="27" t="s">
        <v>7</v>
      </c>
      <c r="BC318" s="27" t="s">
        <v>8</v>
      </c>
      <c r="BD318" s="27" t="s">
        <v>7</v>
      </c>
      <c r="BE318" s="27" t="s">
        <v>8</v>
      </c>
      <c r="BG318" s="27" t="s">
        <v>8</v>
      </c>
      <c r="BW318" s="32"/>
      <c r="CH318" s="27" t="s">
        <v>7</v>
      </c>
      <c r="CI318" s="27" t="s">
        <v>8</v>
      </c>
      <c r="CQ318" s="32"/>
      <c r="CY318" s="27" t="s">
        <v>8</v>
      </c>
      <c r="CZ318" s="27" t="s">
        <v>7</v>
      </c>
      <c r="DA318" s="27" t="s">
        <v>8</v>
      </c>
      <c r="DB318" s="27" t="s">
        <v>7</v>
      </c>
      <c r="DG318" s="27" t="s">
        <v>8</v>
      </c>
      <c r="DK318" s="27" t="s">
        <v>8</v>
      </c>
      <c r="DL318" s="27" t="s">
        <v>7</v>
      </c>
      <c r="DM318" s="27" t="s">
        <v>8</v>
      </c>
      <c r="DQ318" s="27" t="s">
        <v>8</v>
      </c>
      <c r="DR318" s="27" t="s">
        <v>7</v>
      </c>
    </row>
    <row r="319" spans="1:122" x14ac:dyDescent="0.25">
      <c r="A319" s="30">
        <v>2.1185824653158377E-2</v>
      </c>
      <c r="B319"/>
      <c r="C319"/>
      <c r="D319"/>
      <c r="E319"/>
      <c r="F319" s="27" t="s">
        <v>7</v>
      </c>
      <c r="BA319" s="27" t="s">
        <v>8</v>
      </c>
      <c r="BC319" s="27" t="s">
        <v>8</v>
      </c>
      <c r="BD319" s="27" t="s">
        <v>7</v>
      </c>
      <c r="BE319" s="27" t="s">
        <v>8</v>
      </c>
      <c r="BF319" s="27" t="s">
        <v>7</v>
      </c>
      <c r="BG319" s="27" t="s">
        <v>8</v>
      </c>
      <c r="BV319" s="32"/>
      <c r="CH319" s="27" t="s">
        <v>7</v>
      </c>
      <c r="CI319" s="27" t="s">
        <v>8</v>
      </c>
      <c r="CJ319" s="27" t="s">
        <v>7</v>
      </c>
      <c r="CR319" s="32"/>
      <c r="CY319" s="27" t="s">
        <v>8</v>
      </c>
      <c r="CZ319" s="27" t="s">
        <v>7</v>
      </c>
      <c r="DA319" s="27" t="s">
        <v>8</v>
      </c>
      <c r="DB319" s="27" t="s">
        <v>7</v>
      </c>
      <c r="DG319" s="27" t="s">
        <v>8</v>
      </c>
      <c r="DH319" s="27" t="s">
        <v>7</v>
      </c>
      <c r="DI319" s="27" t="s">
        <v>8</v>
      </c>
      <c r="DK319" s="27" t="s">
        <v>8</v>
      </c>
      <c r="DL319" s="27" t="s">
        <v>7</v>
      </c>
      <c r="DM319" s="27" t="s">
        <v>8</v>
      </c>
      <c r="DN319" s="27" t="s">
        <v>7</v>
      </c>
      <c r="DO319" s="27" t="s">
        <v>8</v>
      </c>
      <c r="DQ319" s="27" t="s">
        <v>8</v>
      </c>
      <c r="DR319" s="27" t="s">
        <v>7</v>
      </c>
    </row>
    <row r="320" spans="1:122" x14ac:dyDescent="0.25">
      <c r="A320" s="30">
        <v>2.0176975860150829E-2</v>
      </c>
      <c r="B320"/>
      <c r="C320"/>
      <c r="D320"/>
      <c r="E320"/>
      <c r="F320" s="27" t="s">
        <v>7</v>
      </c>
      <c r="BA320" s="27" t="s">
        <v>8</v>
      </c>
      <c r="BB320" s="27" t="s">
        <v>7</v>
      </c>
      <c r="BC320" s="27" t="s">
        <v>8</v>
      </c>
      <c r="BD320" s="27" t="s">
        <v>7</v>
      </c>
      <c r="BE320" s="27" t="s">
        <v>8</v>
      </c>
      <c r="BF320" s="27" t="s">
        <v>7</v>
      </c>
      <c r="BG320" s="27" t="s">
        <v>8</v>
      </c>
      <c r="BU320" s="32"/>
      <c r="CH320" s="27" t="s">
        <v>7</v>
      </c>
      <c r="CI320" s="27" t="s">
        <v>8</v>
      </c>
      <c r="CJ320" s="27" t="s">
        <v>7</v>
      </c>
      <c r="CK320" s="33" t="s">
        <v>8</v>
      </c>
      <c r="CM320" s="33" t="s">
        <v>8</v>
      </c>
      <c r="CS320" s="32"/>
      <c r="CU320" s="27" t="s">
        <v>8</v>
      </c>
      <c r="CW320" s="27" t="s">
        <v>8</v>
      </c>
      <c r="CY320" s="27" t="s">
        <v>8</v>
      </c>
      <c r="CZ320" s="27" t="s">
        <v>7</v>
      </c>
      <c r="DA320" s="27" t="s">
        <v>8</v>
      </c>
      <c r="DB320" s="27" t="s">
        <v>7</v>
      </c>
      <c r="DC320" s="27" t="s">
        <v>8</v>
      </c>
      <c r="DG320" s="27" t="s">
        <v>8</v>
      </c>
      <c r="DH320" s="27" t="s">
        <v>7</v>
      </c>
      <c r="DI320" s="27" t="s">
        <v>8</v>
      </c>
      <c r="DJ320" s="27" t="s">
        <v>7</v>
      </c>
      <c r="DK320" s="27" t="s">
        <v>8</v>
      </c>
      <c r="DL320" s="27" t="s">
        <v>7</v>
      </c>
      <c r="DM320" s="27" t="s">
        <v>8</v>
      </c>
      <c r="DN320" s="27" t="s">
        <v>7</v>
      </c>
      <c r="DO320" s="27" t="s">
        <v>8</v>
      </c>
      <c r="DP320" s="27" t="s">
        <v>7</v>
      </c>
      <c r="DQ320" s="27" t="s">
        <v>8</v>
      </c>
      <c r="DR320" s="27" t="s">
        <v>7</v>
      </c>
    </row>
    <row r="321" spans="1:131" x14ac:dyDescent="0.25">
      <c r="A321" s="30">
        <v>1.9216167485857926E-2</v>
      </c>
      <c r="B321"/>
      <c r="C321"/>
      <c r="D321"/>
      <c r="E321"/>
      <c r="F321" s="27" t="s">
        <v>7</v>
      </c>
      <c r="BA321" s="27" t="s">
        <v>8</v>
      </c>
      <c r="BB321" s="27" t="s">
        <v>7</v>
      </c>
      <c r="BC321" s="27" t="s">
        <v>8</v>
      </c>
      <c r="BD321" s="27" t="s">
        <v>7</v>
      </c>
      <c r="BF321" s="27" t="s">
        <v>7</v>
      </c>
      <c r="BG321" s="27" t="s">
        <v>8</v>
      </c>
      <c r="BT321" s="32"/>
      <c r="CH321" s="27" t="s">
        <v>7</v>
      </c>
      <c r="CI321" s="27" t="s">
        <v>8</v>
      </c>
      <c r="CJ321" s="27" t="s">
        <v>7</v>
      </c>
      <c r="CK321" s="27" t="s">
        <v>8</v>
      </c>
      <c r="CL321" s="27" t="s">
        <v>7</v>
      </c>
      <c r="CM321" s="27" t="s">
        <v>8</v>
      </c>
      <c r="CN321" s="27" t="s">
        <v>7</v>
      </c>
      <c r="CT321" s="32"/>
      <c r="CU321" s="27" t="s">
        <v>8</v>
      </c>
      <c r="CV321" s="27" t="s">
        <v>7</v>
      </c>
      <c r="CW321" s="27" t="s">
        <v>8</v>
      </c>
      <c r="CX321" s="27" t="s">
        <v>7</v>
      </c>
      <c r="CY321" s="27" t="s">
        <v>8</v>
      </c>
      <c r="CZ321" s="27" t="s">
        <v>7</v>
      </c>
      <c r="DB321" s="27" t="s">
        <v>7</v>
      </c>
      <c r="DC321" s="27" t="s">
        <v>8</v>
      </c>
      <c r="DD321" s="27" t="s">
        <v>7</v>
      </c>
      <c r="DG321" s="27" t="s">
        <v>8</v>
      </c>
      <c r="DH321" s="27" t="s">
        <v>7</v>
      </c>
      <c r="DI321" s="27" t="s">
        <v>8</v>
      </c>
      <c r="DJ321" s="27" t="s">
        <v>7</v>
      </c>
      <c r="DK321" s="27" t="s">
        <v>8</v>
      </c>
      <c r="DL321" s="27" t="s">
        <v>7</v>
      </c>
      <c r="DN321" s="27" t="s">
        <v>7</v>
      </c>
      <c r="DO321" s="27" t="s">
        <v>8</v>
      </c>
      <c r="DP321" s="27" t="s">
        <v>7</v>
      </c>
      <c r="DQ321" s="27" t="s">
        <v>8</v>
      </c>
      <c r="DR321" s="27" t="s">
        <v>7</v>
      </c>
    </row>
    <row r="322" spans="1:131" x14ac:dyDescent="0.25">
      <c r="A322" s="30">
        <v>1.8301111891293256E-2</v>
      </c>
      <c r="B322"/>
      <c r="C322"/>
      <c r="D322"/>
      <c r="E322"/>
      <c r="F322" s="27" t="s">
        <v>7</v>
      </c>
      <c r="BA322" s="27" t="s">
        <v>8</v>
      </c>
      <c r="BB322" s="27" t="s">
        <v>7</v>
      </c>
      <c r="BC322" s="27" t="s">
        <v>8</v>
      </c>
      <c r="BF322" s="34" t="s">
        <v>7</v>
      </c>
      <c r="BS322" s="32"/>
      <c r="CH322" s="27" t="s">
        <v>7</v>
      </c>
      <c r="CI322" s="27" t="s">
        <v>8</v>
      </c>
      <c r="CJ322" s="27" t="s">
        <v>7</v>
      </c>
      <c r="CK322" s="27" t="s">
        <v>8</v>
      </c>
      <c r="CL322" s="27" t="s">
        <v>7</v>
      </c>
      <c r="CM322" s="27" t="s">
        <v>8</v>
      </c>
      <c r="CN322" s="27" t="s">
        <v>7</v>
      </c>
      <c r="CU322" s="32" t="s">
        <v>8</v>
      </c>
      <c r="CV322" s="27" t="s">
        <v>7</v>
      </c>
      <c r="CW322" s="27" t="s">
        <v>8</v>
      </c>
      <c r="CX322" s="27" t="s">
        <v>7</v>
      </c>
      <c r="CY322" s="27" t="s">
        <v>8</v>
      </c>
      <c r="DB322" s="27" t="s">
        <v>7</v>
      </c>
      <c r="DC322" s="27" t="s">
        <v>8</v>
      </c>
      <c r="DD322" s="27" t="s">
        <v>7</v>
      </c>
      <c r="DG322" s="27" t="s">
        <v>8</v>
      </c>
      <c r="DH322" s="27" t="s">
        <v>7</v>
      </c>
      <c r="DJ322" s="27" t="s">
        <v>7</v>
      </c>
      <c r="DK322" s="27" t="s">
        <v>8</v>
      </c>
      <c r="DN322" s="27" t="s">
        <v>7</v>
      </c>
      <c r="DP322" s="27" t="s">
        <v>7</v>
      </c>
      <c r="DR322" s="27" t="s">
        <v>7</v>
      </c>
      <c r="DS322" s="27" t="s">
        <v>8</v>
      </c>
      <c r="DU322" s="27" t="s">
        <v>8</v>
      </c>
    </row>
    <row r="323" spans="1:131" x14ac:dyDescent="0.25">
      <c r="A323" s="30">
        <v>1.7429630372660238E-2</v>
      </c>
      <c r="B323"/>
      <c r="C323"/>
      <c r="D323"/>
      <c r="E323"/>
      <c r="F323" s="27" t="s">
        <v>7</v>
      </c>
      <c r="BA323" s="27" t="s">
        <v>8</v>
      </c>
      <c r="BB323" s="27" t="s">
        <v>7</v>
      </c>
      <c r="BR323" s="32"/>
      <c r="CH323" s="27" t="s">
        <v>7</v>
      </c>
      <c r="CI323" s="27" t="s">
        <v>8</v>
      </c>
      <c r="CJ323" s="27" t="s">
        <v>7</v>
      </c>
      <c r="CK323" s="27" t="s">
        <v>8</v>
      </c>
      <c r="CL323" s="27" t="s">
        <v>7</v>
      </c>
      <c r="CM323" s="27" t="s">
        <v>8</v>
      </c>
      <c r="CN323" s="27" t="s">
        <v>7</v>
      </c>
      <c r="CO323" s="27" t="s">
        <v>8</v>
      </c>
      <c r="CU323" s="27" t="s">
        <v>8</v>
      </c>
      <c r="CV323" s="32" t="s">
        <v>7</v>
      </c>
      <c r="CW323" s="27" t="s">
        <v>8</v>
      </c>
      <c r="CX323" s="27" t="s">
        <v>7</v>
      </c>
      <c r="DB323" s="27" t="s">
        <v>7</v>
      </c>
      <c r="DD323" s="27" t="s">
        <v>7</v>
      </c>
      <c r="DG323" s="27" t="s">
        <v>8</v>
      </c>
      <c r="DJ323" s="27" t="s">
        <v>7</v>
      </c>
      <c r="DK323" s="27" t="s">
        <v>8</v>
      </c>
      <c r="DR323" s="27" t="s">
        <v>7</v>
      </c>
      <c r="DS323" s="27" t="s">
        <v>8</v>
      </c>
      <c r="DT323" s="27" t="s">
        <v>7</v>
      </c>
      <c r="DU323" s="27" t="s">
        <v>8</v>
      </c>
      <c r="DV323" s="27" t="s">
        <v>7</v>
      </c>
      <c r="DW323" s="27" t="s">
        <v>8</v>
      </c>
    </row>
    <row r="324" spans="1:131" x14ac:dyDescent="0.25">
      <c r="A324" s="30">
        <v>1.6599647973962125E-2</v>
      </c>
      <c r="B324"/>
      <c r="C324"/>
      <c r="D324"/>
      <c r="E324"/>
      <c r="F324" s="27" t="s">
        <v>7</v>
      </c>
      <c r="BA324" s="27" t="s">
        <v>8</v>
      </c>
      <c r="BQ324" s="32"/>
      <c r="CH324" s="27" t="s">
        <v>7</v>
      </c>
      <c r="CI324" s="27" t="s">
        <v>8</v>
      </c>
      <c r="CJ324" s="27" t="s">
        <v>7</v>
      </c>
      <c r="CK324" s="27" t="s">
        <v>8</v>
      </c>
      <c r="CL324" s="27" t="s">
        <v>7</v>
      </c>
      <c r="CM324" s="27" t="s">
        <v>8</v>
      </c>
      <c r="CN324" s="27" t="s">
        <v>7</v>
      </c>
      <c r="CO324" s="27" t="s">
        <v>8</v>
      </c>
      <c r="CP324" s="27" t="s">
        <v>7</v>
      </c>
      <c r="CU324" s="27" t="s">
        <v>8</v>
      </c>
      <c r="CV324" s="27" t="s">
        <v>7</v>
      </c>
      <c r="CW324" s="32" t="s">
        <v>8</v>
      </c>
      <c r="DD324" s="27" t="s">
        <v>7</v>
      </c>
      <c r="DG324" s="27" t="s">
        <v>8</v>
      </c>
      <c r="DJ324" s="27" t="s">
        <v>7</v>
      </c>
      <c r="DR324" s="27" t="s">
        <v>7</v>
      </c>
      <c r="DS324" s="27" t="s">
        <v>8</v>
      </c>
      <c r="DT324" s="27" t="s">
        <v>7</v>
      </c>
      <c r="DU324" s="27" t="s">
        <v>8</v>
      </c>
      <c r="DV324" s="27" t="s">
        <v>7</v>
      </c>
      <c r="DW324" s="27" t="s">
        <v>8</v>
      </c>
      <c r="DX324" s="27" t="s">
        <v>7</v>
      </c>
    </row>
    <row r="325" spans="1:131" x14ac:dyDescent="0.25">
      <c r="A325" s="30">
        <v>1.580918854663059E-2</v>
      </c>
      <c r="B325"/>
      <c r="C325"/>
      <c r="D325"/>
      <c r="E325"/>
      <c r="F325" s="27" t="s">
        <v>7</v>
      </c>
      <c r="BA325" s="27" t="s">
        <v>8</v>
      </c>
      <c r="BP325" s="32"/>
      <c r="CH325" s="27" t="s">
        <v>7</v>
      </c>
      <c r="CI325" s="27" t="s">
        <v>8</v>
      </c>
      <c r="CJ325" s="27" t="s">
        <v>7</v>
      </c>
      <c r="CK325" s="27" t="s">
        <v>8</v>
      </c>
      <c r="CL325" s="27" t="s">
        <v>7</v>
      </c>
      <c r="CN325" s="27" t="s">
        <v>7</v>
      </c>
      <c r="CO325" s="27" t="s">
        <v>8</v>
      </c>
      <c r="CP325" s="27" t="s">
        <v>7</v>
      </c>
      <c r="CU325" s="27" t="s">
        <v>8</v>
      </c>
      <c r="CV325" s="27" t="s">
        <v>7</v>
      </c>
      <c r="CW325" s="27" t="s">
        <v>8</v>
      </c>
      <c r="CX325" s="32"/>
      <c r="DD325" s="27" t="s">
        <v>7</v>
      </c>
      <c r="DE325" s="27" t="s">
        <v>8</v>
      </c>
      <c r="DG325" s="27" t="s">
        <v>8</v>
      </c>
      <c r="DR325" s="27" t="s">
        <v>7</v>
      </c>
      <c r="DS325" s="27" t="s">
        <v>8</v>
      </c>
      <c r="DT325" s="27" t="s">
        <v>7</v>
      </c>
      <c r="DV325" s="27" t="s">
        <v>7</v>
      </c>
      <c r="DW325" s="27" t="s">
        <v>8</v>
      </c>
      <c r="DX325" s="27" t="s">
        <v>7</v>
      </c>
    </row>
    <row r="326" spans="1:131" x14ac:dyDescent="0.25">
      <c r="A326" s="30">
        <v>1.5056370044410079E-2</v>
      </c>
      <c r="B326"/>
      <c r="C326"/>
      <c r="D326"/>
      <c r="E326"/>
      <c r="F326" s="27" t="s">
        <v>7</v>
      </c>
      <c r="BA326" s="27" t="s">
        <v>8</v>
      </c>
      <c r="BO326" s="32"/>
      <c r="CH326" s="27" t="s">
        <v>7</v>
      </c>
      <c r="CI326" s="27" t="s">
        <v>8</v>
      </c>
      <c r="CJ326" s="27" t="s">
        <v>7</v>
      </c>
      <c r="CK326" s="27" t="s">
        <v>8</v>
      </c>
      <c r="CN326" s="27" t="s">
        <v>7</v>
      </c>
      <c r="CO326" s="27" t="s">
        <v>8</v>
      </c>
      <c r="CP326" s="27" t="s">
        <v>7</v>
      </c>
      <c r="CU326" s="31" t="s">
        <v>8</v>
      </c>
      <c r="CV326" s="27" t="s">
        <v>7</v>
      </c>
      <c r="DD326" s="27" t="s">
        <v>7</v>
      </c>
      <c r="DE326" s="27" t="s">
        <v>8</v>
      </c>
      <c r="DF326" s="27" t="s">
        <v>7</v>
      </c>
      <c r="DG326" s="27" t="s">
        <v>8</v>
      </c>
      <c r="DR326" s="27" t="s">
        <v>7</v>
      </c>
      <c r="DS326" s="27" t="s">
        <v>8</v>
      </c>
      <c r="DV326" s="27" t="s">
        <v>7</v>
      </c>
      <c r="DW326" s="27" t="s">
        <v>8</v>
      </c>
      <c r="DX326" s="27" t="s">
        <v>7</v>
      </c>
    </row>
    <row r="327" spans="1:131" x14ac:dyDescent="0.25">
      <c r="A327" s="30">
        <v>1.4339400042295308E-2</v>
      </c>
      <c r="B327"/>
      <c r="C327"/>
      <c r="D327"/>
      <c r="E327"/>
      <c r="F327" s="27" t="s">
        <v>7</v>
      </c>
      <c r="AW327" s="27" t="s">
        <v>8</v>
      </c>
      <c r="BA327" s="27" t="s">
        <v>8</v>
      </c>
      <c r="BN327" s="32"/>
      <c r="CH327" s="27" t="s">
        <v>7</v>
      </c>
      <c r="CI327" s="27" t="s">
        <v>8</v>
      </c>
      <c r="CJ327" s="27" t="s">
        <v>7</v>
      </c>
      <c r="CK327" s="27" t="s">
        <v>8</v>
      </c>
      <c r="CN327" s="27" t="s">
        <v>7</v>
      </c>
      <c r="CP327" s="27" t="s">
        <v>7</v>
      </c>
      <c r="CS327" s="27" t="s">
        <v>8</v>
      </c>
      <c r="CU327" s="27" t="s">
        <v>8</v>
      </c>
      <c r="DD327" s="27" t="s">
        <v>7</v>
      </c>
      <c r="DE327" s="27" t="s">
        <v>8</v>
      </c>
      <c r="DF327" s="27" t="s">
        <v>7</v>
      </c>
      <c r="DG327" s="27" t="s">
        <v>8</v>
      </c>
      <c r="DR327" s="27" t="s">
        <v>7</v>
      </c>
      <c r="DV327" s="27" t="s">
        <v>7</v>
      </c>
      <c r="DX327" s="27" t="s">
        <v>7</v>
      </c>
      <c r="DY327" s="27" t="s">
        <v>8</v>
      </c>
    </row>
    <row r="328" spans="1:131" x14ac:dyDescent="0.25">
      <c r="A328" s="30">
        <v>1.365657146885267E-2</v>
      </c>
      <c r="B328"/>
      <c r="C328"/>
      <c r="D328"/>
      <c r="E328"/>
      <c r="F328" s="27" t="s">
        <v>7</v>
      </c>
      <c r="AU328" s="27" t="s">
        <v>8</v>
      </c>
      <c r="AW328" s="27" t="s">
        <v>8</v>
      </c>
      <c r="AX328" s="27" t="s">
        <v>7</v>
      </c>
      <c r="BA328" s="27" t="s">
        <v>8</v>
      </c>
      <c r="BM328" s="32"/>
      <c r="CH328" s="27" t="s">
        <v>7</v>
      </c>
      <c r="CI328" s="27" t="s">
        <v>8</v>
      </c>
      <c r="CJ328" s="27" t="s">
        <v>7</v>
      </c>
      <c r="CK328" s="27" t="s">
        <v>8</v>
      </c>
      <c r="CP328" s="27" t="s">
        <v>7</v>
      </c>
      <c r="CS328" s="27" t="s">
        <v>8</v>
      </c>
      <c r="CT328" s="27" t="s">
        <v>7</v>
      </c>
      <c r="CU328" s="27" t="s">
        <v>8</v>
      </c>
      <c r="DD328" s="27" t="s">
        <v>7</v>
      </c>
      <c r="DF328" s="27" t="s">
        <v>7</v>
      </c>
      <c r="DX328" s="27" t="s">
        <v>7</v>
      </c>
      <c r="DY328" s="27" t="s">
        <v>8</v>
      </c>
      <c r="DZ328" s="27" t="s">
        <v>7</v>
      </c>
    </row>
    <row r="329" spans="1:131" x14ac:dyDescent="0.25">
      <c r="A329" s="30">
        <v>1.3006258541764442E-2</v>
      </c>
      <c r="B329"/>
      <c r="C329"/>
      <c r="D329"/>
      <c r="E329"/>
      <c r="F329" s="27" t="s">
        <v>7</v>
      </c>
      <c r="AU329" s="27" t="s">
        <v>8</v>
      </c>
      <c r="AV329" s="27" t="s">
        <v>7</v>
      </c>
      <c r="AW329" s="27" t="s">
        <v>8</v>
      </c>
      <c r="AX329" s="27" t="s">
        <v>7</v>
      </c>
      <c r="BA329" s="31" t="s">
        <v>8</v>
      </c>
      <c r="BL329" s="32"/>
      <c r="CH329" s="27" t="s">
        <v>7</v>
      </c>
      <c r="CI329" s="27" t="s">
        <v>8</v>
      </c>
      <c r="CJ329" s="27" t="s">
        <v>7</v>
      </c>
      <c r="CK329" s="27" t="s">
        <v>8</v>
      </c>
      <c r="CP329" s="27" t="s">
        <v>7</v>
      </c>
      <c r="CS329" s="27" t="s">
        <v>8</v>
      </c>
      <c r="CT329" s="27" t="s">
        <v>7</v>
      </c>
      <c r="CU329" s="27" t="s">
        <v>8</v>
      </c>
      <c r="DX329" s="27" t="s">
        <v>7</v>
      </c>
      <c r="DY329" s="27" t="s">
        <v>8</v>
      </c>
      <c r="DZ329" s="27" t="s">
        <v>7</v>
      </c>
    </row>
    <row r="330" spans="1:131" x14ac:dyDescent="0.25">
      <c r="A330" s="30">
        <v>1.2386912896918512E-2</v>
      </c>
      <c r="B330"/>
      <c r="C330"/>
      <c r="D330"/>
      <c r="E330"/>
      <c r="F330" s="27" t="s">
        <v>7</v>
      </c>
      <c r="AU330" s="27" t="s">
        <v>8</v>
      </c>
      <c r="AV330" s="27" t="s">
        <v>7</v>
      </c>
      <c r="AW330" s="27" t="s">
        <v>8</v>
      </c>
      <c r="AX330" s="27" t="s">
        <v>7</v>
      </c>
      <c r="AY330" s="27" t="s">
        <v>8</v>
      </c>
      <c r="BA330" s="27" t="s">
        <v>8</v>
      </c>
      <c r="BK330" s="32"/>
      <c r="CH330" s="33" t="s">
        <v>7</v>
      </c>
      <c r="CJ330" s="33" t="s">
        <v>7</v>
      </c>
      <c r="CP330" s="27" t="s">
        <v>7</v>
      </c>
      <c r="CS330" s="31" t="s">
        <v>8</v>
      </c>
      <c r="CT330" s="27" t="s">
        <v>7</v>
      </c>
      <c r="CU330" s="27" t="s">
        <v>8</v>
      </c>
      <c r="DX330" s="27" t="s">
        <v>7</v>
      </c>
      <c r="DZ330" s="27" t="s">
        <v>7</v>
      </c>
    </row>
    <row r="331" spans="1:131" x14ac:dyDescent="0.25">
      <c r="A331" s="30">
        <v>1.179705990182715E-2</v>
      </c>
      <c r="B331"/>
      <c r="C331"/>
      <c r="D331"/>
      <c r="E331"/>
      <c r="F331" s="27" t="s">
        <v>7</v>
      </c>
      <c r="AU331" s="27" t="s">
        <v>8</v>
      </c>
      <c r="AV331" s="27" t="s">
        <v>7</v>
      </c>
      <c r="AW331" s="27" t="s">
        <v>8</v>
      </c>
      <c r="AX331" s="27" t="s">
        <v>7</v>
      </c>
      <c r="AY331" s="27" t="s">
        <v>8</v>
      </c>
      <c r="AZ331" s="27" t="s">
        <v>7</v>
      </c>
      <c r="BA331" s="27" t="s">
        <v>8</v>
      </c>
      <c r="BJ331" s="32"/>
      <c r="CP331" s="27" t="s">
        <v>7</v>
      </c>
      <c r="CQ331" s="27" t="s">
        <v>8</v>
      </c>
      <c r="CS331" s="27" t="s">
        <v>8</v>
      </c>
      <c r="CT331" s="27" t="s">
        <v>7</v>
      </c>
      <c r="CU331" s="27" t="s">
        <v>8</v>
      </c>
      <c r="DZ331" s="27" t="s">
        <v>7</v>
      </c>
    </row>
    <row r="332" spans="1:131" x14ac:dyDescent="0.25">
      <c r="A332" s="30">
        <v>1.1235295144597281E-2</v>
      </c>
      <c r="B332"/>
      <c r="C332"/>
      <c r="D332"/>
      <c r="E332"/>
      <c r="F332" s="27" t="s">
        <v>7</v>
      </c>
      <c r="AU332" s="27" t="s">
        <v>8</v>
      </c>
      <c r="AV332" s="27" t="s">
        <v>7</v>
      </c>
      <c r="AX332" s="27" t="s">
        <v>7</v>
      </c>
      <c r="AY332" s="27" t="s">
        <v>8</v>
      </c>
      <c r="AZ332" s="27" t="s">
        <v>7</v>
      </c>
      <c r="BA332" s="27" t="s">
        <v>8</v>
      </c>
      <c r="BI332" s="32"/>
      <c r="CP332" s="27" t="s">
        <v>7</v>
      </c>
      <c r="CQ332" s="27" t="s">
        <v>8</v>
      </c>
      <c r="CR332" s="27" t="s">
        <v>7</v>
      </c>
      <c r="CS332" s="27" t="s">
        <v>8</v>
      </c>
      <c r="CT332" s="27" t="s">
        <v>7</v>
      </c>
      <c r="CU332" s="27" t="s">
        <v>8</v>
      </c>
      <c r="DZ332" s="27" t="s">
        <v>7</v>
      </c>
    </row>
    <row r="333" spans="1:131" x14ac:dyDescent="0.25">
      <c r="A333" s="30">
        <v>1.0700281090092644E-2</v>
      </c>
      <c r="B333"/>
      <c r="C333"/>
      <c r="D333"/>
      <c r="E333"/>
      <c r="F333" s="27" t="s">
        <v>7</v>
      </c>
      <c r="AU333" s="27" t="s">
        <v>8</v>
      </c>
      <c r="AX333" s="27" t="s">
        <v>7</v>
      </c>
      <c r="AY333" s="27" t="s">
        <v>8</v>
      </c>
      <c r="AZ333" s="27" t="s">
        <v>7</v>
      </c>
      <c r="BA333" s="27" t="s">
        <v>8</v>
      </c>
      <c r="BH333" s="32"/>
      <c r="CP333" s="27" t="s">
        <v>7</v>
      </c>
      <c r="CQ333" s="27" t="s">
        <v>8</v>
      </c>
      <c r="CR333" s="27" t="s">
        <v>7</v>
      </c>
      <c r="CS333" s="27" t="s">
        <v>8</v>
      </c>
      <c r="CT333" s="18" t="s">
        <v>7</v>
      </c>
      <c r="CU333" s="27" t="s">
        <v>8</v>
      </c>
      <c r="DZ333" s="27" t="s">
        <v>7</v>
      </c>
    </row>
    <row r="334" spans="1:131" x14ac:dyDescent="0.25">
      <c r="A334" s="30">
        <v>1.0190743895326324E-2</v>
      </c>
      <c r="B334"/>
      <c r="C334"/>
      <c r="D334"/>
      <c r="E334"/>
      <c r="F334" s="27" t="s">
        <v>7</v>
      </c>
      <c r="AU334" s="27" t="s">
        <v>8</v>
      </c>
      <c r="AX334" s="27" t="s">
        <v>7</v>
      </c>
      <c r="AY334" s="27" t="s">
        <v>8</v>
      </c>
      <c r="AZ334" s="27" t="s">
        <v>7</v>
      </c>
      <c r="BA334" s="27" t="s">
        <v>8</v>
      </c>
      <c r="BG334" s="32"/>
      <c r="CP334" s="27" t="s">
        <v>7</v>
      </c>
      <c r="CQ334" s="27" t="s">
        <v>8</v>
      </c>
      <c r="CR334" s="27" t="s">
        <v>7</v>
      </c>
      <c r="CT334" s="27" t="s">
        <v>7</v>
      </c>
      <c r="CU334" s="27" t="s">
        <v>8</v>
      </c>
      <c r="DZ334" s="27" t="s">
        <v>7</v>
      </c>
      <c r="EA334" s="27" t="s">
        <v>8</v>
      </c>
    </row>
    <row r="335" spans="1:131" x14ac:dyDescent="0.25">
      <c r="A335" s="30">
        <v>9.7054703765012563E-3</v>
      </c>
      <c r="B335"/>
      <c r="C335"/>
      <c r="D335"/>
      <c r="E335"/>
      <c r="F335" s="27" t="s">
        <v>7</v>
      </c>
      <c r="AO335" s="27" t="s">
        <v>8</v>
      </c>
      <c r="AS335" s="27" t="s">
        <v>8</v>
      </c>
      <c r="AU335" s="27" t="s">
        <v>8</v>
      </c>
      <c r="AX335" s="27" t="s">
        <v>7</v>
      </c>
      <c r="AY335" s="27" t="s">
        <v>8</v>
      </c>
      <c r="AZ335" s="27" t="s">
        <v>7</v>
      </c>
      <c r="BA335" s="27" t="s">
        <v>8</v>
      </c>
      <c r="BF335" s="32"/>
      <c r="CP335" s="27" t="s">
        <v>7</v>
      </c>
      <c r="CQ335" s="27" t="s">
        <v>8</v>
      </c>
      <c r="CT335" s="34" t="s">
        <v>7</v>
      </c>
      <c r="DZ335" s="27" t="s">
        <v>7</v>
      </c>
      <c r="EA335" s="27" t="s">
        <v>8</v>
      </c>
    </row>
    <row r="336" spans="1:131" x14ac:dyDescent="0.25">
      <c r="A336" s="30">
        <v>9.2433051204773835E-3</v>
      </c>
      <c r="B336"/>
      <c r="C336"/>
      <c r="D336"/>
      <c r="E336"/>
      <c r="F336" s="27" t="s">
        <v>7</v>
      </c>
      <c r="AO336" s="27" t="s">
        <v>8</v>
      </c>
      <c r="AP336" s="27" t="s">
        <v>7</v>
      </c>
      <c r="AS336" s="27" t="s">
        <v>8</v>
      </c>
      <c r="AT336" s="27" t="s">
        <v>7</v>
      </c>
      <c r="AU336" s="27" t="s">
        <v>8</v>
      </c>
      <c r="AX336" s="27" t="s">
        <v>7</v>
      </c>
      <c r="AY336" s="27" t="s">
        <v>8</v>
      </c>
      <c r="AZ336" s="27" t="s">
        <v>7</v>
      </c>
      <c r="BA336" s="27" t="s">
        <v>8</v>
      </c>
      <c r="BE336" s="32"/>
      <c r="CP336" s="27" t="s">
        <v>7</v>
      </c>
      <c r="CQ336" s="27" t="s">
        <v>8</v>
      </c>
      <c r="DZ336" s="27" t="s">
        <v>7</v>
      </c>
      <c r="EA336" s="27" t="s">
        <v>8</v>
      </c>
    </row>
    <row r="337" spans="1:131" x14ac:dyDescent="0.25">
      <c r="A337" s="30">
        <v>8.8031477337879808E-3</v>
      </c>
      <c r="B337"/>
      <c r="C337"/>
      <c r="D337"/>
      <c r="E337"/>
      <c r="F337" s="27" t="s">
        <v>7</v>
      </c>
      <c r="AO337" s="27" t="s">
        <v>8</v>
      </c>
      <c r="AP337" s="27" t="s">
        <v>7</v>
      </c>
      <c r="AS337" s="27" t="s">
        <v>8</v>
      </c>
      <c r="AT337" s="27" t="s">
        <v>7</v>
      </c>
      <c r="AU337" s="27" t="s">
        <v>8</v>
      </c>
      <c r="AX337" s="33" t="s">
        <v>7</v>
      </c>
      <c r="AZ337" s="33" t="s">
        <v>7</v>
      </c>
      <c r="BD337" s="32"/>
      <c r="CP337" s="27" t="s">
        <v>7</v>
      </c>
      <c r="CQ337" s="27" t="s">
        <v>8</v>
      </c>
      <c r="DZ337" s="27" t="s">
        <v>7</v>
      </c>
      <c r="EA337" s="27" t="s">
        <v>8</v>
      </c>
    </row>
    <row r="338" spans="1:131" x14ac:dyDescent="0.25">
      <c r="A338" s="30">
        <v>8.3839502226552166E-3</v>
      </c>
      <c r="B338"/>
      <c r="C338"/>
      <c r="D338"/>
      <c r="E338"/>
      <c r="F338" s="27" t="s">
        <v>7</v>
      </c>
      <c r="AO338" s="27" t="s">
        <v>8</v>
      </c>
      <c r="AP338" s="27" t="s">
        <v>7</v>
      </c>
      <c r="AS338" s="27" t="s">
        <v>8</v>
      </c>
      <c r="AT338" s="27" t="s">
        <v>7</v>
      </c>
      <c r="AU338" s="27" t="s">
        <v>8</v>
      </c>
      <c r="BC338" s="32"/>
      <c r="CP338" s="27" t="s">
        <v>7</v>
      </c>
      <c r="CQ338" s="27" t="s">
        <v>8</v>
      </c>
      <c r="DZ338" s="27" t="s">
        <v>7</v>
      </c>
    </row>
    <row r="339" spans="1:131" x14ac:dyDescent="0.25">
      <c r="A339" s="30">
        <v>7.9847144977668698E-3</v>
      </c>
      <c r="B339"/>
      <c r="C339"/>
      <c r="D339"/>
      <c r="E339"/>
      <c r="F339" s="27" t="s">
        <v>7</v>
      </c>
      <c r="AO339" s="27" t="s">
        <v>8</v>
      </c>
      <c r="AP339" s="27" t="s">
        <v>7</v>
      </c>
      <c r="AQ339" s="27" t="s">
        <v>8</v>
      </c>
      <c r="AS339" s="27" t="s">
        <v>8</v>
      </c>
      <c r="AT339" s="27" t="s">
        <v>7</v>
      </c>
      <c r="BB339" s="32"/>
      <c r="CP339" s="27" t="s">
        <v>7</v>
      </c>
    </row>
    <row r="340" spans="1:131" x14ac:dyDescent="0.25">
      <c r="A340" s="30">
        <v>7.6044899978732058E-3</v>
      </c>
      <c r="B340"/>
      <c r="C340"/>
      <c r="D340"/>
      <c r="E340"/>
      <c r="F340" s="27" t="s">
        <v>7</v>
      </c>
      <c r="AO340" s="27" t="s">
        <v>8</v>
      </c>
      <c r="AP340" s="27" t="s">
        <v>7</v>
      </c>
      <c r="AQ340" s="27" t="s">
        <v>8</v>
      </c>
      <c r="AR340" s="27" t="s">
        <v>7</v>
      </c>
      <c r="AS340" s="27" t="s">
        <v>8</v>
      </c>
      <c r="BA340" s="32"/>
    </row>
    <row r="341" spans="1:131" x14ac:dyDescent="0.25">
      <c r="A341" s="30">
        <v>7.2423714265459072E-3</v>
      </c>
      <c r="B341"/>
      <c r="C341"/>
      <c r="D341"/>
      <c r="E341"/>
      <c r="F341" s="27" t="s">
        <v>7</v>
      </c>
      <c r="AO341" s="27" t="s">
        <v>8</v>
      </c>
      <c r="AP341" s="27" t="s">
        <v>7</v>
      </c>
      <c r="AQ341" s="27" t="s">
        <v>8</v>
      </c>
      <c r="AR341" s="27" t="s">
        <v>7</v>
      </c>
      <c r="AS341" s="27" t="s">
        <v>8</v>
      </c>
      <c r="AZ341" s="32"/>
    </row>
    <row r="342" spans="1:131" x14ac:dyDescent="0.25">
      <c r="A342" s="30">
        <v>6.8974965967103846E-3</v>
      </c>
      <c r="B342"/>
      <c r="C342"/>
      <c r="D342"/>
      <c r="E342"/>
      <c r="F342" s="27" t="s">
        <v>7</v>
      </c>
      <c r="AO342" s="27" t="s">
        <v>8</v>
      </c>
      <c r="AP342" s="27" t="s">
        <v>7</v>
      </c>
      <c r="AQ342" s="27" t="s">
        <v>8</v>
      </c>
      <c r="AR342" s="27" t="s">
        <v>7</v>
      </c>
      <c r="AY342" s="32"/>
    </row>
    <row r="343" spans="1:131" x14ac:dyDescent="0.25">
      <c r="A343" s="30">
        <v>6.5690443778194116E-3</v>
      </c>
      <c r="B343"/>
      <c r="C343"/>
      <c r="D343"/>
      <c r="E343"/>
      <c r="F343" s="27" t="s">
        <v>7</v>
      </c>
      <c r="AO343" s="27" t="s">
        <v>8</v>
      </c>
      <c r="AP343" s="27" t="s">
        <v>7</v>
      </c>
      <c r="AQ343" s="27" t="s">
        <v>8</v>
      </c>
      <c r="AX343" s="32"/>
    </row>
    <row r="344" spans="1:131" x14ac:dyDescent="0.25">
      <c r="A344" s="30">
        <v>6.2562327407803897E-3</v>
      </c>
      <c r="B344"/>
      <c r="C344"/>
      <c r="D344"/>
      <c r="E344"/>
      <c r="F344" s="27" t="s">
        <v>7</v>
      </c>
      <c r="AO344" s="27" t="s">
        <v>8</v>
      </c>
      <c r="AP344" s="27" t="s">
        <v>7</v>
      </c>
      <c r="AW344" s="32"/>
    </row>
    <row r="345" spans="1:131" x14ac:dyDescent="0.25">
      <c r="A345" s="30">
        <v>5.9583168959813212E-3</v>
      </c>
      <c r="B345"/>
      <c r="C345"/>
      <c r="D345"/>
      <c r="E345"/>
      <c r="F345" s="27" t="s">
        <v>7</v>
      </c>
      <c r="AO345" s="27" t="s">
        <v>8</v>
      </c>
      <c r="AV345" s="32"/>
    </row>
    <row r="346" spans="1:131" x14ac:dyDescent="0.25">
      <c r="A346" s="30">
        <v>5.6745875199822084E-3</v>
      </c>
      <c r="B346"/>
      <c r="C346"/>
      <c r="D346"/>
      <c r="E346"/>
      <c r="F346" s="27" t="s">
        <v>7</v>
      </c>
      <c r="AI346" s="27" t="s">
        <v>8</v>
      </c>
      <c r="AO346" s="27" t="s">
        <v>8</v>
      </c>
      <c r="AU346" s="32"/>
    </row>
    <row r="347" spans="1:131" x14ac:dyDescent="0.25">
      <c r="A347" s="30">
        <v>5.4043690666497205E-3</v>
      </c>
      <c r="B347"/>
      <c r="C347"/>
      <c r="D347"/>
      <c r="E347"/>
      <c r="F347" s="27" t="s">
        <v>7</v>
      </c>
      <c r="AI347" s="27" t="s">
        <v>8</v>
      </c>
      <c r="AJ347" s="27" t="s">
        <v>7</v>
      </c>
      <c r="AK347" s="27" t="s">
        <v>8</v>
      </c>
      <c r="AM347" s="27" t="s">
        <v>8</v>
      </c>
      <c r="AO347" s="27" t="s">
        <v>8</v>
      </c>
      <c r="AT347" s="32"/>
    </row>
    <row r="348" spans="1:131" x14ac:dyDescent="0.25">
      <c r="A348" s="30">
        <v>5.1470181587140174E-3</v>
      </c>
      <c r="B348"/>
      <c r="C348"/>
      <c r="D348"/>
      <c r="E348"/>
      <c r="F348" s="27" t="s">
        <v>7</v>
      </c>
      <c r="AI348" s="27" t="s">
        <v>8</v>
      </c>
      <c r="AJ348" s="27" t="s">
        <v>7</v>
      </c>
      <c r="AK348" s="27" t="s">
        <v>8</v>
      </c>
      <c r="AL348" s="27" t="s">
        <v>7</v>
      </c>
      <c r="AM348" s="27" t="s">
        <v>8</v>
      </c>
      <c r="AN348" s="27" t="s">
        <v>7</v>
      </c>
      <c r="AO348" s="27" t="s">
        <v>8</v>
      </c>
      <c r="AS348" s="32"/>
    </row>
    <row r="349" spans="1:131" x14ac:dyDescent="0.25">
      <c r="A349" s="30">
        <v>4.9019220559181099E-3</v>
      </c>
      <c r="B349"/>
      <c r="C349"/>
      <c r="D349"/>
      <c r="E349"/>
      <c r="F349" s="27" t="s">
        <v>7</v>
      </c>
      <c r="O349" s="27" t="s">
        <v>8</v>
      </c>
      <c r="AI349" s="27" t="s">
        <v>8</v>
      </c>
      <c r="AJ349" s="27" t="s">
        <v>7</v>
      </c>
      <c r="AK349" s="27" t="s">
        <v>8</v>
      </c>
      <c r="AL349" s="27" t="s">
        <v>7</v>
      </c>
      <c r="AM349" s="27" t="s">
        <v>8</v>
      </c>
      <c r="AN349" s="27" t="s">
        <v>7</v>
      </c>
      <c r="AO349" s="27" t="s">
        <v>8</v>
      </c>
      <c r="AR349" s="32"/>
    </row>
    <row r="350" spans="1:131" x14ac:dyDescent="0.25">
      <c r="A350" s="30">
        <v>4.6684971961124836E-3</v>
      </c>
      <c r="B350"/>
      <c r="C350"/>
      <c r="D350"/>
      <c r="E350"/>
      <c r="F350" s="27" t="s">
        <v>7</v>
      </c>
      <c r="O350" s="27" t="s">
        <v>8</v>
      </c>
      <c r="P350" s="27" t="s">
        <v>7</v>
      </c>
      <c r="AI350" s="27" t="s">
        <v>8</v>
      </c>
      <c r="AJ350" s="27" t="s">
        <v>7</v>
      </c>
      <c r="AK350" s="27" t="s">
        <v>8</v>
      </c>
      <c r="AL350" s="27" t="s">
        <v>7</v>
      </c>
      <c r="AM350" s="27" t="s">
        <v>8</v>
      </c>
      <c r="AN350" s="27" t="s">
        <v>7</v>
      </c>
      <c r="AO350" s="27" t="s">
        <v>8</v>
      </c>
      <c r="AQ350" s="32"/>
    </row>
    <row r="351" spans="1:131" x14ac:dyDescent="0.25">
      <c r="A351" s="30">
        <v>4.4461878058214112E-3</v>
      </c>
      <c r="B351"/>
      <c r="C351"/>
      <c r="D351"/>
      <c r="E351"/>
      <c r="F351" s="27" t="s">
        <v>7</v>
      </c>
      <c r="M351" s="27" t="s">
        <v>8</v>
      </c>
      <c r="O351" s="27" t="s">
        <v>8</v>
      </c>
      <c r="P351" s="27" t="s">
        <v>7</v>
      </c>
      <c r="AI351" s="27" t="s">
        <v>8</v>
      </c>
      <c r="AJ351" s="27" t="s">
        <v>7</v>
      </c>
      <c r="AK351" s="27" t="s">
        <v>8</v>
      </c>
      <c r="AL351" s="27" t="s">
        <v>7</v>
      </c>
      <c r="AM351" s="27" t="s">
        <v>8</v>
      </c>
      <c r="AN351" s="27" t="s">
        <v>7</v>
      </c>
      <c r="AO351" s="27" t="s">
        <v>8</v>
      </c>
      <c r="AP351" s="32"/>
    </row>
    <row r="352" spans="1:131" x14ac:dyDescent="0.25">
      <c r="A352" s="30">
        <v>4.2344645769727711E-3</v>
      </c>
      <c r="B352"/>
      <c r="C352"/>
      <c r="D352"/>
      <c r="E352"/>
      <c r="F352" s="27" t="s">
        <v>7</v>
      </c>
      <c r="M352" s="27" t="s">
        <v>8</v>
      </c>
      <c r="N352" s="27" t="s">
        <v>7</v>
      </c>
      <c r="O352" s="27" t="s">
        <v>8</v>
      </c>
      <c r="P352" s="27" t="s">
        <v>7</v>
      </c>
      <c r="AI352" s="27" t="s">
        <v>8</v>
      </c>
      <c r="AJ352" s="27" t="s">
        <v>7</v>
      </c>
      <c r="AK352" s="27" t="s">
        <v>8</v>
      </c>
      <c r="AL352" s="27" t="s">
        <v>7</v>
      </c>
      <c r="AM352" s="27" t="s">
        <v>8</v>
      </c>
      <c r="AN352" s="27" t="s">
        <v>7</v>
      </c>
      <c r="AO352" s="32" t="s">
        <v>8</v>
      </c>
    </row>
    <row r="353" spans="1:40" x14ac:dyDescent="0.25">
      <c r="A353" s="30">
        <v>4.0328234066407329E-3</v>
      </c>
      <c r="B353"/>
      <c r="C353"/>
      <c r="D353"/>
      <c r="E353"/>
      <c r="F353" s="27" t="s">
        <v>7</v>
      </c>
      <c r="G353" s="27" t="s">
        <v>8</v>
      </c>
      <c r="K353" s="27" t="s">
        <v>8</v>
      </c>
      <c r="M353" s="27" t="s">
        <v>8</v>
      </c>
      <c r="N353" s="27" t="s">
        <v>7</v>
      </c>
      <c r="O353" s="27" t="s">
        <v>8</v>
      </c>
      <c r="P353" s="27" t="s">
        <v>7</v>
      </c>
      <c r="Q353" s="27" t="s">
        <v>8</v>
      </c>
      <c r="Y353" s="27" t="s">
        <v>8</v>
      </c>
      <c r="AI353" s="27" t="s">
        <v>8</v>
      </c>
      <c r="AJ353" s="27" t="s">
        <v>7</v>
      </c>
      <c r="AK353" s="27" t="s">
        <v>8</v>
      </c>
      <c r="AL353" s="27" t="s">
        <v>7</v>
      </c>
      <c r="AM353" s="27" t="s">
        <v>8</v>
      </c>
      <c r="AN353" s="32" t="s">
        <v>7</v>
      </c>
    </row>
    <row r="354" spans="1:40" x14ac:dyDescent="0.25">
      <c r="A354" s="30">
        <v>3.8407841968006963E-3</v>
      </c>
      <c r="B354"/>
      <c r="C354"/>
      <c r="D354"/>
      <c r="E354"/>
      <c r="F354" s="27" t="s">
        <v>7</v>
      </c>
      <c r="G354" s="27" t="s">
        <v>8</v>
      </c>
      <c r="H354" s="27" t="s">
        <v>7</v>
      </c>
      <c r="I354" s="27" t="s">
        <v>8</v>
      </c>
      <c r="K354" s="27" t="s">
        <v>8</v>
      </c>
      <c r="L354" s="27" t="s">
        <v>7</v>
      </c>
      <c r="M354" s="27" t="s">
        <v>8</v>
      </c>
      <c r="N354" s="27" t="s">
        <v>7</v>
      </c>
      <c r="O354" s="27" t="s">
        <v>8</v>
      </c>
      <c r="P354" s="27" t="s">
        <v>7</v>
      </c>
      <c r="Q354" s="27" t="s">
        <v>8</v>
      </c>
      <c r="R354" s="27" t="s">
        <v>7</v>
      </c>
      <c r="Y354" s="27" t="s">
        <v>8</v>
      </c>
      <c r="Z354" s="27" t="s">
        <v>7</v>
      </c>
      <c r="AA354" s="27" t="s">
        <v>8</v>
      </c>
      <c r="AC354" s="27" t="s">
        <v>8</v>
      </c>
      <c r="AI354" s="27" t="s">
        <v>8</v>
      </c>
      <c r="AJ354" s="27" t="s">
        <v>7</v>
      </c>
      <c r="AL354" s="27" t="s">
        <v>7</v>
      </c>
      <c r="AM354" s="32"/>
    </row>
    <row r="355" spans="1:40" x14ac:dyDescent="0.25">
      <c r="A355" s="30">
        <v>3.6578897112387568E-3</v>
      </c>
      <c r="B355"/>
      <c r="C355"/>
      <c r="D355"/>
      <c r="E355"/>
      <c r="F355" s="27" t="s">
        <v>7</v>
      </c>
      <c r="G355" s="27" t="s">
        <v>8</v>
      </c>
      <c r="H355" s="27" t="s">
        <v>7</v>
      </c>
      <c r="I355" s="27" t="s">
        <v>8</v>
      </c>
      <c r="J355" s="27" t="s">
        <v>7</v>
      </c>
      <c r="K355" s="27" t="s">
        <v>8</v>
      </c>
      <c r="L355" s="27" t="s">
        <v>7</v>
      </c>
      <c r="M355" s="27" t="s">
        <v>8</v>
      </c>
      <c r="N355" s="27" t="s">
        <v>7</v>
      </c>
      <c r="P355" s="27" t="s">
        <v>7</v>
      </c>
      <c r="Q355" s="27" t="s">
        <v>8</v>
      </c>
      <c r="R355" s="27" t="s">
        <v>7</v>
      </c>
      <c r="Y355" s="27" t="s">
        <v>8</v>
      </c>
      <c r="Z355" s="27" t="s">
        <v>7</v>
      </c>
      <c r="AA355" s="27" t="s">
        <v>8</v>
      </c>
      <c r="AB355" s="27" t="s">
        <v>7</v>
      </c>
      <c r="AC355" s="27" t="s">
        <v>8</v>
      </c>
      <c r="AD355" s="27" t="s">
        <v>7</v>
      </c>
      <c r="AI355" s="27" t="s">
        <v>8</v>
      </c>
      <c r="AL355" s="32"/>
    </row>
    <row r="356" spans="1:40" x14ac:dyDescent="0.25">
      <c r="A356" s="30">
        <v>3.4837044868940526E-3</v>
      </c>
      <c r="B356"/>
      <c r="C356"/>
      <c r="D356"/>
      <c r="E356"/>
      <c r="F356" s="27" t="s">
        <v>7</v>
      </c>
      <c r="G356" s="27" t="s">
        <v>8</v>
      </c>
      <c r="H356" s="27" t="s">
        <v>7</v>
      </c>
      <c r="I356" s="27" t="s">
        <v>8</v>
      </c>
      <c r="J356" s="27" t="s">
        <v>7</v>
      </c>
      <c r="K356" s="27" t="s">
        <v>8</v>
      </c>
      <c r="L356" s="27" t="s">
        <v>7</v>
      </c>
      <c r="P356" s="27" t="s">
        <v>7</v>
      </c>
      <c r="R356" s="27" t="s">
        <v>7</v>
      </c>
      <c r="S356" s="27" t="s">
        <v>8</v>
      </c>
      <c r="Y356" s="27" t="s">
        <v>8</v>
      </c>
      <c r="Z356" s="27" t="s">
        <v>7</v>
      </c>
      <c r="AA356" s="27" t="s">
        <v>8</v>
      </c>
      <c r="AB356" s="27" t="s">
        <v>7</v>
      </c>
      <c r="AC356" s="27" t="s">
        <v>8</v>
      </c>
      <c r="AD356" s="27" t="s">
        <v>7</v>
      </c>
      <c r="AE356" s="27" t="s">
        <v>8</v>
      </c>
      <c r="AG356" s="27" t="s">
        <v>8</v>
      </c>
      <c r="AI356" s="27" t="s">
        <v>8</v>
      </c>
      <c r="AK356" s="32"/>
    </row>
    <row r="357" spans="1:40" x14ac:dyDescent="0.25">
      <c r="A357" s="30">
        <v>3.3178137970419535E-3</v>
      </c>
      <c r="B357"/>
      <c r="C357"/>
      <c r="D357"/>
      <c r="E357"/>
      <c r="F357" s="27" t="s">
        <v>7</v>
      </c>
      <c r="G357" s="27" t="s">
        <v>8</v>
      </c>
      <c r="H357" s="27" t="s">
        <v>7</v>
      </c>
      <c r="J357" s="27" t="s">
        <v>7</v>
      </c>
      <c r="K357" s="27" t="s">
        <v>8</v>
      </c>
      <c r="R357" s="27" t="s">
        <v>7</v>
      </c>
      <c r="S357" s="27" t="s">
        <v>8</v>
      </c>
      <c r="T357" s="27" t="s">
        <v>7</v>
      </c>
      <c r="W357" s="27" t="s">
        <v>8</v>
      </c>
      <c r="Y357" s="27" t="s">
        <v>8</v>
      </c>
      <c r="Z357" s="27" t="s">
        <v>7</v>
      </c>
      <c r="AA357" s="27" t="s">
        <v>8</v>
      </c>
      <c r="AB357" s="27" t="s">
        <v>7</v>
      </c>
      <c r="AC357" s="27" t="s">
        <v>8</v>
      </c>
      <c r="AD357" s="27" t="s">
        <v>7</v>
      </c>
      <c r="AE357" s="27" t="s">
        <v>8</v>
      </c>
      <c r="AF357" s="27" t="s">
        <v>7</v>
      </c>
      <c r="AG357" s="27" t="s">
        <v>8</v>
      </c>
      <c r="AH357" s="27" t="s">
        <v>7</v>
      </c>
      <c r="AI357" s="27" t="s">
        <v>8</v>
      </c>
      <c r="AJ357" s="32"/>
    </row>
    <row r="358" spans="1:40" x14ac:dyDescent="0.25">
      <c r="A358" s="30">
        <v>3.1598226638494781E-3</v>
      </c>
      <c r="B358"/>
      <c r="C358"/>
      <c r="D358"/>
      <c r="E358"/>
      <c r="F358" s="27" t="s">
        <v>7</v>
      </c>
      <c r="G358" s="27" t="s">
        <v>8</v>
      </c>
      <c r="J358" s="27" t="s">
        <v>7</v>
      </c>
      <c r="K358" s="27" t="s">
        <v>8</v>
      </c>
      <c r="R358" s="27" t="s">
        <v>7</v>
      </c>
      <c r="S358" s="27" t="s">
        <v>8</v>
      </c>
      <c r="T358" s="27" t="s">
        <v>7</v>
      </c>
      <c r="U358" s="27" t="s">
        <v>8</v>
      </c>
      <c r="W358" s="27" t="s">
        <v>8</v>
      </c>
      <c r="X358" s="27" t="s">
        <v>7</v>
      </c>
      <c r="Y358" s="27" t="s">
        <v>8</v>
      </c>
      <c r="Z358" s="27" t="s">
        <v>7</v>
      </c>
      <c r="AA358" s="27" t="s">
        <v>8</v>
      </c>
      <c r="AB358" s="27" t="s">
        <v>7</v>
      </c>
      <c r="AC358" s="27" t="s">
        <v>8</v>
      </c>
      <c r="AD358" s="27" t="s">
        <v>7</v>
      </c>
      <c r="AE358" s="27" t="s">
        <v>8</v>
      </c>
      <c r="AF358" s="27" t="s">
        <v>7</v>
      </c>
      <c r="AG358" s="27" t="s">
        <v>8</v>
      </c>
      <c r="AH358" s="27" t="s">
        <v>7</v>
      </c>
      <c r="AI358" s="32" t="s">
        <v>8</v>
      </c>
    </row>
    <row r="359" spans="1:40" x14ac:dyDescent="0.25">
      <c r="A359" s="30">
        <v>3.0093549179518826E-3</v>
      </c>
      <c r="B359"/>
      <c r="C359"/>
      <c r="D359"/>
      <c r="E359"/>
      <c r="F359" s="27" t="s">
        <v>7</v>
      </c>
      <c r="J359" s="27" t="s">
        <v>7</v>
      </c>
      <c r="R359" s="27" t="s">
        <v>7</v>
      </c>
      <c r="T359" s="27" t="s">
        <v>7</v>
      </c>
      <c r="U359" s="27" t="s">
        <v>8</v>
      </c>
      <c r="V359" s="27" t="s">
        <v>7</v>
      </c>
      <c r="W359" s="27" t="s">
        <v>8</v>
      </c>
      <c r="X359" s="27" t="s">
        <v>7</v>
      </c>
      <c r="Y359" s="27" t="s">
        <v>8</v>
      </c>
      <c r="Z359" s="27" t="s">
        <v>7</v>
      </c>
      <c r="AA359" s="27" t="s">
        <v>8</v>
      </c>
      <c r="AB359" s="27" t="s">
        <v>7</v>
      </c>
      <c r="AD359" s="27" t="s">
        <v>7</v>
      </c>
      <c r="AE359" s="27" t="s">
        <v>8</v>
      </c>
      <c r="AF359" s="27" t="s">
        <v>7</v>
      </c>
      <c r="AH359" s="32" t="s">
        <v>7</v>
      </c>
    </row>
    <row r="360" spans="1:40" x14ac:dyDescent="0.25">
      <c r="A360" s="30">
        <v>2.8660523028113155E-3</v>
      </c>
      <c r="B360"/>
      <c r="C360"/>
      <c r="D360"/>
      <c r="E360"/>
      <c r="T360" s="27" t="s">
        <v>7</v>
      </c>
      <c r="U360" s="27" t="s">
        <v>8</v>
      </c>
      <c r="V360" s="27" t="s">
        <v>7</v>
      </c>
      <c r="W360" s="27" t="s">
        <v>8</v>
      </c>
      <c r="X360" s="27" t="s">
        <v>7</v>
      </c>
      <c r="Y360" s="27" t="s">
        <v>8</v>
      </c>
      <c r="Z360" s="27" t="s">
        <v>7</v>
      </c>
      <c r="AD360" s="27" t="s">
        <v>7</v>
      </c>
    </row>
    <row r="361" spans="1:40" x14ac:dyDescent="0.25">
      <c r="A361" s="30">
        <v>2.7295736217250611E-3</v>
      </c>
      <c r="B361"/>
      <c r="C361"/>
      <c r="D361"/>
      <c r="E361"/>
      <c r="T361" s="27" t="s">
        <v>7</v>
      </c>
      <c r="U361" s="27" t="s">
        <v>8</v>
      </c>
      <c r="V361" s="27" t="s">
        <v>7</v>
      </c>
      <c r="X361" s="27" t="s">
        <v>7</v>
      </c>
      <c r="Y361" s="27" t="s">
        <v>8</v>
      </c>
    </row>
    <row r="362" spans="1:40" x14ac:dyDescent="0.25">
      <c r="A362" s="30">
        <v>2.5995939254524381E-3</v>
      </c>
      <c r="B362"/>
      <c r="C362"/>
      <c r="D362"/>
      <c r="E362"/>
      <c r="T362" s="27" t="s">
        <v>7</v>
      </c>
      <c r="U362" s="27" t="s">
        <v>8</v>
      </c>
      <c r="X362" s="27" t="s">
        <v>7</v>
      </c>
      <c r="Y362" s="27" t="s">
        <v>8</v>
      </c>
    </row>
    <row r="363" spans="1:40" x14ac:dyDescent="0.25">
      <c r="A363" s="30">
        <v>2.4758037385261304E-3</v>
      </c>
      <c r="B363"/>
      <c r="C363"/>
      <c r="D363"/>
      <c r="E363"/>
      <c r="T363" s="27" t="s">
        <v>7</v>
      </c>
      <c r="X363" s="27" t="s">
        <v>7</v>
      </c>
      <c r="Y363" s="27" t="s">
        <v>8</v>
      </c>
    </row>
    <row r="364" spans="1:40" x14ac:dyDescent="0.25">
      <c r="A364" s="30">
        <v>2.3579083224058374E-3</v>
      </c>
      <c r="B364"/>
      <c r="C364"/>
      <c r="D364"/>
      <c r="E364"/>
      <c r="X364" s="27" t="s">
        <v>7</v>
      </c>
    </row>
    <row r="365" spans="1:40" x14ac:dyDescent="0.25">
      <c r="A365" s="30">
        <v>2.245626973719844E-3</v>
      </c>
      <c r="B365"/>
      <c r="C365"/>
      <c r="D365"/>
      <c r="E365"/>
    </row>
    <row r="366" spans="1:40" x14ac:dyDescent="0.25">
      <c r="A366" s="30">
        <v>2.1386923559236601E-3</v>
      </c>
      <c r="B366"/>
      <c r="C366"/>
      <c r="D366"/>
      <c r="E366"/>
    </row>
    <row r="367" spans="1:40" x14ac:dyDescent="0.25">
      <c r="A367" s="30">
        <v>2.0368498627844375E-3</v>
      </c>
      <c r="B367"/>
      <c r="C367"/>
      <c r="D367"/>
      <c r="E367"/>
    </row>
    <row r="368" spans="1:40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30" x14ac:dyDescent="0.25">
      <c r="A385" s="30">
        <v>8.3792134234298668E-4</v>
      </c>
    </row>
    <row r="386" spans="1:30" x14ac:dyDescent="0.25">
      <c r="A386" s="30">
        <v>7.9602527522583736E-4</v>
      </c>
    </row>
    <row r="387" spans="1:30" x14ac:dyDescent="0.25">
      <c r="A387" s="30">
        <v>7.5622401146454546E-4</v>
      </c>
    </row>
    <row r="388" spans="1:30" x14ac:dyDescent="0.25">
      <c r="A388" s="30">
        <v>7.1841281089131816E-4</v>
      </c>
    </row>
    <row r="389" spans="1:30" x14ac:dyDescent="0.25">
      <c r="A389" s="30">
        <v>6.8249217034675226E-4</v>
      </c>
    </row>
    <row r="390" spans="1:30" x14ac:dyDescent="0.25">
      <c r="A390" s="30">
        <v>6.4836756182941465E-4</v>
      </c>
    </row>
    <row r="391" spans="1:30" x14ac:dyDescent="0.25">
      <c r="A391" s="30">
        <v>6.1594918373794388E-4</v>
      </c>
    </row>
    <row r="392" spans="1:30" x14ac:dyDescent="0.25">
      <c r="A392" s="30">
        <v>5.8515172455104666E-4</v>
      </c>
    </row>
    <row r="393" spans="1:30" x14ac:dyDescent="0.25">
      <c r="A393" s="30">
        <v>5.5589413832349429E-4</v>
      </c>
    </row>
    <row r="394" spans="1:30" x14ac:dyDescent="0.25">
      <c r="A394" s="30">
        <v>5.2809943140731956E-4</v>
      </c>
    </row>
    <row r="395" spans="1:30" x14ac:dyDescent="0.25">
      <c r="A395" s="30">
        <v>5.0169445983695357E-4</v>
      </c>
    </row>
    <row r="396" spans="1:30" x14ac:dyDescent="0.25">
      <c r="A396" s="30">
        <v>4.7660973684510589E-4</v>
      </c>
    </row>
    <row r="397" spans="1:30" x14ac:dyDescent="0.25">
      <c r="A397" s="30">
        <v>4.5277925000285056E-4</v>
      </c>
    </row>
    <row r="398" spans="1:30" x14ac:dyDescent="0.25">
      <c r="A398" s="30">
        <v>4.3014028750270803E-4</v>
      </c>
    </row>
    <row r="399" spans="1:30" x14ac:dyDescent="0.25">
      <c r="A399" s="30">
        <v>4.0863327312757263E-4</v>
      </c>
    </row>
    <row r="400" spans="1:30" x14ac:dyDescent="0.25">
      <c r="A400" s="30">
        <v>3.8820160947119396E-4</v>
      </c>
      <c r="AD400" s="32"/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91" operator="equal">
      <formula>$U$1</formula>
    </cfRule>
    <cfRule type="cellIs" dxfId="67" priority="992" operator="equal">
      <formula>$S$1</formula>
    </cfRule>
  </conditionalFormatting>
  <conditionalFormatting sqref="D136">
    <cfRule type="cellIs" dxfId="66" priority="989" operator="equal">
      <formula>$S$1</formula>
    </cfRule>
    <cfRule type="cellIs" dxfId="65" priority="990" operator="equal">
      <formula>$U$1</formula>
    </cfRule>
  </conditionalFormatting>
  <conditionalFormatting sqref="C162">
    <cfRule type="cellIs" dxfId="64" priority="987" operator="equal">
      <formula>$U$1</formula>
    </cfRule>
    <cfRule type="cellIs" dxfId="63" priority="988" operator="equal">
      <formula>$S$1</formula>
    </cfRule>
  </conditionalFormatting>
  <conditionalFormatting sqref="D162">
    <cfRule type="cellIs" dxfId="62" priority="985" operator="equal">
      <formula>$S$1</formula>
    </cfRule>
    <cfRule type="cellIs" dxfId="61" priority="986" operator="equal">
      <formula>$U$1</formula>
    </cfRule>
  </conditionalFormatting>
  <conditionalFormatting sqref="C187">
    <cfRule type="cellIs" dxfId="60" priority="983" operator="equal">
      <formula>$U$1</formula>
    </cfRule>
    <cfRule type="cellIs" dxfId="59" priority="984" operator="equal">
      <formula>$S$1</formula>
    </cfRule>
  </conditionalFormatting>
  <conditionalFormatting sqref="D187">
    <cfRule type="cellIs" dxfId="58" priority="981" operator="equal">
      <formula>$S$1</formula>
    </cfRule>
    <cfRule type="cellIs" dxfId="57" priority="982" operator="equal">
      <formula>$U$1</formula>
    </cfRule>
  </conditionalFormatting>
  <conditionalFormatting sqref="C212">
    <cfRule type="cellIs" dxfId="56" priority="979" operator="equal">
      <formula>$U$1</formula>
    </cfRule>
    <cfRule type="cellIs" dxfId="55" priority="980" operator="equal">
      <formula>$S$1</formula>
    </cfRule>
  </conditionalFormatting>
  <conditionalFormatting sqref="D212">
    <cfRule type="cellIs" dxfId="54" priority="977" operator="equal">
      <formula>$S$1</formula>
    </cfRule>
    <cfRule type="cellIs" dxfId="53" priority="978" operator="equal">
      <formula>$U$1</formula>
    </cfRule>
  </conditionalFormatting>
  <conditionalFormatting sqref="C237">
    <cfRule type="cellIs" dxfId="52" priority="975" operator="equal">
      <formula>$U$1</formula>
    </cfRule>
    <cfRule type="cellIs" dxfId="51" priority="976" operator="equal">
      <formula>$S$1</formula>
    </cfRule>
  </conditionalFormatting>
  <conditionalFormatting sqref="D237">
    <cfRule type="cellIs" dxfId="50" priority="973" operator="equal">
      <formula>$S$1</formula>
    </cfRule>
    <cfRule type="cellIs" dxfId="49" priority="974" operator="equal">
      <formula>$U$1</formula>
    </cfRule>
  </conditionalFormatting>
  <conditionalFormatting sqref="C106">
    <cfRule type="cellIs" dxfId="48" priority="971" operator="equal">
      <formula>$U$1</formula>
    </cfRule>
    <cfRule type="cellIs" dxfId="47" priority="972" operator="equal">
      <formula>$S$1</formula>
    </cfRule>
  </conditionalFormatting>
  <conditionalFormatting sqref="D106">
    <cfRule type="cellIs" dxfId="46" priority="969" operator="equal">
      <formula>$S$1</formula>
    </cfRule>
    <cfRule type="cellIs" dxfId="45" priority="970" operator="equal">
      <formula>$U$1</formula>
    </cfRule>
  </conditionalFormatting>
  <conditionalFormatting sqref="C81">
    <cfRule type="cellIs" dxfId="44" priority="967" operator="equal">
      <formula>$U$1</formula>
    </cfRule>
    <cfRule type="cellIs" dxfId="43" priority="968" operator="equal">
      <formula>$S$1</formula>
    </cfRule>
  </conditionalFormatting>
  <conditionalFormatting sqref="D81">
    <cfRule type="cellIs" dxfId="42" priority="965" operator="equal">
      <formula>$S$1</formula>
    </cfRule>
    <cfRule type="cellIs" dxfId="41" priority="966" operator="equal">
      <formula>$U$1</formula>
    </cfRule>
  </conditionalFormatting>
  <conditionalFormatting sqref="C56">
    <cfRule type="cellIs" dxfId="40" priority="963" operator="equal">
      <formula>$U$1</formula>
    </cfRule>
    <cfRule type="cellIs" dxfId="39" priority="964" operator="equal">
      <formula>$S$1</formula>
    </cfRule>
  </conditionalFormatting>
  <conditionalFormatting sqref="D56">
    <cfRule type="cellIs" dxfId="38" priority="961" operator="equal">
      <formula>$S$1</formula>
    </cfRule>
    <cfRule type="cellIs" dxfId="37" priority="962" operator="equal">
      <formula>$U$1</formula>
    </cfRule>
  </conditionalFormatting>
  <conditionalFormatting sqref="C31">
    <cfRule type="cellIs" dxfId="36" priority="959" operator="equal">
      <formula>$U$1</formula>
    </cfRule>
    <cfRule type="cellIs" dxfId="35" priority="960" operator="equal">
      <formula>$S$1</formula>
    </cfRule>
  </conditionalFormatting>
  <conditionalFormatting sqref="D31">
    <cfRule type="cellIs" dxfId="34" priority="957" operator="equal">
      <formula>$S$1</formula>
    </cfRule>
    <cfRule type="cellIs" dxfId="33" priority="95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43" zoomScale="90" zoomScaleNormal="90" workbookViewId="0">
      <pane xSplit="4" topLeftCell="G1" activePane="topRight" state="frozen"/>
      <selection activeCell="A109" sqref="A109"/>
      <selection pane="topRight" activeCell="AX171" sqref="AX17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$A$170</v>
      </c>
      <c r="D111" s="1" t="str">
        <f>ADDRESS(C121-1,D121,1,1)</f>
        <v>$AX$170</v>
      </c>
      <c r="E111"/>
    </row>
    <row r="112" spans="1:5" x14ac:dyDescent="0.25">
      <c r="A112" s="30">
        <v>2.3579476910000019</v>
      </c>
      <c r="C112" s="1" t="str">
        <f>ADDRESS(C121,1,1,1)</f>
        <v>$A$171</v>
      </c>
      <c r="D112" s="1" t="str">
        <f>ADDRESS(C121,D121-1,1,1)</f>
        <v>$AW$171</v>
      </c>
      <c r="E112"/>
    </row>
    <row r="113" spans="1:6" x14ac:dyDescent="0.25">
      <c r="A113" s="30">
        <v>2.1435888100000016</v>
      </c>
      <c r="C113" s="1" t="str">
        <f>ADDRESS(C121+1,1,1,1)</f>
        <v>$A$172</v>
      </c>
      <c r="D113" s="1" t="str">
        <f>ADDRESS(C121-1,D121+1,1,1)</f>
        <v>$AY$170</v>
      </c>
    </row>
    <row r="114" spans="1:6" x14ac:dyDescent="0.25">
      <c r="A114" s="30">
        <v>1.9487171000000014</v>
      </c>
      <c r="C114" s="1" t="str">
        <f>ADDRESS(C121,D121,1,1)</f>
        <v>$AX$171</v>
      </c>
      <c r="D114" s="1" t="str">
        <f>ADDRESS(C121+1,D121+1,1,1)</f>
        <v>$AY$172</v>
      </c>
    </row>
    <row r="115" spans="1:6" x14ac:dyDescent="0.25">
      <c r="A115" s="30">
        <v>1.7715610000000011</v>
      </c>
      <c r="C115" s="1" t="str">
        <f>ADDRESS(C121+1,D121,1,1)</f>
        <v>$AX$172</v>
      </c>
    </row>
    <row r="116" spans="1:6" x14ac:dyDescent="0.25">
      <c r="A116" s="30">
        <v>1.6105100000000008</v>
      </c>
      <c r="C116" s="1">
        <f>C117-1</f>
        <v>170</v>
      </c>
    </row>
    <row r="117" spans="1:6" x14ac:dyDescent="0.25">
      <c r="A117" s="30">
        <v>1.4641000000000006</v>
      </c>
      <c r="C117" s="1">
        <f>C121</f>
        <v>171</v>
      </c>
      <c r="D117" s="1">
        <f>D121</f>
        <v>50</v>
      </c>
    </row>
    <row r="118" spans="1:6" x14ac:dyDescent="0.25">
      <c r="A118" s="30">
        <v>1.3310000000000004</v>
      </c>
      <c r="C118" s="1">
        <f>C117+1</f>
        <v>172</v>
      </c>
      <c r="D118" s="1">
        <f>D117+1</f>
        <v>51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171</v>
      </c>
      <c r="D121" s="19">
        <v>50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R171</v>
      </c>
      <c r="D123" s="1" t="str">
        <f>"C"&amp;D121</f>
        <v>C50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8.5185512795005747E-3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50" x14ac:dyDescent="0.25">
      <c r="A145" s="30">
        <v>0.10152559799477026</v>
      </c>
      <c r="B145"/>
      <c r="C145"/>
      <c r="D145"/>
      <c r="E145"/>
      <c r="F145" s="27" t="s">
        <v>7</v>
      </c>
    </row>
    <row r="146" spans="1:50" x14ac:dyDescent="0.25">
      <c r="A146" s="30">
        <v>9.2295998177063854E-2</v>
      </c>
      <c r="B146"/>
      <c r="C146"/>
      <c r="D146"/>
      <c r="E146"/>
      <c r="F146" s="27" t="s">
        <v>7</v>
      </c>
    </row>
    <row r="147" spans="1:50" x14ac:dyDescent="0.25">
      <c r="A147" s="30">
        <v>8.3905452888239848E-2</v>
      </c>
      <c r="B147"/>
      <c r="C147"/>
      <c r="D147"/>
      <c r="E147"/>
      <c r="F147" s="27" t="s">
        <v>7</v>
      </c>
    </row>
    <row r="148" spans="1:50" x14ac:dyDescent="0.25">
      <c r="A148" s="30">
        <v>7.6277684443854396E-2</v>
      </c>
      <c r="B148"/>
      <c r="C148"/>
      <c r="D148"/>
      <c r="E148"/>
      <c r="F148" s="27" t="s">
        <v>7</v>
      </c>
    </row>
    <row r="149" spans="1:50" x14ac:dyDescent="0.25">
      <c r="A149" s="30">
        <v>6.9343349494413078E-2</v>
      </c>
      <c r="B149"/>
      <c r="C149"/>
      <c r="D149"/>
      <c r="E149"/>
      <c r="F149" s="27" t="s">
        <v>7</v>
      </c>
    </row>
    <row r="150" spans="1:50" x14ac:dyDescent="0.25">
      <c r="A150" s="30">
        <v>6.3039408631284613E-2</v>
      </c>
      <c r="B150"/>
      <c r="C150"/>
      <c r="D150"/>
      <c r="E150"/>
      <c r="F150" s="27" t="s">
        <v>7</v>
      </c>
      <c r="AG150" s="32" t="s">
        <v>8</v>
      </c>
    </row>
    <row r="151" spans="1:50" x14ac:dyDescent="0.25">
      <c r="A151" s="30">
        <v>5.7308553301167818E-2</v>
      </c>
      <c r="B151"/>
      <c r="C151"/>
      <c r="D151"/>
      <c r="E151"/>
      <c r="F151" s="27" t="s">
        <v>7</v>
      </c>
      <c r="AG151" s="27" t="s">
        <v>8</v>
      </c>
      <c r="AH151" s="32" t="s">
        <v>7</v>
      </c>
    </row>
    <row r="152" spans="1:50" x14ac:dyDescent="0.25">
      <c r="A152" s="30">
        <v>5.2098684819243464E-2</v>
      </c>
      <c r="B152"/>
      <c r="C152"/>
      <c r="D152"/>
      <c r="E152"/>
      <c r="F152" s="27" t="s">
        <v>7</v>
      </c>
      <c r="AG152" s="27" t="s">
        <v>8</v>
      </c>
      <c r="AH152" s="27" t="s">
        <v>7</v>
      </c>
      <c r="AI152" s="32"/>
    </row>
    <row r="153" spans="1:50" x14ac:dyDescent="0.25">
      <c r="A153" s="30">
        <v>4.7362440744766775E-2</v>
      </c>
      <c r="B153"/>
      <c r="C153"/>
      <c r="D153"/>
      <c r="E153"/>
      <c r="F153" s="27" t="s">
        <v>7</v>
      </c>
      <c r="AG153" s="27" t="s">
        <v>8</v>
      </c>
      <c r="AH153" s="27" t="s">
        <v>7</v>
      </c>
      <c r="AJ153" s="32"/>
    </row>
    <row r="154" spans="1:50" x14ac:dyDescent="0.25">
      <c r="A154" s="30">
        <v>4.3056764313424332E-2</v>
      </c>
      <c r="B154"/>
      <c r="C154"/>
      <c r="D154"/>
      <c r="E154"/>
      <c r="F154" s="27" t="s">
        <v>7</v>
      </c>
      <c r="AG154" s="27" t="s">
        <v>8</v>
      </c>
      <c r="AH154" s="27" t="s">
        <v>7</v>
      </c>
      <c r="AI154" s="27" t="s">
        <v>8</v>
      </c>
      <c r="AK154" s="32"/>
    </row>
    <row r="155" spans="1:50" x14ac:dyDescent="0.25">
      <c r="A155" s="30">
        <v>3.9142513012203929E-2</v>
      </c>
      <c r="B155"/>
      <c r="C155"/>
      <c r="D155"/>
      <c r="E155"/>
      <c r="F155" s="27" t="s">
        <v>7</v>
      </c>
      <c r="AG155" s="27" t="s">
        <v>8</v>
      </c>
      <c r="AH155" s="27" t="s">
        <v>7</v>
      </c>
      <c r="AI155" s="27" t="s">
        <v>8</v>
      </c>
      <c r="AJ155" s="27" t="s">
        <v>7</v>
      </c>
      <c r="AL155" s="32"/>
    </row>
    <row r="156" spans="1:50" x14ac:dyDescent="0.25">
      <c r="A156" s="30">
        <v>3.55841027383672E-2</v>
      </c>
      <c r="B156"/>
      <c r="C156"/>
      <c r="D156"/>
      <c r="E156"/>
      <c r="F156" s="27" t="s">
        <v>7</v>
      </c>
      <c r="AE156" s="27" t="s">
        <v>8</v>
      </c>
      <c r="AG156" s="27" t="s">
        <v>8</v>
      </c>
      <c r="AH156" s="27" t="s">
        <v>7</v>
      </c>
      <c r="AI156" s="27" t="s">
        <v>8</v>
      </c>
      <c r="AJ156" s="27" t="s">
        <v>7</v>
      </c>
      <c r="AM156" s="32"/>
    </row>
    <row r="157" spans="1:50" x14ac:dyDescent="0.25">
      <c r="A157" s="30">
        <v>3.2349184307606541E-2</v>
      </c>
      <c r="B157"/>
      <c r="C157"/>
      <c r="D157"/>
      <c r="E157"/>
      <c r="F157" s="27" t="s">
        <v>7</v>
      </c>
      <c r="AE157" s="27" t="s">
        <v>8</v>
      </c>
      <c r="AF157" s="27" t="s">
        <v>7</v>
      </c>
      <c r="AG157" s="27" t="s">
        <v>8</v>
      </c>
      <c r="AH157" s="27" t="s">
        <v>7</v>
      </c>
      <c r="AI157" s="27" t="s">
        <v>8</v>
      </c>
      <c r="AJ157" s="27" t="s">
        <v>7</v>
      </c>
      <c r="AN157" s="32"/>
    </row>
    <row r="158" spans="1:50" x14ac:dyDescent="0.25">
      <c r="A158" s="30">
        <v>2.9408349370551395E-2</v>
      </c>
      <c r="B158"/>
      <c r="C158"/>
      <c r="D158"/>
      <c r="E158"/>
      <c r="F158" s="27" t="s">
        <v>7</v>
      </c>
      <c r="AE158" s="27" t="s">
        <v>8</v>
      </c>
      <c r="AF158" s="27" t="s">
        <v>7</v>
      </c>
      <c r="AG158" s="27" t="s">
        <v>8</v>
      </c>
      <c r="AH158" s="27" t="s">
        <v>7</v>
      </c>
      <c r="AI158" s="27" t="s">
        <v>8</v>
      </c>
      <c r="AJ158" s="27" t="s">
        <v>7</v>
      </c>
      <c r="AO158" s="32"/>
      <c r="AW158" s="27" t="s">
        <v>8</v>
      </c>
    </row>
    <row r="159" spans="1:50" x14ac:dyDescent="0.25">
      <c r="A159" s="30">
        <v>2.6734863064137627E-2</v>
      </c>
      <c r="B159"/>
      <c r="C159"/>
      <c r="D159"/>
      <c r="E159"/>
      <c r="F159" s="27" t="s">
        <v>7</v>
      </c>
      <c r="AC159" s="27" t="s">
        <v>8</v>
      </c>
      <c r="AE159" s="27" t="s">
        <v>8</v>
      </c>
      <c r="AF159" s="27" t="s">
        <v>7</v>
      </c>
      <c r="AG159" s="27" t="s">
        <v>8</v>
      </c>
      <c r="AH159" s="27" t="s">
        <v>7</v>
      </c>
      <c r="AJ159" s="27" t="s">
        <v>7</v>
      </c>
      <c r="AP159" s="32"/>
      <c r="AS159" s="27" t="s">
        <v>8</v>
      </c>
      <c r="AW159" s="27" t="s">
        <v>8</v>
      </c>
      <c r="AX159" s="27" t="s">
        <v>7</v>
      </c>
    </row>
    <row r="160" spans="1:50" x14ac:dyDescent="0.25">
      <c r="A160" s="30">
        <v>2.4304420967397839E-2</v>
      </c>
      <c r="B160"/>
      <c r="C160"/>
      <c r="D160"/>
      <c r="E160"/>
      <c r="F160" s="27" t="s">
        <v>7</v>
      </c>
      <c r="AC160" s="27" t="s">
        <v>8</v>
      </c>
      <c r="AD160" s="27" t="s">
        <v>7</v>
      </c>
      <c r="AE160" s="27" t="s">
        <v>8</v>
      </c>
      <c r="AF160" s="27" t="s">
        <v>7</v>
      </c>
      <c r="AJ160" s="34" t="s">
        <v>7</v>
      </c>
      <c r="AQ160" s="32"/>
      <c r="AS160" s="27" t="s">
        <v>8</v>
      </c>
      <c r="AT160" s="27" t="s">
        <v>7</v>
      </c>
      <c r="AW160" s="27" t="s">
        <v>8</v>
      </c>
      <c r="AX160" s="27" t="s">
        <v>7</v>
      </c>
    </row>
    <row r="161" spans="1:50" x14ac:dyDescent="0.25">
      <c r="A161" s="30">
        <v>2.2094928152179852E-2</v>
      </c>
      <c r="B161"/>
      <c r="C161"/>
      <c r="D161"/>
      <c r="E161"/>
      <c r="F161" s="27" t="s">
        <v>7</v>
      </c>
      <c r="AC161" s="27" t="s">
        <v>8</v>
      </c>
      <c r="AD161" s="27" t="s">
        <v>7</v>
      </c>
      <c r="AE161" s="27" t="s">
        <v>8</v>
      </c>
      <c r="AJ161" s="27" t="s">
        <v>7</v>
      </c>
      <c r="AK161" s="27" t="s">
        <v>8</v>
      </c>
      <c r="AR161" s="32"/>
      <c r="AS161" s="27" t="s">
        <v>8</v>
      </c>
      <c r="AT161" s="27" t="s">
        <v>7</v>
      </c>
      <c r="AU161" s="27" t="s">
        <v>8</v>
      </c>
      <c r="AW161" s="27" t="s">
        <v>8</v>
      </c>
      <c r="AX161" s="27" t="s">
        <v>7</v>
      </c>
    </row>
    <row r="162" spans="1:50" x14ac:dyDescent="0.25">
      <c r="A162" s="30">
        <v>2.0086298320163499E-2</v>
      </c>
      <c r="B162"/>
      <c r="C162"/>
      <c r="D162"/>
      <c r="E162"/>
      <c r="F162" s="27" t="s">
        <v>7</v>
      </c>
      <c r="AC162" s="27" t="s">
        <v>8</v>
      </c>
      <c r="AD162" s="27" t="s">
        <v>7</v>
      </c>
      <c r="AE162" s="27" t="s">
        <v>8</v>
      </c>
      <c r="AJ162" s="27" t="s">
        <v>7</v>
      </c>
      <c r="AK162" s="27" t="s">
        <v>8</v>
      </c>
      <c r="AL162" s="27" t="s">
        <v>7</v>
      </c>
      <c r="AM162" s="27" t="s">
        <v>8</v>
      </c>
      <c r="AQ162" s="27" t="s">
        <v>8</v>
      </c>
      <c r="AS162" s="32" t="s">
        <v>8</v>
      </c>
      <c r="AT162" s="27" t="s">
        <v>7</v>
      </c>
      <c r="AU162" s="27" t="s">
        <v>8</v>
      </c>
      <c r="AV162" s="27" t="s">
        <v>7</v>
      </c>
      <c r="AW162" s="27" t="s">
        <v>8</v>
      </c>
      <c r="AX162" s="27" t="s">
        <v>7</v>
      </c>
    </row>
    <row r="163" spans="1:50" x14ac:dyDescent="0.25">
      <c r="A163" s="30">
        <v>1.8260271200148632E-2</v>
      </c>
      <c r="B163"/>
      <c r="C163"/>
      <c r="D163"/>
      <c r="E163"/>
      <c r="F163" s="27" t="s">
        <v>7</v>
      </c>
      <c r="AC163" s="27" t="s">
        <v>8</v>
      </c>
      <c r="AD163" s="27" t="s">
        <v>7</v>
      </c>
      <c r="AJ163" s="27" t="s">
        <v>7</v>
      </c>
      <c r="AK163" s="27" t="s">
        <v>8</v>
      </c>
      <c r="AL163" s="27" t="s">
        <v>7</v>
      </c>
      <c r="AM163" s="27" t="s">
        <v>8</v>
      </c>
      <c r="AN163" s="27" t="s">
        <v>7</v>
      </c>
      <c r="AQ163" s="27" t="s">
        <v>8</v>
      </c>
      <c r="AR163" s="27" t="s">
        <v>7</v>
      </c>
      <c r="AS163" s="27" t="s">
        <v>8</v>
      </c>
      <c r="AT163" s="32" t="s">
        <v>7</v>
      </c>
      <c r="AU163" s="27" t="s">
        <v>8</v>
      </c>
      <c r="AV163" s="27" t="s">
        <v>7</v>
      </c>
      <c r="AW163" s="32" t="s">
        <v>8</v>
      </c>
      <c r="AX163" s="27" t="s">
        <v>7</v>
      </c>
    </row>
    <row r="164" spans="1:50" x14ac:dyDescent="0.25">
      <c r="A164" s="30">
        <v>1.6600246545589663E-2</v>
      </c>
      <c r="B164"/>
      <c r="C164"/>
      <c r="D164"/>
      <c r="E164"/>
      <c r="F164" s="27" t="s">
        <v>7</v>
      </c>
      <c r="AC164" s="27" t="s">
        <v>8</v>
      </c>
      <c r="AJ164" s="27" t="s">
        <v>7</v>
      </c>
      <c r="AK164" s="27" t="s">
        <v>8</v>
      </c>
      <c r="AL164" s="27" t="s">
        <v>7</v>
      </c>
      <c r="AM164" s="27" t="s">
        <v>8</v>
      </c>
      <c r="AN164" s="27" t="s">
        <v>7</v>
      </c>
      <c r="AQ164" s="27" t="s">
        <v>8</v>
      </c>
      <c r="AR164" s="27" t="s">
        <v>7</v>
      </c>
      <c r="AS164" s="27" t="s">
        <v>8</v>
      </c>
      <c r="AT164" s="27" t="s">
        <v>7</v>
      </c>
      <c r="AU164" s="27" t="s">
        <v>8</v>
      </c>
      <c r="AV164" s="32" t="s">
        <v>7</v>
      </c>
      <c r="AX164" s="27" t="s">
        <v>7</v>
      </c>
    </row>
    <row r="165" spans="1:50" x14ac:dyDescent="0.25">
      <c r="A165" s="30">
        <v>1.5091133223263328E-2</v>
      </c>
      <c r="B165"/>
      <c r="C165"/>
      <c r="D165"/>
      <c r="E165"/>
      <c r="F165" s="27" t="s">
        <v>7</v>
      </c>
      <c r="AC165" s="27" t="s">
        <v>8</v>
      </c>
      <c r="AJ165" s="32" t="s">
        <v>7</v>
      </c>
      <c r="AK165" s="27" t="s">
        <v>8</v>
      </c>
      <c r="AL165" s="27" t="s">
        <v>7</v>
      </c>
      <c r="AM165" s="27" t="s">
        <v>8</v>
      </c>
      <c r="AN165" s="27" t="s">
        <v>7</v>
      </c>
      <c r="AQ165" s="31" t="s">
        <v>8</v>
      </c>
      <c r="AR165" s="27" t="s">
        <v>7</v>
      </c>
      <c r="AT165" s="27" t="s">
        <v>7</v>
      </c>
      <c r="AU165" s="32" t="s">
        <v>8</v>
      </c>
      <c r="AX165" s="27" t="s">
        <v>7</v>
      </c>
    </row>
    <row r="166" spans="1:50" x14ac:dyDescent="0.25">
      <c r="A166" s="30">
        <v>1.3719212021148477E-2</v>
      </c>
      <c r="B166"/>
      <c r="C166"/>
      <c r="D166"/>
      <c r="E166"/>
      <c r="F166" s="27" t="s">
        <v>7</v>
      </c>
      <c r="Y166" s="27" t="s">
        <v>8</v>
      </c>
      <c r="AC166" s="27" t="s">
        <v>8</v>
      </c>
      <c r="AI166" s="32"/>
      <c r="AJ166" s="27" t="s">
        <v>7</v>
      </c>
      <c r="AK166" s="27" t="s">
        <v>8</v>
      </c>
      <c r="AL166" s="27" t="s">
        <v>7</v>
      </c>
      <c r="AM166" s="27" t="s">
        <v>8</v>
      </c>
      <c r="AN166" s="27" t="s">
        <v>7</v>
      </c>
      <c r="AO166" s="18" t="s">
        <v>8</v>
      </c>
      <c r="AQ166" s="27" t="s">
        <v>8</v>
      </c>
      <c r="AT166" s="32" t="s">
        <v>7</v>
      </c>
      <c r="AX166" s="27" t="s">
        <v>7</v>
      </c>
    </row>
    <row r="167" spans="1:50" x14ac:dyDescent="0.25">
      <c r="A167" s="30">
        <v>1.2472010928316795E-2</v>
      </c>
      <c r="B167"/>
      <c r="C167"/>
      <c r="D167"/>
      <c r="E167"/>
      <c r="F167" s="27" t="s">
        <v>7</v>
      </c>
      <c r="Y167" s="27" t="s">
        <v>8</v>
      </c>
      <c r="Z167" s="27" t="s">
        <v>7</v>
      </c>
      <c r="AA167" s="27" t="s">
        <v>8</v>
      </c>
      <c r="AC167" s="27" t="s">
        <v>8</v>
      </c>
      <c r="AH167" s="32"/>
      <c r="AJ167" s="33" t="s">
        <v>7</v>
      </c>
      <c r="AL167" s="33" t="s">
        <v>7</v>
      </c>
      <c r="AN167" s="27" t="s">
        <v>7</v>
      </c>
      <c r="AO167" s="27" t="s">
        <v>8</v>
      </c>
      <c r="AP167" s="27" t="s">
        <v>7</v>
      </c>
      <c r="AQ167" s="27" t="s">
        <v>8</v>
      </c>
      <c r="AS167" s="32"/>
      <c r="AX167" s="27" t="s">
        <v>7</v>
      </c>
    </row>
    <row r="168" spans="1:50" x14ac:dyDescent="0.25">
      <c r="A168" s="30">
        <v>1.1338191753015267E-2</v>
      </c>
      <c r="B168"/>
      <c r="C168"/>
      <c r="D168"/>
      <c r="E168"/>
      <c r="F168" s="27" t="s">
        <v>7</v>
      </c>
      <c r="Y168" s="27" t="s">
        <v>8</v>
      </c>
      <c r="Z168" s="27" t="s">
        <v>7</v>
      </c>
      <c r="AA168" s="27" t="s">
        <v>8</v>
      </c>
      <c r="AB168" s="27" t="s">
        <v>7</v>
      </c>
      <c r="AC168" s="27" t="s">
        <v>8</v>
      </c>
      <c r="AG168" s="32"/>
      <c r="AN168" s="27" t="s">
        <v>7</v>
      </c>
      <c r="AO168" s="27" t="s">
        <v>8</v>
      </c>
      <c r="AP168" s="27" t="s">
        <v>7</v>
      </c>
      <c r="AQ168" s="27" t="s">
        <v>8</v>
      </c>
      <c r="AR168" s="32"/>
      <c r="AX168" s="27" t="s">
        <v>7</v>
      </c>
    </row>
    <row r="169" spans="1:50" x14ac:dyDescent="0.25">
      <c r="A169" s="30">
        <v>1.0307447048195697E-2</v>
      </c>
      <c r="B169"/>
      <c r="C169"/>
      <c r="D169"/>
      <c r="E169"/>
      <c r="F169" s="27" t="s">
        <v>7</v>
      </c>
      <c r="Y169" s="27" t="s">
        <v>8</v>
      </c>
      <c r="Z169" s="27" t="s">
        <v>7</v>
      </c>
      <c r="AA169" s="27" t="s">
        <v>8</v>
      </c>
      <c r="AB169" s="27" t="s">
        <v>7</v>
      </c>
      <c r="AC169" s="27" t="s">
        <v>8</v>
      </c>
      <c r="AF169" s="32"/>
      <c r="AN169" s="27" t="s">
        <v>7</v>
      </c>
      <c r="AO169" s="27" t="s">
        <v>8</v>
      </c>
      <c r="AP169" s="27" t="s">
        <v>7</v>
      </c>
      <c r="AQ169" s="32" t="s">
        <v>8</v>
      </c>
      <c r="AX169" s="27" t="s">
        <v>7</v>
      </c>
    </row>
    <row r="170" spans="1:50" x14ac:dyDescent="0.25">
      <c r="A170" s="30">
        <v>9.3704064074506318E-3</v>
      </c>
      <c r="B170"/>
      <c r="C170"/>
      <c r="D170"/>
      <c r="E170"/>
      <c r="F170" s="27" t="s">
        <v>7</v>
      </c>
      <c r="W170" s="27" t="s">
        <v>8</v>
      </c>
      <c r="Y170" s="27" t="s">
        <v>8</v>
      </c>
      <c r="Z170" s="33" t="s">
        <v>7</v>
      </c>
      <c r="AB170" s="33" t="s">
        <v>7</v>
      </c>
      <c r="AE170" s="32"/>
      <c r="AN170" s="27" t="s">
        <v>7</v>
      </c>
      <c r="AO170" s="27" t="s">
        <v>8</v>
      </c>
      <c r="AP170" s="32" t="s">
        <v>7</v>
      </c>
      <c r="AX170" s="27" t="s">
        <v>7</v>
      </c>
    </row>
    <row r="171" spans="1:50" x14ac:dyDescent="0.25">
      <c r="A171" s="30">
        <v>8.5185512795005747E-3</v>
      </c>
      <c r="F171" s="27" t="s">
        <v>7</v>
      </c>
      <c r="W171" s="27" t="s">
        <v>8</v>
      </c>
      <c r="X171" s="27" t="s">
        <v>7</v>
      </c>
      <c r="Y171" s="27" t="s">
        <v>8</v>
      </c>
      <c r="AD171" s="32"/>
      <c r="AN171" s="27" t="s">
        <v>7</v>
      </c>
      <c r="AO171" s="32" t="s">
        <v>8</v>
      </c>
      <c r="AX171" s="27" t="s">
        <v>7</v>
      </c>
    </row>
    <row r="172" spans="1:50" x14ac:dyDescent="0.25">
      <c r="A172" s="30">
        <v>7.744137526818704E-3</v>
      </c>
      <c r="F172" s="27" t="s">
        <v>7</v>
      </c>
      <c r="W172" s="27" t="s">
        <v>8</v>
      </c>
      <c r="X172" s="27" t="s">
        <v>7</v>
      </c>
      <c r="Y172" s="27" t="s">
        <v>8</v>
      </c>
      <c r="AC172" s="32"/>
      <c r="AN172" s="32" t="s">
        <v>7</v>
      </c>
    </row>
    <row r="173" spans="1:50" x14ac:dyDescent="0.25">
      <c r="A173" s="30">
        <v>7.0401250243806394E-3</v>
      </c>
      <c r="F173" s="27" t="s">
        <v>7</v>
      </c>
      <c r="W173" s="27" t="s">
        <v>8</v>
      </c>
      <c r="X173" s="27" t="s">
        <v>7</v>
      </c>
      <c r="Y173" s="27" t="s">
        <v>8</v>
      </c>
      <c r="AB173" s="32"/>
    </row>
    <row r="174" spans="1:50" x14ac:dyDescent="0.25">
      <c r="A174" s="30">
        <v>6.4001136585278536E-3</v>
      </c>
      <c r="F174" s="27" t="s">
        <v>7</v>
      </c>
      <c r="W174" s="27" t="s">
        <v>8</v>
      </c>
      <c r="X174" s="27" t="s">
        <v>7</v>
      </c>
      <c r="AA174" s="32"/>
    </row>
    <row r="175" spans="1:50" x14ac:dyDescent="0.25">
      <c r="A175" s="30">
        <v>5.8182851441162305E-3</v>
      </c>
      <c r="F175" s="27" t="s">
        <v>7</v>
      </c>
      <c r="W175" s="31" t="s">
        <v>8</v>
      </c>
      <c r="Z175" s="32"/>
    </row>
    <row r="176" spans="1:50" x14ac:dyDescent="0.25">
      <c r="A176" s="30">
        <v>5.2893501310147546E-3</v>
      </c>
      <c r="F176" s="27" t="s">
        <v>7</v>
      </c>
      <c r="Q176" s="33" t="s">
        <v>8</v>
      </c>
      <c r="S176" s="33" t="s">
        <v>8</v>
      </c>
      <c r="U176" s="33" t="s">
        <v>8</v>
      </c>
      <c r="W176" s="27" t="s">
        <v>8</v>
      </c>
      <c r="Y176" s="32"/>
    </row>
    <row r="177" spans="1:24" x14ac:dyDescent="0.25">
      <c r="A177" s="30">
        <v>4.8085001191043222E-3</v>
      </c>
      <c r="F177" s="27" t="s">
        <v>7</v>
      </c>
      <c r="I177" s="27" t="s">
        <v>8</v>
      </c>
      <c r="Q177" s="27" t="s">
        <v>8</v>
      </c>
      <c r="R177" s="27" t="s">
        <v>7</v>
      </c>
      <c r="S177" s="27" t="s">
        <v>8</v>
      </c>
      <c r="T177" s="27" t="s">
        <v>7</v>
      </c>
      <c r="U177" s="27" t="s">
        <v>8</v>
      </c>
      <c r="V177" s="27" t="s">
        <v>7</v>
      </c>
      <c r="W177" s="27" t="s">
        <v>8</v>
      </c>
      <c r="X177" s="32"/>
    </row>
    <row r="178" spans="1:24" x14ac:dyDescent="0.25">
      <c r="A178" s="30">
        <v>4.3713637446402926E-3</v>
      </c>
      <c r="F178" s="27" t="s">
        <v>7</v>
      </c>
      <c r="I178" s="27" t="s">
        <v>8</v>
      </c>
      <c r="J178" s="27" t="s">
        <v>7</v>
      </c>
      <c r="Q178" s="27" t="s">
        <v>8</v>
      </c>
      <c r="R178" s="27" t="s">
        <v>7</v>
      </c>
      <c r="S178" s="27" t="s">
        <v>8</v>
      </c>
      <c r="T178" s="27" t="s">
        <v>7</v>
      </c>
      <c r="U178" s="27" t="s">
        <v>8</v>
      </c>
      <c r="V178" s="27" t="s">
        <v>7</v>
      </c>
      <c r="W178" s="32" t="s">
        <v>8</v>
      </c>
    </row>
    <row r="179" spans="1:24" x14ac:dyDescent="0.25">
      <c r="A179" s="30">
        <v>3.9739670405820838E-3</v>
      </c>
      <c r="F179" s="27" t="s">
        <v>7</v>
      </c>
      <c r="G179" s="27" t="s">
        <v>8</v>
      </c>
      <c r="I179" s="27" t="s">
        <v>8</v>
      </c>
      <c r="J179" s="27" t="s">
        <v>7</v>
      </c>
      <c r="M179" s="33" t="s">
        <v>8</v>
      </c>
      <c r="O179" s="33" t="s">
        <v>8</v>
      </c>
      <c r="Q179" s="27" t="s">
        <v>8</v>
      </c>
      <c r="R179" s="33" t="s">
        <v>7</v>
      </c>
      <c r="T179" s="33" t="s">
        <v>7</v>
      </c>
      <c r="V179" s="33" t="s">
        <v>7</v>
      </c>
    </row>
    <row r="180" spans="1:24" x14ac:dyDescent="0.25">
      <c r="A180" s="30">
        <v>3.6126973096200759E-3</v>
      </c>
      <c r="F180" s="27" t="s">
        <v>7</v>
      </c>
      <c r="G180" s="27" t="s">
        <v>8</v>
      </c>
      <c r="H180" s="27" t="s">
        <v>7</v>
      </c>
      <c r="I180" s="27" t="s">
        <v>8</v>
      </c>
      <c r="J180" s="27" t="s">
        <v>7</v>
      </c>
      <c r="M180" s="27" t="s">
        <v>8</v>
      </c>
      <c r="N180" s="27" t="s">
        <v>7</v>
      </c>
      <c r="O180" s="27" t="s">
        <v>8</v>
      </c>
      <c r="P180" s="27" t="s">
        <v>7</v>
      </c>
      <c r="Q180" s="27" t="s">
        <v>8</v>
      </c>
    </row>
    <row r="181" spans="1:24" x14ac:dyDescent="0.25">
      <c r="A181" s="30">
        <v>3.2842702814727962E-3</v>
      </c>
      <c r="F181" s="27" t="s">
        <v>7</v>
      </c>
      <c r="G181" s="27" t="s">
        <v>8</v>
      </c>
      <c r="H181" s="27" t="s">
        <v>7</v>
      </c>
      <c r="I181" s="27" t="s">
        <v>8</v>
      </c>
      <c r="J181" s="27" t="s">
        <v>7</v>
      </c>
      <c r="K181" s="27" t="s">
        <v>8</v>
      </c>
      <c r="M181" s="27" t="s">
        <v>8</v>
      </c>
      <c r="N181" s="27" t="s">
        <v>7</v>
      </c>
      <c r="O181" s="27" t="s">
        <v>8</v>
      </c>
      <c r="P181" s="27" t="s">
        <v>7</v>
      </c>
      <c r="Q181" s="27" t="s">
        <v>8</v>
      </c>
    </row>
    <row r="182" spans="1:24" x14ac:dyDescent="0.25">
      <c r="A182" s="30">
        <v>2.9857002558843601E-3</v>
      </c>
      <c r="F182" s="27" t="s">
        <v>7</v>
      </c>
      <c r="H182" s="27" t="s">
        <v>7</v>
      </c>
      <c r="J182" s="27" t="s">
        <v>7</v>
      </c>
      <c r="K182" s="27" t="s">
        <v>8</v>
      </c>
      <c r="L182" s="27" t="s">
        <v>7</v>
      </c>
      <c r="M182" s="27" t="s">
        <v>8</v>
      </c>
      <c r="N182" s="33" t="s">
        <v>7</v>
      </c>
      <c r="P182" s="33" t="s">
        <v>7</v>
      </c>
    </row>
    <row r="183" spans="1:24" x14ac:dyDescent="0.25">
      <c r="A183" s="30">
        <v>2.7142729598948726E-3</v>
      </c>
      <c r="J183" s="27" t="s">
        <v>7</v>
      </c>
      <c r="K183" s="27" t="s">
        <v>8</v>
      </c>
      <c r="L183" s="27" t="s">
        <v>7</v>
      </c>
      <c r="M183" s="27" t="s">
        <v>8</v>
      </c>
    </row>
    <row r="184" spans="1:24" x14ac:dyDescent="0.25">
      <c r="A184" s="30">
        <v>2.4675208726317021E-3</v>
      </c>
      <c r="J184" s="33" t="s">
        <v>7</v>
      </c>
      <c r="L184" s="33" t="s">
        <v>7</v>
      </c>
    </row>
    <row r="185" spans="1:24" x14ac:dyDescent="0.25">
      <c r="A185" s="30">
        <v>2.2432007933015472E-3</v>
      </c>
    </row>
    <row r="186" spans="1:24" x14ac:dyDescent="0.25">
      <c r="A186" s="30">
        <v>2.0392734484559519E-3</v>
      </c>
    </row>
    <row r="187" spans="1:24" x14ac:dyDescent="0.25">
      <c r="A187" s="30">
        <v>1.8538849531417744E-3</v>
      </c>
    </row>
    <row r="188" spans="1:24" x14ac:dyDescent="0.25">
      <c r="A188" s="30">
        <v>1.6853499574016129E-3</v>
      </c>
    </row>
    <row r="189" spans="1:24" x14ac:dyDescent="0.25">
      <c r="A189" s="30">
        <v>1.5321363249105571E-3</v>
      </c>
    </row>
    <row r="190" spans="1:24" x14ac:dyDescent="0.25">
      <c r="A190" s="30">
        <v>1.3928512044641427E-3</v>
      </c>
    </row>
    <row r="191" spans="1:24" x14ac:dyDescent="0.25">
      <c r="A191" s="30">
        <v>1.2662283676946752E-3</v>
      </c>
    </row>
    <row r="192" spans="1:24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75" operator="equal">
      <formula>$U$1</formula>
    </cfRule>
    <cfRule type="cellIs" dxfId="30" priority="976" operator="equal">
      <formula>$S$1</formula>
    </cfRule>
  </conditionalFormatting>
  <conditionalFormatting sqref="D136">
    <cfRule type="cellIs" dxfId="29" priority="973" operator="equal">
      <formula>$S$1</formula>
    </cfRule>
    <cfRule type="cellIs" dxfId="28" priority="974" operator="equal">
      <formula>$U$1</formula>
    </cfRule>
  </conditionalFormatting>
  <conditionalFormatting sqref="C102">
    <cfRule type="cellIs" dxfId="27" priority="971" operator="equal">
      <formula>$U$1</formula>
    </cfRule>
    <cfRule type="cellIs" dxfId="26" priority="972" operator="equal">
      <formula>$S$1</formula>
    </cfRule>
  </conditionalFormatting>
  <conditionalFormatting sqref="D102">
    <cfRule type="cellIs" dxfId="25" priority="969" operator="equal">
      <formula>$S$1</formula>
    </cfRule>
    <cfRule type="cellIs" dxfId="24" priority="970" operator="equal">
      <formula>$U$1</formula>
    </cfRule>
  </conditionalFormatting>
  <conditionalFormatting sqref="C77">
    <cfRule type="cellIs" dxfId="23" priority="967" operator="equal">
      <formula>$U$1</formula>
    </cfRule>
    <cfRule type="cellIs" dxfId="22" priority="968" operator="equal">
      <formula>$S$1</formula>
    </cfRule>
  </conditionalFormatting>
  <conditionalFormatting sqref="D77">
    <cfRule type="cellIs" dxfId="21" priority="965" operator="equal">
      <formula>$S$1</formula>
    </cfRule>
    <cfRule type="cellIs" dxfId="20" priority="966" operator="equal">
      <formula>$U$1</formula>
    </cfRule>
  </conditionalFormatting>
  <conditionalFormatting sqref="C52">
    <cfRule type="cellIs" dxfId="19" priority="963" operator="equal">
      <formula>$U$1</formula>
    </cfRule>
    <cfRule type="cellIs" dxfId="18" priority="964" operator="equal">
      <formula>$S$1</formula>
    </cfRule>
  </conditionalFormatting>
  <conditionalFormatting sqref="D52">
    <cfRule type="cellIs" dxfId="17" priority="961" operator="equal">
      <formula>$S$1</formula>
    </cfRule>
    <cfRule type="cellIs" dxfId="16" priority="962" operator="equal">
      <formula>$U$1</formula>
    </cfRule>
  </conditionalFormatting>
  <conditionalFormatting sqref="C26">
    <cfRule type="cellIs" dxfId="15" priority="959" operator="equal">
      <formula>$U$1</formula>
    </cfRule>
    <cfRule type="cellIs" dxfId="14" priority="960" operator="equal">
      <formula>$S$1</formula>
    </cfRule>
  </conditionalFormatting>
  <conditionalFormatting sqref="D26">
    <cfRule type="cellIs" dxfId="13" priority="957" operator="equal">
      <formula>$S$1</formula>
    </cfRule>
    <cfRule type="cellIs" dxfId="12" priority="95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4" sqref="E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9.7054703765012563E-3</v>
      </c>
      <c r="F3" s="30">
        <v>1.0190743895326324E-2</v>
      </c>
      <c r="G3" s="30">
        <v>2.0176975860150829E-2</v>
      </c>
      <c r="H3" s="25">
        <f>IF(G3="","",(3*(G3-F3))+E3)</f>
        <v>3.9664166270974771E-2</v>
      </c>
      <c r="I3" s="7"/>
      <c r="J3" s="7">
        <f>(E3+G3)/2</f>
        <v>1.4941223118326043E-2</v>
      </c>
      <c r="K3" s="7">
        <f>H3/2</f>
        <v>1.9832083135487386E-2</v>
      </c>
      <c r="M3" s="26">
        <f>IF(OR(J3="",H3=""),"",H3/J3)</f>
        <v>2.6546800055696238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2022-01-28T01:21:08Z</dcterms:modified>
</cp:coreProperties>
</file>