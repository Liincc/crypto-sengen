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35147678-E756-4FF0-A75B-5FCBB365903F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S766" i="1" s="1"/>
  <c r="T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C136" i="5" s="1"/>
  <c r="R765" i="1"/>
  <c r="S765" i="1" s="1"/>
  <c r="T765" i="1" s="1"/>
  <c r="C122" i="4"/>
  <c r="C133" i="4" s="1"/>
  <c r="C136" i="4" s="1"/>
  <c r="C116" i="4"/>
  <c r="C122" i="3"/>
  <c r="C133" i="3" s="1"/>
  <c r="C136" i="3" s="1"/>
  <c r="C118" i="3"/>
  <c r="D136" i="5" l="1"/>
  <c r="C138" i="5" s="1"/>
  <c r="R764" i="1"/>
  <c r="R763" i="1" s="1"/>
  <c r="D136" i="4"/>
  <c r="C138" i="4" s="1"/>
  <c r="D136" i="3"/>
  <c r="C138" i="3" s="1"/>
  <c r="S764" i="1" l="1"/>
  <c r="T764" i="1" s="1"/>
  <c r="R762" i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S748" i="1" l="1"/>
  <c r="T748" i="1" s="1"/>
  <c r="R747" i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S732" i="1" l="1"/>
  <c r="T732" i="1" s="1"/>
  <c r="R731" i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S708" i="1" l="1"/>
  <c r="T708" i="1" s="1"/>
  <c r="R707" i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S692" i="1" l="1"/>
  <c r="T692" i="1" s="1"/>
  <c r="R691" i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S684" i="1" l="1"/>
  <c r="T684" i="1" s="1"/>
  <c r="R683" i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S676" i="1" l="1"/>
  <c r="T676" i="1" s="1"/>
  <c r="R675" i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S660" i="1" l="1"/>
  <c r="T660" i="1" s="1"/>
  <c r="R659" i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S636" i="1" l="1"/>
  <c r="T636" i="1" s="1"/>
  <c r="R635" i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S620" i="1" l="1"/>
  <c r="T620" i="1" s="1"/>
  <c r="R619" i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S604" i="1" l="1"/>
  <c r="T604" i="1" s="1"/>
  <c r="R603" i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S588" i="1" l="1"/>
  <c r="T588" i="1" s="1"/>
  <c r="R587" i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S572" i="1" l="1"/>
  <c r="T572" i="1" s="1"/>
  <c r="R571" i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S564" i="1" l="1"/>
  <c r="T564" i="1" s="1"/>
  <c r="R563" i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S532" i="1" l="1"/>
  <c r="T532" i="1" s="1"/>
  <c r="R531" i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S492" i="1" l="1"/>
  <c r="T492" i="1" s="1"/>
  <c r="R491" i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S468" i="1" l="1"/>
  <c r="T468" i="1" s="1"/>
  <c r="R467" i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S444" i="1" l="1"/>
  <c r="T444" i="1" s="1"/>
  <c r="R443" i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S436" i="1" l="1"/>
  <c r="T436" i="1" s="1"/>
  <c r="R435" i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S396" i="1" l="1"/>
  <c r="T396" i="1" s="1"/>
  <c r="R395" i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S372" i="1" l="1"/>
  <c r="T372" i="1" s="1"/>
  <c r="R371" i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S356" i="1" l="1"/>
  <c r="T356" i="1" s="1"/>
  <c r="R355" i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S348" i="1" l="1"/>
  <c r="T348" i="1" s="1"/>
  <c r="R347" i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S316" i="1" l="1"/>
  <c r="T316" i="1" s="1"/>
  <c r="R315" i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S300" i="1" l="1"/>
  <c r="T300" i="1" s="1"/>
  <c r="R299" i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S284" i="1" l="1"/>
  <c r="T284" i="1" s="1"/>
  <c r="R283" i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S276" i="1" l="1"/>
  <c r="T276" i="1" s="1"/>
  <c r="R275" i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S228" i="1" l="1"/>
  <c r="T228" i="1" s="1"/>
  <c r="R227" i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S219" i="1" l="1"/>
  <c r="T219" i="1" s="1"/>
  <c r="R218" i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S212" i="1" l="1"/>
  <c r="T212" i="1" s="1"/>
  <c r="R211" i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S204" i="1" l="1"/>
  <c r="T204" i="1" s="1"/>
  <c r="R203" i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S195" i="1" l="1"/>
  <c r="T195" i="1" s="1"/>
  <c r="R194" i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S190" i="1" l="1"/>
  <c r="T190" i="1" s="1"/>
  <c r="R189" i="1"/>
  <c r="R188" i="1" l="1"/>
  <c r="S189" i="1"/>
  <c r="T189" i="1" s="1"/>
  <c r="S188" i="1" l="1"/>
  <c r="T188" i="1" s="1"/>
  <c r="R187" i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S180" i="1" l="1"/>
  <c r="T180" i="1" s="1"/>
  <c r="R179" i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S174" i="1" l="1"/>
  <c r="T174" i="1" s="1"/>
  <c r="R173" i="1"/>
  <c r="R172" i="1" l="1"/>
  <c r="S173" i="1"/>
  <c r="T173" i="1" s="1"/>
  <c r="R171" i="1" l="1"/>
  <c r="S172" i="1"/>
  <c r="T172" i="1" s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S156" i="1" l="1"/>
  <c r="T156" i="1" s="1"/>
  <c r="R155" i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S126" i="1" l="1"/>
  <c r="T126" i="1" s="1"/>
  <c r="R125" i="1"/>
  <c r="R124" i="1" l="1"/>
  <c r="S125" i="1"/>
  <c r="T125" i="1" s="1"/>
  <c r="R123" i="1" l="1"/>
  <c r="S124" i="1"/>
  <c r="T124" i="1" s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S102" i="1" l="1"/>
  <c r="T102" i="1" s="1"/>
  <c r="R101" i="1"/>
  <c r="R100" i="1" l="1"/>
  <c r="S101" i="1"/>
  <c r="T101" i="1" s="1"/>
  <c r="R99" i="1" l="1"/>
  <c r="S100" i="1"/>
  <c r="T100" i="1" s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S87" i="1" l="1"/>
  <c r="T87" i="1" s="1"/>
  <c r="R86" i="1"/>
  <c r="R85" i="1" l="1"/>
  <c r="S86" i="1"/>
  <c r="T86" i="1" s="1"/>
  <c r="S85" i="1" l="1"/>
  <c r="T85" i="1" s="1"/>
  <c r="R84" i="1"/>
  <c r="S84" i="1" l="1"/>
  <c r="T84" i="1" s="1"/>
  <c r="R83" i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S75" i="1" l="1"/>
  <c r="T75" i="1" s="1"/>
  <c r="R74" i="1"/>
  <c r="R73" i="1" l="1"/>
  <c r="S74" i="1"/>
  <c r="T74" i="1" s="1"/>
  <c r="R72" i="1" l="1"/>
  <c r="S73" i="1"/>
  <c r="T73" i="1" s="1"/>
  <c r="S72" i="1" l="1"/>
  <c r="T72" i="1" s="1"/>
  <c r="R71" i="1"/>
  <c r="R70" i="1" l="1"/>
  <c r="S71" i="1"/>
  <c r="T71" i="1" s="1"/>
  <c r="R69" i="1" l="1"/>
  <c r="S70" i="1"/>
  <c r="T70" i="1" s="1"/>
  <c r="S69" i="1" l="1"/>
  <c r="T69" i="1" s="1"/>
  <c r="R68" i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S63" i="1" l="1"/>
  <c r="T63" i="1" s="1"/>
  <c r="R62" i="1"/>
  <c r="R61" i="1" l="1"/>
  <c r="S62" i="1"/>
  <c r="T62" i="1" s="1"/>
  <c r="R60" i="1" l="1"/>
  <c r="S61" i="1"/>
  <c r="T61" i="1" s="1"/>
  <c r="R59" i="1" l="1"/>
  <c r="S60" i="1"/>
  <c r="T60" i="1" s="1"/>
  <c r="S59" i="1" l="1"/>
  <c r="T59" i="1" s="1"/>
  <c r="R58" i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S45" i="1" l="1"/>
  <c r="T45" i="1" s="1"/>
  <c r="R44" i="1"/>
  <c r="S44" i="1" l="1"/>
  <c r="T44" i="1" s="1"/>
  <c r="R43" i="1"/>
  <c r="S43" i="1" l="1"/>
  <c r="T43" i="1" s="1"/>
  <c r="R42" i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S32" i="1" l="1"/>
  <c r="T32" i="1" s="1"/>
  <c r="R31" i="1"/>
  <c r="R30" i="1" l="1"/>
  <c r="S31" i="1"/>
  <c r="T31" i="1" s="1"/>
  <c r="R29" i="1" l="1"/>
  <c r="S30" i="1"/>
  <c r="T30" i="1" s="1"/>
  <c r="S29" i="1" l="1"/>
  <c r="T29" i="1" s="1"/>
  <c r="R28" i="1"/>
  <c r="R27" i="1" l="1"/>
  <c r="S28" i="1"/>
  <c r="T28" i="1" s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<sst xmlns="http://schemas.openxmlformats.org/spreadsheetml/2006/main" count="1986" uniqueCount="34">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</sst>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0.24490000000000001</c:v>
                </c:pt>
                <c:pt idx="1">
                  <c:v>0.2492</c:v>
                </c:pt>
                <c:pt idx="2">
                  <c:v>0.24399999999999999</c:v>
                </c:pt>
                <c:pt idx="3">
                  <c:v>0.25580000000000003</c:v>
                </c:pt>
                <c:pt idx="4">
                  <c:v>0.26939999999999997</c:v>
                </c:pt>
                <c:pt idx="5">
                  <c:v>0.24440000000000001</c:v>
                </c:pt>
                <c:pt idx="6">
                  <c:v>0.26939999999999997</c:v>
                </c:pt>
                <c:pt idx="7">
                  <c:v>0.32640000000000002</c:v>
                </c:pt>
                <c:pt idx="8">
                  <c:v>0.3483</c:v>
                </c:pt>
                <c:pt idx="9">
                  <c:v>0.375</c:v>
                </c:pt>
                <c:pt idx="10">
                  <c:v>0.34949999999999998</c:v>
                </c:pt>
                <c:pt idx="11">
                  <c:v>0.36680000000000001</c:v>
                </c:pt>
                <c:pt idx="12">
                  <c:v>0.37790000000000001</c:v>
                </c:pt>
                <c:pt idx="13">
                  <c:v>0.36609999999999998</c:v>
                </c:pt>
                <c:pt idx="14">
                  <c:v>0.3574</c:v>
                </c:pt>
                <c:pt idx="15">
                  <c:v>0.37769999999999998</c:v>
                </c:pt>
                <c:pt idx="16">
                  <c:v>0.36259999999999998</c:v>
                </c:pt>
                <c:pt idx="17">
                  <c:v>0.34350000000000003</c:v>
                </c:pt>
                <c:pt idx="18">
                  <c:v>0.36080000000000001</c:v>
                </c:pt>
                <c:pt idx="19">
                  <c:v>0.3508</c:v>
                </c:pt>
                <c:pt idx="20">
                  <c:v>0.36720000000000003</c:v>
                </c:pt>
                <c:pt idx="21">
                  <c:v>0.38529999999999998</c:v>
                </c:pt>
                <c:pt idx="22">
                  <c:v>0.39550000000000002</c:v>
                </c:pt>
                <c:pt idx="23">
                  <c:v>0.40939999999999999</c:v>
                </c:pt>
                <c:pt idx="24">
                  <c:v>0.4133</c:v>
                </c:pt>
                <c:pt idx="25">
                  <c:v>0.4173</c:v>
                </c:pt>
                <c:pt idx="26">
                  <c:v>0.43280000000000002</c:v>
                </c:pt>
                <c:pt idx="27">
                  <c:v>0.42280000000000001</c:v>
                </c:pt>
                <c:pt idx="28">
                  <c:v>0.40529999999999999</c:v>
                </c:pt>
                <c:pt idx="29">
                  <c:v>0.4032</c:v>
                </c:pt>
                <c:pt idx="30">
                  <c:v>0.42370000000000002</c:v>
                </c:pt>
                <c:pt idx="31">
                  <c:v>0.46899999999999997</c:v>
                </c:pt>
                <c:pt idx="32">
                  <c:v>0.49299999999999999</c:v>
                </c:pt>
                <c:pt idx="33">
                  <c:v>0.53700000000000003</c:v>
                </c:pt>
                <c:pt idx="34">
                  <c:v>0.36969999999999997</c:v>
                </c:pt>
                <c:pt idx="35">
                  <c:v>0.37209999999999999</c:v>
                </c:pt>
                <c:pt idx="36">
                  <c:v>0.35620000000000002</c:v>
                </c:pt>
                <c:pt idx="37">
                  <c:v>0.35489999999999999</c:v>
                </c:pt>
                <c:pt idx="38">
                  <c:v>0.34699999999999998</c:v>
                </c:pt>
                <c:pt idx="39">
                  <c:v>0.3604</c:v>
                </c:pt>
                <c:pt idx="40">
                  <c:v>0.35959999999999998</c:v>
                </c:pt>
                <c:pt idx="41">
                  <c:v>0.34820000000000001</c:v>
                </c:pt>
                <c:pt idx="42">
                  <c:v>0.35709999999999997</c:v>
                </c:pt>
                <c:pt idx="43">
                  <c:v>0.35899999999999999</c:v>
                </c:pt>
                <c:pt idx="44">
                  <c:v>0.35370000000000001</c:v>
                </c:pt>
                <c:pt idx="45">
                  <c:v>0.36630000000000001</c:v>
                </c:pt>
                <c:pt idx="46">
                  <c:v>0.42520000000000002</c:v>
                </c:pt>
                <c:pt idx="47">
                  <c:v>0.41899999999999998</c:v>
                </c:pt>
                <c:pt idx="48">
                  <c:v>0.41420000000000001</c:v>
                </c:pt>
                <c:pt idx="49">
                  <c:v>0.5081</c:v>
                </c:pt>
                <c:pt idx="50">
                  <c:v>0.44629999999999997</c:v>
                </c:pt>
                <c:pt idx="51">
                  <c:v>0.43469999999999998</c:v>
                </c:pt>
                <c:pt idx="52">
                  <c:v>0.45390000000000003</c:v>
                </c:pt>
                <c:pt idx="53">
                  <c:v>0.47289999999999999</c:v>
                </c:pt>
                <c:pt idx="54">
                  <c:v>0.50509999999999999</c:v>
                </c:pt>
                <c:pt idx="55">
                  <c:v>0.60880000000000001</c:v>
                </c:pt>
                <c:pt idx="56">
                  <c:v>0.62639999999999996</c:v>
                </c:pt>
                <c:pt idx="57">
                  <c:v>0.62319999999999998</c:v>
                </c:pt>
                <c:pt idx="58">
                  <c:v>0.62849999999999995</c:v>
                </c:pt>
                <c:pt idx="59">
                  <c:v>0.65069999999999995</c:v>
                </c:pt>
                <c:pt idx="60">
                  <c:v>0.67200000000000004</c:v>
                </c:pt>
                <c:pt idx="61">
                  <c:v>0.68759999999999999</c:v>
                </c:pt>
                <c:pt idx="62">
                  <c:v>0.62680000000000002</c:v>
                </c:pt>
                <c:pt idx="63">
                  <c:v>0.68149999999999999</c:v>
                </c:pt>
                <c:pt idx="64">
                  <c:v>0.65180000000000005</c:v>
                </c:pt>
                <c:pt idx="65">
                  <c:v>0.67149999999999999</c:v>
                </c:pt>
                <c:pt idx="66">
                  <c:v>0.69</c:v>
                </c:pt>
                <c:pt idx="67">
                  <c:v>0.68720000000000003</c:v>
                </c:pt>
                <c:pt idx="68">
                  <c:v>0.6825</c:v>
                </c:pt>
                <c:pt idx="69">
                  <c:v>0.70389999999999997</c:v>
                </c:pt>
                <c:pt idx="70">
                  <c:v>0.62409999999999999</c:v>
                </c:pt>
                <c:pt idx="71">
                  <c:v>0.68640000000000001</c:v>
                </c:pt>
                <c:pt idx="72">
                  <c:v>0.67449999999999999</c:v>
                </c:pt>
                <c:pt idx="73">
                  <c:v>0.70779999999999998</c:v>
                </c:pt>
                <c:pt idx="74">
                  <c:v>0.72870000000000001</c:v>
                </c:pt>
                <c:pt idx="75">
                  <c:v>0.72799999999999998</c:v>
                </c:pt>
                <c:pt idx="76">
                  <c:v>0.76529999999999998</c:v>
                </c:pt>
                <c:pt idx="77">
                  <c:v>0.74219999999999997</c:v>
                </c:pt>
                <c:pt idx="78">
                  <c:v>0.72719999999999996</c:v>
                </c:pt>
                <c:pt idx="79">
                  <c:v>0.78610000000000002</c:v>
                </c:pt>
                <c:pt idx="80">
                  <c:v>0.77070000000000005</c:v>
                </c:pt>
                <c:pt idx="81">
                  <c:v>0.77290000000000003</c:v>
                </c:pt>
                <c:pt idx="82">
                  <c:v>0.78500000000000003</c:v>
                </c:pt>
                <c:pt idx="83">
                  <c:v>0.76690000000000003</c:v>
                </c:pt>
                <c:pt idx="84">
                  <c:v>0.81040000000000001</c:v>
                </c:pt>
                <c:pt idx="85">
                  <c:v>0.84260000000000002</c:v>
                </c:pt>
                <c:pt idx="86">
                  <c:v>0.89300000000000002</c:v>
                </c:pt>
                <c:pt idx="87">
                  <c:v>0.86019999999999996</c:v>
                </c:pt>
                <c:pt idx="88">
                  <c:v>0.7601</c:v>
                </c:pt>
                <c:pt idx="89">
                  <c:v>0.71689999999999998</c:v>
                </c:pt>
                <c:pt idx="90">
                  <c:v>0.70099999999999996</c:v>
                </c:pt>
                <c:pt idx="91">
                  <c:v>0.69359999999999999</c:v>
                </c:pt>
                <c:pt idx="92">
                  <c:v>0.70150000000000001</c:v>
                </c:pt>
                <c:pt idx="93">
                  <c:v>0.76490000000000002</c:v>
                </c:pt>
                <c:pt idx="94">
                  <c:v>0.76829999999999998</c:v>
                </c:pt>
                <c:pt idx="95">
                  <c:v>0.74829999999999997</c:v>
                </c:pt>
                <c:pt idx="96">
                  <c:v>0.75419999999999998</c:v>
                </c:pt>
                <c:pt idx="97">
                  <c:v>0.75090000000000001</c:v>
                </c:pt>
                <c:pt idx="98">
                  <c:v>0.76190000000000002</c:v>
                </c:pt>
                <c:pt idx="99">
                  <c:v>0.78680000000000005</c:v>
                </c:pt>
                <c:pt idx="100">
                  <c:v>0.77990000000000004</c:v>
                </c:pt>
                <c:pt idx="101">
                  <c:v>0.78120000000000001</c:v>
                </c:pt>
                <c:pt idx="102">
                  <c:v>0.78759999999999997</c:v>
                </c:pt>
                <c:pt idx="103">
                  <c:v>0.77490000000000003</c:v>
                </c:pt>
                <c:pt idx="104">
                  <c:v>0.80730000000000002</c:v>
                </c:pt>
                <c:pt idx="105">
                  <c:v>0.83169999999999999</c:v>
                </c:pt>
                <c:pt idx="106">
                  <c:v>0.84319999999999995</c:v>
                </c:pt>
                <c:pt idx="107">
                  <c:v>0.76319999999999999</c:v>
                </c:pt>
                <c:pt idx="108">
                  <c:v>0.79110000000000003</c:v>
                </c:pt>
                <c:pt idx="109">
                  <c:v>0.8</c:v>
                </c:pt>
                <c:pt idx="110">
                  <c:v>0.83909999999999996</c:v>
                </c:pt>
                <c:pt idx="111">
                  <c:v>0.78600000000000003</c:v>
                </c:pt>
                <c:pt idx="112">
                  <c:v>0.75329999999999997</c:v>
                </c:pt>
                <c:pt idx="113">
                  <c:v>0.6986</c:v>
                </c:pt>
                <c:pt idx="114">
                  <c:v>0.71319999999999995</c:v>
                </c:pt>
                <c:pt idx="115">
                  <c:v>0.70450000000000002</c:v>
                </c:pt>
                <c:pt idx="116">
                  <c:v>0.73560000000000003</c:v>
                </c:pt>
                <c:pt idx="117">
                  <c:v>0.68010000000000004</c:v>
                </c:pt>
                <c:pt idx="118">
                  <c:v>0.69059999999999999</c:v>
                </c:pt>
                <c:pt idx="119">
                  <c:v>0.63039999999999996</c:v>
                </c:pt>
                <c:pt idx="120">
                  <c:v>0.62090000000000001</c:v>
                </c:pt>
                <c:pt idx="121">
                  <c:v>0.61260000000000003</c:v>
                </c:pt>
                <c:pt idx="122">
                  <c:v>0.65149999999999997</c:v>
                </c:pt>
                <c:pt idx="123">
                  <c:v>0.65580000000000005</c:v>
                </c:pt>
                <c:pt idx="124">
                  <c:v>0.71299999999999997</c:v>
                </c:pt>
                <c:pt idx="125">
                  <c:v>0.74770000000000003</c:v>
                </c:pt>
                <c:pt idx="126">
                  <c:v>0.86409999999999998</c:v>
                </c:pt>
                <c:pt idx="127">
                  <c:v>0.86099999999999999</c:v>
                </c:pt>
                <c:pt idx="128">
                  <c:v>0.79649999999999999</c:v>
                </c:pt>
                <c:pt idx="129">
                  <c:v>0.84760000000000002</c:v>
                </c:pt>
                <c:pt idx="130">
                  <c:v>0.9002</c:v>
                </c:pt>
                <c:pt idx="131">
                  <c:v>0.94179999999999997</c:v>
                </c:pt>
                <c:pt idx="132">
                  <c:v>1.0213000000000001</c:v>
                </c:pt>
                <c:pt idx="133">
                  <c:v>1.0367</c:v>
                </c:pt>
                <c:pt idx="134">
                  <c:v>1.0710999999999999</c:v>
                </c:pt>
                <c:pt idx="135">
                  <c:v>0.86599999999999999</c:v>
                </c:pt>
                <c:pt idx="136">
                  <c:v>0.83130000000000004</c:v>
                </c:pt>
                <c:pt idx="137">
                  <c:v>0.86350000000000005</c:v>
                </c:pt>
                <c:pt idx="138">
                  <c:v>0.84130000000000005</c:v>
                </c:pt>
                <c:pt idx="139">
                  <c:v>0.85980000000000001</c:v>
                </c:pt>
                <c:pt idx="140">
                  <c:v>0.87949999999999995</c:v>
                </c:pt>
                <c:pt idx="141">
                  <c:v>0.86880000000000002</c:v>
                </c:pt>
                <c:pt idx="142">
                  <c:v>0.91639999999999999</c:v>
                </c:pt>
                <c:pt idx="143">
                  <c:v>0.84450000000000003</c:v>
                </c:pt>
                <c:pt idx="144">
                  <c:v>0.82279999999999998</c:v>
                </c:pt>
                <c:pt idx="145">
                  <c:v>0.82110000000000005</c:v>
                </c:pt>
                <c:pt idx="146">
                  <c:v>0.82930000000000004</c:v>
                </c:pt>
                <c:pt idx="147">
                  <c:v>0.81859999999999999</c:v>
                </c:pt>
                <c:pt idx="148">
                  <c:v>0.83199999999999996</c:v>
                </c:pt>
                <c:pt idx="149">
                  <c:v>0.83879999999999999</c:v>
                </c:pt>
                <c:pt idx="150">
                  <c:v>0.80049999999999999</c:v>
                </c:pt>
                <c:pt idx="151">
                  <c:v>0.79039999999999999</c:v>
                </c:pt>
                <c:pt idx="152">
                  <c:v>0.8</c:v>
                </c:pt>
                <c:pt idx="153">
                  <c:v>0.82</c:v>
                </c:pt>
                <c:pt idx="154">
                  <c:v>0.81479999999999997</c:v>
                </c:pt>
                <c:pt idx="155">
                  <c:v>0.83930000000000005</c:v>
                </c:pt>
                <c:pt idx="156">
                  <c:v>0.82620000000000005</c:v>
                </c:pt>
                <c:pt idx="157">
                  <c:v>0.84340000000000004</c:v>
                </c:pt>
                <c:pt idx="158">
                  <c:v>0.83260000000000001</c:v>
                </c:pt>
                <c:pt idx="159">
                  <c:v>0.85</c:v>
                </c:pt>
                <c:pt idx="160">
                  <c:v>0.80049999999999999</c:v>
                </c:pt>
                <c:pt idx="161">
                  <c:v>0.79259999999999997</c:v>
                </c:pt>
                <c:pt idx="162">
                  <c:v>0.77310000000000001</c:v>
                </c:pt>
                <c:pt idx="163">
                  <c:v>0.78249999999999997</c:v>
                </c:pt>
                <c:pt idx="164">
                  <c:v>0.83450000000000002</c:v>
                </c:pt>
                <c:pt idx="165">
                  <c:v>0.87709999999999999</c:v>
                </c:pt>
                <c:pt idx="166">
                  <c:v>0.89159999999999995</c:v>
                </c:pt>
                <c:pt idx="167">
                  <c:v>0.87760000000000005</c:v>
                </c:pt>
                <c:pt idx="168">
                  <c:v>0.83560000000000001</c:v>
                </c:pt>
                <c:pt idx="169">
                  <c:v>0.85670000000000002</c:v>
                </c:pt>
                <c:pt idx="170">
                  <c:v>0.83279999999999998</c:v>
                </c:pt>
                <c:pt idx="171">
                  <c:v>0.82440000000000002</c:v>
                </c:pt>
                <c:pt idx="172">
                  <c:v>0.77490000000000003</c:v>
                </c:pt>
                <c:pt idx="173">
                  <c:v>0.79220000000000002</c:v>
                </c:pt>
                <c:pt idx="174">
                  <c:v>0.77800000000000002</c:v>
                </c:pt>
                <c:pt idx="175">
                  <c:v>0.76029999999999998</c:v>
                </c:pt>
                <c:pt idx="176">
                  <c:v>0.7621</c:v>
                </c:pt>
                <c:pt idx="177">
                  <c:v>0.77929999999999999</c:v>
                </c:pt>
                <c:pt idx="178">
                  <c:v>0.78859999999999997</c:v>
                </c:pt>
                <c:pt idx="179">
                  <c:v>0.76970000000000005</c:v>
                </c:pt>
                <c:pt idx="180">
                  <c:v>0.76019999999999999</c:v>
                </c:pt>
                <c:pt idx="181">
                  <c:v>0.75570000000000004</c:v>
                </c:pt>
                <c:pt idx="182">
                  <c:v>0.74570000000000003</c:v>
                </c:pt>
                <c:pt idx="183">
                  <c:v>0.7429</c:v>
                </c:pt>
                <c:pt idx="184">
                  <c:v>0.7571</c:v>
                </c:pt>
                <c:pt idx="185">
                  <c:v>0.68459999999999999</c:v>
                </c:pt>
                <c:pt idx="186">
                  <c:v>0.66949999999999998</c:v>
                </c:pt>
                <c:pt idx="187">
                  <c:v>0.67400000000000004</c:v>
                </c:pt>
                <c:pt idx="188">
                  <c:v>0.67</c:v>
                </c:pt>
                <c:pt idx="189">
                  <c:v>0.64190000000000003</c:v>
                </c:pt>
                <c:pt idx="190">
                  <c:v>0.68300000000000005</c:v>
                </c:pt>
                <c:pt idx="191">
                  <c:v>0.62519999999999998</c:v>
                </c:pt>
                <c:pt idx="192">
                  <c:v>0.70120000000000005</c:v>
                </c:pt>
                <c:pt idx="193">
                  <c:v>0.75</c:v>
                </c:pt>
                <c:pt idx="194">
                  <c:v>0.745</c:v>
                </c:pt>
                <c:pt idx="195">
                  <c:v>0.74819999999999998</c:v>
                </c:pt>
                <c:pt idx="196">
                  <c:v>0.76770000000000005</c:v>
                </c:pt>
                <c:pt idx="197">
                  <c:v>0.85250000000000004</c:v>
                </c:pt>
                <c:pt idx="198">
                  <c:v>0.92330000000000001</c:v>
                </c:pt>
                <c:pt idx="199">
                  <c:v>0.82630000000000003</c:v>
                </c:pt>
                <c:pt idx="200">
                  <c:v>0.78090000000000004</c:v>
                </c:pt>
                <c:pt idx="201">
                  <c:v>0.76629999999999998</c:v>
                </c:pt>
                <c:pt idx="202">
                  <c:v>0.79039999999999999</c:v>
                </c:pt>
                <c:pt idx="203">
                  <c:v>0.7641</c:v>
                </c:pt>
                <c:pt idx="204">
                  <c:v>0.78449999999999998</c:v>
                </c:pt>
                <c:pt idx="205">
                  <c:v>0.80730000000000002</c:v>
                </c:pt>
                <c:pt idx="206">
                  <c:v>0.81610000000000005</c:v>
                </c:pt>
                <c:pt idx="207">
                  <c:v>0.84630000000000005</c:v>
                </c:pt>
                <c:pt idx="208">
                  <c:v>0.86909999999999998</c:v>
                </c:pt>
                <c:pt idx="209">
                  <c:v>0.86670000000000003</c:v>
                </c:pt>
                <c:pt idx="210">
                  <c:v>0.87549999999999994</c:v>
                </c:pt>
                <c:pt idx="211">
                  <c:v>0.89419999999999999</c:v>
                </c:pt>
                <c:pt idx="212">
                  <c:v>0.75470000000000004</c:v>
                </c:pt>
                <c:pt idx="213">
                  <c:v>0.68230000000000002</c:v>
                </c:pt>
                <c:pt idx="214">
                  <c:v>0.6633</c:v>
                </c:pt>
                <c:pt idx="215">
                  <c:v>0.64780000000000004</c:v>
                </c:pt>
                <c:pt idx="216">
                  <c:v>0.64600000000000002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65-4680-A24C-B0D51682B26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-4.6714254465082847</c:v>
                </c:pt>
                <c:pt idx="1">
                  <c:v>-4.6700979938767055</c:v>
                </c:pt>
                <c:pt idx="2">
                  <c:v>-4.6431756789160756</c:v>
                </c:pt>
                <c:pt idx="3">
                  <c:v>-4.6013420421285112</c:v>
                </c:pt>
                <c:pt idx="4">
                  <c:v>-4.5773399391109679</c:v>
                </c:pt>
                <c:pt idx="5">
                  <c:v>-4.5385306601279165</c:v>
                </c:pt>
                <c:pt idx="6">
                  <c:v>-4.5084788532924733</c:v>
                </c:pt>
                <c:pt idx="7">
                  <c:v>-4.4241608008656961</c:v>
                </c:pt>
                <c:pt idx="8">
                  <c:v>-4.3772561635671172</c:v>
                </c:pt>
                <c:pt idx="9">
                  <c:v>-4.3346680283212162</c:v>
                </c:pt>
                <c:pt idx="10">
                  <c:v>-4.2523187028289886</c:v>
                </c:pt>
                <c:pt idx="11">
                  <c:v>-4.2371808390214563</c:v>
                </c:pt>
                <c:pt idx="12">
                  <c:v>-4.216002372615927</c:v>
                </c:pt>
                <c:pt idx="13">
                  <c:v>-4.2270437885692349</c:v>
                </c:pt>
                <c:pt idx="14">
                  <c:v>-4.2295145886050767</c:v>
                </c:pt>
                <c:pt idx="15">
                  <c:v>-4.1637376850673409</c:v>
                </c:pt>
                <c:pt idx="16">
                  <c:v>-4.174793302435762</c:v>
                </c:pt>
                <c:pt idx="17">
                  <c:v>-4.1489534538643333</c:v>
                </c:pt>
                <c:pt idx="18">
                  <c:v>-4.0068731651550449</c:v>
                </c:pt>
                <c:pt idx="19">
                  <c:v>-4.0143265697004988</c:v>
                </c:pt>
                <c:pt idx="20">
                  <c:v>-3.968875243509344</c:v>
                </c:pt>
                <c:pt idx="21">
                  <c:v>-3.9400657151200824</c:v>
                </c:pt>
                <c:pt idx="22">
                  <c:v>-3.9321735269821509</c:v>
                </c:pt>
                <c:pt idx="23">
                  <c:v>-3.4669568339614454</c:v>
                </c:pt>
                <c:pt idx="24">
                  <c:v>-3.460992239621822</c:v>
                </c:pt>
                <c:pt idx="25">
                  <c:v>-3.4377351634614848</c:v>
                </c:pt>
                <c:pt idx="26">
                  <c:v>-3.4097972164152215</c:v>
                </c:pt>
                <c:pt idx="27">
                  <c:v>-3.4110737649982181</c:v>
                </c:pt>
                <c:pt idx="28">
                  <c:v>-3.3328151786680684</c:v>
                </c:pt>
                <c:pt idx="29">
                  <c:v>-3.3249978231125126</c:v>
                </c:pt>
                <c:pt idx="30">
                  <c:v>-3.2800693107064975</c:v>
                </c:pt>
                <c:pt idx="31">
                  <c:v>-3.2214639050931146</c:v>
                </c:pt>
                <c:pt idx="32">
                  <c:v>-3.072643099322363</c:v>
                </c:pt>
                <c:pt idx="33">
                  <c:v>-1.9922554918796822</c:v>
                </c:pt>
                <c:pt idx="34">
                  <c:v>-2.2833682048401189</c:v>
                </c:pt>
                <c:pt idx="35">
                  <c:v>-2.2630290758763882</c:v>
                </c:pt>
                <c:pt idx="36">
                  <c:v>-2.2977224493546493</c:v>
                </c:pt>
                <c:pt idx="37">
                  <c:v>-2.2801637683981277</c:v>
                </c:pt>
                <c:pt idx="38">
                  <c:v>-2.3025907070240814</c:v>
                </c:pt>
                <c:pt idx="39">
                  <c:v>-2.304044881331774</c:v>
                </c:pt>
                <c:pt idx="40">
                  <c:v>-2.2703994645506578</c:v>
                </c:pt>
                <c:pt idx="41">
                  <c:v>-2.1972736232463097</c:v>
                </c:pt>
                <c:pt idx="42">
                  <c:v>-2.1846571553272347</c:v>
                </c:pt>
                <c:pt idx="43">
                  <c:v>-2.1702731200426819</c:v>
                </c:pt>
                <c:pt idx="44">
                  <c:v>-2.1878326787885567</c:v>
                </c:pt>
                <c:pt idx="45">
                  <c:v>-2.1746034101399077</c:v>
                </c:pt>
                <c:pt idx="46">
                  <c:v>-2.1311405260881839</c:v>
                </c:pt>
                <c:pt idx="47">
                  <c:v>-2.1488718535881839</c:v>
                </c:pt>
                <c:pt idx="48">
                  <c:v>-2.153996209466047</c:v>
                </c:pt>
                <c:pt idx="49">
                  <c:v>-1.8997069268167932</c:v>
                </c:pt>
                <c:pt idx="50">
                  <c:v>-1.8722922510819793</c:v>
                </c:pt>
                <c:pt idx="51">
                  <c:v>-1.8918785723752818</c:v>
                </c:pt>
                <c:pt idx="52">
                  <c:v>-1.8479613090172571</c:v>
                </c:pt>
                <c:pt idx="53">
                  <c:v>-1.8922775338946414</c:v>
                </c:pt>
                <c:pt idx="54">
                  <c:v>-1.8225829508458609</c:v>
                </c:pt>
                <c:pt idx="55">
                  <c:v>-1.7866084953227939</c:v>
                </c:pt>
                <c:pt idx="56">
                  <c:v>-1.758927306004612</c:v>
                </c:pt>
                <c:pt idx="57">
                  <c:v>-1.7767913470229997</c:v>
                </c:pt>
                <c:pt idx="58">
                  <c:v>-1.7400037418902561</c:v>
                </c:pt>
                <c:pt idx="59">
                  <c:v>-1.7050002821249977</c:v>
                </c:pt>
                <c:pt idx="60">
                  <c:v>-1.6826240099844223</c:v>
                </c:pt>
                <c:pt idx="61">
                  <c:v>-1.7001990022921147</c:v>
                </c:pt>
                <c:pt idx="62">
                  <c:v>-1.7142505787547608</c:v>
                </c:pt>
                <c:pt idx="63">
                  <c:v>-1.6831994562810766</c:v>
                </c:pt>
                <c:pt idx="64">
                  <c:v>-1.7135794094001693</c:v>
                </c:pt>
                <c:pt idx="65">
                  <c:v>-1.7057586902001693</c:v>
                </c:pt>
                <c:pt idx="66">
                  <c:v>-1.6796730649583897</c:v>
                </c:pt>
                <c:pt idx="67">
                  <c:v>-1.6665013768382047</c:v>
                </c:pt>
                <c:pt idx="68">
                  <c:v>-1.6548855812568093</c:v>
                </c:pt>
                <c:pt idx="69">
                  <c:v>-1.659617983915769</c:v>
                </c:pt>
                <c:pt idx="70">
                  <c:v>-1.6806581449576383</c:v>
                </c:pt>
                <c:pt idx="71">
                  <c:v>-1.6512618265576384</c:v>
                </c:pt>
                <c:pt idx="72">
                  <c:v>-1.6390246741638559</c:v>
                </c:pt>
                <c:pt idx="73">
                  <c:v>-1.6320424042517292</c:v>
                </c:pt>
                <c:pt idx="74">
                  <c:v>-1.6065775186488922</c:v>
                </c:pt>
                <c:pt idx="75">
                  <c:v>-1.6111370533688922</c:v>
                </c:pt>
                <c:pt idx="76">
                  <c:v>-1.601702344622715</c:v>
                </c:pt>
                <c:pt idx="77">
                  <c:v>-1.6440493516958854</c:v>
                </c:pt>
                <c:pt idx="78">
                  <c:v>-1.6523856532733503</c:v>
                </c:pt>
                <c:pt idx="79">
                  <c:v>-1.6146607525877712</c:v>
                </c:pt>
                <c:pt idx="80">
                  <c:v>-1.6043756046578348</c:v>
                </c:pt>
                <c:pt idx="81">
                  <c:v>-1.5796517562924501</c:v>
                </c:pt>
                <c:pt idx="82">
                  <c:v>-1.5725175414275854</c:v>
                </c:pt>
                <c:pt idx="83">
                  <c:v>-1.59572453711386</c:v>
                </c:pt>
                <c:pt idx="84">
                  <c:v>-1.564064062216741</c:v>
                </c:pt>
                <c:pt idx="85">
                  <c:v>-1.5379307480376363</c:v>
                </c:pt>
                <c:pt idx="86">
                  <c:v>-1.4898040033889877</c:v>
                </c:pt>
                <c:pt idx="87">
                  <c:v>-1.5927697496576445</c:v>
                </c:pt>
                <c:pt idx="88">
                  <c:v>-1.7312950322918899</c:v>
                </c:pt>
                <c:pt idx="89">
                  <c:v>-1.7216514930459881</c:v>
                </c:pt>
                <c:pt idx="90">
                  <c:v>-1.690916536715974</c:v>
                </c:pt>
                <c:pt idx="91">
                  <c:v>-1.6651261150943524</c:v>
                </c:pt>
                <c:pt idx="92">
                  <c:v>-1.629245125729273</c:v>
                </c:pt>
                <c:pt idx="93">
                  <c:v>-1.5181001062437021</c:v>
                </c:pt>
                <c:pt idx="94">
                  <c:v>-1.5311608460727621</c:v>
                </c:pt>
                <c:pt idx="95">
                  <c:v>-1.5486852077232476</c:v>
                </c:pt>
                <c:pt idx="96">
                  <c:v>-1.5467493577232476</c:v>
                </c:pt>
                <c:pt idx="97">
                  <c:v>-1.5636179718285106</c:v>
                </c:pt>
                <c:pt idx="98">
                  <c:v>-1.5516624999535109</c:v>
                </c:pt>
                <c:pt idx="99">
                  <c:v>-1.504732353715887</c:v>
                </c:pt>
                <c:pt idx="100">
                  <c:v>-1.4968511245219875</c:v>
                </c:pt>
                <c:pt idx="101">
                  <c:v>-1.4800011093045962</c:v>
                </c:pt>
                <c:pt idx="102">
                  <c:v>-1.4886880981934851</c:v>
                </c:pt>
                <c:pt idx="103">
                  <c:v>-1.4766873650591568</c:v>
                </c:pt>
                <c:pt idx="104">
                  <c:v>-1.4010719175794819</c:v>
                </c:pt>
                <c:pt idx="105">
                  <c:v>-1.3826783225794819</c:v>
                </c:pt>
                <c:pt idx="106">
                  <c:v>-1.3065324583980427</c:v>
                </c:pt>
                <c:pt idx="107">
                  <c:v>-1.2842860267674694</c:v>
                </c:pt>
                <c:pt idx="108">
                  <c:v>-1.2830507417401469</c:v>
                </c:pt>
                <c:pt idx="109">
                  <c:v>-1.23932471679492</c:v>
                </c:pt>
                <c:pt idx="110">
                  <c:v>-1.1930286365147098</c:v>
                </c:pt>
                <c:pt idx="111">
                  <c:v>-0.88224130179384797</c:v>
                </c:pt>
                <c:pt idx="112">
                  <c:v>-0.90768603846051488</c:v>
                </c:pt>
                <c:pt idx="113">
                  <c:v>-0.90123625004549257</c:v>
                </c:pt>
                <c:pt idx="114">
                  <c:v>-0.90205853257713831</c:v>
                </c:pt>
                <c:pt idx="115">
                  <c:v>-0.90509780535293893</c:v>
                </c:pt>
                <c:pt idx="116">
                  <c:v>-0.89110196573268596</c:v>
                </c:pt>
                <c:pt idx="117">
                  <c:v>-0.92660989563548057</c:v>
                </c:pt>
                <c:pt idx="118">
                  <c:v>-0.91466385536702421</c:v>
                </c:pt>
                <c:pt idx="119">
                  <c:v>-0.97547022215273849</c:v>
                </c:pt>
                <c:pt idx="120">
                  <c:v>-0.98684809100047521</c:v>
                </c:pt>
                <c:pt idx="121">
                  <c:v>-0.98090706220047519</c:v>
                </c:pt>
                <c:pt idx="122">
                  <c:v>-0.9217643771782531</c:v>
                </c:pt>
                <c:pt idx="123">
                  <c:v>-0.87393297884491961</c:v>
                </c:pt>
                <c:pt idx="124">
                  <c:v>-0.87078350704776675</c:v>
                </c:pt>
                <c:pt idx="125">
                  <c:v>-0.84091402751469291</c:v>
                </c:pt>
                <c:pt idx="126">
                  <c:v>-0.79072138216860399</c:v>
                </c:pt>
                <c:pt idx="127">
                  <c:v>-0.79869131775212798</c:v>
                </c:pt>
                <c:pt idx="128">
                  <c:v>-0.8386353049751708</c:v>
                </c:pt>
                <c:pt idx="129">
                  <c:v>-0.80676725608299948</c:v>
                </c:pt>
                <c:pt idx="130">
                  <c:v>-0.76750189747283004</c:v>
                </c:pt>
                <c:pt idx="131">
                  <c:v>-0.73104668842617671</c:v>
                </c:pt>
                <c:pt idx="132">
                  <c:v>-0.69539874448036798</c:v>
                </c:pt>
                <c:pt idx="133">
                  <c:v>-0.67942259049388165</c:v>
                </c:pt>
                <c:pt idx="134">
                  <c:v>-0.30445811850126125</c:v>
                </c:pt>
                <c:pt idx="135">
                  <c:v>-0.37761588285050524</c:v>
                </c:pt>
                <c:pt idx="136">
                  <c:v>-0.39415985730191577</c:v>
                </c:pt>
                <c:pt idx="137">
                  <c:v>-0.36635948457095141</c:v>
                </c:pt>
                <c:pt idx="138">
                  <c:v>-0.37557962681650886</c:v>
                </c:pt>
                <c:pt idx="139">
                  <c:v>-0.36501591499042207</c:v>
                </c:pt>
                <c:pt idx="140">
                  <c:v>-0.30257716350777231</c:v>
                </c:pt>
                <c:pt idx="141">
                  <c:v>-0.26288761850777226</c:v>
                </c:pt>
                <c:pt idx="142">
                  <c:v>-9.2254886177875431E-2</c:v>
                </c:pt>
                <c:pt idx="143">
                  <c:v>2.953259429239938E-3</c:v>
                </c:pt>
                <c:pt idx="144">
                  <c:v>-3.4313176259909831E-2</c:v>
                </c:pt>
                <c:pt idx="145">
                  <c:v>-5.6926793721838703E-2</c:v>
                </c:pt>
                <c:pt idx="146">
                  <c:v>-5.6805191861373609E-2</c:v>
                </c:pt>
                <c:pt idx="147">
                  <c:v>-7.683294976505653E-2</c:v>
                </c:pt>
                <c:pt idx="148">
                  <c:v>-3.6885216857254967E-2</c:v>
                </c:pt>
                <c:pt idx="149">
                  <c:v>4.1255469009150334E-3</c:v>
                </c:pt>
                <c:pt idx="150">
                  <c:v>-6.7816028842877926E-3</c:v>
                </c:pt>
                <c:pt idx="151">
                  <c:v>6.8664609477332508E-3</c:v>
                </c:pt>
                <c:pt idx="152">
                  <c:v>1.5840416673223497E-2</c:v>
                </c:pt>
                <c:pt idx="153">
                  <c:v>3.5995203339890175E-2</c:v>
                </c:pt>
                <c:pt idx="154">
                  <c:v>1.9654040354815629E-2</c:v>
                </c:pt>
                <c:pt idx="155">
                  <c:v>6.1377329828499937E-2</c:v>
                </c:pt>
                <c:pt idx="156">
                  <c:v>3.4013276955260477E-2</c:v>
                </c:pt>
                <c:pt idx="157">
                  <c:v>5.1152234793098217E-2</c:v>
                </c:pt>
                <c:pt idx="158">
                  <c:v>5.8914382777130014E-2</c:v>
                </c:pt>
                <c:pt idx="159">
                  <c:v>5.9347950584937817E-2</c:v>
                </c:pt>
                <c:pt idx="160">
                  <c:v>1.6667210584937819E-2</c:v>
                </c:pt>
                <c:pt idx="161">
                  <c:v>2.3444741680828322E-2</c:v>
                </c:pt>
                <c:pt idx="162">
                  <c:v>2.6726190308909808E-2</c:v>
                </c:pt>
                <c:pt idx="163">
                  <c:v>3.3584748908909806E-2</c:v>
                </c:pt>
                <c:pt idx="164">
                  <c:v>6.7162465575576508E-2</c:v>
                </c:pt>
                <c:pt idx="165">
                  <c:v>9.9503414425133926E-2</c:v>
                </c:pt>
                <c:pt idx="166">
                  <c:v>9.624894062951353E-2</c:v>
                </c:pt>
                <c:pt idx="167">
                  <c:v>9.5397554210415403E-2</c:v>
                </c:pt>
                <c:pt idx="168">
                  <c:v>6.5044148245503031E-2</c:v>
                </c:pt>
                <c:pt idx="169">
                  <c:v>7.0784876666555627E-2</c:v>
                </c:pt>
                <c:pt idx="170">
                  <c:v>5.4606899507781158E-2</c:v>
                </c:pt>
                <c:pt idx="171">
                  <c:v>6.3274002823096559E-2</c:v>
                </c:pt>
                <c:pt idx="172">
                  <c:v>4.2148680880839284E-2</c:v>
                </c:pt>
                <c:pt idx="173">
                  <c:v>5.6887838187340722E-2</c:v>
                </c:pt>
                <c:pt idx="174">
                  <c:v>6.4524928527233377E-2</c:v>
                </c:pt>
                <c:pt idx="175">
                  <c:v>5.6225920437345728E-2</c:v>
                </c:pt>
                <c:pt idx="176">
                  <c:v>5.4012646301220157E-2</c:v>
                </c:pt>
                <c:pt idx="177">
                  <c:v>6.6758341021220122E-2</c:v>
                </c:pt>
                <c:pt idx="178">
                  <c:v>6.6684794754096846E-2</c:v>
                </c:pt>
                <c:pt idx="179">
                  <c:v>6.6636400429772522E-2</c:v>
                </c:pt>
                <c:pt idx="180">
                  <c:v>8.3657670235866677E-2</c:v>
                </c:pt>
                <c:pt idx="181">
                  <c:v>8.3915954623621808E-2</c:v>
                </c:pt>
                <c:pt idx="182">
                  <c:v>6.9399540834652981E-2</c:v>
                </c:pt>
                <c:pt idx="183">
                  <c:v>6.3611686590750505E-2</c:v>
                </c:pt>
                <c:pt idx="184">
                  <c:v>5.4956578383853948E-2</c:v>
                </c:pt>
                <c:pt idx="185">
                  <c:v>2.2014062250024991E-2</c:v>
                </c:pt>
                <c:pt idx="186">
                  <c:v>3.7341934256245816E-2</c:v>
                </c:pt>
                <c:pt idx="187">
                  <c:v>3.1391425995376233E-2</c:v>
                </c:pt>
                <c:pt idx="188">
                  <c:v>3.0481373729515124E-2</c:v>
                </c:pt>
                <c:pt idx="189">
                  <c:v>2.2493525516859209E-3</c:v>
                </c:pt>
                <c:pt idx="190">
                  <c:v>2.8797951716961367E-2</c:v>
                </c:pt>
                <c:pt idx="191">
                  <c:v>1.8482809736008944E-2</c:v>
                </c:pt>
                <c:pt idx="192">
                  <c:v>4.8730417176008969E-2</c:v>
                </c:pt>
                <c:pt idx="193">
                  <c:v>6.7609317463778684E-2</c:v>
                </c:pt>
                <c:pt idx="194">
                  <c:v>8.2207254296623233E-2</c:v>
                </c:pt>
                <c:pt idx="195">
                  <c:v>8.1062385278441465E-2</c:v>
                </c:pt>
                <c:pt idx="196">
                  <c:v>0.11534509527844142</c:v>
                </c:pt>
                <c:pt idx="197">
                  <c:v>0.15197659478308537</c:v>
                </c:pt>
                <c:pt idx="198">
                  <c:v>0.20250860588861286</c:v>
                </c:pt>
                <c:pt idx="199">
                  <c:v>0.14188631818160646</c:v>
                </c:pt>
                <c:pt idx="200">
                  <c:v>0.13056662347890372</c:v>
                </c:pt>
                <c:pt idx="201">
                  <c:v>0.12448015941319529</c:v>
                </c:pt>
                <c:pt idx="202">
                  <c:v>0.1331203254505785</c:v>
                </c:pt>
                <c:pt idx="203">
                  <c:v>0.1214467079200907</c:v>
                </c:pt>
                <c:pt idx="204">
                  <c:v>0.14160774929449826</c:v>
                </c:pt>
                <c:pt idx="205">
                  <c:v>0.17106319342057283</c:v>
                </c:pt>
                <c:pt idx="206">
                  <c:v>0.17844016908788421</c:v>
                </c:pt>
                <c:pt idx="207">
                  <c:v>0.19486637714822902</c:v>
                </c:pt>
                <c:pt idx="208">
                  <c:v>0.2281469918215957</c:v>
                </c:pt>
                <c:pt idx="209">
                  <c:v>0.22293796993677886</c:v>
                </c:pt>
                <c:pt idx="210">
                  <c:v>0.18900307657516699</c:v>
                </c:pt>
                <c:pt idx="211">
                  <c:v>0.15495264496226388</c:v>
                </c:pt>
                <c:pt idx="212">
                  <c:v>6.5951939052270522E-2</c:v>
                </c:pt>
                <c:pt idx="213">
                  <c:v>5.180631010273392E-2</c:v>
                </c:pt>
                <c:pt idx="214">
                  <c:v>3.4663606740288427E-2</c:v>
                </c:pt>
                <c:pt idx="215">
                  <c:v>-1.5977543259711569E-2</c:v>
                </c:pt>
                <c:pt idx="216">
                  <c:v>-2.1033559958368021E-2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65-4680-A24C-B0D51682B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914032"/>
        <c:axId val="585902384"/>
      </c:lineChart>
      <c:dateAx>
        <c:axId val="5859140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902384"/>
        <c:crosses val="autoZero"/>
        <c:auto val="1"/>
        <c:lblOffset val="100"/>
        <c:baseTimeUnit val="days"/>
      </c:dateAx>
      <c:valAx>
        <c:axId val="58590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5914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1C9C165-9ADD-4131-90BA-4F6F3F081A07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BB9E14-614F-41E0-BB5C-F5395872D92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1.2452000000000001</v>
      </c>
      <c r="D2" s="4">
        <f>MIN(D3:D1912)</f>
        <v>0.22739999999999999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0.2492</v>
      </c>
      <c r="C5">
        <v>0.25</v>
      </c>
      <c r="D5">
        <v>0.24429999999999999</v>
      </c>
      <c r="E5">
        <v>0.24490000000000001</v>
      </c>
      <c r="F5">
        <v>168144</v>
      </c>
      <c r="G5">
        <v>0.24490000000000001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-0.78947368421052067</v>
      </c>
      <c r="Q5">
        <f t="shared" ref="Q5" si="1">F5*P5</f>
        <v>-132745.26315789379</v>
      </c>
      <c r="R5">
        <f t="shared" ref="R5" si="2">R6+Q5</f>
        <v>-467142544.65082848</v>
      </c>
      <c r="S5">
        <f t="shared" ref="S5" si="3">R5/100000</f>
        <v>-4671.4254465082849</v>
      </c>
      <c r="T5">
        <f t="shared" ref="T5" si="4">S5/1000</f>
        <v>-4.6714254465082847</v>
      </c>
    </row>
    <row r="6" spans="1:20" x14ac:dyDescent="0.25">
      <c r="A6" s="5">
        <v>44587</v>
      </c>
      <c r="B6">
        <v>0.24399999999999999</v>
      </c>
      <c r="C6">
        <v>0.26690000000000003</v>
      </c>
      <c r="D6">
        <v>0.24149999999999999</v>
      </c>
      <c r="E6">
        <v>0.2492</v>
      </c>
      <c r="F6">
        <v>6838268</v>
      </c>
      <c r="G6">
        <v>0.2492</v>
      </c>
      <c r="L6" t="s">
        <v>8</v>
      </c>
      <c r="M6" t="s">
        <v>7</v>
      </c>
      <c r="N6" t="s">
        <v>7</v>
      </c>
      <c r="P6">
        <f t="shared" ref="P6" si="5">IF(C6=D6,0,((E6-D6)-(C6-E6))/(C6-D6))</f>
        <v>-0.3937007874015746</v>
      </c>
      <c r="Q6">
        <f t="shared" ref="Q6" si="6">F6*P6</f>
        <v>-2692231.4960629907</v>
      </c>
      <c r="R6">
        <f t="shared" ref="R6" si="7">R7+Q6</f>
        <v>-467009799.38767058</v>
      </c>
      <c r="S6">
        <f t="shared" ref="S6" si="8">R6/100000</f>
        <v>-4670.0979938767059</v>
      </c>
      <c r="T6">
        <f t="shared" ref="T6" si="9">S6/1000</f>
        <v>-4.6700979938767055</v>
      </c>
    </row>
    <row r="7" spans="1:20" x14ac:dyDescent="0.25">
      <c r="A7" s="5">
        <v>44586</v>
      </c>
      <c r="B7">
        <v>0.2555</v>
      </c>
      <c r="C7">
        <v>0.25879999999999997</v>
      </c>
      <c r="D7">
        <v>0.23949999999999999</v>
      </c>
      <c r="E7">
        <v>0.24399999999999999</v>
      </c>
      <c r="F7">
        <v>7838730</v>
      </c>
      <c r="G7">
        <v>0.24399999999999999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-0.53367875647668317</v>
      </c>
      <c r="Q7">
        <f t="shared" ref="Q7" si="11">F7*P7</f>
        <v>-4183363.6787564708</v>
      </c>
      <c r="R7">
        <f t="shared" ref="R7" si="12">R8+Q7</f>
        <v>-464317567.89160758</v>
      </c>
      <c r="S7">
        <f t="shared" ref="S7" si="13">R7/100000</f>
        <v>-4643.1756789160754</v>
      </c>
      <c r="T7">
        <f t="shared" ref="T7" si="14">S7/1000</f>
        <v>-4.6431756789160756</v>
      </c>
    </row>
    <row r="8" spans="1:20" x14ac:dyDescent="0.25">
      <c r="A8" s="5">
        <v>44585</v>
      </c>
      <c r="B8">
        <v>0.26910000000000001</v>
      </c>
      <c r="C8">
        <v>0.28749999999999998</v>
      </c>
      <c r="D8">
        <v>0.23050000000000001</v>
      </c>
      <c r="E8">
        <v>0.25580000000000003</v>
      </c>
      <c r="F8">
        <v>21376873</v>
      </c>
      <c r="G8">
        <v>0.25580000000000003</v>
      </c>
      <c r="L8" t="s">
        <v>7</v>
      </c>
      <c r="M8" t="s">
        <v>7</v>
      </c>
      <c r="N8" t="s">
        <v>7</v>
      </c>
      <c r="P8">
        <f t="shared" ref="P8" si="15">IF(C8=D8,0,((E8-D8)-(C8-E8))/(C8-D8))</f>
        <v>-0.11228070175438486</v>
      </c>
      <c r="Q8">
        <f t="shared" ref="Q8" si="16">F8*P8</f>
        <v>-2400210.3017543624</v>
      </c>
      <c r="R8">
        <f t="shared" ref="R8" si="17">R9+Q8</f>
        <v>-460134204.21285111</v>
      </c>
      <c r="S8">
        <f t="shared" ref="S8" si="18">R8/100000</f>
        <v>-4601.3420421285109</v>
      </c>
      <c r="T8">
        <f t="shared" ref="T8" si="19">S8/1000</f>
        <v>-4.6013420421285112</v>
      </c>
    </row>
    <row r="9" spans="1:20" x14ac:dyDescent="0.25">
      <c r="A9" s="5">
        <v>44584</v>
      </c>
      <c r="B9">
        <v>0.24440000000000001</v>
      </c>
      <c r="C9">
        <v>0.309</v>
      </c>
      <c r="D9">
        <v>0.24410000000000001</v>
      </c>
      <c r="E9">
        <v>0.26939999999999997</v>
      </c>
      <c r="F9">
        <v>17613442</v>
      </c>
      <c r="G9">
        <v>0.26939999999999997</v>
      </c>
      <c r="L9" t="s">
        <v>8</v>
      </c>
      <c r="M9" t="s">
        <v>8</v>
      </c>
      <c r="N9" t="s">
        <v>7</v>
      </c>
      <c r="P9">
        <f t="shared" ref="P9" si="20">IF(C9=D9,0,((E9-D9)-(C9-E9))/(C9-D9))</f>
        <v>-0.22033898305084848</v>
      </c>
      <c r="Q9">
        <f t="shared" ref="Q9" si="21">F9*P9</f>
        <v>-3880927.8983051027</v>
      </c>
      <c r="R9">
        <f t="shared" ref="R9" si="22">R10+Q9</f>
        <v>-457733993.91109675</v>
      </c>
      <c r="S9">
        <f t="shared" ref="S9" si="23">R9/100000</f>
        <v>-4577.3399391109679</v>
      </c>
      <c r="T9">
        <f t="shared" ref="T9" si="24">S9/1000</f>
        <v>-4.5773399391109679</v>
      </c>
    </row>
    <row r="10" spans="1:20" x14ac:dyDescent="0.25">
      <c r="A10" s="5">
        <v>44583</v>
      </c>
      <c r="B10">
        <v>0.26939999999999997</v>
      </c>
      <c r="C10">
        <v>0.27479999999999999</v>
      </c>
      <c r="D10">
        <v>0.22739999999999999</v>
      </c>
      <c r="E10">
        <v>0.24440000000000001</v>
      </c>
      <c r="F10">
        <v>10630266</v>
      </c>
      <c r="G10">
        <v>0.24440000000000001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-0.28270042194092759</v>
      </c>
      <c r="Q10">
        <f t="shared" ref="Q10" si="26">F10*P10</f>
        <v>-3005180.6835442968</v>
      </c>
      <c r="R10">
        <f t="shared" ref="R10" si="27">R11+Q10</f>
        <v>-453853066.01279163</v>
      </c>
      <c r="S10">
        <f t="shared" ref="S10" si="28">R10/100000</f>
        <v>-4538.5306601279162</v>
      </c>
      <c r="T10">
        <f t="shared" ref="T10" si="29">S10/1000</f>
        <v>-4.5385306601279165</v>
      </c>
    </row>
    <row r="11" spans="1:20" x14ac:dyDescent="0.25">
      <c r="A11" s="5">
        <v>44582</v>
      </c>
      <c r="B11">
        <v>0.32600000000000001</v>
      </c>
      <c r="C11">
        <v>0.33479999999999999</v>
      </c>
      <c r="D11">
        <v>0.2631</v>
      </c>
      <c r="E11">
        <v>0.26939999999999997</v>
      </c>
      <c r="F11">
        <v>10229449</v>
      </c>
      <c r="G11">
        <v>0.26939999999999997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-0.82426778242677901</v>
      </c>
      <c r="Q11">
        <f t="shared" ref="Q11" si="31">F11*P11</f>
        <v>-8431805.242677832</v>
      </c>
      <c r="R11">
        <f t="shared" ref="R11" si="32">R12+Q11</f>
        <v>-450847885.32924736</v>
      </c>
      <c r="S11">
        <f t="shared" ref="S11" si="33">R11/100000</f>
        <v>-4508.4788532924731</v>
      </c>
      <c r="T11">
        <f t="shared" ref="T11" si="34">S11/1000</f>
        <v>-4.5084788532924733</v>
      </c>
    </row>
    <row r="12" spans="1:20" x14ac:dyDescent="0.25">
      <c r="A12" s="5">
        <v>44581</v>
      </c>
      <c r="B12">
        <v>0.34849999999999998</v>
      </c>
      <c r="C12">
        <v>0.36480000000000001</v>
      </c>
      <c r="D12">
        <v>0.3226</v>
      </c>
      <c r="E12">
        <v>0.32640000000000002</v>
      </c>
      <c r="F12">
        <v>5720739</v>
      </c>
      <c r="G12">
        <v>0.32640000000000002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-0.81990521327014099</v>
      </c>
      <c r="Q12">
        <f t="shared" ref="Q12" si="36">F12*P12</f>
        <v>-4690463.7298578126</v>
      </c>
      <c r="R12">
        <f t="shared" ref="R12" si="37">R13+Q12</f>
        <v>-442416080.08656955</v>
      </c>
      <c r="S12">
        <f t="shared" ref="S12" si="38">R12/100000</f>
        <v>-4424.1608008656958</v>
      </c>
      <c r="T12">
        <f t="shared" ref="T12" si="39">S12/1000</f>
        <v>-4.4241608008656961</v>
      </c>
    </row>
    <row r="13" spans="1:20" x14ac:dyDescent="0.25">
      <c r="A13" s="5">
        <v>44580</v>
      </c>
      <c r="B13">
        <v>0.375</v>
      </c>
      <c r="C13">
        <v>0.37630000000000002</v>
      </c>
      <c r="D13">
        <v>0.3458</v>
      </c>
      <c r="E13">
        <v>0.3483</v>
      </c>
      <c r="F13">
        <v>5093875</v>
      </c>
      <c r="G13">
        <v>0.3483</v>
      </c>
      <c r="L13" t="s">
        <v>8</v>
      </c>
      <c r="M13" t="s">
        <v>7</v>
      </c>
      <c r="N13" t="s">
        <v>7</v>
      </c>
      <c r="P13">
        <f t="shared" ref="P13" si="40">IF(C13=D13,0,((E13-D13)-(C13-E13))/(C13-D13))</f>
        <v>-0.83606557377049184</v>
      </c>
      <c r="Q13">
        <f t="shared" ref="Q13" si="41">F13*P13</f>
        <v>-4258813.5245901644</v>
      </c>
      <c r="R13">
        <f t="shared" ref="R13" si="42">R14+Q13</f>
        <v>-437725616.35671175</v>
      </c>
      <c r="S13">
        <f t="shared" ref="S13" si="43">R13/100000</f>
        <v>-4377.2561635671173</v>
      </c>
      <c r="T13">
        <f t="shared" ref="T13" si="44">S13/1000</f>
        <v>-4.3772561635671172</v>
      </c>
    </row>
    <row r="14" spans="1:20" x14ac:dyDescent="0.25">
      <c r="A14" s="5">
        <v>44579</v>
      </c>
      <c r="B14">
        <v>0.34949999999999998</v>
      </c>
      <c r="C14">
        <v>0.43469999999999998</v>
      </c>
      <c r="D14">
        <v>0.3382</v>
      </c>
      <c r="E14">
        <v>0.375</v>
      </c>
      <c r="F14">
        <v>34701790</v>
      </c>
      <c r="G14">
        <v>0.375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-0.23730569948186508</v>
      </c>
      <c r="Q14">
        <f t="shared" ref="Q14" si="46">F14*P14</f>
        <v>-8234932.5492227906</v>
      </c>
      <c r="R14">
        <f t="shared" ref="R14" si="47">R15+Q14</f>
        <v>-433466802.83212161</v>
      </c>
      <c r="S14">
        <f t="shared" ref="S14" si="48">R14/100000</f>
        <v>-4334.6680283212163</v>
      </c>
      <c r="T14">
        <f t="shared" ref="T14" si="49">S14/1000</f>
        <v>-4.3346680283212162</v>
      </c>
    </row>
    <row r="15" spans="1:20" x14ac:dyDescent="0.25">
      <c r="A15" s="5">
        <v>44578</v>
      </c>
      <c r="B15">
        <v>0.36599999999999999</v>
      </c>
      <c r="C15">
        <v>0.36720000000000003</v>
      </c>
      <c r="D15">
        <v>0.34329999999999999</v>
      </c>
      <c r="E15">
        <v>0.34949999999999998</v>
      </c>
      <c r="F15">
        <v>3146043</v>
      </c>
      <c r="G15">
        <v>0.34949999999999998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-0.4811715481171569</v>
      </c>
      <c r="Q15">
        <f t="shared" ref="Q15" si="51">F15*P15</f>
        <v>-1513786.3807531446</v>
      </c>
      <c r="R15">
        <f t="shared" ref="R15" si="52">R16+Q15</f>
        <v>-425231870.28289884</v>
      </c>
      <c r="S15">
        <f t="shared" ref="S15" si="53">R15/100000</f>
        <v>-4252.3187028289885</v>
      </c>
      <c r="T15">
        <f t="shared" ref="T15" si="54">S15/1000</f>
        <v>-4.2523187028289886</v>
      </c>
    </row>
    <row r="16" spans="1:20" x14ac:dyDescent="0.25">
      <c r="A16" s="5">
        <v>44577</v>
      </c>
      <c r="B16">
        <v>0.37769999999999998</v>
      </c>
      <c r="C16">
        <v>0.38469999999999999</v>
      </c>
      <c r="D16">
        <v>0.36299999999999999</v>
      </c>
      <c r="E16">
        <v>0.36680000000000001</v>
      </c>
      <c r="F16">
        <v>3259381</v>
      </c>
      <c r="G16">
        <v>0.36680000000000001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-0.64976958525345385</v>
      </c>
      <c r="Q16">
        <f t="shared" ref="Q16" si="56">F16*P16</f>
        <v>-2117846.6405529878</v>
      </c>
      <c r="R16">
        <f t="shared" ref="R16" si="57">R17+Q16</f>
        <v>-423718083.90214568</v>
      </c>
      <c r="S16">
        <f t="shared" ref="S16" si="58">R16/100000</f>
        <v>-4237.1808390214564</v>
      </c>
      <c r="T16">
        <f t="shared" ref="T16" si="59">S16/1000</f>
        <v>-4.2371808390214563</v>
      </c>
    </row>
    <row r="17" spans="1:20" x14ac:dyDescent="0.25">
      <c r="A17" s="5">
        <v>44576</v>
      </c>
      <c r="B17">
        <v>0.36580000000000001</v>
      </c>
      <c r="C17">
        <v>0.38829999999999998</v>
      </c>
      <c r="D17">
        <v>0.36259999999999998</v>
      </c>
      <c r="E17">
        <v>0.37790000000000001</v>
      </c>
      <c r="F17">
        <v>5791110</v>
      </c>
      <c r="G17">
        <v>0.37790000000000001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0.19066147859922455</v>
      </c>
      <c r="Q17">
        <f t="shared" ref="Q17" si="61">F17*P17</f>
        <v>1104141.5953307552</v>
      </c>
      <c r="R17">
        <f t="shared" ref="R17" si="62">R18+Q17</f>
        <v>-421600237.26159269</v>
      </c>
      <c r="S17">
        <f t="shared" ref="S17" si="63">R17/100000</f>
        <v>-4216.002372615927</v>
      </c>
      <c r="T17">
        <f t="shared" ref="T17" si="64">S17/1000</f>
        <v>-4.216002372615927</v>
      </c>
    </row>
    <row r="18" spans="1:20" x14ac:dyDescent="0.25">
      <c r="A18" s="5">
        <v>44575</v>
      </c>
      <c r="B18">
        <v>0.35730000000000001</v>
      </c>
      <c r="C18">
        <v>0.37940000000000002</v>
      </c>
      <c r="D18">
        <v>0.35149999999999998</v>
      </c>
      <c r="E18">
        <v>0.36609999999999998</v>
      </c>
      <c r="F18">
        <v>5302717</v>
      </c>
      <c r="G18">
        <v>0.36609999999999998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4.6594982078851835E-2</v>
      </c>
      <c r="Q18">
        <f t="shared" ref="Q18" si="66">F18*P18</f>
        <v>247080.00358422296</v>
      </c>
      <c r="R18">
        <f t="shared" ref="R18" si="67">R19+Q18</f>
        <v>-422704378.85692346</v>
      </c>
      <c r="S18">
        <f t="shared" ref="S18" si="68">R18/100000</f>
        <v>-4227.0437885692345</v>
      </c>
      <c r="T18">
        <f t="shared" ref="T18" si="69">S18/1000</f>
        <v>-4.2270437885692349</v>
      </c>
    </row>
    <row r="19" spans="1:20" x14ac:dyDescent="0.25">
      <c r="A19" s="5">
        <v>44574</v>
      </c>
      <c r="B19">
        <v>0.37730000000000002</v>
      </c>
      <c r="C19">
        <v>0.39789999999999998</v>
      </c>
      <c r="D19">
        <v>0.35549999999999998</v>
      </c>
      <c r="E19">
        <v>0.3574</v>
      </c>
      <c r="F19">
        <v>7225235</v>
      </c>
      <c r="G19">
        <v>0.3574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-0.91037735849056545</v>
      </c>
      <c r="Q19">
        <f t="shared" ref="Q19" si="71">F19*P19</f>
        <v>-6577690.3537735809</v>
      </c>
      <c r="R19">
        <f t="shared" ref="R19" si="72">R20+Q19</f>
        <v>-422951458.86050767</v>
      </c>
      <c r="S19">
        <f t="shared" ref="S19" si="73">R19/100000</f>
        <v>-4229.5145886050768</v>
      </c>
      <c r="T19">
        <f t="shared" ref="T19" si="74">S19/1000</f>
        <v>-4.2295145886050767</v>
      </c>
    </row>
    <row r="20" spans="1:20" x14ac:dyDescent="0.25">
      <c r="A20" s="5">
        <v>44573</v>
      </c>
      <c r="B20">
        <v>0.36259999999999998</v>
      </c>
      <c r="C20">
        <v>0.39050000000000001</v>
      </c>
      <c r="D20">
        <v>0.36009999999999998</v>
      </c>
      <c r="E20">
        <v>0.37769999999999998</v>
      </c>
      <c r="F20">
        <v>7001891</v>
      </c>
      <c r="G20">
        <v>0.37769999999999998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0.15789473684210412</v>
      </c>
      <c r="Q20">
        <f t="shared" ref="Q20" si="76">F20*P20</f>
        <v>1105561.7368420972</v>
      </c>
      <c r="R20">
        <f t="shared" ref="R20" si="77">R21+Q20</f>
        <v>-416373768.50673407</v>
      </c>
      <c r="S20">
        <f t="shared" ref="S20" si="78">R20/100000</f>
        <v>-4163.7376850673409</v>
      </c>
      <c r="T20">
        <f t="shared" ref="T20" si="79">S20/1000</f>
        <v>-4.1637376850673409</v>
      </c>
    </row>
    <row r="21" spans="1:20" x14ac:dyDescent="0.25">
      <c r="A21" s="5">
        <v>44572</v>
      </c>
      <c r="B21">
        <v>0.34360000000000002</v>
      </c>
      <c r="C21">
        <v>0.4</v>
      </c>
      <c r="D21">
        <v>0.34050000000000002</v>
      </c>
      <c r="E21">
        <v>0.36259999999999998</v>
      </c>
      <c r="F21">
        <v>10048830</v>
      </c>
      <c r="G21">
        <v>0.36259999999999998</v>
      </c>
      <c r="L21" t="s">
        <v>7</v>
      </c>
      <c r="M21" t="s">
        <v>8</v>
      </c>
      <c r="N21" t="s">
        <v>7</v>
      </c>
      <c r="P21">
        <f t="shared" ref="P21" si="80">IF(C21=D21,0,((E21-D21)-(C21-E21))/(C21-D21))</f>
        <v>-0.25714285714285867</v>
      </c>
      <c r="Q21">
        <f t="shared" ref="Q21" si="81">F21*P21</f>
        <v>-2583984.8571428726</v>
      </c>
      <c r="R21">
        <f t="shared" ref="R21" si="82">R22+Q21</f>
        <v>-417479330.24357617</v>
      </c>
      <c r="S21">
        <f t="shared" ref="S21" si="83">R21/100000</f>
        <v>-4174.7933024357617</v>
      </c>
      <c r="T21">
        <f t="shared" ref="T21" si="84">S21/1000</f>
        <v>-4.174793302435762</v>
      </c>
    </row>
    <row r="22" spans="1:20" x14ac:dyDescent="0.25">
      <c r="A22" s="5">
        <v>44571</v>
      </c>
      <c r="B22">
        <v>0.36020000000000002</v>
      </c>
      <c r="C22">
        <v>0.41789999999999999</v>
      </c>
      <c r="D22">
        <v>0.33500000000000002</v>
      </c>
      <c r="E22">
        <v>0.34350000000000003</v>
      </c>
      <c r="F22">
        <v>17873226</v>
      </c>
      <c r="G22">
        <v>0.34350000000000003</v>
      </c>
      <c r="L22" t="s">
        <v>8</v>
      </c>
      <c r="M22" t="s">
        <v>7</v>
      </c>
      <c r="N22" t="s">
        <v>7</v>
      </c>
      <c r="P22">
        <f t="shared" ref="P22" si="85">IF(C22=D22,0,((E22-D22)-(C22-E22))/(C22-D22))</f>
        <v>-0.79493365500603108</v>
      </c>
      <c r="Q22">
        <f t="shared" ref="Q22" si="86">F22*P22</f>
        <v>-14208028.870928824</v>
      </c>
      <c r="R22">
        <f t="shared" ref="R22" si="87">R23+Q22</f>
        <v>-414895345.3864333</v>
      </c>
      <c r="S22">
        <f t="shared" ref="S22" si="88">R22/100000</f>
        <v>-4148.9534538643329</v>
      </c>
      <c r="T22">
        <f t="shared" ref="T22" si="89">S22/1000</f>
        <v>-4.1489534538643333</v>
      </c>
    </row>
    <row r="23" spans="1:20" x14ac:dyDescent="0.25">
      <c r="A23" s="5">
        <v>44570</v>
      </c>
      <c r="B23">
        <v>0.35070000000000001</v>
      </c>
      <c r="C23">
        <v>0.36799999999999999</v>
      </c>
      <c r="D23">
        <v>0.34820000000000001</v>
      </c>
      <c r="E23">
        <v>0.36080000000000001</v>
      </c>
      <c r="F23">
        <v>2732915</v>
      </c>
      <c r="G23">
        <v>0.36080000000000001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0.27272727272727376</v>
      </c>
      <c r="Q23">
        <f t="shared" ref="Q23" si="91">F23*P23</f>
        <v>745340.45454545738</v>
      </c>
      <c r="R23">
        <f t="shared" ref="R23" si="92">R24+Q23</f>
        <v>-400687316.51550448</v>
      </c>
      <c r="S23">
        <f t="shared" ref="S23" si="93">R23/100000</f>
        <v>-4006.8731651550447</v>
      </c>
      <c r="T23">
        <f t="shared" ref="T23" si="94">S23/1000</f>
        <v>-4.0068731651550449</v>
      </c>
    </row>
    <row r="24" spans="1:20" x14ac:dyDescent="0.25">
      <c r="A24" s="5">
        <v>44569</v>
      </c>
      <c r="B24">
        <v>0.36749999999999999</v>
      </c>
      <c r="C24">
        <v>0.41199999999999998</v>
      </c>
      <c r="D24">
        <v>0.34189999999999998</v>
      </c>
      <c r="E24">
        <v>0.3508</v>
      </c>
      <c r="F24">
        <v>6092042</v>
      </c>
      <c r="G24">
        <v>0.3508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-0.74607703281027049</v>
      </c>
      <c r="Q24">
        <f t="shared" ref="Q24" si="96">F24*P24</f>
        <v>-4545132.6191155454</v>
      </c>
      <c r="R24">
        <f t="shared" ref="R24" si="97">R25+Q24</f>
        <v>-401432656.97004992</v>
      </c>
      <c r="S24">
        <f t="shared" ref="S24" si="98">R24/100000</f>
        <v>-4014.326569700499</v>
      </c>
      <c r="T24">
        <f t="shared" ref="T24" si="99">S24/1000</f>
        <v>-4.0143265697004988</v>
      </c>
    </row>
    <row r="25" spans="1:20" x14ac:dyDescent="0.25">
      <c r="A25" s="5">
        <v>44568</v>
      </c>
      <c r="B25">
        <v>0.38450000000000001</v>
      </c>
      <c r="C25">
        <v>0.39040000000000002</v>
      </c>
      <c r="D25">
        <v>0.36059999999999998</v>
      </c>
      <c r="E25">
        <v>0.36720000000000003</v>
      </c>
      <c r="F25">
        <v>5171831</v>
      </c>
      <c r="G25">
        <v>0.36720000000000003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-0.55704697986576912</v>
      </c>
      <c r="Q25">
        <f t="shared" ref="Q25" si="101">F25*P25</f>
        <v>-2880952.8389261607</v>
      </c>
      <c r="R25">
        <f t="shared" ref="R25" si="102">R26+Q25</f>
        <v>-396887524.35093439</v>
      </c>
      <c r="S25">
        <f t="shared" ref="S25" si="103">R25/100000</f>
        <v>-3968.8752435093438</v>
      </c>
      <c r="T25">
        <f t="shared" ref="T25" si="104">S25/1000</f>
        <v>-3.968875243509344</v>
      </c>
    </row>
    <row r="26" spans="1:20" x14ac:dyDescent="0.25">
      <c r="A26" s="5">
        <v>44567</v>
      </c>
      <c r="B26">
        <v>0.39510000000000001</v>
      </c>
      <c r="C26">
        <v>0.4007</v>
      </c>
      <c r="D26">
        <v>0.37169999999999997</v>
      </c>
      <c r="E26">
        <v>0.38529999999999998</v>
      </c>
      <c r="F26">
        <v>12715192</v>
      </c>
      <c r="G26">
        <v>0.38529999999999998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-6.2068965517242142E-2</v>
      </c>
      <c r="Q26">
        <f t="shared" ref="Q26" si="106">F26*P26</f>
        <v>-789218.81379311311</v>
      </c>
      <c r="R26">
        <f t="shared" ref="R26" si="107">R27+Q26</f>
        <v>-394006571.51200825</v>
      </c>
      <c r="S26">
        <f t="shared" ref="S26" si="108">R26/100000</f>
        <v>-3940.0657151200826</v>
      </c>
      <c r="T26">
        <f t="shared" ref="T26" si="109">S26/1000</f>
        <v>-3.9400657151200824</v>
      </c>
    </row>
    <row r="27" spans="1:20" x14ac:dyDescent="0.25">
      <c r="A27" s="5">
        <v>44566</v>
      </c>
      <c r="B27">
        <v>0.4093</v>
      </c>
      <c r="C27">
        <v>0.54490000000000005</v>
      </c>
      <c r="D27">
        <v>0.38069999999999998</v>
      </c>
      <c r="E27">
        <v>0.39550000000000002</v>
      </c>
      <c r="F27">
        <v>56752289</v>
      </c>
      <c r="G27">
        <v>0.39550000000000002</v>
      </c>
      <c r="L27" t="s">
        <v>7</v>
      </c>
      <c r="M27" t="s">
        <v>8</v>
      </c>
      <c r="N27" t="s">
        <v>7</v>
      </c>
      <c r="P27">
        <f t="shared" ref="P27" si="110">IF(C27=D27,0,((E27-D27)-(C27-E27))/(C27-D27))</f>
        <v>-0.81973203410474993</v>
      </c>
      <c r="Q27">
        <f t="shared" ref="Q27" si="111">F27*P27</f>
        <v>-46521669.302070625</v>
      </c>
      <c r="R27">
        <f t="shared" ref="R27" si="112">R28+Q27</f>
        <v>-393217352.69821513</v>
      </c>
      <c r="S27">
        <f t="shared" ref="S27" si="113">R27/100000</f>
        <v>-3932.1735269821511</v>
      </c>
      <c r="T27">
        <f t="shared" ref="T27" si="114">S27/1000</f>
        <v>-3.9321735269821509</v>
      </c>
    </row>
    <row r="28" spans="1:20" x14ac:dyDescent="0.25">
      <c r="A28" s="5">
        <v>44565</v>
      </c>
      <c r="B28">
        <v>0.4133</v>
      </c>
      <c r="C28">
        <v>0.41899999999999998</v>
      </c>
      <c r="D28">
        <v>0.40310000000000001</v>
      </c>
      <c r="E28">
        <v>0.40939999999999999</v>
      </c>
      <c r="F28">
        <v>2873850</v>
      </c>
      <c r="G28">
        <v>0.40939999999999999</v>
      </c>
      <c r="L28" t="s">
        <v>7</v>
      </c>
      <c r="M28" t="s">
        <v>8</v>
      </c>
      <c r="N28" t="s">
        <v>7</v>
      </c>
      <c r="P28">
        <f t="shared" ref="P28" si="115">IF(C28=D28,0,((E28-D28)-(C28-E28))/(C28-D28))</f>
        <v>-0.20754716981132273</v>
      </c>
      <c r="Q28">
        <f t="shared" ref="Q28" si="116">F28*P28</f>
        <v>-596459.4339622698</v>
      </c>
      <c r="R28">
        <f t="shared" ref="R28" si="117">R29+Q28</f>
        <v>-346695683.39614451</v>
      </c>
      <c r="S28">
        <f t="shared" ref="S28" si="118">R28/100000</f>
        <v>-3466.9568339614452</v>
      </c>
      <c r="T28">
        <f t="shared" ref="T28" si="119">S28/1000</f>
        <v>-3.4669568339614454</v>
      </c>
    </row>
    <row r="29" spans="1:20" x14ac:dyDescent="0.25">
      <c r="A29" s="5">
        <v>44564</v>
      </c>
      <c r="B29">
        <v>0.4173</v>
      </c>
      <c r="C29">
        <v>0.43380000000000002</v>
      </c>
      <c r="D29">
        <v>0.41010000000000002</v>
      </c>
      <c r="E29">
        <v>0.4133</v>
      </c>
      <c r="F29">
        <v>3186085</v>
      </c>
      <c r="G29">
        <v>0.4133</v>
      </c>
      <c r="L29" t="s">
        <v>7</v>
      </c>
      <c r="M29" t="s">
        <v>8</v>
      </c>
      <c r="N29" t="s">
        <v>7</v>
      </c>
      <c r="P29">
        <f t="shared" ref="P29" si="120">IF(C29=D29,0,((E29-D29)-(C29-E29))/(C29-D29))</f>
        <v>-0.72995780590717463</v>
      </c>
      <c r="Q29">
        <f t="shared" ref="Q29" si="121">F29*P29</f>
        <v>-2325707.6160337604</v>
      </c>
      <c r="R29">
        <f t="shared" ref="R29" si="122">R30+Q29</f>
        <v>-346099223.96218222</v>
      </c>
      <c r="S29">
        <f t="shared" ref="S29" si="123">R29/100000</f>
        <v>-3460.9922396218221</v>
      </c>
      <c r="T29">
        <f t="shared" ref="T29" si="124">S29/1000</f>
        <v>-3.460992239621822</v>
      </c>
    </row>
    <row r="30" spans="1:20" x14ac:dyDescent="0.25">
      <c r="A30" s="5">
        <v>44563</v>
      </c>
      <c r="B30">
        <v>0.43269999999999997</v>
      </c>
      <c r="C30">
        <v>0.43969999999999998</v>
      </c>
      <c r="D30">
        <v>0.41160000000000002</v>
      </c>
      <c r="E30">
        <v>0.4173</v>
      </c>
      <c r="F30">
        <v>4700936</v>
      </c>
      <c r="G30">
        <v>0.4173</v>
      </c>
      <c r="L30" t="s">
        <v>7</v>
      </c>
      <c r="M30" t="s">
        <v>8</v>
      </c>
      <c r="N30" t="s">
        <v>7</v>
      </c>
      <c r="P30">
        <f t="shared" ref="P30" si="125">IF(C30=D30,0,((E30-D30)-(C30-E30))/(C30-D30))</f>
        <v>-0.5943060498220647</v>
      </c>
      <c r="Q30">
        <f t="shared" ref="Q30" si="126">F30*P30</f>
        <v>-2793794.7046263376</v>
      </c>
      <c r="R30">
        <f t="shared" ref="R30" si="127">R31+Q30</f>
        <v>-343773516.34614849</v>
      </c>
      <c r="S30">
        <f t="shared" ref="S30" si="128">R30/100000</f>
        <v>-3437.7351634614847</v>
      </c>
      <c r="T30">
        <f t="shared" ref="T30" si="129">S30/1000</f>
        <v>-3.4377351634614848</v>
      </c>
    </row>
    <row r="31" spans="1:20" x14ac:dyDescent="0.25">
      <c r="A31" s="5">
        <v>44562</v>
      </c>
      <c r="B31">
        <v>0.42280000000000001</v>
      </c>
      <c r="C31">
        <v>0.44490000000000002</v>
      </c>
      <c r="D31">
        <v>0.42020000000000002</v>
      </c>
      <c r="E31">
        <v>0.43280000000000002</v>
      </c>
      <c r="F31">
        <v>6306150</v>
      </c>
      <c r="G31">
        <v>0.43280000000000002</v>
      </c>
      <c r="L31" t="s">
        <v>7</v>
      </c>
      <c r="M31" t="s">
        <v>8</v>
      </c>
      <c r="N31" t="s">
        <v>7</v>
      </c>
      <c r="P31">
        <f t="shared" ref="P31" si="130">IF(C31=D31,0,((E31-D31)-(C31-E31))/(C31-D31))</f>
        <v>2.0242914979757103E-2</v>
      </c>
      <c r="Q31">
        <f t="shared" ref="Q31" si="131">F31*P31</f>
        <v>127654.85829959525</v>
      </c>
      <c r="R31">
        <f t="shared" ref="R31" si="132">R32+Q31</f>
        <v>-340979721.64152217</v>
      </c>
      <c r="S31">
        <f t="shared" ref="S31" si="133">R31/100000</f>
        <v>-3409.7972164152216</v>
      </c>
      <c r="T31">
        <f t="shared" ref="T31" si="134">S31/1000</f>
        <v>-3.4097972164152215</v>
      </c>
    </row>
    <row r="32" spans="1:20" x14ac:dyDescent="0.25">
      <c r="A32" s="5">
        <v>44561</v>
      </c>
      <c r="B32">
        <v>0.4052</v>
      </c>
      <c r="C32">
        <v>0.47399999999999998</v>
      </c>
      <c r="D32">
        <v>0.4007</v>
      </c>
      <c r="E32">
        <v>0.42280000000000001</v>
      </c>
      <c r="F32">
        <v>19712558</v>
      </c>
      <c r="G32">
        <v>0.42280000000000001</v>
      </c>
      <c r="L32" t="s">
        <v>8</v>
      </c>
      <c r="M32" t="s">
        <v>8</v>
      </c>
      <c r="N32" t="s">
        <v>7</v>
      </c>
      <c r="P32">
        <f t="shared" ref="P32" si="135">IF(C32=D32,0,((E32-D32)-(C32-E32))/(C32-D32))</f>
        <v>-0.39699863574351935</v>
      </c>
      <c r="Q32">
        <f t="shared" ref="Q32" si="136">F32*P32</f>
        <v>-7825858.6330149984</v>
      </c>
      <c r="R32">
        <f t="shared" ref="R32" si="137">R33+Q32</f>
        <v>-341107376.49982178</v>
      </c>
      <c r="S32">
        <f t="shared" ref="S32" si="138">R32/100000</f>
        <v>-3411.0737649982179</v>
      </c>
      <c r="T32">
        <f t="shared" ref="T32" si="139">S32/1000</f>
        <v>-3.4110737649982181</v>
      </c>
    </row>
    <row r="33" spans="1:20" x14ac:dyDescent="0.25">
      <c r="A33" s="5">
        <v>44560</v>
      </c>
      <c r="B33">
        <v>0.40410000000000001</v>
      </c>
      <c r="C33">
        <v>0.41899999999999998</v>
      </c>
      <c r="D33">
        <v>0.39560000000000001</v>
      </c>
      <c r="E33">
        <v>0.40529999999999999</v>
      </c>
      <c r="F33">
        <v>4573153</v>
      </c>
      <c r="G33">
        <v>0.40529999999999999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-0.17094017094017128</v>
      </c>
      <c r="Q33">
        <f t="shared" ref="Q33" si="141">F33*P33</f>
        <v>-781735.55555555713</v>
      </c>
      <c r="R33">
        <f t="shared" ref="R33" si="142">R34+Q33</f>
        <v>-333281517.86680681</v>
      </c>
      <c r="S33">
        <f t="shared" ref="S33" si="143">R33/100000</f>
        <v>-3332.8151786680683</v>
      </c>
      <c r="T33">
        <f t="shared" ref="T33" si="144">S33/1000</f>
        <v>-3.3328151786680684</v>
      </c>
    </row>
    <row r="34" spans="1:20" x14ac:dyDescent="0.25">
      <c r="A34" s="5">
        <v>44559</v>
      </c>
      <c r="B34">
        <v>0.4229</v>
      </c>
      <c r="C34">
        <v>0.43990000000000001</v>
      </c>
      <c r="D34">
        <v>0.4</v>
      </c>
      <c r="E34">
        <v>0.4032</v>
      </c>
      <c r="F34">
        <v>5351187</v>
      </c>
      <c r="G34">
        <v>0.4032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-0.83959899749373523</v>
      </c>
      <c r="Q34">
        <f t="shared" ref="Q34" si="146">F34*P34</f>
        <v>-4492851.2406015089</v>
      </c>
      <c r="R34">
        <f t="shared" ref="R34" si="147">R35+Q34</f>
        <v>-332499782.31125122</v>
      </c>
      <c r="S34">
        <f t="shared" ref="S34" si="148">R34/100000</f>
        <v>-3324.9978231125124</v>
      </c>
      <c r="T34">
        <f t="shared" ref="T34" si="149">S34/1000</f>
        <v>-3.3249978231125126</v>
      </c>
    </row>
    <row r="35" spans="1:20" x14ac:dyDescent="0.25">
      <c r="A35" s="5">
        <v>44558</v>
      </c>
      <c r="B35">
        <v>0.46879999999999999</v>
      </c>
      <c r="C35">
        <v>0.47070000000000001</v>
      </c>
      <c r="D35">
        <v>0.41689999999999999</v>
      </c>
      <c r="E35">
        <v>0.42370000000000002</v>
      </c>
      <c r="F35">
        <v>7843211</v>
      </c>
      <c r="G35">
        <v>0.42370000000000002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-0.74721189591077963</v>
      </c>
      <c r="Q35">
        <f t="shared" ref="Q35" si="151">F35*P35</f>
        <v>-5860540.5613382822</v>
      </c>
      <c r="R35">
        <f t="shared" ref="R35" si="152">R36+Q35</f>
        <v>-328006931.07064974</v>
      </c>
      <c r="S35">
        <f t="shared" ref="S35" si="153">R35/100000</f>
        <v>-3280.0693107064976</v>
      </c>
      <c r="T35">
        <f t="shared" ref="T35" si="154">S35/1000</f>
        <v>-3.2800693107064975</v>
      </c>
    </row>
    <row r="36" spans="1:20" x14ac:dyDescent="0.25">
      <c r="A36" s="5">
        <v>44557</v>
      </c>
      <c r="B36">
        <v>0.49299999999999999</v>
      </c>
      <c r="C36">
        <v>0.51800000000000002</v>
      </c>
      <c r="D36">
        <v>0.46739999999999998</v>
      </c>
      <c r="E36">
        <v>0.46899999999999997</v>
      </c>
      <c r="F36">
        <v>15886778</v>
      </c>
      <c r="G36">
        <v>0.46899999999999997</v>
      </c>
      <c r="L36" t="s">
        <v>7</v>
      </c>
      <c r="M36" t="s">
        <v>7</v>
      </c>
      <c r="N36" t="s">
        <v>8</v>
      </c>
      <c r="P36">
        <f t="shared" ref="P36" si="155">IF(C36=D36,0,((E36-D36)-(C36-E36))/(C36-D36))</f>
        <v>-0.93675889328063289</v>
      </c>
      <c r="Q36">
        <f t="shared" ref="Q36" si="156">F36*P36</f>
        <v>-14882080.577075107</v>
      </c>
      <c r="R36">
        <f t="shared" ref="R36" si="157">R37+Q36</f>
        <v>-322146390.50931144</v>
      </c>
      <c r="S36">
        <f t="shared" ref="S36" si="158">R36/100000</f>
        <v>-3221.4639050931146</v>
      </c>
      <c r="T36">
        <f t="shared" ref="T36" si="159">S36/1000</f>
        <v>-3.2214639050931146</v>
      </c>
    </row>
    <row r="37" spans="1:20" x14ac:dyDescent="0.25">
      <c r="A37" s="5">
        <v>44556</v>
      </c>
      <c r="B37">
        <v>0.53739999999999999</v>
      </c>
      <c r="C37">
        <v>0.59630000000000005</v>
      </c>
      <c r="D37">
        <v>0.4829</v>
      </c>
      <c r="E37">
        <v>0.49299999999999999</v>
      </c>
      <c r="F37">
        <v>131454887</v>
      </c>
      <c r="G37">
        <v>0.49299999999999999</v>
      </c>
      <c r="L37" t="s">
        <v>7</v>
      </c>
      <c r="M37" t="s">
        <v>7</v>
      </c>
      <c r="N37" t="s">
        <v>8</v>
      </c>
      <c r="P37">
        <f t="shared" ref="P37" si="160">IF(C37=D37,0,((E37-D37)-(C37-E37))/(C37-D37))</f>
        <v>-0.82186948853615538</v>
      </c>
      <c r="Q37">
        <f t="shared" ref="Q37" si="161">F37*P37</f>
        <v>-108038760.7442681</v>
      </c>
      <c r="R37">
        <f t="shared" ref="R37" si="162">R38+Q37</f>
        <v>-307264309.93223631</v>
      </c>
      <c r="S37">
        <f t="shared" ref="S37" si="163">R37/100000</f>
        <v>-3072.643099322363</v>
      </c>
      <c r="T37">
        <f t="shared" ref="T37" si="164">S37/1000</f>
        <v>-3.072643099322363</v>
      </c>
    </row>
    <row r="38" spans="1:20" x14ac:dyDescent="0.25">
      <c r="A38" s="5">
        <v>44555</v>
      </c>
      <c r="B38">
        <v>0.36980000000000002</v>
      </c>
      <c r="C38">
        <v>0.66</v>
      </c>
      <c r="D38">
        <v>0.36680000000000001</v>
      </c>
      <c r="E38">
        <v>0.53700000000000003</v>
      </c>
      <c r="F38">
        <v>180835270</v>
      </c>
      <c r="G38">
        <v>0.53700000000000003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0.16098226466575721</v>
      </c>
      <c r="Q38">
        <f t="shared" ref="Q38" si="166">F38*P38</f>
        <v>29111271.296043664</v>
      </c>
      <c r="R38">
        <f t="shared" ref="R38" si="167">R39+Q38</f>
        <v>-199225549.18796822</v>
      </c>
      <c r="S38">
        <f t="shared" ref="S38" si="168">R38/100000</f>
        <v>-1992.2554918796823</v>
      </c>
      <c r="T38">
        <f t="shared" ref="T38" si="169">S38/1000</f>
        <v>-1.9922554918796822</v>
      </c>
    </row>
    <row r="39" spans="1:20" x14ac:dyDescent="0.25">
      <c r="A39" s="5">
        <v>44554</v>
      </c>
      <c r="B39">
        <v>0.37209999999999999</v>
      </c>
      <c r="C39">
        <v>0.38569999999999999</v>
      </c>
      <c r="D39">
        <v>0.3664</v>
      </c>
      <c r="E39">
        <v>0.36969999999999997</v>
      </c>
      <c r="F39">
        <v>3090907</v>
      </c>
      <c r="G39">
        <v>0.36969999999999997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-0.65803108808290445</v>
      </c>
      <c r="Q39">
        <f t="shared" ref="Q39" si="171">F39*P39</f>
        <v>-2033912.8963730659</v>
      </c>
      <c r="R39">
        <f t="shared" ref="R39" si="172">R40+Q39</f>
        <v>-228336820.48401189</v>
      </c>
      <c r="S39">
        <f t="shared" ref="S39" si="173">R39/100000</f>
        <v>-2283.3682048401188</v>
      </c>
      <c r="T39">
        <f t="shared" ref="T39" si="174">S39/1000</f>
        <v>-2.2833682048401189</v>
      </c>
    </row>
    <row r="40" spans="1:20" x14ac:dyDescent="0.25">
      <c r="A40" s="5">
        <v>44553</v>
      </c>
      <c r="B40">
        <v>0.35670000000000002</v>
      </c>
      <c r="C40">
        <v>0.376</v>
      </c>
      <c r="D40">
        <v>0.34839999999999999</v>
      </c>
      <c r="E40">
        <v>0.37209999999999999</v>
      </c>
      <c r="F40">
        <v>4836046</v>
      </c>
      <c r="G40">
        <v>0.37209999999999999</v>
      </c>
      <c r="L40" t="s">
        <v>7</v>
      </c>
      <c r="M40" t="s">
        <v>7</v>
      </c>
      <c r="N40" t="s">
        <v>7</v>
      </c>
      <c r="P40">
        <f t="shared" ref="P40" si="175">IF(C40=D40,0,((E40-D40)-(C40-E40))/(C40-D40))</f>
        <v>0.71739130434782516</v>
      </c>
      <c r="Q40">
        <f t="shared" ref="Q40" si="176">F40*P40</f>
        <v>3469337.3478260827</v>
      </c>
      <c r="R40">
        <f t="shared" ref="R40" si="177">R41+Q40</f>
        <v>-226302907.58763883</v>
      </c>
      <c r="S40">
        <f t="shared" ref="S40" si="178">R40/100000</f>
        <v>-2263.0290758763881</v>
      </c>
      <c r="T40">
        <f t="shared" ref="T40" si="179">S40/1000</f>
        <v>-2.2630290758763882</v>
      </c>
    </row>
    <row r="41" spans="1:20" x14ac:dyDescent="0.25">
      <c r="A41" s="5">
        <v>44552</v>
      </c>
      <c r="B41">
        <v>0.35439999999999999</v>
      </c>
      <c r="C41">
        <v>0.37240000000000001</v>
      </c>
      <c r="D41">
        <v>0.34939999999999999</v>
      </c>
      <c r="E41">
        <v>0.35620000000000002</v>
      </c>
      <c r="F41">
        <v>4296273</v>
      </c>
      <c r="G41">
        <v>0.35620000000000002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-0.40869565217391113</v>
      </c>
      <c r="Q41">
        <f t="shared" ref="Q41" si="181">F41*P41</f>
        <v>-1755868.0956521656</v>
      </c>
      <c r="R41">
        <f t="shared" ref="R41" si="182">R42+Q41</f>
        <v>-229772244.93546492</v>
      </c>
      <c r="S41">
        <f t="shared" ref="S41" si="183">R41/100000</f>
        <v>-2297.7224493546491</v>
      </c>
      <c r="T41">
        <f t="shared" ref="T41" si="184">S41/1000</f>
        <v>-2.2977224493546493</v>
      </c>
    </row>
    <row r="42" spans="1:20" x14ac:dyDescent="0.25">
      <c r="A42" s="5">
        <v>44551</v>
      </c>
      <c r="B42">
        <v>0.34760000000000002</v>
      </c>
      <c r="C42">
        <v>0.35610000000000003</v>
      </c>
      <c r="D42">
        <v>0.34300000000000003</v>
      </c>
      <c r="E42">
        <v>0.35489999999999999</v>
      </c>
      <c r="F42">
        <v>2745728</v>
      </c>
      <c r="G42">
        <v>0.35489999999999999</v>
      </c>
      <c r="L42" t="s">
        <v>7</v>
      </c>
      <c r="M42" t="s">
        <v>7</v>
      </c>
      <c r="N42" t="s">
        <v>7</v>
      </c>
      <c r="P42">
        <f t="shared" ref="P42" si="185">IF(C42=D42,0,((E42-D42)-(C42-E42))/(C42-D42))</f>
        <v>0.8167938931297658</v>
      </c>
      <c r="Q42">
        <f t="shared" ref="Q42" si="186">F42*P42</f>
        <v>2242693.8625954054</v>
      </c>
      <c r="R42">
        <f t="shared" ref="R42" si="187">R43+Q42</f>
        <v>-228016376.83981276</v>
      </c>
      <c r="S42">
        <f t="shared" ref="S42" si="188">R42/100000</f>
        <v>-2280.1637683981276</v>
      </c>
      <c r="T42">
        <f t="shared" ref="T42" si="189">S42/1000</f>
        <v>-2.2801637683981277</v>
      </c>
    </row>
    <row r="43" spans="1:20" x14ac:dyDescent="0.25">
      <c r="A43" s="5">
        <v>44550</v>
      </c>
      <c r="B43">
        <v>0.36009999999999998</v>
      </c>
      <c r="C43">
        <v>0.36249999999999999</v>
      </c>
      <c r="D43">
        <v>0.33</v>
      </c>
      <c r="E43">
        <v>0.34699999999999998</v>
      </c>
      <c r="F43">
        <v>3150711</v>
      </c>
      <c r="G43">
        <v>0.34699999999999998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4.6153846153844526E-2</v>
      </c>
      <c r="Q43">
        <f t="shared" ref="Q43" si="191">F43*P43</f>
        <v>145417.43076922564</v>
      </c>
      <c r="R43">
        <f t="shared" ref="R43" si="192">R44+Q43</f>
        <v>-230259070.70240816</v>
      </c>
      <c r="S43">
        <f t="shared" ref="S43" si="193">R43/100000</f>
        <v>-2302.5907070240814</v>
      </c>
      <c r="T43">
        <f t="shared" ref="T43" si="194">S43/1000</f>
        <v>-2.3025907070240814</v>
      </c>
    </row>
    <row r="44" spans="1:20" x14ac:dyDescent="0.25">
      <c r="A44" s="5">
        <v>44549</v>
      </c>
      <c r="B44">
        <v>0.35959999999999998</v>
      </c>
      <c r="C44">
        <v>0.37940000000000002</v>
      </c>
      <c r="D44">
        <v>0.35610000000000003</v>
      </c>
      <c r="E44">
        <v>0.3604</v>
      </c>
      <c r="F44">
        <v>5332913</v>
      </c>
      <c r="G44">
        <v>0.3604</v>
      </c>
      <c r="L44" t="s">
        <v>7</v>
      </c>
      <c r="M44" t="s">
        <v>7</v>
      </c>
      <c r="N44" t="s">
        <v>7</v>
      </c>
      <c r="P44">
        <f t="shared" ref="P44" si="195">IF(C44=D44,0,((E44-D44)-(C44-E44))/(C44-D44))</f>
        <v>-0.63090128755365038</v>
      </c>
      <c r="Q44">
        <f t="shared" ref="Q44" si="196">F44*P44</f>
        <v>-3364541.6781116002</v>
      </c>
      <c r="R44">
        <f t="shared" ref="R44" si="197">R45+Q44</f>
        <v>-230404488.1331774</v>
      </c>
      <c r="S44">
        <f t="shared" ref="S44" si="198">R44/100000</f>
        <v>-2304.0448813317739</v>
      </c>
      <c r="T44">
        <f t="shared" ref="T44" si="199">S44/1000</f>
        <v>-2.304044881331774</v>
      </c>
    </row>
    <row r="45" spans="1:20" x14ac:dyDescent="0.25">
      <c r="A45" s="5">
        <v>44548</v>
      </c>
      <c r="B45">
        <v>0.34820000000000001</v>
      </c>
      <c r="C45">
        <v>0.42799999999999999</v>
      </c>
      <c r="D45">
        <v>0.34520000000000001</v>
      </c>
      <c r="E45">
        <v>0.35959999999999998</v>
      </c>
      <c r="F45">
        <v>11212629</v>
      </c>
      <c r="G45">
        <v>0.35959999999999998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-0.65217391304347894</v>
      </c>
      <c r="Q45">
        <f t="shared" ref="Q45" si="201">F45*P45</f>
        <v>-7312584.1304347906</v>
      </c>
      <c r="R45">
        <f t="shared" ref="R45" si="202">R46+Q45</f>
        <v>-227039946.45506579</v>
      </c>
      <c r="S45">
        <f t="shared" ref="S45" si="203">R45/100000</f>
        <v>-2270.3994645506577</v>
      </c>
      <c r="T45">
        <f t="shared" ref="T45" si="204">S45/1000</f>
        <v>-2.2703994645506578</v>
      </c>
    </row>
    <row r="46" spans="1:20" x14ac:dyDescent="0.25">
      <c r="A46" s="5">
        <v>44547</v>
      </c>
      <c r="B46">
        <v>0.35720000000000002</v>
      </c>
      <c r="C46">
        <v>0.37</v>
      </c>
      <c r="D46">
        <v>0.33539999999999998</v>
      </c>
      <c r="E46">
        <v>0.34820000000000001</v>
      </c>
      <c r="F46">
        <v>4850331</v>
      </c>
      <c r="G46">
        <v>0.34820000000000001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-0.26011560693641467</v>
      </c>
      <c r="Q46">
        <f t="shared" ref="Q46" si="206">F46*P46</f>
        <v>-1261646.791907507</v>
      </c>
      <c r="R46">
        <f t="shared" ref="R46" si="207">R47+Q46</f>
        <v>-219727362.32463101</v>
      </c>
      <c r="S46">
        <f t="shared" ref="S46" si="208">R46/100000</f>
        <v>-2197.2736232463099</v>
      </c>
      <c r="T46">
        <f t="shared" ref="T46" si="209">S46/1000</f>
        <v>-2.1972736232463097</v>
      </c>
    </row>
    <row r="47" spans="1:20" x14ac:dyDescent="0.25">
      <c r="A47" s="5">
        <v>44546</v>
      </c>
      <c r="B47">
        <v>0.35820000000000002</v>
      </c>
      <c r="C47">
        <v>0.37559999999999999</v>
      </c>
      <c r="D47">
        <v>0.35099999999999998</v>
      </c>
      <c r="E47">
        <v>0.35709999999999997</v>
      </c>
      <c r="F47">
        <v>2853607</v>
      </c>
      <c r="G47">
        <v>0.35709999999999997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-0.50406504065040714</v>
      </c>
      <c r="Q47">
        <f t="shared" ref="Q47" si="211">F47*P47</f>
        <v>-1438403.5284552863</v>
      </c>
      <c r="R47">
        <f t="shared" ref="R47" si="212">R48+Q47</f>
        <v>-218465715.53272349</v>
      </c>
      <c r="S47">
        <f t="shared" ref="S47" si="213">R47/100000</f>
        <v>-2184.6571553272347</v>
      </c>
      <c r="T47">
        <f t="shared" ref="T47" si="214">S47/1000</f>
        <v>-2.1846571553272347</v>
      </c>
    </row>
    <row r="48" spans="1:20" x14ac:dyDescent="0.25">
      <c r="A48" s="5">
        <v>44545</v>
      </c>
      <c r="B48">
        <v>0.35360000000000003</v>
      </c>
      <c r="C48">
        <v>0.36840000000000001</v>
      </c>
      <c r="D48">
        <v>0.33810000000000001</v>
      </c>
      <c r="E48">
        <v>0.35899999999999999</v>
      </c>
      <c r="F48">
        <v>4626562</v>
      </c>
      <c r="G48">
        <v>0.35899999999999999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0.37953795379537814</v>
      </c>
      <c r="Q48">
        <f t="shared" ref="Q48" si="216">F48*P48</f>
        <v>1755955.8745874523</v>
      </c>
      <c r="R48">
        <f t="shared" ref="R48" si="217">R49+Q48</f>
        <v>-217027312.0042682</v>
      </c>
      <c r="S48">
        <f t="shared" ref="S48" si="218">R48/100000</f>
        <v>-2170.273120042682</v>
      </c>
      <c r="T48">
        <f t="shared" ref="T48" si="219">S48/1000</f>
        <v>-2.1702731200426819</v>
      </c>
    </row>
    <row r="49" spans="1:20" x14ac:dyDescent="0.25">
      <c r="A49" s="5">
        <v>44544</v>
      </c>
      <c r="B49">
        <v>0.36630000000000001</v>
      </c>
      <c r="C49">
        <v>0.3695</v>
      </c>
      <c r="D49">
        <v>0.34360000000000002</v>
      </c>
      <c r="E49">
        <v>0.35370000000000001</v>
      </c>
      <c r="F49">
        <v>6011194</v>
      </c>
      <c r="G49">
        <v>0.35370000000000001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-0.22007722007721961</v>
      </c>
      <c r="Q49">
        <f t="shared" ref="Q49" si="221">F49*P49</f>
        <v>-1322926.8648648621</v>
      </c>
      <c r="R49">
        <f t="shared" ref="R49" si="222">R50+Q49</f>
        <v>-218783267.87885565</v>
      </c>
      <c r="S49">
        <f t="shared" ref="S49" si="223">R49/100000</f>
        <v>-2187.8326787885567</v>
      </c>
      <c r="T49">
        <f t="shared" ref="T49" si="224">S49/1000</f>
        <v>-2.1878326787885567</v>
      </c>
    </row>
    <row r="50" spans="1:20" x14ac:dyDescent="0.25">
      <c r="A50" s="5">
        <v>44543</v>
      </c>
      <c r="B50">
        <v>0.42520000000000002</v>
      </c>
      <c r="C50">
        <v>0.43059999999999998</v>
      </c>
      <c r="D50">
        <v>0.36099999999999999</v>
      </c>
      <c r="E50">
        <v>0.36630000000000001</v>
      </c>
      <c r="F50">
        <v>5127147</v>
      </c>
      <c r="G50">
        <v>0.36630000000000001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-0.84770114942528663</v>
      </c>
      <c r="Q50">
        <f t="shared" ref="Q50" si="226">F50*P50</f>
        <v>-4346288.4051724104</v>
      </c>
      <c r="R50">
        <f t="shared" ref="R50" si="227">R51+Q50</f>
        <v>-217460341.01399079</v>
      </c>
      <c r="S50">
        <f t="shared" ref="S50" si="228">R50/100000</f>
        <v>-2174.6034101399077</v>
      </c>
      <c r="T50">
        <f t="shared" ref="T50" si="229">S50/1000</f>
        <v>-2.1746034101399077</v>
      </c>
    </row>
    <row r="51" spans="1:20" x14ac:dyDescent="0.25">
      <c r="A51" s="5">
        <v>44542</v>
      </c>
      <c r="B51">
        <v>0.41760000000000003</v>
      </c>
      <c r="C51">
        <v>0.43719999999999998</v>
      </c>
      <c r="D51">
        <v>0.4052</v>
      </c>
      <c r="E51">
        <v>0.42520000000000002</v>
      </c>
      <c r="F51">
        <v>7092531</v>
      </c>
      <c r="G51">
        <v>0.42520000000000002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0.25000000000000216</v>
      </c>
      <c r="Q51">
        <f t="shared" ref="Q51" si="231">F51*P51</f>
        <v>1773132.7500000154</v>
      </c>
      <c r="R51">
        <f t="shared" ref="R51" si="232">R52+Q51</f>
        <v>-213114052.60881838</v>
      </c>
      <c r="S51">
        <f t="shared" ref="S51" si="233">R51/100000</f>
        <v>-2131.1405260881838</v>
      </c>
      <c r="T51">
        <f t="shared" ref="T51" si="234">S51/1000</f>
        <v>-2.1311405260881839</v>
      </c>
    </row>
    <row r="52" spans="1:20" x14ac:dyDescent="0.25">
      <c r="A52" s="5">
        <v>44541</v>
      </c>
      <c r="B52">
        <v>0.41420000000000001</v>
      </c>
      <c r="C52">
        <v>0.42099999999999999</v>
      </c>
      <c r="D52">
        <v>0.40789999999999998</v>
      </c>
      <c r="E52">
        <v>0.41899999999999998</v>
      </c>
      <c r="F52">
        <v>737682</v>
      </c>
      <c r="G52">
        <v>0.41899999999999998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0.69465648854961803</v>
      </c>
      <c r="Q52">
        <f t="shared" ref="Q52" si="236">F52*P52</f>
        <v>512435.5877862593</v>
      </c>
      <c r="R52">
        <f t="shared" ref="R52" si="237">R53+Q52</f>
        <v>-214887185.35881841</v>
      </c>
      <c r="S52">
        <f t="shared" ref="S52" si="238">R52/100000</f>
        <v>-2148.871853588184</v>
      </c>
      <c r="T52">
        <f t="shared" ref="T52" si="239">S52/1000</f>
        <v>-2.1488718535881839</v>
      </c>
    </row>
    <row r="53" spans="1:20" x14ac:dyDescent="0.25">
      <c r="A53" s="5">
        <v>44540</v>
      </c>
      <c r="B53">
        <v>0.5081</v>
      </c>
      <c r="C53">
        <v>0.51880000000000004</v>
      </c>
      <c r="D53">
        <v>0.41160000000000002</v>
      </c>
      <c r="E53">
        <v>0.41420000000000001</v>
      </c>
      <c r="F53">
        <v>26725305</v>
      </c>
      <c r="G53">
        <v>0.41420000000000001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-0.95149253731343297</v>
      </c>
      <c r="Q53">
        <f t="shared" ref="Q53" si="241">F53*P53</f>
        <v>-25428928.264925376</v>
      </c>
      <c r="R53">
        <f t="shared" ref="R53" si="242">R54+Q53</f>
        <v>-215399620.94660467</v>
      </c>
      <c r="S53">
        <f t="shared" ref="S53" si="243">R53/100000</f>
        <v>-2153.9962094660468</v>
      </c>
      <c r="T53">
        <f t="shared" ref="T53" si="244">S53/1000</f>
        <v>-2.153996209466047</v>
      </c>
    </row>
    <row r="54" spans="1:20" x14ac:dyDescent="0.25">
      <c r="A54" s="5">
        <v>44539</v>
      </c>
      <c r="B54">
        <v>0.44629999999999997</v>
      </c>
      <c r="C54">
        <v>0.58809999999999996</v>
      </c>
      <c r="D54">
        <v>0.435</v>
      </c>
      <c r="E54">
        <v>0.5081</v>
      </c>
      <c r="F54">
        <v>60828795</v>
      </c>
      <c r="G54">
        <v>0.5081</v>
      </c>
      <c r="L54" t="s">
        <v>8</v>
      </c>
      <c r="M54" t="s">
        <v>8</v>
      </c>
      <c r="N54" t="s">
        <v>8</v>
      </c>
      <c r="P54">
        <f t="shared" ref="P54" si="245">IF(C54=D54,0,((E54-D54)-(C54-E54))/(C54-D54))</f>
        <v>-4.5068582625734578E-2</v>
      </c>
      <c r="Q54">
        <f t="shared" ref="Q54" si="246">F54*P54</f>
        <v>-2741467.5734813702</v>
      </c>
      <c r="R54">
        <f t="shared" ref="R54" si="247">R55+Q54</f>
        <v>-189970692.68167931</v>
      </c>
      <c r="S54">
        <f t="shared" ref="S54" si="248">R54/100000</f>
        <v>-1899.7069268167932</v>
      </c>
      <c r="T54">
        <f t="shared" ref="T54" si="249">S54/1000</f>
        <v>-1.8997069268167932</v>
      </c>
    </row>
    <row r="55" spans="1:20" x14ac:dyDescent="0.25">
      <c r="A55" s="5">
        <v>44538</v>
      </c>
      <c r="B55">
        <v>0.43469999999999998</v>
      </c>
      <c r="C55">
        <v>0.48</v>
      </c>
      <c r="D55">
        <v>0.39340000000000003</v>
      </c>
      <c r="E55">
        <v>0.44629999999999997</v>
      </c>
      <c r="F55">
        <v>8834247</v>
      </c>
      <c r="G55">
        <v>0.44629999999999997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0.22170900692840589</v>
      </c>
      <c r="Q55">
        <f t="shared" ref="Q55" si="251">F55*P55</f>
        <v>1958632.129330249</v>
      </c>
      <c r="R55">
        <f t="shared" ref="R55" si="252">R56+Q55</f>
        <v>-187229225.10819793</v>
      </c>
      <c r="S55">
        <f t="shared" ref="S55" si="253">R55/100000</f>
        <v>-1872.2922510819792</v>
      </c>
      <c r="T55">
        <f t="shared" ref="T55" si="254">S55/1000</f>
        <v>-1.8722922510819793</v>
      </c>
    </row>
    <row r="56" spans="1:20" x14ac:dyDescent="0.25">
      <c r="A56" s="5">
        <v>44537</v>
      </c>
      <c r="B56">
        <v>0.45390000000000003</v>
      </c>
      <c r="C56">
        <v>0.47299999999999998</v>
      </c>
      <c r="D56">
        <v>0.4325</v>
      </c>
      <c r="E56">
        <v>0.43469999999999998</v>
      </c>
      <c r="F56">
        <v>4927006</v>
      </c>
      <c r="G56">
        <v>0.43469999999999998</v>
      </c>
      <c r="L56" t="s">
        <v>8</v>
      </c>
      <c r="M56" t="s">
        <v>7</v>
      </c>
      <c r="N56" t="s">
        <v>7</v>
      </c>
      <c r="P56">
        <f t="shared" ref="P56" si="255">IF(C56=D56,0,((E56-D56)-(C56-E56))/(C56-D56))</f>
        <v>-0.89135802469135894</v>
      </c>
      <c r="Q56">
        <f t="shared" ref="Q56" si="256">F56*P56</f>
        <v>-4391726.3358024741</v>
      </c>
      <c r="R56">
        <f t="shared" ref="R56" si="257">R57+Q56</f>
        <v>-189187857.23752818</v>
      </c>
      <c r="S56">
        <f t="shared" ref="S56" si="258">R56/100000</f>
        <v>-1891.8785723752817</v>
      </c>
      <c r="T56">
        <f t="shared" ref="T56" si="259">S56/1000</f>
        <v>-1.8918785723752818</v>
      </c>
    </row>
    <row r="57" spans="1:20" x14ac:dyDescent="0.25">
      <c r="A57" s="5">
        <v>44536</v>
      </c>
      <c r="B57">
        <v>0.47270000000000001</v>
      </c>
      <c r="C57">
        <v>0.47349999999999998</v>
      </c>
      <c r="D57">
        <v>0.40010000000000001</v>
      </c>
      <c r="E57">
        <v>0.45390000000000003</v>
      </c>
      <c r="F57">
        <v>9511143</v>
      </c>
      <c r="G57">
        <v>0.45390000000000003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0.46594005449591391</v>
      </c>
      <c r="Q57">
        <f t="shared" ref="Q57" si="261">F57*P57</f>
        <v>4431622.4877384305</v>
      </c>
      <c r="R57">
        <f t="shared" ref="R57" si="262">R58+Q57</f>
        <v>-184796130.90172571</v>
      </c>
      <c r="S57">
        <f t="shared" ref="S57" si="263">R57/100000</f>
        <v>-1847.961309017257</v>
      </c>
      <c r="T57">
        <f t="shared" ref="T57" si="264">S57/1000</f>
        <v>-1.8479613090172571</v>
      </c>
    </row>
    <row r="58" spans="1:20" x14ac:dyDescent="0.25">
      <c r="A58" s="5">
        <v>44535</v>
      </c>
      <c r="B58">
        <v>0.50570000000000004</v>
      </c>
      <c r="C58">
        <v>0.54990000000000006</v>
      </c>
      <c r="D58">
        <v>0.45150000000000001</v>
      </c>
      <c r="E58">
        <v>0.47289999999999999</v>
      </c>
      <c r="F58">
        <v>12334437</v>
      </c>
      <c r="G58">
        <v>0.47289999999999999</v>
      </c>
      <c r="L58" t="s">
        <v>7</v>
      </c>
      <c r="M58" t="s">
        <v>8</v>
      </c>
      <c r="N58" t="s">
        <v>7</v>
      </c>
      <c r="P58">
        <f t="shared" ref="P58" si="265">IF(C58=D58,0,((E58-D58)-(C58-E58))/(C58-D58))</f>
        <v>-0.56504065040650475</v>
      </c>
      <c r="Q58">
        <f t="shared" ref="Q58" si="266">F58*P58</f>
        <v>-6969458.304878057</v>
      </c>
      <c r="R58">
        <f t="shared" ref="R58" si="267">R59+Q58</f>
        <v>-189227753.38946414</v>
      </c>
      <c r="S58">
        <f t="shared" ref="S58" si="268">R58/100000</f>
        <v>-1892.2775338946415</v>
      </c>
      <c r="T58">
        <f t="shared" ref="T58" si="269">S58/1000</f>
        <v>-1.8922775338946414</v>
      </c>
    </row>
    <row r="59" spans="1:20" x14ac:dyDescent="0.25">
      <c r="A59" s="5">
        <v>44534</v>
      </c>
      <c r="B59">
        <v>0.60899999999999999</v>
      </c>
      <c r="C59">
        <v>0.60940000000000005</v>
      </c>
      <c r="D59">
        <v>0.45550000000000002</v>
      </c>
      <c r="E59">
        <v>0.50509999999999999</v>
      </c>
      <c r="F59">
        <v>10121515</v>
      </c>
      <c r="G59">
        <v>0.50509999999999999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-0.35542560103963655</v>
      </c>
      <c r="Q59">
        <f t="shared" ref="Q59" si="271">F59*P59</f>
        <v>-3597445.5523066968</v>
      </c>
      <c r="R59">
        <f t="shared" ref="R59" si="272">R60+Q59</f>
        <v>-182258295.08458608</v>
      </c>
      <c r="S59">
        <f t="shared" ref="S59" si="273">R59/100000</f>
        <v>-1822.5829508458608</v>
      </c>
      <c r="T59">
        <f t="shared" ref="T59" si="274">S59/1000</f>
        <v>-1.8225829508458609</v>
      </c>
    </row>
    <row r="60" spans="1:20" x14ac:dyDescent="0.25">
      <c r="A60" s="5">
        <v>44533</v>
      </c>
      <c r="B60">
        <v>0.62660000000000005</v>
      </c>
      <c r="C60">
        <v>0.66830000000000001</v>
      </c>
      <c r="D60">
        <v>0.58030000000000004</v>
      </c>
      <c r="E60">
        <v>0.60880000000000001</v>
      </c>
      <c r="F60">
        <v>7857886</v>
      </c>
      <c r="G60">
        <v>0.60880000000000001</v>
      </c>
      <c r="L60" t="s">
        <v>8</v>
      </c>
      <c r="M60" t="s">
        <v>7</v>
      </c>
      <c r="N60" t="s">
        <v>7</v>
      </c>
      <c r="P60">
        <f t="shared" ref="P60" si="275">IF(C60=D60,0,((E60-D60)-(C60-E60))/(C60-D60))</f>
        <v>-0.35227272727272774</v>
      </c>
      <c r="Q60">
        <f t="shared" ref="Q60" si="276">F60*P60</f>
        <v>-2768118.9318181854</v>
      </c>
      <c r="R60">
        <f t="shared" ref="R60" si="277">R61+Q60</f>
        <v>-178660849.5322794</v>
      </c>
      <c r="S60">
        <f t="shared" ref="S60" si="278">R60/100000</f>
        <v>-1786.6084953227939</v>
      </c>
      <c r="T60">
        <f t="shared" ref="T60" si="279">S60/1000</f>
        <v>-1.7866084953227939</v>
      </c>
    </row>
    <row r="61" spans="1:20" x14ac:dyDescent="0.25">
      <c r="A61" s="5">
        <v>44532</v>
      </c>
      <c r="B61">
        <v>0.62250000000000005</v>
      </c>
      <c r="C61">
        <v>0.65449999999999997</v>
      </c>
      <c r="D61">
        <v>0.58379999999999999</v>
      </c>
      <c r="E61">
        <v>0.62639999999999996</v>
      </c>
      <c r="F61">
        <v>8710260</v>
      </c>
      <c r="G61">
        <v>0.62639999999999996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0.20509193776520454</v>
      </c>
      <c r="Q61">
        <f t="shared" ref="Q61" si="281">F61*P61</f>
        <v>1786404.1018387505</v>
      </c>
      <c r="R61">
        <f t="shared" ref="R61" si="282">R62+Q61</f>
        <v>-175892730.60046121</v>
      </c>
      <c r="S61">
        <f t="shared" ref="S61" si="283">R61/100000</f>
        <v>-1758.9273060046121</v>
      </c>
      <c r="T61">
        <f t="shared" ref="T61" si="284">S61/1000</f>
        <v>-1.758927306004612</v>
      </c>
    </row>
    <row r="62" spans="1:20" x14ac:dyDescent="0.25">
      <c r="A62" s="5">
        <v>44531</v>
      </c>
      <c r="B62">
        <v>0.62849999999999995</v>
      </c>
      <c r="C62">
        <v>0.64259999999999995</v>
      </c>
      <c r="D62">
        <v>0.62</v>
      </c>
      <c r="E62">
        <v>0.62319999999999998</v>
      </c>
      <c r="F62">
        <v>5132098</v>
      </c>
      <c r="G62">
        <v>0.62319999999999998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-0.71681415929203651</v>
      </c>
      <c r="Q62">
        <f t="shared" ref="Q62" si="286">F62*P62</f>
        <v>-3678760.5132743418</v>
      </c>
      <c r="R62">
        <f t="shared" ref="R62" si="287">R63+Q62</f>
        <v>-177679134.70229995</v>
      </c>
      <c r="S62">
        <f t="shared" ref="S62" si="288">R62/100000</f>
        <v>-1776.7913470229996</v>
      </c>
      <c r="T62">
        <f t="shared" ref="T62" si="289">S62/1000</f>
        <v>-1.7767913470229997</v>
      </c>
    </row>
    <row r="63" spans="1:20" x14ac:dyDescent="0.25">
      <c r="A63" s="5">
        <v>44530</v>
      </c>
      <c r="B63">
        <v>0.65080000000000005</v>
      </c>
      <c r="C63">
        <v>0.66249999999999998</v>
      </c>
      <c r="D63">
        <v>0.61990000000000001</v>
      </c>
      <c r="E63">
        <v>0.62849999999999995</v>
      </c>
      <c r="F63">
        <v>5870659</v>
      </c>
      <c r="G63">
        <v>0.62849999999999995</v>
      </c>
      <c r="L63" t="s">
        <v>7</v>
      </c>
      <c r="M63" t="s">
        <v>8</v>
      </c>
      <c r="N63" t="s">
        <v>7</v>
      </c>
      <c r="P63">
        <f t="shared" ref="P63" si="290">IF(C63=D63,0,((E63-D63)-(C63-E63))/(C63-D63))</f>
        <v>-0.59624413145540156</v>
      </c>
      <c r="Q63">
        <f t="shared" ref="Q63" si="291">F63*P63</f>
        <v>-3500345.9765258362</v>
      </c>
      <c r="R63">
        <f t="shared" ref="R63" si="292">R64+Q63</f>
        <v>-174000374.18902561</v>
      </c>
      <c r="S63">
        <f t="shared" ref="S63" si="293">R63/100000</f>
        <v>-1740.0037418902562</v>
      </c>
      <c r="T63">
        <f t="shared" ref="T63" si="294">S63/1000</f>
        <v>-1.7400037418902561</v>
      </c>
    </row>
    <row r="64" spans="1:20" x14ac:dyDescent="0.25">
      <c r="A64" s="5">
        <v>44529</v>
      </c>
      <c r="B64">
        <v>0.67190000000000005</v>
      </c>
      <c r="C64">
        <v>0.67520000000000002</v>
      </c>
      <c r="D64">
        <v>0.64390000000000003</v>
      </c>
      <c r="E64">
        <v>0.65069999999999995</v>
      </c>
      <c r="F64">
        <v>3956934</v>
      </c>
      <c r="G64">
        <v>0.65069999999999995</v>
      </c>
      <c r="L64" t="s">
        <v>7</v>
      </c>
      <c r="M64" t="s">
        <v>8</v>
      </c>
      <c r="N64" t="s">
        <v>7</v>
      </c>
      <c r="P64">
        <f t="shared" ref="P64" si="295">IF(C64=D64,0,((E64-D64)-(C64-E64))/(C64-D64))</f>
        <v>-0.56549520766773687</v>
      </c>
      <c r="Q64">
        <f t="shared" ref="Q64" si="296">F64*P64</f>
        <v>-2237627.2140575289</v>
      </c>
      <c r="R64">
        <f t="shared" ref="R64" si="297">R65+Q64</f>
        <v>-170500028.21249977</v>
      </c>
      <c r="S64">
        <f t="shared" ref="S64" si="298">R64/100000</f>
        <v>-1705.0002821249977</v>
      </c>
      <c r="T64">
        <f t="shared" ref="T64" si="299">S64/1000</f>
        <v>-1.7050002821249977</v>
      </c>
    </row>
    <row r="65" spans="1:20" x14ac:dyDescent="0.25">
      <c r="A65" s="5">
        <v>44528</v>
      </c>
      <c r="B65">
        <v>0.68630000000000002</v>
      </c>
      <c r="C65">
        <v>0.68640000000000001</v>
      </c>
      <c r="D65">
        <v>0.63959999999999995</v>
      </c>
      <c r="E65">
        <v>0.67200000000000004</v>
      </c>
      <c r="F65">
        <v>4569498</v>
      </c>
      <c r="G65">
        <v>0.67200000000000004</v>
      </c>
      <c r="L65" t="s">
        <v>7</v>
      </c>
      <c r="M65" t="s">
        <v>8</v>
      </c>
      <c r="N65" t="s">
        <v>7</v>
      </c>
      <c r="P65">
        <f t="shared" ref="P65" si="300">IF(C65=D65,0,((E65-D65)-(C65-E65))/(C65-D65))</f>
        <v>0.3846153846153868</v>
      </c>
      <c r="Q65">
        <f t="shared" ref="Q65" si="301">F65*P65</f>
        <v>1757499.2307692408</v>
      </c>
      <c r="R65">
        <f t="shared" ref="R65" si="302">R66+Q65</f>
        <v>-168262400.99844223</v>
      </c>
      <c r="S65">
        <f t="shared" ref="S65" si="303">R65/100000</f>
        <v>-1682.6240099844224</v>
      </c>
      <c r="T65">
        <f t="shared" ref="T65" si="304">S65/1000</f>
        <v>-1.6826240099844223</v>
      </c>
    </row>
    <row r="66" spans="1:20" x14ac:dyDescent="0.25">
      <c r="A66" s="5">
        <v>44527</v>
      </c>
      <c r="B66">
        <v>0.62609999999999999</v>
      </c>
      <c r="C66">
        <v>0.73699999999999999</v>
      </c>
      <c r="D66">
        <v>0.62590000000000001</v>
      </c>
      <c r="E66">
        <v>0.68759999999999999</v>
      </c>
      <c r="F66">
        <v>12692115</v>
      </c>
      <c r="G66">
        <v>0.68759999999999999</v>
      </c>
      <c r="L66" t="s">
        <v>8</v>
      </c>
      <c r="M66" t="s">
        <v>8</v>
      </c>
      <c r="N66" t="s">
        <v>7</v>
      </c>
      <c r="P66">
        <f t="shared" ref="P66" si="305">IF(C66=D66,0,((E66-D66)-(C66-E66))/(C66-D66))</f>
        <v>0.11071107110711054</v>
      </c>
      <c r="Q66">
        <f t="shared" ref="Q66" si="306">F66*P66</f>
        <v>1405157.6462646243</v>
      </c>
      <c r="R66">
        <f t="shared" ref="R66" si="307">R67+Q66</f>
        <v>-170019900.22921148</v>
      </c>
      <c r="S66">
        <f t="shared" ref="S66" si="308">R66/100000</f>
        <v>-1700.1990022921148</v>
      </c>
      <c r="T66">
        <f t="shared" ref="T66" si="309">S66/1000</f>
        <v>-1.7001990022921147</v>
      </c>
    </row>
    <row r="67" spans="1:20" x14ac:dyDescent="0.25">
      <c r="A67" s="5">
        <v>44526</v>
      </c>
      <c r="B67">
        <v>0.68140000000000001</v>
      </c>
      <c r="C67">
        <v>0.68700000000000006</v>
      </c>
      <c r="D67">
        <v>0.61099999999999999</v>
      </c>
      <c r="E67">
        <v>0.62680000000000002</v>
      </c>
      <c r="F67">
        <v>5315057</v>
      </c>
      <c r="G67">
        <v>0.62680000000000002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-0.58421052631578885</v>
      </c>
      <c r="Q67">
        <f t="shared" ref="Q67" si="311">F67*P67</f>
        <v>-3105112.2473684177</v>
      </c>
      <c r="R67">
        <f t="shared" ref="R67" si="312">R68+Q67</f>
        <v>-171425057.87547609</v>
      </c>
      <c r="S67">
        <f t="shared" ref="S67" si="313">R67/100000</f>
        <v>-1714.2505787547609</v>
      </c>
      <c r="T67">
        <f t="shared" ref="T67" si="314">S67/1000</f>
        <v>-1.7142505787547608</v>
      </c>
    </row>
    <row r="68" spans="1:20" x14ac:dyDescent="0.25">
      <c r="A68" s="5">
        <v>44525</v>
      </c>
      <c r="B68">
        <v>0.63859999999999995</v>
      </c>
      <c r="C68">
        <v>0.68779999999999997</v>
      </c>
      <c r="D68">
        <v>0.63490000000000002</v>
      </c>
      <c r="E68">
        <v>0.68149999999999999</v>
      </c>
      <c r="F68">
        <v>3987840</v>
      </c>
      <c r="G68">
        <v>0.68149999999999999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0.76181474480151312</v>
      </c>
      <c r="Q68">
        <f t="shared" ref="Q68" si="316">F68*P68</f>
        <v>3037995.3119092663</v>
      </c>
      <c r="R68">
        <f t="shared" ref="R68" si="317">R69+Q68</f>
        <v>-168319945.62810767</v>
      </c>
      <c r="S68">
        <f t="shared" ref="S68" si="318">R68/100000</f>
        <v>-1683.1994562810767</v>
      </c>
      <c r="T68">
        <f t="shared" ref="T68" si="319">S68/1000</f>
        <v>-1.6831994562810766</v>
      </c>
    </row>
    <row r="69" spans="1:20" x14ac:dyDescent="0.25">
      <c r="A69" s="5">
        <v>44524</v>
      </c>
      <c r="B69">
        <v>0.67200000000000004</v>
      </c>
      <c r="C69">
        <v>0.67600000000000005</v>
      </c>
      <c r="D69">
        <v>0.64849999999999997</v>
      </c>
      <c r="E69">
        <v>0.65180000000000005</v>
      </c>
      <c r="F69">
        <v>1029042</v>
      </c>
      <c r="G69">
        <v>0.65180000000000005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-0.75999999999999479</v>
      </c>
      <c r="Q69">
        <f t="shared" ref="Q69" si="321">F69*P69</f>
        <v>-782071.91999999469</v>
      </c>
      <c r="R69">
        <f t="shared" ref="R69" si="322">R70+Q69</f>
        <v>-171357940.94001693</v>
      </c>
      <c r="S69">
        <f t="shared" ref="S69" si="323">R69/100000</f>
        <v>-1713.5794094001692</v>
      </c>
      <c r="T69">
        <f t="shared" ref="T69" si="324">S69/1000</f>
        <v>-1.7135794094001693</v>
      </c>
    </row>
    <row r="70" spans="1:20" x14ac:dyDescent="0.25">
      <c r="A70" s="5">
        <v>44523</v>
      </c>
      <c r="B70">
        <v>0.69040000000000001</v>
      </c>
      <c r="C70">
        <v>0.71360000000000001</v>
      </c>
      <c r="D70">
        <v>0.66190000000000004</v>
      </c>
      <c r="E70">
        <v>0.67149999999999999</v>
      </c>
      <c r="F70">
        <v>4149621</v>
      </c>
      <c r="G70">
        <v>0.67149999999999999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-0.62862669245648173</v>
      </c>
      <c r="Q70">
        <f t="shared" ref="Q70" si="326">F70*P70</f>
        <v>-2608562.5241779583</v>
      </c>
      <c r="R70">
        <f t="shared" ref="R70" si="327">R71+Q70</f>
        <v>-170575869.02001694</v>
      </c>
      <c r="S70">
        <f t="shared" ref="S70" si="328">R70/100000</f>
        <v>-1705.7586902001694</v>
      </c>
      <c r="T70">
        <f t="shared" ref="T70" si="329">S70/1000</f>
        <v>-1.7057586902001693</v>
      </c>
    </row>
    <row r="71" spans="1:20" x14ac:dyDescent="0.25">
      <c r="A71" s="5">
        <v>44522</v>
      </c>
      <c r="B71">
        <v>0.68730000000000002</v>
      </c>
      <c r="C71">
        <v>0.73</v>
      </c>
      <c r="D71">
        <v>0.66510000000000002</v>
      </c>
      <c r="E71">
        <v>0.69</v>
      </c>
      <c r="F71">
        <v>5661209</v>
      </c>
      <c r="G71">
        <v>0.69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-0.23266563944530236</v>
      </c>
      <c r="Q71">
        <f t="shared" ref="Q71" si="331">F71*P71</f>
        <v>-1317168.8120185006</v>
      </c>
      <c r="R71">
        <f t="shared" ref="R71" si="332">R72+Q71</f>
        <v>-167967306.49583897</v>
      </c>
      <c r="S71">
        <f t="shared" ref="S71" si="333">R71/100000</f>
        <v>-1679.6730649583897</v>
      </c>
      <c r="T71">
        <f t="shared" ref="T71" si="334">S71/1000</f>
        <v>-1.6796730649583897</v>
      </c>
    </row>
    <row r="72" spans="1:20" x14ac:dyDescent="0.25">
      <c r="A72" s="5">
        <v>44521</v>
      </c>
      <c r="B72">
        <v>0.68230000000000002</v>
      </c>
      <c r="C72">
        <v>0.7288</v>
      </c>
      <c r="D72">
        <v>0.66</v>
      </c>
      <c r="E72">
        <v>0.68720000000000003</v>
      </c>
      <c r="F72">
        <v>5549769</v>
      </c>
      <c r="G72">
        <v>0.68720000000000003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-0.20930232558139497</v>
      </c>
      <c r="Q72">
        <f t="shared" ref="Q72" si="336">F72*P72</f>
        <v>-1161579.5581395328</v>
      </c>
      <c r="R72">
        <f t="shared" ref="R72" si="337">R73+Q72</f>
        <v>-166650137.68382046</v>
      </c>
      <c r="S72">
        <f t="shared" ref="S72" si="338">R72/100000</f>
        <v>-1666.5013768382046</v>
      </c>
      <c r="T72">
        <f t="shared" ref="T72" si="339">S72/1000</f>
        <v>-1.6665013768382047</v>
      </c>
    </row>
    <row r="73" spans="1:20" x14ac:dyDescent="0.25">
      <c r="A73" s="5">
        <v>44520</v>
      </c>
      <c r="B73">
        <v>0.70389999999999997</v>
      </c>
      <c r="C73">
        <v>0.70399999999999996</v>
      </c>
      <c r="D73">
        <v>0.65210000000000001</v>
      </c>
      <c r="E73">
        <v>0.6825</v>
      </c>
      <c r="F73">
        <v>2759682</v>
      </c>
      <c r="G73">
        <v>0.6825</v>
      </c>
      <c r="L73" t="s">
        <v>7</v>
      </c>
      <c r="M73" t="s">
        <v>7</v>
      </c>
      <c r="N73" t="s">
        <v>7</v>
      </c>
      <c r="P73">
        <f t="shared" ref="P73" si="340">IF(C73=D73,0,((E73-D73)-(C73-E73))/(C73-D73))</f>
        <v>0.17148362235067491</v>
      </c>
      <c r="Q73">
        <f t="shared" ref="Q73" si="341">F73*P73</f>
        <v>473240.26589595521</v>
      </c>
      <c r="R73">
        <f t="shared" ref="R73" si="342">R74+Q73</f>
        <v>-165488558.12568092</v>
      </c>
      <c r="S73">
        <f t="shared" ref="S73" si="343">R73/100000</f>
        <v>-1654.8855812568092</v>
      </c>
      <c r="T73">
        <f t="shared" ref="T73" si="344">S73/1000</f>
        <v>-1.6548855812568093</v>
      </c>
    </row>
    <row r="74" spans="1:20" x14ac:dyDescent="0.25">
      <c r="A74" s="5">
        <v>44519</v>
      </c>
      <c r="B74">
        <v>0.62519999999999998</v>
      </c>
      <c r="C74">
        <v>0.72189999999999999</v>
      </c>
      <c r="D74">
        <v>0.61919999999999997</v>
      </c>
      <c r="E74">
        <v>0.70389999999999997</v>
      </c>
      <c r="F74">
        <v>3239617</v>
      </c>
      <c r="G74">
        <v>0.70389999999999997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0.6494644595910416</v>
      </c>
      <c r="Q74">
        <f t="shared" ref="Q74" si="346">F74*P74</f>
        <v>2104016.1041869512</v>
      </c>
      <c r="R74">
        <f t="shared" ref="R74" si="347">R75+Q74</f>
        <v>-165961798.39157689</v>
      </c>
      <c r="S74">
        <f t="shared" ref="S74" si="348">R74/100000</f>
        <v>-1659.6179839157689</v>
      </c>
      <c r="T74">
        <f t="shared" ref="T74" si="349">S74/1000</f>
        <v>-1.659617983915769</v>
      </c>
    </row>
    <row r="75" spans="1:20" x14ac:dyDescent="0.25">
      <c r="A75" s="5">
        <v>44518</v>
      </c>
      <c r="B75">
        <v>0.6865</v>
      </c>
      <c r="C75">
        <v>0.70820000000000005</v>
      </c>
      <c r="D75">
        <v>0.61819999999999997</v>
      </c>
      <c r="E75">
        <v>0.62409999999999999</v>
      </c>
      <c r="F75">
        <v>3383208</v>
      </c>
      <c r="G75">
        <v>0.62409999999999999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-0.8688888888888886</v>
      </c>
      <c r="Q75">
        <f t="shared" ref="Q75" si="351">F75*P75</f>
        <v>-2939631.8399999989</v>
      </c>
      <c r="R75">
        <f t="shared" ref="R75" si="352">R76+Q75</f>
        <v>-168065814.49576384</v>
      </c>
      <c r="S75">
        <f t="shared" ref="S75" si="353">R75/100000</f>
        <v>-1680.6581449576383</v>
      </c>
      <c r="T75">
        <f t="shared" ref="T75" si="354">S75/1000</f>
        <v>-1.6806581449576383</v>
      </c>
    </row>
    <row r="76" spans="1:20" x14ac:dyDescent="0.25">
      <c r="A76" s="5">
        <v>44517</v>
      </c>
      <c r="B76">
        <v>0.67449999999999999</v>
      </c>
      <c r="C76">
        <v>0.74650000000000005</v>
      </c>
      <c r="D76">
        <v>0.65</v>
      </c>
      <c r="E76">
        <v>0.68640000000000001</v>
      </c>
      <c r="F76">
        <v>4982638</v>
      </c>
      <c r="G76">
        <v>0.68640000000000001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-0.24559585492228028</v>
      </c>
      <c r="Q76">
        <f t="shared" ref="Q76" si="356">F76*P76</f>
        <v>-1223715.2393782409</v>
      </c>
      <c r="R76">
        <f t="shared" ref="R76" si="357">R77+Q76</f>
        <v>-165126182.65576383</v>
      </c>
      <c r="S76">
        <f t="shared" ref="S76" si="358">R76/100000</f>
        <v>-1651.2618265576384</v>
      </c>
      <c r="T76">
        <f t="shared" ref="T76" si="359">S76/1000</f>
        <v>-1.6512618265576384</v>
      </c>
    </row>
    <row r="77" spans="1:20" x14ac:dyDescent="0.25">
      <c r="A77" s="5">
        <v>44516</v>
      </c>
      <c r="B77">
        <v>0.70809999999999995</v>
      </c>
      <c r="C77">
        <v>0.70899999999999996</v>
      </c>
      <c r="D77">
        <v>0.65210000000000001</v>
      </c>
      <c r="E77">
        <v>0.67449999999999999</v>
      </c>
      <c r="F77">
        <v>3283398</v>
      </c>
      <c r="G77">
        <v>0.67449999999999999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-0.21265377855887541</v>
      </c>
      <c r="Q77">
        <f t="shared" ref="Q77" si="361">F77*P77</f>
        <v>-698226.99121265439</v>
      </c>
      <c r="R77">
        <f t="shared" ref="R77" si="362">R78+Q77</f>
        <v>-163902467.41638559</v>
      </c>
      <c r="S77">
        <f t="shared" ref="S77" si="363">R77/100000</f>
        <v>-1639.0246741638559</v>
      </c>
      <c r="T77">
        <f t="shared" ref="T77" si="364">S77/1000</f>
        <v>-1.6390246741638559</v>
      </c>
    </row>
    <row r="78" spans="1:20" x14ac:dyDescent="0.25">
      <c r="A78" s="5">
        <v>44515</v>
      </c>
      <c r="B78">
        <v>0.72870000000000001</v>
      </c>
      <c r="C78">
        <v>0.73499999999999999</v>
      </c>
      <c r="D78">
        <v>0.70679999999999998</v>
      </c>
      <c r="E78">
        <v>0.70779999999999998</v>
      </c>
      <c r="F78">
        <v>2740877</v>
      </c>
      <c r="G78">
        <v>0.70779999999999998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-0.92907801418439706</v>
      </c>
      <c r="Q78">
        <f t="shared" ref="Q78" si="366">F78*P78</f>
        <v>-2546488.5602836874</v>
      </c>
      <c r="R78">
        <f t="shared" ref="R78" si="367">R79+Q78</f>
        <v>-163204240.42517292</v>
      </c>
      <c r="S78">
        <f t="shared" ref="S78" si="368">R78/100000</f>
        <v>-1632.0424042517293</v>
      </c>
      <c r="T78">
        <f t="shared" ref="T78" si="369">S78/1000</f>
        <v>-1.6320424042517292</v>
      </c>
    </row>
    <row r="79" spans="1:20" x14ac:dyDescent="0.25">
      <c r="A79" s="5">
        <v>44514</v>
      </c>
      <c r="B79">
        <v>0.72799999999999998</v>
      </c>
      <c r="C79">
        <v>0.7389</v>
      </c>
      <c r="D79">
        <v>0.71389999999999998</v>
      </c>
      <c r="E79">
        <v>0.72870000000000001</v>
      </c>
      <c r="F79">
        <v>2478008</v>
      </c>
      <c r="G79">
        <v>0.72870000000000001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0.18400000000000177</v>
      </c>
      <c r="Q79">
        <f t="shared" ref="Q79" si="371">F79*P79</f>
        <v>455953.47200000437</v>
      </c>
      <c r="R79">
        <f t="shared" ref="R79" si="372">R80+Q79</f>
        <v>-160657751.86488923</v>
      </c>
      <c r="S79">
        <f t="shared" ref="S79" si="373">R79/100000</f>
        <v>-1606.5775186488922</v>
      </c>
      <c r="T79">
        <f t="shared" ref="T79" si="374">S79/1000</f>
        <v>-1.6065775186488922</v>
      </c>
    </row>
    <row r="80" spans="1:20" x14ac:dyDescent="0.25">
      <c r="A80" s="5">
        <v>44513</v>
      </c>
      <c r="B80">
        <v>0.76629999999999998</v>
      </c>
      <c r="C80">
        <v>0.76690000000000003</v>
      </c>
      <c r="D80">
        <v>0.70150000000000001</v>
      </c>
      <c r="E80">
        <v>0.72799999999999998</v>
      </c>
      <c r="F80">
        <v>4976048</v>
      </c>
      <c r="G80">
        <v>0.72799999999999998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-0.18960244648318159</v>
      </c>
      <c r="Q80">
        <f t="shared" ref="Q80" si="376">F80*P80</f>
        <v>-943470.87461774272</v>
      </c>
      <c r="R80">
        <f t="shared" ref="R80" si="377">R81+Q80</f>
        <v>-161113705.33688924</v>
      </c>
      <c r="S80">
        <f t="shared" ref="S80" si="378">R80/100000</f>
        <v>-1611.1370533688923</v>
      </c>
      <c r="T80">
        <f t="shared" ref="T80" si="379">S80/1000</f>
        <v>-1.6111370533688922</v>
      </c>
    </row>
    <row r="81" spans="1:20" x14ac:dyDescent="0.25">
      <c r="A81" s="5">
        <v>44512</v>
      </c>
      <c r="B81">
        <v>0.74219999999999997</v>
      </c>
      <c r="C81">
        <v>0.77</v>
      </c>
      <c r="D81">
        <v>0.70850000000000002</v>
      </c>
      <c r="E81">
        <v>0.76529999999999998</v>
      </c>
      <c r="F81">
        <v>4998735</v>
      </c>
      <c r="G81">
        <v>0.76529999999999998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0.84715447154471424</v>
      </c>
      <c r="Q81">
        <f t="shared" ref="Q81" si="381">F81*P81</f>
        <v>4234700.7073170673</v>
      </c>
      <c r="R81">
        <f t="shared" ref="R81" si="382">R82+Q81</f>
        <v>-160170234.46227148</v>
      </c>
      <c r="S81">
        <f t="shared" ref="S81" si="383">R81/100000</f>
        <v>-1601.7023446227149</v>
      </c>
      <c r="T81">
        <f t="shared" ref="T81" si="384">S81/1000</f>
        <v>-1.601702344622715</v>
      </c>
    </row>
    <row r="82" spans="1:20" x14ac:dyDescent="0.25">
      <c r="A82" s="5">
        <v>44511</v>
      </c>
      <c r="B82">
        <v>0.72719999999999996</v>
      </c>
      <c r="C82">
        <v>0.75549999999999995</v>
      </c>
      <c r="D82">
        <v>0.72</v>
      </c>
      <c r="E82">
        <v>0.74219999999999997</v>
      </c>
      <c r="F82">
        <v>3325154</v>
      </c>
      <c r="G82">
        <v>0.74219999999999997</v>
      </c>
      <c r="L82" t="s">
        <v>7</v>
      </c>
      <c r="M82" t="s">
        <v>7</v>
      </c>
      <c r="N82" t="s">
        <v>8</v>
      </c>
      <c r="P82">
        <f t="shared" ref="P82" si="385">IF(C82=D82,0,((E82-D82)-(C82-E82))/(C82-D82))</f>
        <v>0.2507042253521134</v>
      </c>
      <c r="Q82">
        <f t="shared" ref="Q82" si="386">F82*P82</f>
        <v>833630.15774648124</v>
      </c>
      <c r="R82">
        <f t="shared" ref="R82" si="387">R83+Q82</f>
        <v>-164404935.16958854</v>
      </c>
      <c r="S82">
        <f t="shared" ref="S82" si="388">R82/100000</f>
        <v>-1644.0493516958854</v>
      </c>
      <c r="T82">
        <f t="shared" ref="T82" si="389">S82/1000</f>
        <v>-1.6440493516958854</v>
      </c>
    </row>
    <row r="83" spans="1:20" x14ac:dyDescent="0.25">
      <c r="A83" s="5">
        <v>44510</v>
      </c>
      <c r="B83">
        <v>0.78749999999999998</v>
      </c>
      <c r="C83">
        <v>0.7994</v>
      </c>
      <c r="D83">
        <v>0.71479999999999999</v>
      </c>
      <c r="E83">
        <v>0.72719999999999996</v>
      </c>
      <c r="F83">
        <v>5337001</v>
      </c>
      <c r="G83">
        <v>0.72719999999999996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-0.70685579196217574</v>
      </c>
      <c r="Q83">
        <f t="shared" ref="Q83" si="391">F83*P83</f>
        <v>-3772490.0685579237</v>
      </c>
      <c r="R83">
        <f t="shared" ref="R83" si="392">R84+Q83</f>
        <v>-165238565.32733503</v>
      </c>
      <c r="S83">
        <f t="shared" ref="S83" si="393">R83/100000</f>
        <v>-1652.3856532733503</v>
      </c>
      <c r="T83">
        <f t="shared" ref="T83" si="394">S83/1000</f>
        <v>-1.6523856532733503</v>
      </c>
    </row>
    <row r="84" spans="1:20" x14ac:dyDescent="0.25">
      <c r="A84" s="5">
        <v>44509</v>
      </c>
      <c r="B84">
        <v>0.77049999999999996</v>
      </c>
      <c r="C84">
        <v>0.82279999999999998</v>
      </c>
      <c r="D84">
        <v>0.76</v>
      </c>
      <c r="E84">
        <v>0.78610000000000002</v>
      </c>
      <c r="F84">
        <v>6093465</v>
      </c>
      <c r="G84">
        <v>0.78610000000000002</v>
      </c>
      <c r="L84" t="s">
        <v>8</v>
      </c>
      <c r="M84" t="s">
        <v>7</v>
      </c>
      <c r="N84" t="s">
        <v>8</v>
      </c>
      <c r="P84">
        <f t="shared" ref="P84" si="395">IF(C84=D84,0,((E84-D84)-(C84-E84))/(C84-D84))</f>
        <v>-0.16878980891719664</v>
      </c>
      <c r="Q84">
        <f t="shared" ref="Q84" si="396">F84*P84</f>
        <v>-1028514.7929936256</v>
      </c>
      <c r="R84">
        <f t="shared" ref="R84" si="397">R85+Q84</f>
        <v>-161466075.25877711</v>
      </c>
      <c r="S84">
        <f t="shared" ref="S84" si="398">R84/100000</f>
        <v>-1614.6607525877712</v>
      </c>
      <c r="T84">
        <f t="shared" ref="T84" si="399">S84/1000</f>
        <v>-1.6146607525877712</v>
      </c>
    </row>
    <row r="85" spans="1:20" x14ac:dyDescent="0.25">
      <c r="A85" s="5">
        <v>44508</v>
      </c>
      <c r="B85">
        <v>0.77339999999999998</v>
      </c>
      <c r="C85">
        <v>0.80559999999999998</v>
      </c>
      <c r="D85">
        <v>0.76400000000000001</v>
      </c>
      <c r="E85">
        <v>0.77070000000000005</v>
      </c>
      <c r="F85">
        <v>3647206</v>
      </c>
      <c r="G85">
        <v>0.77070000000000005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-0.67788461538461331</v>
      </c>
      <c r="Q85">
        <f t="shared" ref="Q85" si="401">F85*P85</f>
        <v>-2472384.8365384541</v>
      </c>
      <c r="R85">
        <f t="shared" ref="R85" si="402">R86+Q85</f>
        <v>-160437560.46578348</v>
      </c>
      <c r="S85">
        <f t="shared" ref="S85" si="403">R85/100000</f>
        <v>-1604.3756046578349</v>
      </c>
      <c r="T85">
        <f t="shared" ref="T85" si="404">S85/1000</f>
        <v>-1.6043756046578348</v>
      </c>
    </row>
    <row r="86" spans="1:20" x14ac:dyDescent="0.25">
      <c r="A86" s="5">
        <v>44507</v>
      </c>
      <c r="B86">
        <v>0.78500000000000003</v>
      </c>
      <c r="C86">
        <v>0.78590000000000004</v>
      </c>
      <c r="D86">
        <v>0.76739999999999997</v>
      </c>
      <c r="E86">
        <v>0.77290000000000003</v>
      </c>
      <c r="F86">
        <v>1759773</v>
      </c>
      <c r="G86">
        <v>0.77290000000000003</v>
      </c>
      <c r="L86" t="s">
        <v>7</v>
      </c>
      <c r="M86" t="s">
        <v>7</v>
      </c>
      <c r="N86" t="s">
        <v>8</v>
      </c>
      <c r="P86">
        <f t="shared" ref="P86" si="405">IF(C86=D86,0,((E86-D86)-(C86-E86))/(C86-D86))</f>
        <v>-0.40540540540540121</v>
      </c>
      <c r="Q86">
        <f t="shared" ref="Q86" si="406">F86*P86</f>
        <v>-713421.48648647906</v>
      </c>
      <c r="R86">
        <f t="shared" ref="R86" si="407">R87+Q86</f>
        <v>-157965175.62924501</v>
      </c>
      <c r="S86">
        <f t="shared" ref="S86" si="408">R86/100000</f>
        <v>-1579.65175629245</v>
      </c>
      <c r="T86">
        <f t="shared" ref="T86" si="409">S86/1000</f>
        <v>-1.5796517562924501</v>
      </c>
    </row>
    <row r="87" spans="1:20" x14ac:dyDescent="0.25">
      <c r="A87" s="5">
        <v>44506</v>
      </c>
      <c r="B87">
        <v>0.7661</v>
      </c>
      <c r="C87">
        <v>0.78590000000000004</v>
      </c>
      <c r="D87">
        <v>0.74</v>
      </c>
      <c r="E87">
        <v>0.78500000000000003</v>
      </c>
      <c r="F87">
        <v>2415422</v>
      </c>
      <c r="G87">
        <v>0.78500000000000003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0.96078431372548967</v>
      </c>
      <c r="Q87">
        <f t="shared" ref="Q87" si="411">F87*P87</f>
        <v>2320699.5686274497</v>
      </c>
      <c r="R87">
        <f t="shared" ref="R87" si="412">R88+Q87</f>
        <v>-157251754.14275855</v>
      </c>
      <c r="S87">
        <f t="shared" ref="S87" si="413">R87/100000</f>
        <v>-1572.5175414275855</v>
      </c>
      <c r="T87">
        <f t="shared" ref="T87" si="414">S87/1000</f>
        <v>-1.5725175414275854</v>
      </c>
    </row>
    <row r="88" spans="1:20" x14ac:dyDescent="0.25">
      <c r="A88" s="5">
        <v>44505</v>
      </c>
      <c r="B88">
        <v>0.80940000000000001</v>
      </c>
      <c r="C88">
        <v>0.81420000000000003</v>
      </c>
      <c r="D88">
        <v>0.76559999999999995</v>
      </c>
      <c r="E88">
        <v>0.76690000000000003</v>
      </c>
      <c r="F88">
        <v>3344998</v>
      </c>
      <c r="G88">
        <v>0.76690000000000003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-0.94650205761316553</v>
      </c>
      <c r="Q88">
        <f t="shared" ref="Q88" si="416">F88*P88</f>
        <v>-3166047.4897119235</v>
      </c>
      <c r="R88">
        <f t="shared" ref="R88" si="417">R89+Q88</f>
        <v>-159572453.711386</v>
      </c>
      <c r="S88">
        <f t="shared" ref="S88" si="418">R88/100000</f>
        <v>-1595.7245371138599</v>
      </c>
      <c r="T88">
        <f t="shared" ref="T88" si="419">S88/1000</f>
        <v>-1.59572453711386</v>
      </c>
    </row>
    <row r="89" spans="1:20" x14ac:dyDescent="0.25">
      <c r="A89" s="5">
        <v>44504</v>
      </c>
      <c r="B89">
        <v>0.84260000000000002</v>
      </c>
      <c r="C89">
        <v>0.84889999999999999</v>
      </c>
      <c r="D89">
        <v>0.80200000000000005</v>
      </c>
      <c r="E89">
        <v>0.81040000000000001</v>
      </c>
      <c r="F89">
        <v>4071935</v>
      </c>
      <c r="G89">
        <v>0.81040000000000001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-0.64179104477612048</v>
      </c>
      <c r="Q89">
        <f t="shared" ref="Q89" si="421">F89*P89</f>
        <v>-2613331.417910452</v>
      </c>
      <c r="R89">
        <f t="shared" ref="R89" si="422">R90+Q89</f>
        <v>-156406406.22167408</v>
      </c>
      <c r="S89">
        <f t="shared" ref="S89" si="423">R89/100000</f>
        <v>-1564.0640622167409</v>
      </c>
      <c r="T89">
        <f t="shared" ref="T89" si="424">S89/1000</f>
        <v>-1.564064062216741</v>
      </c>
    </row>
    <row r="90" spans="1:20" x14ac:dyDescent="0.25">
      <c r="A90" s="5">
        <v>44503</v>
      </c>
      <c r="B90">
        <v>0.89259999999999995</v>
      </c>
      <c r="C90">
        <v>0.96299999999999997</v>
      </c>
      <c r="D90">
        <v>0.81499999999999995</v>
      </c>
      <c r="E90">
        <v>0.84260000000000002</v>
      </c>
      <c r="F90">
        <v>7675386</v>
      </c>
      <c r="G90">
        <v>0.84260000000000002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-0.62702702702702617</v>
      </c>
      <c r="Q90">
        <f t="shared" ref="Q90" si="426">F90*P90</f>
        <v>-4812674.4648648584</v>
      </c>
      <c r="R90">
        <f t="shared" ref="R90" si="427">R91+Q90</f>
        <v>-153793074.80376363</v>
      </c>
      <c r="S90">
        <f t="shared" ref="S90" si="428">R90/100000</f>
        <v>-1537.9307480376362</v>
      </c>
      <c r="T90">
        <f t="shared" ref="T90" si="429">S90/1000</f>
        <v>-1.5379307480376363</v>
      </c>
    </row>
    <row r="91" spans="1:20" x14ac:dyDescent="0.25">
      <c r="A91" s="5">
        <v>44502</v>
      </c>
      <c r="B91">
        <v>0.86050000000000004</v>
      </c>
      <c r="C91">
        <v>0.92330000000000001</v>
      </c>
      <c r="D91">
        <v>0.80269999999999997</v>
      </c>
      <c r="E91">
        <v>0.89300000000000002</v>
      </c>
      <c r="F91">
        <v>20696115</v>
      </c>
      <c r="G91">
        <v>0.89300000000000002</v>
      </c>
      <c r="L91" t="s">
        <v>7</v>
      </c>
      <c r="M91" t="s">
        <v>8</v>
      </c>
      <c r="N91" t="s">
        <v>8</v>
      </c>
      <c r="P91">
        <f t="shared" ref="P91" si="430">IF(C91=D91,0,((E91-D91)-(C91-E91))/(C91-D91))</f>
        <v>0.49751243781094556</v>
      </c>
      <c r="Q91">
        <f t="shared" ref="Q91" si="431">F91*P91</f>
        <v>10296574.626865678</v>
      </c>
      <c r="R91">
        <f t="shared" ref="R91" si="432">R92+Q91</f>
        <v>-148980400.33889878</v>
      </c>
      <c r="S91">
        <f t="shared" ref="S91" si="433">R91/100000</f>
        <v>-1489.8040033889877</v>
      </c>
      <c r="T91">
        <f t="shared" ref="T91" si="434">S91/1000</f>
        <v>-1.4898040033889877</v>
      </c>
    </row>
    <row r="92" spans="1:20" x14ac:dyDescent="0.25">
      <c r="A92" s="5">
        <v>44501</v>
      </c>
      <c r="B92">
        <v>0.76149999999999995</v>
      </c>
      <c r="C92">
        <v>0.91369999999999996</v>
      </c>
      <c r="D92">
        <v>0.71630000000000005</v>
      </c>
      <c r="E92">
        <v>0.86019999999999996</v>
      </c>
      <c r="F92">
        <v>30248773</v>
      </c>
      <c r="G92">
        <v>0.86019999999999996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0.45795339412360669</v>
      </c>
      <c r="Q92">
        <f t="shared" ref="Q92" si="436">F92*P92</f>
        <v>13852528.263424512</v>
      </c>
      <c r="R92">
        <f t="shared" ref="R92" si="437">R93+Q92</f>
        <v>-159276974.96576446</v>
      </c>
      <c r="S92">
        <f t="shared" ref="S92" si="438">R92/100000</f>
        <v>-1592.7697496576445</v>
      </c>
      <c r="T92">
        <f t="shared" ref="T92" si="439">S92/1000</f>
        <v>-1.5927697496576445</v>
      </c>
    </row>
    <row r="93" spans="1:20" x14ac:dyDescent="0.25">
      <c r="A93" s="5">
        <v>44500</v>
      </c>
      <c r="B93">
        <v>0.71889999999999998</v>
      </c>
      <c r="C93">
        <v>0.84599999999999997</v>
      </c>
      <c r="D93">
        <v>0.69350000000000001</v>
      </c>
      <c r="E93">
        <v>0.7601</v>
      </c>
      <c r="F93">
        <v>7619895</v>
      </c>
      <c r="G93">
        <v>0.7601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-0.12655737704918024</v>
      </c>
      <c r="Q93">
        <f t="shared" ref="Q93" si="441">F93*P93</f>
        <v>-964353.92459016328</v>
      </c>
      <c r="R93">
        <f t="shared" ref="R93" si="442">R94+Q93</f>
        <v>-173129503.22918898</v>
      </c>
      <c r="S93">
        <f t="shared" ref="S93" si="443">R93/100000</f>
        <v>-1731.2950322918898</v>
      </c>
      <c r="T93">
        <f t="shared" ref="T93" si="444">S93/1000</f>
        <v>-1.7312950322918899</v>
      </c>
    </row>
    <row r="94" spans="1:20" x14ac:dyDescent="0.25">
      <c r="A94" s="5">
        <v>44499</v>
      </c>
      <c r="B94">
        <v>0.70109999999999995</v>
      </c>
      <c r="C94">
        <v>0.76529999999999998</v>
      </c>
      <c r="D94">
        <v>0.69499999999999995</v>
      </c>
      <c r="E94">
        <v>0.71689999999999998</v>
      </c>
      <c r="F94">
        <v>8153462</v>
      </c>
      <c r="G94">
        <v>0.71689999999999998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-0.37695590327169215</v>
      </c>
      <c r="Q94">
        <f t="shared" ref="Q94" si="446">F94*P94</f>
        <v>-3073495.6330014174</v>
      </c>
      <c r="R94">
        <f t="shared" ref="R94" si="447">R95+Q94</f>
        <v>-172165149.30459881</v>
      </c>
      <c r="S94">
        <f t="shared" ref="S94" si="448">R94/100000</f>
        <v>-1721.651493045988</v>
      </c>
      <c r="T94">
        <f t="shared" ref="T94" si="449">S94/1000</f>
        <v>-1.7216514930459881</v>
      </c>
    </row>
    <row r="95" spans="1:20" x14ac:dyDescent="0.25">
      <c r="A95" s="5">
        <v>44498</v>
      </c>
      <c r="B95">
        <v>0.69359999999999999</v>
      </c>
      <c r="C95">
        <v>0.74229999999999996</v>
      </c>
      <c r="D95">
        <v>0.6905</v>
      </c>
      <c r="E95">
        <v>0.70099999999999996</v>
      </c>
      <c r="F95">
        <v>4337480</v>
      </c>
      <c r="G95">
        <v>0.70099999999999996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-0.59459459459459607</v>
      </c>
      <c r="Q95">
        <f t="shared" ref="Q95" si="451">F95*P95</f>
        <v>-2579042.1621621684</v>
      </c>
      <c r="R95">
        <f t="shared" ref="R95" si="452">R96+Q95</f>
        <v>-169091653.67159739</v>
      </c>
      <c r="S95">
        <f t="shared" ref="S95" si="453">R95/100000</f>
        <v>-1690.916536715974</v>
      </c>
      <c r="T95">
        <f t="shared" ref="T95" si="454">S95/1000</f>
        <v>-1.690916536715974</v>
      </c>
    </row>
    <row r="96" spans="1:20" x14ac:dyDescent="0.25">
      <c r="A96" s="5">
        <v>44497</v>
      </c>
      <c r="B96">
        <v>0.70250000000000001</v>
      </c>
      <c r="C96">
        <v>0.72370000000000001</v>
      </c>
      <c r="D96">
        <v>0.67959999999999998</v>
      </c>
      <c r="E96">
        <v>0.69359999999999999</v>
      </c>
      <c r="F96">
        <v>9828271</v>
      </c>
      <c r="G96">
        <v>0.69359999999999999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-0.36507936507936489</v>
      </c>
      <c r="Q96">
        <f t="shared" ref="Q96" si="456">F96*P96</f>
        <v>-3588098.9365079347</v>
      </c>
      <c r="R96">
        <f t="shared" ref="R96" si="457">R97+Q96</f>
        <v>-166512611.50943524</v>
      </c>
      <c r="S96">
        <f t="shared" ref="S96" si="458">R96/100000</f>
        <v>-1665.1261150943524</v>
      </c>
      <c r="T96">
        <f t="shared" ref="T96" si="459">S96/1000</f>
        <v>-1.6651261150943524</v>
      </c>
    </row>
    <row r="97" spans="1:20" x14ac:dyDescent="0.25">
      <c r="A97" s="5">
        <v>44496</v>
      </c>
      <c r="B97">
        <v>0.76400000000000001</v>
      </c>
      <c r="C97">
        <v>0.76649999999999996</v>
      </c>
      <c r="D97">
        <v>0.68679999999999997</v>
      </c>
      <c r="E97">
        <v>0.70150000000000001</v>
      </c>
      <c r="F97">
        <v>17610851</v>
      </c>
      <c r="G97">
        <v>0.70150000000000001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-0.63111668757841788</v>
      </c>
      <c r="Q97">
        <f t="shared" ref="Q97" si="461">F97*P97</f>
        <v>-11114501.948557068</v>
      </c>
      <c r="R97">
        <f t="shared" ref="R97" si="462">R98+Q97</f>
        <v>-162924512.5729273</v>
      </c>
      <c r="S97">
        <f t="shared" ref="S97" si="463">R97/100000</f>
        <v>-1629.245125729273</v>
      </c>
      <c r="T97">
        <f t="shared" ref="T97" si="464">S97/1000</f>
        <v>-1.629245125729273</v>
      </c>
    </row>
    <row r="98" spans="1:20" x14ac:dyDescent="0.25">
      <c r="A98" s="5">
        <v>44495</v>
      </c>
      <c r="B98">
        <v>0.76939999999999997</v>
      </c>
      <c r="C98">
        <v>0.77339999999999998</v>
      </c>
      <c r="D98">
        <v>0.75</v>
      </c>
      <c r="E98">
        <v>0.76490000000000002</v>
      </c>
      <c r="F98">
        <v>4775333</v>
      </c>
      <c r="G98">
        <v>0.76490000000000002</v>
      </c>
      <c r="L98" t="s">
        <v>8</v>
      </c>
      <c r="M98" t="s">
        <v>7</v>
      </c>
      <c r="N98" t="s">
        <v>7</v>
      </c>
      <c r="P98">
        <f t="shared" ref="P98" si="465">IF(C98=D98,0,((E98-D98)-(C98-E98))/(C98-D98))</f>
        <v>0.27350427350427686</v>
      </c>
      <c r="Q98">
        <f t="shared" ref="Q98" si="466">F98*P98</f>
        <v>1306073.9829059988</v>
      </c>
      <c r="R98">
        <f t="shared" ref="R98" si="467">R99+Q98</f>
        <v>-151810010.62437022</v>
      </c>
      <c r="S98">
        <f t="shared" ref="S98" si="468">R98/100000</f>
        <v>-1518.1001062437022</v>
      </c>
      <c r="T98">
        <f t="shared" ref="T98" si="469">S98/1000</f>
        <v>-1.5181001062437021</v>
      </c>
    </row>
    <row r="99" spans="1:20" x14ac:dyDescent="0.25">
      <c r="A99" s="5">
        <v>44494</v>
      </c>
      <c r="B99">
        <v>0.74770000000000003</v>
      </c>
      <c r="C99">
        <v>0.78559999999999997</v>
      </c>
      <c r="D99">
        <v>0.74439999999999995</v>
      </c>
      <c r="E99">
        <v>0.76829999999999998</v>
      </c>
      <c r="F99">
        <v>10939450</v>
      </c>
      <c r="G99">
        <v>0.76829999999999998</v>
      </c>
      <c r="L99" t="s">
        <v>8</v>
      </c>
      <c r="M99" t="s">
        <v>7</v>
      </c>
      <c r="N99" t="s">
        <v>7</v>
      </c>
      <c r="P99">
        <f t="shared" ref="P99" si="470">IF(C99=D99,0,((E99-D99)-(C99-E99))/(C99-D99))</f>
        <v>0.16019417475728273</v>
      </c>
      <c r="Q99">
        <f t="shared" ref="Q99" si="471">F99*P99</f>
        <v>1752436.1650485566</v>
      </c>
      <c r="R99">
        <f t="shared" ref="R99" si="472">R100+Q99</f>
        <v>-153116084.6072762</v>
      </c>
      <c r="S99">
        <f t="shared" ref="S99" si="473">R99/100000</f>
        <v>-1531.1608460727621</v>
      </c>
      <c r="T99">
        <f t="shared" ref="T99" si="474">S99/1000</f>
        <v>-1.5311608460727621</v>
      </c>
    </row>
    <row r="100" spans="1:20" x14ac:dyDescent="0.25">
      <c r="A100" s="5">
        <v>44493</v>
      </c>
      <c r="B100">
        <v>0.75570000000000004</v>
      </c>
      <c r="C100">
        <v>0.77829999999999999</v>
      </c>
      <c r="D100">
        <v>0.72230000000000005</v>
      </c>
      <c r="E100">
        <v>0.74829999999999997</v>
      </c>
      <c r="F100">
        <v>2710190</v>
      </c>
      <c r="G100">
        <v>0.74829999999999997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-7.1428571428573548E-2</v>
      </c>
      <c r="Q100">
        <f t="shared" ref="Q100" si="476">F100*P100</f>
        <v>-193585.00000000573</v>
      </c>
      <c r="R100">
        <f t="shared" ref="R100" si="477">R101+Q100</f>
        <v>-154868520.77232477</v>
      </c>
      <c r="S100">
        <f t="shared" ref="S100" si="478">R100/100000</f>
        <v>-1548.6852077232477</v>
      </c>
      <c r="T100">
        <f t="shared" ref="T100" si="479">S100/1000</f>
        <v>-1.5486852077232476</v>
      </c>
    </row>
    <row r="101" spans="1:20" x14ac:dyDescent="0.25">
      <c r="A101" s="5">
        <v>44492</v>
      </c>
      <c r="B101">
        <v>0.75</v>
      </c>
      <c r="C101">
        <v>0.75749999999999995</v>
      </c>
      <c r="D101">
        <v>0.73850000000000005</v>
      </c>
      <c r="E101">
        <v>0.75419999999999998</v>
      </c>
      <c r="F101">
        <v>2584707</v>
      </c>
      <c r="G101">
        <v>0.75419999999999998</v>
      </c>
      <c r="L101" t="s">
        <v>7</v>
      </c>
      <c r="M101" t="s">
        <v>7</v>
      </c>
      <c r="N101" t="s">
        <v>7</v>
      </c>
      <c r="P101">
        <f t="shared" ref="P101" si="480">IF(C101=D101,0,((E101-D101)-(C101-E101))/(C101-D101))</f>
        <v>0.65263157894736989</v>
      </c>
      <c r="Q101">
        <f t="shared" ref="Q101" si="481">F101*P101</f>
        <v>1686861.4105263196</v>
      </c>
      <c r="R101">
        <f t="shared" ref="R101" si="482">R102+Q101</f>
        <v>-154674935.77232477</v>
      </c>
      <c r="S101">
        <f t="shared" ref="S101" si="483">R101/100000</f>
        <v>-1546.7493577232476</v>
      </c>
      <c r="T101">
        <f t="shared" ref="T101" si="484">S101/1000</f>
        <v>-1.5467493577232476</v>
      </c>
    </row>
    <row r="102" spans="1:20" x14ac:dyDescent="0.25">
      <c r="A102" s="5">
        <v>44491</v>
      </c>
      <c r="B102">
        <v>0.7621</v>
      </c>
      <c r="C102">
        <v>0.77610000000000001</v>
      </c>
      <c r="D102">
        <v>0.73770000000000002</v>
      </c>
      <c r="E102">
        <v>0.75090000000000001</v>
      </c>
      <c r="F102">
        <v>3825751</v>
      </c>
      <c r="G102">
        <v>0.75090000000000001</v>
      </c>
      <c r="L102" t="s">
        <v>7</v>
      </c>
      <c r="M102" t="s">
        <v>7</v>
      </c>
      <c r="N102" t="s">
        <v>7</v>
      </c>
      <c r="P102">
        <f t="shared" ref="P102" si="485">IF(C102=D102,0,((E102-D102)-(C102-E102))/(C102-D102))</f>
        <v>-0.31250000000000039</v>
      </c>
      <c r="Q102">
        <f t="shared" ref="Q102" si="486">F102*P102</f>
        <v>-1195547.1875000014</v>
      </c>
      <c r="R102">
        <f t="shared" ref="R102" si="487">R103+Q102</f>
        <v>-156361797.18285108</v>
      </c>
      <c r="S102">
        <f t="shared" ref="S102" si="488">R102/100000</f>
        <v>-1563.6179718285107</v>
      </c>
      <c r="T102">
        <f t="shared" ref="T102" si="489">S102/1000</f>
        <v>-1.5636179718285106</v>
      </c>
    </row>
    <row r="103" spans="1:20" x14ac:dyDescent="0.25">
      <c r="A103" s="5">
        <v>44490</v>
      </c>
      <c r="B103">
        <v>0.78739999999999999</v>
      </c>
      <c r="C103">
        <v>0.80149999999999999</v>
      </c>
      <c r="D103">
        <v>0.7611</v>
      </c>
      <c r="E103">
        <v>0.76190000000000002</v>
      </c>
      <c r="F103">
        <v>4886541</v>
      </c>
      <c r="G103">
        <v>0.76190000000000002</v>
      </c>
      <c r="L103" t="s">
        <v>7</v>
      </c>
      <c r="M103" t="s">
        <v>7</v>
      </c>
      <c r="N103" t="s">
        <v>7</v>
      </c>
      <c r="P103">
        <f t="shared" ref="P103" si="490">IF(C103=D103,0,((E103-D103)-(C103-E103))/(C103-D103))</f>
        <v>-0.96039603960395925</v>
      </c>
      <c r="Q103">
        <f t="shared" ref="Q103" si="491">F103*P103</f>
        <v>-4693014.623762371</v>
      </c>
      <c r="R103">
        <f t="shared" ref="R103" si="492">R104+Q103</f>
        <v>-155166249.99535108</v>
      </c>
      <c r="S103">
        <f t="shared" ref="S103" si="493">R103/100000</f>
        <v>-1551.6624999535109</v>
      </c>
      <c r="T103">
        <f t="shared" ref="T103" si="494">S103/1000</f>
        <v>-1.5516624999535109</v>
      </c>
    </row>
    <row r="104" spans="1:20" x14ac:dyDescent="0.25">
      <c r="A104" s="5">
        <v>44489</v>
      </c>
      <c r="B104">
        <v>0.77929999999999999</v>
      </c>
      <c r="C104">
        <v>0.8125</v>
      </c>
      <c r="D104">
        <v>0.76659999999999995</v>
      </c>
      <c r="E104">
        <v>0.78680000000000005</v>
      </c>
      <c r="F104">
        <v>6577244</v>
      </c>
      <c r="G104">
        <v>0.78680000000000005</v>
      </c>
      <c r="L104" t="s">
        <v>7</v>
      </c>
      <c r="M104" t="s">
        <v>7</v>
      </c>
      <c r="N104" t="s">
        <v>7</v>
      </c>
      <c r="P104">
        <f t="shared" ref="P104" si="495">IF(C104=D104,0,((E104-D104)-(C104-E104))/(C104-D104))</f>
        <v>-0.11982570806099851</v>
      </c>
      <c r="Q104">
        <f t="shared" ref="Q104" si="496">F104*P104</f>
        <v>-788122.91938995407</v>
      </c>
      <c r="R104">
        <f t="shared" ref="R104" si="497">R105+Q104</f>
        <v>-150473235.37158871</v>
      </c>
      <c r="S104">
        <f t="shared" ref="S104" si="498">R104/100000</f>
        <v>-1504.732353715887</v>
      </c>
      <c r="T104">
        <f t="shared" ref="T104" si="499">S104/1000</f>
        <v>-1.504732353715887</v>
      </c>
    </row>
    <row r="105" spans="1:20" x14ac:dyDescent="0.25">
      <c r="A105" s="5">
        <v>44488</v>
      </c>
      <c r="B105">
        <v>0.78139999999999998</v>
      </c>
      <c r="C105">
        <v>0.81</v>
      </c>
      <c r="D105">
        <v>0.76629999999999998</v>
      </c>
      <c r="E105">
        <v>0.77990000000000004</v>
      </c>
      <c r="F105">
        <v>4462701</v>
      </c>
      <c r="G105">
        <v>0.77990000000000004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-0.3775743707093806</v>
      </c>
      <c r="Q105">
        <f t="shared" ref="Q105" si="501">F105*P105</f>
        <v>-1685001.5217391236</v>
      </c>
      <c r="R105">
        <f t="shared" ref="R105" si="502">R106+Q105</f>
        <v>-149685112.45219874</v>
      </c>
      <c r="S105">
        <f t="shared" ref="S105" si="503">R105/100000</f>
        <v>-1496.8511245219875</v>
      </c>
      <c r="T105">
        <f t="shared" ref="T105" si="504">S105/1000</f>
        <v>-1.4968511245219875</v>
      </c>
    </row>
    <row r="106" spans="1:20" x14ac:dyDescent="0.25">
      <c r="A106" s="5">
        <v>44487</v>
      </c>
      <c r="B106">
        <v>0.78759999999999997</v>
      </c>
      <c r="C106">
        <v>0.78959999999999997</v>
      </c>
      <c r="D106">
        <v>0.76800000000000002</v>
      </c>
      <c r="E106">
        <v>0.78120000000000001</v>
      </c>
      <c r="F106">
        <v>3909145</v>
      </c>
      <c r="G106">
        <v>0.78120000000000001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0.22222222222222393</v>
      </c>
      <c r="Q106">
        <f t="shared" ref="Q106" si="506">F106*P106</f>
        <v>868698.88888889551</v>
      </c>
      <c r="R106">
        <f t="shared" ref="R106" si="507">R107+Q106</f>
        <v>-148000110.93045962</v>
      </c>
      <c r="S106">
        <f t="shared" ref="S106" si="508">R106/100000</f>
        <v>-1480.0011093045962</v>
      </c>
      <c r="T106">
        <f t="shared" ref="T106" si="509">S106/1000</f>
        <v>-1.4800011093045962</v>
      </c>
    </row>
    <row r="107" spans="1:20" x14ac:dyDescent="0.25">
      <c r="A107" s="5">
        <v>44486</v>
      </c>
      <c r="B107">
        <v>0.77439999999999998</v>
      </c>
      <c r="C107">
        <v>0.82</v>
      </c>
      <c r="D107">
        <v>0.76639999999999997</v>
      </c>
      <c r="E107">
        <v>0.78759999999999997</v>
      </c>
      <c r="F107">
        <v>5743208</v>
      </c>
      <c r="G107">
        <v>0.78759999999999997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-0.20895522388059687</v>
      </c>
      <c r="Q107">
        <f t="shared" ref="Q107" si="511">F107*P107</f>
        <v>-1200073.313432835</v>
      </c>
      <c r="R107">
        <f t="shared" ref="R107" si="512">R108+Q107</f>
        <v>-148868809.81934851</v>
      </c>
      <c r="S107">
        <f t="shared" ref="S107" si="513">R107/100000</f>
        <v>-1488.6880981934851</v>
      </c>
      <c r="T107">
        <f t="shared" ref="T107" si="514">S107/1000</f>
        <v>-1.4886880981934851</v>
      </c>
    </row>
    <row r="108" spans="1:20" x14ac:dyDescent="0.25">
      <c r="A108" s="5">
        <v>44485</v>
      </c>
      <c r="B108">
        <v>0.80710000000000004</v>
      </c>
      <c r="C108">
        <v>0.84570000000000001</v>
      </c>
      <c r="D108">
        <v>0.77190000000000003</v>
      </c>
      <c r="E108">
        <v>0.77490000000000003</v>
      </c>
      <c r="F108">
        <v>8230708</v>
      </c>
      <c r="G108">
        <v>0.77490000000000003</v>
      </c>
      <c r="L108" t="s">
        <v>7</v>
      </c>
      <c r="M108" t="s">
        <v>7</v>
      </c>
      <c r="N108" t="s">
        <v>7</v>
      </c>
      <c r="P108">
        <f t="shared" ref="P108" si="515">IF(C108=D108,0,((E108-D108)-(C108-E108))/(C108-D108))</f>
        <v>-0.91869918699186981</v>
      </c>
      <c r="Q108">
        <f t="shared" ref="Q108" si="516">F108*P108</f>
        <v>-7561544.7479674788</v>
      </c>
      <c r="R108">
        <f t="shared" ref="R108" si="517">R109+Q108</f>
        <v>-147668736.50591567</v>
      </c>
      <c r="S108">
        <f t="shared" ref="S108" si="518">R108/100000</f>
        <v>-1476.6873650591567</v>
      </c>
      <c r="T108">
        <f t="shared" ref="T108" si="519">S108/1000</f>
        <v>-1.4766873650591568</v>
      </c>
    </row>
    <row r="109" spans="1:20" x14ac:dyDescent="0.25">
      <c r="A109" s="5">
        <v>44484</v>
      </c>
      <c r="B109">
        <v>0.83120000000000005</v>
      </c>
      <c r="C109">
        <v>0.83779999999999999</v>
      </c>
      <c r="D109">
        <v>0.78900000000000003</v>
      </c>
      <c r="E109">
        <v>0.80730000000000002</v>
      </c>
      <c r="F109">
        <v>7357438</v>
      </c>
      <c r="G109">
        <v>0.80730000000000002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-0.25</v>
      </c>
      <c r="Q109">
        <f t="shared" ref="Q109" si="521">F109*P109</f>
        <v>-1839359.5</v>
      </c>
      <c r="R109">
        <f t="shared" ref="R109" si="522">R110+Q109</f>
        <v>-140107191.75794819</v>
      </c>
      <c r="S109">
        <f t="shared" ref="S109" si="523">R109/100000</f>
        <v>-1401.0719175794818</v>
      </c>
      <c r="T109">
        <f t="shared" ref="T109" si="524">S109/1000</f>
        <v>-1.4010719175794819</v>
      </c>
    </row>
    <row r="110" spans="1:20" x14ac:dyDescent="0.25">
      <c r="A110" s="5">
        <v>44483</v>
      </c>
      <c r="B110">
        <v>0.84319999999999995</v>
      </c>
      <c r="C110">
        <v>0.90490000000000004</v>
      </c>
      <c r="D110">
        <v>0.80900000000000005</v>
      </c>
      <c r="E110">
        <v>0.83169999999999999</v>
      </c>
      <c r="F110">
        <v>14460175</v>
      </c>
      <c r="G110">
        <v>0.83169999999999999</v>
      </c>
      <c r="L110" t="s">
        <v>7</v>
      </c>
      <c r="M110" t="s">
        <v>7</v>
      </c>
      <c r="N110" t="s">
        <v>7</v>
      </c>
      <c r="P110">
        <f t="shared" ref="P110" si="525">IF(C110=D110,0,((E110-D110)-(C110-E110))/(C110-D110))</f>
        <v>-0.52659019812304597</v>
      </c>
      <c r="Q110">
        <f t="shared" ref="Q110" si="526">F110*P110</f>
        <v>-7614586.4181439159</v>
      </c>
      <c r="R110">
        <f t="shared" ref="R110" si="527">R111+Q110</f>
        <v>-138267832.25794819</v>
      </c>
      <c r="S110">
        <f t="shared" ref="S110" si="528">R110/100000</f>
        <v>-1382.6783225794818</v>
      </c>
      <c r="T110">
        <f t="shared" ref="T110" si="529">S110/1000</f>
        <v>-1.3826783225794819</v>
      </c>
    </row>
    <row r="111" spans="1:20" x14ac:dyDescent="0.25">
      <c r="A111" s="5">
        <v>44482</v>
      </c>
      <c r="B111">
        <v>0.76290000000000002</v>
      </c>
      <c r="C111">
        <v>0.97099999999999997</v>
      </c>
      <c r="D111">
        <v>0.73550000000000004</v>
      </c>
      <c r="E111">
        <v>0.84319999999999995</v>
      </c>
      <c r="F111">
        <v>26064849</v>
      </c>
      <c r="G111">
        <v>0.84319999999999995</v>
      </c>
      <c r="L111" t="s">
        <v>8</v>
      </c>
      <c r="M111" t="s">
        <v>8</v>
      </c>
      <c r="N111" t="s">
        <v>7</v>
      </c>
      <c r="P111">
        <f t="shared" ref="P111" si="530">IF(C111=D111,0,((E111-D111)-(C111-E111))/(C111-D111))</f>
        <v>-8.5350318471338102E-2</v>
      </c>
      <c r="Q111">
        <f t="shared" ref="Q111" si="531">F111*P111</f>
        <v>-2224643.1630573384</v>
      </c>
      <c r="R111">
        <f t="shared" ref="R111" si="532">R112+Q111</f>
        <v>-130653245.83980428</v>
      </c>
      <c r="S111">
        <f t="shared" ref="S111" si="533">R111/100000</f>
        <v>-1306.5324583980428</v>
      </c>
      <c r="T111">
        <f t="shared" ref="T111" si="534">S111/1000</f>
        <v>-1.3065324583980427</v>
      </c>
    </row>
    <row r="112" spans="1:20" x14ac:dyDescent="0.25">
      <c r="A112" s="5">
        <v>44481</v>
      </c>
      <c r="B112">
        <v>0.79159999999999997</v>
      </c>
      <c r="C112">
        <v>0.79169999999999996</v>
      </c>
      <c r="D112">
        <v>0.73680000000000001</v>
      </c>
      <c r="E112">
        <v>0.76319999999999999</v>
      </c>
      <c r="F112">
        <v>3229388</v>
      </c>
      <c r="G112">
        <v>0.76319999999999999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-3.8251366120218448E-2</v>
      </c>
      <c r="Q112">
        <f t="shared" ref="Q112" si="536">F112*P112</f>
        <v>-123528.50273224001</v>
      </c>
      <c r="R112">
        <f t="shared" ref="R112" si="537">R113+Q112</f>
        <v>-128428602.67674693</v>
      </c>
      <c r="S112">
        <f t="shared" ref="S112" si="538">R112/100000</f>
        <v>-1284.2860267674694</v>
      </c>
      <c r="T112">
        <f t="shared" ref="T112" si="539">S112/1000</f>
        <v>-1.2842860267674694</v>
      </c>
    </row>
    <row r="113" spans="1:20" x14ac:dyDescent="0.25">
      <c r="A113" s="5">
        <v>44480</v>
      </c>
      <c r="B113">
        <v>0.80020000000000002</v>
      </c>
      <c r="C113">
        <v>0.85</v>
      </c>
      <c r="D113">
        <v>0.78610000000000002</v>
      </c>
      <c r="E113">
        <v>0.79110000000000003</v>
      </c>
      <c r="F113">
        <v>5183846</v>
      </c>
      <c r="G113">
        <v>0.79110000000000003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-0.84350547730829395</v>
      </c>
      <c r="Q113">
        <f t="shared" ref="Q113" si="541">F113*P113</f>
        <v>-4372602.4945226908</v>
      </c>
      <c r="R113">
        <f t="shared" ref="R113" si="542">R114+Q113</f>
        <v>-128305074.17401469</v>
      </c>
      <c r="S113">
        <f t="shared" ref="S113" si="543">R113/100000</f>
        <v>-1283.0507417401468</v>
      </c>
      <c r="T113">
        <f t="shared" ref="T113" si="544">S113/1000</f>
        <v>-1.2830507417401469</v>
      </c>
    </row>
    <row r="114" spans="1:20" x14ac:dyDescent="0.25">
      <c r="A114" s="5">
        <v>44479</v>
      </c>
      <c r="B114">
        <v>0.83909999999999996</v>
      </c>
      <c r="C114">
        <v>0.85219999999999996</v>
      </c>
      <c r="D114">
        <v>0.79510000000000003</v>
      </c>
      <c r="E114">
        <v>0.8</v>
      </c>
      <c r="F114">
        <v>5588808</v>
      </c>
      <c r="G114">
        <v>0.8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-0.8283712784588434</v>
      </c>
      <c r="Q114">
        <f t="shared" ref="Q114" si="546">F114*P114</f>
        <v>-4629608.0280210115</v>
      </c>
      <c r="R114">
        <f t="shared" ref="R114" si="547">R115+Q114</f>
        <v>-123932471.679492</v>
      </c>
      <c r="S114">
        <f t="shared" ref="S114" si="548">R114/100000</f>
        <v>-1239.3247167949201</v>
      </c>
      <c r="T114">
        <f t="shared" ref="T114" si="549">S114/1000</f>
        <v>-1.23932471679492</v>
      </c>
    </row>
    <row r="115" spans="1:20" x14ac:dyDescent="0.25">
      <c r="A115" s="5">
        <v>44478</v>
      </c>
      <c r="B115">
        <v>0.78539999999999999</v>
      </c>
      <c r="C115">
        <v>1.091</v>
      </c>
      <c r="D115">
        <v>0.78469999999999995</v>
      </c>
      <c r="E115">
        <v>0.83909999999999996</v>
      </c>
      <c r="F115">
        <v>48199575</v>
      </c>
      <c r="G115">
        <v>0.83909999999999996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-0.64479268690825986</v>
      </c>
      <c r="Q115">
        <f t="shared" ref="Q115" si="551">F115*P115</f>
        <v>-31078733.472086187</v>
      </c>
      <c r="R115">
        <f t="shared" ref="R115" si="552">R116+Q115</f>
        <v>-119302863.65147099</v>
      </c>
      <c r="S115">
        <f t="shared" ref="S115" si="553">R115/100000</f>
        <v>-1193.0286365147099</v>
      </c>
      <c r="T115">
        <f t="shared" ref="T115" si="554">S115/1000</f>
        <v>-1.1930286365147098</v>
      </c>
    </row>
    <row r="116" spans="1:20" x14ac:dyDescent="0.25">
      <c r="A116" s="5">
        <v>44477</v>
      </c>
      <c r="B116">
        <v>0.75249999999999995</v>
      </c>
      <c r="C116">
        <v>0.81889999999999996</v>
      </c>
      <c r="D116">
        <v>0.72919999999999996</v>
      </c>
      <c r="E116">
        <v>0.78600000000000003</v>
      </c>
      <c r="F116">
        <v>9549761</v>
      </c>
      <c r="G116">
        <v>0.78600000000000003</v>
      </c>
      <c r="L116" t="s">
        <v>7</v>
      </c>
      <c r="M116" t="s">
        <v>8</v>
      </c>
      <c r="N116" t="s">
        <v>8</v>
      </c>
      <c r="P116">
        <f t="shared" ref="P116" si="555">IF(C116=D116,0,((E116-D116)-(C116-E116))/(C116-D116))</f>
        <v>0.2664437012263115</v>
      </c>
      <c r="Q116">
        <f t="shared" ref="Q116" si="556">F116*P116</f>
        <v>2544473.6666666819</v>
      </c>
      <c r="R116">
        <f t="shared" ref="R116" si="557">R117+Q116</f>
        <v>-88224130.179384798</v>
      </c>
      <c r="S116">
        <f t="shared" ref="S116" si="558">R116/100000</f>
        <v>-882.24130179384792</v>
      </c>
      <c r="T116">
        <f t="shared" ref="T116" si="559">S116/1000</f>
        <v>-0.88224130179384797</v>
      </c>
    </row>
    <row r="117" spans="1:20" x14ac:dyDescent="0.25">
      <c r="A117" s="5">
        <v>44476</v>
      </c>
      <c r="B117">
        <v>0.6986</v>
      </c>
      <c r="C117">
        <v>0.83499999999999996</v>
      </c>
      <c r="D117">
        <v>0.67789999999999995</v>
      </c>
      <c r="E117">
        <v>0.75329999999999997</v>
      </c>
      <c r="F117">
        <v>16083520</v>
      </c>
      <c r="G117">
        <v>0.75329999999999997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-4.0101845957988359E-2</v>
      </c>
      <c r="Q117">
        <f t="shared" ref="Q117" si="561">F117*P117</f>
        <v>-644978.84150222491</v>
      </c>
      <c r="R117">
        <f t="shared" ref="R117" si="562">R118+Q117</f>
        <v>-90768603.846051484</v>
      </c>
      <c r="S117">
        <f t="shared" ref="S117" si="563">R117/100000</f>
        <v>-907.68603846051485</v>
      </c>
      <c r="T117">
        <f t="shared" ref="T117" si="564">S117/1000</f>
        <v>-0.90768603846051488</v>
      </c>
    </row>
    <row r="118" spans="1:20" x14ac:dyDescent="0.25">
      <c r="A118" s="5">
        <v>44475</v>
      </c>
      <c r="B118">
        <v>0.71230000000000004</v>
      </c>
      <c r="C118">
        <v>0.71399999999999997</v>
      </c>
      <c r="D118">
        <v>0.68240000000000001</v>
      </c>
      <c r="E118">
        <v>0.6986</v>
      </c>
      <c r="F118">
        <v>3248016</v>
      </c>
      <c r="G118">
        <v>0.6986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2.5316455696203288E-2</v>
      </c>
      <c r="Q118">
        <f t="shared" ref="Q118" si="566">F118*P118</f>
        <v>82228.253164559414</v>
      </c>
      <c r="R118">
        <f t="shared" ref="R118" si="567">R119+Q118</f>
        <v>-90123625.004549265</v>
      </c>
      <c r="S118">
        <f t="shared" ref="S118" si="568">R118/100000</f>
        <v>-901.23625004549262</v>
      </c>
      <c r="T118">
        <f t="shared" ref="T118" si="569">S118/1000</f>
        <v>-0.90123625004549257</v>
      </c>
    </row>
    <row r="119" spans="1:20" x14ac:dyDescent="0.25">
      <c r="A119" s="5">
        <v>44474</v>
      </c>
      <c r="B119">
        <v>0.70440000000000003</v>
      </c>
      <c r="C119">
        <v>0.72589999999999999</v>
      </c>
      <c r="D119">
        <v>0.69779999999999998</v>
      </c>
      <c r="E119">
        <v>0.71319999999999995</v>
      </c>
      <c r="F119">
        <v>3163095</v>
      </c>
      <c r="G119">
        <v>0.71319999999999995</v>
      </c>
      <c r="L119" t="s">
        <v>7</v>
      </c>
      <c r="M119" t="s">
        <v>8</v>
      </c>
      <c r="N119" t="s">
        <v>7</v>
      </c>
      <c r="P119">
        <f t="shared" ref="P119" si="570">IF(C119=D119,0,((E119-D119)-(C119-E119))/(C119-D119))</f>
        <v>9.6085409252666315E-2</v>
      </c>
      <c r="Q119">
        <f t="shared" ref="Q119" si="571">F119*P119</f>
        <v>303927.27758006257</v>
      </c>
      <c r="R119">
        <f t="shared" ref="R119" si="572">R120+Q119</f>
        <v>-90205853.257713825</v>
      </c>
      <c r="S119">
        <f t="shared" ref="S119" si="573">R119/100000</f>
        <v>-902.05853257713829</v>
      </c>
      <c r="T119">
        <f t="shared" ref="T119" si="574">S119/1000</f>
        <v>-0.90205853257713831</v>
      </c>
    </row>
    <row r="120" spans="1:20" x14ac:dyDescent="0.25">
      <c r="A120" s="5">
        <v>44473</v>
      </c>
      <c r="B120">
        <v>0.73619999999999997</v>
      </c>
      <c r="C120">
        <v>0.73629999999999995</v>
      </c>
      <c r="D120">
        <v>0.68889999999999996</v>
      </c>
      <c r="E120">
        <v>0.70450000000000002</v>
      </c>
      <c r="F120">
        <v>4095079</v>
      </c>
      <c r="G120">
        <v>0.70450000000000002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-0.34177215189873167</v>
      </c>
      <c r="Q120">
        <f t="shared" ref="Q120" si="576">F120*P120</f>
        <v>-1399583.9620253062</v>
      </c>
      <c r="R120">
        <f t="shared" ref="R120" si="577">R121+Q120</f>
        <v>-90509780.535293892</v>
      </c>
      <c r="S120">
        <f t="shared" ref="S120" si="578">R120/100000</f>
        <v>-905.09780535293896</v>
      </c>
      <c r="T120">
        <f t="shared" ref="T120" si="579">S120/1000</f>
        <v>-0.90509780535293893</v>
      </c>
    </row>
    <row r="121" spans="1:20" x14ac:dyDescent="0.25">
      <c r="A121" s="5">
        <v>44472</v>
      </c>
      <c r="B121">
        <v>0.68200000000000005</v>
      </c>
      <c r="C121">
        <v>0.75229999999999997</v>
      </c>
      <c r="D121">
        <v>0.67</v>
      </c>
      <c r="E121">
        <v>0.73560000000000003</v>
      </c>
      <c r="F121">
        <v>5976079</v>
      </c>
      <c r="G121">
        <v>0.73560000000000003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0.59416767922235836</v>
      </c>
      <c r="Q121">
        <f t="shared" ref="Q121" si="581">F121*P121</f>
        <v>3550792.990279472</v>
      </c>
      <c r="R121">
        <f t="shared" ref="R121" si="582">R122+Q121</f>
        <v>-89110196.573268592</v>
      </c>
      <c r="S121">
        <f t="shared" ref="S121" si="583">R121/100000</f>
        <v>-891.10196573268593</v>
      </c>
      <c r="T121">
        <f t="shared" ref="T121" si="584">S121/1000</f>
        <v>-0.89110196573268596</v>
      </c>
    </row>
    <row r="122" spans="1:20" x14ac:dyDescent="0.25">
      <c r="A122" s="5">
        <v>44471</v>
      </c>
      <c r="B122">
        <v>0.69110000000000005</v>
      </c>
      <c r="C122">
        <v>0.69979999999999998</v>
      </c>
      <c r="D122">
        <v>0.67</v>
      </c>
      <c r="E122">
        <v>0.68010000000000004</v>
      </c>
      <c r="F122">
        <v>3708250</v>
      </c>
      <c r="G122">
        <v>0.68010000000000004</v>
      </c>
      <c r="L122" t="s">
        <v>8</v>
      </c>
      <c r="M122" t="s">
        <v>7</v>
      </c>
      <c r="N122" t="s">
        <v>7</v>
      </c>
      <c r="P122">
        <f t="shared" ref="P122" si="585">IF(C122=D122,0,((E122-D122)-(C122-E122))/(C122-D122))</f>
        <v>-0.32214765100671011</v>
      </c>
      <c r="Q122">
        <f t="shared" ref="Q122" si="586">F122*P122</f>
        <v>-1194604.0268456328</v>
      </c>
      <c r="R122">
        <f t="shared" ref="R122" si="587">R123+Q122</f>
        <v>-92660989.563548058</v>
      </c>
      <c r="S122">
        <f t="shared" ref="S122" si="588">R122/100000</f>
        <v>-926.6098956354806</v>
      </c>
      <c r="T122">
        <f t="shared" ref="T122" si="589">S122/1000</f>
        <v>-0.92660989563548057</v>
      </c>
    </row>
    <row r="123" spans="1:20" x14ac:dyDescent="0.25">
      <c r="A123" s="5">
        <v>44470</v>
      </c>
      <c r="B123">
        <v>0.63070000000000004</v>
      </c>
      <c r="C123">
        <v>0.69499999999999995</v>
      </c>
      <c r="D123">
        <v>0.62780000000000002</v>
      </c>
      <c r="E123">
        <v>0.69059999999999999</v>
      </c>
      <c r="F123">
        <v>6996897</v>
      </c>
      <c r="G123">
        <v>0.69059999999999999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0.86904761904762007</v>
      </c>
      <c r="Q123">
        <f t="shared" ref="Q123" si="591">F123*P123</f>
        <v>6080636.6785714356</v>
      </c>
      <c r="R123">
        <f t="shared" ref="R123" si="592">R124+Q123</f>
        <v>-91466385.536702424</v>
      </c>
      <c r="S123">
        <f t="shared" ref="S123" si="593">R123/100000</f>
        <v>-914.66385536702421</v>
      </c>
      <c r="T123">
        <f t="shared" ref="T123" si="594">S123/1000</f>
        <v>-0.91466385536702421</v>
      </c>
    </row>
    <row r="124" spans="1:20" x14ac:dyDescent="0.25">
      <c r="A124" s="5">
        <v>44469</v>
      </c>
      <c r="B124">
        <v>0.62109999999999999</v>
      </c>
      <c r="C124">
        <v>0.63839999999999997</v>
      </c>
      <c r="D124">
        <v>0.61409999999999998</v>
      </c>
      <c r="E124">
        <v>0.63039999999999996</v>
      </c>
      <c r="F124">
        <v>3331111</v>
      </c>
      <c r="G124">
        <v>0.63039999999999996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0.34156378600822956</v>
      </c>
      <c r="Q124">
        <f t="shared" ref="Q124" si="596">F124*P124</f>
        <v>1137786.8847736595</v>
      </c>
      <c r="R124">
        <f t="shared" ref="R124" si="597">R125+Q124</f>
        <v>-97547022.215273857</v>
      </c>
      <c r="S124">
        <f t="shared" ref="S124" si="598">R124/100000</f>
        <v>-975.47022215273853</v>
      </c>
      <c r="T124">
        <f t="shared" ref="T124" si="599">S124/1000</f>
        <v>-0.97547022215273849</v>
      </c>
    </row>
    <row r="125" spans="1:20" x14ac:dyDescent="0.25">
      <c r="A125" s="5">
        <v>44468</v>
      </c>
      <c r="B125">
        <v>0.61240000000000006</v>
      </c>
      <c r="C125">
        <v>0.63800000000000001</v>
      </c>
      <c r="D125">
        <v>0.60799999999999998</v>
      </c>
      <c r="E125">
        <v>0.62090000000000001</v>
      </c>
      <c r="F125">
        <v>4243592</v>
      </c>
      <c r="G125">
        <v>0.62090000000000001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-0.13999999999999926</v>
      </c>
      <c r="Q125">
        <f t="shared" ref="Q125" si="601">F125*P125</f>
        <v>-594102.87999999686</v>
      </c>
      <c r="R125">
        <f t="shared" ref="R125" si="602">R126+Q125</f>
        <v>-98684809.100047514</v>
      </c>
      <c r="S125">
        <f t="shared" ref="S125" si="603">R125/100000</f>
        <v>-986.84809100047516</v>
      </c>
      <c r="T125">
        <f t="shared" ref="T125" si="604">S125/1000</f>
        <v>-0.98684809100047521</v>
      </c>
    </row>
    <row r="126" spans="1:20" x14ac:dyDescent="0.25">
      <c r="A126" s="5">
        <v>44467</v>
      </c>
      <c r="B126">
        <v>0.65110000000000001</v>
      </c>
      <c r="C126">
        <v>0.65500000000000003</v>
      </c>
      <c r="D126">
        <v>0.61</v>
      </c>
      <c r="E126">
        <v>0.61260000000000003</v>
      </c>
      <c r="F126">
        <v>6686987</v>
      </c>
      <c r="G126">
        <v>0.61260000000000003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-0.88444444444444248</v>
      </c>
      <c r="Q126">
        <f t="shared" ref="Q126" si="606">F126*P126</f>
        <v>-5914268.5022222092</v>
      </c>
      <c r="R126">
        <f t="shared" ref="R126" si="607">R127+Q126</f>
        <v>-98090706.220047519</v>
      </c>
      <c r="S126">
        <f t="shared" ref="S126" si="608">R126/100000</f>
        <v>-980.90706220047514</v>
      </c>
      <c r="T126">
        <f t="shared" ref="T126" si="609">S126/1000</f>
        <v>-0.98090706220047519</v>
      </c>
    </row>
    <row r="127" spans="1:20" x14ac:dyDescent="0.25">
      <c r="A127" s="5">
        <v>44466</v>
      </c>
      <c r="B127">
        <v>0.65529999999999999</v>
      </c>
      <c r="C127">
        <v>0.69620000000000004</v>
      </c>
      <c r="D127">
        <v>0.64219999999999999</v>
      </c>
      <c r="E127">
        <v>0.65149999999999997</v>
      </c>
      <c r="F127">
        <v>7296315</v>
      </c>
      <c r="G127">
        <v>0.65149999999999997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-0.65555555555555678</v>
      </c>
      <c r="Q127">
        <f t="shared" ref="Q127" si="611">F127*P127</f>
        <v>-4783139.8333333423</v>
      </c>
      <c r="R127">
        <f t="shared" ref="R127" si="612">R128+Q127</f>
        <v>-92176437.717825308</v>
      </c>
      <c r="S127">
        <f t="shared" ref="S127" si="613">R127/100000</f>
        <v>-921.76437717825308</v>
      </c>
      <c r="T127">
        <f t="shared" ref="T127" si="614">S127/1000</f>
        <v>-0.9217643771782531</v>
      </c>
    </row>
    <row r="128" spans="1:20" x14ac:dyDescent="0.25">
      <c r="A128" s="5">
        <v>44465</v>
      </c>
      <c r="B128">
        <v>0.7127</v>
      </c>
      <c r="C128">
        <v>0.71350000000000002</v>
      </c>
      <c r="D128">
        <v>0.60109999999999997</v>
      </c>
      <c r="E128">
        <v>0.65580000000000005</v>
      </c>
      <c r="F128">
        <v>11800021</v>
      </c>
      <c r="G128">
        <v>0.65580000000000005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-2.6690391459073756E-2</v>
      </c>
      <c r="Q128">
        <f t="shared" ref="Q128" si="616">F128*P128</f>
        <v>-314947.17971529096</v>
      </c>
      <c r="R128">
        <f t="shared" ref="R128" si="617">R129+Q128</f>
        <v>-87393297.884491965</v>
      </c>
      <c r="S128">
        <f t="shared" ref="S128" si="618">R128/100000</f>
        <v>-873.9329788449196</v>
      </c>
      <c r="T128">
        <f t="shared" ref="T128" si="619">S128/1000</f>
        <v>-0.87393297884491961</v>
      </c>
    </row>
    <row r="129" spans="1:20" x14ac:dyDescent="0.25">
      <c r="A129" s="5">
        <v>44464</v>
      </c>
      <c r="B129">
        <v>0.74739999999999995</v>
      </c>
      <c r="C129">
        <v>0.75509999999999999</v>
      </c>
      <c r="D129">
        <v>0.70369999999999999</v>
      </c>
      <c r="E129">
        <v>0.71299999999999997</v>
      </c>
      <c r="F129">
        <v>4680766</v>
      </c>
      <c r="G129">
        <v>0.71299999999999997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-0.63813229571984531</v>
      </c>
      <c r="Q129">
        <f t="shared" ref="Q129" si="621">F129*P129</f>
        <v>-2986947.9533073977</v>
      </c>
      <c r="R129">
        <f t="shared" ref="R129" si="622">R130+Q129</f>
        <v>-87078350.704776675</v>
      </c>
      <c r="S129">
        <f t="shared" ref="S129" si="623">R129/100000</f>
        <v>-870.78350704776676</v>
      </c>
      <c r="T129">
        <f t="shared" ref="T129" si="624">S129/1000</f>
        <v>-0.87078350704776675</v>
      </c>
    </row>
    <row r="130" spans="1:20" x14ac:dyDescent="0.25">
      <c r="A130" s="5">
        <v>44463</v>
      </c>
      <c r="B130">
        <v>0.86509999999999998</v>
      </c>
      <c r="C130">
        <v>0.86770000000000003</v>
      </c>
      <c r="D130">
        <v>0.69</v>
      </c>
      <c r="E130">
        <v>0.74770000000000003</v>
      </c>
      <c r="F130">
        <v>14316586</v>
      </c>
      <c r="G130">
        <v>0.74770000000000003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-0.35059088351153561</v>
      </c>
      <c r="Q130">
        <f t="shared" ref="Q130" si="626">F130*P130</f>
        <v>-5019264.5346088819</v>
      </c>
      <c r="R130">
        <f t="shared" ref="R130" si="627">R131+Q130</f>
        <v>-84091402.751469284</v>
      </c>
      <c r="S130">
        <f t="shared" ref="S130" si="628">R130/100000</f>
        <v>-840.91402751469286</v>
      </c>
      <c r="T130">
        <f t="shared" ref="T130" si="629">S130/1000</f>
        <v>-0.84091402751469291</v>
      </c>
    </row>
    <row r="131" spans="1:20" x14ac:dyDescent="0.25">
      <c r="A131" s="5">
        <v>44462</v>
      </c>
      <c r="B131">
        <v>0.86099999999999999</v>
      </c>
      <c r="C131">
        <v>0.88270000000000004</v>
      </c>
      <c r="D131">
        <v>0.83899999999999997</v>
      </c>
      <c r="E131">
        <v>0.86409999999999998</v>
      </c>
      <c r="F131">
        <v>5358249</v>
      </c>
      <c r="G131">
        <v>0.86409999999999998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0.14874141876430066</v>
      </c>
      <c r="Q131">
        <f t="shared" ref="Q131" si="631">F131*P131</f>
        <v>796993.55835239531</v>
      </c>
      <c r="R131">
        <f t="shared" ref="R131" si="632">R132+Q131</f>
        <v>-79072138.216860399</v>
      </c>
      <c r="S131">
        <f t="shared" ref="S131" si="633">R131/100000</f>
        <v>-790.72138216860401</v>
      </c>
      <c r="T131">
        <f t="shared" ref="T131" si="634">S131/1000</f>
        <v>-0.79072138216860399</v>
      </c>
    </row>
    <row r="132" spans="1:20" x14ac:dyDescent="0.25">
      <c r="A132" s="5">
        <v>44461</v>
      </c>
      <c r="B132">
        <v>0.79690000000000005</v>
      </c>
      <c r="C132">
        <v>0.86170000000000002</v>
      </c>
      <c r="D132">
        <v>0.79400000000000004</v>
      </c>
      <c r="E132">
        <v>0.86099999999999999</v>
      </c>
      <c r="F132">
        <v>4078745</v>
      </c>
      <c r="G132">
        <v>0.86099999999999999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0.9793205317577538</v>
      </c>
      <c r="Q132">
        <f t="shared" ref="Q132" si="636">F132*P132</f>
        <v>3994398.7223042795</v>
      </c>
      <c r="R132">
        <f t="shared" ref="R132" si="637">R133+Q132</f>
        <v>-79869131.775212795</v>
      </c>
      <c r="S132">
        <f t="shared" ref="S132" si="638">R132/100000</f>
        <v>-798.69131775212793</v>
      </c>
      <c r="T132">
        <f t="shared" ref="T132" si="639">S132/1000</f>
        <v>-0.79869131775212798</v>
      </c>
    </row>
    <row r="133" spans="1:20" x14ac:dyDescent="0.25">
      <c r="A133" s="5">
        <v>44460</v>
      </c>
      <c r="B133">
        <v>0.82650000000000001</v>
      </c>
      <c r="C133">
        <v>0.84560000000000002</v>
      </c>
      <c r="D133">
        <v>0.77790000000000004</v>
      </c>
      <c r="E133">
        <v>0.79649999999999999</v>
      </c>
      <c r="F133">
        <v>7073662</v>
      </c>
      <c r="G133">
        <v>0.79649999999999999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-0.45051698670605744</v>
      </c>
      <c r="Q133">
        <f t="shared" ref="Q133" si="641">F133*P133</f>
        <v>-3186804.8892171439</v>
      </c>
      <c r="R133">
        <f t="shared" ref="R133" si="642">R134+Q133</f>
        <v>-83863530.497517079</v>
      </c>
      <c r="S133">
        <f t="shared" ref="S133" si="643">R133/100000</f>
        <v>-838.63530497517081</v>
      </c>
      <c r="T133">
        <f t="shared" ref="T133" si="644">S133/1000</f>
        <v>-0.8386353049751708</v>
      </c>
    </row>
    <row r="134" spans="1:20" x14ac:dyDescent="0.25">
      <c r="A134" s="5">
        <v>44459</v>
      </c>
      <c r="B134">
        <v>0.9002</v>
      </c>
      <c r="C134">
        <v>0.90100000000000002</v>
      </c>
      <c r="D134">
        <v>0.84199999999999997</v>
      </c>
      <c r="E134">
        <v>0.84760000000000002</v>
      </c>
      <c r="F134">
        <v>4846561</v>
      </c>
      <c r="G134">
        <v>0.84760000000000002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-0.81016949152542217</v>
      </c>
      <c r="Q134">
        <f t="shared" ref="Q134" si="646">F134*P134</f>
        <v>-3926535.8610169417</v>
      </c>
      <c r="R134">
        <f t="shared" ref="R134" si="647">R135+Q134</f>
        <v>-80676725.608299941</v>
      </c>
      <c r="S134">
        <f t="shared" ref="S134" si="648">R134/100000</f>
        <v>-806.76725608299944</v>
      </c>
      <c r="T134">
        <f t="shared" ref="T134" si="649">S134/1000</f>
        <v>-0.80676725608299948</v>
      </c>
    </row>
    <row r="135" spans="1:20" x14ac:dyDescent="0.25">
      <c r="A135" s="5">
        <v>44458</v>
      </c>
      <c r="B135">
        <v>0.94310000000000005</v>
      </c>
      <c r="C135">
        <v>0.94330000000000003</v>
      </c>
      <c r="D135">
        <v>0.89400000000000002</v>
      </c>
      <c r="E135">
        <v>0.9002</v>
      </c>
      <c r="F135">
        <v>4870574</v>
      </c>
      <c r="G135">
        <v>0.9002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-0.74847870182555853</v>
      </c>
      <c r="Q135">
        <f t="shared" ref="Q135" si="651">F135*P135</f>
        <v>-3645520.9046653179</v>
      </c>
      <c r="R135">
        <f t="shared" ref="R135" si="652">R136+Q135</f>
        <v>-76750189.747282997</v>
      </c>
      <c r="S135">
        <f t="shared" ref="S135" si="653">R135/100000</f>
        <v>-767.50189747283002</v>
      </c>
      <c r="T135">
        <f t="shared" ref="T135" si="654">S135/1000</f>
        <v>-0.76750189747283004</v>
      </c>
    </row>
    <row r="136" spans="1:20" x14ac:dyDescent="0.25">
      <c r="A136" s="5">
        <v>44457</v>
      </c>
      <c r="B136">
        <v>1.0219</v>
      </c>
      <c r="C136">
        <v>1.0230999999999999</v>
      </c>
      <c r="D136">
        <v>0.90500000000000003</v>
      </c>
      <c r="E136">
        <v>0.94179999999999997</v>
      </c>
      <c r="F136">
        <v>9460724</v>
      </c>
      <c r="G136">
        <v>0.94179999999999997</v>
      </c>
      <c r="L136" t="s">
        <v>7</v>
      </c>
      <c r="M136" t="s">
        <v>7</v>
      </c>
      <c r="N136" t="s">
        <v>7</v>
      </c>
      <c r="P136">
        <f t="shared" ref="P136" si="655">IF(C136=D136,0,((E136-D136)-(C136-E136))/(C136-D136))</f>
        <v>-0.37679932260795962</v>
      </c>
      <c r="Q136">
        <f t="shared" ref="Q136" si="656">F136*P136</f>
        <v>-3564794.3945808662</v>
      </c>
      <c r="R136">
        <f t="shared" ref="R136" si="657">R137+Q136</f>
        <v>-73104668.842617676</v>
      </c>
      <c r="S136">
        <f t="shared" ref="S136" si="658">R136/100000</f>
        <v>-731.04668842617673</v>
      </c>
      <c r="T136">
        <f t="shared" ref="T136" si="659">S136/1000</f>
        <v>-0.73104668842617671</v>
      </c>
    </row>
    <row r="137" spans="1:20" x14ac:dyDescent="0.25">
      <c r="A137" s="5">
        <v>44456</v>
      </c>
      <c r="B137">
        <v>1.0362</v>
      </c>
      <c r="C137">
        <v>1.0884</v>
      </c>
      <c r="D137">
        <v>0.97</v>
      </c>
      <c r="E137">
        <v>1.0213000000000001</v>
      </c>
      <c r="F137">
        <v>11972004</v>
      </c>
      <c r="G137">
        <v>1.0213000000000001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-0.13344594594594431</v>
      </c>
      <c r="Q137">
        <f t="shared" ref="Q137" si="661">F137*P137</f>
        <v>-1597615.398648629</v>
      </c>
      <c r="R137">
        <f t="shared" ref="R137" si="662">R138+Q137</f>
        <v>-69539874.448036805</v>
      </c>
      <c r="S137">
        <f t="shared" ref="S137" si="663">R137/100000</f>
        <v>-695.39874448036801</v>
      </c>
      <c r="T137">
        <f t="shared" ref="T137" si="664">S137/1000</f>
        <v>-0.69539874448036798</v>
      </c>
    </row>
    <row r="138" spans="1:20" x14ac:dyDescent="0.25">
      <c r="A138" s="5">
        <v>44455</v>
      </c>
      <c r="B138">
        <v>1.0701000000000001</v>
      </c>
      <c r="C138">
        <v>1.2452000000000001</v>
      </c>
      <c r="D138">
        <v>1.0013000000000001</v>
      </c>
      <c r="E138">
        <v>1.0367</v>
      </c>
      <c r="F138">
        <v>52832949</v>
      </c>
      <c r="G138">
        <v>1.0367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-0.70971709717097275</v>
      </c>
      <c r="Q138">
        <f t="shared" ref="Q138" si="666">F138*P138</f>
        <v>-37496447.199262045</v>
      </c>
      <c r="R138">
        <f t="shared" ref="R138" si="667">R139+Q138</f>
        <v>-67942259.04938817</v>
      </c>
      <c r="S138">
        <f t="shared" ref="S138" si="668">R138/100000</f>
        <v>-679.42259049388167</v>
      </c>
      <c r="T138">
        <f t="shared" ref="T138" si="669">S138/1000</f>
        <v>-0.67942259049388165</v>
      </c>
    </row>
    <row r="139" spans="1:20" x14ac:dyDescent="0.25">
      <c r="A139" s="5">
        <v>44454</v>
      </c>
      <c r="B139">
        <v>0.86509999999999998</v>
      </c>
      <c r="C139">
        <v>1.2</v>
      </c>
      <c r="D139">
        <v>0.86270000000000002</v>
      </c>
      <c r="E139">
        <v>1.0710999999999999</v>
      </c>
      <c r="F139">
        <v>31039137</v>
      </c>
      <c r="G139">
        <v>1.0710999999999999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0.23569522680106705</v>
      </c>
      <c r="Q139">
        <f t="shared" ref="Q139" si="671">F139*P139</f>
        <v>7315776.434924392</v>
      </c>
      <c r="R139">
        <f t="shared" ref="R139" si="672">R140+Q139</f>
        <v>-30445811.850126125</v>
      </c>
      <c r="S139">
        <f t="shared" ref="S139" si="673">R139/100000</f>
        <v>-304.45811850126125</v>
      </c>
      <c r="T139">
        <f t="shared" ref="T139" si="674">S139/1000</f>
        <v>-0.30445811850126125</v>
      </c>
    </row>
    <row r="140" spans="1:20" x14ac:dyDescent="0.25">
      <c r="A140" s="5">
        <v>44453</v>
      </c>
      <c r="B140">
        <v>0.83120000000000005</v>
      </c>
      <c r="C140">
        <v>0.89</v>
      </c>
      <c r="D140">
        <v>0.82620000000000005</v>
      </c>
      <c r="E140">
        <v>0.86599999999999999</v>
      </c>
      <c r="F140">
        <v>6680415</v>
      </c>
      <c r="G140">
        <v>0.86599999999999999</v>
      </c>
      <c r="L140" t="s">
        <v>8</v>
      </c>
      <c r="M140" t="s">
        <v>7</v>
      </c>
      <c r="N140" t="s">
        <v>8</v>
      </c>
      <c r="P140">
        <f t="shared" ref="P140" si="675">IF(C140=D140,0,((E140-D140)-(C140-E140))/(C140-D140))</f>
        <v>0.24764890282131558</v>
      </c>
      <c r="Q140">
        <f t="shared" ref="Q140" si="676">F140*P140</f>
        <v>1654397.4451410589</v>
      </c>
      <c r="R140">
        <f t="shared" ref="R140" si="677">R141+Q140</f>
        <v>-37761588.285050519</v>
      </c>
      <c r="S140">
        <f t="shared" ref="S140" si="678">R140/100000</f>
        <v>-377.61588285050522</v>
      </c>
      <c r="T140">
        <f t="shared" ref="T140" si="679">S140/1000</f>
        <v>-0.37761588285050524</v>
      </c>
    </row>
    <row r="141" spans="1:20" x14ac:dyDescent="0.25">
      <c r="A141" s="5">
        <v>44452</v>
      </c>
      <c r="B141">
        <v>0.86409999999999998</v>
      </c>
      <c r="C141">
        <v>0.9</v>
      </c>
      <c r="D141">
        <v>0.80149999999999999</v>
      </c>
      <c r="E141">
        <v>0.83130000000000004</v>
      </c>
      <c r="F141">
        <v>7039426</v>
      </c>
      <c r="G141">
        <v>0.83130000000000004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-0.39492385786801953</v>
      </c>
      <c r="Q141">
        <f t="shared" ref="Q141" si="681">F141*P141</f>
        <v>-2780037.2730964413</v>
      </c>
      <c r="R141">
        <f t="shared" ref="R141" si="682">R142+Q141</f>
        <v>-39415985.730191581</v>
      </c>
      <c r="S141">
        <f t="shared" ref="S141" si="683">R141/100000</f>
        <v>-394.15985730191579</v>
      </c>
      <c r="T141">
        <f t="shared" ref="T141" si="684">S141/1000</f>
        <v>-0.39415985730191577</v>
      </c>
    </row>
    <row r="142" spans="1:20" x14ac:dyDescent="0.25">
      <c r="A142" s="5">
        <v>44451</v>
      </c>
      <c r="B142">
        <v>0.84130000000000005</v>
      </c>
      <c r="C142">
        <v>0.89019999999999999</v>
      </c>
      <c r="D142">
        <v>0.82830000000000004</v>
      </c>
      <c r="E142">
        <v>0.86350000000000005</v>
      </c>
      <c r="F142">
        <v>6714433</v>
      </c>
      <c r="G142">
        <v>0.86350000000000005</v>
      </c>
      <c r="L142" t="s">
        <v>8</v>
      </c>
      <c r="M142" t="s">
        <v>7</v>
      </c>
      <c r="N142" t="s">
        <v>8</v>
      </c>
      <c r="P142">
        <f t="shared" ref="P142" si="685">IF(C142=D142,0,((E142-D142)-(C142-E142))/(C142-D142))</f>
        <v>0.137318255250405</v>
      </c>
      <c r="Q142">
        <f t="shared" ref="Q142" si="686">F142*P142</f>
        <v>922014.22455574258</v>
      </c>
      <c r="R142">
        <f t="shared" ref="R142" si="687">R143+Q142</f>
        <v>-36635948.457095139</v>
      </c>
      <c r="S142">
        <f t="shared" ref="S142" si="688">R142/100000</f>
        <v>-366.35948457095139</v>
      </c>
      <c r="T142">
        <f t="shared" ref="T142" si="689">S142/1000</f>
        <v>-0.36635948457095141</v>
      </c>
    </row>
    <row r="143" spans="1:20" x14ac:dyDescent="0.25">
      <c r="A143" s="5">
        <v>44450</v>
      </c>
      <c r="B143">
        <v>0.85970000000000002</v>
      </c>
      <c r="C143">
        <v>0.86899999999999999</v>
      </c>
      <c r="D143">
        <v>0.82299999999999995</v>
      </c>
      <c r="E143">
        <v>0.84130000000000005</v>
      </c>
      <c r="F143">
        <v>5169476</v>
      </c>
      <c r="G143">
        <v>0.84130000000000005</v>
      </c>
      <c r="L143" t="s">
        <v>7</v>
      </c>
      <c r="M143" t="s">
        <v>7</v>
      </c>
      <c r="N143" t="s">
        <v>8</v>
      </c>
      <c r="P143">
        <f t="shared" ref="P143" si="690">IF(C143=D143,0,((E143-D143)-(C143-E143))/(C143-D143))</f>
        <v>-0.20434782608695315</v>
      </c>
      <c r="Q143">
        <f t="shared" ref="Q143" si="691">F143*P143</f>
        <v>-1056371.1826086782</v>
      </c>
      <c r="R143">
        <f t="shared" ref="R143" si="692">R144+Q143</f>
        <v>-37557962.681650884</v>
      </c>
      <c r="S143">
        <f t="shared" ref="S143" si="693">R143/100000</f>
        <v>-375.57962681650883</v>
      </c>
      <c r="T143">
        <f t="shared" ref="T143" si="694">S143/1000</f>
        <v>-0.37557962681650886</v>
      </c>
    </row>
    <row r="144" spans="1:20" x14ac:dyDescent="0.25">
      <c r="A144" s="5">
        <v>44449</v>
      </c>
      <c r="B144">
        <v>0.87909999999999999</v>
      </c>
      <c r="C144">
        <v>0.91339999999999999</v>
      </c>
      <c r="D144">
        <v>0.85</v>
      </c>
      <c r="E144">
        <v>0.85980000000000001</v>
      </c>
      <c r="F144">
        <v>9037938</v>
      </c>
      <c r="G144">
        <v>0.85980000000000001</v>
      </c>
      <c r="L144" t="s">
        <v>7</v>
      </c>
      <c r="M144" t="s">
        <v>7</v>
      </c>
      <c r="N144" t="s">
        <v>8</v>
      </c>
      <c r="P144">
        <f t="shared" ref="P144" si="695">IF(C144=D144,0,((E144-D144)-(C144-E144))/(C144-D144))</f>
        <v>-0.69085173501577191</v>
      </c>
      <c r="Q144">
        <f t="shared" ref="Q144" si="696">F144*P144</f>
        <v>-6243875.1482649753</v>
      </c>
      <c r="R144">
        <f t="shared" ref="R144" si="697">R145+Q144</f>
        <v>-36501591.499042206</v>
      </c>
      <c r="S144">
        <f t="shared" ref="S144" si="698">R144/100000</f>
        <v>-365.01591499042206</v>
      </c>
      <c r="T144">
        <f t="shared" ref="T144" si="699">S144/1000</f>
        <v>-0.36501591499042207</v>
      </c>
    </row>
    <row r="145" spans="1:20" x14ac:dyDescent="0.25">
      <c r="A145" s="5">
        <v>44448</v>
      </c>
      <c r="B145">
        <v>0.86870000000000003</v>
      </c>
      <c r="C145">
        <v>0.94499999999999995</v>
      </c>
      <c r="D145">
        <v>0.84299999999999997</v>
      </c>
      <c r="E145">
        <v>0.87949999999999995</v>
      </c>
      <c r="F145">
        <v>13959771</v>
      </c>
      <c r="G145">
        <v>0.87949999999999995</v>
      </c>
      <c r="L145" t="s">
        <v>8</v>
      </c>
      <c r="M145" t="s">
        <v>7</v>
      </c>
      <c r="N145" t="s">
        <v>8</v>
      </c>
      <c r="P145">
        <f t="shared" ref="P145" si="700">IF(C145=D145,0,((E145-D145)-(C145-E145))/(C145-D145))</f>
        <v>-0.2843137254901964</v>
      </c>
      <c r="Q145">
        <f t="shared" ref="Q145" si="701">F145*P145</f>
        <v>-3968954.5000000047</v>
      </c>
      <c r="R145">
        <f t="shared" ref="R145" si="702">R146+Q145</f>
        <v>-30257716.350777227</v>
      </c>
      <c r="S145">
        <f t="shared" ref="S145" si="703">R145/100000</f>
        <v>-302.5771635077723</v>
      </c>
      <c r="T145">
        <f t="shared" ref="T145" si="704">S145/1000</f>
        <v>-0.30257716350777231</v>
      </c>
    </row>
    <row r="146" spans="1:20" x14ac:dyDescent="0.25">
      <c r="A146" s="5">
        <v>44447</v>
      </c>
      <c r="B146">
        <v>0.91590000000000005</v>
      </c>
      <c r="C146">
        <v>1.03</v>
      </c>
      <c r="D146">
        <v>0.83599999999999997</v>
      </c>
      <c r="E146">
        <v>0.86880000000000002</v>
      </c>
      <c r="F146">
        <v>25780958</v>
      </c>
      <c r="G146">
        <v>0.86880000000000002</v>
      </c>
      <c r="L146" t="s">
        <v>7</v>
      </c>
      <c r="M146" t="s">
        <v>7</v>
      </c>
      <c r="N146" t="s">
        <v>8</v>
      </c>
      <c r="P146">
        <f t="shared" ref="P146" si="705">IF(C146=D146,0,((E146-D146)-(C146-E146))/(C146-D146))</f>
        <v>-0.66185567010309232</v>
      </c>
      <c r="Q146">
        <f t="shared" ref="Q146" si="706">F146*P146</f>
        <v>-17063273.23298968</v>
      </c>
      <c r="R146">
        <f t="shared" ref="R146" si="707">R147+Q146</f>
        <v>-26288761.850777224</v>
      </c>
      <c r="S146">
        <f t="shared" ref="S146" si="708">R146/100000</f>
        <v>-262.88761850777223</v>
      </c>
      <c r="T146">
        <f t="shared" ref="T146" si="709">S146/1000</f>
        <v>-0.26288761850777226</v>
      </c>
    </row>
    <row r="147" spans="1:20" x14ac:dyDescent="0.25">
      <c r="A147" s="5">
        <v>44446</v>
      </c>
      <c r="B147">
        <v>0.84430000000000005</v>
      </c>
      <c r="C147">
        <v>1.0686</v>
      </c>
      <c r="D147">
        <v>0.81</v>
      </c>
      <c r="E147">
        <v>0.91639999999999999</v>
      </c>
      <c r="F147">
        <v>53757263</v>
      </c>
      <c r="G147">
        <v>0.91639999999999999</v>
      </c>
      <c r="L147" t="s">
        <v>8</v>
      </c>
      <c r="M147" t="s">
        <v>8</v>
      </c>
      <c r="N147" t="s">
        <v>8</v>
      </c>
      <c r="P147">
        <f t="shared" ref="P147" si="710">IF(C147=D147,0,((E147-D147)-(C147-E147))/(C147-D147))</f>
        <v>-0.17710750193348829</v>
      </c>
      <c r="Q147">
        <f t="shared" ref="Q147" si="711">F147*P147</f>
        <v>-9520814.5607115384</v>
      </c>
      <c r="R147">
        <f t="shared" ref="R147" si="712">R148+Q147</f>
        <v>-9225488.6177875437</v>
      </c>
      <c r="S147">
        <f t="shared" ref="S147" si="713">R147/100000</f>
        <v>-92.254886177875434</v>
      </c>
      <c r="T147">
        <f t="shared" ref="T147" si="714">S147/1000</f>
        <v>-9.2254886177875431E-2</v>
      </c>
    </row>
    <row r="148" spans="1:20" x14ac:dyDescent="0.25">
      <c r="A148" s="5">
        <v>44445</v>
      </c>
      <c r="B148">
        <v>0.82240000000000002</v>
      </c>
      <c r="C148">
        <v>0.85199999999999998</v>
      </c>
      <c r="D148">
        <v>0.81789999999999996</v>
      </c>
      <c r="E148">
        <v>0.84450000000000003</v>
      </c>
      <c r="F148">
        <v>6653327</v>
      </c>
      <c r="G148">
        <v>0.84450000000000003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0.56011730205278909</v>
      </c>
      <c r="Q148">
        <f t="shared" ref="Q148" si="716">F148*P148</f>
        <v>3726643.5689149769</v>
      </c>
      <c r="R148">
        <f t="shared" ref="R148" si="717">R149+Q148</f>
        <v>295325.9429239938</v>
      </c>
      <c r="S148">
        <f t="shared" ref="S148" si="718">R148/100000</f>
        <v>2.9532594292399379</v>
      </c>
      <c r="T148">
        <f t="shared" ref="T148" si="719">S148/1000</f>
        <v>2.953259429239938E-3</v>
      </c>
    </row>
    <row r="149" spans="1:20" x14ac:dyDescent="0.25">
      <c r="A149" s="5">
        <v>44444</v>
      </c>
      <c r="B149">
        <v>0.82030000000000003</v>
      </c>
      <c r="C149">
        <v>0.82679999999999998</v>
      </c>
      <c r="D149">
        <v>0.80710000000000004</v>
      </c>
      <c r="E149">
        <v>0.82279999999999998</v>
      </c>
      <c r="F149">
        <v>3807592</v>
      </c>
      <c r="G149">
        <v>0.82279999999999998</v>
      </c>
      <c r="L149" t="s">
        <v>7</v>
      </c>
      <c r="M149" t="s">
        <v>7</v>
      </c>
      <c r="N149" t="s">
        <v>8</v>
      </c>
      <c r="P149">
        <f t="shared" ref="P149" si="720">IF(C149=D149,0,((E149-D149)-(C149-E149))/(C149-D149))</f>
        <v>0.59390862944162282</v>
      </c>
      <c r="Q149">
        <f t="shared" ref="Q149" si="721">F149*P149</f>
        <v>2261361.7461928874</v>
      </c>
      <c r="R149">
        <f t="shared" ref="R149" si="722">R150+Q149</f>
        <v>-3431317.6259909831</v>
      </c>
      <c r="S149">
        <f t="shared" ref="S149" si="723">R149/100000</f>
        <v>-34.313176259909831</v>
      </c>
      <c r="T149">
        <f t="shared" ref="T149" si="724">S149/1000</f>
        <v>-3.4313176259909831E-2</v>
      </c>
    </row>
    <row r="150" spans="1:20" x14ac:dyDescent="0.25">
      <c r="A150" s="5">
        <v>44443</v>
      </c>
      <c r="B150">
        <v>0.82979999999999998</v>
      </c>
      <c r="C150">
        <v>0.83620000000000005</v>
      </c>
      <c r="D150">
        <v>0.80610000000000004</v>
      </c>
      <c r="E150">
        <v>0.82110000000000005</v>
      </c>
      <c r="F150">
        <v>3660216</v>
      </c>
      <c r="G150">
        <v>0.82110000000000005</v>
      </c>
      <c r="L150" t="s">
        <v>7</v>
      </c>
      <c r="M150" t="s">
        <v>7</v>
      </c>
      <c r="N150" t="s">
        <v>8</v>
      </c>
      <c r="P150">
        <f t="shared" ref="P150" si="725">IF(C150=D150,0,((E150-D150)-(C150-E150))/(C150-D150))</f>
        <v>-3.3222591362122569E-3</v>
      </c>
      <c r="Q150">
        <f t="shared" ref="Q150" si="726">F150*P150</f>
        <v>-12160.186046510282</v>
      </c>
      <c r="R150">
        <f t="shared" ref="R150" si="727">R151+Q150</f>
        <v>-5692679.3721838705</v>
      </c>
      <c r="S150">
        <f t="shared" ref="S150" si="728">R150/100000</f>
        <v>-56.926793721838706</v>
      </c>
      <c r="T150">
        <f t="shared" ref="T150" si="729">S150/1000</f>
        <v>-5.6926793721838703E-2</v>
      </c>
    </row>
    <row r="151" spans="1:20" x14ac:dyDescent="0.25">
      <c r="A151" s="5">
        <v>44442</v>
      </c>
      <c r="B151">
        <v>0.81899999999999995</v>
      </c>
      <c r="C151">
        <v>0.84</v>
      </c>
      <c r="D151">
        <v>0.80469999999999997</v>
      </c>
      <c r="E151">
        <v>0.82930000000000004</v>
      </c>
      <c r="F151">
        <v>5086186</v>
      </c>
      <c r="G151">
        <v>0.82930000000000004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0.3937677053824401</v>
      </c>
      <c r="Q151">
        <f t="shared" ref="Q151" si="731">F151*P151</f>
        <v>2002775.7903682915</v>
      </c>
      <c r="R151">
        <f t="shared" ref="R151" si="732">R152+Q151</f>
        <v>-5680519.1861373605</v>
      </c>
      <c r="S151">
        <f t="shared" ref="S151" si="733">R151/100000</f>
        <v>-56.805191861373608</v>
      </c>
      <c r="T151">
        <f t="shared" ref="T151" si="734">S151/1000</f>
        <v>-5.6805191861373609E-2</v>
      </c>
    </row>
    <row r="152" spans="1:20" x14ac:dyDescent="0.25">
      <c r="A152" s="5">
        <v>44441</v>
      </c>
      <c r="B152">
        <v>0.83260000000000001</v>
      </c>
      <c r="C152">
        <v>0.84540000000000004</v>
      </c>
      <c r="D152">
        <v>0.81720000000000004</v>
      </c>
      <c r="E152">
        <v>0.81859999999999999</v>
      </c>
      <c r="F152">
        <v>4435142</v>
      </c>
      <c r="G152">
        <v>0.81859999999999999</v>
      </c>
      <c r="L152" t="s">
        <v>7</v>
      </c>
      <c r="M152" t="s">
        <v>7</v>
      </c>
      <c r="N152" t="s">
        <v>8</v>
      </c>
      <c r="P152">
        <f t="shared" ref="P152" si="735">IF(C152=D152,0,((E152-D152)-(C152-E152))/(C152-D152))</f>
        <v>-0.9007092198581591</v>
      </c>
      <c r="Q152">
        <f t="shared" ref="Q152" si="736">F152*P152</f>
        <v>-3994773.2907801555</v>
      </c>
      <c r="R152">
        <f t="shared" ref="R152" si="737">R153+Q152</f>
        <v>-7683294.9765056521</v>
      </c>
      <c r="S152">
        <f t="shared" ref="S152" si="738">R152/100000</f>
        <v>-76.832949765056526</v>
      </c>
      <c r="T152">
        <f t="shared" ref="T152" si="739">S152/1000</f>
        <v>-7.683294976505653E-2</v>
      </c>
    </row>
    <row r="153" spans="1:20" x14ac:dyDescent="0.25">
      <c r="A153" s="5">
        <v>44440</v>
      </c>
      <c r="B153">
        <v>0.83899999999999997</v>
      </c>
      <c r="C153">
        <v>0.87990000000000002</v>
      </c>
      <c r="D153">
        <v>0.81869999999999998</v>
      </c>
      <c r="E153">
        <v>0.83199999999999996</v>
      </c>
      <c r="F153">
        <v>7253927</v>
      </c>
      <c r="G153">
        <v>0.83199999999999996</v>
      </c>
      <c r="L153" t="s">
        <v>7</v>
      </c>
      <c r="M153" t="s">
        <v>7</v>
      </c>
      <c r="N153" t="s">
        <v>8</v>
      </c>
      <c r="P153">
        <f t="shared" ref="P153" si="740">IF(C153=D153,0,((E153-D153)-(C153-E153))/(C153-D153))</f>
        <v>-0.56535947712418388</v>
      </c>
      <c r="Q153">
        <f t="shared" ref="Q153" si="741">F153*P153</f>
        <v>-4101076.3758169999</v>
      </c>
      <c r="R153">
        <f t="shared" ref="R153" si="742">R154+Q153</f>
        <v>-3688521.6857254966</v>
      </c>
      <c r="S153">
        <f t="shared" ref="S153" si="743">R153/100000</f>
        <v>-36.885216857254967</v>
      </c>
      <c r="T153">
        <f t="shared" ref="T153" si="744">S153/1000</f>
        <v>-3.6885216857254967E-2</v>
      </c>
    </row>
    <row r="154" spans="1:20" x14ac:dyDescent="0.25">
      <c r="A154" s="5">
        <v>44439</v>
      </c>
      <c r="B154">
        <v>0.8004</v>
      </c>
      <c r="C154">
        <v>0.876</v>
      </c>
      <c r="D154">
        <v>0.79220000000000002</v>
      </c>
      <c r="E154">
        <v>0.83879999999999999</v>
      </c>
      <c r="F154">
        <v>9723608</v>
      </c>
      <c r="G154">
        <v>0.83879999999999999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0.11217183770883014</v>
      </c>
      <c r="Q154">
        <f t="shared" ref="Q154" si="746">F154*P154</f>
        <v>1090714.9785202825</v>
      </c>
      <c r="R154">
        <f t="shared" ref="R154" si="747">R155+Q154</f>
        <v>412554.69009150332</v>
      </c>
      <c r="S154">
        <f t="shared" ref="S154" si="748">R154/100000</f>
        <v>4.1255469009150332</v>
      </c>
      <c r="T154">
        <f t="shared" ref="T154" si="749">S154/1000</f>
        <v>4.1255469009150334E-3</v>
      </c>
    </row>
    <row r="155" spans="1:20" x14ac:dyDescent="0.25">
      <c r="A155" s="5">
        <v>44438</v>
      </c>
      <c r="B155">
        <v>0.79039999999999999</v>
      </c>
      <c r="C155">
        <v>0.84499999999999997</v>
      </c>
      <c r="D155">
        <v>0.76880000000000004</v>
      </c>
      <c r="E155">
        <v>0.80049999999999999</v>
      </c>
      <c r="F155">
        <v>8124863</v>
      </c>
      <c r="G155">
        <v>0.80049999999999999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-0.1679790026246725</v>
      </c>
      <c r="Q155">
        <f t="shared" ref="Q155" si="751">F155*P155</f>
        <v>-1364806.3832021044</v>
      </c>
      <c r="R155">
        <f t="shared" ref="R155" si="752">R156+Q155</f>
        <v>-678160.28842877923</v>
      </c>
      <c r="S155">
        <f t="shared" ref="S155" si="753">R155/100000</f>
        <v>-6.7816028842877927</v>
      </c>
      <c r="T155">
        <f t="shared" ref="T155" si="754">S155/1000</f>
        <v>-6.7816028842877926E-3</v>
      </c>
    </row>
    <row r="156" spans="1:20" x14ac:dyDescent="0.25">
      <c r="A156" s="5">
        <v>44437</v>
      </c>
      <c r="B156">
        <v>0.79990000000000006</v>
      </c>
      <c r="C156">
        <v>0.8085</v>
      </c>
      <c r="D156">
        <v>0.78300000000000003</v>
      </c>
      <c r="E156">
        <v>0.79039999999999999</v>
      </c>
      <c r="F156">
        <v>2138653</v>
      </c>
      <c r="G156">
        <v>0.79039999999999999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-0.41960784313725713</v>
      </c>
      <c r="Q156">
        <f t="shared" ref="Q156" si="756">F156*P156</f>
        <v>-897395.57254902436</v>
      </c>
      <c r="R156">
        <f t="shared" ref="R156" si="757">R157+Q156</f>
        <v>686646.09477332514</v>
      </c>
      <c r="S156">
        <f t="shared" ref="S156" si="758">R156/100000</f>
        <v>6.866460947733251</v>
      </c>
      <c r="T156">
        <f t="shared" ref="T156" si="759">S156/1000</f>
        <v>6.8664609477332508E-3</v>
      </c>
    </row>
    <row r="157" spans="1:20" x14ac:dyDescent="0.25">
      <c r="A157" s="5">
        <v>44436</v>
      </c>
      <c r="B157">
        <v>0.8196</v>
      </c>
      <c r="C157">
        <v>0.82930000000000004</v>
      </c>
      <c r="D157">
        <v>0.79690000000000005</v>
      </c>
      <c r="E157">
        <v>0.8</v>
      </c>
      <c r="F157">
        <v>2492424</v>
      </c>
      <c r="G157">
        <v>0.8</v>
      </c>
      <c r="L157" t="s">
        <v>7</v>
      </c>
      <c r="M157" t="s">
        <v>7</v>
      </c>
      <c r="N157" t="s">
        <v>8</v>
      </c>
      <c r="P157">
        <f t="shared" ref="P157" si="760">IF(C157=D157,0,((E157-D157)-(C157-E157))/(C157-D157))</f>
        <v>-0.80864197530864235</v>
      </c>
      <c r="Q157">
        <f t="shared" ref="Q157" si="761">F157*P157</f>
        <v>-2015478.6666666677</v>
      </c>
      <c r="R157">
        <f t="shared" ref="R157" si="762">R158+Q157</f>
        <v>1584041.6673223495</v>
      </c>
      <c r="S157">
        <f t="shared" ref="S157" si="763">R157/100000</f>
        <v>15.840416673223496</v>
      </c>
      <c r="T157">
        <f t="shared" ref="T157" si="764">S157/1000</f>
        <v>1.5840416673223497E-2</v>
      </c>
    </row>
    <row r="158" spans="1:20" x14ac:dyDescent="0.25">
      <c r="A158" s="5">
        <v>44435</v>
      </c>
      <c r="B158">
        <v>0.81520000000000004</v>
      </c>
      <c r="C158">
        <v>0.8256</v>
      </c>
      <c r="D158">
        <v>0.79879999999999995</v>
      </c>
      <c r="E158">
        <v>0.82</v>
      </c>
      <c r="F158">
        <v>2807328</v>
      </c>
      <c r="G158">
        <v>0.82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0.58208955223880299</v>
      </c>
      <c r="Q158">
        <f t="shared" ref="Q158" si="766">F158*P158</f>
        <v>1634116.2985074543</v>
      </c>
      <c r="R158">
        <f t="shared" ref="R158" si="767">R159+Q158</f>
        <v>3599520.3339890172</v>
      </c>
      <c r="S158">
        <f t="shared" ref="S158" si="768">R158/100000</f>
        <v>35.995203339890175</v>
      </c>
      <c r="T158">
        <f t="shared" ref="T158" si="769">S158/1000</f>
        <v>3.5995203339890175E-2</v>
      </c>
    </row>
    <row r="159" spans="1:20" x14ac:dyDescent="0.25">
      <c r="A159" s="5">
        <v>44434</v>
      </c>
      <c r="B159">
        <v>0.83919999999999995</v>
      </c>
      <c r="C159">
        <v>0.87649999999999995</v>
      </c>
      <c r="D159">
        <v>0.80810000000000004</v>
      </c>
      <c r="E159">
        <v>0.81479999999999997</v>
      </c>
      <c r="F159">
        <v>5188860</v>
      </c>
      <c r="G159">
        <v>0.81479999999999997</v>
      </c>
      <c r="L159" t="s">
        <v>8</v>
      </c>
      <c r="M159" t="s">
        <v>7</v>
      </c>
      <c r="N159" t="s">
        <v>8</v>
      </c>
      <c r="P159">
        <f t="shared" ref="P159" si="770">IF(C159=D159,0,((E159-D159)-(C159-E159))/(C159-D159))</f>
        <v>-0.80409356725146386</v>
      </c>
      <c r="Q159">
        <f t="shared" ref="Q159" si="771">F159*P159</f>
        <v>-4172328.9473684309</v>
      </c>
      <c r="R159">
        <f t="shared" ref="R159" si="772">R160+Q159</f>
        <v>1965404.0354815628</v>
      </c>
      <c r="S159">
        <f t="shared" ref="S159" si="773">R159/100000</f>
        <v>19.654040354815628</v>
      </c>
      <c r="T159">
        <f t="shared" ref="T159" si="774">S159/1000</f>
        <v>1.9654040354815629E-2</v>
      </c>
    </row>
    <row r="160" spans="1:20" x14ac:dyDescent="0.25">
      <c r="A160" s="5">
        <v>44433</v>
      </c>
      <c r="B160">
        <v>0.82679999999999998</v>
      </c>
      <c r="C160">
        <v>0.83940000000000003</v>
      </c>
      <c r="D160">
        <v>0.80389999999999995</v>
      </c>
      <c r="E160">
        <v>0.83930000000000005</v>
      </c>
      <c r="F160">
        <v>2751909</v>
      </c>
      <c r="G160">
        <v>0.83930000000000005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0.99436619718309927</v>
      </c>
      <c r="Q160">
        <f t="shared" ref="Q160" si="776">F160*P160</f>
        <v>2736405.2873239457</v>
      </c>
      <c r="R160">
        <f t="shared" ref="R160" si="777">R161+Q160</f>
        <v>6137732.9828499937</v>
      </c>
      <c r="S160">
        <f t="shared" ref="S160" si="778">R160/100000</f>
        <v>61.377329828499938</v>
      </c>
      <c r="T160">
        <f t="shared" ref="T160" si="779">S160/1000</f>
        <v>6.1377329828499937E-2</v>
      </c>
    </row>
    <row r="161" spans="1:20" x14ac:dyDescent="0.25">
      <c r="A161" s="5">
        <v>44432</v>
      </c>
      <c r="B161">
        <v>0.84399999999999997</v>
      </c>
      <c r="C161">
        <v>0.85799999999999998</v>
      </c>
      <c r="D161">
        <v>0.81359999999999999</v>
      </c>
      <c r="E161">
        <v>0.82620000000000005</v>
      </c>
      <c r="F161">
        <v>3963384</v>
      </c>
      <c r="G161">
        <v>0.82620000000000005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-0.43243243243242985</v>
      </c>
      <c r="Q161">
        <f t="shared" ref="Q161" si="781">F161*P161</f>
        <v>-1713895.7837837734</v>
      </c>
      <c r="R161">
        <f t="shared" ref="R161" si="782">R162+Q161</f>
        <v>3401327.6955260481</v>
      </c>
      <c r="S161">
        <f t="shared" ref="S161" si="783">R161/100000</f>
        <v>34.01327695526048</v>
      </c>
      <c r="T161">
        <f t="shared" ref="T161" si="784">S161/1000</f>
        <v>3.4013276955260477E-2</v>
      </c>
    </row>
    <row r="162" spans="1:20" x14ac:dyDescent="0.25">
      <c r="A162" s="5">
        <v>44431</v>
      </c>
      <c r="B162">
        <v>0.83069999999999999</v>
      </c>
      <c r="C162">
        <v>0.872</v>
      </c>
      <c r="D162">
        <v>0.82189999999999996</v>
      </c>
      <c r="E162">
        <v>0.84340000000000004</v>
      </c>
      <c r="F162">
        <v>5477234</v>
      </c>
      <c r="G162">
        <v>0.84340000000000004</v>
      </c>
      <c r="L162" t="s">
        <v>8</v>
      </c>
      <c r="M162" t="s">
        <v>7</v>
      </c>
      <c r="N162" t="s">
        <v>8</v>
      </c>
      <c r="P162">
        <f t="shared" ref="P162" si="785">IF(C162=D162,0,((E162-D162)-(C162-E162))/(C162-D162))</f>
        <v>-0.14171656686626505</v>
      </c>
      <c r="Q162">
        <f t="shared" ref="Q162" si="786">F162*P162</f>
        <v>-776214.79840318032</v>
      </c>
      <c r="R162">
        <f t="shared" ref="R162" si="787">R163+Q162</f>
        <v>5115223.4793098215</v>
      </c>
      <c r="S162">
        <f t="shared" ref="S162" si="788">R162/100000</f>
        <v>51.152234793098216</v>
      </c>
      <c r="T162">
        <f t="shared" ref="T162" si="789">S162/1000</f>
        <v>5.1152234793098217E-2</v>
      </c>
    </row>
    <row r="163" spans="1:20" x14ac:dyDescent="0.25">
      <c r="A163" s="5">
        <v>44430</v>
      </c>
      <c r="B163">
        <v>0.84850000000000003</v>
      </c>
      <c r="C163">
        <v>0.8498</v>
      </c>
      <c r="D163">
        <v>0.8165</v>
      </c>
      <c r="E163">
        <v>0.83260000000000001</v>
      </c>
      <c r="F163">
        <v>1312528</v>
      </c>
      <c r="G163">
        <v>0.83260000000000001</v>
      </c>
      <c r="L163" t="s">
        <v>8</v>
      </c>
      <c r="M163" t="s">
        <v>7</v>
      </c>
      <c r="N163" t="s">
        <v>8</v>
      </c>
      <c r="P163">
        <f t="shared" ref="P163" si="790">IF(C163=D163,0,((E163-D163)-(C163-E163))/(C163-D163))</f>
        <v>-3.3033033033032733E-2</v>
      </c>
      <c r="Q163">
        <f t="shared" ref="Q163" si="791">F163*P163</f>
        <v>-43356.780780780384</v>
      </c>
      <c r="R163">
        <f t="shared" ref="R163" si="792">R164+Q163</f>
        <v>5891438.2777130017</v>
      </c>
      <c r="S163">
        <f t="shared" ref="S163" si="793">R163/100000</f>
        <v>58.914382777130015</v>
      </c>
      <c r="T163">
        <f t="shared" ref="T163" si="794">S163/1000</f>
        <v>5.8914382777130014E-2</v>
      </c>
    </row>
    <row r="164" spans="1:20" x14ac:dyDescent="0.25">
      <c r="A164" s="5">
        <v>44429</v>
      </c>
      <c r="B164">
        <v>0.80059999999999998</v>
      </c>
      <c r="C164">
        <v>0.85</v>
      </c>
      <c r="D164">
        <v>0.77780000000000005</v>
      </c>
      <c r="E164">
        <v>0.85</v>
      </c>
      <c r="F164">
        <v>4268074</v>
      </c>
      <c r="G164">
        <v>0.85</v>
      </c>
      <c r="L164" t="s">
        <v>7</v>
      </c>
      <c r="M164" t="s">
        <v>7</v>
      </c>
      <c r="N164" t="s">
        <v>8</v>
      </c>
      <c r="P164">
        <f t="shared" ref="P164" si="795">IF(C164=D164,0,((E164-D164)-(C164-E164))/(C164-D164))</f>
        <v>1</v>
      </c>
      <c r="Q164">
        <f t="shared" ref="Q164" si="796">F164*P164</f>
        <v>4268074</v>
      </c>
      <c r="R164">
        <f t="shared" ref="R164" si="797">R165+Q164</f>
        <v>5934795.0584937818</v>
      </c>
      <c r="S164">
        <f t="shared" ref="S164" si="798">R164/100000</f>
        <v>59.34795058493782</v>
      </c>
      <c r="T164">
        <f t="shared" ref="T164" si="799">S164/1000</f>
        <v>5.9347950584937817E-2</v>
      </c>
    </row>
    <row r="165" spans="1:20" x14ac:dyDescent="0.25">
      <c r="A165" s="5">
        <v>44428</v>
      </c>
      <c r="B165">
        <v>0.79410000000000003</v>
      </c>
      <c r="C165">
        <v>0.81410000000000005</v>
      </c>
      <c r="D165">
        <v>0.79220000000000002</v>
      </c>
      <c r="E165">
        <v>0.80049999999999999</v>
      </c>
      <c r="F165">
        <v>2800527</v>
      </c>
      <c r="G165">
        <v>0.80049999999999999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-0.24200913242009475</v>
      </c>
      <c r="Q165">
        <f t="shared" ref="Q165" si="801">F165*P165</f>
        <v>-677753.10958905064</v>
      </c>
      <c r="R165">
        <f t="shared" ref="R165" si="802">R166+Q165</f>
        <v>1666721.0584937818</v>
      </c>
      <c r="S165">
        <f t="shared" ref="S165" si="803">R165/100000</f>
        <v>16.66721058493782</v>
      </c>
      <c r="T165">
        <f t="shared" ref="T165" si="804">S165/1000</f>
        <v>1.6667210584937819E-2</v>
      </c>
    </row>
    <row r="166" spans="1:20" x14ac:dyDescent="0.25">
      <c r="A166" s="5">
        <v>44427</v>
      </c>
      <c r="B166">
        <v>0.77100000000000002</v>
      </c>
      <c r="C166">
        <v>0.84440000000000004</v>
      </c>
      <c r="D166">
        <v>0.75109999999999999</v>
      </c>
      <c r="E166">
        <v>0.79259999999999997</v>
      </c>
      <c r="F166">
        <v>2972419</v>
      </c>
      <c r="G166">
        <v>0.79259999999999997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-0.11039657020364503</v>
      </c>
      <c r="Q166">
        <f t="shared" ref="Q166" si="806">F166*P166</f>
        <v>-328144.86280814838</v>
      </c>
      <c r="R166">
        <f t="shared" ref="R166" si="807">R167+Q166</f>
        <v>2344474.1680828324</v>
      </c>
      <c r="S166">
        <f t="shared" ref="S166" si="808">R166/100000</f>
        <v>23.444741680828322</v>
      </c>
      <c r="T166">
        <f t="shared" ref="T166" si="809">S166/1000</f>
        <v>2.3444741680828322E-2</v>
      </c>
    </row>
    <row r="167" spans="1:20" x14ac:dyDescent="0.25">
      <c r="A167" s="5">
        <v>44426</v>
      </c>
      <c r="B167">
        <v>0.78280000000000005</v>
      </c>
      <c r="C167">
        <v>0.79769999999999996</v>
      </c>
      <c r="D167">
        <v>0.75770000000000004</v>
      </c>
      <c r="E167">
        <v>0.77310000000000001</v>
      </c>
      <c r="F167">
        <v>2981982</v>
      </c>
      <c r="G167">
        <v>0.77310000000000001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-0.23000000000000009</v>
      </c>
      <c r="Q167">
        <f t="shared" ref="Q167" si="811">F167*P167</f>
        <v>-685855.86000000034</v>
      </c>
      <c r="R167">
        <f t="shared" ref="R167" si="812">R168+Q167</f>
        <v>2672619.0308909807</v>
      </c>
      <c r="S167">
        <f t="shared" ref="S167" si="813">R167/100000</f>
        <v>26.726190308909807</v>
      </c>
      <c r="T167">
        <f t="shared" ref="T167" si="814">S167/1000</f>
        <v>2.6726190308909808E-2</v>
      </c>
    </row>
    <row r="168" spans="1:20" x14ac:dyDescent="0.25">
      <c r="A168" s="5">
        <v>44425</v>
      </c>
      <c r="B168">
        <v>0.83179999999999998</v>
      </c>
      <c r="C168">
        <v>0.8498</v>
      </c>
      <c r="D168">
        <v>0.77929999999999999</v>
      </c>
      <c r="E168">
        <v>0.78249999999999997</v>
      </c>
      <c r="F168">
        <v>3693025</v>
      </c>
      <c r="G168">
        <v>0.78249999999999997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-0.9092198581560289</v>
      </c>
      <c r="Q168">
        <f t="shared" ref="Q168" si="816">F168*P168</f>
        <v>-3357771.6666666688</v>
      </c>
      <c r="R168">
        <f t="shared" ref="R168" si="817">R169+Q168</f>
        <v>3358474.8908909811</v>
      </c>
      <c r="S168">
        <f t="shared" ref="S168" si="818">R168/100000</f>
        <v>33.584748908909809</v>
      </c>
      <c r="T168">
        <f t="shared" ref="T168" si="819">S168/1000</f>
        <v>3.3584748908909806E-2</v>
      </c>
    </row>
    <row r="169" spans="1:20" x14ac:dyDescent="0.25">
      <c r="A169" s="5">
        <v>44424</v>
      </c>
      <c r="B169">
        <v>0.87839999999999996</v>
      </c>
      <c r="C169">
        <v>0.88449999999999995</v>
      </c>
      <c r="D169">
        <v>0.82799999999999996</v>
      </c>
      <c r="E169">
        <v>0.83450000000000002</v>
      </c>
      <c r="F169">
        <v>4200606</v>
      </c>
      <c r="G169">
        <v>0.83450000000000002</v>
      </c>
      <c r="L169" t="s">
        <v>7</v>
      </c>
      <c r="M169" t="s">
        <v>8</v>
      </c>
      <c r="N169" t="s">
        <v>8</v>
      </c>
      <c r="P169">
        <f t="shared" ref="P169" si="820">IF(C169=D169,0,((E169-D169)-(C169-E169))/(C169-D169))</f>
        <v>-0.76991150442477652</v>
      </c>
      <c r="Q169">
        <f t="shared" ref="Q169" si="821">F169*P169</f>
        <v>-3234094.8849557429</v>
      </c>
      <c r="R169">
        <f t="shared" ref="R169" si="822">R170+Q169</f>
        <v>6716246.5575576499</v>
      </c>
      <c r="S169">
        <f t="shared" ref="S169" si="823">R169/100000</f>
        <v>67.162465575576505</v>
      </c>
      <c r="T169">
        <f t="shared" ref="T169" si="824">S169/1000</f>
        <v>6.7162465575576508E-2</v>
      </c>
    </row>
    <row r="170" spans="1:20" x14ac:dyDescent="0.25">
      <c r="A170" s="5">
        <v>44423</v>
      </c>
      <c r="B170">
        <v>0.88900000000000001</v>
      </c>
      <c r="C170">
        <v>0.90110000000000001</v>
      </c>
      <c r="D170">
        <v>0.84630000000000005</v>
      </c>
      <c r="E170">
        <v>0.87709999999999999</v>
      </c>
      <c r="F170">
        <v>2622723</v>
      </c>
      <c r="G170">
        <v>0.87709999999999999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0.1240875912408745</v>
      </c>
      <c r="Q170">
        <f t="shared" ref="Q170" si="826">F170*P170</f>
        <v>325447.37956204009</v>
      </c>
      <c r="R170">
        <f t="shared" ref="R170" si="827">R171+Q170</f>
        <v>9950341.4425133932</v>
      </c>
      <c r="S170">
        <f t="shared" ref="S170" si="828">R170/100000</f>
        <v>99.503414425133926</v>
      </c>
      <c r="T170">
        <f t="shared" ref="T170" si="829">S170/1000</f>
        <v>9.9503414425133926E-2</v>
      </c>
    </row>
    <row r="171" spans="1:20" x14ac:dyDescent="0.25">
      <c r="A171" s="5">
        <v>44422</v>
      </c>
      <c r="B171">
        <v>0.87749999999999995</v>
      </c>
      <c r="C171">
        <v>0.92859999999999998</v>
      </c>
      <c r="D171">
        <v>0.85319999999999996</v>
      </c>
      <c r="E171">
        <v>0.89159999999999995</v>
      </c>
      <c r="F171">
        <v>4585324</v>
      </c>
      <c r="G171">
        <v>0.89159999999999995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1.8567639257293853E-2</v>
      </c>
      <c r="Q171">
        <f t="shared" ref="Q171" si="831">F171*P171</f>
        <v>85138.641909811675</v>
      </c>
      <c r="R171">
        <f t="shared" ref="R171" si="832">R172+Q171</f>
        <v>9624894.0629513524</v>
      </c>
      <c r="S171">
        <f t="shared" ref="S171" si="833">R171/100000</f>
        <v>96.248940629513527</v>
      </c>
      <c r="T171">
        <f t="shared" ref="T171" si="834">S171/1000</f>
        <v>9.624894062951353E-2</v>
      </c>
    </row>
    <row r="172" spans="1:20" x14ac:dyDescent="0.25">
      <c r="A172" s="5">
        <v>44421</v>
      </c>
      <c r="B172">
        <v>0.83509999999999995</v>
      </c>
      <c r="C172">
        <v>0.88019999999999998</v>
      </c>
      <c r="D172">
        <v>0.83460000000000001</v>
      </c>
      <c r="E172">
        <v>0.87760000000000005</v>
      </c>
      <c r="F172">
        <v>3426028</v>
      </c>
      <c r="G172">
        <v>0.87760000000000005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0.88596491228070451</v>
      </c>
      <c r="Q172">
        <f t="shared" ref="Q172" si="836">F172*P172</f>
        <v>3035340.5964912376</v>
      </c>
      <c r="R172">
        <f t="shared" ref="R172" si="837">R173+Q172</f>
        <v>9539755.4210415408</v>
      </c>
      <c r="S172">
        <f t="shared" ref="S172" si="838">R172/100000</f>
        <v>95.397554210415407</v>
      </c>
      <c r="T172">
        <f t="shared" ref="T172" si="839">S172/1000</f>
        <v>9.5397554210415403E-2</v>
      </c>
    </row>
    <row r="173" spans="1:20" x14ac:dyDescent="0.25">
      <c r="A173" s="5">
        <v>44420</v>
      </c>
      <c r="B173">
        <v>0.85580000000000001</v>
      </c>
      <c r="C173">
        <v>0.86499999999999999</v>
      </c>
      <c r="D173">
        <v>0.81559999999999999</v>
      </c>
      <c r="E173">
        <v>0.83560000000000001</v>
      </c>
      <c r="F173">
        <v>3016936</v>
      </c>
      <c r="G173">
        <v>0.83560000000000001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-0.19028340080971587</v>
      </c>
      <c r="Q173">
        <f t="shared" ref="Q173" si="841">F173*P173</f>
        <v>-574072.84210526093</v>
      </c>
      <c r="R173">
        <f t="shared" ref="R173" si="842">R174+Q173</f>
        <v>6504414.8245503027</v>
      </c>
      <c r="S173">
        <f t="shared" ref="S173" si="843">R173/100000</f>
        <v>65.044148245503024</v>
      </c>
      <c r="T173">
        <f t="shared" ref="T173" si="844">S173/1000</f>
        <v>6.5044148245503031E-2</v>
      </c>
    </row>
    <row r="174" spans="1:20" x14ac:dyDescent="0.25">
      <c r="A174" s="5">
        <v>44419</v>
      </c>
      <c r="B174">
        <v>0.83179999999999998</v>
      </c>
      <c r="C174">
        <v>0.86739999999999995</v>
      </c>
      <c r="D174">
        <v>0.83150000000000002</v>
      </c>
      <c r="E174">
        <v>0.85670000000000002</v>
      </c>
      <c r="F174">
        <v>4005444</v>
      </c>
      <c r="G174">
        <v>0.85670000000000002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0.40389972144847064</v>
      </c>
      <c r="Q174">
        <f t="shared" ref="Q174" si="846">F174*P174</f>
        <v>1617797.715877448</v>
      </c>
      <c r="R174">
        <f t="shared" ref="R174" si="847">R175+Q174</f>
        <v>7078487.6666555637</v>
      </c>
      <c r="S174">
        <f t="shared" ref="S174" si="848">R174/100000</f>
        <v>70.784876666555633</v>
      </c>
      <c r="T174">
        <f t="shared" ref="T174" si="849">S174/1000</f>
        <v>7.0784876666555627E-2</v>
      </c>
    </row>
    <row r="175" spans="1:20" x14ac:dyDescent="0.25">
      <c r="A175" s="5">
        <v>44418</v>
      </c>
      <c r="B175">
        <v>0.82250000000000001</v>
      </c>
      <c r="C175">
        <v>0.86750000000000005</v>
      </c>
      <c r="D175">
        <v>0.81200000000000006</v>
      </c>
      <c r="E175">
        <v>0.83279999999999998</v>
      </c>
      <c r="F175">
        <v>3460606</v>
      </c>
      <c r="G175">
        <v>0.83279999999999998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-0.25045045045045289</v>
      </c>
      <c r="Q175">
        <f t="shared" ref="Q175" si="851">F175*P175</f>
        <v>-866710.33153154003</v>
      </c>
      <c r="R175">
        <f t="shared" ref="R175" si="852">R176+Q175</f>
        <v>5460689.9507781155</v>
      </c>
      <c r="S175">
        <f t="shared" ref="S175" si="853">R175/100000</f>
        <v>54.606899507781158</v>
      </c>
      <c r="T175">
        <f t="shared" ref="T175" si="854">S175/1000</f>
        <v>5.4606899507781158E-2</v>
      </c>
    </row>
    <row r="176" spans="1:20" x14ac:dyDescent="0.25">
      <c r="A176" s="5">
        <v>44417</v>
      </c>
      <c r="B176">
        <v>0.77500000000000002</v>
      </c>
      <c r="C176">
        <v>0.84309999999999996</v>
      </c>
      <c r="D176">
        <v>0.76690000000000003</v>
      </c>
      <c r="E176">
        <v>0.82440000000000002</v>
      </c>
      <c r="F176">
        <v>4148839</v>
      </c>
      <c r="G176">
        <v>0.82440000000000002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0.50918635170603788</v>
      </c>
      <c r="Q176">
        <f t="shared" ref="Q176" si="856">F176*P176</f>
        <v>2112532.1942257266</v>
      </c>
      <c r="R176">
        <f t="shared" ref="R176" si="857">R177+Q176</f>
        <v>6327400.2823096551</v>
      </c>
      <c r="S176">
        <f t="shared" ref="S176" si="858">R176/100000</f>
        <v>63.274002823096552</v>
      </c>
      <c r="T176">
        <f t="shared" ref="T176" si="859">S176/1000</f>
        <v>6.3274002823096559E-2</v>
      </c>
    </row>
    <row r="177" spans="1:20" x14ac:dyDescent="0.25">
      <c r="A177" s="5">
        <v>44416</v>
      </c>
      <c r="B177">
        <v>0.79300000000000004</v>
      </c>
      <c r="C177">
        <v>0.80189999999999995</v>
      </c>
      <c r="D177">
        <v>0.76959999999999995</v>
      </c>
      <c r="E177">
        <v>0.77490000000000003</v>
      </c>
      <c r="F177">
        <v>2193893</v>
      </c>
      <c r="G177">
        <v>0.77490000000000003</v>
      </c>
      <c r="L177" t="s">
        <v>7</v>
      </c>
      <c r="M177" t="s">
        <v>8</v>
      </c>
      <c r="N177" t="s">
        <v>7</v>
      </c>
      <c r="P177">
        <f t="shared" ref="P177" si="860">IF(C177=D177,0,((E177-D177)-(C177-E177))/(C177-D177))</f>
        <v>-0.67182662538699178</v>
      </c>
      <c r="Q177">
        <f t="shared" ref="Q177" si="861">F177*P177</f>
        <v>-1473915.7306501435</v>
      </c>
      <c r="R177">
        <f t="shared" ref="R177" si="862">R178+Q177</f>
        <v>4214868.0880839285</v>
      </c>
      <c r="S177">
        <f t="shared" ref="S177" si="863">R177/100000</f>
        <v>42.148680880839287</v>
      </c>
      <c r="T177">
        <f t="shared" ref="T177" si="864">S177/1000</f>
        <v>4.2148680880839284E-2</v>
      </c>
    </row>
    <row r="178" spans="1:20" x14ac:dyDescent="0.25">
      <c r="A178" s="5">
        <v>44415</v>
      </c>
      <c r="B178">
        <v>0.7772</v>
      </c>
      <c r="C178">
        <v>0.82589999999999997</v>
      </c>
      <c r="D178">
        <v>0.77</v>
      </c>
      <c r="E178">
        <v>0.79220000000000002</v>
      </c>
      <c r="F178">
        <v>3712290</v>
      </c>
      <c r="G178">
        <v>0.79220000000000002</v>
      </c>
      <c r="L178" t="s">
        <v>8</v>
      </c>
      <c r="M178" t="s">
        <v>8</v>
      </c>
      <c r="N178" t="s">
        <v>7</v>
      </c>
      <c r="P178">
        <f t="shared" ref="P178" si="865">IF(C178=D178,0,((E178-D178)-(C178-E178))/(C178-D178))</f>
        <v>-0.20572450805008882</v>
      </c>
      <c r="Q178">
        <f t="shared" ref="Q178" si="866">F178*P178</f>
        <v>-763709.03398926428</v>
      </c>
      <c r="R178">
        <f t="shared" ref="R178" si="867">R179+Q178</f>
        <v>5688783.8187340721</v>
      </c>
      <c r="S178">
        <f t="shared" ref="S178" si="868">R178/100000</f>
        <v>56.887838187340719</v>
      </c>
      <c r="T178">
        <f t="shared" ref="T178" si="869">S178/1000</f>
        <v>5.6887838187340722E-2</v>
      </c>
    </row>
    <row r="179" spans="1:20" x14ac:dyDescent="0.25">
      <c r="A179" s="5">
        <v>44414</v>
      </c>
      <c r="B179">
        <v>0.76249999999999996</v>
      </c>
      <c r="C179">
        <v>0.79020000000000001</v>
      </c>
      <c r="D179">
        <v>0.75460000000000005</v>
      </c>
      <c r="E179">
        <v>0.77800000000000002</v>
      </c>
      <c r="F179">
        <v>2637899</v>
      </c>
      <c r="G179">
        <v>0.77800000000000002</v>
      </c>
      <c r="L179" t="s">
        <v>8</v>
      </c>
      <c r="M179" t="s">
        <v>8</v>
      </c>
      <c r="N179" t="s">
        <v>7</v>
      </c>
      <c r="P179">
        <f t="shared" ref="P179" si="870">IF(C179=D179,0,((E179-D179)-(C179-E179))/(C179-D179))</f>
        <v>0.3146067415730337</v>
      </c>
      <c r="Q179">
        <f t="shared" ref="Q179" si="871">F179*P179</f>
        <v>829900.80898876407</v>
      </c>
      <c r="R179">
        <f t="shared" ref="R179" si="872">R180+Q179</f>
        <v>6452492.8527233368</v>
      </c>
      <c r="S179">
        <f t="shared" ref="S179" si="873">R179/100000</f>
        <v>64.524928527233371</v>
      </c>
      <c r="T179">
        <f t="shared" ref="T179" si="874">S179/1000</f>
        <v>6.4524928527233377E-2</v>
      </c>
    </row>
    <row r="180" spans="1:20" x14ac:dyDescent="0.25">
      <c r="A180" s="5">
        <v>44413</v>
      </c>
      <c r="B180">
        <v>0.76400000000000001</v>
      </c>
      <c r="C180">
        <v>0.77780000000000005</v>
      </c>
      <c r="D180">
        <v>0.73960000000000004</v>
      </c>
      <c r="E180">
        <v>0.76029999999999998</v>
      </c>
      <c r="F180">
        <v>2642096</v>
      </c>
      <c r="G180">
        <v>0.76029999999999998</v>
      </c>
      <c r="L180" t="s">
        <v>7</v>
      </c>
      <c r="M180" t="s">
        <v>8</v>
      </c>
      <c r="N180" t="s">
        <v>7</v>
      </c>
      <c r="P180">
        <f t="shared" ref="P180" si="875">IF(C180=D180,0,((E180-D180)-(C180-E180))/(C180-D180))</f>
        <v>8.3769633507849967E-2</v>
      </c>
      <c r="Q180">
        <f t="shared" ref="Q180" si="876">F180*P180</f>
        <v>221327.41361255635</v>
      </c>
      <c r="R180">
        <f t="shared" ref="R180" si="877">R181+Q180</f>
        <v>5622592.0437345728</v>
      </c>
      <c r="S180">
        <f t="shared" ref="S180" si="878">R180/100000</f>
        <v>56.225920437345728</v>
      </c>
      <c r="T180">
        <f t="shared" ref="T180" si="879">S180/1000</f>
        <v>5.6225920437345728E-2</v>
      </c>
    </row>
    <row r="181" spans="1:20" x14ac:dyDescent="0.25">
      <c r="A181" s="5">
        <v>44412</v>
      </c>
      <c r="B181">
        <v>0.77829999999999999</v>
      </c>
      <c r="C181">
        <v>0.78339999999999999</v>
      </c>
      <c r="D181">
        <v>0.75839999999999996</v>
      </c>
      <c r="E181">
        <v>0.7621</v>
      </c>
      <c r="F181">
        <v>1810468</v>
      </c>
      <c r="G181">
        <v>0.7621</v>
      </c>
      <c r="L181" t="s">
        <v>8</v>
      </c>
      <c r="M181" t="s">
        <v>8</v>
      </c>
      <c r="N181" t="s">
        <v>7</v>
      </c>
      <c r="P181">
        <f t="shared" ref="P181" si="880">IF(C181=D181,0,((E181-D181)-(C181-E181))/(C181-D181))</f>
        <v>-0.70399999999999729</v>
      </c>
      <c r="Q181">
        <f t="shared" ref="Q181" si="881">F181*P181</f>
        <v>-1274569.4719999952</v>
      </c>
      <c r="R181">
        <f t="shared" ref="R181" si="882">R182+Q181</f>
        <v>5401264.6301220162</v>
      </c>
      <c r="S181">
        <f t="shared" ref="S181" si="883">R181/100000</f>
        <v>54.012646301220158</v>
      </c>
      <c r="T181">
        <f t="shared" ref="T181" si="884">S181/1000</f>
        <v>5.4012646301220157E-2</v>
      </c>
    </row>
    <row r="182" spans="1:20" x14ac:dyDescent="0.25">
      <c r="A182" s="5">
        <v>44411</v>
      </c>
      <c r="B182">
        <v>0.7883</v>
      </c>
      <c r="C182">
        <v>0.80840000000000001</v>
      </c>
      <c r="D182">
        <v>0.75</v>
      </c>
      <c r="E182">
        <v>0.77929999999999999</v>
      </c>
      <c r="F182">
        <v>2147551</v>
      </c>
      <c r="G182">
        <v>0.77929999999999999</v>
      </c>
      <c r="L182" t="s">
        <v>8</v>
      </c>
      <c r="M182" t="s">
        <v>8</v>
      </c>
      <c r="N182" t="s">
        <v>7</v>
      </c>
      <c r="P182">
        <f t="shared" ref="P182" si="885">IF(C182=D182,0,((E182-D182)-(C182-E182))/(C182-D182))</f>
        <v>3.4246575342461979E-3</v>
      </c>
      <c r="Q182">
        <f t="shared" ref="Q182" si="886">F182*P182</f>
        <v>7354.6267123279567</v>
      </c>
      <c r="R182">
        <f t="shared" ref="R182" si="887">R183+Q182</f>
        <v>6675834.1021220116</v>
      </c>
      <c r="S182">
        <f t="shared" ref="S182" si="888">R182/100000</f>
        <v>66.758341021220119</v>
      </c>
      <c r="T182">
        <f t="shared" ref="T182" si="889">S182/1000</f>
        <v>6.6758341021220122E-2</v>
      </c>
    </row>
    <row r="183" spans="1:20" x14ac:dyDescent="0.25">
      <c r="A183" s="5">
        <v>44410</v>
      </c>
      <c r="B183">
        <v>0.77010000000000001</v>
      </c>
      <c r="C183">
        <v>0.82</v>
      </c>
      <c r="D183">
        <v>0.7571</v>
      </c>
      <c r="E183">
        <v>0.78859999999999997</v>
      </c>
      <c r="F183">
        <v>3044003</v>
      </c>
      <c r="G183">
        <v>0.78859999999999997</v>
      </c>
      <c r="L183" t="s">
        <v>7</v>
      </c>
      <c r="M183" t="s">
        <v>8</v>
      </c>
      <c r="N183" t="s">
        <v>7</v>
      </c>
      <c r="P183">
        <f t="shared" ref="P183" si="890">IF(C183=D183,0,((E183-D183)-(C183-E183))/(C183-D183))</f>
        <v>1.5898251192367099E-3</v>
      </c>
      <c r="Q183">
        <f t="shared" ref="Q183" si="891">F183*P183</f>
        <v>4839.4324324319023</v>
      </c>
      <c r="R183">
        <f t="shared" ref="R183" si="892">R184+Q183</f>
        <v>6668479.4754096838</v>
      </c>
      <c r="S183">
        <f t="shared" ref="S183" si="893">R183/100000</f>
        <v>66.684794754096842</v>
      </c>
      <c r="T183">
        <f t="shared" ref="T183" si="894">S183/1000</f>
        <v>6.6684794754096846E-2</v>
      </c>
    </row>
    <row r="184" spans="1:20" x14ac:dyDescent="0.25">
      <c r="A184" s="5">
        <v>44409</v>
      </c>
      <c r="B184">
        <v>0.76439999999999997</v>
      </c>
      <c r="C184">
        <v>0.82599999999999996</v>
      </c>
      <c r="D184">
        <v>0.75380000000000003</v>
      </c>
      <c r="E184">
        <v>0.76970000000000005</v>
      </c>
      <c r="F184">
        <v>3041920</v>
      </c>
      <c r="G184">
        <v>0.76970000000000005</v>
      </c>
      <c r="L184" t="s">
        <v>8</v>
      </c>
      <c r="M184" t="s">
        <v>8</v>
      </c>
      <c r="N184" t="s">
        <v>7</v>
      </c>
      <c r="P184">
        <f t="shared" ref="P184" si="895">IF(C184=D184,0,((E184-D184)-(C184-E184))/(C184-D184))</f>
        <v>-0.55955678670359998</v>
      </c>
      <c r="Q184">
        <f t="shared" ref="Q184" si="896">F184*P184</f>
        <v>-1702126.9806094149</v>
      </c>
      <c r="R184">
        <f t="shared" ref="R184" si="897">R185+Q184</f>
        <v>6663640.042977252</v>
      </c>
      <c r="S184">
        <f t="shared" ref="S184" si="898">R184/100000</f>
        <v>66.636400429772522</v>
      </c>
      <c r="T184">
        <f t="shared" ref="T184" si="899">S184/1000</f>
        <v>6.6636400429772522E-2</v>
      </c>
    </row>
    <row r="185" spans="1:20" x14ac:dyDescent="0.25">
      <c r="A185" s="5">
        <v>44408</v>
      </c>
      <c r="B185">
        <v>0.75480000000000003</v>
      </c>
      <c r="C185">
        <v>0.78</v>
      </c>
      <c r="D185">
        <v>0.74080000000000001</v>
      </c>
      <c r="E185">
        <v>0.76019999999999999</v>
      </c>
      <c r="F185">
        <v>2531187</v>
      </c>
      <c r="G185">
        <v>0.76019999999999999</v>
      </c>
      <c r="L185" t="s">
        <v>8</v>
      </c>
      <c r="M185" t="s">
        <v>8</v>
      </c>
      <c r="N185" t="s">
        <v>7</v>
      </c>
      <c r="P185">
        <f t="shared" ref="P185" si="900">IF(C185=D185,0,((E185-D185)-(C185-E185))/(C185-D185))</f>
        <v>-1.0204081632654766E-2</v>
      </c>
      <c r="Q185">
        <f t="shared" ref="Q185" si="901">F185*P185</f>
        <v>-25828.438775514518</v>
      </c>
      <c r="R185">
        <f t="shared" ref="R185" si="902">R186+Q185</f>
        <v>8365767.0235866671</v>
      </c>
      <c r="S185">
        <f t="shared" ref="S185" si="903">R185/100000</f>
        <v>83.657670235866675</v>
      </c>
      <c r="T185">
        <f t="shared" ref="T185" si="904">S185/1000</f>
        <v>8.3657670235866677E-2</v>
      </c>
    </row>
    <row r="186" spans="1:20" x14ac:dyDescent="0.25">
      <c r="A186" s="5">
        <v>44407</v>
      </c>
      <c r="B186">
        <v>0.74580000000000002</v>
      </c>
      <c r="C186">
        <v>0.76</v>
      </c>
      <c r="D186">
        <v>0.71830000000000005</v>
      </c>
      <c r="E186">
        <v>0.75570000000000004</v>
      </c>
      <c r="F186">
        <v>1828805</v>
      </c>
      <c r="G186">
        <v>0.75570000000000004</v>
      </c>
      <c r="L186" t="s">
        <v>8</v>
      </c>
      <c r="M186" t="s">
        <v>8</v>
      </c>
      <c r="N186" t="s">
        <v>7</v>
      </c>
      <c r="P186">
        <f t="shared" ref="P186" si="905">IF(C186=D186,0,((E186-D186)-(C186-E186))/(C186-D186))</f>
        <v>0.7937649880095935</v>
      </c>
      <c r="Q186">
        <f t="shared" ref="Q186" si="906">F186*P186</f>
        <v>1451641.3788968846</v>
      </c>
      <c r="R186">
        <f t="shared" ref="R186" si="907">R187+Q186</f>
        <v>8391595.4623621814</v>
      </c>
      <c r="S186">
        <f t="shared" ref="S186" si="908">R186/100000</f>
        <v>83.915954623621815</v>
      </c>
      <c r="T186">
        <f t="shared" ref="T186" si="909">S186/1000</f>
        <v>8.3915954623621808E-2</v>
      </c>
    </row>
    <row r="187" spans="1:20" x14ac:dyDescent="0.25">
      <c r="A187" s="5">
        <v>44406</v>
      </c>
      <c r="B187">
        <v>0.73950000000000005</v>
      </c>
      <c r="C187">
        <v>0.76</v>
      </c>
      <c r="D187">
        <v>0.71899999999999997</v>
      </c>
      <c r="E187">
        <v>0.74570000000000003</v>
      </c>
      <c r="F187">
        <v>1913726</v>
      </c>
      <c r="G187">
        <v>0.74570000000000003</v>
      </c>
      <c r="L187" t="s">
        <v>8</v>
      </c>
      <c r="M187" t="s">
        <v>8</v>
      </c>
      <c r="N187" t="s">
        <v>7</v>
      </c>
      <c r="P187">
        <f t="shared" ref="P187" si="910">IF(C187=D187,0,((E187-D187)-(C187-E187))/(C187-D187))</f>
        <v>0.3024390243902455</v>
      </c>
      <c r="Q187">
        <f t="shared" ref="Q187" si="911">F187*P187</f>
        <v>578785.42439024698</v>
      </c>
      <c r="R187">
        <f t="shared" ref="R187" si="912">R188+Q187</f>
        <v>6939954.0834652977</v>
      </c>
      <c r="S187">
        <f t="shared" ref="S187" si="913">R187/100000</f>
        <v>69.399540834652981</v>
      </c>
      <c r="T187">
        <f t="shared" ref="T187" si="914">S187/1000</f>
        <v>6.9399540834652981E-2</v>
      </c>
    </row>
    <row r="188" spans="1:20" x14ac:dyDescent="0.25">
      <c r="A188" s="5">
        <v>44405</v>
      </c>
      <c r="B188">
        <v>0.75309999999999999</v>
      </c>
      <c r="C188">
        <v>0.75800000000000001</v>
      </c>
      <c r="D188">
        <v>0.7</v>
      </c>
      <c r="E188">
        <v>0.7429</v>
      </c>
      <c r="F188">
        <v>1805742</v>
      </c>
      <c r="G188">
        <v>0.7429</v>
      </c>
      <c r="L188" t="s">
        <v>7</v>
      </c>
      <c r="M188" t="s">
        <v>8</v>
      </c>
      <c r="N188" t="s">
        <v>7</v>
      </c>
      <c r="P188">
        <f t="shared" ref="P188" si="915">IF(C188=D188,0,((E188-D188)-(C188-E188))/(C188-D188))</f>
        <v>0.47931034482758661</v>
      </c>
      <c r="Q188">
        <f t="shared" ref="Q188" si="916">F188*P188</f>
        <v>865510.82068965596</v>
      </c>
      <c r="R188">
        <f t="shared" ref="R188" si="917">R189+Q188</f>
        <v>6361168.6590750506</v>
      </c>
      <c r="S188">
        <f t="shared" ref="S188" si="918">R188/100000</f>
        <v>63.611686590750509</v>
      </c>
      <c r="T188">
        <f t="shared" ref="T188" si="919">S188/1000</f>
        <v>6.3611686590750505E-2</v>
      </c>
    </row>
    <row r="189" spans="1:20" x14ac:dyDescent="0.25">
      <c r="A189" s="5">
        <v>44404</v>
      </c>
      <c r="B189">
        <v>0.68400000000000005</v>
      </c>
      <c r="C189">
        <v>0.78700000000000003</v>
      </c>
      <c r="D189">
        <v>0.6794</v>
      </c>
      <c r="E189">
        <v>0.7571</v>
      </c>
      <c r="F189">
        <v>7415512</v>
      </c>
      <c r="G189">
        <v>0.7571</v>
      </c>
      <c r="L189" t="s">
        <v>8</v>
      </c>
      <c r="M189" t="s">
        <v>8</v>
      </c>
      <c r="N189" t="s">
        <v>7</v>
      </c>
      <c r="P189">
        <f t="shared" ref="P189" si="920">IF(C189=D189,0,((E189-D189)-(C189-E189))/(C189-D189))</f>
        <v>0.44423791821561281</v>
      </c>
      <c r="Q189">
        <f t="shared" ref="Q189" si="921">F189*P189</f>
        <v>3294251.6133828955</v>
      </c>
      <c r="R189">
        <f t="shared" ref="R189" si="922">R190+Q189</f>
        <v>5495657.8383853948</v>
      </c>
      <c r="S189">
        <f t="shared" ref="S189" si="923">R189/100000</f>
        <v>54.956578383853945</v>
      </c>
      <c r="T189">
        <f t="shared" ref="T189" si="924">S189/1000</f>
        <v>5.4956578383853948E-2</v>
      </c>
    </row>
    <row r="190" spans="1:20" x14ac:dyDescent="0.25">
      <c r="A190" s="5">
        <v>44403</v>
      </c>
      <c r="B190">
        <v>0.66949999999999998</v>
      </c>
      <c r="C190">
        <v>0.73</v>
      </c>
      <c r="D190">
        <v>0.66569999999999996</v>
      </c>
      <c r="E190">
        <v>0.68459999999999999</v>
      </c>
      <c r="F190">
        <v>3719178</v>
      </c>
      <c r="G190">
        <v>0.68459999999999999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-0.41213063763608021</v>
      </c>
      <c r="Q190">
        <f t="shared" ref="Q190" si="926">F190*P190</f>
        <v>-1532787.2006220815</v>
      </c>
      <c r="R190">
        <f t="shared" ref="R190" si="927">R191+Q190</f>
        <v>2201406.2250024993</v>
      </c>
      <c r="S190">
        <f t="shared" ref="S190" si="928">R190/100000</f>
        <v>22.014062250024992</v>
      </c>
      <c r="T190">
        <f t="shared" ref="T190" si="929">S190/1000</f>
        <v>2.2014062250024991E-2</v>
      </c>
    </row>
    <row r="191" spans="1:20" x14ac:dyDescent="0.25">
      <c r="A191" s="5">
        <v>44402</v>
      </c>
      <c r="B191">
        <v>0.67359999999999998</v>
      </c>
      <c r="C191">
        <v>0.67989999999999995</v>
      </c>
      <c r="D191">
        <v>0.65</v>
      </c>
      <c r="E191">
        <v>0.66949999999999998</v>
      </c>
      <c r="F191">
        <v>1955167</v>
      </c>
      <c r="G191">
        <v>0.66949999999999998</v>
      </c>
      <c r="L191" t="s">
        <v>8</v>
      </c>
      <c r="M191" t="s">
        <v>7</v>
      </c>
      <c r="N191" t="s">
        <v>7</v>
      </c>
      <c r="P191">
        <f t="shared" ref="P191" si="930">IF(C191=D191,0,((E191-D191)-(C191-E191))/(C191-D191))</f>
        <v>0.30434782608695715</v>
      </c>
      <c r="Q191">
        <f t="shared" ref="Q191" si="931">F191*P191</f>
        <v>595050.82608695771</v>
      </c>
      <c r="R191">
        <f t="shared" ref="R191" si="932">R192+Q191</f>
        <v>3734193.4256245811</v>
      </c>
      <c r="S191">
        <f t="shared" ref="S191" si="933">R191/100000</f>
        <v>37.341934256245814</v>
      </c>
      <c r="T191">
        <f t="shared" ref="T191:T197" si="934">S191/1000</f>
        <v>3.7341934256245816E-2</v>
      </c>
    </row>
    <row r="192" spans="1:20" x14ac:dyDescent="0.25">
      <c r="A192" s="5">
        <v>44401</v>
      </c>
      <c r="B192">
        <v>0.6704</v>
      </c>
      <c r="C192">
        <v>0.69</v>
      </c>
      <c r="D192">
        <v>0.65690000000000004</v>
      </c>
      <c r="E192">
        <v>0.67400000000000004</v>
      </c>
      <c r="F192">
        <v>2738430</v>
      </c>
      <c r="G192">
        <v>0.67400000000000004</v>
      </c>
      <c r="L192" t="s">
        <v>8</v>
      </c>
      <c r="M192" t="s">
        <v>7</v>
      </c>
      <c r="N192" t="s">
        <v>7</v>
      </c>
      <c r="P192">
        <f t="shared" ref="P192" si="935">IF(C192=D192,0,((E192-D192)-(C192-E192))/(C192-D192))</f>
        <v>3.3232628398794685E-2</v>
      </c>
      <c r="Q192">
        <f t="shared" ref="Q192" si="936">F192*P192</f>
        <v>91005.226586111326</v>
      </c>
      <c r="R192">
        <f t="shared" ref="R192" si="937">R193+Q192</f>
        <v>3139142.5995376236</v>
      </c>
      <c r="S192">
        <f t="shared" ref="S192" si="938">R192/100000</f>
        <v>31.391425995376235</v>
      </c>
      <c r="T192">
        <f t="shared" si="934"/>
        <v>3.1391425995376233E-2</v>
      </c>
    </row>
    <row r="193" spans="1:20" x14ac:dyDescent="0.25">
      <c r="A193" s="5">
        <v>44400</v>
      </c>
      <c r="B193">
        <v>0.64139999999999997</v>
      </c>
      <c r="C193">
        <v>0.67749999999999999</v>
      </c>
      <c r="D193">
        <v>0.63419999999999999</v>
      </c>
      <c r="E193">
        <v>0.67</v>
      </c>
      <c r="F193">
        <v>4319599</v>
      </c>
      <c r="G193">
        <v>0.67</v>
      </c>
      <c r="L193" t="s">
        <v>7</v>
      </c>
      <c r="M193" t="s">
        <v>7</v>
      </c>
      <c r="N193" t="s">
        <v>7</v>
      </c>
      <c r="P193">
        <f t="shared" ref="P193" si="939">IF(C193=D193,0,((E193-D193)-(C193-E193))/(C193-D193))</f>
        <v>0.65357967667436723</v>
      </c>
      <c r="Q193">
        <f t="shared" ref="Q193" si="940">F193*P193</f>
        <v>2823202.1177829201</v>
      </c>
      <c r="R193">
        <f t="shared" ref="R193" si="941">R194+Q193</f>
        <v>3048137.3729515122</v>
      </c>
      <c r="S193">
        <f t="shared" ref="S193" si="942">R193/100000</f>
        <v>30.481373729515123</v>
      </c>
      <c r="T193">
        <f t="shared" si="934"/>
        <v>3.0481373729515124E-2</v>
      </c>
    </row>
    <row r="194" spans="1:20" x14ac:dyDescent="0.25">
      <c r="A194" s="5">
        <v>44399</v>
      </c>
      <c r="B194">
        <v>0.68230000000000002</v>
      </c>
      <c r="C194">
        <v>0.69989999999999997</v>
      </c>
      <c r="D194">
        <v>0.64</v>
      </c>
      <c r="E194">
        <v>0.64190000000000003</v>
      </c>
      <c r="F194">
        <v>2834690</v>
      </c>
      <c r="G194">
        <v>0.64190000000000003</v>
      </c>
      <c r="L194" t="s">
        <v>7</v>
      </c>
      <c r="M194" t="s">
        <v>7</v>
      </c>
      <c r="N194" t="s">
        <v>7</v>
      </c>
      <c r="P194">
        <f t="shared" ref="P194" si="943">IF(C194=D194,0,((E194-D194)-(C194-E194))/(C194-D194))</f>
        <v>-0.93656093489148529</v>
      </c>
      <c r="Q194">
        <f t="shared" ref="Q194" si="944">F194*P194</f>
        <v>-2654859.9165275446</v>
      </c>
      <c r="R194">
        <f t="shared" ref="R194" si="945">R195+Q194</f>
        <v>224935.25516859209</v>
      </c>
      <c r="S194">
        <f t="shared" ref="S194" si="946">R194/100000</f>
        <v>2.249352551685921</v>
      </c>
      <c r="T194">
        <f t="shared" si="934"/>
        <v>2.2493525516859209E-3</v>
      </c>
    </row>
    <row r="195" spans="1:20" x14ac:dyDescent="0.25">
      <c r="A195" s="5">
        <v>44398</v>
      </c>
      <c r="B195">
        <v>0.62380000000000002</v>
      </c>
      <c r="C195">
        <v>0.71889999999999998</v>
      </c>
      <c r="D195">
        <v>0.6139</v>
      </c>
      <c r="E195">
        <v>0.68300000000000005</v>
      </c>
      <c r="F195">
        <v>3262319</v>
      </c>
      <c r="G195">
        <v>0.68300000000000005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0.31619047619047735</v>
      </c>
      <c r="Q195">
        <f t="shared" ref="Q195" si="948">F195*P195</f>
        <v>1031514.1980952419</v>
      </c>
      <c r="R195">
        <f t="shared" ref="R195" si="949">R196+Q195</f>
        <v>2879795.1716961367</v>
      </c>
      <c r="S195">
        <f t="shared" ref="S195" si="950">R195/100000</f>
        <v>28.797951716961368</v>
      </c>
      <c r="T195">
        <f t="shared" si="934"/>
        <v>2.8797951716961367E-2</v>
      </c>
    </row>
    <row r="196" spans="1:20" x14ac:dyDescent="0.25">
      <c r="A196" s="5">
        <v>44397</v>
      </c>
      <c r="B196">
        <v>0.70130000000000003</v>
      </c>
      <c r="C196">
        <v>0.70640000000000003</v>
      </c>
      <c r="D196">
        <v>0.61890000000000001</v>
      </c>
      <c r="E196">
        <v>0.62519999999999998</v>
      </c>
      <c r="F196">
        <v>3533599</v>
      </c>
      <c r="G196">
        <v>0.62519999999999998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-0.85600000000000065</v>
      </c>
      <c r="Q196">
        <f t="shared" ref="Q196" si="952">F196*P196</f>
        <v>-3024760.7440000023</v>
      </c>
      <c r="R196">
        <f t="shared" ref="R196" si="953">R197+Q196</f>
        <v>1848280.9736008947</v>
      </c>
      <c r="S196">
        <f t="shared" ref="S196" si="954">R196/100000</f>
        <v>18.482809736008946</v>
      </c>
      <c r="T196">
        <f t="shared" si="934"/>
        <v>1.8482809736008944E-2</v>
      </c>
    </row>
    <row r="197" spans="1:20" x14ac:dyDescent="0.25">
      <c r="A197" s="5">
        <v>44396</v>
      </c>
      <c r="B197">
        <v>0.74809999999999999</v>
      </c>
      <c r="C197">
        <v>0.75560000000000005</v>
      </c>
      <c r="D197">
        <v>0.7</v>
      </c>
      <c r="E197">
        <v>0.70120000000000005</v>
      </c>
      <c r="F197">
        <v>1973058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-0.95683453237409755</v>
      </c>
      <c r="Q197">
        <f t="shared" ref="Q197" si="956">F197*P197</f>
        <v>-1887890.0287769721</v>
      </c>
      <c r="R197">
        <f t="shared" ref="R197" si="957">R198+Q197</f>
        <v>4873041.717600897</v>
      </c>
      <c r="S197">
        <f t="shared" ref="S197" si="958">R197/100000</f>
        <v>48.73041717600897</v>
      </c>
      <c r="T197">
        <f t="shared" si="934"/>
        <v>4.8730417176008969E-2</v>
      </c>
    </row>
    <row r="198" spans="1:20" x14ac:dyDescent="0.25">
      <c r="A198" s="5">
        <v>44395</v>
      </c>
      <c r="B198">
        <v>0.74490000000000001</v>
      </c>
      <c r="C198">
        <v>0.7762</v>
      </c>
      <c r="D198">
        <v>0.74209999999999998</v>
      </c>
      <c r="E198">
        <v>0.75</v>
      </c>
      <c r="F198">
        <v>2720162</v>
      </c>
      <c r="G198">
        <v>0</v>
      </c>
      <c r="L198" t="s">
        <v>7</v>
      </c>
      <c r="M198" t="s">
        <v>7</v>
      </c>
      <c r="N198" t="s">
        <v>8</v>
      </c>
      <c r="P198">
        <f t="shared" ref="P198:P261" si="959">IF(C198=D198,0,((E198-D198)-(C198-E198))/(C198-D198))</f>
        <v>-0.53665689149560036</v>
      </c>
      <c r="Q198">
        <f t="shared" ref="Q198:Q261" si="960">F198*P198</f>
        <v>-1459793.6832844552</v>
      </c>
      <c r="R198">
        <f t="shared" ref="R198:R261" si="961">R199+Q198</f>
        <v>6760931.7463778686</v>
      </c>
      <c r="S198">
        <f t="shared" ref="S198:S261" si="962">R198/100000</f>
        <v>67.60931746377868</v>
      </c>
      <c r="T198">
        <f t="shared" ref="T198:T261" si="963">S198/1000</f>
        <v>6.7609317463778684E-2</v>
      </c>
    </row>
    <row r="199" spans="1:20" x14ac:dyDescent="0.25">
      <c r="A199" s="5">
        <v>44394</v>
      </c>
      <c r="B199">
        <v>0.74819999999999998</v>
      </c>
      <c r="C199">
        <v>0.75790000000000002</v>
      </c>
      <c r="D199">
        <v>0.73040000000000005</v>
      </c>
      <c r="E199">
        <v>0.745</v>
      </c>
      <c r="F199">
        <v>1851994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6.1818181818179115E-2</v>
      </c>
      <c r="Q199">
        <f t="shared" si="960"/>
        <v>114486.9018181768</v>
      </c>
      <c r="R199">
        <f t="shared" si="961"/>
        <v>8220725.4296623236</v>
      </c>
      <c r="S199">
        <f t="shared" si="962"/>
        <v>82.207254296623233</v>
      </c>
      <c r="T199">
        <f t="shared" si="963"/>
        <v>8.2207254296623233E-2</v>
      </c>
    </row>
    <row r="200" spans="1:20" x14ac:dyDescent="0.25">
      <c r="A200" s="5">
        <v>44393</v>
      </c>
      <c r="B200">
        <v>0.77149999999999996</v>
      </c>
      <c r="C200">
        <v>0.79279999999999995</v>
      </c>
      <c r="D200">
        <v>0.74239999999999995</v>
      </c>
      <c r="E200">
        <v>0.74819999999999998</v>
      </c>
      <c r="F200">
        <v>4453218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-0.76984126984126877</v>
      </c>
      <c r="Q200">
        <f t="shared" si="960"/>
        <v>-3428270.9999999953</v>
      </c>
      <c r="R200">
        <f t="shared" si="961"/>
        <v>8106238.5278441468</v>
      </c>
      <c r="S200">
        <f t="shared" si="962"/>
        <v>81.062385278441468</v>
      </c>
      <c r="T200">
        <f t="shared" si="963"/>
        <v>8.1062385278441465E-2</v>
      </c>
    </row>
    <row r="201" spans="1:20" x14ac:dyDescent="0.25">
      <c r="A201" s="5">
        <v>44392</v>
      </c>
      <c r="B201">
        <v>0.85250000000000004</v>
      </c>
      <c r="C201">
        <v>0.8538</v>
      </c>
      <c r="D201">
        <v>0.75690000000000002</v>
      </c>
      <c r="E201">
        <v>0.76770000000000005</v>
      </c>
      <c r="F201">
        <v>4713934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-0.77708978328173306</v>
      </c>
      <c r="Q201">
        <f t="shared" si="960"/>
        <v>-3663149.950464393</v>
      </c>
      <c r="R201">
        <f t="shared" si="961"/>
        <v>11534509.527844142</v>
      </c>
      <c r="S201">
        <f t="shared" si="962"/>
        <v>115.34509527844142</v>
      </c>
      <c r="T201">
        <f t="shared" si="963"/>
        <v>0.11534509527844142</v>
      </c>
    </row>
    <row r="202" spans="1:20" x14ac:dyDescent="0.25">
      <c r="A202" s="5">
        <v>44391</v>
      </c>
      <c r="B202">
        <v>0.92479999999999996</v>
      </c>
      <c r="C202">
        <v>0.92949999999999999</v>
      </c>
      <c r="D202">
        <v>0.83</v>
      </c>
      <c r="E202">
        <v>0.85250000000000004</v>
      </c>
      <c r="F202">
        <v>9225569</v>
      </c>
      <c r="G202">
        <v>0</v>
      </c>
      <c r="L202" t="s">
        <v>7</v>
      </c>
      <c r="M202" t="s">
        <v>8</v>
      </c>
      <c r="N202" t="s">
        <v>8</v>
      </c>
      <c r="P202">
        <f t="shared" si="959"/>
        <v>-0.54773869346733528</v>
      </c>
      <c r="Q202">
        <f t="shared" si="960"/>
        <v>-5053201.1105527505</v>
      </c>
      <c r="R202">
        <f t="shared" si="961"/>
        <v>15197659.478308536</v>
      </c>
      <c r="S202">
        <f t="shared" si="962"/>
        <v>151.97659478308537</v>
      </c>
      <c r="T202">
        <f t="shared" si="963"/>
        <v>0.15197659478308537</v>
      </c>
    </row>
    <row r="203" spans="1:20" x14ac:dyDescent="0.25">
      <c r="A203" s="5">
        <v>44390</v>
      </c>
      <c r="B203">
        <v>0.82650000000000001</v>
      </c>
      <c r="C203">
        <v>0.97499999999999998</v>
      </c>
      <c r="D203">
        <v>0.80230000000000001</v>
      </c>
      <c r="E203">
        <v>0.92330000000000001</v>
      </c>
      <c r="F203">
        <v>15107459</v>
      </c>
      <c r="G203">
        <v>0</v>
      </c>
      <c r="L203" t="s">
        <v>8</v>
      </c>
      <c r="M203" t="s">
        <v>8</v>
      </c>
      <c r="N203" t="s">
        <v>8</v>
      </c>
      <c r="P203">
        <f t="shared" si="959"/>
        <v>0.40127388535031872</v>
      </c>
      <c r="Q203">
        <f t="shared" si="960"/>
        <v>6062228.770700641</v>
      </c>
      <c r="R203">
        <f t="shared" si="961"/>
        <v>20250860.588861287</v>
      </c>
      <c r="S203">
        <f t="shared" si="962"/>
        <v>202.50860588861286</v>
      </c>
      <c r="T203">
        <f t="shared" si="963"/>
        <v>0.20250860588861286</v>
      </c>
    </row>
    <row r="204" spans="1:20" x14ac:dyDescent="0.25">
      <c r="A204" s="5">
        <v>44389</v>
      </c>
      <c r="B204">
        <v>0.78139999999999998</v>
      </c>
      <c r="C204">
        <v>0.85</v>
      </c>
      <c r="D204">
        <v>0.77600000000000002</v>
      </c>
      <c r="E204">
        <v>0.82630000000000003</v>
      </c>
      <c r="F204">
        <v>3149088</v>
      </c>
      <c r="G204">
        <v>0</v>
      </c>
      <c r="L204" t="s">
        <v>8</v>
      </c>
      <c r="M204" t="s">
        <v>7</v>
      </c>
      <c r="N204" t="s">
        <v>8</v>
      </c>
      <c r="P204">
        <f t="shared" si="959"/>
        <v>0.35945945945946062</v>
      </c>
      <c r="Q204">
        <f t="shared" si="960"/>
        <v>1131969.470270274</v>
      </c>
      <c r="R204">
        <f t="shared" si="961"/>
        <v>14188631.818160648</v>
      </c>
      <c r="S204">
        <f t="shared" si="962"/>
        <v>141.88631818160647</v>
      </c>
      <c r="T204">
        <f t="shared" si="963"/>
        <v>0.14188631818160646</v>
      </c>
    </row>
    <row r="205" spans="1:20" x14ac:dyDescent="0.25">
      <c r="A205" s="5">
        <v>44388</v>
      </c>
      <c r="B205">
        <v>0.76480000000000004</v>
      </c>
      <c r="C205">
        <v>0.8</v>
      </c>
      <c r="D205">
        <v>0.75129999999999997</v>
      </c>
      <c r="E205">
        <v>0.78090000000000004</v>
      </c>
      <c r="F205">
        <v>2822960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0.21560574948665398</v>
      </c>
      <c r="Q205">
        <f t="shared" si="960"/>
        <v>608646.4065708447</v>
      </c>
      <c r="R205">
        <f t="shared" si="961"/>
        <v>13056662.347890373</v>
      </c>
      <c r="S205">
        <f t="shared" si="962"/>
        <v>130.56662347890372</v>
      </c>
      <c r="T205">
        <f t="shared" si="963"/>
        <v>0.13056662347890372</v>
      </c>
    </row>
    <row r="206" spans="1:20" x14ac:dyDescent="0.25">
      <c r="A206" s="5">
        <v>44387</v>
      </c>
      <c r="B206">
        <v>0.79020000000000001</v>
      </c>
      <c r="C206">
        <v>0.80359999999999998</v>
      </c>
      <c r="D206">
        <v>0.75009999999999999</v>
      </c>
      <c r="E206">
        <v>0.76629999999999998</v>
      </c>
      <c r="F206">
        <v>2190753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-0.39439252336448616</v>
      </c>
      <c r="Q206">
        <f t="shared" si="960"/>
        <v>-864016.6037383182</v>
      </c>
      <c r="R206">
        <f t="shared" si="961"/>
        <v>12448015.941319529</v>
      </c>
      <c r="S206">
        <f t="shared" si="962"/>
        <v>124.4801594131953</v>
      </c>
      <c r="T206">
        <f t="shared" si="963"/>
        <v>0.12448015941319529</v>
      </c>
    </row>
    <row r="207" spans="1:20" x14ac:dyDescent="0.25">
      <c r="A207" s="5">
        <v>44386</v>
      </c>
      <c r="B207">
        <v>0.7641</v>
      </c>
      <c r="C207">
        <v>0.80110000000000003</v>
      </c>
      <c r="D207">
        <v>0.73550000000000004</v>
      </c>
      <c r="E207">
        <v>0.79039999999999999</v>
      </c>
      <c r="F207">
        <v>1732555</v>
      </c>
      <c r="G207">
        <v>0</v>
      </c>
      <c r="L207" t="s">
        <v>8</v>
      </c>
      <c r="M207" t="s">
        <v>7</v>
      </c>
      <c r="N207" t="s">
        <v>8</v>
      </c>
      <c r="P207">
        <f t="shared" si="959"/>
        <v>0.67378048780487665</v>
      </c>
      <c r="Q207">
        <f t="shared" si="960"/>
        <v>1167361.753048778</v>
      </c>
      <c r="R207">
        <f t="shared" si="961"/>
        <v>13312032.545057848</v>
      </c>
      <c r="S207">
        <f t="shared" si="962"/>
        <v>133.12032545057849</v>
      </c>
      <c r="T207">
        <f t="shared" si="963"/>
        <v>0.1331203254505785</v>
      </c>
    </row>
    <row r="208" spans="1:20" x14ac:dyDescent="0.25">
      <c r="A208" s="5">
        <v>44385</v>
      </c>
      <c r="B208">
        <v>0.78610000000000002</v>
      </c>
      <c r="C208">
        <v>0.85470000000000002</v>
      </c>
      <c r="D208">
        <v>0.72809999999999997</v>
      </c>
      <c r="E208">
        <v>0.7641</v>
      </c>
      <c r="F208">
        <v>4674703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-0.43127962085308025</v>
      </c>
      <c r="Q208">
        <f t="shared" si="960"/>
        <v>-2016104.1374407569</v>
      </c>
      <c r="R208">
        <f t="shared" si="961"/>
        <v>12144670.792009071</v>
      </c>
      <c r="S208">
        <f t="shared" si="962"/>
        <v>121.4467079200907</v>
      </c>
      <c r="T208">
        <f t="shared" si="963"/>
        <v>0.1214467079200907</v>
      </c>
    </row>
    <row r="209" spans="1:20" x14ac:dyDescent="0.25">
      <c r="A209" s="5">
        <v>44384</v>
      </c>
      <c r="B209">
        <v>0.80789999999999995</v>
      </c>
      <c r="C209">
        <v>0.81620000000000004</v>
      </c>
      <c r="D209">
        <v>0.78129999999999999</v>
      </c>
      <c r="E209">
        <v>0.78449999999999998</v>
      </c>
      <c r="F209">
        <v>3607000</v>
      </c>
      <c r="G209">
        <v>0</v>
      </c>
      <c r="L209" t="s">
        <v>7</v>
      </c>
      <c r="M209" t="s">
        <v>8</v>
      </c>
      <c r="N209" t="s">
        <v>8</v>
      </c>
      <c r="P209">
        <f t="shared" si="959"/>
        <v>-0.81661891117478647</v>
      </c>
      <c r="Q209">
        <f t="shared" si="960"/>
        <v>-2945544.4126074547</v>
      </c>
      <c r="R209">
        <f t="shared" si="961"/>
        <v>14160774.929449826</v>
      </c>
      <c r="S209">
        <f t="shared" si="962"/>
        <v>141.60774929449826</v>
      </c>
      <c r="T209">
        <f t="shared" si="963"/>
        <v>0.14160774929449826</v>
      </c>
    </row>
    <row r="210" spans="1:20" x14ac:dyDescent="0.25">
      <c r="A210" s="5">
        <v>44383</v>
      </c>
      <c r="B210">
        <v>0.81630000000000003</v>
      </c>
      <c r="C210">
        <v>0.84</v>
      </c>
      <c r="D210">
        <v>0.7883</v>
      </c>
      <c r="E210">
        <v>0.80730000000000002</v>
      </c>
      <c r="F210">
        <v>2783866</v>
      </c>
      <c r="G210">
        <v>0</v>
      </c>
      <c r="L210" t="s">
        <v>7</v>
      </c>
      <c r="M210" t="s">
        <v>8</v>
      </c>
      <c r="N210" t="s">
        <v>8</v>
      </c>
      <c r="P210">
        <f t="shared" si="959"/>
        <v>-0.26499032882011497</v>
      </c>
      <c r="Q210">
        <f t="shared" si="960"/>
        <v>-737697.56673113815</v>
      </c>
      <c r="R210">
        <f t="shared" si="961"/>
        <v>17106319.34205728</v>
      </c>
      <c r="S210">
        <f t="shared" si="962"/>
        <v>171.06319342057282</v>
      </c>
      <c r="T210">
        <f t="shared" si="963"/>
        <v>0.17106319342057283</v>
      </c>
    </row>
    <row r="211" spans="1:20" x14ac:dyDescent="0.25">
      <c r="A211" s="5">
        <v>44382</v>
      </c>
      <c r="B211">
        <v>0.84440000000000004</v>
      </c>
      <c r="C211">
        <v>0.84640000000000004</v>
      </c>
      <c r="D211">
        <v>0.8</v>
      </c>
      <c r="E211">
        <v>0.81610000000000005</v>
      </c>
      <c r="F211">
        <v>5367437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-0.3060344827586205</v>
      </c>
      <c r="Q211">
        <f t="shared" si="960"/>
        <v>-1642620.8060344816</v>
      </c>
      <c r="R211">
        <f t="shared" si="961"/>
        <v>17844016.90878842</v>
      </c>
      <c r="S211">
        <f t="shared" si="962"/>
        <v>178.44016908788421</v>
      </c>
      <c r="T211">
        <f t="shared" si="963"/>
        <v>0.17844016908788421</v>
      </c>
    </row>
    <row r="212" spans="1:20" x14ac:dyDescent="0.25">
      <c r="A212" s="5">
        <v>44381</v>
      </c>
      <c r="B212">
        <v>0.86750000000000005</v>
      </c>
      <c r="C212">
        <v>0.87980000000000003</v>
      </c>
      <c r="D212">
        <v>0.84</v>
      </c>
      <c r="E212">
        <v>0.84630000000000005</v>
      </c>
      <c r="F212">
        <v>4869737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-0.68341708542713198</v>
      </c>
      <c r="Q212">
        <f t="shared" si="960"/>
        <v>-3328061.4673366654</v>
      </c>
      <c r="R212">
        <f t="shared" si="961"/>
        <v>19486637.714822903</v>
      </c>
      <c r="S212">
        <f t="shared" si="962"/>
        <v>194.86637714822902</v>
      </c>
      <c r="T212">
        <f t="shared" si="963"/>
        <v>0.19486637714822902</v>
      </c>
    </row>
    <row r="213" spans="1:20" x14ac:dyDescent="0.25">
      <c r="A213" s="5">
        <v>44380</v>
      </c>
      <c r="B213">
        <v>0.86529999999999996</v>
      </c>
      <c r="C213">
        <v>0.88639999999999997</v>
      </c>
      <c r="D213">
        <v>0.84819999999999995</v>
      </c>
      <c r="E213">
        <v>0.86909999999999998</v>
      </c>
      <c r="F213">
        <v>5527351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9.4240837696336302E-2</v>
      </c>
      <c r="Q213">
        <f t="shared" si="960"/>
        <v>520902.18848168215</v>
      </c>
      <c r="R213">
        <f t="shared" si="961"/>
        <v>22814699.182159569</v>
      </c>
      <c r="S213">
        <f t="shared" si="962"/>
        <v>228.14699182159569</v>
      </c>
      <c r="T213">
        <f t="shared" si="963"/>
        <v>0.2281469918215957</v>
      </c>
    </row>
    <row r="214" spans="1:20" x14ac:dyDescent="0.25">
      <c r="A214" s="5">
        <v>44379</v>
      </c>
      <c r="B214">
        <v>0.87429999999999997</v>
      </c>
      <c r="C214">
        <v>0.88680000000000003</v>
      </c>
      <c r="D214">
        <v>0.79249999999999998</v>
      </c>
      <c r="E214">
        <v>0.86670000000000003</v>
      </c>
      <c r="F214">
        <v>5915084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0.57370095440084845</v>
      </c>
      <c r="Q214">
        <f t="shared" si="960"/>
        <v>3393489.3361611883</v>
      </c>
      <c r="R214">
        <f t="shared" si="961"/>
        <v>22293796.993677888</v>
      </c>
      <c r="S214">
        <f t="shared" si="962"/>
        <v>222.93796993677887</v>
      </c>
      <c r="T214">
        <f t="shared" si="963"/>
        <v>0.22293796993677886</v>
      </c>
    </row>
    <row r="215" spans="1:20" x14ac:dyDescent="0.25">
      <c r="A215" s="5">
        <v>44378</v>
      </c>
      <c r="B215">
        <v>0.89349999999999996</v>
      </c>
      <c r="C215">
        <v>0.89900000000000002</v>
      </c>
      <c r="D215">
        <v>0.80600000000000005</v>
      </c>
      <c r="E215">
        <v>0.87549999999999994</v>
      </c>
      <c r="F215">
        <v>6884109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0.49462365591397672</v>
      </c>
      <c r="Q215">
        <f t="shared" si="960"/>
        <v>3405043.1612903103</v>
      </c>
      <c r="R215">
        <f t="shared" si="961"/>
        <v>18900307.657516699</v>
      </c>
      <c r="S215">
        <f t="shared" si="962"/>
        <v>189.003076575167</v>
      </c>
      <c r="T215">
        <f t="shared" si="963"/>
        <v>0.18900307657516699</v>
      </c>
    </row>
    <row r="216" spans="1:20" x14ac:dyDescent="0.25">
      <c r="A216" s="5">
        <v>44377</v>
      </c>
      <c r="B216">
        <v>0.75700000000000001</v>
      </c>
      <c r="C216">
        <v>0.9022</v>
      </c>
      <c r="D216">
        <v>0.75109999999999999</v>
      </c>
      <c r="E216">
        <v>0.89419999999999999</v>
      </c>
      <c r="F216">
        <v>9954113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0.89410986101919254</v>
      </c>
      <c r="Q216">
        <f t="shared" si="960"/>
        <v>8900070.5909993369</v>
      </c>
      <c r="R216">
        <f t="shared" si="961"/>
        <v>15495264.496226389</v>
      </c>
      <c r="S216">
        <f t="shared" si="962"/>
        <v>154.95264496226389</v>
      </c>
      <c r="T216">
        <f t="shared" si="963"/>
        <v>0.15495264496226388</v>
      </c>
    </row>
    <row r="217" spans="1:20" x14ac:dyDescent="0.25">
      <c r="A217" s="5">
        <v>44376</v>
      </c>
      <c r="B217">
        <v>0.6835</v>
      </c>
      <c r="C217">
        <v>0.77759999999999996</v>
      </c>
      <c r="D217">
        <v>0.68049999999999999</v>
      </c>
      <c r="E217">
        <v>0.75470000000000004</v>
      </c>
      <c r="F217">
        <v>2677467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0.52832131822863171</v>
      </c>
      <c r="Q217">
        <f t="shared" si="960"/>
        <v>1414562.89495366</v>
      </c>
      <c r="R217">
        <f t="shared" si="961"/>
        <v>6595193.9052270511</v>
      </c>
      <c r="S217">
        <f t="shared" si="962"/>
        <v>65.951939052270518</v>
      </c>
      <c r="T217">
        <f t="shared" si="963"/>
        <v>6.5951939052270522E-2</v>
      </c>
    </row>
    <row r="218" spans="1:20" x14ac:dyDescent="0.25">
      <c r="A218" s="5">
        <v>44375</v>
      </c>
      <c r="B218">
        <v>0.66390000000000005</v>
      </c>
      <c r="C218">
        <v>0.69289999999999996</v>
      </c>
      <c r="D218">
        <v>0.64710000000000001</v>
      </c>
      <c r="E218">
        <v>0.68230000000000002</v>
      </c>
      <c r="F218">
        <v>3191609</v>
      </c>
      <c r="G218">
        <v>0</v>
      </c>
      <c r="L218" t="s">
        <v>8</v>
      </c>
      <c r="M218" t="s">
        <v>7</v>
      </c>
      <c r="N218" t="s">
        <v>7</v>
      </c>
      <c r="P218">
        <f t="shared" si="959"/>
        <v>0.53711790393013303</v>
      </c>
      <c r="Q218">
        <f t="shared" si="960"/>
        <v>1714270.336244548</v>
      </c>
      <c r="R218">
        <f t="shared" si="961"/>
        <v>5180631.0102733914</v>
      </c>
      <c r="S218">
        <f t="shared" si="962"/>
        <v>51.806310102733917</v>
      </c>
      <c r="T218">
        <f t="shared" si="963"/>
        <v>5.180631010273392E-2</v>
      </c>
    </row>
    <row r="219" spans="1:20" x14ac:dyDescent="0.25">
      <c r="A219" s="5">
        <v>44374</v>
      </c>
      <c r="B219">
        <v>0.64700000000000002</v>
      </c>
      <c r="C219">
        <v>0.6633</v>
      </c>
      <c r="D219">
        <v>0.63500000000000001</v>
      </c>
      <c r="E219">
        <v>0.6633</v>
      </c>
      <c r="F219">
        <v>5064115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1</v>
      </c>
      <c r="Q219">
        <f t="shared" si="960"/>
        <v>5064115</v>
      </c>
      <c r="R219">
        <f t="shared" si="961"/>
        <v>3466360.6740288432</v>
      </c>
      <c r="S219">
        <f t="shared" si="962"/>
        <v>34.663606740288429</v>
      </c>
      <c r="T219">
        <f t="shared" si="963"/>
        <v>3.4663606740288427E-2</v>
      </c>
    </row>
    <row r="220" spans="1:20" x14ac:dyDescent="0.25">
      <c r="A220" s="5">
        <v>44373</v>
      </c>
      <c r="B220">
        <v>0.64410000000000001</v>
      </c>
      <c r="C220">
        <v>0.66610000000000003</v>
      </c>
      <c r="D220">
        <v>0.61399999999999999</v>
      </c>
      <c r="E220">
        <v>0.64780000000000004</v>
      </c>
      <c r="F220">
        <v>1699474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0.29750479846449251</v>
      </c>
      <c r="Q220">
        <f t="shared" si="960"/>
        <v>505601.66986564494</v>
      </c>
      <c r="R220">
        <f t="shared" si="961"/>
        <v>-1597754.3259711568</v>
      </c>
      <c r="S220">
        <f t="shared" si="962"/>
        <v>-15.977543259711569</v>
      </c>
      <c r="T220">
        <f t="shared" si="963"/>
        <v>-1.5977543259711569E-2</v>
      </c>
    </row>
    <row r="221" spans="1:20" x14ac:dyDescent="0.25">
      <c r="A221" s="5">
        <v>44372</v>
      </c>
      <c r="B221">
        <v>0.61990000000000001</v>
      </c>
      <c r="C221">
        <v>0.74</v>
      </c>
      <c r="D221">
        <v>0.61990000000000001</v>
      </c>
      <c r="E221">
        <v>0.64600000000000002</v>
      </c>
      <c r="F221">
        <v>3720369</v>
      </c>
      <c r="G221">
        <v>0</v>
      </c>
      <c r="P221">
        <f t="shared" si="959"/>
        <v>-0.56536219816819289</v>
      </c>
      <c r="Q221">
        <f t="shared" si="960"/>
        <v>-2103355.9958368018</v>
      </c>
      <c r="R221">
        <f t="shared" si="961"/>
        <v>-2103355.9958368018</v>
      </c>
      <c r="S221">
        <f t="shared" si="962"/>
        <v>-21.03355995836802</v>
      </c>
      <c r="T221">
        <f t="shared" si="963"/>
        <v>-2.1033559958368021E-2</v>
      </c>
    </row>
    <row r="222" spans="1:20" x14ac:dyDescent="0.25">
      <c r="A222" s="5"/>
      <c r="P222">
        <f t="shared" si="959"/>
        <v>0</v>
      </c>
      <c r="Q222">
        <f t="shared" si="960"/>
        <v>0</v>
      </c>
      <c r="R222">
        <f t="shared" si="961"/>
        <v>0</v>
      </c>
      <c r="S222">
        <f t="shared" si="962"/>
        <v>0</v>
      </c>
      <c r="T222">
        <f t="shared" si="963"/>
        <v>0</v>
      </c>
    </row>
    <row r="223" spans="1:20" x14ac:dyDescent="0.25">
      <c r="A223" s="5"/>
      <c r="P223">
        <f t="shared" si="959"/>
        <v>0</v>
      </c>
      <c r="Q223">
        <f t="shared" si="960"/>
        <v>0</v>
      </c>
      <c r="R223">
        <f t="shared" si="961"/>
        <v>0</v>
      </c>
      <c r="S223">
        <f t="shared" si="962"/>
        <v>0</v>
      </c>
      <c r="T223">
        <f t="shared" si="963"/>
        <v>0</v>
      </c>
    </row>
    <row r="224" spans="1:20" x14ac:dyDescent="0.25">
      <c r="A224" s="5"/>
      <c r="P224">
        <f t="shared" si="959"/>
        <v>0</v>
      </c>
      <c r="Q224">
        <f t="shared" si="960"/>
        <v>0</v>
      </c>
      <c r="R224">
        <f t="shared" si="961"/>
        <v>0</v>
      </c>
      <c r="S224">
        <f t="shared" si="962"/>
        <v>0</v>
      </c>
      <c r="T224">
        <f t="shared" si="963"/>
        <v>0</v>
      </c>
    </row>
    <row r="225" spans="1:20" x14ac:dyDescent="0.25">
      <c r="A225" s="5"/>
      <c r="P225">
        <f t="shared" si="959"/>
        <v>0</v>
      </c>
      <c r="Q225">
        <f t="shared" si="960"/>
        <v>0</v>
      </c>
      <c r="R225">
        <f t="shared" si="961"/>
        <v>0</v>
      </c>
      <c r="S225">
        <f t="shared" si="962"/>
        <v>0</v>
      </c>
      <c r="T225">
        <f t="shared" si="963"/>
        <v>0</v>
      </c>
    </row>
    <row r="226" spans="1:20" x14ac:dyDescent="0.25">
      <c r="A226" s="5"/>
      <c r="P226">
        <f t="shared" si="959"/>
        <v>0</v>
      </c>
      <c r="Q226">
        <f t="shared" si="960"/>
        <v>0</v>
      </c>
      <c r="R226">
        <f t="shared" si="961"/>
        <v>0</v>
      </c>
      <c r="S226">
        <f t="shared" si="962"/>
        <v>0</v>
      </c>
      <c r="T226">
        <f t="shared" si="963"/>
        <v>0</v>
      </c>
    </row>
    <row r="227" spans="1:20" x14ac:dyDescent="0.25">
      <c r="A227" s="5"/>
      <c r="B227" s="1"/>
      <c r="C227" s="2"/>
      <c r="D227" s="2"/>
      <c r="E227" s="1"/>
      <c r="F227" s="1"/>
      <c r="P227">
        <f t="shared" si="959"/>
        <v>0</v>
      </c>
      <c r="Q227">
        <f t="shared" si="960"/>
        <v>0</v>
      </c>
      <c r="R227">
        <f t="shared" si="961"/>
        <v>0</v>
      </c>
      <c r="S227">
        <f t="shared" si="962"/>
        <v>0</v>
      </c>
      <c r="T227">
        <f t="shared" si="963"/>
        <v>0</v>
      </c>
    </row>
    <row r="228" spans="1:20" x14ac:dyDescent="0.25">
      <c r="A228" s="5"/>
      <c r="B228" s="1"/>
      <c r="C228" s="2"/>
      <c r="D228" s="2"/>
      <c r="E228" s="1"/>
      <c r="F228" s="1"/>
      <c r="P228">
        <f t="shared" si="959"/>
        <v>0</v>
      </c>
      <c r="Q228">
        <f t="shared" si="960"/>
        <v>0</v>
      </c>
      <c r="R228">
        <f t="shared" si="961"/>
        <v>0</v>
      </c>
      <c r="S228">
        <f t="shared" si="962"/>
        <v>0</v>
      </c>
      <c r="T228">
        <f t="shared" si="963"/>
        <v>0</v>
      </c>
    </row>
    <row r="229" spans="1:20" x14ac:dyDescent="0.25">
      <c r="A229" s="5"/>
      <c r="B229" s="1"/>
      <c r="C229" s="2"/>
      <c r="D229" s="2"/>
      <c r="E229" s="1"/>
      <c r="F229" s="1"/>
      <c r="P229">
        <f t="shared" si="959"/>
        <v>0</v>
      </c>
      <c r="Q229">
        <f t="shared" si="960"/>
        <v>0</v>
      </c>
      <c r="R229">
        <f t="shared" si="961"/>
        <v>0</v>
      </c>
      <c r="S229">
        <f t="shared" si="962"/>
        <v>0</v>
      </c>
      <c r="T229">
        <f t="shared" si="963"/>
        <v>0</v>
      </c>
    </row>
    <row r="230" spans="1:20" x14ac:dyDescent="0.25">
      <c r="A230" s="5"/>
      <c r="B230" s="1"/>
      <c r="C230" s="2"/>
      <c r="D230" s="2"/>
      <c r="E230" s="1"/>
      <c r="F230" s="1"/>
      <c r="P230">
        <f t="shared" si="959"/>
        <v>0</v>
      </c>
      <c r="Q230">
        <f t="shared" si="960"/>
        <v>0</v>
      </c>
      <c r="R230">
        <f t="shared" si="961"/>
        <v>0</v>
      </c>
      <c r="S230">
        <f t="shared" si="962"/>
        <v>0</v>
      </c>
      <c r="T230">
        <f t="shared" si="963"/>
        <v>0</v>
      </c>
    </row>
    <row r="231" spans="1:20" x14ac:dyDescent="0.25">
      <c r="A231" s="5"/>
      <c r="B231" s="1"/>
      <c r="C231" s="2"/>
      <c r="D231" s="2"/>
      <c r="E231" s="1"/>
      <c r="F231" s="1"/>
      <c r="P231">
        <f t="shared" si="959"/>
        <v>0</v>
      </c>
      <c r="Q231">
        <f t="shared" si="960"/>
        <v>0</v>
      </c>
      <c r="R231">
        <f t="shared" si="961"/>
        <v>0</v>
      </c>
      <c r="S231">
        <f t="shared" si="962"/>
        <v>0</v>
      </c>
      <c r="T231">
        <f t="shared" si="963"/>
        <v>0</v>
      </c>
    </row>
    <row r="232" spans="1:20" x14ac:dyDescent="0.25">
      <c r="A232" s="5"/>
      <c r="B232" s="1"/>
      <c r="C232" s="2"/>
      <c r="D232" s="2"/>
      <c r="E232" s="1"/>
      <c r="F232" s="1"/>
      <c r="P232">
        <f t="shared" si="959"/>
        <v>0</v>
      </c>
      <c r="Q232">
        <f t="shared" si="960"/>
        <v>0</v>
      </c>
      <c r="R232">
        <f t="shared" si="961"/>
        <v>0</v>
      </c>
      <c r="S232">
        <f t="shared" si="962"/>
        <v>0</v>
      </c>
      <c r="T232">
        <f t="shared" si="963"/>
        <v>0</v>
      </c>
    </row>
    <row r="233" spans="1:20" x14ac:dyDescent="0.25">
      <c r="A233" s="5"/>
      <c r="B233" s="1"/>
      <c r="C233" s="2"/>
      <c r="D233" s="2"/>
      <c r="E233" s="1"/>
      <c r="F233" s="1"/>
      <c r="P233">
        <f t="shared" si="959"/>
        <v>0</v>
      </c>
      <c r="Q233">
        <f t="shared" si="960"/>
        <v>0</v>
      </c>
      <c r="R233">
        <f t="shared" si="961"/>
        <v>0</v>
      </c>
      <c r="S233">
        <f t="shared" si="962"/>
        <v>0</v>
      </c>
      <c r="T233">
        <f t="shared" si="963"/>
        <v>0</v>
      </c>
    </row>
    <row r="234" spans="1:20" x14ac:dyDescent="0.25">
      <c r="A234" s="5"/>
      <c r="B234" s="1"/>
      <c r="C234" s="2"/>
      <c r="D234" s="2"/>
      <c r="E234" s="1"/>
      <c r="F234" s="1"/>
      <c r="P234">
        <f t="shared" si="959"/>
        <v>0</v>
      </c>
      <c r="Q234">
        <f t="shared" si="960"/>
        <v>0</v>
      </c>
      <c r="R234">
        <f t="shared" si="961"/>
        <v>0</v>
      </c>
      <c r="S234">
        <f t="shared" si="962"/>
        <v>0</v>
      </c>
      <c r="T234">
        <f t="shared" si="963"/>
        <v>0</v>
      </c>
    </row>
    <row r="235" spans="1:20" x14ac:dyDescent="0.25">
      <c r="A235" s="5"/>
      <c r="B235" s="1"/>
      <c r="C235" s="2"/>
      <c r="D235" s="2"/>
      <c r="E235" s="1"/>
      <c r="F235" s="1"/>
      <c r="P235">
        <f t="shared" si="959"/>
        <v>0</v>
      </c>
      <c r="Q235">
        <f t="shared" si="960"/>
        <v>0</v>
      </c>
      <c r="R235">
        <f t="shared" si="961"/>
        <v>0</v>
      </c>
      <c r="S235">
        <f t="shared" si="962"/>
        <v>0</v>
      </c>
      <c r="T235">
        <f t="shared" si="963"/>
        <v>0</v>
      </c>
    </row>
    <row r="236" spans="1:20" x14ac:dyDescent="0.25">
      <c r="A236" s="5"/>
      <c r="B236" s="1"/>
      <c r="C236" s="2"/>
      <c r="D236" s="2"/>
      <c r="E236" s="1"/>
      <c r="F236" s="1"/>
      <c r="P236">
        <f t="shared" si="959"/>
        <v>0</v>
      </c>
      <c r="Q236">
        <f t="shared" si="960"/>
        <v>0</v>
      </c>
      <c r="R236">
        <f t="shared" si="961"/>
        <v>0</v>
      </c>
      <c r="S236">
        <f t="shared" si="962"/>
        <v>0</v>
      </c>
      <c r="T236">
        <f t="shared" si="963"/>
        <v>0</v>
      </c>
    </row>
    <row r="237" spans="1:20" x14ac:dyDescent="0.25">
      <c r="A237" s="5"/>
      <c r="B237" s="1"/>
      <c r="C237" s="2"/>
      <c r="D237" s="2"/>
      <c r="E237" s="1"/>
      <c r="F237" s="1"/>
      <c r="P237">
        <f t="shared" si="959"/>
        <v>0</v>
      </c>
      <c r="Q237">
        <f t="shared" si="960"/>
        <v>0</v>
      </c>
      <c r="R237">
        <f t="shared" si="961"/>
        <v>0</v>
      </c>
      <c r="S237">
        <f t="shared" si="962"/>
        <v>0</v>
      </c>
      <c r="T237">
        <f t="shared" si="963"/>
        <v>0</v>
      </c>
    </row>
    <row r="238" spans="1:20" x14ac:dyDescent="0.25">
      <c r="A238" s="5"/>
      <c r="B238" s="1"/>
      <c r="C238" s="2"/>
      <c r="D238" s="2"/>
      <c r="E238" s="1"/>
      <c r="F238" s="1"/>
      <c r="P238">
        <f t="shared" si="959"/>
        <v>0</v>
      </c>
      <c r="Q238">
        <f t="shared" si="960"/>
        <v>0</v>
      </c>
      <c r="R238">
        <f t="shared" si="961"/>
        <v>0</v>
      </c>
      <c r="S238">
        <f t="shared" si="962"/>
        <v>0</v>
      </c>
      <c r="T238">
        <f t="shared" si="963"/>
        <v>0</v>
      </c>
    </row>
    <row r="239" spans="1:20" x14ac:dyDescent="0.25">
      <c r="A239" s="5"/>
      <c r="B239" s="1"/>
      <c r="C239" s="2"/>
      <c r="D239" s="2"/>
      <c r="E239" s="1"/>
      <c r="F239" s="1"/>
      <c r="P239">
        <f t="shared" si="959"/>
        <v>0</v>
      </c>
      <c r="Q239">
        <f t="shared" si="960"/>
        <v>0</v>
      </c>
      <c r="R239">
        <f t="shared" si="961"/>
        <v>0</v>
      </c>
      <c r="S239">
        <f t="shared" si="962"/>
        <v>0</v>
      </c>
      <c r="T239">
        <f t="shared" si="963"/>
        <v>0</v>
      </c>
    </row>
    <row r="240" spans="1:20" x14ac:dyDescent="0.25">
      <c r="A240" s="5"/>
      <c r="B240" s="1"/>
      <c r="C240" s="2"/>
      <c r="D240" s="2"/>
      <c r="E240" s="1"/>
      <c r="F240" s="1"/>
      <c r="P240">
        <f t="shared" si="959"/>
        <v>0</v>
      </c>
      <c r="Q240">
        <f t="shared" si="960"/>
        <v>0</v>
      </c>
      <c r="R240">
        <f t="shared" si="961"/>
        <v>0</v>
      </c>
      <c r="S240">
        <f t="shared" si="962"/>
        <v>0</v>
      </c>
      <c r="T240">
        <f t="shared" si="963"/>
        <v>0</v>
      </c>
    </row>
    <row r="241" spans="1:20" x14ac:dyDescent="0.25">
      <c r="A241" s="5"/>
      <c r="B241" s="1"/>
      <c r="C241" s="2"/>
      <c r="D241" s="2"/>
      <c r="E241" s="1"/>
      <c r="F241" s="1"/>
      <c r="P241">
        <f t="shared" si="959"/>
        <v>0</v>
      </c>
      <c r="Q241">
        <f t="shared" si="960"/>
        <v>0</v>
      </c>
      <c r="R241">
        <f t="shared" si="961"/>
        <v>0</v>
      </c>
      <c r="S241">
        <f t="shared" si="962"/>
        <v>0</v>
      </c>
      <c r="T241">
        <f t="shared" si="963"/>
        <v>0</v>
      </c>
    </row>
    <row r="242" spans="1:20" x14ac:dyDescent="0.25">
      <c r="A242" s="5"/>
      <c r="B242" s="1"/>
      <c r="C242" s="2"/>
      <c r="D242" s="2"/>
      <c r="E242" s="1"/>
      <c r="F242" s="1"/>
      <c r="P242">
        <f t="shared" si="959"/>
        <v>0</v>
      </c>
      <c r="Q242">
        <f t="shared" si="960"/>
        <v>0</v>
      </c>
      <c r="R242">
        <f t="shared" si="961"/>
        <v>0</v>
      </c>
      <c r="S242">
        <f t="shared" si="962"/>
        <v>0</v>
      </c>
      <c r="T242">
        <f t="shared" si="963"/>
        <v>0</v>
      </c>
    </row>
    <row r="243" spans="1:20" x14ac:dyDescent="0.25">
      <c r="A243" s="5"/>
      <c r="B243" s="1"/>
      <c r="C243" s="2"/>
      <c r="D243" s="2"/>
      <c r="E243" s="1"/>
      <c r="F243" s="1"/>
      <c r="P243">
        <f t="shared" si="959"/>
        <v>0</v>
      </c>
      <c r="Q243">
        <f t="shared" si="960"/>
        <v>0</v>
      </c>
      <c r="R243">
        <f t="shared" si="961"/>
        <v>0</v>
      </c>
      <c r="S243">
        <f t="shared" si="962"/>
        <v>0</v>
      </c>
      <c r="T243">
        <f t="shared" si="963"/>
        <v>0</v>
      </c>
    </row>
    <row r="244" spans="1:20" x14ac:dyDescent="0.25">
      <c r="A244" s="5"/>
      <c r="B244" s="1"/>
      <c r="C244" s="2"/>
      <c r="D244" s="2"/>
      <c r="E244" s="1"/>
      <c r="F244" s="1"/>
      <c r="P244">
        <f t="shared" si="959"/>
        <v>0</v>
      </c>
      <c r="Q244">
        <f t="shared" si="960"/>
        <v>0</v>
      </c>
      <c r="R244">
        <f t="shared" si="961"/>
        <v>0</v>
      </c>
      <c r="S244">
        <f t="shared" si="962"/>
        <v>0</v>
      </c>
      <c r="T244">
        <f t="shared" si="963"/>
        <v>0</v>
      </c>
    </row>
    <row r="245" spans="1:20" x14ac:dyDescent="0.25">
      <c r="A245" s="5"/>
      <c r="B245" s="1"/>
      <c r="C245" s="2"/>
      <c r="D245" s="2"/>
      <c r="E245" s="1"/>
      <c r="F245" s="1"/>
      <c r="P245">
        <f t="shared" si="959"/>
        <v>0</v>
      </c>
      <c r="Q245">
        <f t="shared" si="960"/>
        <v>0</v>
      </c>
      <c r="R245">
        <f t="shared" si="961"/>
        <v>0</v>
      </c>
      <c r="S245">
        <f t="shared" si="962"/>
        <v>0</v>
      </c>
      <c r="T245">
        <f t="shared" si="963"/>
        <v>0</v>
      </c>
    </row>
    <row r="246" spans="1:20" x14ac:dyDescent="0.25">
      <c r="A246" s="5"/>
      <c r="B246" s="1"/>
      <c r="C246" s="2"/>
      <c r="D246" s="2"/>
      <c r="E246" s="1"/>
      <c r="F246" s="1"/>
      <c r="P246">
        <f t="shared" si="959"/>
        <v>0</v>
      </c>
      <c r="Q246">
        <f t="shared" si="960"/>
        <v>0</v>
      </c>
      <c r="R246">
        <f t="shared" si="961"/>
        <v>0</v>
      </c>
      <c r="S246">
        <f t="shared" si="962"/>
        <v>0</v>
      </c>
      <c r="T246">
        <f t="shared" si="963"/>
        <v>0</v>
      </c>
    </row>
    <row r="247" spans="1:20" x14ac:dyDescent="0.25">
      <c r="A247" s="5"/>
      <c r="B247" s="1"/>
      <c r="C247" s="2"/>
      <c r="D247" s="2"/>
      <c r="E247" s="1"/>
      <c r="F247" s="1"/>
      <c r="P247">
        <f t="shared" si="959"/>
        <v>0</v>
      </c>
      <c r="Q247">
        <f t="shared" si="960"/>
        <v>0</v>
      </c>
      <c r="R247">
        <f t="shared" si="961"/>
        <v>0</v>
      </c>
      <c r="S247">
        <f t="shared" si="962"/>
        <v>0</v>
      </c>
      <c r="T247">
        <f t="shared" si="963"/>
        <v>0</v>
      </c>
    </row>
    <row r="248" spans="1:20" x14ac:dyDescent="0.25">
      <c r="A248" s="5"/>
      <c r="B248" s="1"/>
      <c r="C248" s="2"/>
      <c r="D248" s="2"/>
      <c r="E248" s="1"/>
      <c r="F248" s="1"/>
      <c r="P248">
        <f t="shared" si="959"/>
        <v>0</v>
      </c>
      <c r="Q248">
        <f t="shared" si="960"/>
        <v>0</v>
      </c>
      <c r="R248">
        <f t="shared" si="961"/>
        <v>0</v>
      </c>
      <c r="S248">
        <f t="shared" si="962"/>
        <v>0</v>
      </c>
      <c r="T248">
        <f t="shared" si="963"/>
        <v>0</v>
      </c>
    </row>
    <row r="249" spans="1:20" x14ac:dyDescent="0.25">
      <c r="A249" s="5"/>
      <c r="B249" s="1"/>
      <c r="C249" s="2"/>
      <c r="D249" s="2"/>
      <c r="E249" s="1"/>
      <c r="F249" s="1"/>
      <c r="P249">
        <f t="shared" si="959"/>
        <v>0</v>
      </c>
      <c r="Q249">
        <f t="shared" si="960"/>
        <v>0</v>
      </c>
      <c r="R249">
        <f t="shared" si="961"/>
        <v>0</v>
      </c>
      <c r="S249">
        <f t="shared" si="962"/>
        <v>0</v>
      </c>
      <c r="T249">
        <f t="shared" si="963"/>
        <v>0</v>
      </c>
    </row>
    <row r="250" spans="1:20" x14ac:dyDescent="0.25">
      <c r="A250" s="5"/>
      <c r="B250" s="1"/>
      <c r="C250" s="2"/>
      <c r="D250" s="2"/>
      <c r="E250" s="1"/>
      <c r="F250" s="1"/>
      <c r="P250">
        <f t="shared" si="959"/>
        <v>0</v>
      </c>
      <c r="Q250">
        <f t="shared" si="960"/>
        <v>0</v>
      </c>
      <c r="R250">
        <f t="shared" si="961"/>
        <v>0</v>
      </c>
      <c r="S250">
        <f t="shared" si="962"/>
        <v>0</v>
      </c>
      <c r="T250">
        <f t="shared" si="963"/>
        <v>0</v>
      </c>
    </row>
    <row r="251" spans="1:20" x14ac:dyDescent="0.25">
      <c r="A251" s="5"/>
      <c r="B251" s="1"/>
      <c r="C251" s="2"/>
      <c r="D251" s="2"/>
      <c r="E251" s="1"/>
      <c r="F251" s="1"/>
      <c r="P251">
        <f t="shared" si="959"/>
        <v>0</v>
      </c>
      <c r="Q251">
        <f t="shared" si="960"/>
        <v>0</v>
      </c>
      <c r="R251">
        <f t="shared" si="961"/>
        <v>0</v>
      </c>
      <c r="S251">
        <f t="shared" si="962"/>
        <v>0</v>
      </c>
      <c r="T251">
        <f t="shared" si="963"/>
        <v>0</v>
      </c>
    </row>
    <row r="252" spans="1:20" x14ac:dyDescent="0.25">
      <c r="A252" s="5"/>
      <c r="B252" s="1"/>
      <c r="C252" s="2"/>
      <c r="D252" s="2"/>
      <c r="E252" s="1"/>
      <c r="F252" s="1"/>
      <c r="P252">
        <f t="shared" si="959"/>
        <v>0</v>
      </c>
      <c r="Q252">
        <f t="shared" si="960"/>
        <v>0</v>
      </c>
      <c r="R252">
        <f t="shared" si="961"/>
        <v>0</v>
      </c>
      <c r="S252">
        <f t="shared" si="962"/>
        <v>0</v>
      </c>
      <c r="T252">
        <f t="shared" si="963"/>
        <v>0</v>
      </c>
    </row>
    <row r="253" spans="1:20" x14ac:dyDescent="0.25">
      <c r="A253" s="5"/>
      <c r="B253" s="1"/>
      <c r="C253" s="2"/>
      <c r="D253" s="2"/>
      <c r="E253" s="1"/>
      <c r="F253" s="1"/>
      <c r="P253">
        <f t="shared" si="959"/>
        <v>0</v>
      </c>
      <c r="Q253">
        <f t="shared" si="960"/>
        <v>0</v>
      </c>
      <c r="R253">
        <f t="shared" si="961"/>
        <v>0</v>
      </c>
      <c r="S253">
        <f t="shared" si="962"/>
        <v>0</v>
      </c>
      <c r="T253">
        <f t="shared" si="963"/>
        <v>0</v>
      </c>
    </row>
    <row r="254" spans="1:20" x14ac:dyDescent="0.25">
      <c r="A254" s="5"/>
      <c r="B254" s="1"/>
      <c r="C254" s="2"/>
      <c r="D254" s="2"/>
      <c r="E254" s="1"/>
      <c r="F254" s="1"/>
      <c r="P254">
        <f t="shared" si="959"/>
        <v>0</v>
      </c>
      <c r="Q254">
        <f t="shared" si="960"/>
        <v>0</v>
      </c>
      <c r="R254">
        <f t="shared" si="961"/>
        <v>0</v>
      </c>
      <c r="S254">
        <f t="shared" si="962"/>
        <v>0</v>
      </c>
      <c r="T254">
        <f t="shared" si="963"/>
        <v>0</v>
      </c>
    </row>
    <row r="255" spans="1:20" x14ac:dyDescent="0.25">
      <c r="A255" s="5"/>
      <c r="B255" s="1"/>
      <c r="C255" s="2"/>
      <c r="D255" s="2"/>
      <c r="E255" s="1"/>
      <c r="F255" s="1"/>
      <c r="P255">
        <f t="shared" si="959"/>
        <v>0</v>
      </c>
      <c r="Q255">
        <f t="shared" si="960"/>
        <v>0</v>
      </c>
      <c r="R255">
        <f t="shared" si="961"/>
        <v>0</v>
      </c>
      <c r="S255">
        <f t="shared" si="962"/>
        <v>0</v>
      </c>
      <c r="T255">
        <f t="shared" si="963"/>
        <v>0</v>
      </c>
    </row>
    <row r="256" spans="1:20" x14ac:dyDescent="0.25">
      <c r="A256" s="5"/>
      <c r="B256" s="1"/>
      <c r="C256" s="2"/>
      <c r="D256" s="2"/>
      <c r="E256" s="1"/>
      <c r="F256" s="1"/>
      <c r="P256">
        <f t="shared" si="959"/>
        <v>0</v>
      </c>
      <c r="Q256">
        <f t="shared" si="960"/>
        <v>0</v>
      </c>
      <c r="R256">
        <f t="shared" si="961"/>
        <v>0</v>
      </c>
      <c r="S256">
        <f t="shared" si="962"/>
        <v>0</v>
      </c>
      <c r="T256">
        <f t="shared" si="963"/>
        <v>0</v>
      </c>
    </row>
    <row r="257" spans="1:20" x14ac:dyDescent="0.25">
      <c r="A257" s="5"/>
      <c r="B257" s="1"/>
      <c r="C257" s="2"/>
      <c r="D257" s="2"/>
      <c r="E257" s="1"/>
      <c r="F257" s="1"/>
      <c r="P257">
        <f t="shared" si="959"/>
        <v>0</v>
      </c>
      <c r="Q257">
        <f t="shared" si="960"/>
        <v>0</v>
      </c>
      <c r="R257">
        <f t="shared" si="961"/>
        <v>0</v>
      </c>
      <c r="S257">
        <f t="shared" si="962"/>
        <v>0</v>
      </c>
      <c r="T257">
        <f t="shared" si="963"/>
        <v>0</v>
      </c>
    </row>
    <row r="258" spans="1:20" x14ac:dyDescent="0.25">
      <c r="A258" s="5"/>
      <c r="B258" s="1"/>
      <c r="C258" s="2"/>
      <c r="D258" s="2"/>
      <c r="E258" s="1"/>
      <c r="F258" s="1"/>
      <c r="P258">
        <f t="shared" si="959"/>
        <v>0</v>
      </c>
      <c r="Q258">
        <f t="shared" si="960"/>
        <v>0</v>
      </c>
      <c r="R258">
        <f t="shared" si="961"/>
        <v>0</v>
      </c>
      <c r="S258">
        <f t="shared" si="962"/>
        <v>0</v>
      </c>
      <c r="T258">
        <f t="shared" si="963"/>
        <v>0</v>
      </c>
    </row>
    <row r="259" spans="1:20" x14ac:dyDescent="0.25">
      <c r="A259" s="5"/>
      <c r="B259" s="1"/>
      <c r="C259" s="2"/>
      <c r="D259" s="2"/>
      <c r="E259" s="1"/>
      <c r="F259" s="1"/>
      <c r="P259">
        <f t="shared" si="959"/>
        <v>0</v>
      </c>
      <c r="Q259">
        <f t="shared" si="960"/>
        <v>0</v>
      </c>
      <c r="R259">
        <f t="shared" si="961"/>
        <v>0</v>
      </c>
      <c r="S259">
        <f t="shared" si="962"/>
        <v>0</v>
      </c>
      <c r="T259">
        <f t="shared" si="963"/>
        <v>0</v>
      </c>
    </row>
    <row r="260" spans="1:20" x14ac:dyDescent="0.25">
      <c r="A260" s="5"/>
      <c r="B260" s="1"/>
      <c r="C260" s="2"/>
      <c r="D260" s="2"/>
      <c r="E260" s="1"/>
      <c r="F260" s="1"/>
      <c r="P260">
        <f t="shared" si="959"/>
        <v>0</v>
      </c>
      <c r="Q260">
        <f t="shared" si="960"/>
        <v>0</v>
      </c>
      <c r="R260">
        <f t="shared" si="961"/>
        <v>0</v>
      </c>
      <c r="S260">
        <f t="shared" si="962"/>
        <v>0</v>
      </c>
      <c r="T260">
        <f t="shared" si="963"/>
        <v>0</v>
      </c>
    </row>
    <row r="261" spans="1:20" x14ac:dyDescent="0.25">
      <c r="A261" s="5"/>
      <c r="B261" s="1"/>
      <c r="C261" s="2"/>
      <c r="D261" s="2"/>
      <c r="E261" s="1"/>
      <c r="F261" s="1"/>
      <c r="P261">
        <f t="shared" si="959"/>
        <v>0</v>
      </c>
      <c r="Q261">
        <f t="shared" si="960"/>
        <v>0</v>
      </c>
      <c r="R261">
        <f t="shared" si="961"/>
        <v>0</v>
      </c>
      <c r="S261">
        <f t="shared" si="962"/>
        <v>0</v>
      </c>
      <c r="T261">
        <f t="shared" si="963"/>
        <v>0</v>
      </c>
    </row>
    <row r="262" spans="1:20" x14ac:dyDescent="0.25">
      <c r="A262" s="5"/>
      <c r="B262" s="1"/>
      <c r="C262" s="2"/>
      <c r="D262" s="2"/>
      <c r="E262" s="1"/>
      <c r="F262" s="1"/>
      <c r="P262">
        <f t="shared" ref="P262:P325" si="964">IF(C262=D262,0,((E262-D262)-(C262-E262))/(C262-D262))</f>
        <v>0</v>
      </c>
      <c r="Q262">
        <f t="shared" ref="Q262:Q325" si="965">F262*P262</f>
        <v>0</v>
      </c>
      <c r="R262">
        <f t="shared" ref="R262:R325" si="966">R263+Q262</f>
        <v>0</v>
      </c>
      <c r="S262">
        <f t="shared" ref="S262:S325" si="967">R262/100000</f>
        <v>0</v>
      </c>
      <c r="T262">
        <f t="shared" ref="T262:T325" si="968">S262/1000</f>
        <v>0</v>
      </c>
    </row>
    <row r="263" spans="1:20" x14ac:dyDescent="0.25">
      <c r="A263" s="5"/>
      <c r="B263" s="1"/>
      <c r="C263" s="2"/>
      <c r="D263" s="2"/>
      <c r="E263" s="1"/>
      <c r="F263" s="1"/>
      <c r="P263">
        <f t="shared" si="964"/>
        <v>0</v>
      </c>
      <c r="Q263">
        <f t="shared" si="965"/>
        <v>0</v>
      </c>
      <c r="R263">
        <f t="shared" si="966"/>
        <v>0</v>
      </c>
      <c r="S263">
        <f t="shared" si="967"/>
        <v>0</v>
      </c>
      <c r="T263">
        <f t="shared" si="968"/>
        <v>0</v>
      </c>
    </row>
    <row r="264" spans="1:20" x14ac:dyDescent="0.25">
      <c r="A264" s="5"/>
      <c r="B264" s="1"/>
      <c r="C264" s="2"/>
      <c r="D264" s="2"/>
      <c r="E264" s="1"/>
      <c r="F264" s="1"/>
      <c r="P264">
        <f t="shared" si="964"/>
        <v>0</v>
      </c>
      <c r="Q264">
        <f t="shared" si="965"/>
        <v>0</v>
      </c>
      <c r="R264">
        <f t="shared" si="966"/>
        <v>0</v>
      </c>
      <c r="S264">
        <f t="shared" si="967"/>
        <v>0</v>
      </c>
      <c r="T264">
        <f t="shared" si="968"/>
        <v>0</v>
      </c>
    </row>
    <row r="265" spans="1:20" x14ac:dyDescent="0.25">
      <c r="A265" s="5"/>
      <c r="B265" s="1"/>
      <c r="C265" s="2"/>
      <c r="D265" s="2"/>
      <c r="E265" s="1"/>
      <c r="F265" s="1"/>
      <c r="P265">
        <f t="shared" si="964"/>
        <v>0</v>
      </c>
      <c r="Q265">
        <f t="shared" si="965"/>
        <v>0</v>
      </c>
      <c r="R265">
        <f t="shared" si="966"/>
        <v>0</v>
      </c>
      <c r="S265">
        <f t="shared" si="967"/>
        <v>0</v>
      </c>
      <c r="T265">
        <f t="shared" si="968"/>
        <v>0</v>
      </c>
    </row>
    <row r="266" spans="1:20" x14ac:dyDescent="0.25">
      <c r="A266" s="5"/>
      <c r="B266" s="1"/>
      <c r="C266" s="2"/>
      <c r="D266" s="2"/>
      <c r="E266" s="1"/>
      <c r="F266" s="1"/>
      <c r="P266">
        <f t="shared" si="964"/>
        <v>0</v>
      </c>
      <c r="Q266">
        <f t="shared" si="965"/>
        <v>0</v>
      </c>
      <c r="R266">
        <f t="shared" si="966"/>
        <v>0</v>
      </c>
      <c r="S266">
        <f t="shared" si="967"/>
        <v>0</v>
      </c>
      <c r="T266">
        <f t="shared" si="968"/>
        <v>0</v>
      </c>
    </row>
    <row r="267" spans="1:20" x14ac:dyDescent="0.25">
      <c r="A267" s="5"/>
      <c r="B267" s="1"/>
      <c r="C267" s="2"/>
      <c r="D267" s="2"/>
      <c r="E267" s="1"/>
      <c r="F267" s="1"/>
      <c r="P267">
        <f t="shared" si="964"/>
        <v>0</v>
      </c>
      <c r="Q267">
        <f t="shared" si="965"/>
        <v>0</v>
      </c>
      <c r="R267">
        <f t="shared" si="966"/>
        <v>0</v>
      </c>
      <c r="S267">
        <f t="shared" si="967"/>
        <v>0</v>
      </c>
      <c r="T267">
        <f t="shared" si="968"/>
        <v>0</v>
      </c>
    </row>
    <row r="268" spans="1:20" x14ac:dyDescent="0.25">
      <c r="A268" s="5"/>
      <c r="B268" s="1"/>
      <c r="C268" s="2"/>
      <c r="D268" s="2"/>
      <c r="E268" s="1"/>
      <c r="F268" s="1"/>
      <c r="P268">
        <f t="shared" si="964"/>
        <v>0</v>
      </c>
      <c r="Q268">
        <f t="shared" si="965"/>
        <v>0</v>
      </c>
      <c r="R268">
        <f t="shared" si="966"/>
        <v>0</v>
      </c>
      <c r="S268">
        <f t="shared" si="967"/>
        <v>0</v>
      </c>
      <c r="T268">
        <f t="shared" si="968"/>
        <v>0</v>
      </c>
    </row>
    <row r="269" spans="1:20" x14ac:dyDescent="0.25">
      <c r="A269" s="5"/>
      <c r="B269" s="1"/>
      <c r="C269" s="2"/>
      <c r="D269" s="2"/>
      <c r="E269" s="1"/>
      <c r="F269" s="1"/>
      <c r="P269">
        <f t="shared" si="964"/>
        <v>0</v>
      </c>
      <c r="Q269">
        <f t="shared" si="965"/>
        <v>0</v>
      </c>
      <c r="R269">
        <f t="shared" si="966"/>
        <v>0</v>
      </c>
      <c r="S269">
        <f t="shared" si="967"/>
        <v>0</v>
      </c>
      <c r="T269">
        <f t="shared" si="968"/>
        <v>0</v>
      </c>
    </row>
    <row r="270" spans="1:20" x14ac:dyDescent="0.25">
      <c r="A270" s="5"/>
      <c r="B270" s="1"/>
      <c r="C270" s="2"/>
      <c r="D270" s="2"/>
      <c r="E270" s="1"/>
      <c r="F270" s="1"/>
      <c r="P270">
        <f t="shared" si="964"/>
        <v>0</v>
      </c>
      <c r="Q270">
        <f t="shared" si="965"/>
        <v>0</v>
      </c>
      <c r="R270">
        <f t="shared" si="966"/>
        <v>0</v>
      </c>
      <c r="S270">
        <f t="shared" si="967"/>
        <v>0</v>
      </c>
      <c r="T270">
        <f t="shared" si="968"/>
        <v>0</v>
      </c>
    </row>
    <row r="271" spans="1:20" x14ac:dyDescent="0.25">
      <c r="A271" s="5"/>
      <c r="B271" s="1"/>
      <c r="C271" s="2"/>
      <c r="D271" s="2"/>
      <c r="E271" s="1"/>
      <c r="F271" s="1"/>
      <c r="P271">
        <f t="shared" si="964"/>
        <v>0</v>
      </c>
      <c r="Q271">
        <f t="shared" si="965"/>
        <v>0</v>
      </c>
      <c r="R271">
        <f t="shared" si="966"/>
        <v>0</v>
      </c>
      <c r="S271">
        <f t="shared" si="967"/>
        <v>0</v>
      </c>
      <c r="T271">
        <f t="shared" si="968"/>
        <v>0</v>
      </c>
    </row>
    <row r="272" spans="1:20" x14ac:dyDescent="0.25">
      <c r="A272" s="5"/>
      <c r="B272" s="1"/>
      <c r="C272" s="2"/>
      <c r="D272" s="2"/>
      <c r="E272" s="1"/>
      <c r="F272" s="1"/>
      <c r="P272">
        <f t="shared" si="964"/>
        <v>0</v>
      </c>
      <c r="Q272">
        <f t="shared" si="965"/>
        <v>0</v>
      </c>
      <c r="R272">
        <f t="shared" si="966"/>
        <v>0</v>
      </c>
      <c r="S272">
        <f t="shared" si="967"/>
        <v>0</v>
      </c>
      <c r="T272">
        <f t="shared" si="968"/>
        <v>0</v>
      </c>
    </row>
    <row r="273" spans="1:20" x14ac:dyDescent="0.25">
      <c r="A273" s="5"/>
      <c r="B273" s="1"/>
      <c r="C273" s="2"/>
      <c r="D273" s="2"/>
      <c r="E273" s="1"/>
      <c r="F273" s="1"/>
      <c r="P273">
        <f t="shared" si="964"/>
        <v>0</v>
      </c>
      <c r="Q273">
        <f t="shared" si="965"/>
        <v>0</v>
      </c>
      <c r="R273">
        <f t="shared" si="966"/>
        <v>0</v>
      </c>
      <c r="S273">
        <f t="shared" si="967"/>
        <v>0</v>
      </c>
      <c r="T273">
        <f t="shared" si="968"/>
        <v>0</v>
      </c>
    </row>
    <row r="274" spans="1:20" x14ac:dyDescent="0.25">
      <c r="A274" s="5"/>
      <c r="B274" s="1"/>
      <c r="C274" s="2"/>
      <c r="D274" s="2"/>
      <c r="E274" s="1"/>
      <c r="F274" s="1"/>
      <c r="P274">
        <f t="shared" si="964"/>
        <v>0</v>
      </c>
      <c r="Q274">
        <f t="shared" si="965"/>
        <v>0</v>
      </c>
      <c r="R274">
        <f t="shared" si="966"/>
        <v>0</v>
      </c>
      <c r="S274">
        <f t="shared" si="967"/>
        <v>0</v>
      </c>
      <c r="T274">
        <f t="shared" si="968"/>
        <v>0</v>
      </c>
    </row>
    <row r="275" spans="1:20" x14ac:dyDescent="0.25">
      <c r="A275" s="5"/>
      <c r="B275" s="1"/>
      <c r="C275" s="2"/>
      <c r="D275" s="2"/>
      <c r="E275" s="1"/>
      <c r="F275" s="1"/>
      <c r="P275">
        <f t="shared" si="964"/>
        <v>0</v>
      </c>
      <c r="Q275">
        <f t="shared" si="965"/>
        <v>0</v>
      </c>
      <c r="R275">
        <f t="shared" si="966"/>
        <v>0</v>
      </c>
      <c r="S275">
        <f t="shared" si="967"/>
        <v>0</v>
      </c>
      <c r="T275">
        <f t="shared" si="968"/>
        <v>0</v>
      </c>
    </row>
    <row r="276" spans="1:20" x14ac:dyDescent="0.25">
      <c r="A276" s="5"/>
      <c r="B276" s="1"/>
      <c r="C276" s="2"/>
      <c r="D276" s="2"/>
      <c r="E276" s="1"/>
      <c r="F276" s="1"/>
      <c r="P276">
        <f t="shared" si="964"/>
        <v>0</v>
      </c>
      <c r="Q276">
        <f t="shared" si="965"/>
        <v>0</v>
      </c>
      <c r="R276">
        <f t="shared" si="966"/>
        <v>0</v>
      </c>
      <c r="S276">
        <f t="shared" si="967"/>
        <v>0</v>
      </c>
      <c r="T276">
        <f t="shared" si="968"/>
        <v>0</v>
      </c>
    </row>
    <row r="277" spans="1:20" x14ac:dyDescent="0.25">
      <c r="A277" s="5"/>
      <c r="B277" s="1"/>
      <c r="C277" s="2"/>
      <c r="D277" s="2"/>
      <c r="E277" s="1"/>
      <c r="F277" s="1"/>
      <c r="P277">
        <f t="shared" si="964"/>
        <v>0</v>
      </c>
      <c r="Q277">
        <f t="shared" si="965"/>
        <v>0</v>
      </c>
      <c r="R277">
        <f t="shared" si="966"/>
        <v>0</v>
      </c>
      <c r="S277">
        <f t="shared" si="967"/>
        <v>0</v>
      </c>
      <c r="T277">
        <f t="shared" si="968"/>
        <v>0</v>
      </c>
    </row>
    <row r="278" spans="1:20" x14ac:dyDescent="0.25">
      <c r="A278" s="5"/>
      <c r="B278" s="1"/>
      <c r="C278" s="2"/>
      <c r="D278" s="2"/>
      <c r="E278" s="1"/>
      <c r="F278" s="1"/>
      <c r="P278">
        <f t="shared" si="964"/>
        <v>0</v>
      </c>
      <c r="Q278">
        <f t="shared" si="965"/>
        <v>0</v>
      </c>
      <c r="R278">
        <f t="shared" si="966"/>
        <v>0</v>
      </c>
      <c r="S278">
        <f t="shared" si="967"/>
        <v>0</v>
      </c>
      <c r="T278">
        <f t="shared" si="968"/>
        <v>0</v>
      </c>
    </row>
    <row r="279" spans="1:20" x14ac:dyDescent="0.25">
      <c r="A279" s="5"/>
      <c r="B279" s="1"/>
      <c r="C279" s="2"/>
      <c r="D279" s="2"/>
      <c r="E279" s="1"/>
      <c r="F279" s="1"/>
      <c r="P279">
        <f t="shared" si="964"/>
        <v>0</v>
      </c>
      <c r="Q279">
        <f t="shared" si="965"/>
        <v>0</v>
      </c>
      <c r="R279">
        <f t="shared" si="966"/>
        <v>0</v>
      </c>
      <c r="S279">
        <f t="shared" si="967"/>
        <v>0</v>
      </c>
      <c r="T279">
        <f t="shared" si="968"/>
        <v>0</v>
      </c>
    </row>
    <row r="280" spans="1:20" x14ac:dyDescent="0.25">
      <c r="A280" s="5"/>
      <c r="B280" s="1"/>
      <c r="C280" s="2"/>
      <c r="D280" s="2"/>
      <c r="E280" s="1"/>
      <c r="F280" s="1"/>
      <c r="P280">
        <f t="shared" si="964"/>
        <v>0</v>
      </c>
      <c r="Q280">
        <f t="shared" si="965"/>
        <v>0</v>
      </c>
      <c r="R280">
        <f t="shared" si="966"/>
        <v>0</v>
      </c>
      <c r="S280">
        <f t="shared" si="967"/>
        <v>0</v>
      </c>
      <c r="T280">
        <f t="shared" si="968"/>
        <v>0</v>
      </c>
    </row>
    <row r="281" spans="1:20" x14ac:dyDescent="0.25">
      <c r="A281" s="5"/>
      <c r="B281" s="1"/>
      <c r="C281" s="2"/>
      <c r="D281" s="2"/>
      <c r="E281" s="1"/>
      <c r="F281" s="1"/>
      <c r="P281">
        <f t="shared" si="964"/>
        <v>0</v>
      </c>
      <c r="Q281">
        <f t="shared" si="965"/>
        <v>0</v>
      </c>
      <c r="R281">
        <f t="shared" si="966"/>
        <v>0</v>
      </c>
      <c r="S281">
        <f t="shared" si="967"/>
        <v>0</v>
      </c>
      <c r="T281">
        <f t="shared" si="968"/>
        <v>0</v>
      </c>
    </row>
    <row r="282" spans="1:20" x14ac:dyDescent="0.25">
      <c r="A282" s="5"/>
      <c r="B282" s="1"/>
      <c r="C282" s="2"/>
      <c r="D282" s="2"/>
      <c r="E282" s="1"/>
      <c r="F282" s="1"/>
      <c r="P282">
        <f t="shared" si="964"/>
        <v>0</v>
      </c>
      <c r="Q282">
        <f t="shared" si="965"/>
        <v>0</v>
      </c>
      <c r="R282">
        <f t="shared" si="966"/>
        <v>0</v>
      </c>
      <c r="S282">
        <f t="shared" si="967"/>
        <v>0</v>
      </c>
      <c r="T282">
        <f t="shared" si="968"/>
        <v>0</v>
      </c>
    </row>
    <row r="283" spans="1:20" x14ac:dyDescent="0.25">
      <c r="A283" s="5"/>
      <c r="B283" s="1"/>
      <c r="C283" s="2"/>
      <c r="D283" s="2"/>
      <c r="E283" s="1"/>
      <c r="F283" s="1"/>
      <c r="P283">
        <f t="shared" si="964"/>
        <v>0</v>
      </c>
      <c r="Q283">
        <f t="shared" si="965"/>
        <v>0</v>
      </c>
      <c r="R283">
        <f t="shared" si="966"/>
        <v>0</v>
      </c>
      <c r="S283">
        <f t="shared" si="967"/>
        <v>0</v>
      </c>
      <c r="T283">
        <f t="shared" si="968"/>
        <v>0</v>
      </c>
    </row>
    <row r="284" spans="1:20" x14ac:dyDescent="0.25">
      <c r="A284" s="5"/>
      <c r="B284" s="1"/>
      <c r="C284" s="2"/>
      <c r="D284" s="2"/>
      <c r="E284" s="1"/>
      <c r="F284" s="1"/>
      <c r="P284">
        <f t="shared" si="964"/>
        <v>0</v>
      </c>
      <c r="Q284">
        <f t="shared" si="965"/>
        <v>0</v>
      </c>
      <c r="R284">
        <f t="shared" si="966"/>
        <v>0</v>
      </c>
      <c r="S284">
        <f t="shared" si="967"/>
        <v>0</v>
      </c>
      <c r="T284">
        <f t="shared" si="968"/>
        <v>0</v>
      </c>
    </row>
    <row r="285" spans="1:20" x14ac:dyDescent="0.25">
      <c r="A285" s="5"/>
      <c r="B285" s="1"/>
      <c r="C285" s="2"/>
      <c r="D285" s="2"/>
      <c r="E285" s="1"/>
      <c r="F285" s="1"/>
      <c r="P285">
        <f t="shared" si="964"/>
        <v>0</v>
      </c>
      <c r="Q285">
        <f t="shared" si="965"/>
        <v>0</v>
      </c>
      <c r="R285">
        <f t="shared" si="966"/>
        <v>0</v>
      </c>
      <c r="S285">
        <f t="shared" si="967"/>
        <v>0</v>
      </c>
      <c r="T285">
        <f t="shared" si="968"/>
        <v>0</v>
      </c>
    </row>
    <row r="286" spans="1:20" x14ac:dyDescent="0.25">
      <c r="A286" s="5"/>
      <c r="B286" s="1"/>
      <c r="C286" s="2"/>
      <c r="D286" s="2"/>
      <c r="E286" s="1"/>
      <c r="F286" s="1"/>
      <c r="P286">
        <f t="shared" si="964"/>
        <v>0</v>
      </c>
      <c r="Q286">
        <f t="shared" si="965"/>
        <v>0</v>
      </c>
      <c r="R286">
        <f t="shared" si="966"/>
        <v>0</v>
      </c>
      <c r="S286">
        <f t="shared" si="967"/>
        <v>0</v>
      </c>
      <c r="T286">
        <f t="shared" si="968"/>
        <v>0</v>
      </c>
    </row>
    <row r="287" spans="1:20" x14ac:dyDescent="0.25">
      <c r="A287" s="5"/>
      <c r="B287" s="1"/>
      <c r="C287" s="2"/>
      <c r="D287" s="2"/>
      <c r="E287" s="1"/>
      <c r="F287" s="1"/>
      <c r="P287">
        <f t="shared" si="964"/>
        <v>0</v>
      </c>
      <c r="Q287">
        <f t="shared" si="965"/>
        <v>0</v>
      </c>
      <c r="R287">
        <f t="shared" si="966"/>
        <v>0</v>
      </c>
      <c r="S287">
        <f t="shared" si="967"/>
        <v>0</v>
      </c>
      <c r="T287">
        <f t="shared" si="968"/>
        <v>0</v>
      </c>
    </row>
    <row r="288" spans="1:20" x14ac:dyDescent="0.25">
      <c r="A288" s="5"/>
      <c r="B288" s="1"/>
      <c r="C288" s="2"/>
      <c r="D288" s="2"/>
      <c r="E288" s="1"/>
      <c r="F288" s="1"/>
      <c r="P288">
        <f t="shared" si="964"/>
        <v>0</v>
      </c>
      <c r="Q288">
        <f t="shared" si="965"/>
        <v>0</v>
      </c>
      <c r="R288">
        <f t="shared" si="966"/>
        <v>0</v>
      </c>
      <c r="S288">
        <f t="shared" si="967"/>
        <v>0</v>
      </c>
      <c r="T288">
        <f t="shared" si="968"/>
        <v>0</v>
      </c>
    </row>
    <row r="289" spans="1:20" x14ac:dyDescent="0.25">
      <c r="A289" s="5"/>
      <c r="B289" s="1"/>
      <c r="C289" s="2"/>
      <c r="D289" s="2"/>
      <c r="E289" s="1"/>
      <c r="F289" s="1"/>
      <c r="P289">
        <f t="shared" si="964"/>
        <v>0</v>
      </c>
      <c r="Q289">
        <f t="shared" si="965"/>
        <v>0</v>
      </c>
      <c r="R289">
        <f t="shared" si="966"/>
        <v>0</v>
      </c>
      <c r="S289">
        <f t="shared" si="967"/>
        <v>0</v>
      </c>
      <c r="T289">
        <f t="shared" si="968"/>
        <v>0</v>
      </c>
    </row>
    <row r="290" spans="1:20" x14ac:dyDescent="0.25">
      <c r="A290" s="5"/>
      <c r="B290" s="1"/>
      <c r="C290" s="2"/>
      <c r="D290" s="2"/>
      <c r="E290" s="1"/>
      <c r="F290" s="1"/>
      <c r="P290">
        <f t="shared" si="964"/>
        <v>0</v>
      </c>
      <c r="Q290">
        <f t="shared" si="965"/>
        <v>0</v>
      </c>
      <c r="R290">
        <f t="shared" si="966"/>
        <v>0</v>
      </c>
      <c r="S290">
        <f t="shared" si="967"/>
        <v>0</v>
      </c>
      <c r="T290">
        <f t="shared" si="968"/>
        <v>0</v>
      </c>
    </row>
    <row r="291" spans="1:20" x14ac:dyDescent="0.25">
      <c r="A291" s="5"/>
      <c r="B291" s="1"/>
      <c r="C291" s="2"/>
      <c r="D291" s="2"/>
      <c r="E291" s="1"/>
      <c r="F291" s="1"/>
      <c r="P291">
        <f t="shared" si="964"/>
        <v>0</v>
      </c>
      <c r="Q291">
        <f t="shared" si="965"/>
        <v>0</v>
      </c>
      <c r="R291">
        <f t="shared" si="966"/>
        <v>0</v>
      </c>
      <c r="S291">
        <f t="shared" si="967"/>
        <v>0</v>
      </c>
      <c r="T291">
        <f t="shared" si="968"/>
        <v>0</v>
      </c>
    </row>
    <row r="292" spans="1:20" x14ac:dyDescent="0.25">
      <c r="A292" s="5"/>
      <c r="B292" s="1"/>
      <c r="C292" s="2"/>
      <c r="D292" s="2"/>
      <c r="E292" s="1"/>
      <c r="F292" s="1"/>
      <c r="P292">
        <f t="shared" si="964"/>
        <v>0</v>
      </c>
      <c r="Q292">
        <f t="shared" si="965"/>
        <v>0</v>
      </c>
      <c r="R292">
        <f t="shared" si="966"/>
        <v>0</v>
      </c>
      <c r="S292">
        <f t="shared" si="967"/>
        <v>0</v>
      </c>
      <c r="T292">
        <f t="shared" si="968"/>
        <v>0</v>
      </c>
    </row>
    <row r="293" spans="1:20" x14ac:dyDescent="0.25">
      <c r="A293" s="5"/>
      <c r="B293" s="1"/>
      <c r="C293" s="2"/>
      <c r="D293" s="2"/>
      <c r="E293" s="1"/>
      <c r="F293" s="1"/>
      <c r="P293">
        <f t="shared" si="964"/>
        <v>0</v>
      </c>
      <c r="Q293">
        <f t="shared" si="965"/>
        <v>0</v>
      </c>
      <c r="R293">
        <f t="shared" si="966"/>
        <v>0</v>
      </c>
      <c r="S293">
        <f t="shared" si="967"/>
        <v>0</v>
      </c>
      <c r="T293">
        <f t="shared" si="968"/>
        <v>0</v>
      </c>
    </row>
    <row r="294" spans="1:20" x14ac:dyDescent="0.25">
      <c r="A294" s="5"/>
      <c r="B294" s="1"/>
      <c r="C294" s="2"/>
      <c r="D294" s="2"/>
      <c r="E294" s="1"/>
      <c r="F294" s="1"/>
      <c r="P294">
        <f t="shared" si="964"/>
        <v>0</v>
      </c>
      <c r="Q294">
        <f t="shared" si="965"/>
        <v>0</v>
      </c>
      <c r="R294">
        <f t="shared" si="966"/>
        <v>0</v>
      </c>
      <c r="S294">
        <f t="shared" si="967"/>
        <v>0</v>
      </c>
      <c r="T294">
        <f t="shared" si="968"/>
        <v>0</v>
      </c>
    </row>
    <row r="295" spans="1:20" x14ac:dyDescent="0.25">
      <c r="A295" s="5"/>
      <c r="B295" s="1"/>
      <c r="C295" s="2"/>
      <c r="D295" s="2"/>
      <c r="E295" s="1"/>
      <c r="F295" s="1"/>
      <c r="P295">
        <f t="shared" si="964"/>
        <v>0</v>
      </c>
      <c r="Q295">
        <f t="shared" si="965"/>
        <v>0</v>
      </c>
      <c r="R295">
        <f t="shared" si="966"/>
        <v>0</v>
      </c>
      <c r="S295">
        <f t="shared" si="967"/>
        <v>0</v>
      </c>
      <c r="T295">
        <f t="shared" si="968"/>
        <v>0</v>
      </c>
    </row>
    <row r="296" spans="1:20" x14ac:dyDescent="0.25">
      <c r="A296" s="5"/>
      <c r="B296" s="1"/>
      <c r="C296" s="2"/>
      <c r="D296" s="2"/>
      <c r="E296" s="1"/>
      <c r="F296" s="1"/>
      <c r="P296">
        <f t="shared" si="964"/>
        <v>0</v>
      </c>
      <c r="Q296">
        <f t="shared" si="965"/>
        <v>0</v>
      </c>
      <c r="R296">
        <f t="shared" si="966"/>
        <v>0</v>
      </c>
      <c r="S296">
        <f t="shared" si="967"/>
        <v>0</v>
      </c>
      <c r="T296">
        <f t="shared" si="968"/>
        <v>0</v>
      </c>
    </row>
    <row r="297" spans="1:20" x14ac:dyDescent="0.25">
      <c r="A297" s="5"/>
      <c r="B297" s="1"/>
      <c r="C297" s="2"/>
      <c r="D297" s="2"/>
      <c r="E297" s="1"/>
      <c r="F297" s="1"/>
      <c r="P297">
        <f t="shared" si="964"/>
        <v>0</v>
      </c>
      <c r="Q297">
        <f t="shared" si="965"/>
        <v>0</v>
      </c>
      <c r="R297">
        <f t="shared" si="966"/>
        <v>0</v>
      </c>
      <c r="S297">
        <f t="shared" si="967"/>
        <v>0</v>
      </c>
      <c r="T297">
        <f t="shared" si="968"/>
        <v>0</v>
      </c>
    </row>
    <row r="298" spans="1:20" x14ac:dyDescent="0.25">
      <c r="A298" s="5"/>
      <c r="B298" s="1"/>
      <c r="C298" s="2"/>
      <c r="D298" s="2"/>
      <c r="E298" s="1"/>
      <c r="F298" s="1"/>
      <c r="P298">
        <f t="shared" si="964"/>
        <v>0</v>
      </c>
      <c r="Q298">
        <f t="shared" si="965"/>
        <v>0</v>
      </c>
      <c r="R298">
        <f t="shared" si="966"/>
        <v>0</v>
      </c>
      <c r="S298">
        <f t="shared" si="967"/>
        <v>0</v>
      </c>
      <c r="T298">
        <f t="shared" si="968"/>
        <v>0</v>
      </c>
    </row>
    <row r="299" spans="1:20" x14ac:dyDescent="0.25">
      <c r="A299" s="5"/>
      <c r="B299" s="1"/>
      <c r="C299" s="2"/>
      <c r="D299" s="2"/>
      <c r="E299" s="1"/>
      <c r="F299" s="1"/>
      <c r="P299">
        <f t="shared" si="964"/>
        <v>0</v>
      </c>
      <c r="Q299">
        <f t="shared" si="965"/>
        <v>0</v>
      </c>
      <c r="R299">
        <f t="shared" si="966"/>
        <v>0</v>
      </c>
      <c r="S299">
        <f t="shared" si="967"/>
        <v>0</v>
      </c>
      <c r="T299">
        <f t="shared" si="968"/>
        <v>0</v>
      </c>
    </row>
    <row r="300" spans="1:20" x14ac:dyDescent="0.25">
      <c r="A300" s="5"/>
      <c r="B300" s="1"/>
      <c r="C300" s="2"/>
      <c r="D300" s="2"/>
      <c r="E300" s="1"/>
      <c r="F300" s="1"/>
      <c r="P300">
        <f t="shared" si="964"/>
        <v>0</v>
      </c>
      <c r="Q300">
        <f t="shared" si="965"/>
        <v>0</v>
      </c>
      <c r="R300">
        <f t="shared" si="966"/>
        <v>0</v>
      </c>
      <c r="S300">
        <f t="shared" si="967"/>
        <v>0</v>
      </c>
      <c r="T300">
        <f t="shared" si="968"/>
        <v>0</v>
      </c>
    </row>
    <row r="301" spans="1:20" x14ac:dyDescent="0.25">
      <c r="A301" s="5"/>
      <c r="B301" s="1"/>
      <c r="C301" s="2"/>
      <c r="D301" s="2"/>
      <c r="E301" s="1"/>
      <c r="F301" s="1"/>
      <c r="P301">
        <f t="shared" si="964"/>
        <v>0</v>
      </c>
      <c r="Q301">
        <f t="shared" si="965"/>
        <v>0</v>
      </c>
      <c r="R301">
        <f t="shared" si="966"/>
        <v>0</v>
      </c>
      <c r="S301">
        <f t="shared" si="967"/>
        <v>0</v>
      </c>
      <c r="T301">
        <f t="shared" si="968"/>
        <v>0</v>
      </c>
    </row>
    <row r="302" spans="1:20" x14ac:dyDescent="0.25">
      <c r="A302" s="5"/>
      <c r="B302" s="1"/>
      <c r="C302" s="2"/>
      <c r="D302" s="2"/>
      <c r="E302" s="1"/>
      <c r="F302" s="1"/>
      <c r="P302">
        <f t="shared" si="964"/>
        <v>0</v>
      </c>
      <c r="Q302">
        <f t="shared" si="965"/>
        <v>0</v>
      </c>
      <c r="R302">
        <f t="shared" si="966"/>
        <v>0</v>
      </c>
      <c r="S302">
        <f t="shared" si="967"/>
        <v>0</v>
      </c>
      <c r="T302">
        <f t="shared" si="968"/>
        <v>0</v>
      </c>
    </row>
    <row r="303" spans="1:20" x14ac:dyDescent="0.25">
      <c r="A303" s="5"/>
      <c r="B303" s="1"/>
      <c r="C303" s="2"/>
      <c r="D303" s="2"/>
      <c r="E303" s="1"/>
      <c r="F303" s="1"/>
      <c r="P303">
        <f t="shared" si="964"/>
        <v>0</v>
      </c>
      <c r="Q303">
        <f t="shared" si="965"/>
        <v>0</v>
      </c>
      <c r="R303">
        <f t="shared" si="966"/>
        <v>0</v>
      </c>
      <c r="S303">
        <f t="shared" si="967"/>
        <v>0</v>
      </c>
      <c r="T303">
        <f t="shared" si="968"/>
        <v>0</v>
      </c>
    </row>
    <row r="304" spans="1:20" x14ac:dyDescent="0.25">
      <c r="A304" s="5"/>
      <c r="B304" s="1"/>
      <c r="C304" s="2"/>
      <c r="D304" s="2"/>
      <c r="E304" s="1"/>
      <c r="F304" s="1"/>
      <c r="P304">
        <f t="shared" si="964"/>
        <v>0</v>
      </c>
      <c r="Q304">
        <f t="shared" si="965"/>
        <v>0</v>
      </c>
      <c r="R304">
        <f t="shared" si="966"/>
        <v>0</v>
      </c>
      <c r="S304">
        <f t="shared" si="967"/>
        <v>0</v>
      </c>
      <c r="T304">
        <f t="shared" si="968"/>
        <v>0</v>
      </c>
    </row>
    <row r="305" spans="1:20" x14ac:dyDescent="0.25">
      <c r="A305" s="5"/>
      <c r="B305" s="1"/>
      <c r="C305" s="2"/>
      <c r="D305" s="2"/>
      <c r="E305" s="1"/>
      <c r="F305" s="1"/>
      <c r="P305">
        <f t="shared" si="964"/>
        <v>0</v>
      </c>
      <c r="Q305">
        <f t="shared" si="965"/>
        <v>0</v>
      </c>
      <c r="R305">
        <f t="shared" si="966"/>
        <v>0</v>
      </c>
      <c r="S305">
        <f t="shared" si="967"/>
        <v>0</v>
      </c>
      <c r="T305">
        <f t="shared" si="968"/>
        <v>0</v>
      </c>
    </row>
    <row r="306" spans="1:20" x14ac:dyDescent="0.25">
      <c r="A306" s="5"/>
      <c r="B306" s="1"/>
      <c r="C306" s="2"/>
      <c r="D306" s="2"/>
      <c r="E306" s="1"/>
      <c r="F306" s="1"/>
      <c r="P306">
        <f t="shared" si="964"/>
        <v>0</v>
      </c>
      <c r="Q306">
        <f t="shared" si="965"/>
        <v>0</v>
      </c>
      <c r="R306">
        <f t="shared" si="966"/>
        <v>0</v>
      </c>
      <c r="S306">
        <f t="shared" si="967"/>
        <v>0</v>
      </c>
      <c r="T306">
        <f t="shared" si="968"/>
        <v>0</v>
      </c>
    </row>
    <row r="307" spans="1:20" x14ac:dyDescent="0.25">
      <c r="A307" s="5"/>
      <c r="B307" s="1"/>
      <c r="C307" s="2"/>
      <c r="D307" s="2"/>
      <c r="E307" s="1"/>
      <c r="F307" s="1"/>
      <c r="P307">
        <f t="shared" si="964"/>
        <v>0</v>
      </c>
      <c r="Q307">
        <f t="shared" si="965"/>
        <v>0</v>
      </c>
      <c r="R307">
        <f t="shared" si="966"/>
        <v>0</v>
      </c>
      <c r="S307">
        <f t="shared" si="967"/>
        <v>0</v>
      </c>
      <c r="T307">
        <f t="shared" si="968"/>
        <v>0</v>
      </c>
    </row>
    <row r="308" spans="1:20" x14ac:dyDescent="0.25">
      <c r="A308" s="5"/>
      <c r="B308" s="1"/>
      <c r="C308" s="2"/>
      <c r="D308" s="2"/>
      <c r="E308" s="1"/>
      <c r="F308" s="1"/>
      <c r="P308">
        <f t="shared" si="964"/>
        <v>0</v>
      </c>
      <c r="Q308">
        <f t="shared" si="965"/>
        <v>0</v>
      </c>
      <c r="R308">
        <f t="shared" si="966"/>
        <v>0</v>
      </c>
      <c r="S308">
        <f t="shared" si="967"/>
        <v>0</v>
      </c>
      <c r="T308">
        <f t="shared" si="968"/>
        <v>0</v>
      </c>
    </row>
    <row r="309" spans="1:20" x14ac:dyDescent="0.25">
      <c r="A309" s="5"/>
      <c r="B309" s="1"/>
      <c r="C309" s="2"/>
      <c r="D309" s="2"/>
      <c r="E309" s="1"/>
      <c r="F309" s="1"/>
      <c r="P309">
        <f t="shared" si="964"/>
        <v>0</v>
      </c>
      <c r="Q309">
        <f t="shared" si="965"/>
        <v>0</v>
      </c>
      <c r="R309">
        <f t="shared" si="966"/>
        <v>0</v>
      </c>
      <c r="S309">
        <f t="shared" si="967"/>
        <v>0</v>
      </c>
      <c r="T309">
        <f t="shared" si="968"/>
        <v>0</v>
      </c>
    </row>
    <row r="310" spans="1:20" x14ac:dyDescent="0.25">
      <c r="A310" s="5"/>
      <c r="B310" s="1"/>
      <c r="C310" s="2"/>
      <c r="D310" s="2"/>
      <c r="E310" s="1"/>
      <c r="F310" s="1"/>
      <c r="P310">
        <f t="shared" si="964"/>
        <v>0</v>
      </c>
      <c r="Q310">
        <f t="shared" si="965"/>
        <v>0</v>
      </c>
      <c r="R310">
        <f t="shared" si="966"/>
        <v>0</v>
      </c>
      <c r="S310">
        <f t="shared" si="967"/>
        <v>0</v>
      </c>
      <c r="T310">
        <f t="shared" si="968"/>
        <v>0</v>
      </c>
    </row>
    <row r="311" spans="1:20" x14ac:dyDescent="0.25">
      <c r="A311" s="5"/>
      <c r="B311" s="1"/>
      <c r="C311" s="2"/>
      <c r="D311" s="2"/>
      <c r="E311" s="1"/>
      <c r="F311" s="1"/>
      <c r="P311">
        <f t="shared" si="964"/>
        <v>0</v>
      </c>
      <c r="Q311">
        <f t="shared" si="965"/>
        <v>0</v>
      </c>
      <c r="R311">
        <f t="shared" si="966"/>
        <v>0</v>
      </c>
      <c r="S311">
        <f t="shared" si="967"/>
        <v>0</v>
      </c>
      <c r="T311">
        <f t="shared" si="968"/>
        <v>0</v>
      </c>
    </row>
    <row r="312" spans="1:20" x14ac:dyDescent="0.25">
      <c r="A312" s="5"/>
      <c r="B312" s="1"/>
      <c r="C312" s="2"/>
      <c r="D312" s="2"/>
      <c r="E312" s="1"/>
      <c r="F312" s="1"/>
      <c r="P312">
        <f t="shared" si="964"/>
        <v>0</v>
      </c>
      <c r="Q312">
        <f t="shared" si="965"/>
        <v>0</v>
      </c>
      <c r="R312">
        <f t="shared" si="966"/>
        <v>0</v>
      </c>
      <c r="S312">
        <f t="shared" si="967"/>
        <v>0</v>
      </c>
      <c r="T312">
        <f t="shared" si="968"/>
        <v>0</v>
      </c>
    </row>
    <row r="313" spans="1:20" x14ac:dyDescent="0.25">
      <c r="A313" s="5"/>
      <c r="B313" s="1"/>
      <c r="C313" s="2"/>
      <c r="D313" s="2"/>
      <c r="E313" s="1"/>
      <c r="F313" s="1"/>
      <c r="P313">
        <f t="shared" si="964"/>
        <v>0</v>
      </c>
      <c r="Q313">
        <f t="shared" si="965"/>
        <v>0</v>
      </c>
      <c r="R313">
        <f t="shared" si="966"/>
        <v>0</v>
      </c>
      <c r="S313">
        <f t="shared" si="967"/>
        <v>0</v>
      </c>
      <c r="T313">
        <f t="shared" si="968"/>
        <v>0</v>
      </c>
    </row>
    <row r="314" spans="1:20" x14ac:dyDescent="0.25">
      <c r="A314" s="5"/>
      <c r="P314">
        <f t="shared" si="964"/>
        <v>0</v>
      </c>
      <c r="Q314">
        <f t="shared" si="965"/>
        <v>0</v>
      </c>
      <c r="R314">
        <f t="shared" si="966"/>
        <v>0</v>
      </c>
      <c r="S314">
        <f t="shared" si="967"/>
        <v>0</v>
      </c>
      <c r="T314">
        <f t="shared" si="968"/>
        <v>0</v>
      </c>
    </row>
    <row r="315" spans="1:20" x14ac:dyDescent="0.25">
      <c r="A315" s="5"/>
      <c r="P315">
        <f t="shared" si="964"/>
        <v>0</v>
      </c>
      <c r="Q315">
        <f t="shared" si="965"/>
        <v>0</v>
      </c>
      <c r="R315">
        <f t="shared" si="966"/>
        <v>0</v>
      </c>
      <c r="S315">
        <f t="shared" si="967"/>
        <v>0</v>
      </c>
      <c r="T315">
        <f t="shared" si="968"/>
        <v>0</v>
      </c>
    </row>
    <row r="316" spans="1:20" x14ac:dyDescent="0.25">
      <c r="A316" s="5"/>
      <c r="P316">
        <f t="shared" si="964"/>
        <v>0</v>
      </c>
      <c r="Q316">
        <f t="shared" si="965"/>
        <v>0</v>
      </c>
      <c r="R316">
        <f t="shared" si="966"/>
        <v>0</v>
      </c>
      <c r="S316">
        <f t="shared" si="967"/>
        <v>0</v>
      </c>
      <c r="T316">
        <f t="shared" si="968"/>
        <v>0</v>
      </c>
    </row>
    <row r="317" spans="1:20" x14ac:dyDescent="0.25">
      <c r="A317" s="5"/>
      <c r="P317">
        <f t="shared" si="964"/>
        <v>0</v>
      </c>
      <c r="Q317">
        <f t="shared" si="965"/>
        <v>0</v>
      </c>
      <c r="R317">
        <f t="shared" si="966"/>
        <v>0</v>
      </c>
      <c r="S317">
        <f t="shared" si="967"/>
        <v>0</v>
      </c>
      <c r="T317">
        <f t="shared" si="968"/>
        <v>0</v>
      </c>
    </row>
    <row r="318" spans="1:20" x14ac:dyDescent="0.25">
      <c r="A318" s="5"/>
      <c r="P318">
        <f t="shared" si="964"/>
        <v>0</v>
      </c>
      <c r="Q318">
        <f t="shared" si="965"/>
        <v>0</v>
      </c>
      <c r="R318">
        <f t="shared" si="966"/>
        <v>0</v>
      </c>
      <c r="S318">
        <f t="shared" si="967"/>
        <v>0</v>
      </c>
      <c r="T318">
        <f t="shared" si="968"/>
        <v>0</v>
      </c>
    </row>
    <row r="319" spans="1:20" x14ac:dyDescent="0.25">
      <c r="A319" s="5"/>
      <c r="P319">
        <f t="shared" si="964"/>
        <v>0</v>
      </c>
      <c r="Q319">
        <f t="shared" si="965"/>
        <v>0</v>
      </c>
      <c r="R319">
        <f t="shared" si="966"/>
        <v>0</v>
      </c>
      <c r="S319">
        <f t="shared" si="967"/>
        <v>0</v>
      </c>
      <c r="T319">
        <f t="shared" si="968"/>
        <v>0</v>
      </c>
    </row>
    <row r="320" spans="1:20" x14ac:dyDescent="0.25">
      <c r="A320" s="5"/>
      <c r="P320">
        <f t="shared" si="964"/>
        <v>0</v>
      </c>
      <c r="Q320">
        <f t="shared" si="965"/>
        <v>0</v>
      </c>
      <c r="R320">
        <f t="shared" si="966"/>
        <v>0</v>
      </c>
      <c r="S320">
        <f t="shared" si="967"/>
        <v>0</v>
      </c>
      <c r="T320">
        <f t="shared" si="968"/>
        <v>0</v>
      </c>
    </row>
    <row r="321" spans="1:20" x14ac:dyDescent="0.25">
      <c r="A321" s="5"/>
      <c r="P321">
        <f t="shared" si="964"/>
        <v>0</v>
      </c>
      <c r="Q321">
        <f t="shared" si="965"/>
        <v>0</v>
      </c>
      <c r="R321">
        <f t="shared" si="966"/>
        <v>0</v>
      </c>
      <c r="S321">
        <f t="shared" si="967"/>
        <v>0</v>
      </c>
      <c r="T321">
        <f t="shared" si="968"/>
        <v>0</v>
      </c>
    </row>
    <row r="322" spans="1:20" x14ac:dyDescent="0.25">
      <c r="A322" s="5"/>
      <c r="P322">
        <f t="shared" si="964"/>
        <v>0</v>
      </c>
      <c r="Q322">
        <f t="shared" si="965"/>
        <v>0</v>
      </c>
      <c r="R322">
        <f t="shared" si="966"/>
        <v>0</v>
      </c>
      <c r="S322">
        <f t="shared" si="967"/>
        <v>0</v>
      </c>
      <c r="T322">
        <f t="shared" si="968"/>
        <v>0</v>
      </c>
    </row>
    <row r="323" spans="1:20" x14ac:dyDescent="0.25">
      <c r="A323" s="5"/>
      <c r="P323">
        <f t="shared" si="964"/>
        <v>0</v>
      </c>
      <c r="Q323">
        <f t="shared" si="965"/>
        <v>0</v>
      </c>
      <c r="R323">
        <f t="shared" si="966"/>
        <v>0</v>
      </c>
      <c r="S323">
        <f t="shared" si="967"/>
        <v>0</v>
      </c>
      <c r="T323">
        <f t="shared" si="968"/>
        <v>0</v>
      </c>
    </row>
    <row r="324" spans="1:20" x14ac:dyDescent="0.25">
      <c r="A324" s="5"/>
      <c r="P324">
        <f t="shared" si="964"/>
        <v>0</v>
      </c>
      <c r="Q324">
        <f t="shared" si="965"/>
        <v>0</v>
      </c>
      <c r="R324">
        <f t="shared" si="966"/>
        <v>0</v>
      </c>
      <c r="S324">
        <f t="shared" si="967"/>
        <v>0</v>
      </c>
      <c r="T324">
        <f t="shared" si="968"/>
        <v>0</v>
      </c>
    </row>
    <row r="325" spans="1:20" x14ac:dyDescent="0.25">
      <c r="A325" s="5"/>
      <c r="C325"/>
      <c r="D325"/>
      <c r="P325">
        <f t="shared" si="964"/>
        <v>0</v>
      </c>
      <c r="Q325">
        <f t="shared" si="965"/>
        <v>0</v>
      </c>
      <c r="R325">
        <f t="shared" si="966"/>
        <v>0</v>
      </c>
      <c r="S325">
        <f t="shared" si="967"/>
        <v>0</v>
      </c>
      <c r="T325">
        <f t="shared" si="968"/>
        <v>0</v>
      </c>
    </row>
    <row r="326" spans="1:20" x14ac:dyDescent="0.25">
      <c r="A326" s="5"/>
      <c r="C326"/>
      <c r="D326"/>
      <c r="P326">
        <f t="shared" ref="P326:P389" si="969">IF(C326=D326,0,((E326-D326)-(C326-E326))/(C326-D326))</f>
        <v>0</v>
      </c>
      <c r="Q326">
        <f t="shared" ref="Q326:Q389" si="970">F326*P326</f>
        <v>0</v>
      </c>
      <c r="R326">
        <f t="shared" ref="R326:R389" si="971">R327+Q326</f>
        <v>0</v>
      </c>
      <c r="S326">
        <f t="shared" ref="S326:S389" si="972">R326/100000</f>
        <v>0</v>
      </c>
      <c r="T326">
        <f t="shared" ref="T326:T389" si="973">S326/1000</f>
        <v>0</v>
      </c>
    </row>
    <row r="327" spans="1:20" x14ac:dyDescent="0.25">
      <c r="A327" s="5"/>
      <c r="C327"/>
      <c r="D327"/>
      <c r="P327">
        <f t="shared" si="969"/>
        <v>0</v>
      </c>
      <c r="Q327">
        <f t="shared" si="970"/>
        <v>0</v>
      </c>
      <c r="R327">
        <f t="shared" si="971"/>
        <v>0</v>
      </c>
      <c r="S327">
        <f t="shared" si="972"/>
        <v>0</v>
      </c>
      <c r="T327">
        <f t="shared" si="973"/>
        <v>0</v>
      </c>
    </row>
    <row r="328" spans="1:20" x14ac:dyDescent="0.25">
      <c r="A328" s="5"/>
      <c r="C328"/>
      <c r="D328"/>
      <c r="P328">
        <f t="shared" si="969"/>
        <v>0</v>
      </c>
      <c r="Q328">
        <f t="shared" si="970"/>
        <v>0</v>
      </c>
      <c r="R328">
        <f t="shared" si="971"/>
        <v>0</v>
      </c>
      <c r="S328">
        <f t="shared" si="972"/>
        <v>0</v>
      </c>
      <c r="T328">
        <f t="shared" si="973"/>
        <v>0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CX658" sqref="CX658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$A$657</v>
      </c>
      <c r="D111" s="1" t="str">
        <f>ADDRESS(C121-1,D121,1,1)</f>
        <v>$CX$657</v>
      </c>
      <c r="E111"/>
    </row>
    <row r="112" spans="1:5" x14ac:dyDescent="0.25">
      <c r="A112" s="7">
        <v>12164.144957890772</v>
      </c>
      <c r="C112" s="1" t="str">
        <f>ADDRESS(C121,1,1,1)</f>
        <v>$A$658</v>
      </c>
      <c r="D112" s="1" t="str">
        <f>ADDRESS(C121,D121-1,1,1)</f>
        <v>$CW$658</v>
      </c>
      <c r="E112"/>
    </row>
    <row r="113" spans="1:5" x14ac:dyDescent="0.25">
      <c r="A113" s="7">
        <v>11925.63231165762</v>
      </c>
      <c r="C113" s="1" t="str">
        <f>ADDRESS(C121+1,1,1,1)</f>
        <v>$A$659</v>
      </c>
      <c r="D113" s="1" t="str">
        <f>ADDRESS(C121-1,D121+1,1,1)</f>
        <v>$CY$657</v>
      </c>
    </row>
    <row r="114" spans="1:5" x14ac:dyDescent="0.25">
      <c r="A114" s="7">
        <v>11691.796383978059</v>
      </c>
      <c r="C114" s="1" t="str">
        <f>ADDRESS(C121,D121,1,1)</f>
        <v>$CX$658</v>
      </c>
      <c r="D114" s="1" t="str">
        <f>ADDRESS(C121+1,D121+1,1,1)</f>
        <v>$CY$659</v>
      </c>
    </row>
    <row r="115" spans="1:5" x14ac:dyDescent="0.25">
      <c r="A115" s="7">
        <v>11462.545474488292</v>
      </c>
      <c r="C115" s="1" t="str">
        <f>ADDRESS(C121+1,D121,1,1)</f>
        <v>$CX$659</v>
      </c>
    </row>
    <row r="116" spans="1:5" x14ac:dyDescent="0.25">
      <c r="A116" s="7">
        <v>11237.789680870874</v>
      </c>
      <c r="C116" s="1">
        <f>C117-1</f>
        <v>657</v>
      </c>
    </row>
    <row r="117" spans="1:5" x14ac:dyDescent="0.25">
      <c r="A117" s="7">
        <v>11017.440863598895</v>
      </c>
      <c r="C117" s="1">
        <f>C121</f>
        <v>658</v>
      </c>
      <c r="D117" s="1">
        <f>D121</f>
        <v>102</v>
      </c>
    </row>
    <row r="118" spans="1:5" x14ac:dyDescent="0.25">
      <c r="A118" s="7">
        <v>10801.412611371465</v>
      </c>
      <c r="C118" s="1">
        <f>C117+1</f>
        <v>659</v>
      </c>
      <c r="D118" s="1">
        <f>D117+1</f>
        <v>103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658</v>
      </c>
      <c r="D121" s="19">
        <v>102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R658</v>
      </c>
      <c r="D123" s="1" t="str">
        <f>"C"&amp;D121</f>
        <v>C102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0.24512511188411276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39" x14ac:dyDescent="0.25">
      <c r="A561" s="7">
        <v>1.6734181143540252</v>
      </c>
      <c r="B561"/>
      <c r="C561"/>
      <c r="D561"/>
      <c r="E561"/>
    </row>
    <row r="562" spans="1:39" x14ac:dyDescent="0.25">
      <c r="A562" s="7">
        <v>1.6406059944647307</v>
      </c>
      <c r="B562"/>
      <c r="C562"/>
      <c r="D562"/>
      <c r="E562"/>
    </row>
    <row r="563" spans="1:39" x14ac:dyDescent="0.25">
      <c r="A563" s="7">
        <v>1.6084372494752261</v>
      </c>
      <c r="B563"/>
      <c r="C563"/>
      <c r="D563"/>
      <c r="E563"/>
    </row>
    <row r="564" spans="1:39" x14ac:dyDescent="0.25">
      <c r="A564" s="7">
        <v>1.5768992641913981</v>
      </c>
      <c r="B564"/>
      <c r="C564"/>
      <c r="D564"/>
      <c r="E564"/>
    </row>
    <row r="565" spans="1:39" x14ac:dyDescent="0.25">
      <c r="A565" s="7">
        <v>1.5459796707758806</v>
      </c>
      <c r="B565"/>
      <c r="C565"/>
      <c r="D565"/>
      <c r="E565"/>
    </row>
    <row r="566" spans="1:39" x14ac:dyDescent="0.25">
      <c r="A566" s="7">
        <v>1.5156663438979221</v>
      </c>
      <c r="B566"/>
      <c r="C566"/>
      <c r="D566"/>
      <c r="E566"/>
    </row>
    <row r="567" spans="1:39" x14ac:dyDescent="0.25">
      <c r="A567" s="7">
        <v>1.4859473959783549</v>
      </c>
      <c r="B567"/>
      <c r="C567"/>
      <c r="D567"/>
      <c r="E567"/>
    </row>
    <row r="568" spans="1:39" x14ac:dyDescent="0.25">
      <c r="A568" s="7">
        <v>1.4568111725277988</v>
      </c>
      <c r="B568"/>
      <c r="C568"/>
      <c r="D568"/>
      <c r="E568"/>
    </row>
    <row r="569" spans="1:39" x14ac:dyDescent="0.25">
      <c r="A569" s="7">
        <v>1.4282462475762734</v>
      </c>
      <c r="B569"/>
      <c r="C569"/>
      <c r="D569"/>
      <c r="E569"/>
    </row>
    <row r="570" spans="1:39" x14ac:dyDescent="0.25">
      <c r="A570" s="7">
        <v>1.4002414191924248</v>
      </c>
      <c r="B570"/>
      <c r="C570"/>
      <c r="D570"/>
      <c r="E570"/>
    </row>
    <row r="571" spans="1:39" x14ac:dyDescent="0.25">
      <c r="A571" s="7">
        <v>1.3727857050906125</v>
      </c>
      <c r="B571"/>
      <c r="C571"/>
      <c r="D571"/>
      <c r="E571"/>
    </row>
    <row r="572" spans="1:39" x14ac:dyDescent="0.25">
      <c r="A572" s="7">
        <v>1.3458683383241299</v>
      </c>
      <c r="B572"/>
      <c r="C572"/>
      <c r="D572"/>
      <c r="E572"/>
    </row>
    <row r="573" spans="1:39" x14ac:dyDescent="0.25">
      <c r="A573" s="7">
        <v>1.3194787630628724</v>
      </c>
      <c r="B573"/>
      <c r="C573"/>
      <c r="D573"/>
      <c r="E573"/>
    </row>
    <row r="574" spans="1:39" x14ac:dyDescent="0.25">
      <c r="A574" s="7">
        <v>1.2936066304537963</v>
      </c>
      <c r="B574"/>
      <c r="C574"/>
      <c r="D574"/>
      <c r="E574"/>
    </row>
    <row r="575" spans="1:39" x14ac:dyDescent="0.25">
      <c r="A575" s="7">
        <v>1.2682417945625455</v>
      </c>
      <c r="B575"/>
      <c r="C575"/>
      <c r="D575"/>
      <c r="E575"/>
    </row>
    <row r="576" spans="1:39" x14ac:dyDescent="0.25">
      <c r="A576" s="7">
        <v>1.2433743083946525</v>
      </c>
      <c r="B576"/>
      <c r="C576"/>
      <c r="D576"/>
      <c r="E576"/>
      <c r="AM576" s="27" t="s">
        <v>8</v>
      </c>
    </row>
    <row r="577" spans="1:60" x14ac:dyDescent="0.25">
      <c r="A577" s="7">
        <v>1.2189944199947573</v>
      </c>
      <c r="B577"/>
      <c r="C577"/>
      <c r="D577"/>
      <c r="E577"/>
      <c r="AM577" s="27" t="s">
        <v>8</v>
      </c>
      <c r="AN577" s="27" t="s">
        <v>7</v>
      </c>
    </row>
    <row r="578" spans="1:60" x14ac:dyDescent="0.25">
      <c r="A578" s="7">
        <v>1.1950925686223111</v>
      </c>
      <c r="B578"/>
      <c r="C578"/>
      <c r="D578"/>
      <c r="E578"/>
      <c r="AM578" s="27" t="s">
        <v>8</v>
      </c>
      <c r="AN578" s="27" t="s">
        <v>7</v>
      </c>
    </row>
    <row r="579" spans="1:60" x14ac:dyDescent="0.25">
      <c r="A579" s="7">
        <v>1.1716593810022657</v>
      </c>
      <c r="B579"/>
      <c r="C579"/>
      <c r="D579"/>
      <c r="E579"/>
      <c r="AM579" s="27" t="s">
        <v>8</v>
      </c>
      <c r="AN579" s="27" t="s">
        <v>7</v>
      </c>
    </row>
    <row r="580" spans="1:60" x14ac:dyDescent="0.25">
      <c r="A580" s="7">
        <v>1.14868566764928</v>
      </c>
      <c r="B580"/>
      <c r="C580"/>
      <c r="D580"/>
      <c r="E580"/>
      <c r="AM580" s="27" t="s">
        <v>8</v>
      </c>
      <c r="AN580" s="27" t="s">
        <v>7</v>
      </c>
    </row>
    <row r="581" spans="1:60" x14ac:dyDescent="0.25">
      <c r="A581" s="7">
        <v>1.1261624192640001</v>
      </c>
      <c r="B581"/>
      <c r="C581"/>
      <c r="D581"/>
      <c r="E581"/>
      <c r="AM581" s="27" t="s">
        <v>8</v>
      </c>
      <c r="AN581" s="27" t="s">
        <v>7</v>
      </c>
    </row>
    <row r="582" spans="1:60" x14ac:dyDescent="0.25">
      <c r="A582" s="7">
        <v>1.1040808032</v>
      </c>
      <c r="B582"/>
      <c r="C582"/>
      <c r="D582"/>
      <c r="E582"/>
      <c r="AM582" s="27" t="s">
        <v>8</v>
      </c>
      <c r="AN582" s="27" t="s">
        <v>7</v>
      </c>
    </row>
    <row r="583" spans="1:60" x14ac:dyDescent="0.25">
      <c r="A583" s="7">
        <v>1.08243216</v>
      </c>
      <c r="B583"/>
      <c r="C583"/>
      <c r="D583"/>
      <c r="E583"/>
      <c r="AM583" s="27" t="s">
        <v>8</v>
      </c>
      <c r="AN583" s="27" t="s">
        <v>7</v>
      </c>
      <c r="AY583" s="27" t="s">
        <v>8</v>
      </c>
    </row>
    <row r="584" spans="1:60" x14ac:dyDescent="0.25">
      <c r="A584" s="7">
        <v>1.0612079999999999</v>
      </c>
      <c r="B584"/>
      <c r="C584"/>
      <c r="D584"/>
      <c r="E584"/>
      <c r="AG584" s="27" t="s">
        <v>8</v>
      </c>
      <c r="AM584" s="27" t="s">
        <v>8</v>
      </c>
      <c r="AN584" s="27" t="s">
        <v>7</v>
      </c>
      <c r="AY584" s="27" t="s">
        <v>8</v>
      </c>
      <c r="AZ584" s="27" t="s">
        <v>7</v>
      </c>
    </row>
    <row r="585" spans="1:60" x14ac:dyDescent="0.25">
      <c r="A585" s="7">
        <v>1.0404</v>
      </c>
      <c r="B585"/>
      <c r="C585"/>
      <c r="D585"/>
      <c r="E585"/>
      <c r="AG585" s="27" t="s">
        <v>8</v>
      </c>
      <c r="AH585" s="27" t="s">
        <v>7</v>
      </c>
      <c r="AM585" s="27" t="s">
        <v>8</v>
      </c>
      <c r="AN585" s="27" t="s">
        <v>7</v>
      </c>
      <c r="AY585" s="27" t="s">
        <v>8</v>
      </c>
      <c r="AZ585" s="27" t="s">
        <v>7</v>
      </c>
    </row>
    <row r="586" spans="1:60" x14ac:dyDescent="0.25">
      <c r="A586" s="7">
        <v>1.02</v>
      </c>
      <c r="B586"/>
      <c r="C586"/>
      <c r="D586"/>
      <c r="E586"/>
      <c r="AG586" s="27" t="s">
        <v>8</v>
      </c>
      <c r="AH586" s="27" t="s">
        <v>7</v>
      </c>
      <c r="AM586" s="27" t="s">
        <v>8</v>
      </c>
      <c r="AN586" s="27" t="s">
        <v>7</v>
      </c>
      <c r="AY586" s="27" t="s">
        <v>8</v>
      </c>
      <c r="AZ586" s="27" t="s">
        <v>7</v>
      </c>
    </row>
    <row r="587" spans="1:60" x14ac:dyDescent="0.25">
      <c r="A587" s="7">
        <v>1</v>
      </c>
      <c r="B587"/>
      <c r="C587"/>
      <c r="D587"/>
      <c r="E587" s="29" t="s">
        <v>8</v>
      </c>
      <c r="AG587" s="27" t="s">
        <v>8</v>
      </c>
      <c r="AH587" s="27" t="s">
        <v>7</v>
      </c>
      <c r="AM587" s="27" t="s">
        <v>8</v>
      </c>
      <c r="AN587" s="27" t="s">
        <v>7</v>
      </c>
      <c r="AY587" s="27" t="s">
        <v>8</v>
      </c>
      <c r="AZ587" s="27" t="s">
        <v>7</v>
      </c>
    </row>
    <row r="588" spans="1:60" x14ac:dyDescent="0.25">
      <c r="A588" s="7">
        <v>0.98039215686274506</v>
      </c>
      <c r="B588"/>
      <c r="C588"/>
      <c r="D588"/>
      <c r="E588"/>
      <c r="F588" s="27" t="s">
        <v>7</v>
      </c>
      <c r="AG588" s="27" t="s">
        <v>8</v>
      </c>
      <c r="AH588" s="27" t="s">
        <v>7</v>
      </c>
      <c r="AM588" s="27" t="s">
        <v>8</v>
      </c>
      <c r="AN588" s="27" t="s">
        <v>7</v>
      </c>
      <c r="AY588" s="27" t="s">
        <v>8</v>
      </c>
      <c r="AZ588" s="27" t="s">
        <v>7</v>
      </c>
    </row>
    <row r="589" spans="1:60" x14ac:dyDescent="0.25">
      <c r="A589" s="7">
        <v>0.96116878123798544</v>
      </c>
      <c r="B589"/>
      <c r="C589"/>
      <c r="D589"/>
      <c r="E589"/>
      <c r="F589" s="27" t="s">
        <v>7</v>
      </c>
      <c r="K589" s="27" t="s">
        <v>8</v>
      </c>
      <c r="AG589" s="27" t="s">
        <v>8</v>
      </c>
      <c r="AH589" s="27" t="s">
        <v>7</v>
      </c>
      <c r="AM589" s="27" t="s">
        <v>8</v>
      </c>
      <c r="AN589" s="27" t="s">
        <v>7</v>
      </c>
      <c r="AY589" s="27" t="s">
        <v>8</v>
      </c>
      <c r="AZ589" s="27" t="s">
        <v>7</v>
      </c>
      <c r="BA589" s="27" t="s">
        <v>8</v>
      </c>
      <c r="BG589" s="27" t="s">
        <v>8</v>
      </c>
    </row>
    <row r="590" spans="1:60" x14ac:dyDescent="0.25">
      <c r="A590" s="7">
        <v>0.94232233454704462</v>
      </c>
      <c r="B590"/>
      <c r="C590"/>
      <c r="D590"/>
      <c r="E590"/>
      <c r="F590" s="27" t="s">
        <v>7</v>
      </c>
      <c r="K590" s="27" t="s">
        <v>8</v>
      </c>
      <c r="L590" s="27" t="s">
        <v>7</v>
      </c>
      <c r="AG590" s="27" t="s">
        <v>8</v>
      </c>
      <c r="AH590" s="27" t="s">
        <v>7</v>
      </c>
      <c r="AI590" s="27" t="s">
        <v>8</v>
      </c>
      <c r="AM590" s="27" t="s">
        <v>8</v>
      </c>
      <c r="AN590" s="27" t="s">
        <v>7</v>
      </c>
      <c r="AY590" s="27" t="s">
        <v>8</v>
      </c>
      <c r="AZ590" s="27" t="s">
        <v>7</v>
      </c>
      <c r="BA590" s="27" t="s">
        <v>8</v>
      </c>
      <c r="BB590" s="27" t="s">
        <v>7</v>
      </c>
      <c r="BG590" s="27" t="s">
        <v>8</v>
      </c>
      <c r="BH590" s="27" t="s">
        <v>7</v>
      </c>
    </row>
    <row r="591" spans="1:60" x14ac:dyDescent="0.25">
      <c r="A591" s="7">
        <v>0.92384542602651432</v>
      </c>
      <c r="B591"/>
      <c r="C591"/>
      <c r="D591"/>
      <c r="E591"/>
      <c r="F591" s="27" t="s">
        <v>7</v>
      </c>
      <c r="K591" s="27" t="s">
        <v>8</v>
      </c>
      <c r="L591" s="27" t="s">
        <v>7</v>
      </c>
      <c r="W591" s="27" t="s">
        <v>8</v>
      </c>
      <c r="AG591" s="27" t="s">
        <v>8</v>
      </c>
      <c r="AH591" s="27" t="s">
        <v>7</v>
      </c>
      <c r="AI591" s="27" t="s">
        <v>8</v>
      </c>
      <c r="AJ591" s="27" t="s">
        <v>7</v>
      </c>
      <c r="AM591" s="27" t="s">
        <v>8</v>
      </c>
      <c r="AN591" s="27" t="s">
        <v>7</v>
      </c>
      <c r="AY591" s="27" t="s">
        <v>8</v>
      </c>
      <c r="AZ591" s="27" t="s">
        <v>7</v>
      </c>
      <c r="BA591" s="27" t="s">
        <v>8</v>
      </c>
      <c r="BB591" s="27" t="s">
        <v>7</v>
      </c>
      <c r="BG591" s="27" t="s">
        <v>8</v>
      </c>
      <c r="BH591" s="27" t="s">
        <v>7</v>
      </c>
    </row>
    <row r="592" spans="1:60" x14ac:dyDescent="0.25">
      <c r="A592" s="7">
        <v>0.90573080982991594</v>
      </c>
      <c r="B592"/>
      <c r="C592"/>
      <c r="D592"/>
      <c r="E592"/>
      <c r="F592" s="27" t="s">
        <v>7</v>
      </c>
      <c r="K592" s="27" t="s">
        <v>8</v>
      </c>
      <c r="L592" s="27" t="s">
        <v>7</v>
      </c>
      <c r="W592" s="27" t="s">
        <v>8</v>
      </c>
      <c r="X592" s="27" t="s">
        <v>7</v>
      </c>
      <c r="AG592" s="27" t="s">
        <v>8</v>
      </c>
      <c r="AH592" s="27" t="s">
        <v>7</v>
      </c>
      <c r="AI592" s="27" t="s">
        <v>8</v>
      </c>
      <c r="AJ592" s="27" t="s">
        <v>7</v>
      </c>
      <c r="AM592" s="27" t="s">
        <v>8</v>
      </c>
      <c r="AN592" s="27" t="s">
        <v>7</v>
      </c>
      <c r="AY592" s="27" t="s">
        <v>8</v>
      </c>
      <c r="AZ592" s="27" t="s">
        <v>7</v>
      </c>
      <c r="BA592" s="27" t="s">
        <v>8</v>
      </c>
      <c r="BB592" s="27" t="s">
        <v>7</v>
      </c>
      <c r="BE592" s="27" t="s">
        <v>8</v>
      </c>
      <c r="BG592" s="27" t="s">
        <v>8</v>
      </c>
      <c r="BH592" s="27" t="s">
        <v>7</v>
      </c>
    </row>
    <row r="593" spans="1:87" x14ac:dyDescent="0.25">
      <c r="A593" s="7">
        <v>0.8879713821861922</v>
      </c>
      <c r="B593"/>
      <c r="C593"/>
      <c r="D593"/>
      <c r="E593"/>
      <c r="F593" s="27" t="s">
        <v>7</v>
      </c>
      <c r="G593" s="27" t="s">
        <v>8</v>
      </c>
      <c r="K593" s="27" t="s">
        <v>8</v>
      </c>
      <c r="L593" s="27" t="s">
        <v>7</v>
      </c>
      <c r="W593" s="27" t="s">
        <v>8</v>
      </c>
      <c r="X593" s="27" t="s">
        <v>7</v>
      </c>
      <c r="AG593" s="27" t="s">
        <v>8</v>
      </c>
      <c r="AH593" s="27" t="s">
        <v>7</v>
      </c>
      <c r="AI593" s="27" t="s">
        <v>8</v>
      </c>
      <c r="AJ593" s="27" t="s">
        <v>7</v>
      </c>
      <c r="AK593" s="27" t="s">
        <v>8</v>
      </c>
      <c r="AM593" s="27" t="s">
        <v>8</v>
      </c>
      <c r="AN593" s="27" t="s">
        <v>7</v>
      </c>
      <c r="AY593" s="27" t="s">
        <v>8</v>
      </c>
      <c r="AZ593" s="27" t="s">
        <v>7</v>
      </c>
      <c r="BA593" s="27" t="s">
        <v>8</v>
      </c>
      <c r="BB593" s="27" t="s">
        <v>7</v>
      </c>
      <c r="BE593" s="27" t="s">
        <v>8</v>
      </c>
      <c r="BF593" s="27" t="s">
        <v>7</v>
      </c>
      <c r="BG593" s="27" t="s">
        <v>8</v>
      </c>
      <c r="BH593" s="27" t="s">
        <v>7</v>
      </c>
    </row>
    <row r="594" spans="1:87" x14ac:dyDescent="0.25">
      <c r="A594" s="7">
        <v>0.87056017861391399</v>
      </c>
      <c r="B594"/>
      <c r="C594"/>
      <c r="D594"/>
      <c r="E594"/>
      <c r="F594" s="27" t="s">
        <v>7</v>
      </c>
      <c r="G594" s="27" t="s">
        <v>8</v>
      </c>
      <c r="H594" s="27" t="s">
        <v>7</v>
      </c>
      <c r="I594" s="27" t="s">
        <v>8</v>
      </c>
      <c r="K594" s="27" t="s">
        <v>8</v>
      </c>
      <c r="L594" s="27" t="s">
        <v>7</v>
      </c>
      <c r="W594" s="27" t="s">
        <v>8</v>
      </c>
      <c r="X594" s="27" t="s">
        <v>7</v>
      </c>
      <c r="AA594" s="27" t="s">
        <v>8</v>
      </c>
      <c r="AC594" s="27" t="s">
        <v>8</v>
      </c>
      <c r="AE594" s="27" t="s">
        <v>8</v>
      </c>
      <c r="AG594" s="27" t="s">
        <v>8</v>
      </c>
      <c r="AH594" s="27" t="s">
        <v>7</v>
      </c>
      <c r="AI594" s="27" t="s">
        <v>8</v>
      </c>
      <c r="AJ594" s="27" t="s">
        <v>7</v>
      </c>
      <c r="AK594" s="27" t="s">
        <v>8</v>
      </c>
      <c r="AL594" s="27" t="s">
        <v>7</v>
      </c>
      <c r="AM594" s="27" t="s">
        <v>8</v>
      </c>
      <c r="AN594" s="27" t="s">
        <v>7</v>
      </c>
      <c r="AO594" s="27" t="s">
        <v>8</v>
      </c>
      <c r="AY594" s="27" t="s">
        <v>8</v>
      </c>
      <c r="AZ594" s="27" t="s">
        <v>7</v>
      </c>
      <c r="BA594" s="27" t="s">
        <v>8</v>
      </c>
      <c r="BB594" s="27" t="s">
        <v>7</v>
      </c>
      <c r="BE594" s="27" t="s">
        <v>8</v>
      </c>
      <c r="BF594" s="27" t="s">
        <v>7</v>
      </c>
      <c r="BG594" s="27" t="s">
        <v>8</v>
      </c>
      <c r="BH594" s="27" t="s">
        <v>7</v>
      </c>
    </row>
    <row r="595" spans="1:87" x14ac:dyDescent="0.25">
      <c r="A595" s="7">
        <v>0.85349037119011173</v>
      </c>
      <c r="B595"/>
      <c r="C595"/>
      <c r="D595"/>
      <c r="E595"/>
      <c r="F595" s="27" t="s">
        <v>7</v>
      </c>
      <c r="G595" s="27" t="s">
        <v>8</v>
      </c>
      <c r="H595" s="27" t="s">
        <v>7</v>
      </c>
      <c r="I595" s="27" t="s">
        <v>8</v>
      </c>
      <c r="J595" s="27" t="s">
        <v>7</v>
      </c>
      <c r="K595" s="27" t="s">
        <v>8</v>
      </c>
      <c r="L595" s="27" t="s">
        <v>7</v>
      </c>
      <c r="W595" s="27" t="s">
        <v>8</v>
      </c>
      <c r="X595" s="27" t="s">
        <v>7</v>
      </c>
      <c r="AA595" s="27" t="s">
        <v>8</v>
      </c>
      <c r="AB595" s="27" t="s">
        <v>7</v>
      </c>
      <c r="AC595" s="27" t="s">
        <v>8</v>
      </c>
      <c r="AD595" s="27" t="s">
        <v>7</v>
      </c>
      <c r="AE595" s="27" t="s">
        <v>8</v>
      </c>
      <c r="AF595" s="27" t="s">
        <v>7</v>
      </c>
      <c r="AG595" s="27" t="s">
        <v>8</v>
      </c>
      <c r="AH595" s="27" t="s">
        <v>7</v>
      </c>
      <c r="AI595" s="27" t="s">
        <v>8</v>
      </c>
      <c r="AJ595" s="27" t="s">
        <v>7</v>
      </c>
      <c r="AK595" s="27" t="s">
        <v>8</v>
      </c>
      <c r="AL595" s="27" t="s">
        <v>7</v>
      </c>
      <c r="AM595" s="27" t="s">
        <v>8</v>
      </c>
      <c r="AN595" s="27" t="s">
        <v>7</v>
      </c>
      <c r="AO595" s="27" t="s">
        <v>8</v>
      </c>
      <c r="AP595" s="27" t="s">
        <v>7</v>
      </c>
      <c r="AY595" s="27" t="s">
        <v>8</v>
      </c>
      <c r="AZ595" s="27" t="s">
        <v>7</v>
      </c>
      <c r="BA595" s="27" t="s">
        <v>8</v>
      </c>
      <c r="BB595" s="27" t="s">
        <v>7</v>
      </c>
      <c r="BE595" s="27" t="s">
        <v>8</v>
      </c>
      <c r="BF595" s="27" t="s">
        <v>7</v>
      </c>
      <c r="BG595" s="27" t="s">
        <v>8</v>
      </c>
      <c r="BH595" s="27" t="s">
        <v>7</v>
      </c>
    </row>
    <row r="596" spans="1:87" x14ac:dyDescent="0.25">
      <c r="A596" s="7">
        <v>0.83675526587265858</v>
      </c>
      <c r="B596"/>
      <c r="C596"/>
      <c r="D596"/>
      <c r="E596"/>
      <c r="F596" s="27" t="s">
        <v>7</v>
      </c>
      <c r="G596" s="27" t="s">
        <v>8</v>
      </c>
      <c r="H596" s="27" t="s">
        <v>7</v>
      </c>
      <c r="I596" s="27" t="s">
        <v>8</v>
      </c>
      <c r="J596" s="27" t="s">
        <v>7</v>
      </c>
      <c r="K596" s="27" t="s">
        <v>8</v>
      </c>
      <c r="L596" s="27" t="s">
        <v>7</v>
      </c>
      <c r="W596" s="27" t="s">
        <v>8</v>
      </c>
      <c r="X596" s="27" t="s">
        <v>7</v>
      </c>
      <c r="Y596" s="27" t="s">
        <v>8</v>
      </c>
      <c r="AA596" s="27" t="s">
        <v>8</v>
      </c>
      <c r="AB596" s="27" t="s">
        <v>7</v>
      </c>
      <c r="AC596" s="27" t="s">
        <v>8</v>
      </c>
      <c r="AD596" s="27" t="s">
        <v>7</v>
      </c>
      <c r="AE596" s="27" t="s">
        <v>8</v>
      </c>
      <c r="AF596" s="27" t="s">
        <v>7</v>
      </c>
      <c r="AG596" s="27" t="s">
        <v>8</v>
      </c>
      <c r="AH596" s="27" t="s">
        <v>7</v>
      </c>
      <c r="AJ596" s="27" t="s">
        <v>7</v>
      </c>
      <c r="AL596" s="27" t="s">
        <v>7</v>
      </c>
      <c r="AM596" s="27" t="s">
        <v>8</v>
      </c>
      <c r="AN596" s="27" t="s">
        <v>7</v>
      </c>
      <c r="AO596" s="27" t="s">
        <v>8</v>
      </c>
      <c r="AP596" s="27" t="s">
        <v>7</v>
      </c>
      <c r="AY596" s="27" t="s">
        <v>8</v>
      </c>
      <c r="AZ596" s="27" t="s">
        <v>7</v>
      </c>
      <c r="BA596" s="27" t="s">
        <v>8</v>
      </c>
      <c r="BB596" s="27" t="s">
        <v>7</v>
      </c>
      <c r="BE596" s="27" t="s">
        <v>8</v>
      </c>
      <c r="BF596" s="27" t="s">
        <v>7</v>
      </c>
      <c r="BG596" s="27" t="s">
        <v>8</v>
      </c>
      <c r="BH596" s="27" t="s">
        <v>7</v>
      </c>
    </row>
    <row r="597" spans="1:87" x14ac:dyDescent="0.25">
      <c r="A597" s="7">
        <v>0.82034829987515545</v>
      </c>
      <c r="B597"/>
      <c r="C597"/>
      <c r="D597"/>
      <c r="E597"/>
      <c r="F597" s="27" t="s">
        <v>7</v>
      </c>
      <c r="G597" s="27" t="s">
        <v>8</v>
      </c>
      <c r="H597" s="27" t="s">
        <v>7</v>
      </c>
      <c r="I597" s="27" t="s">
        <v>8</v>
      </c>
      <c r="J597" s="27" t="s">
        <v>7</v>
      </c>
      <c r="K597" s="27" t="s">
        <v>8</v>
      </c>
      <c r="L597" s="27" t="s">
        <v>7</v>
      </c>
      <c r="Q597" s="27" t="s">
        <v>8</v>
      </c>
      <c r="U597" s="27" t="s">
        <v>8</v>
      </c>
      <c r="W597" s="27" t="s">
        <v>8</v>
      </c>
      <c r="X597" s="27" t="s">
        <v>7</v>
      </c>
      <c r="Y597" s="27" t="s">
        <v>8</v>
      </c>
      <c r="Z597" s="27" t="s">
        <v>7</v>
      </c>
      <c r="AA597" s="27" t="s">
        <v>8</v>
      </c>
      <c r="AB597" s="27" t="s">
        <v>7</v>
      </c>
      <c r="AC597" s="27" t="s">
        <v>8</v>
      </c>
      <c r="AD597" s="27" t="s">
        <v>7</v>
      </c>
      <c r="AE597" s="27" t="s">
        <v>8</v>
      </c>
      <c r="AF597" s="27" t="s">
        <v>7</v>
      </c>
      <c r="AL597" s="27" t="s">
        <v>7</v>
      </c>
      <c r="AM597" s="27" t="s">
        <v>8</v>
      </c>
      <c r="AN597" s="27" t="s">
        <v>7</v>
      </c>
      <c r="AO597" s="27" t="s">
        <v>8</v>
      </c>
      <c r="AP597" s="27" t="s">
        <v>7</v>
      </c>
      <c r="AW597" s="27" t="s">
        <v>8</v>
      </c>
      <c r="AY597" s="27" t="s">
        <v>8</v>
      </c>
      <c r="AZ597" s="27" t="s">
        <v>7</v>
      </c>
      <c r="BA597" s="27" t="s">
        <v>8</v>
      </c>
      <c r="BB597" s="27" t="s">
        <v>7</v>
      </c>
      <c r="BE597" s="27" t="s">
        <v>8</v>
      </c>
      <c r="BF597" s="27" t="s">
        <v>7</v>
      </c>
      <c r="BG597" s="27" t="s">
        <v>8</v>
      </c>
      <c r="BH597" s="27" t="s">
        <v>7</v>
      </c>
      <c r="BI597" s="27" t="s">
        <v>8</v>
      </c>
    </row>
    <row r="598" spans="1:87" x14ac:dyDescent="0.25">
      <c r="A598" s="7">
        <v>0.80426303909328967</v>
      </c>
      <c r="B598"/>
      <c r="C598"/>
      <c r="D598"/>
      <c r="E598"/>
      <c r="F598" s="27" t="s">
        <v>7</v>
      </c>
      <c r="G598" s="27" t="s">
        <v>8</v>
      </c>
      <c r="H598" s="27" t="s">
        <v>7</v>
      </c>
      <c r="J598" s="27" t="s">
        <v>7</v>
      </c>
      <c r="K598" s="27" t="s">
        <v>8</v>
      </c>
      <c r="L598" s="27" t="s">
        <v>7</v>
      </c>
      <c r="Q598" s="27" t="s">
        <v>8</v>
      </c>
      <c r="R598" s="27" t="s">
        <v>7</v>
      </c>
      <c r="S598" s="27" t="s">
        <v>8</v>
      </c>
      <c r="U598" s="27" t="s">
        <v>8</v>
      </c>
      <c r="V598" s="27" t="s">
        <v>7</v>
      </c>
      <c r="W598" s="27" t="s">
        <v>8</v>
      </c>
      <c r="X598" s="27" t="s">
        <v>7</v>
      </c>
      <c r="Y598" s="27" t="s">
        <v>8</v>
      </c>
      <c r="Z598" s="27" t="s">
        <v>7</v>
      </c>
      <c r="AA598" s="27" t="s">
        <v>8</v>
      </c>
      <c r="AB598" s="27" t="s">
        <v>7</v>
      </c>
      <c r="AD598" s="27" t="s">
        <v>7</v>
      </c>
      <c r="AE598" s="27" t="s">
        <v>8</v>
      </c>
      <c r="AL598" s="27" t="s">
        <v>7</v>
      </c>
      <c r="AN598" s="27" t="s">
        <v>7</v>
      </c>
      <c r="AO598" s="27" t="s">
        <v>8</v>
      </c>
      <c r="AP598" s="27" t="s">
        <v>7</v>
      </c>
      <c r="AW598" s="27" t="s">
        <v>8</v>
      </c>
      <c r="AX598" s="27" t="s">
        <v>7</v>
      </c>
      <c r="AY598" s="27" t="s">
        <v>8</v>
      </c>
      <c r="AZ598" s="27" t="s">
        <v>7</v>
      </c>
      <c r="BA598" s="27" t="s">
        <v>8</v>
      </c>
      <c r="BB598" s="27" t="s">
        <v>7</v>
      </c>
      <c r="BE598" s="27" t="s">
        <v>8</v>
      </c>
      <c r="BF598" s="27" t="s">
        <v>7</v>
      </c>
      <c r="BH598" s="27" t="s">
        <v>7</v>
      </c>
      <c r="BI598" s="27" t="s">
        <v>8</v>
      </c>
      <c r="BJ598" s="27" t="s">
        <v>7</v>
      </c>
    </row>
    <row r="599" spans="1:87" x14ac:dyDescent="0.25">
      <c r="A599" s="7">
        <v>0.78849317558165644</v>
      </c>
      <c r="B599"/>
      <c r="C599"/>
      <c r="D599"/>
      <c r="E599"/>
      <c r="F599" s="27" t="s">
        <v>7</v>
      </c>
      <c r="G599" s="27" t="s">
        <v>8</v>
      </c>
      <c r="J599" s="27" t="s">
        <v>7</v>
      </c>
      <c r="K599" s="27" t="s">
        <v>8</v>
      </c>
      <c r="L599" s="27" t="s">
        <v>7</v>
      </c>
      <c r="Q599" s="27" t="s">
        <v>8</v>
      </c>
      <c r="R599" s="27" t="s">
        <v>7</v>
      </c>
      <c r="S599" s="27" t="s">
        <v>8</v>
      </c>
      <c r="T599" s="27" t="s">
        <v>7</v>
      </c>
      <c r="U599" s="27" t="s">
        <v>8</v>
      </c>
      <c r="V599" s="27" t="s">
        <v>7</v>
      </c>
      <c r="W599" s="27" t="s">
        <v>8</v>
      </c>
      <c r="X599" s="27" t="s">
        <v>7</v>
      </c>
      <c r="Y599" s="27" t="s">
        <v>8</v>
      </c>
      <c r="Z599" s="27" t="s">
        <v>7</v>
      </c>
      <c r="AD599" s="27" t="s">
        <v>7</v>
      </c>
      <c r="AE599" s="27" t="s">
        <v>8</v>
      </c>
      <c r="AN599" s="27" t="s">
        <v>7</v>
      </c>
      <c r="AP599" s="27" t="s">
        <v>7</v>
      </c>
      <c r="AW599" s="27" t="s">
        <v>8</v>
      </c>
      <c r="AX599" s="27" t="s">
        <v>7</v>
      </c>
      <c r="AY599" s="27" t="s">
        <v>8</v>
      </c>
      <c r="AZ599" s="27" t="s">
        <v>7</v>
      </c>
      <c r="BA599" s="27" t="s">
        <v>8</v>
      </c>
      <c r="BB599" s="27" t="s">
        <v>7</v>
      </c>
      <c r="BE599" s="27" t="s">
        <v>8</v>
      </c>
      <c r="BH599" s="27" t="s">
        <v>7</v>
      </c>
      <c r="BI599" s="27" t="s">
        <v>8</v>
      </c>
      <c r="BJ599" s="27" t="s">
        <v>7</v>
      </c>
    </row>
    <row r="600" spans="1:87" x14ac:dyDescent="0.25">
      <c r="A600" s="7">
        <v>0.77303252508005538</v>
      </c>
      <c r="B600"/>
      <c r="C600"/>
      <c r="D600"/>
      <c r="E600"/>
      <c r="F600" s="27" t="s">
        <v>7</v>
      </c>
      <c r="G600" s="27" t="s">
        <v>8</v>
      </c>
      <c r="J600" s="27" t="s">
        <v>7</v>
      </c>
      <c r="K600" s="27" t="s">
        <v>8</v>
      </c>
      <c r="L600" s="27" t="s">
        <v>7</v>
      </c>
      <c r="O600" s="27" t="s">
        <v>8</v>
      </c>
      <c r="Q600" s="27" t="s">
        <v>8</v>
      </c>
      <c r="R600" s="27" t="s">
        <v>7</v>
      </c>
      <c r="S600" s="27" t="s">
        <v>8</v>
      </c>
      <c r="T600" s="27" t="s">
        <v>7</v>
      </c>
      <c r="U600" s="27" t="s">
        <v>8</v>
      </c>
      <c r="V600" s="27" t="s">
        <v>7</v>
      </c>
      <c r="X600" s="27" t="s">
        <v>7</v>
      </c>
      <c r="Y600" s="27" t="s">
        <v>8</v>
      </c>
      <c r="AD600" s="27" t="s">
        <v>7</v>
      </c>
      <c r="AP600" s="27" t="s">
        <v>7</v>
      </c>
      <c r="AW600" s="27" t="s">
        <v>8</v>
      </c>
      <c r="AX600" s="27" t="s">
        <v>7</v>
      </c>
      <c r="AY600" s="27" t="s">
        <v>8</v>
      </c>
      <c r="AZ600" s="27" t="s">
        <v>7</v>
      </c>
      <c r="BA600" s="27" t="s">
        <v>8</v>
      </c>
      <c r="BB600" s="27" t="s">
        <v>7</v>
      </c>
      <c r="BC600" s="27" t="s">
        <v>8</v>
      </c>
      <c r="BE600" s="27" t="s">
        <v>8</v>
      </c>
      <c r="BH600" s="27" t="s">
        <v>7</v>
      </c>
      <c r="BI600" s="27" t="s">
        <v>8</v>
      </c>
      <c r="BJ600" s="27" t="s">
        <v>7</v>
      </c>
    </row>
    <row r="601" spans="1:87" x14ac:dyDescent="0.25">
      <c r="A601" s="7">
        <v>0.75787502458828959</v>
      </c>
      <c r="B601"/>
      <c r="C601"/>
      <c r="D601"/>
      <c r="E601"/>
      <c r="F601" s="27" t="s">
        <v>7</v>
      </c>
      <c r="G601" s="27" t="s">
        <v>8</v>
      </c>
      <c r="J601" s="27" t="s">
        <v>7</v>
      </c>
      <c r="K601" s="27" t="s">
        <v>8</v>
      </c>
      <c r="L601" s="27" t="s">
        <v>7</v>
      </c>
      <c r="O601" s="27" t="s">
        <v>8</v>
      </c>
      <c r="P601" s="27" t="s">
        <v>7</v>
      </c>
      <c r="Q601" s="27" t="s">
        <v>8</v>
      </c>
      <c r="R601" s="27" t="s">
        <v>7</v>
      </c>
      <c r="T601" s="27" t="s">
        <v>7</v>
      </c>
      <c r="U601" s="27" t="s">
        <v>8</v>
      </c>
      <c r="X601" s="27" t="s">
        <v>7</v>
      </c>
      <c r="AP601" s="27" t="s">
        <v>7</v>
      </c>
      <c r="AW601" s="27" t="s">
        <v>8</v>
      </c>
      <c r="AX601" s="27" t="s">
        <v>7</v>
      </c>
      <c r="AY601" s="27" t="s">
        <v>8</v>
      </c>
      <c r="AZ601" s="27" t="s">
        <v>7</v>
      </c>
      <c r="BA601" s="27" t="s">
        <v>8</v>
      </c>
      <c r="BB601" s="27" t="s">
        <v>7</v>
      </c>
      <c r="BC601" s="27" t="s">
        <v>8</v>
      </c>
      <c r="BD601" s="27" t="s">
        <v>7</v>
      </c>
      <c r="BE601" s="27" t="s">
        <v>8</v>
      </c>
      <c r="BH601" s="27" t="s">
        <v>7</v>
      </c>
      <c r="BI601" s="27" t="s">
        <v>8</v>
      </c>
      <c r="BJ601" s="27" t="s">
        <v>7</v>
      </c>
      <c r="BK601" s="27" t="s">
        <v>8</v>
      </c>
    </row>
    <row r="602" spans="1:87" x14ac:dyDescent="0.25">
      <c r="A602" s="7">
        <v>0.74301472998851925</v>
      </c>
      <c r="B602"/>
      <c r="C602"/>
      <c r="D602"/>
      <c r="E602"/>
      <c r="F602" s="27" t="s">
        <v>7</v>
      </c>
      <c r="G602" s="27" t="s">
        <v>8</v>
      </c>
      <c r="J602" s="27" t="s">
        <v>7</v>
      </c>
      <c r="K602" s="27" t="s">
        <v>8</v>
      </c>
      <c r="L602" s="27" t="s">
        <v>7</v>
      </c>
      <c r="O602" s="27" t="s">
        <v>8</v>
      </c>
      <c r="P602" s="27" t="s">
        <v>7</v>
      </c>
      <c r="Q602" s="27" t="s">
        <v>8</v>
      </c>
      <c r="T602" s="27" t="s">
        <v>7</v>
      </c>
      <c r="AP602" s="27" t="s">
        <v>7</v>
      </c>
      <c r="AQ602" s="27" t="s">
        <v>8</v>
      </c>
      <c r="AU602" s="27" t="s">
        <v>8</v>
      </c>
      <c r="AW602" s="27" t="s">
        <v>8</v>
      </c>
      <c r="AX602" s="27" t="s">
        <v>7</v>
      </c>
      <c r="AZ602" s="27" t="s">
        <v>7</v>
      </c>
      <c r="BB602" s="27" t="s">
        <v>7</v>
      </c>
      <c r="BC602" s="27" t="s">
        <v>8</v>
      </c>
      <c r="BD602" s="27" t="s">
        <v>7</v>
      </c>
      <c r="BE602" s="27" t="s">
        <v>8</v>
      </c>
      <c r="BH602" s="27" t="s">
        <v>7</v>
      </c>
      <c r="BJ602" s="27" t="s">
        <v>7</v>
      </c>
      <c r="BK602" s="27" t="s">
        <v>8</v>
      </c>
      <c r="BL602" s="27" t="s">
        <v>7</v>
      </c>
      <c r="BM602" s="27" t="s">
        <v>8</v>
      </c>
    </row>
    <row r="603" spans="1:87" x14ac:dyDescent="0.25">
      <c r="A603" s="7">
        <v>0.72844581371423456</v>
      </c>
      <c r="B603"/>
      <c r="C603"/>
      <c r="D603"/>
      <c r="E603"/>
      <c r="F603" s="27" t="s">
        <v>7</v>
      </c>
      <c r="G603" s="27" t="s">
        <v>8</v>
      </c>
      <c r="J603" s="27" t="s">
        <v>7</v>
      </c>
      <c r="L603" s="27" t="s">
        <v>7</v>
      </c>
      <c r="O603" s="27" t="s">
        <v>8</v>
      </c>
      <c r="P603" s="27" t="s">
        <v>7</v>
      </c>
      <c r="Q603" s="27" t="s">
        <v>8</v>
      </c>
      <c r="AP603" s="27" t="s">
        <v>7</v>
      </c>
      <c r="AQ603" s="27" t="s">
        <v>8</v>
      </c>
      <c r="AR603" s="27" t="s">
        <v>7</v>
      </c>
      <c r="AU603" s="27" t="s">
        <v>8</v>
      </c>
      <c r="AV603" s="27" t="s">
        <v>7</v>
      </c>
      <c r="AW603" s="27" t="s">
        <v>8</v>
      </c>
      <c r="BB603" s="27" t="s">
        <v>7</v>
      </c>
      <c r="BD603" s="27" t="s">
        <v>7</v>
      </c>
      <c r="BE603" s="27" t="s">
        <v>8</v>
      </c>
      <c r="BJ603" s="27" t="s">
        <v>7</v>
      </c>
      <c r="BK603" s="27" t="s">
        <v>8</v>
      </c>
      <c r="BL603" s="27" t="s">
        <v>7</v>
      </c>
      <c r="BM603" s="27" t="s">
        <v>8</v>
      </c>
      <c r="BN603" s="27" t="s">
        <v>7</v>
      </c>
      <c r="BQ603" s="27" t="s">
        <v>8</v>
      </c>
      <c r="BS603" s="27" t="s">
        <v>8</v>
      </c>
    </row>
    <row r="604" spans="1:87" x14ac:dyDescent="0.25">
      <c r="A604" s="7">
        <v>0.71416256246493581</v>
      </c>
      <c r="B604"/>
      <c r="C604"/>
      <c r="D604"/>
      <c r="E604"/>
      <c r="F604" s="27" t="s">
        <v>7</v>
      </c>
      <c r="G604" s="27" t="s">
        <v>8</v>
      </c>
      <c r="L604" s="27" t="s">
        <v>7</v>
      </c>
      <c r="M604" s="27" t="s">
        <v>8</v>
      </c>
      <c r="O604" s="27" t="s">
        <v>8</v>
      </c>
      <c r="P604" s="27" t="s">
        <v>7</v>
      </c>
      <c r="Q604" s="27" t="s">
        <v>8</v>
      </c>
      <c r="AP604" s="27" t="s">
        <v>7</v>
      </c>
      <c r="AQ604" s="27" t="s">
        <v>8</v>
      </c>
      <c r="AR604" s="27" t="s">
        <v>7</v>
      </c>
      <c r="AU604" s="27" t="s">
        <v>8</v>
      </c>
      <c r="AV604" s="27" t="s">
        <v>7</v>
      </c>
      <c r="AW604" s="27" t="s">
        <v>8</v>
      </c>
      <c r="BD604" s="27" t="s">
        <v>7</v>
      </c>
      <c r="BE604" s="27" t="s">
        <v>8</v>
      </c>
      <c r="BJ604" s="27" t="s">
        <v>7</v>
      </c>
      <c r="BL604" s="27" t="s">
        <v>7</v>
      </c>
      <c r="BM604" s="27" t="s">
        <v>8</v>
      </c>
      <c r="BN604" s="27" t="s">
        <v>7</v>
      </c>
      <c r="BO604" s="27" t="s">
        <v>8</v>
      </c>
      <c r="BQ604" s="27" t="s">
        <v>8</v>
      </c>
      <c r="BR604" s="27" t="s">
        <v>7</v>
      </c>
      <c r="BS604" s="27" t="s">
        <v>8</v>
      </c>
      <c r="BT604" s="27" t="s">
        <v>7</v>
      </c>
    </row>
    <row r="605" spans="1:87" x14ac:dyDescent="0.25">
      <c r="A605" s="7">
        <v>0.7001593749656233</v>
      </c>
      <c r="B605"/>
      <c r="C605"/>
      <c r="D605"/>
      <c r="E605"/>
      <c r="F605" s="27" t="s">
        <v>7</v>
      </c>
      <c r="G605" s="27" t="s">
        <v>8</v>
      </c>
      <c r="L605" s="18" t="s">
        <v>7</v>
      </c>
      <c r="M605" s="27" t="s">
        <v>8</v>
      </c>
      <c r="N605" s="27" t="s">
        <v>7</v>
      </c>
      <c r="O605" s="27" t="s">
        <v>8</v>
      </c>
      <c r="P605" s="27" t="s">
        <v>7</v>
      </c>
      <c r="AP605" s="27" t="s">
        <v>7</v>
      </c>
      <c r="AR605" s="27" t="s">
        <v>7</v>
      </c>
      <c r="AU605" s="27" t="s">
        <v>8</v>
      </c>
      <c r="AV605" s="27" t="s">
        <v>7</v>
      </c>
      <c r="AW605" s="27" t="s">
        <v>8</v>
      </c>
      <c r="BD605" s="27" t="s">
        <v>7</v>
      </c>
      <c r="BE605" s="27" t="s">
        <v>8</v>
      </c>
      <c r="BL605" s="27" t="s">
        <v>7</v>
      </c>
      <c r="BM605" s="27" t="s">
        <v>8</v>
      </c>
      <c r="BN605" s="27" t="s">
        <v>7</v>
      </c>
      <c r="BO605" s="27" t="s">
        <v>8</v>
      </c>
      <c r="BP605" s="27" t="s">
        <v>7</v>
      </c>
      <c r="BQ605" s="27" t="s">
        <v>8</v>
      </c>
      <c r="BR605" s="27" t="s">
        <v>7</v>
      </c>
      <c r="BS605" s="27" t="s">
        <v>8</v>
      </c>
      <c r="BT605" s="27" t="s">
        <v>7</v>
      </c>
    </row>
    <row r="606" spans="1:87" x14ac:dyDescent="0.25">
      <c r="A606" s="7">
        <v>0.68643075977021883</v>
      </c>
      <c r="B606"/>
      <c r="C606"/>
      <c r="D606"/>
      <c r="E606"/>
      <c r="F606" s="27" t="s">
        <v>7</v>
      </c>
      <c r="G606" s="27" t="s">
        <v>8</v>
      </c>
      <c r="L606" s="27" t="s">
        <v>7</v>
      </c>
      <c r="M606" s="27" t="s">
        <v>8</v>
      </c>
      <c r="N606" s="27" t="s">
        <v>7</v>
      </c>
      <c r="O606" s="27" t="s">
        <v>8</v>
      </c>
      <c r="AR606" s="27" t="s">
        <v>7</v>
      </c>
      <c r="AS606" s="27" t="s">
        <v>8</v>
      </c>
      <c r="AU606" s="27" t="s">
        <v>8</v>
      </c>
      <c r="AV606" s="27" t="s">
        <v>7</v>
      </c>
      <c r="BD606" s="27" t="s">
        <v>7</v>
      </c>
      <c r="BL606" s="27" t="s">
        <v>7</v>
      </c>
      <c r="BM606" s="27" t="s">
        <v>8</v>
      </c>
      <c r="BN606" s="27" t="s">
        <v>7</v>
      </c>
      <c r="BO606" s="27" t="s">
        <v>8</v>
      </c>
      <c r="BP606" s="27" t="s">
        <v>7</v>
      </c>
      <c r="BQ606" s="27" t="s">
        <v>8</v>
      </c>
      <c r="BR606" s="27" t="s">
        <v>7</v>
      </c>
      <c r="BS606" s="27" t="s">
        <v>8</v>
      </c>
      <c r="BT606" s="27" t="s">
        <v>7</v>
      </c>
    </row>
    <row r="607" spans="1:87" x14ac:dyDescent="0.25">
      <c r="A607" s="7">
        <v>0.67297133310805768</v>
      </c>
      <c r="B607"/>
      <c r="C607"/>
      <c r="D607"/>
      <c r="E607"/>
      <c r="F607" s="27" t="s">
        <v>7</v>
      </c>
      <c r="G607" s="27" t="s">
        <v>8</v>
      </c>
      <c r="L607" s="27" t="s">
        <v>7</v>
      </c>
      <c r="M607" s="27" t="s">
        <v>8</v>
      </c>
      <c r="N607" s="27" t="s">
        <v>7</v>
      </c>
      <c r="O607" s="27" t="s">
        <v>8</v>
      </c>
      <c r="AR607" s="27" t="s">
        <v>7</v>
      </c>
      <c r="AS607" s="27" t="s">
        <v>8</v>
      </c>
      <c r="AT607" s="27" t="s">
        <v>7</v>
      </c>
      <c r="AU607" s="27" t="s">
        <v>8</v>
      </c>
      <c r="BL607" s="27" t="s">
        <v>7</v>
      </c>
      <c r="BM607" s="27" t="s">
        <v>8</v>
      </c>
      <c r="BN607" s="27" t="s">
        <v>7</v>
      </c>
      <c r="BO607" s="27" t="s">
        <v>8</v>
      </c>
      <c r="BP607" s="27" t="s">
        <v>7</v>
      </c>
      <c r="BQ607" s="27" t="s">
        <v>8</v>
      </c>
      <c r="BR607" s="27" t="s">
        <v>7</v>
      </c>
      <c r="BS607" s="27" t="s">
        <v>8</v>
      </c>
      <c r="BT607" s="27" t="s">
        <v>7</v>
      </c>
    </row>
    <row r="608" spans="1:87" x14ac:dyDescent="0.25">
      <c r="A608" s="7">
        <v>0.65977581677260566</v>
      </c>
      <c r="B608"/>
      <c r="C608"/>
      <c r="D608"/>
      <c r="E608"/>
      <c r="F608" s="27" t="s">
        <v>7</v>
      </c>
      <c r="G608" s="27" t="s">
        <v>8</v>
      </c>
      <c r="L608" s="27" t="s">
        <v>7</v>
      </c>
      <c r="M608" s="27" t="s">
        <v>8</v>
      </c>
      <c r="N608" s="27" t="s">
        <v>7</v>
      </c>
      <c r="O608" s="27" t="s">
        <v>8</v>
      </c>
      <c r="AR608" s="27" t="s">
        <v>7</v>
      </c>
      <c r="AS608" s="27" t="s">
        <v>8</v>
      </c>
      <c r="AT608" s="27" t="s">
        <v>7</v>
      </c>
      <c r="AU608" s="27" t="s">
        <v>8</v>
      </c>
      <c r="BL608" s="27" t="s">
        <v>7</v>
      </c>
      <c r="BN608" s="27" t="s">
        <v>7</v>
      </c>
      <c r="BO608" s="27" t="s">
        <v>8</v>
      </c>
      <c r="BP608" s="27" t="s">
        <v>7</v>
      </c>
      <c r="BR608" s="27" t="s">
        <v>7</v>
      </c>
      <c r="BS608" s="27" t="s">
        <v>8</v>
      </c>
      <c r="BT608" s="27" t="s">
        <v>7</v>
      </c>
      <c r="BU608" s="27" t="s">
        <v>8</v>
      </c>
      <c r="CI608" s="27" t="s">
        <v>8</v>
      </c>
    </row>
    <row r="609" spans="1:88" x14ac:dyDescent="0.25">
      <c r="A609" s="7">
        <v>0.64683903605157422</v>
      </c>
      <c r="B609"/>
      <c r="C609"/>
      <c r="D609"/>
      <c r="E609"/>
      <c r="F609" s="27" t="s">
        <v>7</v>
      </c>
      <c r="G609" s="27" t="s">
        <v>8</v>
      </c>
      <c r="L609" s="27" t="s">
        <v>7</v>
      </c>
      <c r="M609" s="27" t="s">
        <v>8</v>
      </c>
      <c r="N609" s="27" t="s">
        <v>7</v>
      </c>
      <c r="AR609" s="27" t="s">
        <v>7</v>
      </c>
      <c r="AS609" s="27" t="s">
        <v>8</v>
      </c>
      <c r="AT609" s="27" t="s">
        <v>7</v>
      </c>
      <c r="AU609" s="27" t="s">
        <v>8</v>
      </c>
      <c r="BN609" s="27" t="s">
        <v>7</v>
      </c>
      <c r="BO609" s="27" t="s">
        <v>8</v>
      </c>
      <c r="BR609" s="27" t="s">
        <v>7</v>
      </c>
      <c r="BS609" s="27" t="s">
        <v>8</v>
      </c>
      <c r="BT609" s="27" t="s">
        <v>7</v>
      </c>
      <c r="BU609" s="27" t="s">
        <v>8</v>
      </c>
      <c r="BV609" s="27" t="s">
        <v>7</v>
      </c>
      <c r="CI609" s="27" t="s">
        <v>8</v>
      </c>
      <c r="CJ609" s="27" t="s">
        <v>7</v>
      </c>
    </row>
    <row r="610" spans="1:88" x14ac:dyDescent="0.25">
      <c r="A610" s="7">
        <v>0.63415591769762181</v>
      </c>
      <c r="B610"/>
      <c r="C610"/>
      <c r="D610"/>
      <c r="E610"/>
      <c r="F610" s="27" t="s">
        <v>7</v>
      </c>
      <c r="G610" s="27" t="s">
        <v>8</v>
      </c>
      <c r="L610" s="27" t="s">
        <v>7</v>
      </c>
      <c r="M610" s="27" t="s">
        <v>8</v>
      </c>
      <c r="AR610" s="27" t="s">
        <v>7</v>
      </c>
      <c r="AS610" s="27" t="s">
        <v>8</v>
      </c>
      <c r="AT610" s="27" t="s">
        <v>7</v>
      </c>
      <c r="AU610" s="27" t="s">
        <v>8</v>
      </c>
      <c r="BN610" s="27" t="s">
        <v>7</v>
      </c>
      <c r="BO610" s="27" t="s">
        <v>8</v>
      </c>
      <c r="BR610" s="27" t="s">
        <v>7</v>
      </c>
      <c r="BS610" s="27" t="s">
        <v>8</v>
      </c>
      <c r="BT610" s="27" t="s">
        <v>7</v>
      </c>
      <c r="BU610" s="27" t="s">
        <v>8</v>
      </c>
      <c r="BV610" s="27" t="s">
        <v>7</v>
      </c>
      <c r="CI610" s="27" t="s">
        <v>8</v>
      </c>
      <c r="CJ610" s="27" t="s">
        <v>7</v>
      </c>
    </row>
    <row r="611" spans="1:88" x14ac:dyDescent="0.25">
      <c r="A611" s="7">
        <v>0.62172148793884496</v>
      </c>
      <c r="B611"/>
      <c r="C611"/>
      <c r="D611"/>
      <c r="E611"/>
      <c r="F611" s="27" t="s">
        <v>7</v>
      </c>
      <c r="L611" s="27" t="s">
        <v>7</v>
      </c>
      <c r="AR611" s="27" t="s">
        <v>7</v>
      </c>
      <c r="AS611" s="27" t="s">
        <v>8</v>
      </c>
      <c r="AT611" s="27" t="s">
        <v>7</v>
      </c>
      <c r="AU611" s="27" t="s">
        <v>8</v>
      </c>
      <c r="BN611" s="27" t="s">
        <v>7</v>
      </c>
      <c r="BR611" s="27" t="s">
        <v>7</v>
      </c>
      <c r="BT611" s="27" t="s">
        <v>7</v>
      </c>
      <c r="BU611" s="27" t="s">
        <v>8</v>
      </c>
      <c r="BV611" s="27" t="s">
        <v>7</v>
      </c>
      <c r="CI611" s="27" t="s">
        <v>8</v>
      </c>
      <c r="CJ611" s="27" t="s">
        <v>7</v>
      </c>
    </row>
    <row r="612" spans="1:88" x14ac:dyDescent="0.25">
      <c r="A612" s="7">
        <v>0.60953087052827937</v>
      </c>
      <c r="B612"/>
      <c r="C612"/>
      <c r="D612"/>
      <c r="E612"/>
      <c r="AR612" s="27" t="s">
        <v>7</v>
      </c>
      <c r="AT612" s="27" t="s">
        <v>7</v>
      </c>
      <c r="BT612" s="27" t="s">
        <v>7</v>
      </c>
      <c r="BU612" s="27" t="s">
        <v>8</v>
      </c>
      <c r="BV612" s="27" t="s">
        <v>7</v>
      </c>
      <c r="CI612" s="27" t="s">
        <v>8</v>
      </c>
      <c r="CJ612" s="27" t="s">
        <v>7</v>
      </c>
    </row>
    <row r="613" spans="1:88" x14ac:dyDescent="0.25">
      <c r="A613" s="7">
        <v>0.59757928483164646</v>
      </c>
      <c r="B613"/>
      <c r="C613"/>
      <c r="D613"/>
      <c r="E613"/>
      <c r="BT613" s="27" t="s">
        <v>7</v>
      </c>
      <c r="BU613" s="27" t="s">
        <v>8</v>
      </c>
      <c r="BV613" s="27" t="s">
        <v>7</v>
      </c>
      <c r="CI613" s="27" t="s">
        <v>8</v>
      </c>
      <c r="CJ613" s="27" t="s">
        <v>7</v>
      </c>
    </row>
    <row r="614" spans="1:88" x14ac:dyDescent="0.25">
      <c r="A614" s="7">
        <v>0.58586204395259456</v>
      </c>
      <c r="B614"/>
      <c r="C614"/>
      <c r="D614"/>
      <c r="E614"/>
      <c r="BT614" s="27" t="s">
        <v>7</v>
      </c>
      <c r="BV614" s="27" t="s">
        <v>7</v>
      </c>
      <c r="BY614" s="27" t="s">
        <v>8</v>
      </c>
      <c r="CI614" s="27" t="s">
        <v>8</v>
      </c>
      <c r="CJ614" s="27" t="s">
        <v>7</v>
      </c>
    </row>
    <row r="615" spans="1:88" x14ac:dyDescent="0.25">
      <c r="A615" s="7">
        <v>0.57437455289470052</v>
      </c>
      <c r="B615"/>
      <c r="C615"/>
      <c r="D615"/>
      <c r="E615"/>
      <c r="BV615" s="27" t="s">
        <v>7</v>
      </c>
      <c r="BY615" s="27" t="s">
        <v>8</v>
      </c>
      <c r="BZ615" s="27" t="s">
        <v>7</v>
      </c>
      <c r="CI615" s="27" t="s">
        <v>8</v>
      </c>
      <c r="CJ615" s="27" t="s">
        <v>7</v>
      </c>
    </row>
    <row r="616" spans="1:88" x14ac:dyDescent="0.25">
      <c r="A616" s="7">
        <v>0.56311230675951029</v>
      </c>
      <c r="B616"/>
      <c r="C616"/>
      <c r="D616"/>
      <c r="E616"/>
      <c r="BV616" s="27" t="s">
        <v>7</v>
      </c>
      <c r="BY616" s="27" t="s">
        <v>8</v>
      </c>
      <c r="BZ616" s="27" t="s">
        <v>7</v>
      </c>
      <c r="CI616" s="27" t="s">
        <v>8</v>
      </c>
      <c r="CJ616" s="27" t="s">
        <v>7</v>
      </c>
    </row>
    <row r="617" spans="1:88" x14ac:dyDescent="0.25">
      <c r="A617" s="7">
        <v>0.55207088897991208</v>
      </c>
      <c r="B617"/>
      <c r="C617"/>
      <c r="D617"/>
      <c r="E617"/>
      <c r="BV617" s="27" t="s">
        <v>7</v>
      </c>
      <c r="BY617" s="27" t="s">
        <v>8</v>
      </c>
      <c r="BZ617" s="27" t="s">
        <v>7</v>
      </c>
      <c r="CI617" s="27" t="s">
        <v>8</v>
      </c>
      <c r="CJ617" s="27" t="s">
        <v>7</v>
      </c>
    </row>
    <row r="618" spans="1:88" x14ac:dyDescent="0.25">
      <c r="A618" s="7">
        <v>0.54124596958814908</v>
      </c>
      <c r="B618"/>
      <c r="C618"/>
      <c r="D618"/>
      <c r="E618"/>
      <c r="BV618" s="27" t="s">
        <v>7</v>
      </c>
      <c r="BY618" s="27" t="s">
        <v>8</v>
      </c>
      <c r="BZ618" s="27" t="s">
        <v>7</v>
      </c>
      <c r="CI618" s="27" t="s">
        <v>8</v>
      </c>
      <c r="CJ618" s="27" t="s">
        <v>7</v>
      </c>
    </row>
    <row r="619" spans="1:88" x14ac:dyDescent="0.25">
      <c r="A619" s="7">
        <v>0.53063330351779314</v>
      </c>
      <c r="B619"/>
      <c r="C619"/>
      <c r="D619"/>
      <c r="E619"/>
      <c r="BV619" s="27" t="s">
        <v>7</v>
      </c>
      <c r="BY619" s="27" t="s">
        <v>8</v>
      </c>
      <c r="BZ619" s="27" t="s">
        <v>7</v>
      </c>
      <c r="CI619" s="27" t="s">
        <v>8</v>
      </c>
      <c r="CJ619" s="27" t="s">
        <v>7</v>
      </c>
    </row>
    <row r="620" spans="1:88" x14ac:dyDescent="0.25">
      <c r="A620" s="7">
        <v>0.52022872893901284</v>
      </c>
      <c r="B620"/>
      <c r="C620"/>
      <c r="D620"/>
      <c r="E620"/>
      <c r="BV620" s="27" t="s">
        <v>7</v>
      </c>
      <c r="BY620" s="27" t="s">
        <v>8</v>
      </c>
      <c r="BZ620" s="27" t="s">
        <v>7</v>
      </c>
      <c r="CI620" s="27" t="s">
        <v>8</v>
      </c>
      <c r="CJ620" s="27" t="s">
        <v>7</v>
      </c>
    </row>
    <row r="621" spans="1:88" x14ac:dyDescent="0.25">
      <c r="A621" s="7">
        <v>0.51002816562648323</v>
      </c>
      <c r="B621"/>
      <c r="C621"/>
      <c r="D621"/>
      <c r="E621"/>
      <c r="BV621" s="27" t="s">
        <v>7</v>
      </c>
      <c r="BY621" s="27" t="s">
        <v>8</v>
      </c>
      <c r="BZ621" s="27" t="s">
        <v>7</v>
      </c>
      <c r="CI621" s="27" t="s">
        <v>8</v>
      </c>
      <c r="CJ621" s="27" t="s">
        <v>7</v>
      </c>
    </row>
    <row r="622" spans="1:88" x14ac:dyDescent="0.25">
      <c r="A622" s="7">
        <v>0.50002761335929735</v>
      </c>
      <c r="B622"/>
      <c r="C622"/>
      <c r="D622"/>
      <c r="E622"/>
      <c r="BV622" s="27" t="s">
        <v>7</v>
      </c>
      <c r="BY622" s="27" t="s">
        <v>8</v>
      </c>
      <c r="BZ622" s="27" t="s">
        <v>7</v>
      </c>
      <c r="CI622" s="27" t="s">
        <v>8</v>
      </c>
      <c r="CJ622" s="27" t="s">
        <v>7</v>
      </c>
    </row>
    <row r="623" spans="1:88" x14ac:dyDescent="0.25">
      <c r="A623" s="7">
        <v>0.49022315035225228</v>
      </c>
      <c r="B623"/>
      <c r="C623"/>
      <c r="D623"/>
      <c r="E623"/>
      <c r="BV623" s="27" t="s">
        <v>7</v>
      </c>
      <c r="BY623" s="27" t="s">
        <v>8</v>
      </c>
      <c r="BZ623" s="27" t="s">
        <v>7</v>
      </c>
      <c r="CI623" s="27" t="s">
        <v>8</v>
      </c>
      <c r="CJ623" s="27" t="s">
        <v>7</v>
      </c>
    </row>
    <row r="624" spans="1:88" x14ac:dyDescent="0.25">
      <c r="A624" s="7">
        <v>0.48061093171789437</v>
      </c>
      <c r="B624"/>
      <c r="C624"/>
      <c r="D624"/>
      <c r="E624"/>
      <c r="BV624" s="27" t="s">
        <v>7</v>
      </c>
      <c r="BY624" s="27" t="s">
        <v>8</v>
      </c>
      <c r="BZ624" s="27" t="s">
        <v>7</v>
      </c>
      <c r="CI624" s="27" t="s">
        <v>8</v>
      </c>
      <c r="CJ624" s="27" t="s">
        <v>7</v>
      </c>
    </row>
    <row r="625" spans="1:98" x14ac:dyDescent="0.25">
      <c r="A625" s="7">
        <v>0.47118718795871994</v>
      </c>
      <c r="B625"/>
      <c r="C625"/>
      <c r="D625"/>
      <c r="E625"/>
      <c r="BV625" s="27" t="s">
        <v>7</v>
      </c>
      <c r="BW625" s="27" t="s">
        <v>8</v>
      </c>
      <c r="BY625" s="27" t="s">
        <v>8</v>
      </c>
      <c r="BZ625" s="27" t="s">
        <v>7</v>
      </c>
      <c r="CI625" s="27" t="s">
        <v>8</v>
      </c>
      <c r="CJ625" s="27" t="s">
        <v>7</v>
      </c>
      <c r="CK625" s="27" t="s">
        <v>8</v>
      </c>
    </row>
    <row r="626" spans="1:98" x14ac:dyDescent="0.25">
      <c r="A626" s="7">
        <v>0.46194822348894116</v>
      </c>
      <c r="B626"/>
      <c r="C626"/>
      <c r="D626"/>
      <c r="E626"/>
      <c r="BV626" s="27" t="s">
        <v>7</v>
      </c>
      <c r="BW626" s="27" t="s">
        <v>8</v>
      </c>
      <c r="BX626" s="27" t="s">
        <v>7</v>
      </c>
      <c r="BY626" s="27" t="s">
        <v>8</v>
      </c>
      <c r="BZ626" s="27" t="s">
        <v>7</v>
      </c>
      <c r="CI626" s="27" t="s">
        <v>8</v>
      </c>
      <c r="CJ626" s="27" t="s">
        <v>7</v>
      </c>
      <c r="CK626" s="27" t="s">
        <v>8</v>
      </c>
      <c r="CL626" s="27" t="s">
        <v>7</v>
      </c>
    </row>
    <row r="627" spans="1:98" x14ac:dyDescent="0.25">
      <c r="A627" s="7">
        <v>0.45289041518523643</v>
      </c>
      <c r="B627"/>
      <c r="C627"/>
      <c r="D627"/>
      <c r="E627"/>
      <c r="BV627" s="27" t="s">
        <v>7</v>
      </c>
      <c r="BW627" s="27" t="s">
        <v>8</v>
      </c>
      <c r="BX627" s="27" t="s">
        <v>7</v>
      </c>
      <c r="BY627" s="27" t="s">
        <v>8</v>
      </c>
      <c r="BZ627" s="27" t="s">
        <v>7</v>
      </c>
      <c r="CI627" s="27" t="s">
        <v>8</v>
      </c>
      <c r="CJ627" s="27" t="s">
        <v>7</v>
      </c>
      <c r="CK627" s="27" t="s">
        <v>8</v>
      </c>
      <c r="CL627" s="27" t="s">
        <v>7</v>
      </c>
    </row>
    <row r="628" spans="1:98" x14ac:dyDescent="0.25">
      <c r="A628" s="7">
        <v>0.44401021096591808</v>
      </c>
      <c r="B628"/>
      <c r="C628"/>
      <c r="D628"/>
      <c r="E628"/>
      <c r="BV628" s="27" t="s">
        <v>7</v>
      </c>
      <c r="BW628" s="27" t="s">
        <v>8</v>
      </c>
      <c r="BX628" s="27" t="s">
        <v>7</v>
      </c>
      <c r="BY628" s="27" t="s">
        <v>8</v>
      </c>
      <c r="BZ628" s="27" t="s">
        <v>7</v>
      </c>
      <c r="CI628" s="27" t="s">
        <v>8</v>
      </c>
      <c r="CJ628" s="27" t="s">
        <v>7</v>
      </c>
      <c r="CK628" s="27" t="s">
        <v>8</v>
      </c>
      <c r="CL628" s="27" t="s">
        <v>7</v>
      </c>
    </row>
    <row r="629" spans="1:98" x14ac:dyDescent="0.25">
      <c r="A629" s="7">
        <v>0.4353041283979589</v>
      </c>
      <c r="B629"/>
      <c r="C629"/>
      <c r="D629"/>
      <c r="E629"/>
      <c r="BV629" s="27" t="s">
        <v>7</v>
      </c>
      <c r="BW629" s="27" t="s">
        <v>8</v>
      </c>
      <c r="BX629" s="27" t="s">
        <v>7</v>
      </c>
      <c r="BY629" s="27" t="s">
        <v>8</v>
      </c>
      <c r="BZ629" s="27" t="s">
        <v>7</v>
      </c>
      <c r="CA629" s="27" t="s">
        <v>8</v>
      </c>
      <c r="CI629" s="27" t="s">
        <v>8</v>
      </c>
      <c r="CJ629" s="27" t="s">
        <v>7</v>
      </c>
      <c r="CK629" s="27" t="s">
        <v>8</v>
      </c>
      <c r="CL629" s="27" t="s">
        <v>7</v>
      </c>
    </row>
    <row r="630" spans="1:98" x14ac:dyDescent="0.25">
      <c r="A630" s="7">
        <v>0.4267687533313323</v>
      </c>
      <c r="B630"/>
      <c r="C630"/>
      <c r="D630"/>
      <c r="E630"/>
      <c r="BV630" s="27" t="s">
        <v>7</v>
      </c>
      <c r="BW630" s="27" t="s">
        <v>8</v>
      </c>
      <c r="BX630" s="27" t="s">
        <v>7</v>
      </c>
      <c r="BY630" s="27" t="s">
        <v>8</v>
      </c>
      <c r="BZ630" s="27" t="s">
        <v>7</v>
      </c>
      <c r="CA630" s="27" t="s">
        <v>8</v>
      </c>
      <c r="CB630" s="27" t="s">
        <v>7</v>
      </c>
      <c r="CE630" s="27" t="s">
        <v>8</v>
      </c>
      <c r="CI630" s="27" t="s">
        <v>8</v>
      </c>
      <c r="CJ630" s="27" t="s">
        <v>7</v>
      </c>
      <c r="CK630" s="27" t="s">
        <v>8</v>
      </c>
      <c r="CL630" s="27" t="s">
        <v>7</v>
      </c>
    </row>
    <row r="631" spans="1:98" x14ac:dyDescent="0.25">
      <c r="A631" s="7">
        <v>0.41840073856012971</v>
      </c>
      <c r="B631"/>
      <c r="C631"/>
      <c r="D631"/>
      <c r="E631"/>
      <c r="BV631" s="27" t="s">
        <v>7</v>
      </c>
      <c r="BW631" s="27" t="s">
        <v>8</v>
      </c>
      <c r="BX631" s="27" t="s">
        <v>7</v>
      </c>
      <c r="BY631" s="27" t="s">
        <v>8</v>
      </c>
      <c r="BZ631" s="27" t="s">
        <v>7</v>
      </c>
      <c r="CA631" s="27" t="s">
        <v>8</v>
      </c>
      <c r="CB631" s="27" t="s">
        <v>7</v>
      </c>
      <c r="CE631" s="27" t="s">
        <v>8</v>
      </c>
      <c r="CF631" s="27" t="s">
        <v>7</v>
      </c>
      <c r="CI631" s="27" t="s">
        <v>8</v>
      </c>
      <c r="CJ631" s="27" t="s">
        <v>7</v>
      </c>
      <c r="CK631" s="27" t="s">
        <v>8</v>
      </c>
      <c r="CL631" s="27" t="s">
        <v>7</v>
      </c>
    </row>
    <row r="632" spans="1:98" x14ac:dyDescent="0.25">
      <c r="A632" s="7">
        <v>0.41019680250993112</v>
      </c>
      <c r="B632"/>
      <c r="C632"/>
      <c r="D632"/>
      <c r="E632"/>
      <c r="BV632" s="27" t="s">
        <v>7</v>
      </c>
      <c r="BW632" s="27" t="s">
        <v>8</v>
      </c>
      <c r="BX632" s="27" t="s">
        <v>7</v>
      </c>
      <c r="BY632" s="27" t="s">
        <v>8</v>
      </c>
      <c r="BZ632" s="27" t="s">
        <v>7</v>
      </c>
      <c r="CB632" s="27" t="s">
        <v>7</v>
      </c>
      <c r="CE632" s="27" t="s">
        <v>8</v>
      </c>
      <c r="CF632" s="27" t="s">
        <v>7</v>
      </c>
      <c r="CI632" s="27" t="s">
        <v>8</v>
      </c>
      <c r="CJ632" s="27" t="s">
        <v>7</v>
      </c>
      <c r="CK632" s="27" t="s">
        <v>8</v>
      </c>
      <c r="CL632" s="27" t="s">
        <v>7</v>
      </c>
      <c r="CM632" s="27" t="s">
        <v>8</v>
      </c>
    </row>
    <row r="633" spans="1:98" x14ac:dyDescent="0.25">
      <c r="A633" s="7">
        <v>0.40215372795091286</v>
      </c>
      <c r="B633"/>
      <c r="C633"/>
      <c r="D633"/>
      <c r="E633"/>
      <c r="BV633" s="27" t="s">
        <v>7</v>
      </c>
      <c r="BX633" s="27" t="s">
        <v>7</v>
      </c>
      <c r="BY633" s="27" t="s">
        <v>8</v>
      </c>
      <c r="CB633" s="27" t="s">
        <v>7</v>
      </c>
      <c r="CE633" s="27" t="s">
        <v>8</v>
      </c>
      <c r="CF633" s="27" t="s">
        <v>7</v>
      </c>
      <c r="CI633" s="27" t="s">
        <v>8</v>
      </c>
      <c r="CJ633" s="27" t="s">
        <v>7</v>
      </c>
      <c r="CL633" s="27" t="s">
        <v>7</v>
      </c>
      <c r="CM633" s="27" t="s">
        <v>8</v>
      </c>
      <c r="CN633" s="27" t="s">
        <v>7</v>
      </c>
    </row>
    <row r="634" spans="1:98" x14ac:dyDescent="0.25">
      <c r="A634" s="7">
        <v>0.39426836073618904</v>
      </c>
      <c r="B634"/>
      <c r="C634"/>
      <c r="D634"/>
      <c r="E634"/>
      <c r="BX634" s="27" t="s">
        <v>7</v>
      </c>
      <c r="CB634" s="27" t="s">
        <v>7</v>
      </c>
      <c r="CE634" s="27" t="s">
        <v>8</v>
      </c>
      <c r="CF634" s="27" t="s">
        <v>7</v>
      </c>
      <c r="CI634" s="27" t="s">
        <v>8</v>
      </c>
      <c r="CL634" s="27" t="s">
        <v>7</v>
      </c>
      <c r="CM634" s="27" t="s">
        <v>8</v>
      </c>
      <c r="CN634" s="27" t="s">
        <v>7</v>
      </c>
      <c r="CO634" s="27" t="s">
        <v>8</v>
      </c>
    </row>
    <row r="635" spans="1:98" x14ac:dyDescent="0.25">
      <c r="A635" s="7">
        <v>0.38653760856489122</v>
      </c>
      <c r="B635"/>
      <c r="C635"/>
      <c r="D635"/>
      <c r="E635"/>
      <c r="CB635" s="27" t="s">
        <v>7</v>
      </c>
      <c r="CE635" s="27" t="s">
        <v>8</v>
      </c>
      <c r="CF635" s="27" t="s">
        <v>7</v>
      </c>
      <c r="CI635" s="27" t="s">
        <v>8</v>
      </c>
      <c r="CL635" s="27" t="s">
        <v>7</v>
      </c>
      <c r="CM635" s="27" t="s">
        <v>8</v>
      </c>
      <c r="CN635" s="27" t="s">
        <v>7</v>
      </c>
      <c r="CO635" s="27" t="s">
        <v>8</v>
      </c>
      <c r="CP635" s="27" t="s">
        <v>7</v>
      </c>
      <c r="CQ635" s="27" t="s">
        <v>8</v>
      </c>
    </row>
    <row r="636" spans="1:98" x14ac:dyDescent="0.25">
      <c r="A636" s="7">
        <v>0.37895843976950117</v>
      </c>
      <c r="B636"/>
      <c r="C636"/>
      <c r="D636"/>
      <c r="E636"/>
      <c r="CB636" s="27" t="s">
        <v>7</v>
      </c>
      <c r="CE636" s="27" t="s">
        <v>8</v>
      </c>
      <c r="CF636" s="27" t="s">
        <v>7</v>
      </c>
      <c r="CI636" s="27" t="s">
        <v>8</v>
      </c>
      <c r="CL636" s="27" t="s">
        <v>7</v>
      </c>
      <c r="CM636" s="27" t="s">
        <v>8</v>
      </c>
      <c r="CN636" s="27" t="s">
        <v>7</v>
      </c>
      <c r="CO636" s="27" t="s">
        <v>8</v>
      </c>
      <c r="CP636" s="27" t="s">
        <v>7</v>
      </c>
      <c r="CQ636" s="27" t="s">
        <v>8</v>
      </c>
      <c r="CR636" s="27" t="s">
        <v>7</v>
      </c>
    </row>
    <row r="637" spans="1:98" x14ac:dyDescent="0.25">
      <c r="A637" s="7">
        <v>0.37152788212696197</v>
      </c>
      <c r="B637"/>
      <c r="C637"/>
      <c r="D637"/>
      <c r="E637"/>
      <c r="CB637" s="27" t="s">
        <v>7</v>
      </c>
      <c r="CC637" s="27" t="s">
        <v>8</v>
      </c>
      <c r="CE637" s="27" t="s">
        <v>8</v>
      </c>
      <c r="CF637" s="27" t="s">
        <v>7</v>
      </c>
      <c r="CG637" s="27" t="s">
        <v>8</v>
      </c>
      <c r="CI637" s="27" t="s">
        <v>8</v>
      </c>
      <c r="CL637" s="27" t="s">
        <v>7</v>
      </c>
      <c r="CM637" s="27" t="s">
        <v>8</v>
      </c>
      <c r="CN637" s="27" t="s">
        <v>7</v>
      </c>
      <c r="CO637" s="27" t="s">
        <v>8</v>
      </c>
      <c r="CP637" s="27" t="s">
        <v>7</v>
      </c>
      <c r="CQ637" s="27" t="s">
        <v>8</v>
      </c>
      <c r="CR637" s="27" t="s">
        <v>7</v>
      </c>
      <c r="CS637" s="27" t="s">
        <v>8</v>
      </c>
    </row>
    <row r="638" spans="1:98" x14ac:dyDescent="0.25">
      <c r="A638" s="7">
        <v>0.36424302169310002</v>
      </c>
      <c r="B638"/>
      <c r="C638"/>
      <c r="D638"/>
      <c r="E638"/>
      <c r="CB638" s="27" t="s">
        <v>7</v>
      </c>
      <c r="CC638" s="27" t="s">
        <v>8</v>
      </c>
      <c r="CD638" s="27" t="s">
        <v>7</v>
      </c>
      <c r="CE638" s="27" t="s">
        <v>8</v>
      </c>
      <c r="CF638" s="27" t="s">
        <v>7</v>
      </c>
      <c r="CG638" s="27" t="s">
        <v>8</v>
      </c>
      <c r="CH638" s="27" t="s">
        <v>7</v>
      </c>
      <c r="CI638" s="27" t="s">
        <v>8</v>
      </c>
      <c r="CL638" s="27" t="s">
        <v>7</v>
      </c>
      <c r="CM638" s="27" t="s">
        <v>8</v>
      </c>
      <c r="CN638" s="27" t="s">
        <v>7</v>
      </c>
      <c r="CO638" s="27" t="s">
        <v>8</v>
      </c>
      <c r="CP638" s="27" t="s">
        <v>7</v>
      </c>
      <c r="CQ638" s="27" t="s">
        <v>8</v>
      </c>
      <c r="CR638" s="27" t="s">
        <v>7</v>
      </c>
      <c r="CS638" s="27" t="s">
        <v>8</v>
      </c>
      <c r="CT638" s="27" t="s">
        <v>7</v>
      </c>
    </row>
    <row r="639" spans="1:98" x14ac:dyDescent="0.25">
      <c r="A639" s="7">
        <v>0.35710100165990194</v>
      </c>
      <c r="B639"/>
      <c r="C639"/>
      <c r="D639"/>
      <c r="E639"/>
      <c r="CB639" s="27" t="s">
        <v>7</v>
      </c>
      <c r="CC639" s="27" t="s">
        <v>8</v>
      </c>
      <c r="CD639" s="27" t="s">
        <v>7</v>
      </c>
      <c r="CE639" s="27" t="s">
        <v>8</v>
      </c>
      <c r="CF639" s="27" t="s">
        <v>7</v>
      </c>
      <c r="CG639" s="27" t="s">
        <v>8</v>
      </c>
      <c r="CH639" s="27" t="s">
        <v>7</v>
      </c>
      <c r="CI639" s="27" t="s">
        <v>8</v>
      </c>
      <c r="CL639" s="27" t="s">
        <v>7</v>
      </c>
      <c r="CM639" s="27" t="s">
        <v>8</v>
      </c>
      <c r="CN639" s="27" t="s">
        <v>7</v>
      </c>
      <c r="CO639" s="27" t="s">
        <v>8</v>
      </c>
      <c r="CP639" s="27" t="s">
        <v>7</v>
      </c>
      <c r="CR639" s="27" t="s">
        <v>7</v>
      </c>
      <c r="CS639" s="27" t="s">
        <v>8</v>
      </c>
      <c r="CT639" s="27" t="s">
        <v>7</v>
      </c>
    </row>
    <row r="640" spans="1:98" x14ac:dyDescent="0.25">
      <c r="A640" s="7">
        <v>0.35009902123519804</v>
      </c>
      <c r="B640"/>
      <c r="C640"/>
      <c r="D640"/>
      <c r="E640"/>
      <c r="CB640" s="27" t="s">
        <v>7</v>
      </c>
      <c r="CC640" s="27" t="s">
        <v>8</v>
      </c>
      <c r="CD640" s="27" t="s">
        <v>7</v>
      </c>
      <c r="CE640" s="27" t="s">
        <v>8</v>
      </c>
      <c r="CF640" s="27" t="s">
        <v>7</v>
      </c>
      <c r="CG640" s="27" t="s">
        <v>8</v>
      </c>
      <c r="CH640" s="27" t="s">
        <v>7</v>
      </c>
      <c r="CL640" s="27" t="s">
        <v>7</v>
      </c>
      <c r="CM640" s="27" t="s">
        <v>8</v>
      </c>
      <c r="CN640" s="27" t="s">
        <v>7</v>
      </c>
      <c r="CO640" s="27" t="s">
        <v>8</v>
      </c>
      <c r="CR640" s="27" t="s">
        <v>7</v>
      </c>
      <c r="CS640" s="27" t="s">
        <v>8</v>
      </c>
      <c r="CT640" s="27" t="s">
        <v>7</v>
      </c>
    </row>
    <row r="641" spans="1:102" x14ac:dyDescent="0.25">
      <c r="A641" s="7">
        <v>0.34323433454431179</v>
      </c>
      <c r="B641"/>
      <c r="C641"/>
      <c r="D641"/>
      <c r="E641"/>
      <c r="CB641" s="27" t="s">
        <v>7</v>
      </c>
      <c r="CD641" s="27" t="s">
        <v>7</v>
      </c>
      <c r="CE641" s="27" t="s">
        <v>8</v>
      </c>
      <c r="CF641" s="27" t="s">
        <v>7</v>
      </c>
      <c r="CG641" s="27" t="s">
        <v>8</v>
      </c>
      <c r="CL641" s="27" t="s">
        <v>7</v>
      </c>
      <c r="CN641" s="27" t="s">
        <v>7</v>
      </c>
      <c r="CR641" s="27" t="s">
        <v>7</v>
      </c>
      <c r="CT641" s="27" t="s">
        <v>7</v>
      </c>
    </row>
    <row r="642" spans="1:102" x14ac:dyDescent="0.25">
      <c r="A642" s="7">
        <v>0.33650424955324681</v>
      </c>
      <c r="B642"/>
      <c r="C642"/>
      <c r="D642"/>
      <c r="E642"/>
      <c r="CD642" s="27" t="s">
        <v>7</v>
      </c>
      <c r="CF642" s="27" t="s">
        <v>7</v>
      </c>
      <c r="CT642" s="27" t="s">
        <v>7</v>
      </c>
    </row>
    <row r="643" spans="1:102" x14ac:dyDescent="0.25">
      <c r="A643" s="7">
        <v>0.3299061270129871</v>
      </c>
      <c r="B643"/>
      <c r="C643"/>
      <c r="D643"/>
      <c r="E643"/>
      <c r="CT643" s="27" t="s">
        <v>7</v>
      </c>
    </row>
    <row r="644" spans="1:102" x14ac:dyDescent="0.25">
      <c r="A644" s="7">
        <v>0.32343737942449713</v>
      </c>
      <c r="B644"/>
      <c r="C644"/>
      <c r="D644"/>
      <c r="E644"/>
      <c r="CT644" s="27" t="s">
        <v>7</v>
      </c>
    </row>
    <row r="645" spans="1:102" x14ac:dyDescent="0.25">
      <c r="A645" s="7">
        <v>0.31709547002401678</v>
      </c>
      <c r="B645"/>
      <c r="C645"/>
      <c r="D645"/>
      <c r="E645"/>
      <c r="CT645" s="27" t="s">
        <v>7</v>
      </c>
    </row>
    <row r="646" spans="1:102" x14ac:dyDescent="0.25">
      <c r="A646" s="7">
        <v>0.31087791178825175</v>
      </c>
      <c r="B646"/>
      <c r="C646"/>
      <c r="D646"/>
      <c r="E646"/>
      <c r="CT646" s="27" t="s">
        <v>7</v>
      </c>
    </row>
    <row r="647" spans="1:102" x14ac:dyDescent="0.25">
      <c r="A647" s="7">
        <v>0.30478226645907036</v>
      </c>
      <c r="B647"/>
      <c r="C647"/>
      <c r="D647"/>
      <c r="E647"/>
      <c r="CT647" s="27" t="s">
        <v>7</v>
      </c>
      <c r="CU647" s="27" t="s">
        <v>8</v>
      </c>
    </row>
    <row r="648" spans="1:102" x14ac:dyDescent="0.25">
      <c r="A648" s="7">
        <v>0.29880614358732388</v>
      </c>
      <c r="B648"/>
      <c r="C648"/>
      <c r="D648"/>
      <c r="E648"/>
      <c r="CT648" s="27" t="s">
        <v>7</v>
      </c>
      <c r="CU648" s="27" t="s">
        <v>8</v>
      </c>
      <c r="CV648" s="27" t="s">
        <v>7</v>
      </c>
    </row>
    <row r="649" spans="1:102" x14ac:dyDescent="0.25">
      <c r="A649" s="7">
        <v>0.2929471995954156</v>
      </c>
      <c r="B649"/>
      <c r="C649"/>
      <c r="D649"/>
      <c r="E649"/>
      <c r="CT649" s="27" t="s">
        <v>7</v>
      </c>
      <c r="CU649" s="27" t="s">
        <v>8</v>
      </c>
      <c r="CV649" s="27" t="s">
        <v>7</v>
      </c>
    </row>
    <row r="650" spans="1:102" x14ac:dyDescent="0.25">
      <c r="A650" s="7">
        <v>0.28720313685825055</v>
      </c>
      <c r="B650"/>
      <c r="C650"/>
      <c r="D650"/>
      <c r="E650"/>
      <c r="CT650" s="27" t="s">
        <v>7</v>
      </c>
      <c r="CU650" s="27" t="s">
        <v>8</v>
      </c>
      <c r="CV650" s="27" t="s">
        <v>7</v>
      </c>
    </row>
    <row r="651" spans="1:102" x14ac:dyDescent="0.25">
      <c r="A651" s="7">
        <v>0.28157170280220645</v>
      </c>
      <c r="B651"/>
      <c r="C651"/>
      <c r="D651"/>
      <c r="E651"/>
      <c r="CT651" s="27" t="s">
        <v>7</v>
      </c>
      <c r="CU651" s="27" t="s">
        <v>8</v>
      </c>
      <c r="CV651" s="27" t="s">
        <v>7</v>
      </c>
    </row>
    <row r="652" spans="1:102" x14ac:dyDescent="0.25">
      <c r="A652" s="7">
        <v>0.27605068902177105</v>
      </c>
      <c r="B652"/>
      <c r="C652"/>
      <c r="D652"/>
      <c r="E652"/>
      <c r="CT652" s="27" t="s">
        <v>7</v>
      </c>
      <c r="CU652" s="27" t="s">
        <v>8</v>
      </c>
      <c r="CV652" s="27" t="s">
        <v>7</v>
      </c>
    </row>
    <row r="653" spans="1:102" x14ac:dyDescent="0.25">
      <c r="A653" s="7">
        <v>0.27063793041350104</v>
      </c>
      <c r="B653"/>
      <c r="C653"/>
      <c r="D653"/>
      <c r="E653"/>
      <c r="CT653" s="27" t="s">
        <v>7</v>
      </c>
      <c r="CU653" s="27" t="s">
        <v>8</v>
      </c>
      <c r="CV653" s="27" t="s">
        <v>7</v>
      </c>
    </row>
    <row r="654" spans="1:102" x14ac:dyDescent="0.25">
      <c r="A654" s="7">
        <v>0.26533130432696184</v>
      </c>
      <c r="B654"/>
      <c r="C654"/>
      <c r="D654"/>
      <c r="E654"/>
      <c r="CT654" s="27" t="s">
        <v>7</v>
      </c>
      <c r="CU654" s="27" t="s">
        <v>8</v>
      </c>
      <c r="CV654" s="27" t="s">
        <v>7</v>
      </c>
      <c r="CW654" s="27" t="s">
        <v>8</v>
      </c>
    </row>
    <row r="655" spans="1:102" x14ac:dyDescent="0.25">
      <c r="A655" s="7">
        <v>0.26012872973231554</v>
      </c>
      <c r="B655"/>
      <c r="C655"/>
      <c r="D655"/>
      <c r="E655"/>
      <c r="CT655" s="27" t="s">
        <v>7</v>
      </c>
      <c r="CU655" s="27" t="s">
        <v>8</v>
      </c>
      <c r="CV655" s="27" t="s">
        <v>7</v>
      </c>
      <c r="CW655" s="27" t="s">
        <v>8</v>
      </c>
      <c r="CX655" s="27" t="s">
        <v>7</v>
      </c>
    </row>
    <row r="656" spans="1:102" x14ac:dyDescent="0.25">
      <c r="A656" s="7">
        <v>0.25502816640423093</v>
      </c>
      <c r="B656"/>
      <c r="C656"/>
      <c r="D656"/>
      <c r="E656"/>
      <c r="CT656" s="27" t="s">
        <v>7</v>
      </c>
      <c r="CU656" s="27" t="s">
        <v>8</v>
      </c>
      <c r="CV656" s="27" t="s">
        <v>7</v>
      </c>
      <c r="CW656" s="27" t="s">
        <v>8</v>
      </c>
      <c r="CX656" s="27" t="s">
        <v>7</v>
      </c>
    </row>
    <row r="657" spans="1:102" x14ac:dyDescent="0.25">
      <c r="A657" s="7">
        <v>0.25002761412179503</v>
      </c>
      <c r="B657"/>
      <c r="C657"/>
      <c r="D657"/>
      <c r="E657"/>
      <c r="CT657" s="27" t="s">
        <v>7</v>
      </c>
      <c r="CU657" s="27" t="s">
        <v>8</v>
      </c>
      <c r="CV657" s="27" t="s">
        <v>7</v>
      </c>
      <c r="CW657" s="27" t="s">
        <v>8</v>
      </c>
      <c r="CX657" s="27" t="s">
        <v>7</v>
      </c>
    </row>
    <row r="658" spans="1:102" x14ac:dyDescent="0.25">
      <c r="A658" s="7">
        <v>0.24512511188411276</v>
      </c>
      <c r="B658"/>
      <c r="C658"/>
      <c r="D658"/>
      <c r="E658"/>
      <c r="CT658" s="27" t="s">
        <v>7</v>
      </c>
      <c r="CU658" s="27" t="s">
        <v>8</v>
      </c>
      <c r="CV658" s="27" t="s">
        <v>7</v>
      </c>
      <c r="CW658" s="27" t="s">
        <v>8</v>
      </c>
      <c r="CX658" s="27" t="s">
        <v>7</v>
      </c>
    </row>
    <row r="659" spans="1:102" x14ac:dyDescent="0.25">
      <c r="A659" s="7">
        <v>0.24031873714128701</v>
      </c>
      <c r="B659"/>
      <c r="C659"/>
      <c r="D659"/>
      <c r="E659"/>
      <c r="CT659" s="27" t="s">
        <v>7</v>
      </c>
      <c r="CU659" s="27" t="s">
        <v>8</v>
      </c>
      <c r="CV659" s="27" t="s">
        <v>7</v>
      </c>
      <c r="CW659" s="27" t="s">
        <v>8</v>
      </c>
    </row>
    <row r="660" spans="1:102" x14ac:dyDescent="0.25">
      <c r="A660" s="7">
        <v>0.23560660504047748</v>
      </c>
      <c r="B660"/>
      <c r="C660"/>
      <c r="D660"/>
      <c r="E660"/>
      <c r="CT660" s="27" t="s">
        <v>7</v>
      </c>
      <c r="CU660" s="27" t="s">
        <v>8</v>
      </c>
      <c r="CV660" s="27" t="s">
        <v>7</v>
      </c>
      <c r="CW660" s="27" t="s">
        <v>8</v>
      </c>
    </row>
    <row r="661" spans="1:102" x14ac:dyDescent="0.25">
      <c r="A661" s="7">
        <v>0.23098686768674265</v>
      </c>
      <c r="B661"/>
      <c r="C661"/>
      <c r="D661"/>
      <c r="E661"/>
      <c r="CT661" s="27" t="s">
        <v>7</v>
      </c>
      <c r="CV661" s="27" t="s">
        <v>7</v>
      </c>
    </row>
    <row r="662" spans="1:102" x14ac:dyDescent="0.25">
      <c r="A662" s="7">
        <v>0.22645771341837515</v>
      </c>
      <c r="B662"/>
      <c r="C662"/>
      <c r="D662"/>
      <c r="E662"/>
    </row>
    <row r="663" spans="1:102" x14ac:dyDescent="0.25">
      <c r="A663" s="7">
        <v>0.22201736609644623</v>
      </c>
      <c r="B663"/>
      <c r="C663"/>
      <c r="D663"/>
      <c r="E663"/>
    </row>
    <row r="664" spans="1:102" x14ac:dyDescent="0.25">
      <c r="A664" s="7">
        <v>0.21766408440828061</v>
      </c>
      <c r="B664"/>
      <c r="C664"/>
      <c r="D664"/>
      <c r="E664"/>
    </row>
    <row r="665" spans="1:102" x14ac:dyDescent="0.25">
      <c r="A665" s="7">
        <v>0.21339616118458882</v>
      </c>
      <c r="B665"/>
      <c r="C665"/>
      <c r="D665"/>
      <c r="E665"/>
    </row>
    <row r="666" spans="1:102" x14ac:dyDescent="0.25">
      <c r="A666" s="7">
        <v>0.20921192272998904</v>
      </c>
      <c r="B666"/>
      <c r="C666"/>
      <c r="D666"/>
      <c r="E666"/>
    </row>
    <row r="667" spans="1:102" x14ac:dyDescent="0.25">
      <c r="A667" s="7">
        <v>0.20510972816665593</v>
      </c>
      <c r="B667"/>
      <c r="C667"/>
      <c r="D667"/>
      <c r="E667"/>
    </row>
    <row r="668" spans="1:102" x14ac:dyDescent="0.25">
      <c r="A668" s="7">
        <v>0.20108796879083912</v>
      </c>
      <c r="B668"/>
      <c r="C668"/>
      <c r="D668"/>
      <c r="E668"/>
    </row>
    <row r="669" spans="1:102" x14ac:dyDescent="0.25">
      <c r="A669" s="7">
        <v>0.19714506744199917</v>
      </c>
      <c r="B669"/>
      <c r="C669"/>
      <c r="D669"/>
      <c r="E669"/>
    </row>
    <row r="670" spans="1:102" x14ac:dyDescent="0.25">
      <c r="A670" s="7">
        <v>0.19327947788431293</v>
      </c>
      <c r="B670"/>
      <c r="C670"/>
      <c r="D670"/>
      <c r="E670"/>
    </row>
    <row r="671" spans="1:102" x14ac:dyDescent="0.25">
      <c r="A671" s="7">
        <v>0.18948968420030682</v>
      </c>
      <c r="B671"/>
      <c r="C671"/>
      <c r="D671"/>
      <c r="E671"/>
    </row>
    <row r="672" spans="1:102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622" operator="equal">
      <formula>$U$1</formula>
    </cfRule>
    <cfRule type="cellIs" dxfId="89" priority="623" operator="equal">
      <formula>$S$1</formula>
    </cfRule>
  </conditionalFormatting>
  <conditionalFormatting sqref="D27">
    <cfRule type="cellIs" dxfId="88" priority="620" operator="equal">
      <formula>$S$1</formula>
    </cfRule>
    <cfRule type="cellIs" dxfId="87" priority="621" operator="equal">
      <formula>$U$1</formula>
    </cfRule>
  </conditionalFormatting>
  <conditionalFormatting sqref="C164">
    <cfRule type="cellIs" dxfId="86" priority="618" operator="equal">
      <formula>$U$1</formula>
    </cfRule>
    <cfRule type="cellIs" dxfId="85" priority="619" operator="equal">
      <formula>$S$1</formula>
    </cfRule>
  </conditionalFormatting>
  <conditionalFormatting sqref="D164">
    <cfRule type="cellIs" dxfId="84" priority="616" operator="equal">
      <formula>$S$1</formula>
    </cfRule>
    <cfRule type="cellIs" dxfId="83" priority="617" operator="equal">
      <formula>$U$1</formula>
    </cfRule>
  </conditionalFormatting>
  <conditionalFormatting sqref="C55">
    <cfRule type="cellIs" dxfId="82" priority="614" operator="equal">
      <formula>$U$1</formula>
    </cfRule>
    <cfRule type="cellIs" dxfId="81" priority="615" operator="equal">
      <formula>$S$1</formula>
    </cfRule>
  </conditionalFormatting>
  <conditionalFormatting sqref="D55">
    <cfRule type="cellIs" dxfId="80" priority="612" operator="equal">
      <formula>$S$1</formula>
    </cfRule>
    <cfRule type="cellIs" dxfId="79" priority="613" operator="equal">
      <formula>$U$1</formula>
    </cfRule>
  </conditionalFormatting>
  <conditionalFormatting sqref="C89">
    <cfRule type="cellIs" dxfId="78" priority="610" operator="equal">
      <formula>$U$1</formula>
    </cfRule>
    <cfRule type="cellIs" dxfId="77" priority="611" operator="equal">
      <formula>$S$1</formula>
    </cfRule>
  </conditionalFormatting>
  <conditionalFormatting sqref="D89">
    <cfRule type="cellIs" dxfId="76" priority="608" operator="equal">
      <formula>$S$1</formula>
    </cfRule>
    <cfRule type="cellIs" dxfId="75" priority="609" operator="equal">
      <formula>$U$1</formula>
    </cfRule>
  </conditionalFormatting>
  <conditionalFormatting sqref="C136">
    <cfRule type="cellIs" dxfId="74" priority="606" operator="equal">
      <formula>$U$1</formula>
    </cfRule>
    <cfRule type="cellIs" dxfId="73" priority="607" operator="equal">
      <formula>$S$1</formula>
    </cfRule>
  </conditionalFormatting>
  <conditionalFormatting sqref="D136">
    <cfRule type="cellIs" dxfId="72" priority="604" operator="equal">
      <formula>$S$1</formula>
    </cfRule>
    <cfRule type="cellIs" dxfId="71" priority="605" operator="equal">
      <formula>$U$1</formula>
    </cfRule>
  </conditionalFormatting>
  <conditionalFormatting sqref="C1">
    <cfRule type="cellIs" dxfId="70" priority="603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AL270" sqref="AL270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$A$269</v>
      </c>
      <c r="D111" s="1" t="str">
        <f>ADDRESS(C121-1,D121,1,1)</f>
        <v>$AL$269</v>
      </c>
      <c r="E111"/>
    </row>
    <row r="112" spans="1:5" x14ac:dyDescent="0.25">
      <c r="A112" s="30">
        <v>515.50191262726139</v>
      </c>
      <c r="C112" s="1" t="str">
        <f>ADDRESS(C121,1,1,1)</f>
        <v>$A$270</v>
      </c>
      <c r="D112" s="1" t="str">
        <f>ADDRESS(C121,D121-1,1,1)</f>
        <v>$AK$270</v>
      </c>
      <c r="E112"/>
    </row>
    <row r="113" spans="1:5" x14ac:dyDescent="0.25">
      <c r="A113" s="30">
        <v>490.95420250215363</v>
      </c>
      <c r="C113" s="1" t="str">
        <f>ADDRESS(C121+1,1,1,1)</f>
        <v>$A$271</v>
      </c>
      <c r="D113" s="1" t="str">
        <f>ADDRESS(C121-1,D121+1,1,1)</f>
        <v>$AM$269</v>
      </c>
    </row>
    <row r="114" spans="1:5" x14ac:dyDescent="0.25">
      <c r="A114" s="30">
        <v>467.57543095443202</v>
      </c>
      <c r="C114" s="1" t="str">
        <f>ADDRESS(C121,D121,1,1)</f>
        <v>$AL$270</v>
      </c>
      <c r="D114" s="1" t="str">
        <f>ADDRESS(C121+1,D121+1,1,1)</f>
        <v>$AM$271</v>
      </c>
    </row>
    <row r="115" spans="1:5" x14ac:dyDescent="0.25">
      <c r="A115" s="30">
        <v>445.30993424231622</v>
      </c>
      <c r="C115" s="1" t="str">
        <f>ADDRESS(C121+1,D121,1,1)</f>
        <v>$AL$271</v>
      </c>
    </row>
    <row r="116" spans="1:5" x14ac:dyDescent="0.25">
      <c r="A116" s="30">
        <v>424.10469927839637</v>
      </c>
      <c r="C116" s="1">
        <f>C117-1</f>
        <v>269</v>
      </c>
    </row>
    <row r="117" spans="1:5" x14ac:dyDescent="0.25">
      <c r="A117" s="30">
        <v>403.9092374079965</v>
      </c>
      <c r="C117" s="1">
        <f>C121</f>
        <v>270</v>
      </c>
      <c r="D117" s="1">
        <f>D121</f>
        <v>38</v>
      </c>
    </row>
    <row r="118" spans="1:5" x14ac:dyDescent="0.25">
      <c r="A118" s="30">
        <v>384.6754641980919</v>
      </c>
      <c r="C118" s="1">
        <f>C117+1</f>
        <v>271</v>
      </c>
      <c r="D118" s="1">
        <f>D117+1</f>
        <v>39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270</v>
      </c>
      <c r="D121" s="19">
        <v>38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R270</v>
      </c>
      <c r="D123" s="1" t="str">
        <f>"C"&amp;D121</f>
        <v>C38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0.23137744865585538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18" x14ac:dyDescent="0.25">
      <c r="A225" s="30">
        <v>2.0789281794113688</v>
      </c>
      <c r="E225"/>
    </row>
    <row r="226" spans="1:18" x14ac:dyDescent="0.25">
      <c r="A226" s="30">
        <v>1.9799315994393987</v>
      </c>
      <c r="E226"/>
    </row>
    <row r="227" spans="1:18" x14ac:dyDescent="0.25">
      <c r="A227" s="30">
        <v>1.8856491423232367</v>
      </c>
      <c r="E227"/>
    </row>
    <row r="228" spans="1:18" x14ac:dyDescent="0.25">
      <c r="A228" s="30">
        <v>1.7958563260221301</v>
      </c>
      <c r="C228" s="7"/>
      <c r="D228"/>
      <c r="E228"/>
    </row>
    <row r="229" spans="1:18" x14ac:dyDescent="0.25">
      <c r="A229" s="30">
        <v>1.7103393581163142</v>
      </c>
      <c r="E229"/>
    </row>
    <row r="230" spans="1:18" x14ac:dyDescent="0.25">
      <c r="A230" s="30">
        <v>1.628894626777442</v>
      </c>
      <c r="E230"/>
    </row>
    <row r="231" spans="1:18" x14ac:dyDescent="0.25">
      <c r="A231" s="30">
        <v>1.5513282159785162</v>
      </c>
      <c r="C231"/>
      <c r="D231"/>
      <c r="E231"/>
    </row>
    <row r="232" spans="1:18" x14ac:dyDescent="0.25">
      <c r="A232" s="30">
        <v>1.477455443789063</v>
      </c>
      <c r="E232"/>
    </row>
    <row r="233" spans="1:18" x14ac:dyDescent="0.25">
      <c r="A233" s="30">
        <v>1.4071004226562505</v>
      </c>
      <c r="E233"/>
    </row>
    <row r="234" spans="1:18" x14ac:dyDescent="0.25">
      <c r="A234" s="30">
        <v>1.3400956406250004</v>
      </c>
      <c r="E234"/>
    </row>
    <row r="235" spans="1:18" x14ac:dyDescent="0.25">
      <c r="A235" s="30">
        <v>1.2762815625000004</v>
      </c>
      <c r="C235"/>
      <c r="E235"/>
    </row>
    <row r="236" spans="1:18" x14ac:dyDescent="0.25">
      <c r="A236" s="30">
        <v>1.2155062500000002</v>
      </c>
      <c r="E236"/>
      <c r="O236" s="27" t="s">
        <v>8</v>
      </c>
    </row>
    <row r="237" spans="1:18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O237" s="27" t="s">
        <v>8</v>
      </c>
      <c r="P237" s="27" t="s">
        <v>7</v>
      </c>
    </row>
    <row r="238" spans="1:18" x14ac:dyDescent="0.25">
      <c r="A238" s="30">
        <v>1.1025</v>
      </c>
      <c r="E238"/>
      <c r="O238" s="27" t="s">
        <v>8</v>
      </c>
      <c r="P238" s="27" t="s">
        <v>7</v>
      </c>
    </row>
    <row r="239" spans="1:18" x14ac:dyDescent="0.25">
      <c r="A239" s="30">
        <v>1.05</v>
      </c>
      <c r="E239"/>
      <c r="M239" s="27" t="s">
        <v>8</v>
      </c>
      <c r="O239" s="27" t="s">
        <v>8</v>
      </c>
      <c r="P239" s="27" t="s">
        <v>7</v>
      </c>
      <c r="Q239" s="27" t="s">
        <v>8</v>
      </c>
    </row>
    <row r="240" spans="1:18" x14ac:dyDescent="0.25">
      <c r="A240" s="30">
        <v>1</v>
      </c>
      <c r="E240" s="29" t="s">
        <v>8</v>
      </c>
      <c r="M240" s="27" t="s">
        <v>8</v>
      </c>
      <c r="N240" s="27" t="s">
        <v>7</v>
      </c>
      <c r="O240" s="27" t="s">
        <v>8</v>
      </c>
      <c r="P240" s="27" t="s">
        <v>7</v>
      </c>
      <c r="Q240" s="27" t="s">
        <v>8</v>
      </c>
      <c r="R240" s="27" t="s">
        <v>7</v>
      </c>
    </row>
    <row r="241" spans="1:34" x14ac:dyDescent="0.25">
      <c r="A241" s="30">
        <v>0.952380952380952</v>
      </c>
      <c r="B241"/>
      <c r="C241"/>
      <c r="D241"/>
      <c r="E241"/>
      <c r="F241" s="27" t="s">
        <v>7</v>
      </c>
      <c r="I241" s="27" t="s">
        <v>8</v>
      </c>
      <c r="M241" s="27" t="s">
        <v>8</v>
      </c>
      <c r="N241" s="27" t="s">
        <v>7</v>
      </c>
      <c r="O241" s="27" t="s">
        <v>8</v>
      </c>
      <c r="P241" s="27" t="s">
        <v>7</v>
      </c>
      <c r="Q241" s="27" t="s">
        <v>8</v>
      </c>
      <c r="R241" s="27" t="s">
        <v>7</v>
      </c>
      <c r="S241" s="27" t="s">
        <v>8</v>
      </c>
      <c r="U241" s="27" t="s">
        <v>8</v>
      </c>
    </row>
    <row r="242" spans="1:34" x14ac:dyDescent="0.25">
      <c r="A242" s="30">
        <v>0.90702947845804915</v>
      </c>
      <c r="B242"/>
      <c r="C242"/>
      <c r="D242"/>
      <c r="E242"/>
      <c r="F242" s="27" t="s">
        <v>7</v>
      </c>
      <c r="I242" s="27" t="s">
        <v>8</v>
      </c>
      <c r="J242" s="27" t="s">
        <v>7</v>
      </c>
      <c r="K242" s="27" t="s">
        <v>8</v>
      </c>
      <c r="M242" s="27" t="s">
        <v>8</v>
      </c>
      <c r="N242" s="27" t="s">
        <v>7</v>
      </c>
      <c r="O242" s="27" t="s">
        <v>8</v>
      </c>
      <c r="P242" s="27" t="s">
        <v>7</v>
      </c>
      <c r="Q242" s="27" t="s">
        <v>8</v>
      </c>
      <c r="R242" s="27" t="s">
        <v>7</v>
      </c>
      <c r="S242" s="27" t="s">
        <v>8</v>
      </c>
      <c r="T242" s="27" t="s">
        <v>7</v>
      </c>
      <c r="U242" s="27" t="s">
        <v>8</v>
      </c>
      <c r="V242" s="27" t="s">
        <v>7</v>
      </c>
    </row>
    <row r="243" spans="1:34" x14ac:dyDescent="0.25">
      <c r="A243" s="30">
        <v>0.86383759853147501</v>
      </c>
      <c r="B243"/>
      <c r="C243"/>
      <c r="D243"/>
      <c r="E243"/>
      <c r="F243" s="27" t="s">
        <v>7</v>
      </c>
      <c r="G243" s="27" t="s">
        <v>8</v>
      </c>
      <c r="I243" s="27" t="s">
        <v>8</v>
      </c>
      <c r="J243" s="27" t="s">
        <v>7</v>
      </c>
      <c r="K243" s="27" t="s">
        <v>8</v>
      </c>
      <c r="L243" s="27" t="s">
        <v>7</v>
      </c>
      <c r="M243" s="27" t="s">
        <v>8</v>
      </c>
      <c r="N243" s="27" t="s">
        <v>7</v>
      </c>
      <c r="O243" s="27" t="s">
        <v>8</v>
      </c>
      <c r="P243" s="27" t="s">
        <v>7</v>
      </c>
      <c r="Q243" s="27" t="s">
        <v>8</v>
      </c>
      <c r="R243" s="27" t="s">
        <v>7</v>
      </c>
      <c r="S243" s="27" t="s">
        <v>8</v>
      </c>
      <c r="T243" s="27" t="s">
        <v>7</v>
      </c>
      <c r="U243" s="27" t="s">
        <v>8</v>
      </c>
      <c r="V243" s="27" t="s">
        <v>7</v>
      </c>
    </row>
    <row r="244" spans="1:34" x14ac:dyDescent="0.25">
      <c r="A244" s="30">
        <v>0.82270247479188063</v>
      </c>
      <c r="B244"/>
      <c r="C244"/>
      <c r="D244"/>
      <c r="E244"/>
      <c r="F244" s="27" t="s">
        <v>7</v>
      </c>
      <c r="G244" s="27" t="s">
        <v>8</v>
      </c>
      <c r="H244" s="27" t="s">
        <v>7</v>
      </c>
      <c r="I244" s="27" t="s">
        <v>8</v>
      </c>
      <c r="J244" s="27" t="s">
        <v>7</v>
      </c>
      <c r="K244" s="27" t="s">
        <v>8</v>
      </c>
      <c r="L244" s="27" t="s">
        <v>7</v>
      </c>
      <c r="M244" s="27" t="s">
        <v>8</v>
      </c>
      <c r="N244" s="27" t="s">
        <v>7</v>
      </c>
      <c r="P244" s="27" t="s">
        <v>7</v>
      </c>
      <c r="Q244" s="27" t="s">
        <v>8</v>
      </c>
      <c r="R244" s="27" t="s">
        <v>7</v>
      </c>
      <c r="S244" s="27" t="s">
        <v>8</v>
      </c>
      <c r="T244" s="27" t="s">
        <v>7</v>
      </c>
      <c r="U244" s="27" t="s">
        <v>8</v>
      </c>
      <c r="V244" s="27" t="s">
        <v>7</v>
      </c>
    </row>
    <row r="245" spans="1:34" x14ac:dyDescent="0.25">
      <c r="A245" s="30">
        <v>0.78352616646845741</v>
      </c>
      <c r="B245"/>
      <c r="C245"/>
      <c r="D245"/>
      <c r="E245"/>
      <c r="F245" s="27" t="s">
        <v>7</v>
      </c>
      <c r="G245" s="27" t="s">
        <v>8</v>
      </c>
      <c r="H245" s="27" t="s">
        <v>7</v>
      </c>
      <c r="I245" s="27" t="s">
        <v>8</v>
      </c>
      <c r="J245" s="27" t="s">
        <v>7</v>
      </c>
      <c r="K245" s="27" t="s">
        <v>8</v>
      </c>
      <c r="L245" s="27" t="s">
        <v>7</v>
      </c>
      <c r="P245" s="27" t="s">
        <v>7</v>
      </c>
      <c r="Q245" s="27" t="s">
        <v>8</v>
      </c>
      <c r="R245" s="27" t="s">
        <v>7</v>
      </c>
      <c r="S245" s="27" t="s">
        <v>8</v>
      </c>
      <c r="T245" s="27" t="s">
        <v>7</v>
      </c>
      <c r="U245" s="27" t="s">
        <v>8</v>
      </c>
      <c r="V245" s="27" t="s">
        <v>7</v>
      </c>
    </row>
    <row r="246" spans="1:34" x14ac:dyDescent="0.25">
      <c r="A246" s="30">
        <v>0.74621539663662584</v>
      </c>
      <c r="B246"/>
      <c r="C246"/>
      <c r="D246"/>
      <c r="E246"/>
      <c r="F246" s="27" t="s">
        <v>7</v>
      </c>
      <c r="G246" s="27" t="s">
        <v>8</v>
      </c>
      <c r="H246" s="27" t="s">
        <v>7</v>
      </c>
      <c r="J246" s="27" t="s">
        <v>7</v>
      </c>
      <c r="K246" s="27" t="s">
        <v>8</v>
      </c>
      <c r="P246" s="27" t="s">
        <v>7</v>
      </c>
      <c r="Q246" s="27" t="s">
        <v>8</v>
      </c>
      <c r="R246" s="27" t="s">
        <v>7</v>
      </c>
      <c r="T246" s="27" t="s">
        <v>7</v>
      </c>
      <c r="U246" s="27" t="s">
        <v>8</v>
      </c>
      <c r="V246" s="27" t="s">
        <v>7</v>
      </c>
    </row>
    <row r="247" spans="1:34" x14ac:dyDescent="0.25">
      <c r="A247" s="30">
        <v>0.71068133013011958</v>
      </c>
      <c r="B247"/>
      <c r="C247"/>
      <c r="D247"/>
      <c r="E247"/>
      <c r="F247" s="27" t="s">
        <v>7</v>
      </c>
      <c r="G247" s="27" t="s">
        <v>8</v>
      </c>
      <c r="J247" s="18" t="s">
        <v>7</v>
      </c>
      <c r="K247" s="27" t="s">
        <v>8</v>
      </c>
      <c r="P247" s="27" t="s">
        <v>7</v>
      </c>
      <c r="Q247" s="27" t="s">
        <v>8</v>
      </c>
      <c r="T247" s="27" t="s">
        <v>7</v>
      </c>
      <c r="V247" s="27" t="s">
        <v>7</v>
      </c>
      <c r="W247" s="27" t="s">
        <v>8</v>
      </c>
    </row>
    <row r="248" spans="1:34" x14ac:dyDescent="0.25">
      <c r="A248" s="30">
        <v>0.676839362028685</v>
      </c>
      <c r="B248"/>
      <c r="C248"/>
      <c r="D248"/>
      <c r="E248"/>
      <c r="F248" s="27" t="s">
        <v>7</v>
      </c>
      <c r="G248" s="27" t="s">
        <v>8</v>
      </c>
      <c r="J248" s="27" t="s">
        <v>7</v>
      </c>
      <c r="K248" s="27" t="s">
        <v>8</v>
      </c>
      <c r="P248" s="27" t="s">
        <v>7</v>
      </c>
      <c r="Q248" s="27" t="s">
        <v>8</v>
      </c>
      <c r="V248" s="27" t="s">
        <v>7</v>
      </c>
      <c r="W248" s="27" t="s">
        <v>8</v>
      </c>
      <c r="X248" s="27" t="s">
        <v>7</v>
      </c>
    </row>
    <row r="249" spans="1:34" x14ac:dyDescent="0.25">
      <c r="A249" s="30">
        <v>0.64460891621779492</v>
      </c>
      <c r="B249"/>
      <c r="C249"/>
      <c r="D249"/>
      <c r="E249"/>
      <c r="F249" s="27" t="s">
        <v>7</v>
      </c>
      <c r="J249" s="27" t="s">
        <v>7</v>
      </c>
      <c r="K249" s="27" t="s">
        <v>8</v>
      </c>
      <c r="P249" s="27" t="s">
        <v>7</v>
      </c>
      <c r="Q249" s="27" t="s">
        <v>8</v>
      </c>
      <c r="V249" s="27" t="s">
        <v>7</v>
      </c>
      <c r="W249" s="27" t="s">
        <v>8</v>
      </c>
      <c r="X249" s="27" t="s">
        <v>7</v>
      </c>
      <c r="AE249" s="27" t="s">
        <v>8</v>
      </c>
    </row>
    <row r="250" spans="1:34" x14ac:dyDescent="0.25">
      <c r="A250" s="30">
        <v>0.61391325354075688</v>
      </c>
      <c r="B250"/>
      <c r="C250"/>
      <c r="D250"/>
      <c r="E250"/>
      <c r="J250" s="27" t="s">
        <v>7</v>
      </c>
      <c r="P250" s="27" t="s">
        <v>7</v>
      </c>
      <c r="V250" s="27" t="s">
        <v>7</v>
      </c>
      <c r="X250" s="27" t="s">
        <v>7</v>
      </c>
      <c r="AE250" s="27" t="s">
        <v>8</v>
      </c>
      <c r="AF250" s="27" t="s">
        <v>7</v>
      </c>
    </row>
    <row r="251" spans="1:34" x14ac:dyDescent="0.25">
      <c r="A251" s="30">
        <v>0.58467928908643485</v>
      </c>
      <c r="B251"/>
      <c r="C251"/>
      <c r="D251"/>
      <c r="E251"/>
      <c r="X251" s="27" t="s">
        <v>7</v>
      </c>
      <c r="AA251" s="27" t="s">
        <v>8</v>
      </c>
      <c r="AE251" s="27" t="s">
        <v>8</v>
      </c>
      <c r="AF251" s="27" t="s">
        <v>7</v>
      </c>
    </row>
    <row r="252" spans="1:34" x14ac:dyDescent="0.25">
      <c r="A252" s="30">
        <v>0.55683741817755672</v>
      </c>
      <c r="B252"/>
      <c r="C252"/>
      <c r="D252"/>
      <c r="E252"/>
      <c r="X252" s="27" t="s">
        <v>7</v>
      </c>
      <c r="AA252" s="27" t="s">
        <v>8</v>
      </c>
      <c r="AB252" s="27" t="s">
        <v>7</v>
      </c>
      <c r="AE252" s="27" t="s">
        <v>8</v>
      </c>
      <c r="AF252" s="27" t="s">
        <v>7</v>
      </c>
    </row>
    <row r="253" spans="1:34" x14ac:dyDescent="0.25">
      <c r="A253" s="30">
        <v>0.53032135064529184</v>
      </c>
      <c r="B253"/>
      <c r="C253"/>
      <c r="D253"/>
      <c r="E253"/>
      <c r="X253" s="27" t="s">
        <v>7</v>
      </c>
      <c r="Y253" s="27" t="s">
        <v>8</v>
      </c>
      <c r="AA253" s="27" t="s">
        <v>8</v>
      </c>
      <c r="AB253" s="27" t="s">
        <v>7</v>
      </c>
      <c r="AE253" s="27" t="s">
        <v>8</v>
      </c>
      <c r="AF253" s="27" t="s">
        <v>7</v>
      </c>
      <c r="AG253" s="27" t="s">
        <v>8</v>
      </c>
    </row>
    <row r="254" spans="1:34" x14ac:dyDescent="0.25">
      <c r="A254" s="30">
        <v>0.50506795299551588</v>
      </c>
      <c r="B254"/>
      <c r="C254"/>
      <c r="D254"/>
      <c r="E254"/>
      <c r="X254" s="27" t="s">
        <v>7</v>
      </c>
      <c r="Y254" s="27" t="s">
        <v>8</v>
      </c>
      <c r="Z254" s="27" t="s">
        <v>7</v>
      </c>
      <c r="AA254" s="27" t="s">
        <v>8</v>
      </c>
      <c r="AB254" s="27" t="s">
        <v>7</v>
      </c>
      <c r="AE254" s="27" t="s">
        <v>8</v>
      </c>
      <c r="AF254" s="27" t="s">
        <v>7</v>
      </c>
      <c r="AG254" s="27" t="s">
        <v>8</v>
      </c>
      <c r="AH254" s="27" t="s">
        <v>7</v>
      </c>
    </row>
    <row r="255" spans="1:34" x14ac:dyDescent="0.25">
      <c r="A255" s="30">
        <v>0.48101709809096732</v>
      </c>
      <c r="E255"/>
      <c r="X255" s="27" t="s">
        <v>7</v>
      </c>
      <c r="Y255" s="27" t="s">
        <v>8</v>
      </c>
      <c r="Z255" s="27" t="s">
        <v>7</v>
      </c>
      <c r="AA255" s="27" t="s">
        <v>8</v>
      </c>
      <c r="AB255" s="27" t="s">
        <v>7</v>
      </c>
      <c r="AE255" s="27" t="s">
        <v>8</v>
      </c>
      <c r="AF255" s="27" t="s">
        <v>7</v>
      </c>
      <c r="AG255" s="27" t="s">
        <v>8</v>
      </c>
      <c r="AH255" s="27" t="s">
        <v>7</v>
      </c>
    </row>
    <row r="256" spans="1:34" x14ac:dyDescent="0.25">
      <c r="A256" s="30">
        <v>0.45811152199139726</v>
      </c>
      <c r="E256"/>
      <c r="X256" s="27" t="s">
        <v>7</v>
      </c>
      <c r="Z256" s="27" t="s">
        <v>7</v>
      </c>
      <c r="AA256" s="27" t="s">
        <v>8</v>
      </c>
      <c r="AB256" s="27" t="s">
        <v>7</v>
      </c>
      <c r="AE256" s="27" t="s">
        <v>8</v>
      </c>
      <c r="AF256" s="27" t="s">
        <v>7</v>
      </c>
      <c r="AG256" s="27" t="s">
        <v>8</v>
      </c>
      <c r="AH256" s="27" t="s">
        <v>7</v>
      </c>
    </row>
    <row r="257" spans="1:38" x14ac:dyDescent="0.25">
      <c r="A257" s="30">
        <v>0.43629668761085438</v>
      </c>
      <c r="B257"/>
      <c r="C257"/>
      <c r="D257"/>
      <c r="E257"/>
      <c r="Z257" s="27" t="s">
        <v>7</v>
      </c>
      <c r="AA257" s="27" t="s">
        <v>8</v>
      </c>
      <c r="AB257" s="27" t="s">
        <v>7</v>
      </c>
      <c r="AE257" s="27" t="s">
        <v>8</v>
      </c>
      <c r="AF257" s="27" t="s">
        <v>7</v>
      </c>
      <c r="AG257" s="27" t="s">
        <v>8</v>
      </c>
      <c r="AH257" s="27" t="s">
        <v>7</v>
      </c>
    </row>
    <row r="258" spans="1:38" x14ac:dyDescent="0.25">
      <c r="A258" s="30">
        <v>0.41552065486748019</v>
      </c>
      <c r="B258"/>
      <c r="C258"/>
      <c r="D258"/>
      <c r="E258"/>
      <c r="Z258" s="27" t="s">
        <v>7</v>
      </c>
      <c r="AA258" s="27" t="s">
        <v>8</v>
      </c>
      <c r="AB258" s="27" t="s">
        <v>7</v>
      </c>
      <c r="AC258" s="27" t="s">
        <v>8</v>
      </c>
      <c r="AE258" s="27" t="s">
        <v>8</v>
      </c>
      <c r="AF258" s="27" t="s">
        <v>7</v>
      </c>
      <c r="AG258" s="27" t="s">
        <v>8</v>
      </c>
      <c r="AH258" s="27" t="s">
        <v>7</v>
      </c>
      <c r="AI258" s="27" t="s">
        <v>8</v>
      </c>
    </row>
    <row r="259" spans="1:38" x14ac:dyDescent="0.25">
      <c r="A259" s="30">
        <v>0.39573395701664765</v>
      </c>
      <c r="B259"/>
      <c r="C259"/>
      <c r="D259"/>
      <c r="E259"/>
      <c r="Z259" s="27" t="s">
        <v>7</v>
      </c>
      <c r="AB259" s="27" t="s">
        <v>7</v>
      </c>
      <c r="AC259" s="27" t="s">
        <v>8</v>
      </c>
      <c r="AD259" s="27" t="s">
        <v>7</v>
      </c>
      <c r="AE259" s="27" t="s">
        <v>8</v>
      </c>
      <c r="AF259" s="27" t="s">
        <v>7</v>
      </c>
      <c r="AH259" s="27" t="s">
        <v>7</v>
      </c>
      <c r="AI259" s="27" t="s">
        <v>8</v>
      </c>
      <c r="AJ259" s="27" t="s">
        <v>7</v>
      </c>
    </row>
    <row r="260" spans="1:38" x14ac:dyDescent="0.25">
      <c r="A260" s="30">
        <v>0.37688948287299762</v>
      </c>
      <c r="B260"/>
      <c r="C260"/>
      <c r="D260"/>
      <c r="E260"/>
      <c r="AB260" s="27" t="s">
        <v>7</v>
      </c>
      <c r="AC260" s="27" t="s">
        <v>8</v>
      </c>
      <c r="AD260" s="27" t="s">
        <v>7</v>
      </c>
      <c r="AE260" s="27" t="s">
        <v>8</v>
      </c>
      <c r="AH260" s="27" t="s">
        <v>7</v>
      </c>
      <c r="AI260" s="27" t="s">
        <v>8</v>
      </c>
      <c r="AJ260" s="27" t="s">
        <v>7</v>
      </c>
    </row>
    <row r="261" spans="1:38" x14ac:dyDescent="0.25">
      <c r="A261" s="30">
        <v>0.35894236464094997</v>
      </c>
      <c r="B261"/>
      <c r="C261"/>
      <c r="D261"/>
      <c r="E261"/>
      <c r="AB261" s="27" t="s">
        <v>7</v>
      </c>
      <c r="AC261" s="27" t="s">
        <v>8</v>
      </c>
      <c r="AD261" s="27" t="s">
        <v>7</v>
      </c>
      <c r="AE261" s="27" t="s">
        <v>8</v>
      </c>
      <c r="AH261" s="27" t="s">
        <v>7</v>
      </c>
      <c r="AI261" s="27" t="s">
        <v>8</v>
      </c>
      <c r="AJ261" s="27" t="s">
        <v>7</v>
      </c>
    </row>
    <row r="262" spans="1:38" x14ac:dyDescent="0.25">
      <c r="A262" s="30">
        <v>0.34184987108661891</v>
      </c>
      <c r="B262"/>
      <c r="C262"/>
      <c r="D262"/>
      <c r="E262"/>
      <c r="AB262" s="27" t="s">
        <v>7</v>
      </c>
      <c r="AD262" s="27" t="s">
        <v>7</v>
      </c>
      <c r="AH262" s="27" t="s">
        <v>7</v>
      </c>
      <c r="AJ262" s="27" t="s">
        <v>7</v>
      </c>
    </row>
    <row r="263" spans="1:38" x14ac:dyDescent="0.25">
      <c r="A263" s="30">
        <v>0.32557130579677979</v>
      </c>
      <c r="B263"/>
      <c r="C263"/>
      <c r="D263"/>
      <c r="E263"/>
      <c r="AJ263" s="27" t="s">
        <v>7</v>
      </c>
    </row>
    <row r="264" spans="1:38" x14ac:dyDescent="0.25">
      <c r="A264" s="30">
        <v>0.3100679102826473</v>
      </c>
      <c r="B264"/>
      <c r="C264"/>
      <c r="D264"/>
      <c r="E264"/>
      <c r="AJ264" s="27" t="s">
        <v>7</v>
      </c>
    </row>
    <row r="265" spans="1:38" x14ac:dyDescent="0.25">
      <c r="A265" s="30">
        <v>0.2953027716977592</v>
      </c>
      <c r="B265"/>
      <c r="C265"/>
      <c r="D265"/>
      <c r="E265"/>
      <c r="AJ265" s="27" t="s">
        <v>7</v>
      </c>
      <c r="AK265" s="27" t="s">
        <v>8</v>
      </c>
    </row>
    <row r="266" spans="1:38" x14ac:dyDescent="0.25">
      <c r="A266" s="30">
        <v>0.28124073495024676</v>
      </c>
      <c r="B266"/>
      <c r="C266"/>
      <c r="D266"/>
      <c r="E266"/>
      <c r="AJ266" s="27" t="s">
        <v>7</v>
      </c>
      <c r="AK266" s="27" t="s">
        <v>8</v>
      </c>
      <c r="AL266" s="27" t="s">
        <v>7</v>
      </c>
    </row>
    <row r="267" spans="1:38" x14ac:dyDescent="0.25">
      <c r="A267" s="30">
        <v>0.26784831900023492</v>
      </c>
      <c r="B267"/>
      <c r="C267"/>
      <c r="D267"/>
      <c r="E267"/>
      <c r="AJ267" s="27" t="s">
        <v>7</v>
      </c>
      <c r="AK267" s="27" t="s">
        <v>8</v>
      </c>
      <c r="AL267" s="27" t="s">
        <v>7</v>
      </c>
    </row>
    <row r="268" spans="1:38" x14ac:dyDescent="0.25">
      <c r="A268" s="30">
        <v>0.25509363714308075</v>
      </c>
      <c r="B268"/>
      <c r="C268"/>
      <c r="D268"/>
      <c r="E268"/>
      <c r="AJ268" s="27" t="s">
        <v>7</v>
      </c>
      <c r="AK268" s="27" t="s">
        <v>8</v>
      </c>
      <c r="AL268" s="27" t="s">
        <v>7</v>
      </c>
    </row>
    <row r="269" spans="1:38" x14ac:dyDescent="0.25">
      <c r="A269" s="30">
        <v>0.24294632108864825</v>
      </c>
      <c r="B269"/>
      <c r="C269"/>
      <c r="D269"/>
      <c r="E269"/>
      <c r="AJ269" s="27" t="s">
        <v>7</v>
      </c>
      <c r="AK269" s="27" t="s">
        <v>8</v>
      </c>
      <c r="AL269" s="27" t="s">
        <v>7</v>
      </c>
    </row>
    <row r="270" spans="1:38" x14ac:dyDescent="0.25">
      <c r="A270" s="30">
        <v>0.23137744865585538</v>
      </c>
      <c r="B270"/>
      <c r="C270"/>
      <c r="D270"/>
      <c r="E270"/>
      <c r="AJ270" s="27" t="s">
        <v>7</v>
      </c>
      <c r="AL270" s="27" t="s">
        <v>7</v>
      </c>
    </row>
    <row r="271" spans="1:38" x14ac:dyDescent="0.25">
      <c r="A271" s="30">
        <v>0.22035947491033836</v>
      </c>
      <c r="B271"/>
      <c r="C271"/>
      <c r="D271"/>
      <c r="E271"/>
    </row>
    <row r="272" spans="1:38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637" operator="equal">
      <formula>$U$1</formula>
    </cfRule>
    <cfRule type="cellIs" dxfId="67" priority="638" operator="equal">
      <formula>$S$1</formula>
    </cfRule>
  </conditionalFormatting>
  <conditionalFormatting sqref="D136">
    <cfRule type="cellIs" dxfId="66" priority="635" operator="equal">
      <formula>$S$1</formula>
    </cfRule>
    <cfRule type="cellIs" dxfId="65" priority="636" operator="equal">
      <formula>$U$1</formula>
    </cfRule>
  </conditionalFormatting>
  <conditionalFormatting sqref="C162">
    <cfRule type="cellIs" dxfId="64" priority="633" operator="equal">
      <formula>$U$1</formula>
    </cfRule>
    <cfRule type="cellIs" dxfId="63" priority="634" operator="equal">
      <formula>$S$1</formula>
    </cfRule>
  </conditionalFormatting>
  <conditionalFormatting sqref="D162">
    <cfRule type="cellIs" dxfId="62" priority="631" operator="equal">
      <formula>$S$1</formula>
    </cfRule>
    <cfRule type="cellIs" dxfId="61" priority="632" operator="equal">
      <formula>$U$1</formula>
    </cfRule>
  </conditionalFormatting>
  <conditionalFormatting sqref="C187">
    <cfRule type="cellIs" dxfId="60" priority="629" operator="equal">
      <formula>$U$1</formula>
    </cfRule>
    <cfRule type="cellIs" dxfId="59" priority="630" operator="equal">
      <formula>$S$1</formula>
    </cfRule>
  </conditionalFormatting>
  <conditionalFormatting sqref="D187">
    <cfRule type="cellIs" dxfId="58" priority="627" operator="equal">
      <formula>$S$1</formula>
    </cfRule>
    <cfRule type="cellIs" dxfId="57" priority="628" operator="equal">
      <formula>$U$1</formula>
    </cfRule>
  </conditionalFormatting>
  <conditionalFormatting sqref="C212">
    <cfRule type="cellIs" dxfId="56" priority="625" operator="equal">
      <formula>$U$1</formula>
    </cfRule>
    <cfRule type="cellIs" dxfId="55" priority="626" operator="equal">
      <formula>$S$1</formula>
    </cfRule>
  </conditionalFormatting>
  <conditionalFormatting sqref="D212">
    <cfRule type="cellIs" dxfId="54" priority="623" operator="equal">
      <formula>$S$1</formula>
    </cfRule>
    <cfRule type="cellIs" dxfId="53" priority="624" operator="equal">
      <formula>$U$1</formula>
    </cfRule>
  </conditionalFormatting>
  <conditionalFormatting sqref="C237">
    <cfRule type="cellIs" dxfId="52" priority="621" operator="equal">
      <formula>$U$1</formula>
    </cfRule>
    <cfRule type="cellIs" dxfId="51" priority="622" operator="equal">
      <formula>$S$1</formula>
    </cfRule>
  </conditionalFormatting>
  <conditionalFormatting sqref="D237">
    <cfRule type="cellIs" dxfId="50" priority="619" operator="equal">
      <formula>$S$1</formula>
    </cfRule>
    <cfRule type="cellIs" dxfId="49" priority="620" operator="equal">
      <formula>$U$1</formula>
    </cfRule>
  </conditionalFormatting>
  <conditionalFormatting sqref="C106">
    <cfRule type="cellIs" dxfId="48" priority="617" operator="equal">
      <formula>$U$1</formula>
    </cfRule>
    <cfRule type="cellIs" dxfId="47" priority="618" operator="equal">
      <formula>$S$1</formula>
    </cfRule>
  </conditionalFormatting>
  <conditionalFormatting sqref="D106">
    <cfRule type="cellIs" dxfId="46" priority="615" operator="equal">
      <formula>$S$1</formula>
    </cfRule>
    <cfRule type="cellIs" dxfId="45" priority="616" operator="equal">
      <formula>$U$1</formula>
    </cfRule>
  </conditionalFormatting>
  <conditionalFormatting sqref="C81">
    <cfRule type="cellIs" dxfId="44" priority="613" operator="equal">
      <formula>$U$1</formula>
    </cfRule>
    <cfRule type="cellIs" dxfId="43" priority="614" operator="equal">
      <formula>$S$1</formula>
    </cfRule>
  </conditionalFormatting>
  <conditionalFormatting sqref="D81">
    <cfRule type="cellIs" dxfId="42" priority="611" operator="equal">
      <formula>$S$1</formula>
    </cfRule>
    <cfRule type="cellIs" dxfId="41" priority="612" operator="equal">
      <formula>$U$1</formula>
    </cfRule>
  </conditionalFormatting>
  <conditionalFormatting sqref="C56">
    <cfRule type="cellIs" dxfId="40" priority="609" operator="equal">
      <formula>$U$1</formula>
    </cfRule>
    <cfRule type="cellIs" dxfId="39" priority="610" operator="equal">
      <formula>$S$1</formula>
    </cfRule>
  </conditionalFormatting>
  <conditionalFormatting sqref="D56">
    <cfRule type="cellIs" dxfId="38" priority="607" operator="equal">
      <formula>$S$1</formula>
    </cfRule>
    <cfRule type="cellIs" dxfId="37" priority="608" operator="equal">
      <formula>$U$1</formula>
    </cfRule>
  </conditionalFormatting>
  <conditionalFormatting sqref="C31">
    <cfRule type="cellIs" dxfId="36" priority="605" operator="equal">
      <formula>$U$1</formula>
    </cfRule>
    <cfRule type="cellIs" dxfId="35" priority="606" operator="equal">
      <formula>$S$1</formula>
    </cfRule>
  </conditionalFormatting>
  <conditionalFormatting sqref="D31">
    <cfRule type="cellIs" dxfId="34" priority="603" operator="equal">
      <formula>$S$1</formula>
    </cfRule>
    <cfRule type="cellIs" dxfId="33" priority="604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R136" sqref="R136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$A$135</v>
      </c>
      <c r="D111" s="1" t="str">
        <f>ADDRESS(C121-1,D121,1,1)</f>
        <v>$R$135</v>
      </c>
      <c r="E111"/>
    </row>
    <row r="112" spans="1:5" x14ac:dyDescent="0.25">
      <c r="A112" s="30">
        <v>2.3579476910000019</v>
      </c>
      <c r="C112" s="1" t="str">
        <f>ADDRESS(C121,1,1,1)</f>
        <v>$A$136</v>
      </c>
      <c r="D112" s="1" t="str">
        <f>ADDRESS(C121,D121-1,1,1)</f>
        <v>$Q$136</v>
      </c>
      <c r="E112"/>
    </row>
    <row r="113" spans="1:18" x14ac:dyDescent="0.25">
      <c r="A113" s="30">
        <v>2.1435888100000016</v>
      </c>
      <c r="C113" s="1" t="str">
        <f>ADDRESS(C121+1,1,1,1)</f>
        <v>$A$137</v>
      </c>
      <c r="D113" s="1" t="str">
        <f>ADDRESS(C121-1,D121+1,1,1)</f>
        <v>$S$135</v>
      </c>
    </row>
    <row r="114" spans="1:18" x14ac:dyDescent="0.25">
      <c r="A114" s="30">
        <v>1.9487171000000014</v>
      </c>
      <c r="C114" s="1" t="str">
        <f>ADDRESS(C121,D121,1,1)</f>
        <v>$R$136</v>
      </c>
      <c r="D114" s="1" t="str">
        <f>ADDRESS(C121+1,D121+1,1,1)</f>
        <v>$S$137</v>
      </c>
    </row>
    <row r="115" spans="1:18" x14ac:dyDescent="0.25">
      <c r="A115" s="30">
        <v>1.7715610000000011</v>
      </c>
      <c r="C115" s="1" t="str">
        <f>ADDRESS(C121+1,D121,1,1)</f>
        <v>$R$137</v>
      </c>
    </row>
    <row r="116" spans="1:18" x14ac:dyDescent="0.25">
      <c r="A116" s="30">
        <v>1.6105100000000008</v>
      </c>
      <c r="C116" s="1">
        <f>C117-1</f>
        <v>135</v>
      </c>
    </row>
    <row r="117" spans="1:18" x14ac:dyDescent="0.25">
      <c r="A117" s="30">
        <v>1.4641000000000006</v>
      </c>
      <c r="C117" s="1">
        <f>C121</f>
        <v>136</v>
      </c>
      <c r="D117" s="1">
        <f>D121</f>
        <v>18</v>
      </c>
    </row>
    <row r="118" spans="1:18" x14ac:dyDescent="0.25">
      <c r="A118" s="30">
        <v>1.3310000000000004</v>
      </c>
      <c r="C118" s="1">
        <f>C117+1</f>
        <v>137</v>
      </c>
      <c r="D118" s="1">
        <f>D117+1</f>
        <v>19</v>
      </c>
    </row>
    <row r="119" spans="1:18" x14ac:dyDescent="0.25">
      <c r="A119" s="30">
        <v>1.2100000000000002</v>
      </c>
      <c r="I119" s="27" t="s">
        <v>8</v>
      </c>
    </row>
    <row r="120" spans="1:18" x14ac:dyDescent="0.25">
      <c r="A120" s="30">
        <v>1.1000000000000001</v>
      </c>
      <c r="C120" s="1" t="s">
        <v>9</v>
      </c>
      <c r="I120" s="27" t="s">
        <v>8</v>
      </c>
      <c r="J120" s="27" t="s">
        <v>7</v>
      </c>
    </row>
    <row r="121" spans="1:18" x14ac:dyDescent="0.25">
      <c r="A121" s="30">
        <v>1</v>
      </c>
      <c r="C121" s="18">
        <v>136</v>
      </c>
      <c r="D121" s="19">
        <v>18</v>
      </c>
      <c r="E121" s="18" t="s">
        <v>8</v>
      </c>
      <c r="I121" s="27" t="s">
        <v>8</v>
      </c>
      <c r="J121" s="27" t="s">
        <v>7</v>
      </c>
      <c r="K121" s="27" t="s">
        <v>8</v>
      </c>
    </row>
    <row r="122" spans="1:18" x14ac:dyDescent="0.25">
      <c r="A122" s="30">
        <v>0.90909090909090895</v>
      </c>
      <c r="C122" s="1" t="str">
        <f>INDEX(1:1048576,C117,D117)</f>
        <v>O</v>
      </c>
      <c r="F122" s="27" t="s">
        <v>7</v>
      </c>
      <c r="G122" s="18" t="s">
        <v>8</v>
      </c>
      <c r="I122" s="27" t="s">
        <v>8</v>
      </c>
      <c r="J122" s="27" t="s">
        <v>7</v>
      </c>
      <c r="K122" s="27" t="s">
        <v>8</v>
      </c>
      <c r="L122" s="27" t="s">
        <v>7</v>
      </c>
      <c r="M122" s="27" t="s">
        <v>8</v>
      </c>
    </row>
    <row r="123" spans="1:18" x14ac:dyDescent="0.25">
      <c r="A123" s="30">
        <v>0.82644628099173523</v>
      </c>
      <c r="C123" s="1" t="str">
        <f>"R"&amp;C121</f>
        <v>R136</v>
      </c>
      <c r="D123" s="1" t="str">
        <f>"C"&amp;D121</f>
        <v>C18</v>
      </c>
      <c r="F123" s="27" t="s">
        <v>7</v>
      </c>
      <c r="G123" s="27" t="s">
        <v>8</v>
      </c>
      <c r="H123" s="27" t="s">
        <v>7</v>
      </c>
      <c r="I123" s="27" t="s">
        <v>8</v>
      </c>
      <c r="J123" s="27" t="s">
        <v>7</v>
      </c>
      <c r="K123" s="27" t="s">
        <v>8</v>
      </c>
      <c r="L123" s="27" t="s">
        <v>7</v>
      </c>
      <c r="M123" s="27" t="s">
        <v>8</v>
      </c>
      <c r="N123" s="27" t="s">
        <v>7</v>
      </c>
    </row>
    <row r="124" spans="1:18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G124" s="27" t="s">
        <v>8</v>
      </c>
      <c r="H124" s="27" t="s">
        <v>7</v>
      </c>
      <c r="I124" s="27" t="s">
        <v>8</v>
      </c>
      <c r="J124" s="27" t="s">
        <v>7</v>
      </c>
      <c r="K124" s="27" t="s">
        <v>8</v>
      </c>
      <c r="L124" s="27" t="s">
        <v>7</v>
      </c>
      <c r="M124" s="27" t="s">
        <v>8</v>
      </c>
      <c r="N124" s="27" t="s">
        <v>7</v>
      </c>
    </row>
    <row r="125" spans="1:18" x14ac:dyDescent="0.25">
      <c r="A125" s="30">
        <v>0.68301345536507019</v>
      </c>
      <c r="F125" s="27" t="s">
        <v>7</v>
      </c>
      <c r="G125" s="27" t="s">
        <v>8</v>
      </c>
      <c r="H125" s="27" t="s">
        <v>7</v>
      </c>
      <c r="I125" s="27" t="s">
        <v>8</v>
      </c>
      <c r="J125" s="27" t="s">
        <v>7</v>
      </c>
      <c r="K125" s="27" t="s">
        <v>8</v>
      </c>
      <c r="L125" s="27" t="s">
        <v>7</v>
      </c>
      <c r="N125" s="27" t="s">
        <v>7</v>
      </c>
    </row>
    <row r="126" spans="1:18" x14ac:dyDescent="0.25">
      <c r="A126" s="30">
        <v>0.6209213230591546</v>
      </c>
      <c r="C126" s="1" t="s">
        <v>10</v>
      </c>
      <c r="F126" s="27" t="s">
        <v>7</v>
      </c>
      <c r="H126" s="27" t="s">
        <v>7</v>
      </c>
      <c r="J126" s="27" t="s">
        <v>7</v>
      </c>
      <c r="N126" s="27" t="s">
        <v>7</v>
      </c>
      <c r="Q126" s="27" t="s">
        <v>8</v>
      </c>
    </row>
    <row r="127" spans="1:18" x14ac:dyDescent="0.25">
      <c r="A127" s="30">
        <v>0.56447393005377677</v>
      </c>
      <c r="C127" s="30">
        <v>0.23939204936916306</v>
      </c>
      <c r="D127"/>
      <c r="N127" s="27" t="s">
        <v>7</v>
      </c>
      <c r="O127" s="27" t="s">
        <v>8</v>
      </c>
      <c r="Q127" s="27" t="s">
        <v>8</v>
      </c>
      <c r="R127" s="27" t="s">
        <v>7</v>
      </c>
    </row>
    <row r="128" spans="1:18" x14ac:dyDescent="0.25">
      <c r="A128" s="30">
        <v>0.51315811823070612</v>
      </c>
      <c r="N128" s="27" t="s">
        <v>7</v>
      </c>
      <c r="O128" s="27" t="s">
        <v>8</v>
      </c>
      <c r="P128" s="27" t="s">
        <v>7</v>
      </c>
      <c r="Q128" s="27" t="s">
        <v>8</v>
      </c>
      <c r="R128" s="27" t="s">
        <v>7</v>
      </c>
    </row>
    <row r="129" spans="1:18" x14ac:dyDescent="0.25">
      <c r="A129" s="30">
        <v>0.46650738020973276</v>
      </c>
      <c r="C129" s="1" t="s">
        <v>11</v>
      </c>
      <c r="D129" s="1" t="s">
        <v>12</v>
      </c>
      <c r="E129"/>
      <c r="N129" s="27" t="s">
        <v>7</v>
      </c>
      <c r="O129" s="27" t="s">
        <v>8</v>
      </c>
      <c r="P129" s="27" t="s">
        <v>7</v>
      </c>
      <c r="Q129" s="27" t="s">
        <v>8</v>
      </c>
      <c r="R129" s="27" t="s">
        <v>7</v>
      </c>
    </row>
    <row r="130" spans="1:18" x14ac:dyDescent="0.25">
      <c r="A130" s="30">
        <v>0.42409761837248428</v>
      </c>
      <c r="C130" s="6"/>
      <c r="D130" s="6"/>
      <c r="E130"/>
      <c r="N130" s="27" t="s">
        <v>7</v>
      </c>
      <c r="P130" s="27" t="s">
        <v>7</v>
      </c>
      <c r="Q130" s="27" t="s">
        <v>8</v>
      </c>
      <c r="R130" s="27" t="s">
        <v>7</v>
      </c>
    </row>
    <row r="131" spans="1:18" x14ac:dyDescent="0.25">
      <c r="A131" s="30">
        <v>0.38554328942953109</v>
      </c>
      <c r="E131"/>
      <c r="P131" s="27" t="s">
        <v>7</v>
      </c>
      <c r="Q131" s="27" t="s">
        <v>8</v>
      </c>
      <c r="R131" s="27" t="s">
        <v>7</v>
      </c>
    </row>
    <row r="132" spans="1:18" x14ac:dyDescent="0.25">
      <c r="A132" s="30">
        <v>0.35049389948139187</v>
      </c>
      <c r="C132" s="1" t="s">
        <v>13</v>
      </c>
      <c r="E132"/>
      <c r="P132" s="27" t="s">
        <v>7</v>
      </c>
      <c r="R132" s="27" t="s">
        <v>7</v>
      </c>
    </row>
    <row r="133" spans="1:18" x14ac:dyDescent="0.25">
      <c r="A133" s="30">
        <v>0.31863081771035617</v>
      </c>
      <c r="C133" s="1" t="str">
        <f>C122</f>
        <v>O</v>
      </c>
      <c r="E133"/>
      <c r="R133" s="27" t="s">
        <v>7</v>
      </c>
    </row>
    <row r="134" spans="1:18" x14ac:dyDescent="0.25">
      <c r="A134" s="30">
        <v>0.28966437973668741</v>
      </c>
      <c r="C134"/>
      <c r="D134"/>
      <c r="E134"/>
      <c r="R134" s="27" t="s">
        <v>7</v>
      </c>
    </row>
    <row r="135" spans="1:18" x14ac:dyDescent="0.25">
      <c r="A135" s="30">
        <v>0.2633312543060794</v>
      </c>
      <c r="C135" s="1" t="s">
        <v>14</v>
      </c>
      <c r="E135"/>
      <c r="R135" s="27" t="s">
        <v>7</v>
      </c>
    </row>
    <row r="136" spans="1:18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R136" s="27" t="s">
        <v>7</v>
      </c>
    </row>
    <row r="137" spans="1:18" x14ac:dyDescent="0.25">
      <c r="A137" s="30">
        <v>0.2176291357901482</v>
      </c>
      <c r="E137"/>
    </row>
    <row r="138" spans="1:18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18" x14ac:dyDescent="0.25">
      <c r="A139" s="30">
        <v>0.17985878990921333</v>
      </c>
      <c r="E139"/>
    </row>
    <row r="140" spans="1:18" x14ac:dyDescent="0.25">
      <c r="A140" s="30">
        <v>0.16350799082655756</v>
      </c>
      <c r="C140" s="1">
        <v>0</v>
      </c>
      <c r="E140"/>
    </row>
    <row r="141" spans="1:18" x14ac:dyDescent="0.25">
      <c r="A141" s="30">
        <v>0.14864362802414322</v>
      </c>
      <c r="C141" s="1">
        <v>1</v>
      </c>
      <c r="E141"/>
    </row>
    <row r="142" spans="1:18" x14ac:dyDescent="0.25">
      <c r="A142" s="30">
        <v>0.13513057093103928</v>
      </c>
      <c r="C142" s="1">
        <v>2</v>
      </c>
      <c r="E142"/>
    </row>
    <row r="143" spans="1:18" x14ac:dyDescent="0.25">
      <c r="A143" s="30">
        <v>0.12284597357367205</v>
      </c>
      <c r="C143" s="1">
        <v>3</v>
      </c>
      <c r="E143"/>
    </row>
    <row r="144" spans="1:18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621" operator="equal">
      <formula>$U$1</formula>
    </cfRule>
    <cfRule type="cellIs" dxfId="30" priority="622" operator="equal">
      <formula>$S$1</formula>
    </cfRule>
  </conditionalFormatting>
  <conditionalFormatting sqref="D136">
    <cfRule type="cellIs" dxfId="29" priority="619" operator="equal">
      <formula>$S$1</formula>
    </cfRule>
    <cfRule type="cellIs" dxfId="28" priority="620" operator="equal">
      <formula>$U$1</formula>
    </cfRule>
  </conditionalFormatting>
  <conditionalFormatting sqref="C102">
    <cfRule type="cellIs" dxfId="27" priority="617" operator="equal">
      <formula>$U$1</formula>
    </cfRule>
    <cfRule type="cellIs" dxfId="26" priority="618" operator="equal">
      <formula>$S$1</formula>
    </cfRule>
  </conditionalFormatting>
  <conditionalFormatting sqref="D102">
    <cfRule type="cellIs" dxfId="25" priority="615" operator="equal">
      <formula>$S$1</formula>
    </cfRule>
    <cfRule type="cellIs" dxfId="24" priority="616" operator="equal">
      <formula>$U$1</formula>
    </cfRule>
  </conditionalFormatting>
  <conditionalFormatting sqref="C77">
    <cfRule type="cellIs" dxfId="23" priority="613" operator="equal">
      <formula>$U$1</formula>
    </cfRule>
    <cfRule type="cellIs" dxfId="22" priority="614" operator="equal">
      <formula>$S$1</formula>
    </cfRule>
  </conditionalFormatting>
  <conditionalFormatting sqref="D77">
    <cfRule type="cellIs" dxfId="21" priority="611" operator="equal">
      <formula>$S$1</formula>
    </cfRule>
    <cfRule type="cellIs" dxfId="20" priority="612" operator="equal">
      <formula>$U$1</formula>
    </cfRule>
  </conditionalFormatting>
  <conditionalFormatting sqref="C52">
    <cfRule type="cellIs" dxfId="19" priority="609" operator="equal">
      <formula>$U$1</formula>
    </cfRule>
    <cfRule type="cellIs" dxfId="18" priority="610" operator="equal">
      <formula>$S$1</formula>
    </cfRule>
  </conditionalFormatting>
  <conditionalFormatting sqref="D52">
    <cfRule type="cellIs" dxfId="17" priority="607" operator="equal">
      <formula>$S$1</formula>
    </cfRule>
    <cfRule type="cellIs" dxfId="16" priority="608" operator="equal">
      <formula>$U$1</formula>
    </cfRule>
  </conditionalFormatting>
  <conditionalFormatting sqref="C26">
    <cfRule type="cellIs" dxfId="15" priority="605" operator="equal">
      <formula>$U$1</formula>
    </cfRule>
    <cfRule type="cellIs" dxfId="14" priority="606" operator="equal">
      <formula>$S$1</formula>
    </cfRule>
  </conditionalFormatting>
  <conditionalFormatting sqref="D26">
    <cfRule type="cellIs" dxfId="13" priority="603" operator="equal">
      <formula>$S$1</formula>
    </cfRule>
    <cfRule type="cellIs" dxfId="12" priority="604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2022-01-28T01:20:08Z</dcterms:modified>
</cp:coreProperties>
</file>