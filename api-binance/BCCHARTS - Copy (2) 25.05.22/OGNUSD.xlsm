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DB64710-2047-4A3B-BD7E-BC7754AA29A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D136" i="5" s="1"/>
  <c r="C118" i="5"/>
  <c r="C118" i="4"/>
  <c r="C116" i="4"/>
  <c r="C118" i="3"/>
  <c r="C122" i="3"/>
  <c r="C133" i="3" s="1"/>
  <c r="C136" i="3" s="1"/>
  <c r="R765" i="1"/>
  <c r="D136" i="4" l="1"/>
  <c r="C138" i="4" s="1"/>
  <c r="C136" i="5"/>
  <c r="C138" i="5" s="1"/>
  <c r="D136" i="3"/>
  <c r="C138" i="3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S755" i="1" l="1"/>
  <c r="T755" i="1" s="1"/>
  <c r="R754" i="1"/>
  <c r="R753" i="1" l="1"/>
  <c r="S754" i="1"/>
  <c r="T754" i="1" s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R578" i="1" l="1"/>
  <c r="S579" i="1"/>
  <c r="T579" i="1" s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R560" i="1" l="1"/>
  <c r="S561" i="1"/>
  <c r="T561" i="1" s="1"/>
  <c r="R559" i="1" l="1"/>
  <c r="S560" i="1"/>
  <c r="T560" i="1" s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R542" i="1" l="1"/>
  <c r="S543" i="1"/>
  <c r="T543" i="1" s="1"/>
  <c r="S542" i="1" l="1"/>
  <c r="T542" i="1" s="1"/>
  <c r="R541" i="1"/>
  <c r="R540" i="1" l="1"/>
  <c r="S541" i="1"/>
  <c r="T541" i="1" s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S484" i="1" l="1"/>
  <c r="T484" i="1" s="1"/>
  <c r="R483" i="1"/>
  <c r="R482" i="1" l="1"/>
  <c r="S483" i="1"/>
  <c r="T483" i="1" s="1"/>
  <c r="S482" i="1" l="1"/>
  <c r="T482" i="1" s="1"/>
  <c r="R481" i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R439" i="1" l="1"/>
  <c r="S440" i="1"/>
  <c r="T440" i="1" s="1"/>
  <c r="S439" i="1" l="1"/>
  <c r="T439" i="1" s="1"/>
  <c r="R438" i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S408" i="1" l="1"/>
  <c r="T408" i="1" s="1"/>
  <c r="R407" i="1"/>
  <c r="R406" i="1" l="1"/>
  <c r="S407" i="1"/>
  <c r="T407" i="1" s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S400" i="1" l="1"/>
  <c r="T400" i="1" s="1"/>
  <c r="R399" i="1"/>
  <c r="R398" i="1" l="1"/>
  <c r="S399" i="1"/>
  <c r="T399" i="1" s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R204" i="1" l="1"/>
  <c r="S205" i="1"/>
  <c r="T205" i="1" s="1"/>
  <c r="S204" i="1" l="1"/>
  <c r="T204" i="1" s="1"/>
  <c r="R203" i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S199" i="1" l="1"/>
  <c r="T199" i="1" s="1"/>
  <c r="R198" i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<sst xmlns="http://schemas.openxmlformats.org/spreadsheetml/2006/main" count="8936" uniqueCount="34">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</sst>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0.31690000000000002</c:v>
                </c:pt>
                <c:pt idx="1">
                  <c:v>0.32150000000000001</c:v>
                </c:pt>
                <c:pt idx="2">
                  <c:v>0.32119999999999999</c:v>
                </c:pt>
                <c:pt idx="3">
                  <c:v>0.312</c:v>
                </c:pt>
                <c:pt idx="4">
                  <c:v>0.33040000000000003</c:v>
                </c:pt>
                <c:pt idx="5">
                  <c:v>0.31869999999999998</c:v>
                </c:pt>
                <c:pt idx="6">
                  <c:v>0.35110000000000002</c:v>
                </c:pt>
                <c:pt idx="7">
                  <c:v>0.42680000000000001</c:v>
                </c:pt>
                <c:pt idx="8">
                  <c:v>0.46879999999999999</c:v>
                </c:pt>
                <c:pt idx="9">
                  <c:v>0.49830000000000002</c:v>
                </c:pt>
                <c:pt idx="10">
                  <c:v>0.50960000000000005</c:v>
                </c:pt>
                <c:pt idx="11">
                  <c:v>0.54310000000000003</c:v>
                </c:pt>
                <c:pt idx="12">
                  <c:v>0.5323</c:v>
                </c:pt>
                <c:pt idx="13">
                  <c:v>0.5212</c:v>
                </c:pt>
                <c:pt idx="14">
                  <c:v>0.51129999999999998</c:v>
                </c:pt>
                <c:pt idx="15">
                  <c:v>0.53949999999999998</c:v>
                </c:pt>
                <c:pt idx="16">
                  <c:v>0.51639999999999997</c:v>
                </c:pt>
                <c:pt idx="17">
                  <c:v>0.49609999999999999</c:v>
                </c:pt>
                <c:pt idx="18">
                  <c:v>0.5262</c:v>
                </c:pt>
                <c:pt idx="19">
                  <c:v>0.51539999999999997</c:v>
                </c:pt>
                <c:pt idx="20">
                  <c:v>0.54649999999999999</c:v>
                </c:pt>
                <c:pt idx="21">
                  <c:v>0.59109999999999996</c:v>
                </c:pt>
                <c:pt idx="22">
                  <c:v>0.59550000000000003</c:v>
                </c:pt>
                <c:pt idx="23">
                  <c:v>0.66049999999999998</c:v>
                </c:pt>
                <c:pt idx="24">
                  <c:v>0.63929999999999998</c:v>
                </c:pt>
                <c:pt idx="25">
                  <c:v>0.64029999999999998</c:v>
                </c:pt>
                <c:pt idx="26">
                  <c:v>0.63270000000000004</c:v>
                </c:pt>
                <c:pt idx="27">
                  <c:v>0.61180000000000001</c:v>
                </c:pt>
                <c:pt idx="28">
                  <c:v>0.63300000000000001</c:v>
                </c:pt>
                <c:pt idx="29">
                  <c:v>0.62790000000000001</c:v>
                </c:pt>
                <c:pt idx="30">
                  <c:v>0.63949999999999996</c:v>
                </c:pt>
                <c:pt idx="31">
                  <c:v>0.72409999999999997</c:v>
                </c:pt>
                <c:pt idx="32">
                  <c:v>0.73009999999999997</c:v>
                </c:pt>
                <c:pt idx="33">
                  <c:v>0.71850000000000003</c:v>
                </c:pt>
                <c:pt idx="34">
                  <c:v>0.6734</c:v>
                </c:pt>
                <c:pt idx="35">
                  <c:v>0.68769999999999998</c:v>
                </c:pt>
                <c:pt idx="36">
                  <c:v>0.63529999999999998</c:v>
                </c:pt>
                <c:pt idx="37">
                  <c:v>0.62450000000000006</c:v>
                </c:pt>
                <c:pt idx="38">
                  <c:v>0.60699999999999998</c:v>
                </c:pt>
                <c:pt idx="39">
                  <c:v>0.60309999999999997</c:v>
                </c:pt>
                <c:pt idx="40">
                  <c:v>0.60360000000000003</c:v>
                </c:pt>
                <c:pt idx="41">
                  <c:v>0.59830000000000005</c:v>
                </c:pt>
                <c:pt idx="42">
                  <c:v>0.61980000000000002</c:v>
                </c:pt>
                <c:pt idx="43">
                  <c:v>0.62009999999999998</c:v>
                </c:pt>
                <c:pt idx="44">
                  <c:v>0.60829999999999995</c:v>
                </c:pt>
                <c:pt idx="45">
                  <c:v>0.59430000000000005</c:v>
                </c:pt>
                <c:pt idx="46">
                  <c:v>0.68130000000000002</c:v>
                </c:pt>
                <c:pt idx="47">
                  <c:v>0.64049999999999996</c:v>
                </c:pt>
                <c:pt idx="48">
                  <c:v>0.6361</c:v>
                </c:pt>
                <c:pt idx="49">
                  <c:v>0.66390000000000005</c:v>
                </c:pt>
                <c:pt idx="50">
                  <c:v>0.73319999999999996</c:v>
                </c:pt>
                <c:pt idx="51">
                  <c:v>0.7258</c:v>
                </c:pt>
                <c:pt idx="52">
                  <c:v>0.74690000000000001</c:v>
                </c:pt>
                <c:pt idx="53">
                  <c:v>0.74939999999999996</c:v>
                </c:pt>
                <c:pt idx="54">
                  <c:v>0.80279999999999996</c:v>
                </c:pt>
                <c:pt idx="55">
                  <c:v>0.95709999999999995</c:v>
                </c:pt>
                <c:pt idx="56">
                  <c:v>1.0021</c:v>
                </c:pt>
                <c:pt idx="57">
                  <c:v>1.0278</c:v>
                </c:pt>
                <c:pt idx="58">
                  <c:v>1.0003</c:v>
                </c:pt>
                <c:pt idx="59">
                  <c:v>1.0258</c:v>
                </c:pt>
                <c:pt idx="60">
                  <c:v>1.0313000000000001</c:v>
                </c:pt>
                <c:pt idx="61">
                  <c:v>1.0483</c:v>
                </c:pt>
                <c:pt idx="62">
                  <c:v>1.0059</c:v>
                </c:pt>
                <c:pt idx="63">
                  <c:v>1.1326000000000001</c:v>
                </c:pt>
                <c:pt idx="64">
                  <c:v>1.0134000000000001</c:v>
                </c:pt>
                <c:pt idx="65">
                  <c:v>1.0150999999999999</c:v>
                </c:pt>
                <c:pt idx="66">
                  <c:v>1.0238</c:v>
                </c:pt>
                <c:pt idx="67">
                  <c:v>1.1151</c:v>
                </c:pt>
                <c:pt idx="68">
                  <c:v>1.1333</c:v>
                </c:pt>
                <c:pt idx="69">
                  <c:v>1.0065999999999999</c:v>
                </c:pt>
                <c:pt idx="70">
                  <c:v>0.98470000000000002</c:v>
                </c:pt>
                <c:pt idx="71">
                  <c:v>1.0392999999999999</c:v>
                </c:pt>
                <c:pt idx="72">
                  <c:v>0.94910000000000005</c:v>
                </c:pt>
                <c:pt idx="73">
                  <c:v>1.0651999999999999</c:v>
                </c:pt>
                <c:pt idx="74">
                  <c:v>1.1263000000000001</c:v>
                </c:pt>
                <c:pt idx="75">
                  <c:v>1.1476</c:v>
                </c:pt>
                <c:pt idx="76">
                  <c:v>1.1891</c:v>
                </c:pt>
                <c:pt idx="77">
                  <c:v>1.2644</c:v>
                </c:pt>
                <c:pt idx="78">
                  <c:v>1.0865</c:v>
                </c:pt>
                <c:pt idx="79">
                  <c:v>1.0417000000000001</c:v>
                </c:pt>
                <c:pt idx="80">
                  <c:v>1.0516000000000001</c:v>
                </c:pt>
                <c:pt idx="81">
                  <c:v>1.0308999999999999</c:v>
                </c:pt>
                <c:pt idx="82">
                  <c:v>1.0007999999999999</c:v>
                </c:pt>
                <c:pt idx="83">
                  <c:v>0.99770000000000003</c:v>
                </c:pt>
                <c:pt idx="84">
                  <c:v>1.0535000000000001</c:v>
                </c:pt>
                <c:pt idx="85">
                  <c:v>1.0549999999999999</c:v>
                </c:pt>
                <c:pt idx="86">
                  <c:v>1.1315</c:v>
                </c:pt>
                <c:pt idx="87">
                  <c:v>1.0263</c:v>
                </c:pt>
                <c:pt idx="88">
                  <c:v>1.0098</c:v>
                </c:pt>
                <c:pt idx="89">
                  <c:v>1.1194</c:v>
                </c:pt>
                <c:pt idx="90">
                  <c:v>0.89549999999999996</c:v>
                </c:pt>
                <c:pt idx="91">
                  <c:v>0.79959999999999998</c:v>
                </c:pt>
                <c:pt idx="92">
                  <c:v>0.75029999999999997</c:v>
                </c:pt>
                <c:pt idx="93">
                  <c:v>0.88119999999999998</c:v>
                </c:pt>
                <c:pt idx="94">
                  <c:v>0.8367</c:v>
                </c:pt>
                <c:pt idx="95">
                  <c:v>0.81079999999999997</c:v>
                </c:pt>
                <c:pt idx="96">
                  <c:v>0.82940000000000003</c:v>
                </c:pt>
                <c:pt idx="97">
                  <c:v>0.83699999999999997</c:v>
                </c:pt>
                <c:pt idx="98">
                  <c:v>0.83230000000000004</c:v>
                </c:pt>
                <c:pt idx="99">
                  <c:v>0.86829999999999996</c:v>
                </c:pt>
                <c:pt idx="100">
                  <c:v>0.83179999999999998</c:v>
                </c:pt>
                <c:pt idx="101">
                  <c:v>0.82189999999999996</c:v>
                </c:pt>
                <c:pt idx="102">
                  <c:v>0.83509999999999995</c:v>
                </c:pt>
                <c:pt idx="103">
                  <c:v>0.8609</c:v>
                </c:pt>
                <c:pt idx="104">
                  <c:v>0.83340000000000003</c:v>
                </c:pt>
                <c:pt idx="105">
                  <c:v>0.81950000000000001</c:v>
                </c:pt>
                <c:pt idx="106">
                  <c:v>0.81969999999999998</c:v>
                </c:pt>
                <c:pt idx="107">
                  <c:v>0.79720000000000002</c:v>
                </c:pt>
                <c:pt idx="108">
                  <c:v>0.80549999999999999</c:v>
                </c:pt>
                <c:pt idx="109">
                  <c:v>0.82450000000000001</c:v>
                </c:pt>
                <c:pt idx="110">
                  <c:v>0.89459999999999995</c:v>
                </c:pt>
                <c:pt idx="111">
                  <c:v>0.89280000000000004</c:v>
                </c:pt>
                <c:pt idx="112">
                  <c:v>0.90269999999999995</c:v>
                </c:pt>
                <c:pt idx="113">
                  <c:v>0.90059999999999996</c:v>
                </c:pt>
                <c:pt idx="114">
                  <c:v>0.9294</c:v>
                </c:pt>
                <c:pt idx="115">
                  <c:v>0.93889999999999996</c:v>
                </c:pt>
                <c:pt idx="116">
                  <c:v>0.8518</c:v>
                </c:pt>
                <c:pt idx="117">
                  <c:v>0.84889999999999999</c:v>
                </c:pt>
                <c:pt idx="118">
                  <c:v>0.85270000000000001</c:v>
                </c:pt>
                <c:pt idx="119">
                  <c:v>0.74350000000000005</c:v>
                </c:pt>
                <c:pt idx="120">
                  <c:v>0.70830000000000004</c:v>
                </c:pt>
                <c:pt idx="121">
                  <c:v>0.69330000000000003</c:v>
                </c:pt>
                <c:pt idx="122">
                  <c:v>0.71530000000000005</c:v>
                </c:pt>
                <c:pt idx="123">
                  <c:v>0.73209999999999997</c:v>
                </c:pt>
                <c:pt idx="124">
                  <c:v>0.75849999999999995</c:v>
                </c:pt>
                <c:pt idx="125">
                  <c:v>0.77039999999999997</c:v>
                </c:pt>
                <c:pt idx="126">
                  <c:v>0.86370000000000002</c:v>
                </c:pt>
                <c:pt idx="127">
                  <c:v>0.80830000000000002</c:v>
                </c:pt>
                <c:pt idx="128">
                  <c:v>0.71789999999999998</c:v>
                </c:pt>
                <c:pt idx="129">
                  <c:v>0.90790000000000004</c:v>
                </c:pt>
                <c:pt idx="130">
                  <c:v>1.0146999999999999</c:v>
                </c:pt>
                <c:pt idx="131">
                  <c:v>1.0665</c:v>
                </c:pt>
                <c:pt idx="132">
                  <c:v>1.0607</c:v>
                </c:pt>
                <c:pt idx="133">
                  <c:v>1.1314</c:v>
                </c:pt>
                <c:pt idx="134">
                  <c:v>1.0347</c:v>
                </c:pt>
                <c:pt idx="135">
                  <c:v>0.97919999999999996</c:v>
                </c:pt>
                <c:pt idx="136">
                  <c:v>0.91859999999999997</c:v>
                </c:pt>
                <c:pt idx="137">
                  <c:v>0.99709999999999999</c:v>
                </c:pt>
                <c:pt idx="138">
                  <c:v>0.94899999999999995</c:v>
                </c:pt>
                <c:pt idx="139">
                  <c:v>0.93030000000000002</c:v>
                </c:pt>
                <c:pt idx="140">
                  <c:v>1.0042</c:v>
                </c:pt>
                <c:pt idx="141">
                  <c:v>0.99160000000000004</c:v>
                </c:pt>
                <c:pt idx="142">
                  <c:v>1.0074000000000001</c:v>
                </c:pt>
                <c:pt idx="143">
                  <c:v>1.3713</c:v>
                </c:pt>
                <c:pt idx="144">
                  <c:v>1.3376999999999999</c:v>
                </c:pt>
                <c:pt idx="145">
                  <c:v>1.2701</c:v>
                </c:pt>
                <c:pt idx="146">
                  <c:v>1.3580000000000001</c:v>
                </c:pt>
                <c:pt idx="147">
                  <c:v>1.1649</c:v>
                </c:pt>
                <c:pt idx="148">
                  <c:v>1.1734</c:v>
                </c:pt>
                <c:pt idx="149">
                  <c:v>1.129</c:v>
                </c:pt>
                <c:pt idx="150">
                  <c:v>1.1908000000000001</c:v>
                </c:pt>
                <c:pt idx="151">
                  <c:v>1.0545</c:v>
                </c:pt>
                <c:pt idx="152">
                  <c:v>1.0884</c:v>
                </c:pt>
                <c:pt idx="153">
                  <c:v>1.0744</c:v>
                </c:pt>
                <c:pt idx="154">
                  <c:v>1.0154000000000001</c:v>
                </c:pt>
                <c:pt idx="155">
                  <c:v>1.0690999999999999</c:v>
                </c:pt>
                <c:pt idx="156">
                  <c:v>1.0289999999999999</c:v>
                </c:pt>
                <c:pt idx="157">
                  <c:v>1.1415999999999999</c:v>
                </c:pt>
                <c:pt idx="158">
                  <c:v>1.0935999999999999</c:v>
                </c:pt>
                <c:pt idx="159">
                  <c:v>1.0885</c:v>
                </c:pt>
                <c:pt idx="160">
                  <c:v>1.0680000000000001</c:v>
                </c:pt>
                <c:pt idx="161">
                  <c:v>1.0144</c:v>
                </c:pt>
                <c:pt idx="162">
                  <c:v>0.94930000000000003</c:v>
                </c:pt>
                <c:pt idx="163">
                  <c:v>0.95809999999999995</c:v>
                </c:pt>
                <c:pt idx="164">
                  <c:v>1.0508</c:v>
                </c:pt>
                <c:pt idx="165">
                  <c:v>1.0657000000000001</c:v>
                </c:pt>
                <c:pt idx="166">
                  <c:v>1.0909</c:v>
                </c:pt>
                <c:pt idx="167">
                  <c:v>0.99119999999999997</c:v>
                </c:pt>
                <c:pt idx="168">
                  <c:v>0.9093</c:v>
                </c:pt>
                <c:pt idx="169">
                  <c:v>0.94510000000000005</c:v>
                </c:pt>
                <c:pt idx="170">
                  <c:v>0.89810000000000001</c:v>
                </c:pt>
                <c:pt idx="171">
                  <c:v>0.85860000000000003</c:v>
                </c:pt>
                <c:pt idx="172">
                  <c:v>0.8004</c:v>
                </c:pt>
                <c:pt idx="173">
                  <c:v>0.87270000000000003</c:v>
                </c:pt>
                <c:pt idx="174">
                  <c:v>0.83230000000000004</c:v>
                </c:pt>
                <c:pt idx="175">
                  <c:v>0.80820000000000003</c:v>
                </c:pt>
                <c:pt idx="176">
                  <c:v>0.82799999999999996</c:v>
                </c:pt>
                <c:pt idx="177">
                  <c:v>0.7631</c:v>
                </c:pt>
                <c:pt idx="178">
                  <c:v>0.78739999999999999</c:v>
                </c:pt>
                <c:pt idx="179">
                  <c:v>0.77869999999999995</c:v>
                </c:pt>
                <c:pt idx="180">
                  <c:v>0.80549999999999999</c:v>
                </c:pt>
                <c:pt idx="181">
                  <c:v>0.78859999999999997</c:v>
                </c:pt>
                <c:pt idx="182">
                  <c:v>0.78139999999999998</c:v>
                </c:pt>
                <c:pt idx="183">
                  <c:v>0.7762</c:v>
                </c:pt>
                <c:pt idx="184">
                  <c:v>0.76759999999999995</c:v>
                </c:pt>
                <c:pt idx="185">
                  <c:v>0.74670000000000003</c:v>
                </c:pt>
                <c:pt idx="186">
                  <c:v>0.79700000000000004</c:v>
                </c:pt>
                <c:pt idx="187">
                  <c:v>0.78610000000000002</c:v>
                </c:pt>
                <c:pt idx="188">
                  <c:v>0.75239999999999996</c:v>
                </c:pt>
                <c:pt idx="189">
                  <c:v>0.6804</c:v>
                </c:pt>
                <c:pt idx="190">
                  <c:v>0.65849999999999997</c:v>
                </c:pt>
                <c:pt idx="191">
                  <c:v>0.5907</c:v>
                </c:pt>
                <c:pt idx="192">
                  <c:v>0.65280000000000005</c:v>
                </c:pt>
                <c:pt idx="193">
                  <c:v>0.70840000000000003</c:v>
                </c:pt>
                <c:pt idx="194">
                  <c:v>0.7177</c:v>
                </c:pt>
                <c:pt idx="195">
                  <c:v>0.74099999999999999</c:v>
                </c:pt>
                <c:pt idx="196">
                  <c:v>0.93679999999999997</c:v>
                </c:pt>
                <c:pt idx="197">
                  <c:v>0.81810000000000005</c:v>
                </c:pt>
                <c:pt idx="198">
                  <c:v>0.74119999999999997</c:v>
                </c:pt>
                <c:pt idx="199">
                  <c:v>0.70660000000000001</c:v>
                </c:pt>
                <c:pt idx="200">
                  <c:v>0.76190000000000002</c:v>
                </c:pt>
                <c:pt idx="201">
                  <c:v>0.79249999999999998</c:v>
                </c:pt>
                <c:pt idx="202">
                  <c:v>0.67449999999999999</c:v>
                </c:pt>
                <c:pt idx="203">
                  <c:v>0.6583</c:v>
                </c:pt>
                <c:pt idx="204">
                  <c:v>0.73219999999999996</c:v>
                </c:pt>
                <c:pt idx="205">
                  <c:v>0.66400000000000003</c:v>
                </c:pt>
                <c:pt idx="206">
                  <c:v>0.63649999999999995</c:v>
                </c:pt>
                <c:pt idx="207">
                  <c:v>0.67269999999999996</c:v>
                </c:pt>
                <c:pt idx="208">
                  <c:v>0.65639999999999998</c:v>
                </c:pt>
                <c:pt idx="209">
                  <c:v>0.64459999999999995</c:v>
                </c:pt>
                <c:pt idx="210">
                  <c:v>0.64810000000000001</c:v>
                </c:pt>
                <c:pt idx="211">
                  <c:v>0.6885</c:v>
                </c:pt>
                <c:pt idx="212">
                  <c:v>0.68589999999999995</c:v>
                </c:pt>
                <c:pt idx="213">
                  <c:v>0.67069999999999996</c:v>
                </c:pt>
                <c:pt idx="214">
                  <c:v>0.68320000000000003</c:v>
                </c:pt>
                <c:pt idx="215">
                  <c:v>0.62219999999999998</c:v>
                </c:pt>
                <c:pt idx="216">
                  <c:v>0.61150000000000004</c:v>
                </c:pt>
                <c:pt idx="217">
                  <c:v>0.68679999999999997</c:v>
                </c:pt>
                <c:pt idx="218">
                  <c:v>0.67369999999999997</c:v>
                </c:pt>
                <c:pt idx="219">
                  <c:v>0.61599999999999999</c:v>
                </c:pt>
                <c:pt idx="220">
                  <c:v>0.66930000000000001</c:v>
                </c:pt>
                <c:pt idx="221">
                  <c:v>0.8659</c:v>
                </c:pt>
                <c:pt idx="222">
                  <c:v>0.82130000000000003</c:v>
                </c:pt>
                <c:pt idx="223">
                  <c:v>0.82350000000000001</c:v>
                </c:pt>
                <c:pt idx="224">
                  <c:v>0.89400000000000002</c:v>
                </c:pt>
                <c:pt idx="225">
                  <c:v>0.91790000000000005</c:v>
                </c:pt>
                <c:pt idx="226">
                  <c:v>0.9829</c:v>
                </c:pt>
                <c:pt idx="227">
                  <c:v>0.92049999999999998</c:v>
                </c:pt>
                <c:pt idx="228">
                  <c:v>0.77559999999999996</c:v>
                </c:pt>
                <c:pt idx="229">
                  <c:v>0.72409999999999997</c:v>
                </c:pt>
                <c:pt idx="230">
                  <c:v>0.77210000000000001</c:v>
                </c:pt>
                <c:pt idx="231">
                  <c:v>0.76990000000000003</c:v>
                </c:pt>
                <c:pt idx="232">
                  <c:v>0.85719999999999996</c:v>
                </c:pt>
                <c:pt idx="233">
                  <c:v>0.82330000000000003</c:v>
                </c:pt>
                <c:pt idx="234">
                  <c:v>0.8427</c:v>
                </c:pt>
                <c:pt idx="235">
                  <c:v>0.94589999999999996</c:v>
                </c:pt>
                <c:pt idx="236">
                  <c:v>0.9264</c:v>
                </c:pt>
                <c:pt idx="237">
                  <c:v>0.94379999999999997</c:v>
                </c:pt>
                <c:pt idx="238">
                  <c:v>1.0731999999999999</c:v>
                </c:pt>
                <c:pt idx="239">
                  <c:v>1.0427</c:v>
                </c:pt>
                <c:pt idx="240">
                  <c:v>1.0529999999999999</c:v>
                </c:pt>
                <c:pt idx="241">
                  <c:v>1.0860000000000001</c:v>
                </c:pt>
                <c:pt idx="242">
                  <c:v>1.1337999999999999</c:v>
                </c:pt>
                <c:pt idx="243">
                  <c:v>0.90310000000000001</c:v>
                </c:pt>
                <c:pt idx="244">
                  <c:v>0.94130000000000003</c:v>
                </c:pt>
                <c:pt idx="245">
                  <c:v>1.1109</c:v>
                </c:pt>
                <c:pt idx="246">
                  <c:v>1.2030000000000001</c:v>
                </c:pt>
                <c:pt idx="247">
                  <c:v>1.0660000000000001</c:v>
                </c:pt>
                <c:pt idx="248">
                  <c:v>0.68530000000000002</c:v>
                </c:pt>
                <c:pt idx="249">
                  <c:v>0.5696</c:v>
                </c:pt>
                <c:pt idx="250">
                  <c:v>0.68340000000000001</c:v>
                </c:pt>
                <c:pt idx="251">
                  <c:v>0.70469999999999999</c:v>
                </c:pt>
                <c:pt idx="252">
                  <c:v>0.80049999999999999</c:v>
                </c:pt>
                <c:pt idx="253">
                  <c:v>0.70579999999999998</c:v>
                </c:pt>
                <c:pt idx="254">
                  <c:v>1.1302000000000001</c:v>
                </c:pt>
                <c:pt idx="255">
                  <c:v>1.1138999999999999</c:v>
                </c:pt>
                <c:pt idx="256">
                  <c:v>1.1998</c:v>
                </c:pt>
                <c:pt idx="257">
                  <c:v>1.2517</c:v>
                </c:pt>
                <c:pt idx="258">
                  <c:v>1.38</c:v>
                </c:pt>
                <c:pt idx="259">
                  <c:v>1.2706999999999999</c:v>
                </c:pt>
                <c:pt idx="260">
                  <c:v>1.21</c:v>
                </c:pt>
                <c:pt idx="261">
                  <c:v>1.4332</c:v>
                </c:pt>
                <c:pt idx="262">
                  <c:v>1.3523000000000001</c:v>
                </c:pt>
                <c:pt idx="263">
                  <c:v>1.5596000000000001</c:v>
                </c:pt>
                <c:pt idx="264">
                  <c:v>1.5733999999999999</c:v>
                </c:pt>
                <c:pt idx="265">
                  <c:v>1.5716000000000001</c:v>
                </c:pt>
                <c:pt idx="266">
                  <c:v>1.5863</c:v>
                </c:pt>
                <c:pt idx="267">
                  <c:v>1.7044999999999999</c:v>
                </c:pt>
                <c:pt idx="268">
                  <c:v>1.5669999999999999</c:v>
                </c:pt>
                <c:pt idx="269">
                  <c:v>1.8593999999999999</c:v>
                </c:pt>
                <c:pt idx="270">
                  <c:v>1.798</c:v>
                </c:pt>
                <c:pt idx="271">
                  <c:v>1.8720000000000001</c:v>
                </c:pt>
                <c:pt idx="272">
                  <c:v>1.8589</c:v>
                </c:pt>
                <c:pt idx="273">
                  <c:v>1.8030999999999999</c:v>
                </c:pt>
                <c:pt idx="274">
                  <c:v>1.883</c:v>
                </c:pt>
                <c:pt idx="275">
                  <c:v>1.9502999999999999</c:v>
                </c:pt>
                <c:pt idx="276">
                  <c:v>1.712</c:v>
                </c:pt>
                <c:pt idx="277">
                  <c:v>1.5153000000000001</c:v>
                </c:pt>
                <c:pt idx="278">
                  <c:v>1.4635</c:v>
                </c:pt>
                <c:pt idx="279">
                  <c:v>1.6738</c:v>
                </c:pt>
                <c:pt idx="280">
                  <c:v>1.6435</c:v>
                </c:pt>
                <c:pt idx="281">
                  <c:v>1.9253</c:v>
                </c:pt>
                <c:pt idx="282">
                  <c:v>1.6840999999999999</c:v>
                </c:pt>
                <c:pt idx="283">
                  <c:v>1.6552</c:v>
                </c:pt>
                <c:pt idx="284">
                  <c:v>1.9545999999999999</c:v>
                </c:pt>
                <c:pt idx="285">
                  <c:v>2.2789000000000001</c:v>
                </c:pt>
                <c:pt idx="286">
                  <c:v>2.2705000000000002</c:v>
                </c:pt>
                <c:pt idx="287">
                  <c:v>2.4051999999999998</c:v>
                </c:pt>
                <c:pt idx="288">
                  <c:v>2.3639000000000001</c:v>
                </c:pt>
                <c:pt idx="289">
                  <c:v>2.4205000000000001</c:v>
                </c:pt>
                <c:pt idx="290">
                  <c:v>2.4142000000000001</c:v>
                </c:pt>
                <c:pt idx="291">
                  <c:v>2.5613000000000001</c:v>
                </c:pt>
                <c:pt idx="292">
                  <c:v>2.6234999999999999</c:v>
                </c:pt>
                <c:pt idx="293">
                  <c:v>2.9460999999999999</c:v>
                </c:pt>
                <c:pt idx="294">
                  <c:v>3.0832999999999999</c:v>
                </c:pt>
                <c:pt idx="295">
                  <c:v>2.9137</c:v>
                </c:pt>
                <c:pt idx="296">
                  <c:v>2.3138000000000001</c:v>
                </c:pt>
                <c:pt idx="297">
                  <c:v>2.5051999999999999</c:v>
                </c:pt>
                <c:pt idx="298">
                  <c:v>1.9607000000000001</c:v>
                </c:pt>
                <c:pt idx="299">
                  <c:v>1.6625000000000001</c:v>
                </c:pt>
                <c:pt idx="300">
                  <c:v>1.8416999999999999</c:v>
                </c:pt>
                <c:pt idx="301">
                  <c:v>1.7843</c:v>
                </c:pt>
                <c:pt idx="302">
                  <c:v>1.9770000000000001</c:v>
                </c:pt>
                <c:pt idx="303">
                  <c:v>1.9763999999999999</c:v>
                </c:pt>
                <c:pt idx="304">
                  <c:v>1.7714000000000001</c:v>
                </c:pt>
                <c:pt idx="305">
                  <c:v>1.3819999999999999</c:v>
                </c:pt>
                <c:pt idx="306">
                  <c:v>1.0584</c:v>
                </c:pt>
                <c:pt idx="307">
                  <c:v>0.92779999999999996</c:v>
                </c:pt>
                <c:pt idx="308">
                  <c:v>0.79879999999999995</c:v>
                </c:pt>
                <c:pt idx="309">
                  <c:v>0.78120000000000001</c:v>
                </c:pt>
                <c:pt idx="310">
                  <c:v>0.85119999999999996</c:v>
                </c:pt>
                <c:pt idx="311">
                  <c:v>0.87239999999999995</c:v>
                </c:pt>
                <c:pt idx="312">
                  <c:v>0.96050000000000002</c:v>
                </c:pt>
                <c:pt idx="313">
                  <c:v>0.99580000000000002</c:v>
                </c:pt>
                <c:pt idx="314">
                  <c:v>0.97209999999999996</c:v>
                </c:pt>
                <c:pt idx="315">
                  <c:v>0.97819999999999996</c:v>
                </c:pt>
                <c:pt idx="316">
                  <c:v>1.0328999999999999</c:v>
                </c:pt>
                <c:pt idx="317">
                  <c:v>1.0139</c:v>
                </c:pt>
                <c:pt idx="318">
                  <c:v>1.1528</c:v>
                </c:pt>
                <c:pt idx="319">
                  <c:v>0.73329999999999995</c:v>
                </c:pt>
                <c:pt idx="320">
                  <c:v>0.80740000000000001</c:v>
                </c:pt>
                <c:pt idx="321">
                  <c:v>0.82599999999999996</c:v>
                </c:pt>
                <c:pt idx="322">
                  <c:v>0.91690000000000005</c:v>
                </c:pt>
                <c:pt idx="323">
                  <c:v>0.74580000000000002</c:v>
                </c:pt>
                <c:pt idx="324">
                  <c:v>0.79210000000000003</c:v>
                </c:pt>
                <c:pt idx="325">
                  <c:v>0.68240000000000001</c:v>
                </c:pt>
                <c:pt idx="326">
                  <c:v>0.59460000000000002</c:v>
                </c:pt>
                <c:pt idx="327">
                  <c:v>0.4577</c:v>
                </c:pt>
                <c:pt idx="328">
                  <c:v>0.46129999999999999</c:v>
                </c:pt>
                <c:pt idx="329">
                  <c:v>0.53700000000000003</c:v>
                </c:pt>
                <c:pt idx="330">
                  <c:v>0.40079999999999999</c:v>
                </c:pt>
                <c:pt idx="331">
                  <c:v>0.37319999999999998</c:v>
                </c:pt>
                <c:pt idx="332">
                  <c:v>0.34720000000000001</c:v>
                </c:pt>
                <c:pt idx="333">
                  <c:v>0.34010000000000001</c:v>
                </c:pt>
                <c:pt idx="334">
                  <c:v>0.27229999999999999</c:v>
                </c:pt>
                <c:pt idx="335">
                  <c:v>0.27260000000000001</c:v>
                </c:pt>
                <c:pt idx="336">
                  <c:v>0.27939999999999998</c:v>
                </c:pt>
                <c:pt idx="337">
                  <c:v>0.30559999999999998</c:v>
                </c:pt>
                <c:pt idx="338">
                  <c:v>0.28639999999999999</c:v>
                </c:pt>
                <c:pt idx="339">
                  <c:v>0.37069999999999997</c:v>
                </c:pt>
                <c:pt idx="340">
                  <c:v>0.40810000000000002</c:v>
                </c:pt>
                <c:pt idx="341">
                  <c:v>0.37759999999999999</c:v>
                </c:pt>
                <c:pt idx="342">
                  <c:v>0.37880000000000003</c:v>
                </c:pt>
                <c:pt idx="343">
                  <c:v>0.40179999999999999</c:v>
                </c:pt>
                <c:pt idx="344">
                  <c:v>0.39040000000000002</c:v>
                </c:pt>
                <c:pt idx="345">
                  <c:v>0.39379999999999998</c:v>
                </c:pt>
                <c:pt idx="346">
                  <c:v>0.373</c:v>
                </c:pt>
                <c:pt idx="347">
                  <c:v>0.3659</c:v>
                </c:pt>
                <c:pt idx="348">
                  <c:v>0.40189999999999998</c:v>
                </c:pt>
                <c:pt idx="349">
                  <c:v>0.41389999999999999</c:v>
                </c:pt>
                <c:pt idx="350">
                  <c:v>0.38919999999999999</c:v>
                </c:pt>
                <c:pt idx="351">
                  <c:v>0.37580000000000002</c:v>
                </c:pt>
                <c:pt idx="352">
                  <c:v>0.43980000000000002</c:v>
                </c:pt>
                <c:pt idx="353">
                  <c:v>0.3075</c:v>
                </c:pt>
                <c:pt idx="354">
                  <c:v>0.23649999999999999</c:v>
                </c:pt>
                <c:pt idx="355">
                  <c:v>0.23100000000000001</c:v>
                </c:pt>
                <c:pt idx="356">
                  <c:v>0.24390000000000001</c:v>
                </c:pt>
                <c:pt idx="357">
                  <c:v>0.2253</c:v>
                </c:pt>
                <c:pt idx="358">
                  <c:v>0.22800000000000001</c:v>
                </c:pt>
                <c:pt idx="359">
                  <c:v>0.22839999999999999</c:v>
                </c:pt>
                <c:pt idx="360">
                  <c:v>0.2303</c:v>
                </c:pt>
                <c:pt idx="361">
                  <c:v>0.20469999999999999</c:v>
                </c:pt>
                <c:pt idx="362">
                  <c:v>0.18379999999999999</c:v>
                </c:pt>
                <c:pt idx="363">
                  <c:v>0.1784</c:v>
                </c:pt>
                <c:pt idx="364">
                  <c:v>0.18260000000000001</c:v>
                </c:pt>
                <c:pt idx="365">
                  <c:v>0.17660000000000001</c:v>
                </c:pt>
                <c:pt idx="366">
                  <c:v>0.20050000000000001</c:v>
                </c:pt>
                <c:pt idx="367">
                  <c:v>0.1903</c:v>
                </c:pt>
                <c:pt idx="368">
                  <c:v>0.186</c:v>
                </c:pt>
                <c:pt idx="369">
                  <c:v>0.18090000000000001</c:v>
                </c:pt>
                <c:pt idx="370">
                  <c:v>0.1787</c:v>
                </c:pt>
                <c:pt idx="371">
                  <c:v>0.1784</c:v>
                </c:pt>
                <c:pt idx="372">
                  <c:v>0.1721</c:v>
                </c:pt>
                <c:pt idx="373">
                  <c:v>0.16209999999999999</c:v>
                </c:pt>
                <c:pt idx="374">
                  <c:v>0.17560000000000001</c:v>
                </c:pt>
                <c:pt idx="375">
                  <c:v>0.1736</c:v>
                </c:pt>
                <c:pt idx="376">
                  <c:v>0.16239999999999999</c:v>
                </c:pt>
                <c:pt idx="377">
                  <c:v>0.1492</c:v>
                </c:pt>
                <c:pt idx="378">
                  <c:v>0.154</c:v>
                </c:pt>
                <c:pt idx="379">
                  <c:v>0.15</c:v>
                </c:pt>
                <c:pt idx="380">
                  <c:v>0.13900000000000001</c:v>
                </c:pt>
                <c:pt idx="381">
                  <c:v>0.14549999999999999</c:v>
                </c:pt>
                <c:pt idx="382">
                  <c:v>0.1593</c:v>
                </c:pt>
                <c:pt idx="383">
                  <c:v>0.17519999999999999</c:v>
                </c:pt>
                <c:pt idx="384">
                  <c:v>0.16689999999999999</c:v>
                </c:pt>
                <c:pt idx="385">
                  <c:v>0.16309999999999999</c:v>
                </c:pt>
                <c:pt idx="386">
                  <c:v>0.1424</c:v>
                </c:pt>
                <c:pt idx="387">
                  <c:v>0.13270000000000001</c:v>
                </c:pt>
                <c:pt idx="388">
                  <c:v>0.13150000000000001</c:v>
                </c:pt>
                <c:pt idx="389">
                  <c:v>0.12959999999999999</c:v>
                </c:pt>
                <c:pt idx="390">
                  <c:v>0.1234</c:v>
                </c:pt>
                <c:pt idx="391">
                  <c:v>0.1208</c:v>
                </c:pt>
                <c:pt idx="392">
                  <c:v>0.1133</c:v>
                </c:pt>
                <c:pt idx="393">
                  <c:v>0.1152</c:v>
                </c:pt>
                <c:pt idx="394">
                  <c:v>0.1154</c:v>
                </c:pt>
                <c:pt idx="395">
                  <c:v>0.12239999999999999</c:v>
                </c:pt>
                <c:pt idx="396">
                  <c:v>0.1212</c:v>
                </c:pt>
                <c:pt idx="397">
                  <c:v>0.1182</c:v>
                </c:pt>
                <c:pt idx="398">
                  <c:v>0.126</c:v>
                </c:pt>
                <c:pt idx="399">
                  <c:v>0.1249</c:v>
                </c:pt>
                <c:pt idx="400">
                  <c:v>0.1211</c:v>
                </c:pt>
                <c:pt idx="401">
                  <c:v>0.1421</c:v>
                </c:pt>
                <c:pt idx="402">
                  <c:v>0.14699999999999999</c:v>
                </c:pt>
                <c:pt idx="403">
                  <c:v>0.15429999999999999</c:v>
                </c:pt>
                <c:pt idx="404">
                  <c:v>0.14510000000000001</c:v>
                </c:pt>
                <c:pt idx="405">
                  <c:v>0.14460000000000001</c:v>
                </c:pt>
                <c:pt idx="406">
                  <c:v>0.1411</c:v>
                </c:pt>
                <c:pt idx="407">
                  <c:v>0.14710000000000001</c:v>
                </c:pt>
                <c:pt idx="408">
                  <c:v>0.14180000000000001</c:v>
                </c:pt>
                <c:pt idx="409">
                  <c:v>0.1391</c:v>
                </c:pt>
                <c:pt idx="410">
                  <c:v>0.1401</c:v>
                </c:pt>
                <c:pt idx="411">
                  <c:v>0.1381</c:v>
                </c:pt>
                <c:pt idx="412">
                  <c:v>0.13270000000000001</c:v>
                </c:pt>
                <c:pt idx="413">
                  <c:v>0.13969999999999999</c:v>
                </c:pt>
                <c:pt idx="414">
                  <c:v>0.1482</c:v>
                </c:pt>
                <c:pt idx="415">
                  <c:v>0.14699999999999999</c:v>
                </c:pt>
                <c:pt idx="416">
                  <c:v>0.15570000000000001</c:v>
                </c:pt>
                <c:pt idx="417">
                  <c:v>0.15049999999999999</c:v>
                </c:pt>
                <c:pt idx="418">
                  <c:v>0.154</c:v>
                </c:pt>
                <c:pt idx="419">
                  <c:v>0.14810000000000001</c:v>
                </c:pt>
                <c:pt idx="420">
                  <c:v>0.15920000000000001</c:v>
                </c:pt>
                <c:pt idx="421">
                  <c:v>0.15939999999999999</c:v>
                </c:pt>
                <c:pt idx="422">
                  <c:v>0.14960000000000001</c:v>
                </c:pt>
                <c:pt idx="423">
                  <c:v>0.15079999999999999</c:v>
                </c:pt>
                <c:pt idx="424">
                  <c:v>0.1502</c:v>
                </c:pt>
                <c:pt idx="425">
                  <c:v>0.15190000000000001</c:v>
                </c:pt>
                <c:pt idx="426">
                  <c:v>0.15129999999999999</c:v>
                </c:pt>
                <c:pt idx="427">
                  <c:v>0.15049999999999999</c:v>
                </c:pt>
                <c:pt idx="428">
                  <c:v>0.1686</c:v>
                </c:pt>
                <c:pt idx="429">
                  <c:v>0.16400000000000001</c:v>
                </c:pt>
                <c:pt idx="430">
                  <c:v>0.151</c:v>
                </c:pt>
                <c:pt idx="431">
                  <c:v>0.14430000000000001</c:v>
                </c:pt>
                <c:pt idx="432">
                  <c:v>0.1522</c:v>
                </c:pt>
                <c:pt idx="433">
                  <c:v>0.1409</c:v>
                </c:pt>
                <c:pt idx="434">
                  <c:v>0.13750000000000001</c:v>
                </c:pt>
                <c:pt idx="435">
                  <c:v>0.14860000000000001</c:v>
                </c:pt>
                <c:pt idx="436">
                  <c:v>0.1598</c:v>
                </c:pt>
                <c:pt idx="437">
                  <c:v>0.17530000000000001</c:v>
                </c:pt>
                <c:pt idx="438">
                  <c:v>0.16370000000000001</c:v>
                </c:pt>
                <c:pt idx="439">
                  <c:v>0.17299999999999999</c:v>
                </c:pt>
                <c:pt idx="440">
                  <c:v>0.1787</c:v>
                </c:pt>
                <c:pt idx="441">
                  <c:v>0.15909999999999999</c:v>
                </c:pt>
                <c:pt idx="442">
                  <c:v>0.15740000000000001</c:v>
                </c:pt>
                <c:pt idx="443">
                  <c:v>0.16769999999999999</c:v>
                </c:pt>
                <c:pt idx="444">
                  <c:v>0.1328</c:v>
                </c:pt>
                <c:pt idx="445">
                  <c:v>0.12479999999999999</c:v>
                </c:pt>
                <c:pt idx="446">
                  <c:v>0.1237</c:v>
                </c:pt>
                <c:pt idx="447">
                  <c:v>0.1318</c:v>
                </c:pt>
                <c:pt idx="448">
                  <c:v>0.1192</c:v>
                </c:pt>
                <c:pt idx="449">
                  <c:v>0.1197</c:v>
                </c:pt>
                <c:pt idx="450">
                  <c:v>0.12520000000000001</c:v>
                </c:pt>
                <c:pt idx="451">
                  <c:v>0.13170000000000001</c:v>
                </c:pt>
                <c:pt idx="452">
                  <c:v>0.13739999999999999</c:v>
                </c:pt>
                <c:pt idx="453">
                  <c:v>0.1348</c:v>
                </c:pt>
                <c:pt idx="454">
                  <c:v>0.1376</c:v>
                </c:pt>
                <c:pt idx="455">
                  <c:v>0.14169999999999999</c:v>
                </c:pt>
                <c:pt idx="456">
                  <c:v>0.1477</c:v>
                </c:pt>
                <c:pt idx="457">
                  <c:v>0.1532</c:v>
                </c:pt>
                <c:pt idx="458">
                  <c:v>0.1547</c:v>
                </c:pt>
                <c:pt idx="459">
                  <c:v>0.1656</c:v>
                </c:pt>
                <c:pt idx="460">
                  <c:v>0.17100000000000001</c:v>
                </c:pt>
                <c:pt idx="461">
                  <c:v>0.1711</c:v>
                </c:pt>
                <c:pt idx="462">
                  <c:v>0.18290000000000001</c:v>
                </c:pt>
                <c:pt idx="463">
                  <c:v>0.1716</c:v>
                </c:pt>
                <c:pt idx="464">
                  <c:v>0.15659999999999999</c:v>
                </c:pt>
                <c:pt idx="465">
                  <c:v>0.17580000000000001</c:v>
                </c:pt>
                <c:pt idx="466">
                  <c:v>0.1749</c:v>
                </c:pt>
                <c:pt idx="467">
                  <c:v>0.17299999999999999</c:v>
                </c:pt>
                <c:pt idx="468">
                  <c:v>0.1646</c:v>
                </c:pt>
                <c:pt idx="469">
                  <c:v>0.17180000000000001</c:v>
                </c:pt>
                <c:pt idx="470">
                  <c:v>0.18099999999999999</c:v>
                </c:pt>
                <c:pt idx="471">
                  <c:v>0.18509999999999999</c:v>
                </c:pt>
                <c:pt idx="472">
                  <c:v>0.18340000000000001</c:v>
                </c:pt>
                <c:pt idx="473">
                  <c:v>0.18840000000000001</c:v>
                </c:pt>
                <c:pt idx="474">
                  <c:v>0.18540000000000001</c:v>
                </c:pt>
                <c:pt idx="475">
                  <c:v>0.1903</c:v>
                </c:pt>
                <c:pt idx="476">
                  <c:v>0.17549999999999999</c:v>
                </c:pt>
                <c:pt idx="477">
                  <c:v>0.17269999999999999</c:v>
                </c:pt>
                <c:pt idx="478">
                  <c:v>0.17330000000000001</c:v>
                </c:pt>
                <c:pt idx="479">
                  <c:v>0.20519999999999999</c:v>
                </c:pt>
                <c:pt idx="480">
                  <c:v>0.19800000000000001</c:v>
                </c:pt>
                <c:pt idx="481">
                  <c:v>0.19919999999999999</c:v>
                </c:pt>
                <c:pt idx="482">
                  <c:v>0.2044</c:v>
                </c:pt>
                <c:pt idx="483">
                  <c:v>0.2261</c:v>
                </c:pt>
                <c:pt idx="484">
                  <c:v>0.23519999999999999</c:v>
                </c:pt>
                <c:pt idx="485">
                  <c:v>0.21759999999999999</c:v>
                </c:pt>
                <c:pt idx="486">
                  <c:v>0.21379999999999999</c:v>
                </c:pt>
                <c:pt idx="487">
                  <c:v>0.2218</c:v>
                </c:pt>
                <c:pt idx="488">
                  <c:v>0.22589999999999999</c:v>
                </c:pt>
                <c:pt idx="489">
                  <c:v>0.22059999999999999</c:v>
                </c:pt>
                <c:pt idx="490">
                  <c:v>0.21029999999999999</c:v>
                </c:pt>
                <c:pt idx="491">
                  <c:v>0.19320000000000001</c:v>
                </c:pt>
                <c:pt idx="492">
                  <c:v>0.21010000000000001</c:v>
                </c:pt>
                <c:pt idx="493">
                  <c:v>0.193</c:v>
                </c:pt>
                <c:pt idx="494">
                  <c:v>0.22059999999999999</c:v>
                </c:pt>
                <c:pt idx="495">
                  <c:v>0.2319</c:v>
                </c:pt>
                <c:pt idx="496">
                  <c:v>0.21390000000000001</c:v>
                </c:pt>
                <c:pt idx="497">
                  <c:v>0.2225</c:v>
                </c:pt>
                <c:pt idx="498">
                  <c:v>0.22259999999999999</c:v>
                </c:pt>
                <c:pt idx="499">
                  <c:v>0.22500000000000001</c:v>
                </c:pt>
                <c:pt idx="500">
                  <c:v>0.247</c:v>
                </c:pt>
                <c:pt idx="501">
                  <c:v>0.2382</c:v>
                </c:pt>
                <c:pt idx="502">
                  <c:v>0.26200000000000001</c:v>
                </c:pt>
                <c:pt idx="503">
                  <c:v>0.25159999999999999</c:v>
                </c:pt>
                <c:pt idx="504">
                  <c:v>0.26040000000000002</c:v>
                </c:pt>
                <c:pt idx="505">
                  <c:v>0.25280000000000002</c:v>
                </c:pt>
                <c:pt idx="506">
                  <c:v>0.23</c:v>
                </c:pt>
                <c:pt idx="507">
                  <c:v>0.2545</c:v>
                </c:pt>
                <c:pt idx="508">
                  <c:v>0.27060000000000001</c:v>
                </c:pt>
                <c:pt idx="509">
                  <c:v>0.23150000000000001</c:v>
                </c:pt>
                <c:pt idx="510">
                  <c:v>0.30159999999999998</c:v>
                </c:pt>
                <c:pt idx="511">
                  <c:v>0.30420000000000003</c:v>
                </c:pt>
                <c:pt idx="512">
                  <c:v>0.43140000000000001</c:v>
                </c:pt>
                <c:pt idx="513">
                  <c:v>0.4748</c:v>
                </c:pt>
                <c:pt idx="514">
                  <c:v>0.41270000000000001</c:v>
                </c:pt>
                <c:pt idx="515">
                  <c:v>0.42170000000000002</c:v>
                </c:pt>
                <c:pt idx="516">
                  <c:v>0.40329999999999999</c:v>
                </c:pt>
                <c:pt idx="517">
                  <c:v>0.40350000000000003</c:v>
                </c:pt>
                <c:pt idx="518">
                  <c:v>0.37869999999999998</c:v>
                </c:pt>
                <c:pt idx="519">
                  <c:v>0.41510000000000002</c:v>
                </c:pt>
                <c:pt idx="520">
                  <c:v>0.39279999999999998</c:v>
                </c:pt>
                <c:pt idx="521">
                  <c:v>0.4284</c:v>
                </c:pt>
                <c:pt idx="522">
                  <c:v>0.42599999999999999</c:v>
                </c:pt>
                <c:pt idx="523">
                  <c:v>0.40920000000000001</c:v>
                </c:pt>
                <c:pt idx="524">
                  <c:v>0.38679999999999998</c:v>
                </c:pt>
                <c:pt idx="525">
                  <c:v>0.4304</c:v>
                </c:pt>
                <c:pt idx="526">
                  <c:v>0.40260000000000001</c:v>
                </c:pt>
                <c:pt idx="527">
                  <c:v>0.443</c:v>
                </c:pt>
                <c:pt idx="528">
                  <c:v>0.48959999999999998</c:v>
                </c:pt>
                <c:pt idx="529">
                  <c:v>0.51480000000000004</c:v>
                </c:pt>
                <c:pt idx="530">
                  <c:v>0.47039999999999998</c:v>
                </c:pt>
                <c:pt idx="531">
                  <c:v>0.48060000000000003</c:v>
                </c:pt>
                <c:pt idx="532">
                  <c:v>0.50319999999999998</c:v>
                </c:pt>
                <c:pt idx="533">
                  <c:v>0.54</c:v>
                </c:pt>
                <c:pt idx="534">
                  <c:v>0.41489999999999999</c:v>
                </c:pt>
                <c:pt idx="535">
                  <c:v>0.42099999999999999</c:v>
                </c:pt>
                <c:pt idx="536">
                  <c:v>0.38769999999999999</c:v>
                </c:pt>
                <c:pt idx="537">
                  <c:v>0.36609999999999998</c:v>
                </c:pt>
                <c:pt idx="538">
                  <c:v>0.33939999999999998</c:v>
                </c:pt>
                <c:pt idx="539">
                  <c:v>0.31900000000000001</c:v>
                </c:pt>
                <c:pt idx="540">
                  <c:v>0.30370000000000003</c:v>
                </c:pt>
                <c:pt idx="541">
                  <c:v>0.31259999999999999</c:v>
                </c:pt>
                <c:pt idx="542">
                  <c:v>0.31850000000000001</c:v>
                </c:pt>
                <c:pt idx="543">
                  <c:v>0.30969999999999998</c:v>
                </c:pt>
                <c:pt idx="544">
                  <c:v>0.30809999999999998</c:v>
                </c:pt>
                <c:pt idx="545">
                  <c:v>0.31</c:v>
                </c:pt>
                <c:pt idx="546">
                  <c:v>0.32850000000000001</c:v>
                </c:pt>
                <c:pt idx="547">
                  <c:v>0.32040000000000002</c:v>
                </c:pt>
                <c:pt idx="548">
                  <c:v>0.32100000000000001</c:v>
                </c:pt>
                <c:pt idx="549">
                  <c:v>0.3009</c:v>
                </c:pt>
                <c:pt idx="550">
                  <c:v>0.31630000000000003</c:v>
                </c:pt>
                <c:pt idx="551">
                  <c:v>0.32869999999999999</c:v>
                </c:pt>
                <c:pt idx="552">
                  <c:v>0.33860000000000001</c:v>
                </c:pt>
                <c:pt idx="553">
                  <c:v>0.35849999999999999</c:v>
                </c:pt>
                <c:pt idx="554">
                  <c:v>0.36270000000000002</c:v>
                </c:pt>
                <c:pt idx="555">
                  <c:v>0.35599999999999998</c:v>
                </c:pt>
                <c:pt idx="556">
                  <c:v>0.36049999999999999</c:v>
                </c:pt>
                <c:pt idx="557">
                  <c:v>0.4</c:v>
                </c:pt>
                <c:pt idx="558">
                  <c:v>0.32019999999999998</c:v>
                </c:pt>
                <c:pt idx="559">
                  <c:v>0.32750000000000001</c:v>
                </c:pt>
                <c:pt idx="560">
                  <c:v>0.2994</c:v>
                </c:pt>
                <c:pt idx="561">
                  <c:v>0.29189999999999999</c:v>
                </c:pt>
                <c:pt idx="562">
                  <c:v>0.29409999999999997</c:v>
                </c:pt>
                <c:pt idx="563">
                  <c:v>0.29299999999999998</c:v>
                </c:pt>
                <c:pt idx="564">
                  <c:v>0.31530000000000002</c:v>
                </c:pt>
                <c:pt idx="565">
                  <c:v>0.30769999999999997</c:v>
                </c:pt>
                <c:pt idx="566">
                  <c:v>0.31340000000000001</c:v>
                </c:pt>
                <c:pt idx="567">
                  <c:v>0.3402</c:v>
                </c:pt>
                <c:pt idx="568">
                  <c:v>0.2898</c:v>
                </c:pt>
                <c:pt idx="569">
                  <c:v>0.2853</c:v>
                </c:pt>
                <c:pt idx="570">
                  <c:v>0.2737</c:v>
                </c:pt>
                <c:pt idx="571">
                  <c:v>0.26329999999999998</c:v>
                </c:pt>
                <c:pt idx="572">
                  <c:v>0.28449999999999998</c:v>
                </c:pt>
                <c:pt idx="573">
                  <c:v>0.2535</c:v>
                </c:pt>
                <c:pt idx="574">
                  <c:v>0.25169999999999998</c:v>
                </c:pt>
                <c:pt idx="575">
                  <c:v>0.26450000000000001</c:v>
                </c:pt>
                <c:pt idx="576">
                  <c:v>0.2651</c:v>
                </c:pt>
                <c:pt idx="577">
                  <c:v>0.2853</c:v>
                </c:pt>
                <c:pt idx="578">
                  <c:v>0.25779999999999997</c:v>
                </c:pt>
                <c:pt idx="579">
                  <c:v>0.24210000000000001</c:v>
                </c:pt>
                <c:pt idx="580">
                  <c:v>0.27500000000000002</c:v>
                </c:pt>
                <c:pt idx="581">
                  <c:v>0.28260000000000002</c:v>
                </c:pt>
                <c:pt idx="582">
                  <c:v>0.29770000000000002</c:v>
                </c:pt>
                <c:pt idx="583">
                  <c:v>0.3165</c:v>
                </c:pt>
                <c:pt idx="584">
                  <c:v>0.30659999999999998</c:v>
                </c:pt>
                <c:pt idx="585">
                  <c:v>0.30380000000000001</c:v>
                </c:pt>
                <c:pt idx="586">
                  <c:v>0.29749999999999999</c:v>
                </c:pt>
                <c:pt idx="587">
                  <c:v>0.33829999999999999</c:v>
                </c:pt>
                <c:pt idx="588">
                  <c:v>0.37580000000000002</c:v>
                </c:pt>
                <c:pt idx="589">
                  <c:v>0.2286</c:v>
                </c:pt>
                <c:pt idx="590">
                  <c:v>0.2399</c:v>
                </c:pt>
                <c:pt idx="591">
                  <c:v>0.23569999999999999</c:v>
                </c:pt>
                <c:pt idx="592">
                  <c:v>0.23760000000000001</c:v>
                </c:pt>
                <c:pt idx="593">
                  <c:v>0.25480000000000003</c:v>
                </c:pt>
                <c:pt idx="594">
                  <c:v>0.24279999999999999</c:v>
                </c:pt>
                <c:pt idx="595">
                  <c:v>0.23619999999999999</c:v>
                </c:pt>
                <c:pt idx="596">
                  <c:v>0.26169999999999999</c:v>
                </c:pt>
                <c:pt idx="597">
                  <c:v>0.25280000000000002</c:v>
                </c:pt>
                <c:pt idx="598">
                  <c:v>0.24129999999999999</c:v>
                </c:pt>
                <c:pt idx="599">
                  <c:v>0.2283</c:v>
                </c:pt>
                <c:pt idx="600">
                  <c:v>0.2324</c:v>
                </c:pt>
                <c:pt idx="601">
                  <c:v>0.23050000000000001</c:v>
                </c:pt>
                <c:pt idx="602">
                  <c:v>0.2152</c:v>
                </c:pt>
                <c:pt idx="603">
                  <c:v>0.224</c:v>
                </c:pt>
                <c:pt idx="604">
                  <c:v>0.19600000000000001</c:v>
                </c:pt>
                <c:pt idx="605">
                  <c:v>0.19800000000000001</c:v>
                </c:pt>
                <c:pt idx="606">
                  <c:v>0.19309999999999999</c:v>
                </c:pt>
                <c:pt idx="607">
                  <c:v>0.1938</c:v>
                </c:pt>
                <c:pt idx="608">
                  <c:v>0.18870000000000001</c:v>
                </c:pt>
                <c:pt idx="609">
                  <c:v>0.1905</c:v>
                </c:pt>
                <c:pt idx="610">
                  <c:v>0.18959999999999999</c:v>
                </c:pt>
                <c:pt idx="611">
                  <c:v>0.19239999999999999</c:v>
                </c:pt>
                <c:pt idx="612">
                  <c:v>0.18740000000000001</c:v>
                </c:pt>
                <c:pt idx="613">
                  <c:v>0.1726</c:v>
                </c:pt>
                <c:pt idx="614">
                  <c:v>0.18759999999999999</c:v>
                </c:pt>
                <c:pt idx="615">
                  <c:v>0.1799</c:v>
                </c:pt>
                <c:pt idx="616">
                  <c:v>0.1739</c:v>
                </c:pt>
                <c:pt idx="617">
                  <c:v>0.1862</c:v>
                </c:pt>
                <c:pt idx="618">
                  <c:v>0.19839999999999999</c:v>
                </c:pt>
                <c:pt idx="619">
                  <c:v>0.19700000000000001</c:v>
                </c:pt>
                <c:pt idx="620">
                  <c:v>0.16619999999999999</c:v>
                </c:pt>
                <c:pt idx="621">
                  <c:v>0.1656</c:v>
                </c:pt>
                <c:pt idx="622">
                  <c:v>0.1608</c:v>
                </c:pt>
                <c:pt idx="623">
                  <c:v>0.16350000000000001</c:v>
                </c:pt>
                <c:pt idx="624">
                  <c:v>0.16819999999999999</c:v>
                </c:pt>
                <c:pt idx="625">
                  <c:v>0.16539999999999999</c:v>
                </c:pt>
                <c:pt idx="626">
                  <c:v>0.14779999999999999</c:v>
                </c:pt>
                <c:pt idx="627">
                  <c:v>0.15210000000000001</c:v>
                </c:pt>
                <c:pt idx="628">
                  <c:v>0.1769</c:v>
                </c:pt>
                <c:pt idx="629">
                  <c:v>0.17169999999999999</c:v>
                </c:pt>
                <c:pt idx="630">
                  <c:v>0.17230000000000001</c:v>
                </c:pt>
                <c:pt idx="631">
                  <c:v>0.18260000000000001</c:v>
                </c:pt>
                <c:pt idx="632">
                  <c:v>0.1973</c:v>
                </c:pt>
                <c:pt idx="633">
                  <c:v>0.21149999999999999</c:v>
                </c:pt>
                <c:pt idx="634">
                  <c:v>0.22439999999999999</c:v>
                </c:pt>
                <c:pt idx="635">
                  <c:v>0.23150000000000001</c:v>
                </c:pt>
                <c:pt idx="636">
                  <c:v>0.23019999999999999</c:v>
                </c:pt>
                <c:pt idx="637">
                  <c:v>0.22289999999999999</c:v>
                </c:pt>
                <c:pt idx="638">
                  <c:v>0.2354</c:v>
                </c:pt>
                <c:pt idx="639">
                  <c:v>0.23</c:v>
                </c:pt>
                <c:pt idx="640">
                  <c:v>0.23069999999999999</c:v>
                </c:pt>
                <c:pt idx="641">
                  <c:v>0.2392</c:v>
                </c:pt>
                <c:pt idx="642">
                  <c:v>0.22989999999999999</c:v>
                </c:pt>
                <c:pt idx="643">
                  <c:v>0.22500000000000001</c:v>
                </c:pt>
                <c:pt idx="644">
                  <c:v>0.22359999999999999</c:v>
                </c:pt>
                <c:pt idx="645">
                  <c:v>0.23</c:v>
                </c:pt>
                <c:pt idx="646">
                  <c:v>0.21229999999999999</c:v>
                </c:pt>
                <c:pt idx="647">
                  <c:v>0.21229999999999999</c:v>
                </c:pt>
                <c:pt idx="648">
                  <c:v>0.22939999999999999</c:v>
                </c:pt>
                <c:pt idx="649">
                  <c:v>0.2344</c:v>
                </c:pt>
                <c:pt idx="650">
                  <c:v>0.222</c:v>
                </c:pt>
                <c:pt idx="651">
                  <c:v>0.22450000000000001</c:v>
                </c:pt>
                <c:pt idx="652">
                  <c:v>0.21160000000000001</c:v>
                </c:pt>
                <c:pt idx="653">
                  <c:v>0.22320000000000001</c:v>
                </c:pt>
                <c:pt idx="654">
                  <c:v>0.2369</c:v>
                </c:pt>
                <c:pt idx="655">
                  <c:v>0.2233</c:v>
                </c:pt>
                <c:pt idx="656">
                  <c:v>0.2165</c:v>
                </c:pt>
                <c:pt idx="657">
                  <c:v>0.22120000000000001</c:v>
                </c:pt>
                <c:pt idx="658">
                  <c:v>0.254</c:v>
                </c:pt>
                <c:pt idx="659">
                  <c:v>0.28120000000000001</c:v>
                </c:pt>
                <c:pt idx="660">
                  <c:v>0.26219999999999999</c:v>
                </c:pt>
                <c:pt idx="661">
                  <c:v>0.26150000000000001</c:v>
                </c:pt>
                <c:pt idx="662">
                  <c:v>0.22950000000000001</c:v>
                </c:pt>
                <c:pt idx="663">
                  <c:v>0.24199999999999999</c:v>
                </c:pt>
                <c:pt idx="664">
                  <c:v>0.245</c:v>
                </c:pt>
                <c:pt idx="665">
                  <c:v>0.2576</c:v>
                </c:pt>
                <c:pt idx="666">
                  <c:v>0.21060000000000001</c:v>
                </c:pt>
                <c:pt idx="667">
                  <c:v>0.20349999999999999</c:v>
                </c:pt>
                <c:pt idx="668">
                  <c:v>0.2069</c:v>
                </c:pt>
                <c:pt idx="669">
                  <c:v>0.1951</c:v>
                </c:pt>
                <c:pt idx="670">
                  <c:v>0.2031</c:v>
                </c:pt>
                <c:pt idx="671">
                  <c:v>0.20549999999999999</c:v>
                </c:pt>
                <c:pt idx="672">
                  <c:v>0.22670000000000001</c:v>
                </c:pt>
                <c:pt idx="673">
                  <c:v>0.22259999999999999</c:v>
                </c:pt>
                <c:pt idx="674">
                  <c:v>0.1971</c:v>
                </c:pt>
                <c:pt idx="675">
                  <c:v>0.19589999999999999</c:v>
                </c:pt>
                <c:pt idx="676">
                  <c:v>0.1704</c:v>
                </c:pt>
                <c:pt idx="677">
                  <c:v>0.20169999999999999</c:v>
                </c:pt>
                <c:pt idx="678">
                  <c:v>0.2079</c:v>
                </c:pt>
                <c:pt idx="679">
                  <c:v>0.21690000000000001</c:v>
                </c:pt>
                <c:pt idx="680">
                  <c:v>0.2046</c:v>
                </c:pt>
                <c:pt idx="681">
                  <c:v>0.20730000000000001</c:v>
                </c:pt>
                <c:pt idx="682">
                  <c:v>0.185</c:v>
                </c:pt>
                <c:pt idx="683">
                  <c:v>0.22869999999999999</c:v>
                </c:pt>
                <c:pt idx="684">
                  <c:v>0.22720000000000001</c:v>
                </c:pt>
                <c:pt idx="685">
                  <c:v>0.25469999999999998</c:v>
                </c:pt>
                <c:pt idx="686">
                  <c:v>0.17899999999999999</c:v>
                </c:pt>
                <c:pt idx="687">
                  <c:v>0.40910000000000002</c:v>
                </c:pt>
                <c:pt idx="688">
                  <c:v>0.44990000000000002</c:v>
                </c:pt>
                <c:pt idx="689">
                  <c:v>0.44290000000000002</c:v>
                </c:pt>
                <c:pt idx="690">
                  <c:v>0.46910000000000002</c:v>
                </c:pt>
                <c:pt idx="691">
                  <c:v>0.40339999999999998</c:v>
                </c:pt>
                <c:pt idx="692">
                  <c:v>0.38040000000000002</c:v>
                </c:pt>
                <c:pt idx="693">
                  <c:v>0.34160000000000001</c:v>
                </c:pt>
                <c:pt idx="694">
                  <c:v>0.36709999999999998</c:v>
                </c:pt>
                <c:pt idx="695">
                  <c:v>0.30809999999999998</c:v>
                </c:pt>
                <c:pt idx="696">
                  <c:v>0.3246</c:v>
                </c:pt>
                <c:pt idx="697">
                  <c:v>0.33160000000000001</c:v>
                </c:pt>
                <c:pt idx="698">
                  <c:v>0.31590000000000001</c:v>
                </c:pt>
                <c:pt idx="699">
                  <c:v>0.31690000000000002</c:v>
                </c:pt>
                <c:pt idx="700">
                  <c:v>0.27229999999999999</c:v>
                </c:pt>
                <c:pt idx="701">
                  <c:v>0.25280000000000002</c:v>
                </c:pt>
                <c:pt idx="702">
                  <c:v>0.25979999999999998</c:v>
                </c:pt>
                <c:pt idx="703">
                  <c:v>0.29330000000000001</c:v>
                </c:pt>
                <c:pt idx="704">
                  <c:v>0.28939999999999999</c:v>
                </c:pt>
                <c:pt idx="705">
                  <c:v>0.28100000000000003</c:v>
                </c:pt>
                <c:pt idx="706">
                  <c:v>0.2873</c:v>
                </c:pt>
                <c:pt idx="707">
                  <c:v>0.29909999999999998</c:v>
                </c:pt>
                <c:pt idx="708">
                  <c:v>0.308</c:v>
                </c:pt>
                <c:pt idx="709">
                  <c:v>0.32700000000000001</c:v>
                </c:pt>
                <c:pt idx="710">
                  <c:v>0.32090000000000002</c:v>
                </c:pt>
                <c:pt idx="711">
                  <c:v>0.2863</c:v>
                </c:pt>
                <c:pt idx="712">
                  <c:v>0.27789999999999998</c:v>
                </c:pt>
                <c:pt idx="713">
                  <c:v>0.28260000000000002</c:v>
                </c:pt>
                <c:pt idx="714">
                  <c:v>0.32879999999999998</c:v>
                </c:pt>
                <c:pt idx="715">
                  <c:v>0.32319999999999999</c:v>
                </c:pt>
                <c:pt idx="716">
                  <c:v>0.34899999999999998</c:v>
                </c:pt>
                <c:pt idx="717">
                  <c:v>0.37809999999999999</c:v>
                </c:pt>
                <c:pt idx="718">
                  <c:v>0.443</c:v>
                </c:pt>
                <c:pt idx="719">
                  <c:v>0.3266</c:v>
                </c:pt>
                <c:pt idx="720">
                  <c:v>0.22009999999999999</c:v>
                </c:pt>
                <c:pt idx="721">
                  <c:v>0.25030000000000002</c:v>
                </c:pt>
                <c:pt idx="722">
                  <c:v>0.1207</c:v>
                </c:pt>
                <c:pt idx="723">
                  <c:v>0.11749999999999999</c:v>
                </c:pt>
                <c:pt idx="724">
                  <c:v>0.1144</c:v>
                </c:pt>
                <c:pt idx="725">
                  <c:v>0.11749999999999999</c:v>
                </c:pt>
                <c:pt idx="726">
                  <c:v>0.1115</c:v>
                </c:pt>
                <c:pt idx="727">
                  <c:v>0.11169999999999999</c:v>
                </c:pt>
                <c:pt idx="728">
                  <c:v>0.11119999999999999</c:v>
                </c:pt>
                <c:pt idx="729">
                  <c:v>0.1074</c:v>
                </c:pt>
                <c:pt idx="730">
                  <c:v>0.111</c:v>
                </c:pt>
                <c:pt idx="731">
                  <c:v>0.1195</c:v>
                </c:pt>
                <c:pt idx="732">
                  <c:v>0.1166</c:v>
                </c:pt>
                <c:pt idx="733">
                  <c:v>0.1162</c:v>
                </c:pt>
                <c:pt idx="734">
                  <c:v>0.122</c:v>
                </c:pt>
                <c:pt idx="735">
                  <c:v>0.12889999999999999</c:v>
                </c:pt>
                <c:pt idx="736">
                  <c:v>0.12970000000000001</c:v>
                </c:pt>
                <c:pt idx="737">
                  <c:v>0.1245</c:v>
                </c:pt>
                <c:pt idx="738">
                  <c:v>0.1096</c:v>
                </c:pt>
                <c:pt idx="739">
                  <c:v>0.115</c:v>
                </c:pt>
                <c:pt idx="740">
                  <c:v>0.128</c:v>
                </c:pt>
                <c:pt idx="741">
                  <c:v>0.12</c:v>
                </c:pt>
                <c:pt idx="742">
                  <c:v>0.1188</c:v>
                </c:pt>
                <c:pt idx="743">
                  <c:v>0.13159999999999999</c:v>
                </c:pt>
                <c:pt idx="744">
                  <c:v>0.14530000000000001</c:v>
                </c:pt>
                <c:pt idx="745">
                  <c:v>0.1668</c:v>
                </c:pt>
                <c:pt idx="746">
                  <c:v>0.16639999999999999</c:v>
                </c:pt>
                <c:pt idx="747">
                  <c:v>0.1706</c:v>
                </c:pt>
                <c:pt idx="748">
                  <c:v>0.2009</c:v>
                </c:pt>
                <c:pt idx="749">
                  <c:v>0.218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8-403E-8370-B311C809498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-8.0531670804627886</c:v>
                </c:pt>
                <c:pt idx="1">
                  <c:v>-8.0419810504627893</c:v>
                </c:pt>
                <c:pt idx="2">
                  <c:v>-7.9134879832512501</c:v>
                </c:pt>
                <c:pt idx="3">
                  <c:v>-7.9651576480827107</c:v>
                </c:pt>
                <c:pt idx="4">
                  <c:v>-8.0368725071009077</c:v>
                </c:pt>
                <c:pt idx="5">
                  <c:v>-8.0491478701778316</c:v>
                </c:pt>
                <c:pt idx="6">
                  <c:v>-8.0114848949789632</c:v>
                </c:pt>
                <c:pt idx="7">
                  <c:v>-7.6317415125069017</c:v>
                </c:pt>
                <c:pt idx="8">
                  <c:v>-7.0655166614475808</c:v>
                </c:pt>
                <c:pt idx="9">
                  <c:v>-7.0084058619491483</c:v>
                </c:pt>
                <c:pt idx="10">
                  <c:v>-6.998491954494602</c:v>
                </c:pt>
                <c:pt idx="11">
                  <c:v>-6.9595244808852614</c:v>
                </c:pt>
                <c:pt idx="12">
                  <c:v>-6.9936973667676146</c:v>
                </c:pt>
                <c:pt idx="13">
                  <c:v>-7.0078888618838944</c:v>
                </c:pt>
                <c:pt idx="14">
                  <c:v>-7.0552279941696092</c:v>
                </c:pt>
                <c:pt idx="15">
                  <c:v>-6.9633911661696093</c:v>
                </c:pt>
                <c:pt idx="16">
                  <c:v>-7.0028108618921516</c:v>
                </c:pt>
                <c:pt idx="17">
                  <c:v>-7.0531027445008467</c:v>
                </c:pt>
                <c:pt idx="18">
                  <c:v>-7.0253534863562193</c:v>
                </c:pt>
                <c:pt idx="19">
                  <c:v>-7.0244479895717671</c:v>
                </c:pt>
                <c:pt idx="20">
                  <c:v>-6.9633835122283019</c:v>
                </c:pt>
                <c:pt idx="21">
                  <c:v>-6.874308292304141</c:v>
                </c:pt>
                <c:pt idx="22">
                  <c:v>-6.9205206584499734</c:v>
                </c:pt>
                <c:pt idx="23">
                  <c:v>-6.809522269580409</c:v>
                </c:pt>
                <c:pt idx="24">
                  <c:v>-6.8990963646900196</c:v>
                </c:pt>
                <c:pt idx="25">
                  <c:v>-6.8837709026847422</c:v>
                </c:pt>
                <c:pt idx="26">
                  <c:v>-6.9257093326847423</c:v>
                </c:pt>
                <c:pt idx="27">
                  <c:v>-6.9860940611803173</c:v>
                </c:pt>
                <c:pt idx="28">
                  <c:v>-6.9351723621683927</c:v>
                </c:pt>
                <c:pt idx="29">
                  <c:v>-6.941554389815451</c:v>
                </c:pt>
                <c:pt idx="30">
                  <c:v>-6.9123384979212998</c:v>
                </c:pt>
                <c:pt idx="31">
                  <c:v>-6.7380315099821901</c:v>
                </c:pt>
                <c:pt idx="32">
                  <c:v>-6.6300154819567121</c:v>
                </c:pt>
                <c:pt idx="33">
                  <c:v>-6.758670585483916</c:v>
                </c:pt>
                <c:pt idx="34">
                  <c:v>-6.8823191099283605</c:v>
                </c:pt>
                <c:pt idx="35">
                  <c:v>-6.8295119684649457</c:v>
                </c:pt>
                <c:pt idx="36">
                  <c:v>-6.9129598722722845</c:v>
                </c:pt>
                <c:pt idx="37">
                  <c:v>-6.8597201753292802</c:v>
                </c:pt>
                <c:pt idx="38">
                  <c:v>-6.9514553770827048</c:v>
                </c:pt>
                <c:pt idx="39">
                  <c:v>-6.8198741094608071</c:v>
                </c:pt>
                <c:pt idx="40">
                  <c:v>-6.8109213655603922</c:v>
                </c:pt>
                <c:pt idx="41">
                  <c:v>-6.8298754437260722</c:v>
                </c:pt>
                <c:pt idx="42">
                  <c:v>-6.7957650773290137</c:v>
                </c:pt>
                <c:pt idx="43">
                  <c:v>-6.6887730437183643</c:v>
                </c:pt>
                <c:pt idx="44">
                  <c:v>-6.7380959198278756</c:v>
                </c:pt>
                <c:pt idx="45">
                  <c:v>-6.821073690866835</c:v>
                </c:pt>
                <c:pt idx="46">
                  <c:v>-6.7485723377637132</c:v>
                </c:pt>
                <c:pt idx="47">
                  <c:v>-6.7832852744805061</c:v>
                </c:pt>
                <c:pt idx="48">
                  <c:v>-6.7878377736875546</c:v>
                </c:pt>
                <c:pt idx="49">
                  <c:v>-6.5090901580326035</c:v>
                </c:pt>
                <c:pt idx="50">
                  <c:v>-6.401493272934049</c:v>
                </c:pt>
                <c:pt idx="51">
                  <c:v>-6.3985578734002493</c:v>
                </c:pt>
                <c:pt idx="52">
                  <c:v>-6.3509949538022594</c:v>
                </c:pt>
                <c:pt idx="53">
                  <c:v>-6.4792988272991918</c:v>
                </c:pt>
                <c:pt idx="54">
                  <c:v>-6.447153664937832</c:v>
                </c:pt>
                <c:pt idx="55">
                  <c:v>-6.5250024092882537</c:v>
                </c:pt>
                <c:pt idx="56">
                  <c:v>-6.4049343598524286</c:v>
                </c:pt>
                <c:pt idx="57">
                  <c:v>-6.4078937270481955</c:v>
                </c:pt>
                <c:pt idx="58">
                  <c:v>-6.3527352857578734</c:v>
                </c:pt>
                <c:pt idx="59">
                  <c:v>-6.3028809389480562</c:v>
                </c:pt>
                <c:pt idx="60">
                  <c:v>-6.2906191497588679</c:v>
                </c:pt>
                <c:pt idx="61">
                  <c:v>-6.3939083694674288</c:v>
                </c:pt>
                <c:pt idx="62">
                  <c:v>-6.3819258348007617</c:v>
                </c:pt>
                <c:pt idx="63">
                  <c:v>-6.2274666661078495</c:v>
                </c:pt>
                <c:pt idx="64">
                  <c:v>-5.8967934491941021</c:v>
                </c:pt>
                <c:pt idx="65">
                  <c:v>-5.9182166368689604</c:v>
                </c:pt>
                <c:pt idx="66">
                  <c:v>-5.9670662697693935</c:v>
                </c:pt>
                <c:pt idx="67">
                  <c:v>-5.8318694402751028</c:v>
                </c:pt>
                <c:pt idx="68">
                  <c:v>-5.6688976003037359</c:v>
                </c:pt>
                <c:pt idx="69">
                  <c:v>-5.9811471020881228</c:v>
                </c:pt>
                <c:pt idx="70">
                  <c:v>-6.0267290178231487</c:v>
                </c:pt>
                <c:pt idx="71">
                  <c:v>-5.9655758940980927</c:v>
                </c:pt>
                <c:pt idx="72">
                  <c:v>-6.1470521431399368</c:v>
                </c:pt>
                <c:pt idx="73">
                  <c:v>-6.0432373788413214</c:v>
                </c:pt>
                <c:pt idx="74">
                  <c:v>-5.9196063222848476</c:v>
                </c:pt>
                <c:pt idx="75">
                  <c:v>-5.9022703575462492</c:v>
                </c:pt>
                <c:pt idx="76">
                  <c:v>-5.7477425381018055</c:v>
                </c:pt>
                <c:pt idx="77">
                  <c:v>-5.6742114486904631</c:v>
                </c:pt>
                <c:pt idx="78">
                  <c:v>-5.5012779314418534</c:v>
                </c:pt>
                <c:pt idx="79">
                  <c:v>-5.4141277313893319</c:v>
                </c:pt>
                <c:pt idx="80">
                  <c:v>-5.2296865222724493</c:v>
                </c:pt>
                <c:pt idx="81">
                  <c:v>-5.3492229862650555</c:v>
                </c:pt>
                <c:pt idx="82">
                  <c:v>-5.4352596375627646</c:v>
                </c:pt>
                <c:pt idx="83">
                  <c:v>-5.4974656795487782</c:v>
                </c:pt>
                <c:pt idx="84">
                  <c:v>-5.3857263035622527</c:v>
                </c:pt>
                <c:pt idx="85">
                  <c:v>-5.2957212560683162</c:v>
                </c:pt>
                <c:pt idx="86">
                  <c:v>-5.2252275830346075</c:v>
                </c:pt>
                <c:pt idx="87">
                  <c:v>-5.261712418450081</c:v>
                </c:pt>
                <c:pt idx="88">
                  <c:v>-5.2910147610864442</c:v>
                </c:pt>
                <c:pt idx="89">
                  <c:v>-4.9373267371593927</c:v>
                </c:pt>
                <c:pt idx="90">
                  <c:v>-5.4107512368219686</c:v>
                </c:pt>
                <c:pt idx="91">
                  <c:v>-5.6194022664580174</c:v>
                </c:pt>
                <c:pt idx="92">
                  <c:v>-5.7490767939580163</c:v>
                </c:pt>
                <c:pt idx="93">
                  <c:v>-5.5097845203291751</c:v>
                </c:pt>
                <c:pt idx="94">
                  <c:v>-5.6866875669958405</c:v>
                </c:pt>
                <c:pt idx="95">
                  <c:v>-5.7577559385688746</c:v>
                </c:pt>
                <c:pt idx="96">
                  <c:v>-5.7539439646187711</c:v>
                </c:pt>
                <c:pt idx="97">
                  <c:v>-5.7589428831901985</c:v>
                </c:pt>
                <c:pt idx="98">
                  <c:v>-5.7169488860473416</c:v>
                </c:pt>
                <c:pt idx="99">
                  <c:v>-5.5551679252875035</c:v>
                </c:pt>
                <c:pt idx="100">
                  <c:v>-5.6914516782962004</c:v>
                </c:pt>
                <c:pt idx="101">
                  <c:v>-5.7277582886162</c:v>
                </c:pt>
                <c:pt idx="102">
                  <c:v>-5.7398148474040784</c:v>
                </c:pt>
                <c:pt idx="103">
                  <c:v>-5.7009798844411144</c:v>
                </c:pt>
                <c:pt idx="104">
                  <c:v>-5.6245993552069784</c:v>
                </c:pt>
                <c:pt idx="105">
                  <c:v>-5.7328262744377483</c:v>
                </c:pt>
                <c:pt idx="106">
                  <c:v>-5.6987709445408417</c:v>
                </c:pt>
                <c:pt idx="107">
                  <c:v>-5.8015413477065767</c:v>
                </c:pt>
                <c:pt idx="108">
                  <c:v>-5.8713958907590413</c:v>
                </c:pt>
                <c:pt idx="109">
                  <c:v>-5.8327620081327787</c:v>
                </c:pt>
                <c:pt idx="110">
                  <c:v>-5.7302597490582281</c:v>
                </c:pt>
                <c:pt idx="111">
                  <c:v>-5.6789924549514517</c:v>
                </c:pt>
                <c:pt idx="112">
                  <c:v>-5.5861218550498126</c:v>
                </c:pt>
                <c:pt idx="113">
                  <c:v>-5.5941688737856303</c:v>
                </c:pt>
                <c:pt idx="114">
                  <c:v>-5.6255102230939551</c:v>
                </c:pt>
                <c:pt idx="115">
                  <c:v>-5.6427510313766485</c:v>
                </c:pt>
                <c:pt idx="116">
                  <c:v>-5.9256123794230975</c:v>
                </c:pt>
                <c:pt idx="117">
                  <c:v>-5.9156346395629571</c:v>
                </c:pt>
                <c:pt idx="118">
                  <c:v>-5.8789641115629578</c:v>
                </c:pt>
                <c:pt idx="119">
                  <c:v>-6.0618826507972265</c:v>
                </c:pt>
                <c:pt idx="120">
                  <c:v>-6.1381357297758488</c:v>
                </c:pt>
                <c:pt idx="121">
                  <c:v>-6.1154975678238488</c:v>
                </c:pt>
                <c:pt idx="122">
                  <c:v>-6.0341597886648</c:v>
                </c:pt>
                <c:pt idx="123">
                  <c:v>-5.9224464330869875</c:v>
                </c:pt>
                <c:pt idx="124">
                  <c:v>-5.9692217676952168</c:v>
                </c:pt>
                <c:pt idx="125">
                  <c:v>-5.9806714667829359</c:v>
                </c:pt>
                <c:pt idx="126">
                  <c:v>-5.9092004820919408</c:v>
                </c:pt>
                <c:pt idx="127">
                  <c:v>-6.0189224163962889</c:v>
                </c:pt>
                <c:pt idx="128">
                  <c:v>-6.2421507117835224</c:v>
                </c:pt>
                <c:pt idx="129">
                  <c:v>-5.9760114716565846</c:v>
                </c:pt>
                <c:pt idx="130">
                  <c:v>-5.9047476041177465</c:v>
                </c:pt>
                <c:pt idx="131">
                  <c:v>-5.8170451600701272</c:v>
                </c:pt>
                <c:pt idx="132">
                  <c:v>-5.7373292062136239</c:v>
                </c:pt>
                <c:pt idx="133">
                  <c:v>-5.5824362309772617</c:v>
                </c:pt>
                <c:pt idx="134">
                  <c:v>-5.6063422329152797</c:v>
                </c:pt>
                <c:pt idx="135">
                  <c:v>-5.6098627264013805</c:v>
                </c:pt>
                <c:pt idx="136">
                  <c:v>-5.7023198686520189</c:v>
                </c:pt>
                <c:pt idx="137">
                  <c:v>-5.646096891333543</c:v>
                </c:pt>
                <c:pt idx="138">
                  <c:v>-5.7014453128271674</c:v>
                </c:pt>
                <c:pt idx="139">
                  <c:v>-5.6989655755399333</c:v>
                </c:pt>
                <c:pt idx="140">
                  <c:v>-5.5908846558560059</c:v>
                </c:pt>
                <c:pt idx="141">
                  <c:v>-5.582168108246063</c:v>
                </c:pt>
                <c:pt idx="142">
                  <c:v>-5.6789061707033142</c:v>
                </c:pt>
                <c:pt idx="143">
                  <c:v>-5.4747455856369687</c:v>
                </c:pt>
                <c:pt idx="144">
                  <c:v>-5.57857790299719</c:v>
                </c:pt>
                <c:pt idx="145">
                  <c:v>-5.6896731785064034</c:v>
                </c:pt>
                <c:pt idx="146">
                  <c:v>-5.5469680263392211</c:v>
                </c:pt>
                <c:pt idx="147">
                  <c:v>-5.8989995787701233</c:v>
                </c:pt>
                <c:pt idx="148">
                  <c:v>-5.8707610055320281</c:v>
                </c:pt>
                <c:pt idx="149">
                  <c:v>-6.0249708590491169</c:v>
                </c:pt>
                <c:pt idx="150">
                  <c:v>-5.767235569510655</c:v>
                </c:pt>
                <c:pt idx="151">
                  <c:v>-5.8917645936543019</c:v>
                </c:pt>
                <c:pt idx="152">
                  <c:v>-5.8566412391234719</c:v>
                </c:pt>
                <c:pt idx="153">
                  <c:v>-5.9219827372104294</c:v>
                </c:pt>
                <c:pt idx="154">
                  <c:v>-6.0785832656407317</c:v>
                </c:pt>
                <c:pt idx="155">
                  <c:v>-5.8238902823328758</c:v>
                </c:pt>
                <c:pt idx="156">
                  <c:v>-5.9133207652033075</c:v>
                </c:pt>
                <c:pt idx="157">
                  <c:v>-5.7664970948617693</c:v>
                </c:pt>
                <c:pt idx="158">
                  <c:v>-5.69267427056442</c:v>
                </c:pt>
                <c:pt idx="159">
                  <c:v>-5.6849089421544203</c:v>
                </c:pt>
                <c:pt idx="160">
                  <c:v>-5.6454664700068191</c:v>
                </c:pt>
                <c:pt idx="161">
                  <c:v>-5.7975369978527143</c:v>
                </c:pt>
                <c:pt idx="162">
                  <c:v>-5.9506072557233782</c:v>
                </c:pt>
                <c:pt idx="163">
                  <c:v>-5.9524205469552802</c:v>
                </c:pt>
                <c:pt idx="164">
                  <c:v>-5.7138254603868246</c:v>
                </c:pt>
                <c:pt idx="165">
                  <c:v>-5.4358095312215529</c:v>
                </c:pt>
                <c:pt idx="166">
                  <c:v>-5.5659879857230807</c:v>
                </c:pt>
                <c:pt idx="167">
                  <c:v>-5.8995922632055233</c:v>
                </c:pt>
                <c:pt idx="168">
                  <c:v>-6.0839480407524444</c:v>
                </c:pt>
                <c:pt idx="169">
                  <c:v>-6.0322041849874406</c:v>
                </c:pt>
                <c:pt idx="170">
                  <c:v>-5.9453022535059601</c:v>
                </c:pt>
                <c:pt idx="171">
                  <c:v>-6.0237840820241964</c:v>
                </c:pt>
                <c:pt idx="172">
                  <c:v>-6.2134252203774087</c:v>
                </c:pt>
                <c:pt idx="173">
                  <c:v>-6.1100665106257095</c:v>
                </c:pt>
                <c:pt idx="174">
                  <c:v>-6.1740090584572647</c:v>
                </c:pt>
                <c:pt idx="175">
                  <c:v>-6.296371430764383</c:v>
                </c:pt>
                <c:pt idx="176">
                  <c:v>-6.3515435272403167</c:v>
                </c:pt>
                <c:pt idx="177">
                  <c:v>-6.4368488348427553</c:v>
                </c:pt>
                <c:pt idx="178">
                  <c:v>-6.383805328411789</c:v>
                </c:pt>
                <c:pt idx="179">
                  <c:v>-6.3703807210110659</c:v>
                </c:pt>
                <c:pt idx="180">
                  <c:v>-6.2339687514392859</c:v>
                </c:pt>
                <c:pt idx="181">
                  <c:v>-6.239190556613492</c:v>
                </c:pt>
                <c:pt idx="182">
                  <c:v>-6.2855707623996988</c:v>
                </c:pt>
                <c:pt idx="183">
                  <c:v>-6.2385630977401858</c:v>
                </c:pt>
                <c:pt idx="184">
                  <c:v>-6.1993935282558397</c:v>
                </c:pt>
                <c:pt idx="185">
                  <c:v>-6.225584235389606</c:v>
                </c:pt>
                <c:pt idx="186">
                  <c:v>-6.0634168924326781</c:v>
                </c:pt>
                <c:pt idx="187">
                  <c:v>-6.0605550034287559</c:v>
                </c:pt>
                <c:pt idx="188">
                  <c:v>-6.0270659142434342</c:v>
                </c:pt>
                <c:pt idx="189">
                  <c:v>-6.2010709147004661</c:v>
                </c:pt>
                <c:pt idx="190">
                  <c:v>-6.2028516800602604</c:v>
                </c:pt>
                <c:pt idx="191">
                  <c:v>-6.2961607070797339</c:v>
                </c:pt>
                <c:pt idx="192">
                  <c:v>-6.2147021052026901</c:v>
                </c:pt>
                <c:pt idx="193">
                  <c:v>-6.1242519780085116</c:v>
                </c:pt>
                <c:pt idx="194">
                  <c:v>-6.0423593965726985</c:v>
                </c:pt>
                <c:pt idx="195">
                  <c:v>-5.8982317407601981</c:v>
                </c:pt>
                <c:pt idx="196">
                  <c:v>-5.6095327292935311</c:v>
                </c:pt>
                <c:pt idx="197">
                  <c:v>-6.1076315870190836</c:v>
                </c:pt>
                <c:pt idx="198">
                  <c:v>-6.4105354530780447</c:v>
                </c:pt>
                <c:pt idx="199">
                  <c:v>-6.5997681815395834</c:v>
                </c:pt>
                <c:pt idx="200">
                  <c:v>-6.5280096167906274</c:v>
                </c:pt>
                <c:pt idx="201">
                  <c:v>-6.4803195813571932</c:v>
                </c:pt>
                <c:pt idx="202">
                  <c:v>-6.8008671009695636</c:v>
                </c:pt>
                <c:pt idx="203">
                  <c:v>-6.9145017338522079</c:v>
                </c:pt>
                <c:pt idx="204">
                  <c:v>-6.6740330914824222</c:v>
                </c:pt>
                <c:pt idx="205">
                  <c:v>-6.6680054609923767</c:v>
                </c:pt>
                <c:pt idx="206">
                  <c:v>-6.6380234649298773</c:v>
                </c:pt>
                <c:pt idx="207">
                  <c:v>-6.5631332631298767</c:v>
                </c:pt>
                <c:pt idx="208">
                  <c:v>-6.5920063135305078</c:v>
                </c:pt>
                <c:pt idx="209">
                  <c:v>-6.6089029785952143</c:v>
                </c:pt>
                <c:pt idx="210">
                  <c:v>-6.6320217954497958</c:v>
                </c:pt>
                <c:pt idx="211">
                  <c:v>-6.5676905710459543</c:v>
                </c:pt>
                <c:pt idx="212">
                  <c:v>-6.6574206072008719</c:v>
                </c:pt>
                <c:pt idx="213">
                  <c:v>-6.5885502560282569</c:v>
                </c:pt>
                <c:pt idx="214">
                  <c:v>-6.4985282051791717</c:v>
                </c:pt>
                <c:pt idx="215">
                  <c:v>-6.6149323271775637</c:v>
                </c:pt>
                <c:pt idx="216">
                  <c:v>-6.7092646454343061</c:v>
                </c:pt>
                <c:pt idx="217">
                  <c:v>-6.5452801684621456</c:v>
                </c:pt>
                <c:pt idx="218">
                  <c:v>-6.4520311406142827</c:v>
                </c:pt>
                <c:pt idx="219">
                  <c:v>-6.4970791739555249</c:v>
                </c:pt>
                <c:pt idx="220">
                  <c:v>-6.444554778972285</c:v>
                </c:pt>
                <c:pt idx="221">
                  <c:v>-6.0603642631722838</c:v>
                </c:pt>
                <c:pt idx="222">
                  <c:v>-6.1710553089057125</c:v>
                </c:pt>
                <c:pt idx="223">
                  <c:v>-6.0888360826820058</c:v>
                </c:pt>
                <c:pt idx="224">
                  <c:v>-6.0752860184563309</c:v>
                </c:pt>
                <c:pt idx="225">
                  <c:v>-5.9807261794645976</c:v>
                </c:pt>
                <c:pt idx="226">
                  <c:v>-5.6851265218607523</c:v>
                </c:pt>
                <c:pt idx="227">
                  <c:v>-5.8985425760008345</c:v>
                </c:pt>
                <c:pt idx="228">
                  <c:v>-6.1563537300110909</c:v>
                </c:pt>
                <c:pt idx="229">
                  <c:v>-6.242868833902758</c:v>
                </c:pt>
                <c:pt idx="230">
                  <c:v>-6.233302686499786</c:v>
                </c:pt>
                <c:pt idx="231">
                  <c:v>-6.0049079486028925</c:v>
                </c:pt>
                <c:pt idx="232">
                  <c:v>-5.904015553930769</c:v>
                </c:pt>
                <c:pt idx="233">
                  <c:v>-6.074824597553798</c:v>
                </c:pt>
                <c:pt idx="234">
                  <c:v>-6.0985867702154879</c:v>
                </c:pt>
                <c:pt idx="235">
                  <c:v>-5.9898946778065048</c:v>
                </c:pt>
                <c:pt idx="236">
                  <c:v>-6.0260484871459212</c:v>
                </c:pt>
                <c:pt idx="237">
                  <c:v>-6.0264407702512415</c:v>
                </c:pt>
                <c:pt idx="238">
                  <c:v>-5.9290888850300174</c:v>
                </c:pt>
                <c:pt idx="239">
                  <c:v>-5.9469875299633079</c:v>
                </c:pt>
                <c:pt idx="240">
                  <c:v>-5.8426234973965405</c:v>
                </c:pt>
                <c:pt idx="241">
                  <c:v>-5.6009439231106395</c:v>
                </c:pt>
                <c:pt idx="242">
                  <c:v>-5.5828352603492464</c:v>
                </c:pt>
                <c:pt idx="243">
                  <c:v>-5.8551549736248711</c:v>
                </c:pt>
                <c:pt idx="244">
                  <c:v>-5.7904020212755105</c:v>
                </c:pt>
                <c:pt idx="245">
                  <c:v>-5.5421889010848266</c:v>
                </c:pt>
                <c:pt idx="246">
                  <c:v>-5.270999967349435</c:v>
                </c:pt>
                <c:pt idx="247">
                  <c:v>-5.0686244168332397</c:v>
                </c:pt>
                <c:pt idx="248">
                  <c:v>-5.5112686998588982</c:v>
                </c:pt>
                <c:pt idx="249">
                  <c:v>-5.6880416187951246</c:v>
                </c:pt>
                <c:pt idx="250">
                  <c:v>-5.6285753259779092</c:v>
                </c:pt>
                <c:pt idx="251">
                  <c:v>-5.6245079609712709</c:v>
                </c:pt>
                <c:pt idx="252">
                  <c:v>-5.4986529706053666</c:v>
                </c:pt>
                <c:pt idx="253">
                  <c:v>-5.5975001763009589</c:v>
                </c:pt>
                <c:pt idx="254">
                  <c:v>-5.4233175244020551</c:v>
                </c:pt>
                <c:pt idx="255">
                  <c:v>-5.3204787646415843</c:v>
                </c:pt>
                <c:pt idx="256">
                  <c:v>-5.2424494215427933</c:v>
                </c:pt>
                <c:pt idx="257">
                  <c:v>-5.2022462874906994</c:v>
                </c:pt>
                <c:pt idx="258">
                  <c:v>-5.1056707715324041</c:v>
                </c:pt>
                <c:pt idx="259">
                  <c:v>-5.1291184729355459</c:v>
                </c:pt>
                <c:pt idx="260">
                  <c:v>-5.1882538779037306</c:v>
                </c:pt>
                <c:pt idx="261">
                  <c:v>-4.9143678168515796</c:v>
                </c:pt>
                <c:pt idx="262">
                  <c:v>-4.9952245901255106</c:v>
                </c:pt>
                <c:pt idx="263">
                  <c:v>-4.8954895076002387</c:v>
                </c:pt>
                <c:pt idx="264">
                  <c:v>-4.8998027635898191</c:v>
                </c:pt>
                <c:pt idx="265">
                  <c:v>-4.8557249220488581</c:v>
                </c:pt>
                <c:pt idx="266">
                  <c:v>-4.8474082970956669</c:v>
                </c:pt>
                <c:pt idx="267">
                  <c:v>-4.7062922285138304</c:v>
                </c:pt>
                <c:pt idx="268">
                  <c:v>-4.7299187418104625</c:v>
                </c:pt>
                <c:pt idx="269">
                  <c:v>-4.5373042872641092</c:v>
                </c:pt>
                <c:pt idx="270">
                  <c:v>-4.5116274256589124</c:v>
                </c:pt>
                <c:pt idx="271">
                  <c:v>-4.5085375500705034</c:v>
                </c:pt>
                <c:pt idx="272">
                  <c:v>-4.5515166976476467</c:v>
                </c:pt>
                <c:pt idx="273">
                  <c:v>-4.6069932698603253</c:v>
                </c:pt>
                <c:pt idx="274">
                  <c:v>-4.5548509373660515</c:v>
                </c:pt>
                <c:pt idx="275">
                  <c:v>-4.5326782988083583</c:v>
                </c:pt>
                <c:pt idx="276">
                  <c:v>-4.6137875293392687</c:v>
                </c:pt>
                <c:pt idx="277">
                  <c:v>-4.6220587596550446</c:v>
                </c:pt>
                <c:pt idx="278">
                  <c:v>-4.6111255409917415</c:v>
                </c:pt>
                <c:pt idx="279">
                  <c:v>-4.4841310270576153</c:v>
                </c:pt>
                <c:pt idx="280">
                  <c:v>-4.7117619686975916</c:v>
                </c:pt>
                <c:pt idx="281">
                  <c:v>-4.4026825219945662</c:v>
                </c:pt>
                <c:pt idx="282">
                  <c:v>-4.3459129139103831</c:v>
                </c:pt>
                <c:pt idx="283">
                  <c:v>-4.4334752457295545</c:v>
                </c:pt>
                <c:pt idx="284">
                  <c:v>-4.2232543921635237</c:v>
                </c:pt>
                <c:pt idx="285">
                  <c:v>-4.2175428430754227</c:v>
                </c:pt>
                <c:pt idx="286">
                  <c:v>-4.1614199896856734</c:v>
                </c:pt>
                <c:pt idx="287">
                  <c:v>-4.1088879337092266</c:v>
                </c:pt>
                <c:pt idx="288">
                  <c:v>-4.0512628024306547</c:v>
                </c:pt>
                <c:pt idx="289">
                  <c:v>-4.1720800143334893</c:v>
                </c:pt>
                <c:pt idx="290">
                  <c:v>-3.8549685571743382</c:v>
                </c:pt>
                <c:pt idx="291">
                  <c:v>-3.7601663913177377</c:v>
                </c:pt>
                <c:pt idx="292">
                  <c:v>-3.6487662662140581</c:v>
                </c:pt>
                <c:pt idx="293">
                  <c:v>-3.4687505209120406</c:v>
                </c:pt>
                <c:pt idx="294">
                  <c:v>-3.2670556823929906</c:v>
                </c:pt>
                <c:pt idx="295">
                  <c:v>-3.1519254458128114</c:v>
                </c:pt>
                <c:pt idx="296">
                  <c:v>-3.5597543529700943</c:v>
                </c:pt>
                <c:pt idx="297">
                  <c:v>-2.8324618597548761</c:v>
                </c:pt>
                <c:pt idx="298">
                  <c:v>-2.9719041349371933</c:v>
                </c:pt>
                <c:pt idx="299">
                  <c:v>-3.0747808349381933</c:v>
                </c:pt>
                <c:pt idx="300">
                  <c:v>-2.9389912925381938</c:v>
                </c:pt>
                <c:pt idx="301">
                  <c:v>-2.8852212283901935</c:v>
                </c:pt>
                <c:pt idx="302">
                  <c:v>-2.7178173564496215</c:v>
                </c:pt>
                <c:pt idx="303">
                  <c:v>-2.810610628297856</c:v>
                </c:pt>
                <c:pt idx="304">
                  <c:v>-2.7442920846784693</c:v>
                </c:pt>
                <c:pt idx="305">
                  <c:v>-3.2127551813433581</c:v>
                </c:pt>
                <c:pt idx="306">
                  <c:v>-3.4728239577205002</c:v>
                </c:pt>
                <c:pt idx="307">
                  <c:v>-3.564948262563302</c:v>
                </c:pt>
                <c:pt idx="308">
                  <c:v>-3.6311072528335719</c:v>
                </c:pt>
                <c:pt idx="309">
                  <c:v>-3.5927724637694407</c:v>
                </c:pt>
                <c:pt idx="310">
                  <c:v>-3.4840793491915281</c:v>
                </c:pt>
                <c:pt idx="311">
                  <c:v>-3.391454058215666</c:v>
                </c:pt>
                <c:pt idx="312">
                  <c:v>-3.2653677579613092</c:v>
                </c:pt>
                <c:pt idx="313">
                  <c:v>-3.2212512323794149</c:v>
                </c:pt>
                <c:pt idx="314">
                  <c:v>-3.0798862155192834</c:v>
                </c:pt>
                <c:pt idx="315">
                  <c:v>-3.037084418748671</c:v>
                </c:pt>
                <c:pt idx="316">
                  <c:v>-2.8697136103292018</c:v>
                </c:pt>
                <c:pt idx="317">
                  <c:v>-2.760465538069889</c:v>
                </c:pt>
                <c:pt idx="318">
                  <c:v>-2.1651879038123947</c:v>
                </c:pt>
                <c:pt idx="319">
                  <c:v>-2.7278778429128803</c:v>
                </c:pt>
                <c:pt idx="320">
                  <c:v>-2.5282058982838698</c:v>
                </c:pt>
                <c:pt idx="321">
                  <c:v>-2.3971857906410126</c:v>
                </c:pt>
                <c:pt idx="322">
                  <c:v>-2.1602784491498297</c:v>
                </c:pt>
                <c:pt idx="323">
                  <c:v>-2.449228918265939</c:v>
                </c:pt>
                <c:pt idx="324">
                  <c:v>-2.1996180968752812</c:v>
                </c:pt>
                <c:pt idx="325">
                  <c:v>-1.9248753859452528</c:v>
                </c:pt>
                <c:pt idx="326">
                  <c:v>-2.2685455815224387</c:v>
                </c:pt>
                <c:pt idx="327">
                  <c:v>-2.5010273247260382</c:v>
                </c:pt>
                <c:pt idx="328">
                  <c:v>-2.4508186968563859</c:v>
                </c:pt>
                <c:pt idx="329">
                  <c:v>-2.2971140698547221</c:v>
                </c:pt>
                <c:pt idx="330">
                  <c:v>-2.8083909939773797</c:v>
                </c:pt>
                <c:pt idx="331">
                  <c:v>-2.7851669857046524</c:v>
                </c:pt>
                <c:pt idx="332">
                  <c:v>-2.7668307781831643</c:v>
                </c:pt>
                <c:pt idx="333">
                  <c:v>-2.8224724273299406</c:v>
                </c:pt>
                <c:pt idx="334">
                  <c:v>-2.861910422498692</c:v>
                </c:pt>
                <c:pt idx="335">
                  <c:v>-2.8149459044298117</c:v>
                </c:pt>
                <c:pt idx="336">
                  <c:v>-2.8264879123233255</c:v>
                </c:pt>
                <c:pt idx="337">
                  <c:v>-2.6835205418590919</c:v>
                </c:pt>
                <c:pt idx="338">
                  <c:v>-2.7299633259959331</c:v>
                </c:pt>
                <c:pt idx="339">
                  <c:v>-2.6441302632746768</c:v>
                </c:pt>
                <c:pt idx="340">
                  <c:v>-2.6788973943336241</c:v>
                </c:pt>
                <c:pt idx="341">
                  <c:v>-2.5154659293037684</c:v>
                </c:pt>
                <c:pt idx="342">
                  <c:v>-2.4252419915422982</c:v>
                </c:pt>
                <c:pt idx="343">
                  <c:v>-2.331252413997249</c:v>
                </c:pt>
                <c:pt idx="344">
                  <c:v>-2.2740267585932488</c:v>
                </c:pt>
                <c:pt idx="345">
                  <c:v>-2.2958964932969019</c:v>
                </c:pt>
                <c:pt idx="346">
                  <c:v>-2.3560929329238167</c:v>
                </c:pt>
                <c:pt idx="347">
                  <c:v>-2.4319203018523887</c:v>
                </c:pt>
                <c:pt idx="348">
                  <c:v>-2.2880438150949973</c:v>
                </c:pt>
                <c:pt idx="349">
                  <c:v>-2.2855371603900188</c:v>
                </c:pt>
                <c:pt idx="350">
                  <c:v>-2.3796828843578761</c:v>
                </c:pt>
                <c:pt idx="351">
                  <c:v>-2.2984129547756615</c:v>
                </c:pt>
                <c:pt idx="352">
                  <c:v>-1.2818059357758409</c:v>
                </c:pt>
                <c:pt idx="353">
                  <c:v>-1.6562515064010535</c:v>
                </c:pt>
                <c:pt idx="354">
                  <c:v>-1.7720857338180023</c:v>
                </c:pt>
                <c:pt idx="355">
                  <c:v>-1.8431270905309274</c:v>
                </c:pt>
                <c:pt idx="356">
                  <c:v>-1.7940489544677696</c:v>
                </c:pt>
                <c:pt idx="357">
                  <c:v>-2.0128405509268466</c:v>
                </c:pt>
                <c:pt idx="358">
                  <c:v>-1.9852690870524745</c:v>
                </c:pt>
                <c:pt idx="359">
                  <c:v>-1.9489031606571259</c:v>
                </c:pt>
                <c:pt idx="360">
                  <c:v>-1.9171201307247061</c:v>
                </c:pt>
                <c:pt idx="361">
                  <c:v>-2.1101948985852772</c:v>
                </c:pt>
                <c:pt idx="362">
                  <c:v>-2.1348791822980981</c:v>
                </c:pt>
                <c:pt idx="363">
                  <c:v>-2.188708917364969</c:v>
                </c:pt>
                <c:pt idx="364">
                  <c:v>-2.1363602098390153</c:v>
                </c:pt>
                <c:pt idx="365">
                  <c:v>-2.1503576145377163</c:v>
                </c:pt>
                <c:pt idx="366">
                  <c:v>-2.0508663129529063</c:v>
                </c:pt>
                <c:pt idx="367">
                  <c:v>-2.0429925573519228</c:v>
                </c:pt>
                <c:pt idx="368">
                  <c:v>-2.0913740583588991</c:v>
                </c:pt>
                <c:pt idx="369">
                  <c:v>-2.0445090207853704</c:v>
                </c:pt>
                <c:pt idx="370">
                  <c:v>-2.1185228842520374</c:v>
                </c:pt>
                <c:pt idx="371">
                  <c:v>-2.1838798022150958</c:v>
                </c:pt>
                <c:pt idx="372">
                  <c:v>-1.8951040037046838</c:v>
                </c:pt>
                <c:pt idx="373">
                  <c:v>-2.0050701354544631</c:v>
                </c:pt>
                <c:pt idx="374">
                  <c:v>-1.8968179412734634</c:v>
                </c:pt>
                <c:pt idx="375">
                  <c:v>-1.9257623481228461</c:v>
                </c:pt>
                <c:pt idx="376">
                  <c:v>-2.0398133497216042</c:v>
                </c:pt>
                <c:pt idx="377">
                  <c:v>-2.1062639705190396</c:v>
                </c:pt>
                <c:pt idx="378">
                  <c:v>-2.1268798984301505</c:v>
                </c:pt>
                <c:pt idx="379">
                  <c:v>-2.2127670745049759</c:v>
                </c:pt>
                <c:pt idx="380">
                  <c:v>-2.2886390102801144</c:v>
                </c:pt>
                <c:pt idx="381">
                  <c:v>-2.237363081083644</c:v>
                </c:pt>
                <c:pt idx="382">
                  <c:v>-2.2387160792273937</c:v>
                </c:pt>
                <c:pt idx="383">
                  <c:v>-2.1939687742464948</c:v>
                </c:pt>
                <c:pt idx="384">
                  <c:v>-2.3413366621487173</c:v>
                </c:pt>
                <c:pt idx="385">
                  <c:v>-2.4187343864519821</c:v>
                </c:pt>
                <c:pt idx="386">
                  <c:v>-2.439324014425519</c:v>
                </c:pt>
                <c:pt idx="387">
                  <c:v>-2.4865826839235683</c:v>
                </c:pt>
                <c:pt idx="388">
                  <c:v>-2.5051185210604103</c:v>
                </c:pt>
                <c:pt idx="389">
                  <c:v>-2.5590545947143131</c:v>
                </c:pt>
                <c:pt idx="390">
                  <c:v>-2.6225796758427808</c:v>
                </c:pt>
                <c:pt idx="391">
                  <c:v>-2.6448696527130777</c:v>
                </c:pt>
                <c:pt idx="392">
                  <c:v>-2.6586092663459544</c:v>
                </c:pt>
                <c:pt idx="393">
                  <c:v>-2.6609791549753665</c:v>
                </c:pt>
                <c:pt idx="394">
                  <c:v>-2.6573980412286997</c:v>
                </c:pt>
                <c:pt idx="395">
                  <c:v>-2.6449196858710726</c:v>
                </c:pt>
                <c:pt idx="396">
                  <c:v>-2.6622482022399248</c:v>
                </c:pt>
                <c:pt idx="397">
                  <c:v>-2.6695075960996881</c:v>
                </c:pt>
                <c:pt idx="398">
                  <c:v>-2.6407998465505655</c:v>
                </c:pt>
                <c:pt idx="399">
                  <c:v>-2.6458274214753184</c:v>
                </c:pt>
                <c:pt idx="400">
                  <c:v>-2.6870940118334574</c:v>
                </c:pt>
                <c:pt idx="401">
                  <c:v>-2.6537131693177831</c:v>
                </c:pt>
                <c:pt idx="402">
                  <c:v>-2.665877006015219</c:v>
                </c:pt>
                <c:pt idx="403">
                  <c:v>-2.6124598153933554</c:v>
                </c:pt>
                <c:pt idx="404">
                  <c:v>-2.6165013462236919</c:v>
                </c:pt>
                <c:pt idx="405">
                  <c:v>-2.5756482278377271</c:v>
                </c:pt>
                <c:pt idx="406">
                  <c:v>-2.6028942716504031</c:v>
                </c:pt>
                <c:pt idx="407">
                  <c:v>-2.5616585874358049</c:v>
                </c:pt>
                <c:pt idx="408">
                  <c:v>-2.5928787819246937</c:v>
                </c:pt>
                <c:pt idx="409">
                  <c:v>-2.5972357244944608</c:v>
                </c:pt>
                <c:pt idx="410">
                  <c:v>-2.5926940315329223</c:v>
                </c:pt>
                <c:pt idx="411">
                  <c:v>-2.5902658152329225</c:v>
                </c:pt>
                <c:pt idx="412">
                  <c:v>-2.5991968563903698</c:v>
                </c:pt>
                <c:pt idx="413">
                  <c:v>-2.5933605210764163</c:v>
                </c:pt>
                <c:pt idx="414">
                  <c:v>-2.5636181582362449</c:v>
                </c:pt>
                <c:pt idx="415">
                  <c:v>-2.6051180310426965</c:v>
                </c:pt>
                <c:pt idx="416">
                  <c:v>-2.5634783048926963</c:v>
                </c:pt>
                <c:pt idx="417">
                  <c:v>-2.5957013464477687</c:v>
                </c:pt>
                <c:pt idx="418">
                  <c:v>-2.5851613238745292</c:v>
                </c:pt>
                <c:pt idx="419">
                  <c:v>-2.593343045849529</c:v>
                </c:pt>
                <c:pt idx="420">
                  <c:v>-2.5386058133660936</c:v>
                </c:pt>
                <c:pt idx="421">
                  <c:v>-2.53227857127635</c:v>
                </c:pt>
                <c:pt idx="422">
                  <c:v>-2.5731855619232253</c:v>
                </c:pt>
                <c:pt idx="423">
                  <c:v>-2.4935579881216063</c:v>
                </c:pt>
                <c:pt idx="424">
                  <c:v>-2.5107767202432272</c:v>
                </c:pt>
                <c:pt idx="425">
                  <c:v>-2.5073506064201507</c:v>
                </c:pt>
                <c:pt idx="426">
                  <c:v>-2.5127070199304309</c:v>
                </c:pt>
                <c:pt idx="427">
                  <c:v>-2.5155587437653142</c:v>
                </c:pt>
                <c:pt idx="428">
                  <c:v>-2.4380345997486836</c:v>
                </c:pt>
                <c:pt idx="429">
                  <c:v>-2.3492700479775994</c:v>
                </c:pt>
                <c:pt idx="430">
                  <c:v>-2.3874200404620898</c:v>
                </c:pt>
                <c:pt idx="431">
                  <c:v>-2.4378622436893624</c:v>
                </c:pt>
                <c:pt idx="432">
                  <c:v>-2.4121877834013623</c:v>
                </c:pt>
                <c:pt idx="433">
                  <c:v>-2.453365157476747</c:v>
                </c:pt>
                <c:pt idx="434">
                  <c:v>-2.4377918066922644</c:v>
                </c:pt>
                <c:pt idx="435">
                  <c:v>-2.3707409544932698</c:v>
                </c:pt>
                <c:pt idx="436">
                  <c:v>-2.3524280204784551</c:v>
                </c:pt>
                <c:pt idx="437">
                  <c:v>-2.2074813094899306</c:v>
                </c:pt>
                <c:pt idx="438">
                  <c:v>-2.2276504724118054</c:v>
                </c:pt>
                <c:pt idx="439">
                  <c:v>-2.1941696618894526</c:v>
                </c:pt>
                <c:pt idx="440">
                  <c:v>-2.1620342652097775</c:v>
                </c:pt>
                <c:pt idx="441">
                  <c:v>-2.2126071005893233</c:v>
                </c:pt>
                <c:pt idx="442">
                  <c:v>-2.1669583959686953</c:v>
                </c:pt>
                <c:pt idx="443">
                  <c:v>-1.908765917878767</c:v>
                </c:pt>
                <c:pt idx="444">
                  <c:v>-1.9053951920274583</c:v>
                </c:pt>
                <c:pt idx="445">
                  <c:v>-1.936962297832056</c:v>
                </c:pt>
                <c:pt idx="446">
                  <c:v>-1.929958112832056</c:v>
                </c:pt>
                <c:pt idx="447">
                  <c:v>-1.8920854037920563</c:v>
                </c:pt>
                <c:pt idx="448">
                  <c:v>-1.9378326080920563</c:v>
                </c:pt>
                <c:pt idx="449">
                  <c:v>-1.991099520323635</c:v>
                </c:pt>
                <c:pt idx="450">
                  <c:v>-1.9897068145800707</c:v>
                </c:pt>
                <c:pt idx="451">
                  <c:v>-1.9848601006590181</c:v>
                </c:pt>
                <c:pt idx="452">
                  <c:v>-1.9679644683603517</c:v>
                </c:pt>
                <c:pt idx="453">
                  <c:v>-1.9703063237421699</c:v>
                </c:pt>
                <c:pt idx="454">
                  <c:v>-1.9584261844984805</c:v>
                </c:pt>
                <c:pt idx="455">
                  <c:v>-1.9618644241109808</c:v>
                </c:pt>
                <c:pt idx="456">
                  <c:v>-1.9490298388717648</c:v>
                </c:pt>
                <c:pt idx="457">
                  <c:v>-1.9450430403252861</c:v>
                </c:pt>
                <c:pt idx="458">
                  <c:v>-1.9218880157634304</c:v>
                </c:pt>
                <c:pt idx="459">
                  <c:v>-1.9124183574578124</c:v>
                </c:pt>
                <c:pt idx="460">
                  <c:v>-1.9095005030356884</c:v>
                </c:pt>
                <c:pt idx="461">
                  <c:v>-1.9116448810436883</c:v>
                </c:pt>
                <c:pt idx="462">
                  <c:v>-1.8863772068811884</c:v>
                </c:pt>
                <c:pt idx="463">
                  <c:v>-1.8911047797902796</c:v>
                </c:pt>
                <c:pt idx="464">
                  <c:v>-1.9148173962902797</c:v>
                </c:pt>
                <c:pt idx="465">
                  <c:v>-1.8915688860680575</c:v>
                </c:pt>
                <c:pt idx="466">
                  <c:v>-1.9025083799180573</c:v>
                </c:pt>
                <c:pt idx="467">
                  <c:v>-1.8991666623646328</c:v>
                </c:pt>
                <c:pt idx="468">
                  <c:v>-1.9027028164050823</c:v>
                </c:pt>
                <c:pt idx="469">
                  <c:v>-1.8950562854133468</c:v>
                </c:pt>
                <c:pt idx="470">
                  <c:v>-1.8832783119402701</c:v>
                </c:pt>
                <c:pt idx="471">
                  <c:v>-1.866825959185032</c:v>
                </c:pt>
                <c:pt idx="472">
                  <c:v>-1.8644935231677906</c:v>
                </c:pt>
                <c:pt idx="473">
                  <c:v>-1.8523938186502467</c:v>
                </c:pt>
                <c:pt idx="474">
                  <c:v>-1.8588717940910628</c:v>
                </c:pt>
                <c:pt idx="475">
                  <c:v>-1.8343313327910631</c:v>
                </c:pt>
                <c:pt idx="476">
                  <c:v>-1.8605476027910628</c:v>
                </c:pt>
                <c:pt idx="477">
                  <c:v>-1.8733273666126398</c:v>
                </c:pt>
                <c:pt idx="478">
                  <c:v>-1.903363866365726</c:v>
                </c:pt>
                <c:pt idx="479">
                  <c:v>-1.8553967613466509</c:v>
                </c:pt>
                <c:pt idx="480">
                  <c:v>-1.8690503421189726</c:v>
                </c:pt>
                <c:pt idx="481">
                  <c:v>-1.8746007517623686</c:v>
                </c:pt>
                <c:pt idx="482">
                  <c:v>-1.86311100852976</c:v>
                </c:pt>
                <c:pt idx="483">
                  <c:v>-1.8458817100254004</c:v>
                </c:pt>
                <c:pt idx="484">
                  <c:v>-1.8402941995146758</c:v>
                </c:pt>
                <c:pt idx="485">
                  <c:v>-1.8771215036528781</c:v>
                </c:pt>
                <c:pt idx="486">
                  <c:v>-1.8946849076414856</c:v>
                </c:pt>
                <c:pt idx="487">
                  <c:v>-1.8680688366672922</c:v>
                </c:pt>
                <c:pt idx="488">
                  <c:v>-1.8761201623672921</c:v>
                </c:pt>
                <c:pt idx="489">
                  <c:v>-1.8700105142146606</c:v>
                </c:pt>
                <c:pt idx="490">
                  <c:v>-1.873224411904552</c:v>
                </c:pt>
                <c:pt idx="491">
                  <c:v>-1.9117161059005916</c:v>
                </c:pt>
                <c:pt idx="492">
                  <c:v>-1.819849928556365</c:v>
                </c:pt>
                <c:pt idx="493">
                  <c:v>-1.8467894292459652</c:v>
                </c:pt>
                <c:pt idx="494">
                  <c:v>-1.8178954323603089</c:v>
                </c:pt>
                <c:pt idx="495">
                  <c:v>-1.8101856422975708</c:v>
                </c:pt>
                <c:pt idx="496">
                  <c:v>-1.8278175168388251</c:v>
                </c:pt>
                <c:pt idx="497">
                  <c:v>-1.8027186230493513</c:v>
                </c:pt>
                <c:pt idx="498">
                  <c:v>-1.7992741312254981</c:v>
                </c:pt>
                <c:pt idx="499">
                  <c:v>-1.807731155445498</c:v>
                </c:pt>
                <c:pt idx="500">
                  <c:v>-1.7632682990269795</c:v>
                </c:pt>
                <c:pt idx="501">
                  <c:v>-1.7958790096635386</c:v>
                </c:pt>
                <c:pt idx="502">
                  <c:v>-1.7741460087097918</c:v>
                </c:pt>
                <c:pt idx="503">
                  <c:v>-1.7853031037850213</c:v>
                </c:pt>
                <c:pt idx="504">
                  <c:v>-1.7872161262644732</c:v>
                </c:pt>
                <c:pt idx="505">
                  <c:v>-1.7935870626565236</c:v>
                </c:pt>
                <c:pt idx="506">
                  <c:v>-1.8223474190433369</c:v>
                </c:pt>
                <c:pt idx="507">
                  <c:v>-1.7769054436423344</c:v>
                </c:pt>
                <c:pt idx="508">
                  <c:v>-1.8010608469481368</c:v>
                </c:pt>
                <c:pt idx="509">
                  <c:v>-1.8554179726945712</c:v>
                </c:pt>
                <c:pt idx="510">
                  <c:v>-1.7916046232896568</c:v>
                </c:pt>
                <c:pt idx="511">
                  <c:v>-1.8177711207106619</c:v>
                </c:pt>
                <c:pt idx="512">
                  <c:v>-1.7135100640545662</c:v>
                </c:pt>
                <c:pt idx="513">
                  <c:v>-1.5775714635155753</c:v>
                </c:pt>
                <c:pt idx="514">
                  <c:v>-1.6509572589604904</c:v>
                </c:pt>
                <c:pt idx="515">
                  <c:v>-1.6217851137993793</c:v>
                </c:pt>
                <c:pt idx="516">
                  <c:v>-1.6419442690231003</c:v>
                </c:pt>
                <c:pt idx="517">
                  <c:v>-1.6753508275031004</c:v>
                </c:pt>
                <c:pt idx="518">
                  <c:v>-1.6999991318199275</c:v>
                </c:pt>
                <c:pt idx="519">
                  <c:v>-1.6734314508806145</c:v>
                </c:pt>
                <c:pt idx="520">
                  <c:v>-1.7053654259748554</c:v>
                </c:pt>
                <c:pt idx="521">
                  <c:v>-1.6903734934115642</c:v>
                </c:pt>
                <c:pt idx="522">
                  <c:v>-1.6806219737593122</c:v>
                </c:pt>
                <c:pt idx="523">
                  <c:v>-1.7007937308400136</c:v>
                </c:pt>
                <c:pt idx="524">
                  <c:v>-1.7588381766314423</c:v>
                </c:pt>
                <c:pt idx="525">
                  <c:v>-1.6846406068406496</c:v>
                </c:pt>
                <c:pt idx="526">
                  <c:v>-1.7058373639073163</c:v>
                </c:pt>
                <c:pt idx="527">
                  <c:v>-1.669931891073368</c:v>
                </c:pt>
                <c:pt idx="528">
                  <c:v>-1.6055634797575959</c:v>
                </c:pt>
                <c:pt idx="529">
                  <c:v>-1.6057481541871008</c:v>
                </c:pt>
                <c:pt idx="530">
                  <c:v>-1.6697982389908421</c:v>
                </c:pt>
                <c:pt idx="531">
                  <c:v>-1.6260520309833841</c:v>
                </c:pt>
                <c:pt idx="532">
                  <c:v>-1.5257523063216742</c:v>
                </c:pt>
                <c:pt idx="533">
                  <c:v>-1.2580150849567244</c:v>
                </c:pt>
                <c:pt idx="534">
                  <c:v>-1.4018671672009642</c:v>
                </c:pt>
                <c:pt idx="535">
                  <c:v>-1.4154903913431356</c:v>
                </c:pt>
                <c:pt idx="536">
                  <c:v>-1.5100891735564523</c:v>
                </c:pt>
                <c:pt idx="537">
                  <c:v>-1.5648555193395111</c:v>
                </c:pt>
                <c:pt idx="538">
                  <c:v>-1.606892482591769</c:v>
                </c:pt>
                <c:pt idx="539">
                  <c:v>-1.6594973097476746</c:v>
                </c:pt>
                <c:pt idx="540">
                  <c:v>-1.6930887857857699</c:v>
                </c:pt>
                <c:pt idx="541">
                  <c:v>-1.6949663076868009</c:v>
                </c:pt>
                <c:pt idx="542">
                  <c:v>-1.7000605591543507</c:v>
                </c:pt>
                <c:pt idx="543">
                  <c:v>-1.7124046211671713</c:v>
                </c:pt>
                <c:pt idx="544">
                  <c:v>-1.7455468604188138</c:v>
                </c:pt>
                <c:pt idx="545">
                  <c:v>-1.7383789334864608</c:v>
                </c:pt>
                <c:pt idx="546">
                  <c:v>-1.7243176550971477</c:v>
                </c:pt>
                <c:pt idx="547">
                  <c:v>-1.7283751710534321</c:v>
                </c:pt>
                <c:pt idx="548">
                  <c:v>-1.6879862213210433</c:v>
                </c:pt>
                <c:pt idx="549">
                  <c:v>-1.7307009268343767</c:v>
                </c:pt>
                <c:pt idx="550">
                  <c:v>-1.6757250716106515</c:v>
                </c:pt>
                <c:pt idx="551">
                  <c:v>-1.6933812911486339</c:v>
                </c:pt>
                <c:pt idx="552">
                  <c:v>-1.6680622541287866</c:v>
                </c:pt>
                <c:pt idx="553">
                  <c:v>-1.6383392399564181</c:v>
                </c:pt>
                <c:pt idx="554">
                  <c:v>-1.6230525014564179</c:v>
                </c:pt>
                <c:pt idx="555">
                  <c:v>-1.6100400204153222</c:v>
                </c:pt>
                <c:pt idx="556">
                  <c:v>-1.590331024399507</c:v>
                </c:pt>
                <c:pt idx="557">
                  <c:v>-1.4591600424032638</c:v>
                </c:pt>
                <c:pt idx="558">
                  <c:v>-1.639425578334947</c:v>
                </c:pt>
                <c:pt idx="559">
                  <c:v>-1.6121032956467116</c:v>
                </c:pt>
                <c:pt idx="560">
                  <c:v>-1.6657817566415771</c:v>
                </c:pt>
                <c:pt idx="561">
                  <c:v>-1.6991347040954647</c:v>
                </c:pt>
                <c:pt idx="562">
                  <c:v>-1.6671416553138763</c:v>
                </c:pt>
                <c:pt idx="563">
                  <c:v>-1.6991796505079939</c:v>
                </c:pt>
                <c:pt idx="564">
                  <c:v>-1.6406527519190308</c:v>
                </c:pt>
                <c:pt idx="565">
                  <c:v>-1.6357183167222566</c:v>
                </c:pt>
                <c:pt idx="566">
                  <c:v>-1.6220395135087735</c:v>
                </c:pt>
                <c:pt idx="567">
                  <c:v>-1.5946681164174155</c:v>
                </c:pt>
                <c:pt idx="568">
                  <c:v>-1.7561879775774154</c:v>
                </c:pt>
                <c:pt idx="569">
                  <c:v>-1.7221854779391177</c:v>
                </c:pt>
                <c:pt idx="570">
                  <c:v>-1.7362679946252562</c:v>
                </c:pt>
                <c:pt idx="571">
                  <c:v>-1.7334243271935319</c:v>
                </c:pt>
                <c:pt idx="572">
                  <c:v>-1.709678973707411</c:v>
                </c:pt>
                <c:pt idx="573">
                  <c:v>-1.7787075735824107</c:v>
                </c:pt>
                <c:pt idx="574">
                  <c:v>-1.765396832930356</c:v>
                </c:pt>
                <c:pt idx="575">
                  <c:v>-1.7473343226077753</c:v>
                </c:pt>
                <c:pt idx="576">
                  <c:v>-1.7206014051766279</c:v>
                </c:pt>
                <c:pt idx="577">
                  <c:v>-1.6590322278112435</c:v>
                </c:pt>
                <c:pt idx="578">
                  <c:v>-1.7123939679177154</c:v>
                </c:pt>
                <c:pt idx="579">
                  <c:v>-1.7316679830675554</c:v>
                </c:pt>
                <c:pt idx="580">
                  <c:v>-1.6971039390843066</c:v>
                </c:pt>
                <c:pt idx="581">
                  <c:v>-1.7014596959395831</c:v>
                </c:pt>
                <c:pt idx="582">
                  <c:v>-1.6763320431575319</c:v>
                </c:pt>
                <c:pt idx="583">
                  <c:v>-1.6272241547935742</c:v>
                </c:pt>
                <c:pt idx="584">
                  <c:v>-1.5423919486171036</c:v>
                </c:pt>
                <c:pt idx="585">
                  <c:v>-1.5144946326063344</c:v>
                </c:pt>
                <c:pt idx="586">
                  <c:v>-1.4807045450475109</c:v>
                </c:pt>
                <c:pt idx="587">
                  <c:v>-1.3434091844605542</c:v>
                </c:pt>
                <c:pt idx="588">
                  <c:v>-1.1295222239674025</c:v>
                </c:pt>
                <c:pt idx="589">
                  <c:v>-1.2573800515045239</c:v>
                </c:pt>
                <c:pt idx="590">
                  <c:v>-1.2436656820179466</c:v>
                </c:pt>
                <c:pt idx="591">
                  <c:v>-1.2511972519029466</c:v>
                </c:pt>
                <c:pt idx="592">
                  <c:v>-1.2870997935320376</c:v>
                </c:pt>
                <c:pt idx="593">
                  <c:v>-1.258786979136697</c:v>
                </c:pt>
                <c:pt idx="594">
                  <c:v>-1.2582052807464248</c:v>
                </c:pt>
                <c:pt idx="595">
                  <c:v>-1.2626662864387324</c:v>
                </c:pt>
                <c:pt idx="596">
                  <c:v>-1.1706582264297436</c:v>
                </c:pt>
                <c:pt idx="597">
                  <c:v>-1.2015053185268532</c:v>
                </c:pt>
                <c:pt idx="598">
                  <c:v>-1.1531602099327707</c:v>
                </c:pt>
                <c:pt idx="599">
                  <c:v>-1.1724549020549928</c:v>
                </c:pt>
                <c:pt idx="600">
                  <c:v>-1.2122982878365378</c:v>
                </c:pt>
                <c:pt idx="601">
                  <c:v>-1.1857564525412436</c:v>
                </c:pt>
                <c:pt idx="602">
                  <c:v>-1.2018847050296158</c:v>
                </c:pt>
                <c:pt idx="603">
                  <c:v>-1.1948307605161932</c:v>
                </c:pt>
                <c:pt idx="604">
                  <c:v>-1.2699281918126788</c:v>
                </c:pt>
                <c:pt idx="605">
                  <c:v>-1.2798427659880036</c:v>
                </c:pt>
                <c:pt idx="606">
                  <c:v>-1.2645331315132005</c:v>
                </c:pt>
                <c:pt idx="607">
                  <c:v>-1.216267602126244</c:v>
                </c:pt>
                <c:pt idx="608">
                  <c:v>-1.2227421095635318</c:v>
                </c:pt>
                <c:pt idx="609">
                  <c:v>-1.2251308456432422</c:v>
                </c:pt>
                <c:pt idx="610">
                  <c:v>-1.2218125846614238</c:v>
                </c:pt>
                <c:pt idx="611">
                  <c:v>-1.2155676081253293</c:v>
                </c:pt>
                <c:pt idx="612">
                  <c:v>-1.2653281846129836</c:v>
                </c:pt>
                <c:pt idx="613">
                  <c:v>-1.298321135008718</c:v>
                </c:pt>
                <c:pt idx="614">
                  <c:v>-1.2001555577381919</c:v>
                </c:pt>
                <c:pt idx="615">
                  <c:v>-1.2029608717862363</c:v>
                </c:pt>
                <c:pt idx="616">
                  <c:v>-1.2212125179622362</c:v>
                </c:pt>
                <c:pt idx="617">
                  <c:v>-1.2042345232555378</c:v>
                </c:pt>
                <c:pt idx="618">
                  <c:v>-1.1860597806955377</c:v>
                </c:pt>
                <c:pt idx="619">
                  <c:v>-1.2630607110595224</c:v>
                </c:pt>
                <c:pt idx="620">
                  <c:v>-1.3747729865121852</c:v>
                </c:pt>
                <c:pt idx="621">
                  <c:v>-1.3101405710921847</c:v>
                </c:pt>
                <c:pt idx="622">
                  <c:v>-1.3195185305470234</c:v>
                </c:pt>
                <c:pt idx="623">
                  <c:v>-1.3087602457870233</c:v>
                </c:pt>
                <c:pt idx="624">
                  <c:v>-1.2723106444967007</c:v>
                </c:pt>
                <c:pt idx="625">
                  <c:v>-1.2256072108129796</c:v>
                </c:pt>
                <c:pt idx="626">
                  <c:v>-1.2840433566070975</c:v>
                </c:pt>
                <c:pt idx="627">
                  <c:v>-1.2789831463933041</c:v>
                </c:pt>
                <c:pt idx="628">
                  <c:v>-1.2442957292290764</c:v>
                </c:pt>
                <c:pt idx="629">
                  <c:v>-1.2305420765321691</c:v>
                </c:pt>
                <c:pt idx="630">
                  <c:v>-1.241768647234986</c:v>
                </c:pt>
                <c:pt idx="631">
                  <c:v>-1.2432845418239518</c:v>
                </c:pt>
                <c:pt idx="632">
                  <c:v>-1.1849703080683962</c:v>
                </c:pt>
                <c:pt idx="633">
                  <c:v>-1.1408278950941473</c:v>
                </c:pt>
                <c:pt idx="634">
                  <c:v>-1.1357533190783993</c:v>
                </c:pt>
                <c:pt idx="635">
                  <c:v>-1.1211777526311264</c:v>
                </c:pt>
                <c:pt idx="636">
                  <c:v>-1.0594810914053201</c:v>
                </c:pt>
                <c:pt idx="637">
                  <c:v>-1.0519350582975853</c:v>
                </c:pt>
                <c:pt idx="638">
                  <c:v>-1.0221182850283543</c:v>
                </c:pt>
                <c:pt idx="639">
                  <c:v>-1.0466766710399822</c:v>
                </c:pt>
                <c:pt idx="640">
                  <c:v>-1.0424208713208332</c:v>
                </c:pt>
                <c:pt idx="641">
                  <c:v>-1.0338923591149509</c:v>
                </c:pt>
                <c:pt idx="642">
                  <c:v>-1.0449716557309019</c:v>
                </c:pt>
                <c:pt idx="643">
                  <c:v>-1.0478274478841627</c:v>
                </c:pt>
                <c:pt idx="644">
                  <c:v>-1.0338150275903164</c:v>
                </c:pt>
                <c:pt idx="645">
                  <c:v>-1.0165968189522732</c:v>
                </c:pt>
                <c:pt idx="646">
                  <c:v>-1.0406128307746083</c:v>
                </c:pt>
                <c:pt idx="647">
                  <c:v>-1.0440351123564264</c:v>
                </c:pt>
                <c:pt idx="648">
                  <c:v>-1.0175889137879617</c:v>
                </c:pt>
                <c:pt idx="649">
                  <c:v>-1.009518777049383</c:v>
                </c:pt>
                <c:pt idx="650">
                  <c:v>-1.0328649355934081</c:v>
                </c:pt>
                <c:pt idx="651">
                  <c:v>-1.0286558266600747</c:v>
                </c:pt>
                <c:pt idx="652">
                  <c:v>-1.0495013513650073</c:v>
                </c:pt>
                <c:pt idx="653">
                  <c:v>-1.0261406992781812</c:v>
                </c:pt>
                <c:pt idx="654">
                  <c:v>-0.90184937140539545</c:v>
                </c:pt>
                <c:pt idx="655">
                  <c:v>-0.95117147885220388</c:v>
                </c:pt>
                <c:pt idx="656">
                  <c:v>-0.94187796311220395</c:v>
                </c:pt>
                <c:pt idx="657">
                  <c:v>-0.92100761619834259</c:v>
                </c:pt>
                <c:pt idx="658">
                  <c:v>-0.8892235584360475</c:v>
                </c:pt>
                <c:pt idx="659">
                  <c:v>-0.87762451043624956</c:v>
                </c:pt>
                <c:pt idx="660">
                  <c:v>-0.91545614966701883</c:v>
                </c:pt>
                <c:pt idx="661">
                  <c:v>-0.88470568309932274</c:v>
                </c:pt>
                <c:pt idx="662">
                  <c:v>-0.92359559106281064</c:v>
                </c:pt>
                <c:pt idx="663">
                  <c:v>-0.90349238991229508</c:v>
                </c:pt>
                <c:pt idx="664">
                  <c:v>-0.87471214398145813</c:v>
                </c:pt>
                <c:pt idx="665">
                  <c:v>-0.79443984509562826</c:v>
                </c:pt>
                <c:pt idx="666">
                  <c:v>-0.89088400125696143</c:v>
                </c:pt>
                <c:pt idx="667">
                  <c:v>-0.90360465993696149</c:v>
                </c:pt>
                <c:pt idx="668">
                  <c:v>-0.8969258948982517</c:v>
                </c:pt>
                <c:pt idx="669">
                  <c:v>-0.90325501794944796</c:v>
                </c:pt>
                <c:pt idx="670">
                  <c:v>-0.8929137889380192</c:v>
                </c:pt>
                <c:pt idx="671">
                  <c:v>-0.90863839400169288</c:v>
                </c:pt>
                <c:pt idx="672">
                  <c:v>-0.87039892934267638</c:v>
                </c:pt>
                <c:pt idx="673">
                  <c:v>-0.87399288522630003</c:v>
                </c:pt>
                <c:pt idx="674">
                  <c:v>-0.90418556463872934</c:v>
                </c:pt>
                <c:pt idx="675">
                  <c:v>-0.8896558376274617</c:v>
                </c:pt>
                <c:pt idx="676">
                  <c:v>-0.90719097136358728</c:v>
                </c:pt>
                <c:pt idx="677">
                  <c:v>-0.87554160121207225</c:v>
                </c:pt>
                <c:pt idx="678">
                  <c:v>-0.87606095734300748</c:v>
                </c:pt>
                <c:pt idx="679">
                  <c:v>-0.85012119571616529</c:v>
                </c:pt>
                <c:pt idx="680">
                  <c:v>-0.83777583763981678</c:v>
                </c:pt>
                <c:pt idx="681">
                  <c:v>-0.84422162307145521</c:v>
                </c:pt>
                <c:pt idx="682">
                  <c:v>-0.84689631104597529</c:v>
                </c:pt>
                <c:pt idx="683">
                  <c:v>-0.84730205981799356</c:v>
                </c:pt>
                <c:pt idx="684">
                  <c:v>-0.84256536523861214</c:v>
                </c:pt>
                <c:pt idx="685">
                  <c:v>-0.8047372744439456</c:v>
                </c:pt>
                <c:pt idx="686">
                  <c:v>-0.91044131003312789</c:v>
                </c:pt>
                <c:pt idx="687">
                  <c:v>-0.78967142478116514</c:v>
                </c:pt>
                <c:pt idx="688">
                  <c:v>-0.75662951062369987</c:v>
                </c:pt>
                <c:pt idx="689">
                  <c:v>-0.73380450010235521</c:v>
                </c:pt>
                <c:pt idx="690">
                  <c:v>-0.67543563870235512</c:v>
                </c:pt>
                <c:pt idx="691">
                  <c:v>-0.70104029338896079</c:v>
                </c:pt>
                <c:pt idx="692">
                  <c:v>-0.67065682156531348</c:v>
                </c:pt>
                <c:pt idx="693">
                  <c:v>-0.68794105979101505</c:v>
                </c:pt>
                <c:pt idx="694">
                  <c:v>-0.64462517593550583</c:v>
                </c:pt>
                <c:pt idx="695">
                  <c:v>-0.70107964159012415</c:v>
                </c:pt>
                <c:pt idx="696">
                  <c:v>-0.67804660178480503</c:v>
                </c:pt>
                <c:pt idx="697">
                  <c:v>-0.67489747891670471</c:v>
                </c:pt>
                <c:pt idx="698">
                  <c:v>-0.68131642108127166</c:v>
                </c:pt>
                <c:pt idx="699">
                  <c:v>-0.66637330197675093</c:v>
                </c:pt>
                <c:pt idx="700">
                  <c:v>-0.71846576479686841</c:v>
                </c:pt>
                <c:pt idx="701">
                  <c:v>-0.72106213020376497</c:v>
                </c:pt>
                <c:pt idx="702">
                  <c:v>-0.72334507920924029</c:v>
                </c:pt>
                <c:pt idx="703">
                  <c:v>-0.70468578993249609</c:v>
                </c:pt>
                <c:pt idx="704">
                  <c:v>-0.68624217003709875</c:v>
                </c:pt>
                <c:pt idx="705">
                  <c:v>-0.70448489271970727</c:v>
                </c:pt>
                <c:pt idx="706">
                  <c:v>-0.69220681199470735</c:v>
                </c:pt>
                <c:pt idx="707">
                  <c:v>-0.68343843183860975</c:v>
                </c:pt>
                <c:pt idx="708">
                  <c:v>-0.69674949245896367</c:v>
                </c:pt>
                <c:pt idx="709">
                  <c:v>-0.68486467920746252</c:v>
                </c:pt>
                <c:pt idx="710">
                  <c:v>-0.66510215094659308</c:v>
                </c:pt>
                <c:pt idx="711">
                  <c:v>-0.69083098708085244</c:v>
                </c:pt>
                <c:pt idx="712">
                  <c:v>-0.68480699114182442</c:v>
                </c:pt>
                <c:pt idx="713">
                  <c:v>-0.54089374509271293</c:v>
                </c:pt>
                <c:pt idx="714">
                  <c:v>-0.4963714575950206</c:v>
                </c:pt>
                <c:pt idx="715">
                  <c:v>-0.50189247606725529</c:v>
                </c:pt>
                <c:pt idx="716">
                  <c:v>-0.41155761324628748</c:v>
                </c:pt>
                <c:pt idx="717">
                  <c:v>-0.39335529200548475</c:v>
                </c:pt>
                <c:pt idx="718">
                  <c:v>-0.28193214106871234</c:v>
                </c:pt>
                <c:pt idx="719">
                  <c:v>-0.60048849948421801</c:v>
                </c:pt>
                <c:pt idx="720">
                  <c:v>-0.78969517210522899</c:v>
                </c:pt>
                <c:pt idx="721">
                  <c:v>-0.45602775221834063</c:v>
                </c:pt>
                <c:pt idx="722">
                  <c:v>-0.73317827253517265</c:v>
                </c:pt>
                <c:pt idx="723">
                  <c:v>-0.76859612470183925</c:v>
                </c:pt>
                <c:pt idx="724">
                  <c:v>-0.78645286681093007</c:v>
                </c:pt>
                <c:pt idx="725">
                  <c:v>-0.76015054015679484</c:v>
                </c:pt>
                <c:pt idx="726">
                  <c:v>-0.74754585195208889</c:v>
                </c:pt>
                <c:pt idx="727">
                  <c:v>-0.74777631770283515</c:v>
                </c:pt>
                <c:pt idx="728">
                  <c:v>-0.75452452751267118</c:v>
                </c:pt>
                <c:pt idx="729">
                  <c:v>-0.78261082671382054</c:v>
                </c:pt>
                <c:pt idx="730">
                  <c:v>-0.76739553161979068</c:v>
                </c:pt>
                <c:pt idx="731">
                  <c:v>-0.74913584014706336</c:v>
                </c:pt>
                <c:pt idx="732">
                  <c:v>-0.74570322230090957</c:v>
                </c:pt>
                <c:pt idx="733">
                  <c:v>-0.74730275969957616</c:v>
                </c:pt>
                <c:pt idx="734">
                  <c:v>-0.73170870485342232</c:v>
                </c:pt>
                <c:pt idx="735">
                  <c:v>-0.71488197172842238</c:v>
                </c:pt>
                <c:pt idx="736">
                  <c:v>-0.7220968376169179</c:v>
                </c:pt>
                <c:pt idx="737">
                  <c:v>-0.66489350071257014</c:v>
                </c:pt>
                <c:pt idx="738">
                  <c:v>-0.7173341722666241</c:v>
                </c:pt>
                <c:pt idx="739">
                  <c:v>-0.71114071557825209</c:v>
                </c:pt>
                <c:pt idx="740">
                  <c:v>-0.67809654939075203</c:v>
                </c:pt>
                <c:pt idx="741">
                  <c:v>-0.7112980406438133</c:v>
                </c:pt>
                <c:pt idx="742">
                  <c:v>-0.68822859569735662</c:v>
                </c:pt>
                <c:pt idx="743">
                  <c:v>-0.59060911443986341</c:v>
                </c:pt>
                <c:pt idx="744">
                  <c:v>-0.52479514912279024</c:v>
                </c:pt>
                <c:pt idx="745">
                  <c:v>-0.43352259472152455</c:v>
                </c:pt>
                <c:pt idx="746">
                  <c:v>-0.4164209470215246</c:v>
                </c:pt>
                <c:pt idx="747">
                  <c:v>-0.40582177428141158</c:v>
                </c:pt>
                <c:pt idx="748">
                  <c:v>-0.33021881926519547</c:v>
                </c:pt>
                <c:pt idx="749">
                  <c:v>-0.19336073414696331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18-403E-8370-B311C809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339008"/>
        <c:axId val="509339424"/>
      </c:lineChart>
      <c:dateAx>
        <c:axId val="509339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9424"/>
        <c:crosses val="autoZero"/>
        <c:auto val="1"/>
        <c:lblOffset val="100"/>
        <c:baseTimeUnit val="days"/>
      </c:dateAx>
      <c:valAx>
        <c:axId val="5093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33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237C72-0F7D-4D29-91F5-B6C9D145AF3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07FDF9-2C00-49CC-B968-AB19EF470C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3.39</v>
      </c>
      <c r="D2" s="4">
        <f>MIN(D3:D1912)</f>
        <v>9.8900000000000002E-2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0.32200000000000001</v>
      </c>
      <c r="C5">
        <v>0.32879999999999998</v>
      </c>
      <c r="D5">
        <v>0.31690000000000002</v>
      </c>
      <c r="E5">
        <v>0.31690000000000002</v>
      </c>
      <c r="F5">
        <v>1118603</v>
      </c>
      <c r="G5">
        <v>0.31690000000000002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-1118603</v>
      </c>
      <c r="R5">
        <f t="shared" ref="R5" si="2">R6+Q5</f>
        <v>-805316708.04627883</v>
      </c>
      <c r="S5">
        <f t="shared" ref="S5" si="3">R5/100000</f>
        <v>-8053.1670804627884</v>
      </c>
      <c r="T5">
        <f t="shared" ref="T5" si="4">S5/1000</f>
        <v>-8.0531670804627886</v>
      </c>
    </row>
    <row r="6" spans="1:20" x14ac:dyDescent="0.25">
      <c r="A6" s="5">
        <v>44587</v>
      </c>
      <c r="B6">
        <v>0.32179999999999997</v>
      </c>
      <c r="C6">
        <v>0.35610000000000003</v>
      </c>
      <c r="D6">
        <v>0.3145</v>
      </c>
      <c r="E6">
        <v>0.32150000000000001</v>
      </c>
      <c r="F6">
        <v>19367071</v>
      </c>
      <c r="G6">
        <v>0.32150000000000001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-0.66346153846153832</v>
      </c>
      <c r="Q6">
        <f t="shared" ref="Q6" si="6">F6*P6</f>
        <v>-12849306.721153844</v>
      </c>
      <c r="R6">
        <f t="shared" ref="R6" si="7">R7+Q6</f>
        <v>-804198105.04627883</v>
      </c>
      <c r="S6">
        <f t="shared" ref="S6" si="8">R6/100000</f>
        <v>-8041.9810504627885</v>
      </c>
      <c r="T6">
        <f t="shared" ref="T6" si="9">S6/1000</f>
        <v>-8.0419810504627893</v>
      </c>
    </row>
    <row r="7" spans="1:20" x14ac:dyDescent="0.25">
      <c r="A7" s="5">
        <v>44586</v>
      </c>
      <c r="B7">
        <v>0.31180000000000002</v>
      </c>
      <c r="C7">
        <v>0.3281</v>
      </c>
      <c r="D7">
        <v>0.3014</v>
      </c>
      <c r="E7">
        <v>0.32119999999999999</v>
      </c>
      <c r="F7">
        <v>10694419</v>
      </c>
      <c r="G7">
        <v>0.32119999999999999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0.48314606741572907</v>
      </c>
      <c r="Q7">
        <f t="shared" ref="Q7" si="11">F7*P7</f>
        <v>5166966.4831460537</v>
      </c>
      <c r="R7">
        <f t="shared" ref="R7" si="12">R8+Q7</f>
        <v>-791348798.32512498</v>
      </c>
      <c r="S7">
        <f t="shared" ref="S7" si="13">R7/100000</f>
        <v>-7913.4879832512497</v>
      </c>
      <c r="T7">
        <f t="shared" ref="T7" si="14">S7/1000</f>
        <v>-7.9134879832512501</v>
      </c>
    </row>
    <row r="8" spans="1:20" x14ac:dyDescent="0.25">
      <c r="A8" s="5">
        <v>44585</v>
      </c>
      <c r="B8">
        <v>0.32940000000000003</v>
      </c>
      <c r="C8">
        <v>0.32940000000000003</v>
      </c>
      <c r="D8">
        <v>0.2717</v>
      </c>
      <c r="E8">
        <v>0.312</v>
      </c>
      <c r="F8">
        <v>18069639.149999999</v>
      </c>
      <c r="G8">
        <v>0.312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0.3968804159445401</v>
      </c>
      <c r="Q8">
        <f t="shared" ref="Q8" si="16">F8*P8</f>
        <v>7171485.9018197451</v>
      </c>
      <c r="R8">
        <f t="shared" ref="R8" si="17">R9+Q8</f>
        <v>-796515764.80827105</v>
      </c>
      <c r="S8">
        <f t="shared" ref="S8" si="18">R8/100000</f>
        <v>-7965.1576480827107</v>
      </c>
      <c r="T8">
        <f t="shared" ref="T8" si="19">S8/1000</f>
        <v>-7.9651576480827107</v>
      </c>
    </row>
    <row r="9" spans="1:20" x14ac:dyDescent="0.25">
      <c r="A9" s="5">
        <v>44584</v>
      </c>
      <c r="B9">
        <v>0.31890000000000002</v>
      </c>
      <c r="C9">
        <v>0.34399999999999997</v>
      </c>
      <c r="D9">
        <v>0.31409999999999999</v>
      </c>
      <c r="E9">
        <v>0.33040000000000003</v>
      </c>
      <c r="F9">
        <v>13593828</v>
      </c>
      <c r="G9">
        <v>0.33040000000000003</v>
      </c>
      <c r="L9" t="s">
        <v>8</v>
      </c>
      <c r="M9" t="s">
        <v>8</v>
      </c>
      <c r="N9" t="s">
        <v>7</v>
      </c>
      <c r="P9">
        <f t="shared" ref="P9" si="20">IF(C9=D9,0,((E9-D9)-(C9-E9))/(C9-D9))</f>
        <v>9.0301003344484709E-2</v>
      </c>
      <c r="Q9">
        <f t="shared" ref="Q9" si="21">F9*P9</f>
        <v>1227536.3076923499</v>
      </c>
      <c r="R9">
        <f t="shared" ref="R9" si="22">R10+Q9</f>
        <v>-803687250.71009076</v>
      </c>
      <c r="S9">
        <f t="shared" ref="S9" si="23">R9/100000</f>
        <v>-8036.8725071009076</v>
      </c>
      <c r="T9">
        <f t="shared" ref="T9" si="24">S9/1000</f>
        <v>-8.0368725071009077</v>
      </c>
    </row>
    <row r="10" spans="1:20" x14ac:dyDescent="0.25">
      <c r="A10" s="5">
        <v>44583</v>
      </c>
      <c r="B10">
        <v>0.35070000000000001</v>
      </c>
      <c r="C10">
        <v>0.3584</v>
      </c>
      <c r="D10">
        <v>0.2878</v>
      </c>
      <c r="E10">
        <v>0.31869999999999998</v>
      </c>
      <c r="F10">
        <v>30215977.829999998</v>
      </c>
      <c r="G10">
        <v>0.31869999999999998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-0.12464589235127523</v>
      </c>
      <c r="Q10">
        <f t="shared" ref="Q10" si="26">F10*P10</f>
        <v>-3766297.5198866986</v>
      </c>
      <c r="R10">
        <f t="shared" ref="R10" si="27">R11+Q10</f>
        <v>-804914787.01778316</v>
      </c>
      <c r="S10">
        <f t="shared" ref="S10" si="28">R10/100000</f>
        <v>-8049.1478701778315</v>
      </c>
      <c r="T10">
        <f t="shared" ref="T10" si="29">S10/1000</f>
        <v>-8.0491478701778316</v>
      </c>
    </row>
    <row r="11" spans="1:20" x14ac:dyDescent="0.25">
      <c r="A11" s="5">
        <v>44582</v>
      </c>
      <c r="B11">
        <v>0.42620000000000002</v>
      </c>
      <c r="C11">
        <v>0.42749999999999999</v>
      </c>
      <c r="D11">
        <v>0.33729999999999999</v>
      </c>
      <c r="E11">
        <v>0.35110000000000002</v>
      </c>
      <c r="F11">
        <v>54717017.729999997</v>
      </c>
      <c r="G11">
        <v>0.35110000000000002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-0.69401330376940062</v>
      </c>
      <c r="Q11">
        <f t="shared" ref="Q11" si="31">F11*P11</f>
        <v>-37974338.247206166</v>
      </c>
      <c r="R11">
        <f t="shared" ref="R11" si="32">R12+Q11</f>
        <v>-801148489.49789643</v>
      </c>
      <c r="S11">
        <f t="shared" ref="S11" si="33">R11/100000</f>
        <v>-8011.4848949789639</v>
      </c>
      <c r="T11">
        <f t="shared" ref="T11" si="34">S11/1000</f>
        <v>-8.0114848949789632</v>
      </c>
    </row>
    <row r="12" spans="1:20" x14ac:dyDescent="0.25">
      <c r="A12" s="5">
        <v>44581</v>
      </c>
      <c r="B12">
        <v>0.46899999999999997</v>
      </c>
      <c r="C12">
        <v>0.47310000000000002</v>
      </c>
      <c r="D12">
        <v>0.42</v>
      </c>
      <c r="E12">
        <v>0.42680000000000001</v>
      </c>
      <c r="F12">
        <v>76117821.75</v>
      </c>
      <c r="G12">
        <v>0.42680000000000001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-0.74387947269303112</v>
      </c>
      <c r="Q12">
        <f t="shared" ref="Q12" si="36">F12*P12</f>
        <v>-56622485.105932139</v>
      </c>
      <c r="R12">
        <f t="shared" ref="R12" si="37">R13+Q12</f>
        <v>-763174151.25069022</v>
      </c>
      <c r="S12">
        <f t="shared" ref="S12" si="38">R12/100000</f>
        <v>-7631.7415125069019</v>
      </c>
      <c r="T12">
        <f t="shared" ref="T12" si="39">S12/1000</f>
        <v>-7.6317415125069017</v>
      </c>
    </row>
    <row r="13" spans="1:20" x14ac:dyDescent="0.25">
      <c r="A13" s="5">
        <v>44580</v>
      </c>
      <c r="B13">
        <v>0.49819999999999998</v>
      </c>
      <c r="C13">
        <v>0.50060000000000004</v>
      </c>
      <c r="D13">
        <v>0.46870000000000001</v>
      </c>
      <c r="E13">
        <v>0.46879999999999999</v>
      </c>
      <c r="F13">
        <v>5747112</v>
      </c>
      <c r="G13">
        <v>0.46879999999999999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-0.99373040752351172</v>
      </c>
      <c r="Q13">
        <f t="shared" ref="Q13" si="41">F13*P13</f>
        <v>-5711079.9498432642</v>
      </c>
      <c r="R13">
        <f t="shared" ref="R13" si="42">R14+Q13</f>
        <v>-706551666.14475811</v>
      </c>
      <c r="S13">
        <f t="shared" ref="S13" si="43">R13/100000</f>
        <v>-7065.5166614475811</v>
      </c>
      <c r="T13">
        <f t="shared" ref="T13" si="44">S13/1000</f>
        <v>-7.0655166614475808</v>
      </c>
    </row>
    <row r="14" spans="1:20" x14ac:dyDescent="0.25">
      <c r="A14" s="5">
        <v>44579</v>
      </c>
      <c r="B14">
        <v>0.50929999999999997</v>
      </c>
      <c r="C14">
        <v>0.5171</v>
      </c>
      <c r="D14">
        <v>0.48409999999999997</v>
      </c>
      <c r="E14">
        <v>0.49830000000000002</v>
      </c>
      <c r="F14">
        <v>7112151</v>
      </c>
      <c r="G14">
        <v>0.49830000000000002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-0.13939393939393738</v>
      </c>
      <c r="Q14">
        <f t="shared" ref="Q14" si="46">F14*P14</f>
        <v>-991390.74545453116</v>
      </c>
      <c r="R14">
        <f t="shared" ref="R14" si="47">R15+Q14</f>
        <v>-700840586.19491482</v>
      </c>
      <c r="S14">
        <f t="shared" ref="S14" si="48">R14/100000</f>
        <v>-7008.4058619491479</v>
      </c>
      <c r="T14">
        <f t="shared" ref="T14" si="49">S14/1000</f>
        <v>-7.0084058619491483</v>
      </c>
    </row>
    <row r="15" spans="1:20" x14ac:dyDescent="0.25">
      <c r="A15" s="5">
        <v>44578</v>
      </c>
      <c r="B15">
        <v>0.54320000000000002</v>
      </c>
      <c r="C15">
        <v>0.54579999999999995</v>
      </c>
      <c r="D15">
        <v>0.49869999999999998</v>
      </c>
      <c r="E15">
        <v>0.50960000000000005</v>
      </c>
      <c r="F15">
        <v>7254419</v>
      </c>
      <c r="G15">
        <v>0.50960000000000005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-0.5371549893842853</v>
      </c>
      <c r="Q15">
        <f t="shared" ref="Q15" si="51">F15*P15</f>
        <v>-3896747.3609341574</v>
      </c>
      <c r="R15">
        <f t="shared" ref="R15" si="52">R16+Q15</f>
        <v>-699849195.44946027</v>
      </c>
      <c r="S15">
        <f t="shared" ref="S15" si="53">R15/100000</f>
        <v>-6998.4919544946024</v>
      </c>
      <c r="T15">
        <f t="shared" ref="T15" si="54">S15/1000</f>
        <v>-6.998491954494602</v>
      </c>
    </row>
    <row r="16" spans="1:20" x14ac:dyDescent="0.25">
      <c r="A16" s="5">
        <v>44577</v>
      </c>
      <c r="B16">
        <v>0.5323</v>
      </c>
      <c r="C16">
        <v>0.54759999999999998</v>
      </c>
      <c r="D16">
        <v>0.5272</v>
      </c>
      <c r="E16">
        <v>0.54310000000000003</v>
      </c>
      <c r="F16">
        <v>6115148</v>
      </c>
      <c r="G16">
        <v>0.54310000000000003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0.55882352941176916</v>
      </c>
      <c r="Q16">
        <f t="shared" ref="Q16" si="56">F16*P16</f>
        <v>3417288.5882353215</v>
      </c>
      <c r="R16">
        <f t="shared" ref="R16" si="57">R17+Q16</f>
        <v>-695952448.08852613</v>
      </c>
      <c r="S16">
        <f t="shared" ref="S16" si="58">R16/100000</f>
        <v>-6959.5244808852613</v>
      </c>
      <c r="T16">
        <f t="shared" ref="T16" si="59">S16/1000</f>
        <v>-6.9595244808852614</v>
      </c>
    </row>
    <row r="17" spans="1:20" x14ac:dyDescent="0.25">
      <c r="A17" s="5">
        <v>44576</v>
      </c>
      <c r="B17">
        <v>0.52129999999999999</v>
      </c>
      <c r="C17">
        <v>0.54249999999999998</v>
      </c>
      <c r="D17">
        <v>0.51670000000000005</v>
      </c>
      <c r="E17">
        <v>0.5323</v>
      </c>
      <c r="F17">
        <v>6780381</v>
      </c>
      <c r="G17">
        <v>0.5323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0.20930232558139436</v>
      </c>
      <c r="Q17">
        <f t="shared" ref="Q17" si="61">F17*P17</f>
        <v>1419149.5116279002</v>
      </c>
      <c r="R17">
        <f t="shared" ref="R17" si="62">R18+Q17</f>
        <v>-699369736.67676151</v>
      </c>
      <c r="S17">
        <f t="shared" ref="S17" si="63">R17/100000</f>
        <v>-6993.6973667676148</v>
      </c>
      <c r="T17">
        <f t="shared" ref="T17" si="64">S17/1000</f>
        <v>-6.9936973667676146</v>
      </c>
    </row>
    <row r="18" spans="1:20" x14ac:dyDescent="0.25">
      <c r="A18" s="5">
        <v>44575</v>
      </c>
      <c r="B18">
        <v>0.51139999999999997</v>
      </c>
      <c r="C18">
        <v>0.52600000000000002</v>
      </c>
      <c r="D18">
        <v>0.498</v>
      </c>
      <c r="E18">
        <v>0.5212</v>
      </c>
      <c r="F18">
        <v>7203781</v>
      </c>
      <c r="G18">
        <v>0.5212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0.65714285714285559</v>
      </c>
      <c r="Q18">
        <f t="shared" ref="Q18" si="66">F18*P18</f>
        <v>4733913.2285714177</v>
      </c>
      <c r="R18">
        <f t="shared" ref="R18" si="67">R19+Q18</f>
        <v>-700788886.18838942</v>
      </c>
      <c r="S18">
        <f t="shared" ref="S18" si="68">R18/100000</f>
        <v>-7007.8888618838946</v>
      </c>
      <c r="T18">
        <f t="shared" ref="T18" si="69">S18/1000</f>
        <v>-7.0078888618838944</v>
      </c>
    </row>
    <row r="19" spans="1:20" x14ac:dyDescent="0.25">
      <c r="A19" s="5">
        <v>44574</v>
      </c>
      <c r="B19">
        <v>0.53949999999999998</v>
      </c>
      <c r="C19">
        <v>0.55120000000000002</v>
      </c>
      <c r="D19">
        <v>0.50919999999999999</v>
      </c>
      <c r="E19">
        <v>0.51129999999999998</v>
      </c>
      <c r="F19">
        <v>10204092</v>
      </c>
      <c r="G19">
        <v>0.51129999999999998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-0.90000000000000058</v>
      </c>
      <c r="Q19">
        <f t="shared" ref="Q19" si="71">F19*P19</f>
        <v>-9183682.8000000063</v>
      </c>
      <c r="R19">
        <f t="shared" ref="R19" si="72">R20+Q19</f>
        <v>-705522799.41696084</v>
      </c>
      <c r="S19">
        <f t="shared" ref="S19" si="73">R19/100000</f>
        <v>-7055.2279941696088</v>
      </c>
      <c r="T19">
        <f t="shared" ref="T19" si="74">S19/1000</f>
        <v>-7.0552279941696092</v>
      </c>
    </row>
    <row r="20" spans="1:20" x14ac:dyDescent="0.25">
      <c r="A20" s="5">
        <v>44573</v>
      </c>
      <c r="B20">
        <v>0.51639999999999997</v>
      </c>
      <c r="C20">
        <v>0.54820000000000002</v>
      </c>
      <c r="D20">
        <v>0.51359999999999995</v>
      </c>
      <c r="E20">
        <v>0.53949999999999998</v>
      </c>
      <c r="F20">
        <v>7929776</v>
      </c>
      <c r="G20">
        <v>0.53949999999999998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0.49710982658959407</v>
      </c>
      <c r="Q20">
        <f t="shared" ref="Q20" si="76">F20*P20</f>
        <v>3941969.5722543248</v>
      </c>
      <c r="R20">
        <f t="shared" ref="R20" si="77">R21+Q20</f>
        <v>-696339116.61696088</v>
      </c>
      <c r="S20">
        <f t="shared" ref="S20" si="78">R20/100000</f>
        <v>-6963.3911661696093</v>
      </c>
      <c r="T20">
        <f t="shared" ref="T20" si="79">S20/1000</f>
        <v>-6.9633911661696093</v>
      </c>
    </row>
    <row r="21" spans="1:20" x14ac:dyDescent="0.25">
      <c r="A21" s="5">
        <v>44572</v>
      </c>
      <c r="B21">
        <v>0.496</v>
      </c>
      <c r="C21">
        <v>0.52200000000000002</v>
      </c>
      <c r="D21">
        <v>0.48980000000000001</v>
      </c>
      <c r="E21">
        <v>0.51639999999999997</v>
      </c>
      <c r="F21">
        <v>7711422</v>
      </c>
      <c r="G21">
        <v>0.51639999999999997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0.65217391304347527</v>
      </c>
      <c r="Q21">
        <f t="shared" ref="Q21" si="81">F21*P21</f>
        <v>5029188.2608695421</v>
      </c>
      <c r="R21">
        <f t="shared" ref="R21" si="82">R22+Q21</f>
        <v>-700281086.18921518</v>
      </c>
      <c r="S21">
        <f t="shared" ref="S21" si="83">R21/100000</f>
        <v>-7002.8108618921515</v>
      </c>
      <c r="T21">
        <f t="shared" ref="T21" si="84">S21/1000</f>
        <v>-7.0028108618921516</v>
      </c>
    </row>
    <row r="22" spans="1:20" x14ac:dyDescent="0.25">
      <c r="A22" s="5">
        <v>44571</v>
      </c>
      <c r="B22">
        <v>0.5262</v>
      </c>
      <c r="C22">
        <v>0.53310000000000002</v>
      </c>
      <c r="D22">
        <v>0.47260000000000002</v>
      </c>
      <c r="E22">
        <v>0.49609999999999999</v>
      </c>
      <c r="F22">
        <v>12435778.65</v>
      </c>
      <c r="G22">
        <v>0.49609999999999999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-0.22314049586776971</v>
      </c>
      <c r="Q22">
        <f t="shared" ref="Q22" si="86">F22*P22</f>
        <v>-2774925.8144628238</v>
      </c>
      <c r="R22">
        <f t="shared" ref="R22" si="87">R23+Q22</f>
        <v>-705310274.45008469</v>
      </c>
      <c r="S22">
        <f t="shared" ref="S22" si="88">R22/100000</f>
        <v>-7053.1027445008467</v>
      </c>
      <c r="T22">
        <f t="shared" ref="T22" si="89">S22/1000</f>
        <v>-7.0531027445008467</v>
      </c>
    </row>
    <row r="23" spans="1:20" x14ac:dyDescent="0.25">
      <c r="A23" s="5">
        <v>44570</v>
      </c>
      <c r="B23">
        <v>0.51539999999999997</v>
      </c>
      <c r="C23">
        <v>0.54049999999999998</v>
      </c>
      <c r="D23">
        <v>0.51219999999999999</v>
      </c>
      <c r="E23">
        <v>0.5262</v>
      </c>
      <c r="F23">
        <v>8541853</v>
      </c>
      <c r="G23">
        <v>0.5262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-1.0600706713779754E-2</v>
      </c>
      <c r="Q23">
        <f t="shared" ref="Q23" si="91">F23*P23</f>
        <v>-90549.678445219732</v>
      </c>
      <c r="R23">
        <f t="shared" ref="R23" si="92">R24+Q23</f>
        <v>-702535348.63562191</v>
      </c>
      <c r="S23">
        <f t="shared" ref="S23" si="93">R23/100000</f>
        <v>-7025.353486356219</v>
      </c>
      <c r="T23">
        <f t="shared" ref="T23" si="94">S23/1000</f>
        <v>-7.0253534863562193</v>
      </c>
    </row>
    <row r="24" spans="1:20" x14ac:dyDescent="0.25">
      <c r="A24" s="5">
        <v>44569</v>
      </c>
      <c r="B24">
        <v>0.54659999999999997</v>
      </c>
      <c r="C24">
        <v>0.56630000000000003</v>
      </c>
      <c r="D24">
        <v>0.50049999999999994</v>
      </c>
      <c r="E24">
        <v>0.51539999999999997</v>
      </c>
      <c r="F24">
        <v>11161229.470000001</v>
      </c>
      <c r="G24">
        <v>0.51539999999999997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-0.54711246200607888</v>
      </c>
      <c r="Q24">
        <f t="shared" ref="Q24" si="96">F24*P24</f>
        <v>-6106447.7343465034</v>
      </c>
      <c r="R24">
        <f t="shared" ref="R24" si="97">R25+Q24</f>
        <v>-702444798.95717669</v>
      </c>
      <c r="S24">
        <f t="shared" ref="S24" si="98">R24/100000</f>
        <v>-7024.4479895717668</v>
      </c>
      <c r="T24">
        <f t="shared" ref="T24" si="99">S24/1000</f>
        <v>-7.0244479895717671</v>
      </c>
    </row>
    <row r="25" spans="1:20" x14ac:dyDescent="0.25">
      <c r="A25" s="5">
        <v>44568</v>
      </c>
      <c r="B25">
        <v>0.59099999999999997</v>
      </c>
      <c r="C25">
        <v>0.59379999999999999</v>
      </c>
      <c r="D25">
        <v>0.53129999999999999</v>
      </c>
      <c r="E25">
        <v>0.54649999999999999</v>
      </c>
      <c r="F25">
        <v>17343306.059999999</v>
      </c>
      <c r="G25">
        <v>0.54649999999999999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-0.51360000000000028</v>
      </c>
      <c r="Q25">
        <f t="shared" ref="Q25" si="101">F25*P25</f>
        <v>-8907521.9924160037</v>
      </c>
      <c r="R25">
        <f t="shared" ref="R25" si="102">R26+Q25</f>
        <v>-696338351.22283018</v>
      </c>
      <c r="S25">
        <f t="shared" ref="S25" si="103">R25/100000</f>
        <v>-6963.3835122283017</v>
      </c>
      <c r="T25">
        <f t="shared" ref="T25" si="104">S25/1000</f>
        <v>-6.9633835122283019</v>
      </c>
    </row>
    <row r="26" spans="1:20" x14ac:dyDescent="0.25">
      <c r="A26" s="5">
        <v>44567</v>
      </c>
      <c r="B26">
        <v>0.59560000000000002</v>
      </c>
      <c r="C26">
        <v>0.6038</v>
      </c>
      <c r="D26">
        <v>0.56540000000000001</v>
      </c>
      <c r="E26">
        <v>0.59109999999999996</v>
      </c>
      <c r="F26">
        <v>13650422</v>
      </c>
      <c r="G26">
        <v>0.59109999999999996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0.33854166666666419</v>
      </c>
      <c r="Q26">
        <f t="shared" ref="Q26" si="106">F26*P26</f>
        <v>4621236.6145832995</v>
      </c>
      <c r="R26">
        <f t="shared" ref="R26" si="107">R27+Q26</f>
        <v>-687430829.23041415</v>
      </c>
      <c r="S26">
        <f t="shared" ref="S26" si="108">R26/100000</f>
        <v>-6874.3082923041411</v>
      </c>
      <c r="T26">
        <f t="shared" ref="T26" si="109">S26/1000</f>
        <v>-6.874308292304141</v>
      </c>
    </row>
    <row r="27" spans="1:20" x14ac:dyDescent="0.25">
      <c r="A27" s="5">
        <v>44566</v>
      </c>
      <c r="B27">
        <v>0.66020000000000001</v>
      </c>
      <c r="C27">
        <v>0.69810000000000005</v>
      </c>
      <c r="D27">
        <v>0.56010000000000004</v>
      </c>
      <c r="E27">
        <v>0.59550000000000003</v>
      </c>
      <c r="F27">
        <v>22794312</v>
      </c>
      <c r="G27">
        <v>0.59550000000000003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-0.48695652173913068</v>
      </c>
      <c r="Q27">
        <f t="shared" ref="Q27" si="111">F27*P27</f>
        <v>-11099838.886956528</v>
      </c>
      <c r="R27">
        <f t="shared" ref="R27" si="112">R28+Q27</f>
        <v>-692052065.84499741</v>
      </c>
      <c r="S27">
        <f t="shared" ref="S27" si="113">R27/100000</f>
        <v>-6920.5206584499738</v>
      </c>
      <c r="T27">
        <f t="shared" ref="T27" si="114">S27/1000</f>
        <v>-6.9205206584499734</v>
      </c>
    </row>
    <row r="28" spans="1:20" x14ac:dyDescent="0.25">
      <c r="A28" s="5">
        <v>44565</v>
      </c>
      <c r="B28">
        <v>0.63929999999999998</v>
      </c>
      <c r="C28">
        <v>0.6804</v>
      </c>
      <c r="D28">
        <v>0.62109999999999999</v>
      </c>
      <c r="E28">
        <v>0.66049999999999998</v>
      </c>
      <c r="F28">
        <v>27239712</v>
      </c>
      <c r="G28">
        <v>0.66049999999999998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0.32883642495784071</v>
      </c>
      <c r="Q28">
        <f t="shared" ref="Q28" si="116">F28*P28</f>
        <v>8957409.5109611936</v>
      </c>
      <c r="R28">
        <f t="shared" ref="R28" si="117">R29+Q28</f>
        <v>-680952226.95804083</v>
      </c>
      <c r="S28">
        <f t="shared" ref="S28" si="118">R28/100000</f>
        <v>-6809.5222695804086</v>
      </c>
      <c r="T28">
        <f t="shared" ref="T28" si="119">S28/1000</f>
        <v>-6.809522269580409</v>
      </c>
    </row>
    <row r="29" spans="1:20" x14ac:dyDescent="0.25">
      <c r="A29" s="5">
        <v>44564</v>
      </c>
      <c r="B29">
        <v>0.64039999999999997</v>
      </c>
      <c r="C29">
        <v>0.66</v>
      </c>
      <c r="D29">
        <v>0.62209999999999999</v>
      </c>
      <c r="E29">
        <v>0.63929999999999998</v>
      </c>
      <c r="F29">
        <v>16595286</v>
      </c>
      <c r="G29">
        <v>0.63929999999999998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-9.2348284960423604E-2</v>
      </c>
      <c r="Q29">
        <f t="shared" ref="Q29" si="121">F29*P29</f>
        <v>-1532546.2005277283</v>
      </c>
      <c r="R29">
        <f t="shared" ref="R29" si="122">R30+Q29</f>
        <v>-689909636.46900201</v>
      </c>
      <c r="S29">
        <f t="shared" ref="S29" si="123">R29/100000</f>
        <v>-6899.09636469002</v>
      </c>
      <c r="T29">
        <f t="shared" ref="T29" si="124">S29/1000</f>
        <v>-6.8990963646900196</v>
      </c>
    </row>
    <row r="30" spans="1:20" x14ac:dyDescent="0.25">
      <c r="A30" s="5">
        <v>44563</v>
      </c>
      <c r="B30">
        <v>0.63270000000000004</v>
      </c>
      <c r="C30">
        <v>0.64829999999999999</v>
      </c>
      <c r="D30">
        <v>0.6139</v>
      </c>
      <c r="E30">
        <v>0.64029999999999998</v>
      </c>
      <c r="F30">
        <v>7840663</v>
      </c>
      <c r="G30">
        <v>0.64029999999999998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0.53488372093023195</v>
      </c>
      <c r="Q30">
        <f t="shared" ref="Q30" si="126">F30*P30</f>
        <v>4193842.9999999953</v>
      </c>
      <c r="R30">
        <f t="shared" ref="R30" si="127">R31+Q30</f>
        <v>-688377090.26847422</v>
      </c>
      <c r="S30">
        <f t="shared" ref="S30" si="128">R30/100000</f>
        <v>-6883.7709026847424</v>
      </c>
      <c r="T30">
        <f t="shared" ref="T30" si="129">S30/1000</f>
        <v>-6.8837709026847422</v>
      </c>
    </row>
    <row r="31" spans="1:20" x14ac:dyDescent="0.25">
      <c r="A31" s="5">
        <v>44562</v>
      </c>
      <c r="B31">
        <v>0.61209999999999998</v>
      </c>
      <c r="C31">
        <v>0.63360000000000005</v>
      </c>
      <c r="D31">
        <v>0.61099999999999999</v>
      </c>
      <c r="E31">
        <v>0.63270000000000004</v>
      </c>
      <c r="F31">
        <v>6561033</v>
      </c>
      <c r="G31">
        <v>0.63270000000000004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0.92035398230088417</v>
      </c>
      <c r="Q31">
        <f t="shared" ref="Q31" si="131">F31*P31</f>
        <v>6038472.8495575171</v>
      </c>
      <c r="R31">
        <f t="shared" ref="R31" si="132">R32+Q31</f>
        <v>-692570933.26847422</v>
      </c>
      <c r="S31">
        <f t="shared" ref="S31" si="133">R31/100000</f>
        <v>-6925.7093326847425</v>
      </c>
      <c r="T31">
        <f t="shared" ref="T31" si="134">S31/1000</f>
        <v>-6.9257093326847423</v>
      </c>
    </row>
    <row r="32" spans="1:20" x14ac:dyDescent="0.25">
      <c r="A32" s="5">
        <v>44561</v>
      </c>
      <c r="B32">
        <v>0.63280000000000003</v>
      </c>
      <c r="C32">
        <v>0.65529999999999999</v>
      </c>
      <c r="D32">
        <v>0.59660000000000002</v>
      </c>
      <c r="E32">
        <v>0.61180000000000001</v>
      </c>
      <c r="F32">
        <v>10562204</v>
      </c>
      <c r="G32">
        <v>0.61180000000000001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-0.48211243611584337</v>
      </c>
      <c r="Q32">
        <f t="shared" ref="Q32" si="136">F32*P32</f>
        <v>-5092169.9011925049</v>
      </c>
      <c r="R32">
        <f t="shared" ref="R32" si="137">R33+Q32</f>
        <v>-698609406.11803174</v>
      </c>
      <c r="S32">
        <f t="shared" ref="S32" si="138">R32/100000</f>
        <v>-6986.0940611803171</v>
      </c>
      <c r="T32">
        <f t="shared" ref="T32" si="139">S32/1000</f>
        <v>-6.9860940611803173</v>
      </c>
    </row>
    <row r="33" spans="1:20" x14ac:dyDescent="0.25">
      <c r="A33" s="5">
        <v>44560</v>
      </c>
      <c r="B33">
        <v>0.62809999999999999</v>
      </c>
      <c r="C33">
        <v>0.65249999999999997</v>
      </c>
      <c r="D33">
        <v>0.61</v>
      </c>
      <c r="E33">
        <v>0.63300000000000001</v>
      </c>
      <c r="F33">
        <v>7749605</v>
      </c>
      <c r="G33">
        <v>0.63300000000000001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8.2352941176472003E-2</v>
      </c>
      <c r="Q33">
        <f t="shared" ref="Q33" si="141">F33*P33</f>
        <v>638202.76470589335</v>
      </c>
      <c r="R33">
        <f t="shared" ref="R33" si="142">R34+Q33</f>
        <v>-693517236.21683919</v>
      </c>
      <c r="S33">
        <f t="shared" ref="S33" si="143">R33/100000</f>
        <v>-6935.1723621683923</v>
      </c>
      <c r="T33">
        <f t="shared" ref="T33" si="144">S33/1000</f>
        <v>-6.9351723621683927</v>
      </c>
    </row>
    <row r="34" spans="1:20" x14ac:dyDescent="0.25">
      <c r="A34" s="5">
        <v>44559</v>
      </c>
      <c r="B34">
        <v>0.63949999999999996</v>
      </c>
      <c r="C34">
        <v>0.65149999999999997</v>
      </c>
      <c r="D34">
        <v>0.61560000000000004</v>
      </c>
      <c r="E34">
        <v>0.62790000000000001</v>
      </c>
      <c r="F34">
        <v>9281863</v>
      </c>
      <c r="G34">
        <v>0.62790000000000001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-0.31476323119777155</v>
      </c>
      <c r="Q34">
        <f t="shared" ref="Q34" si="146">F34*P34</f>
        <v>-2921589.1894150414</v>
      </c>
      <c r="R34">
        <f t="shared" ref="R34" si="147">R35+Q34</f>
        <v>-694155438.98154509</v>
      </c>
      <c r="S34">
        <f t="shared" ref="S34" si="148">R34/100000</f>
        <v>-6941.554389815451</v>
      </c>
      <c r="T34">
        <f t="shared" ref="T34" si="149">S34/1000</f>
        <v>-6.941554389815451</v>
      </c>
    </row>
    <row r="35" spans="1:20" x14ac:dyDescent="0.25">
      <c r="A35" s="5">
        <v>44558</v>
      </c>
      <c r="B35">
        <v>0.72370000000000001</v>
      </c>
      <c r="C35">
        <v>0.72370000000000001</v>
      </c>
      <c r="D35">
        <v>0.63829999999999998</v>
      </c>
      <c r="E35">
        <v>0.63949999999999996</v>
      </c>
      <c r="F35">
        <v>17934719</v>
      </c>
      <c r="G35">
        <v>0.63949999999999996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-0.9718969555035134</v>
      </c>
      <c r="Q35">
        <f t="shared" ref="Q35" si="151">F35*P35</f>
        <v>-17430698.793911017</v>
      </c>
      <c r="R35">
        <f t="shared" ref="R35" si="152">R36+Q35</f>
        <v>-691233849.79212999</v>
      </c>
      <c r="S35">
        <f t="shared" ref="S35" si="153">R35/100000</f>
        <v>-6912.3384979212997</v>
      </c>
      <c r="T35">
        <f t="shared" ref="T35" si="154">S35/1000</f>
        <v>-6.9123384979212998</v>
      </c>
    </row>
    <row r="36" spans="1:20" x14ac:dyDescent="0.25">
      <c r="A36" s="5">
        <v>44557</v>
      </c>
      <c r="B36">
        <v>0.73029999999999995</v>
      </c>
      <c r="C36">
        <v>0.76490000000000002</v>
      </c>
      <c r="D36">
        <v>0.71779999999999999</v>
      </c>
      <c r="E36">
        <v>0.72409999999999997</v>
      </c>
      <c r="F36">
        <v>14746536</v>
      </c>
      <c r="G36">
        <v>0.72409999999999997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-0.73248407643312241</v>
      </c>
      <c r="Q36">
        <f t="shared" ref="Q36" si="156">F36*P36</f>
        <v>-10801602.802547792</v>
      </c>
      <c r="R36">
        <f t="shared" ref="R36" si="157">R37+Q36</f>
        <v>-673803150.99821901</v>
      </c>
      <c r="S36">
        <f t="shared" ref="S36" si="158">R36/100000</f>
        <v>-6738.0315099821901</v>
      </c>
      <c r="T36">
        <f t="shared" ref="T36" si="159">S36/1000</f>
        <v>-6.7380315099821901</v>
      </c>
    </row>
    <row r="37" spans="1:20" x14ac:dyDescent="0.25">
      <c r="A37" s="5">
        <v>44556</v>
      </c>
      <c r="B37">
        <v>0.71819999999999995</v>
      </c>
      <c r="C37">
        <v>0.73870000000000002</v>
      </c>
      <c r="D37">
        <v>0.68540000000000001</v>
      </c>
      <c r="E37">
        <v>0.73009999999999997</v>
      </c>
      <c r="F37">
        <v>18995338</v>
      </c>
      <c r="G37">
        <v>0.73009999999999997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0.67729831144465102</v>
      </c>
      <c r="Q37">
        <f t="shared" ref="Q37" si="161">F37*P37</f>
        <v>12865510.352720415</v>
      </c>
      <c r="R37">
        <f t="shared" ref="R37" si="162">R38+Q37</f>
        <v>-663001548.1956712</v>
      </c>
      <c r="S37">
        <f t="shared" ref="S37" si="163">R37/100000</f>
        <v>-6630.0154819567124</v>
      </c>
      <c r="T37">
        <f t="shared" ref="T37" si="164">S37/1000</f>
        <v>-6.6300154819567121</v>
      </c>
    </row>
    <row r="38" spans="1:20" x14ac:dyDescent="0.25">
      <c r="A38" s="5">
        <v>44555</v>
      </c>
      <c r="B38">
        <v>0.67349999999999999</v>
      </c>
      <c r="C38">
        <v>0.73719999999999997</v>
      </c>
      <c r="D38">
        <v>0.66790000000000005</v>
      </c>
      <c r="E38">
        <v>0.71850000000000003</v>
      </c>
      <c r="F38">
        <v>26861576</v>
      </c>
      <c r="G38">
        <v>0.71850000000000003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0.46031746031746146</v>
      </c>
      <c r="Q38">
        <f t="shared" ref="Q38" si="166">F38*P38</f>
        <v>12364852.444444476</v>
      </c>
      <c r="R38">
        <f t="shared" ref="R38" si="167">R39+Q38</f>
        <v>-675867058.54839158</v>
      </c>
      <c r="S38">
        <f t="shared" ref="S38" si="168">R38/100000</f>
        <v>-6758.6705854839156</v>
      </c>
      <c r="T38">
        <f t="shared" ref="T38" si="169">S38/1000</f>
        <v>-6.758670585483916</v>
      </c>
    </row>
    <row r="39" spans="1:20" x14ac:dyDescent="0.25">
      <c r="A39" s="5">
        <v>44554</v>
      </c>
      <c r="B39">
        <v>0.68789999999999996</v>
      </c>
      <c r="C39">
        <v>0.70979999999999999</v>
      </c>
      <c r="D39">
        <v>0.65649999999999997</v>
      </c>
      <c r="E39">
        <v>0.6734</v>
      </c>
      <c r="F39">
        <v>14433952</v>
      </c>
      <c r="G39">
        <v>0.6734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-0.36585365853658458</v>
      </c>
      <c r="Q39">
        <f t="shared" ref="Q39" si="171">F39*P39</f>
        <v>-5280714.1463414524</v>
      </c>
      <c r="R39">
        <f t="shared" ref="R39" si="172">R40+Q39</f>
        <v>-688231910.992836</v>
      </c>
      <c r="S39">
        <f t="shared" ref="S39" si="173">R39/100000</f>
        <v>-6882.3191099283604</v>
      </c>
      <c r="T39">
        <f t="shared" ref="T39" si="174">S39/1000</f>
        <v>-6.8823191099283605</v>
      </c>
    </row>
    <row r="40" spans="1:20" x14ac:dyDescent="0.25">
      <c r="A40" s="5">
        <v>44553</v>
      </c>
      <c r="B40">
        <v>0.63500000000000001</v>
      </c>
      <c r="C40">
        <v>0.71150000000000002</v>
      </c>
      <c r="D40">
        <v>0.62429999999999997</v>
      </c>
      <c r="E40">
        <v>0.68769999999999998</v>
      </c>
      <c r="F40">
        <v>18375397</v>
      </c>
      <c r="G40">
        <v>0.68769999999999998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0.45412844036697181</v>
      </c>
      <c r="Q40">
        <f t="shared" ref="Q40" si="176">F40*P40</f>
        <v>8344790.3807339324</v>
      </c>
      <c r="R40">
        <f t="shared" ref="R40" si="177">R41+Q40</f>
        <v>-682951196.84649456</v>
      </c>
      <c r="S40">
        <f t="shared" ref="S40" si="178">R40/100000</f>
        <v>-6829.5119684649453</v>
      </c>
      <c r="T40">
        <f t="shared" ref="T40" si="179">S40/1000</f>
        <v>-6.8295119684649457</v>
      </c>
    </row>
    <row r="41" spans="1:20" x14ac:dyDescent="0.25">
      <c r="A41" s="5">
        <v>44552</v>
      </c>
      <c r="B41">
        <v>0.62470000000000003</v>
      </c>
      <c r="C41">
        <v>0.6734</v>
      </c>
      <c r="D41">
        <v>0.61550000000000005</v>
      </c>
      <c r="E41">
        <v>0.63529999999999998</v>
      </c>
      <c r="F41">
        <v>16844691</v>
      </c>
      <c r="G41">
        <v>0.63529999999999998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-0.31606217616580501</v>
      </c>
      <c r="Q41">
        <f t="shared" ref="Q41" si="181">F41*P41</f>
        <v>-5323969.69430055</v>
      </c>
      <c r="R41">
        <f t="shared" ref="R41" si="182">R42+Q41</f>
        <v>-691295987.22722852</v>
      </c>
      <c r="S41">
        <f t="shared" ref="S41" si="183">R41/100000</f>
        <v>-6912.9598722722849</v>
      </c>
      <c r="T41">
        <f t="shared" ref="T41" si="184">S41/1000</f>
        <v>-6.9129598722722845</v>
      </c>
    </row>
    <row r="42" spans="1:20" x14ac:dyDescent="0.25">
      <c r="A42" s="5">
        <v>44551</v>
      </c>
      <c r="B42">
        <v>0.60719999999999996</v>
      </c>
      <c r="C42">
        <v>0.62839999999999996</v>
      </c>
      <c r="D42">
        <v>0.59189999999999998</v>
      </c>
      <c r="E42">
        <v>0.62450000000000006</v>
      </c>
      <c r="F42">
        <v>11666672</v>
      </c>
      <c r="G42">
        <v>0.62450000000000006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0.7863013698630188</v>
      </c>
      <c r="Q42">
        <f t="shared" ref="Q42" si="186">F42*P42</f>
        <v>9173520.1753425244</v>
      </c>
      <c r="R42">
        <f t="shared" ref="R42" si="187">R43+Q42</f>
        <v>-685972017.53292799</v>
      </c>
      <c r="S42">
        <f t="shared" ref="S42" si="188">R42/100000</f>
        <v>-6859.7201753292802</v>
      </c>
      <c r="T42">
        <f t="shared" ref="T42" si="189">S42/1000</f>
        <v>-6.8597201753292802</v>
      </c>
    </row>
    <row r="43" spans="1:20" x14ac:dyDescent="0.25">
      <c r="A43" s="5">
        <v>44550</v>
      </c>
      <c r="B43">
        <v>0.60309999999999997</v>
      </c>
      <c r="C43">
        <v>0.69469999999999998</v>
      </c>
      <c r="D43">
        <v>0.57779999999999998</v>
      </c>
      <c r="E43">
        <v>0.60699999999999998</v>
      </c>
      <c r="F43">
        <v>26293761</v>
      </c>
      <c r="G43">
        <v>0.60699999999999998</v>
      </c>
      <c r="L43" t="s">
        <v>8</v>
      </c>
      <c r="M43" t="s">
        <v>8</v>
      </c>
      <c r="N43" t="s">
        <v>7</v>
      </c>
      <c r="P43">
        <f t="shared" ref="P43" si="190">IF(C43=D43,0,((E43-D43)-(C43-E43))/(C43-D43))</f>
        <v>-0.5004277159965782</v>
      </c>
      <c r="Q43">
        <f t="shared" ref="Q43" si="191">F43*P43</f>
        <v>-13158126.762189904</v>
      </c>
      <c r="R43">
        <f t="shared" ref="R43" si="192">R44+Q43</f>
        <v>-695145537.70827055</v>
      </c>
      <c r="S43">
        <f t="shared" ref="S43" si="193">R43/100000</f>
        <v>-6951.4553770827051</v>
      </c>
      <c r="T43">
        <f t="shared" ref="T43" si="194">S43/1000</f>
        <v>-6.9514553770827048</v>
      </c>
    </row>
    <row r="44" spans="1:20" x14ac:dyDescent="0.25">
      <c r="A44" s="5">
        <v>44549</v>
      </c>
      <c r="B44">
        <v>0.60370000000000001</v>
      </c>
      <c r="C44">
        <v>0.61680000000000001</v>
      </c>
      <c r="D44">
        <v>0.5927</v>
      </c>
      <c r="E44">
        <v>0.60309999999999997</v>
      </c>
      <c r="F44">
        <v>6538216</v>
      </c>
      <c r="G44">
        <v>0.60309999999999997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-0.13692946058091615</v>
      </c>
      <c r="Q44">
        <f t="shared" ref="Q44" si="196">F44*P44</f>
        <v>-895274.39004151523</v>
      </c>
      <c r="R44">
        <f t="shared" ref="R44" si="197">R45+Q44</f>
        <v>-681987410.94608068</v>
      </c>
      <c r="S44">
        <f t="shared" ref="S44" si="198">R44/100000</f>
        <v>-6819.8741094608067</v>
      </c>
      <c r="T44">
        <f t="shared" ref="T44" si="199">S44/1000</f>
        <v>-6.8198741094608071</v>
      </c>
    </row>
    <row r="45" spans="1:20" x14ac:dyDescent="0.25">
      <c r="A45" s="5">
        <v>44548</v>
      </c>
      <c r="B45">
        <v>0.59860000000000002</v>
      </c>
      <c r="C45">
        <v>0.61460000000000004</v>
      </c>
      <c r="D45">
        <v>0.58079999999999998</v>
      </c>
      <c r="E45">
        <v>0.60360000000000003</v>
      </c>
      <c r="F45">
        <v>5429219</v>
      </c>
      <c r="G45">
        <v>0.60360000000000003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0.34911242603550341</v>
      </c>
      <c r="Q45">
        <f t="shared" ref="Q45" si="201">F45*P45</f>
        <v>1895407.8165680498</v>
      </c>
      <c r="R45">
        <f t="shared" ref="R45" si="202">R46+Q45</f>
        <v>-681092136.55603921</v>
      </c>
      <c r="S45">
        <f t="shared" ref="S45" si="203">R45/100000</f>
        <v>-6810.9213655603926</v>
      </c>
      <c r="T45">
        <f t="shared" ref="T45" si="204">S45/1000</f>
        <v>-6.8109213655603922</v>
      </c>
    </row>
    <row r="46" spans="1:20" x14ac:dyDescent="0.25">
      <c r="A46" s="5">
        <v>44547</v>
      </c>
      <c r="B46">
        <v>0.62</v>
      </c>
      <c r="C46">
        <v>0.63529999999999998</v>
      </c>
      <c r="D46">
        <v>0.58089999999999997</v>
      </c>
      <c r="E46">
        <v>0.59830000000000005</v>
      </c>
      <c r="F46">
        <v>9467367</v>
      </c>
      <c r="G46">
        <v>0.59830000000000005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-0.36029411764705588</v>
      </c>
      <c r="Q46">
        <f t="shared" ref="Q46" si="206">F46*P46</f>
        <v>-3411036.6397058545</v>
      </c>
      <c r="R46">
        <f t="shared" ref="R46" si="207">R47+Q46</f>
        <v>-682987544.37260723</v>
      </c>
      <c r="S46">
        <f t="shared" ref="S46" si="208">R46/100000</f>
        <v>-6829.8754437260723</v>
      </c>
      <c r="T46">
        <f t="shared" ref="T46" si="209">S46/1000</f>
        <v>-6.8298754437260722</v>
      </c>
    </row>
    <row r="47" spans="1:20" x14ac:dyDescent="0.25">
      <c r="A47" s="5">
        <v>44546</v>
      </c>
      <c r="B47">
        <v>0.62009999999999998</v>
      </c>
      <c r="C47">
        <v>0.67500000000000004</v>
      </c>
      <c r="D47">
        <v>0.6149</v>
      </c>
      <c r="E47">
        <v>0.61980000000000002</v>
      </c>
      <c r="F47">
        <v>12783740</v>
      </c>
      <c r="G47">
        <v>0.61980000000000002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-0.83693843594009942</v>
      </c>
      <c r="Q47">
        <f t="shared" ref="Q47" si="211">F47*P47</f>
        <v>-10699203.361064887</v>
      </c>
      <c r="R47">
        <f t="shared" ref="R47" si="212">R48+Q47</f>
        <v>-679576507.73290133</v>
      </c>
      <c r="S47">
        <f t="shared" ref="S47" si="213">R47/100000</f>
        <v>-6795.7650773290134</v>
      </c>
      <c r="T47">
        <f t="shared" ref="T47" si="214">S47/1000</f>
        <v>-6.7957650773290137</v>
      </c>
    </row>
    <row r="48" spans="1:20" x14ac:dyDescent="0.25">
      <c r="A48" s="5">
        <v>44545</v>
      </c>
      <c r="B48">
        <v>0.60819999999999996</v>
      </c>
      <c r="C48">
        <v>0.6371</v>
      </c>
      <c r="D48">
        <v>0.56769999999999998</v>
      </c>
      <c r="E48">
        <v>0.62009999999999998</v>
      </c>
      <c r="F48">
        <v>9669513</v>
      </c>
      <c r="G48">
        <v>0.62009999999999998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0.51008645533141184</v>
      </c>
      <c r="Q48">
        <f t="shared" ref="Q48" si="216">F48*P48</f>
        <v>4932287.6109510064</v>
      </c>
      <c r="R48">
        <f t="shared" ref="R48" si="217">R49+Q48</f>
        <v>-668877304.37183642</v>
      </c>
      <c r="S48">
        <f t="shared" ref="S48" si="218">R48/100000</f>
        <v>-6688.7730437183645</v>
      </c>
      <c r="T48">
        <f t="shared" ref="T48" si="219">S48/1000</f>
        <v>-6.6887730437183643</v>
      </c>
    </row>
    <row r="49" spans="1:20" x14ac:dyDescent="0.25">
      <c r="A49" s="5">
        <v>44544</v>
      </c>
      <c r="B49">
        <v>0.59430000000000005</v>
      </c>
      <c r="C49">
        <v>0.61550000000000005</v>
      </c>
      <c r="D49">
        <v>0.57699999999999996</v>
      </c>
      <c r="E49">
        <v>0.60829999999999995</v>
      </c>
      <c r="F49">
        <v>13255785</v>
      </c>
      <c r="G49">
        <v>0.60829999999999995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0.62597402597402185</v>
      </c>
      <c r="Q49">
        <f t="shared" ref="Q49" si="221">F49*P49</f>
        <v>8297777.1038960489</v>
      </c>
      <c r="R49">
        <f t="shared" ref="R49" si="222">R50+Q49</f>
        <v>-673809591.98278749</v>
      </c>
      <c r="S49">
        <f t="shared" ref="S49" si="223">R49/100000</f>
        <v>-6738.0959198278752</v>
      </c>
      <c r="T49">
        <f t="shared" ref="T49" si="224">S49/1000</f>
        <v>-6.7380959198278756</v>
      </c>
    </row>
    <row r="50" spans="1:20" x14ac:dyDescent="0.25">
      <c r="A50" s="5">
        <v>44543</v>
      </c>
      <c r="B50">
        <v>0.68110000000000004</v>
      </c>
      <c r="C50">
        <v>0.68620000000000003</v>
      </c>
      <c r="D50">
        <v>0.58050000000000002</v>
      </c>
      <c r="E50">
        <v>0.59430000000000005</v>
      </c>
      <c r="F50">
        <v>9812283</v>
      </c>
      <c r="G50">
        <v>0.59430000000000005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-0.73888363292336745</v>
      </c>
      <c r="Q50">
        <f t="shared" ref="Q50" si="226">F50*P50</f>
        <v>-7250135.3103121985</v>
      </c>
      <c r="R50">
        <f t="shared" ref="R50" si="227">R51+Q50</f>
        <v>-682107369.08668351</v>
      </c>
      <c r="S50">
        <f t="shared" ref="S50" si="228">R50/100000</f>
        <v>-6821.073690866835</v>
      </c>
      <c r="T50">
        <f t="shared" ref="T50" si="229">S50/1000</f>
        <v>-6.821073690866835</v>
      </c>
    </row>
    <row r="51" spans="1:20" x14ac:dyDescent="0.25">
      <c r="A51" s="5">
        <v>44542</v>
      </c>
      <c r="B51">
        <v>0.67300000000000004</v>
      </c>
      <c r="C51">
        <v>0.68989999999999996</v>
      </c>
      <c r="D51">
        <v>0.65</v>
      </c>
      <c r="E51">
        <v>0.68130000000000002</v>
      </c>
      <c r="F51">
        <v>6101525</v>
      </c>
      <c r="G51">
        <v>0.68130000000000002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0.56892230576441327</v>
      </c>
      <c r="Q51">
        <f t="shared" ref="Q51" si="231">F51*P51</f>
        <v>3471293.6716792118</v>
      </c>
      <c r="R51">
        <f t="shared" ref="R51" si="232">R52+Q51</f>
        <v>-674857233.77637136</v>
      </c>
      <c r="S51">
        <f t="shared" ref="S51" si="233">R51/100000</f>
        <v>-6748.5723377637132</v>
      </c>
      <c r="T51">
        <f t="shared" ref="T51" si="234">S51/1000</f>
        <v>-6.7485723377637132</v>
      </c>
    </row>
    <row r="52" spans="1:20" x14ac:dyDescent="0.25">
      <c r="A52" s="5">
        <v>44541</v>
      </c>
      <c r="B52">
        <v>0.6361</v>
      </c>
      <c r="C52">
        <v>0.64390000000000003</v>
      </c>
      <c r="D52">
        <v>0.62119999999999997</v>
      </c>
      <c r="E52">
        <v>0.64049999999999996</v>
      </c>
      <c r="F52">
        <v>649948</v>
      </c>
      <c r="G52">
        <v>0.64049999999999996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0.7004405286343558</v>
      </c>
      <c r="Q52">
        <f t="shared" ref="Q52" si="236">F52*P52</f>
        <v>455249.92070484225</v>
      </c>
      <c r="R52">
        <f t="shared" ref="R52" si="237">R53+Q52</f>
        <v>-678328527.44805062</v>
      </c>
      <c r="S52">
        <f t="shared" ref="S52" si="238">R52/100000</f>
        <v>-6783.2852744805059</v>
      </c>
      <c r="T52">
        <f t="shared" ref="T52" si="239">S52/1000</f>
        <v>-6.7832852744805061</v>
      </c>
    </row>
    <row r="53" spans="1:20" x14ac:dyDescent="0.25">
      <c r="A53" s="5">
        <v>44540</v>
      </c>
      <c r="B53">
        <v>0.66379999999999995</v>
      </c>
      <c r="C53">
        <v>0.69599999999999995</v>
      </c>
      <c r="D53">
        <v>0.63339999999999996</v>
      </c>
      <c r="E53">
        <v>0.6361</v>
      </c>
      <c r="F53">
        <v>30506295</v>
      </c>
      <c r="G53">
        <v>0.6361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-0.91373801916932795</v>
      </c>
      <c r="Q53">
        <f t="shared" ref="Q53" si="241">F53*P53</f>
        <v>-27874761.565495174</v>
      </c>
      <c r="R53">
        <f t="shared" ref="R53" si="242">R54+Q53</f>
        <v>-678783777.36875546</v>
      </c>
      <c r="S53">
        <f t="shared" ref="S53" si="243">R53/100000</f>
        <v>-6787.8377736875545</v>
      </c>
      <c r="T53">
        <f t="shared" ref="T53" si="244">S53/1000</f>
        <v>-6.7878377736875546</v>
      </c>
    </row>
    <row r="54" spans="1:20" x14ac:dyDescent="0.25">
      <c r="A54" s="5">
        <v>44539</v>
      </c>
      <c r="B54">
        <v>0.73370000000000002</v>
      </c>
      <c r="C54">
        <v>0.7389</v>
      </c>
      <c r="D54">
        <v>0.66279999999999994</v>
      </c>
      <c r="E54">
        <v>0.66390000000000005</v>
      </c>
      <c r="F54">
        <v>11080004</v>
      </c>
      <c r="G54">
        <v>0.66390000000000005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-0.97109067017082518</v>
      </c>
      <c r="Q54">
        <f t="shared" ref="Q54" si="246">F54*P54</f>
        <v>-10759688.509855423</v>
      </c>
      <c r="R54">
        <f t="shared" ref="R54" si="247">R55+Q54</f>
        <v>-650909015.80326033</v>
      </c>
      <c r="S54">
        <f t="shared" ref="S54" si="248">R54/100000</f>
        <v>-6509.0901580326035</v>
      </c>
      <c r="T54">
        <f t="shared" ref="T54" si="249">S54/1000</f>
        <v>-6.5090901580326035</v>
      </c>
    </row>
    <row r="55" spans="1:20" x14ac:dyDescent="0.25">
      <c r="A55" s="5">
        <v>44538</v>
      </c>
      <c r="B55">
        <v>0.7258</v>
      </c>
      <c r="C55">
        <v>0.77690000000000003</v>
      </c>
      <c r="D55">
        <v>0.69110000000000005</v>
      </c>
      <c r="E55">
        <v>0.73319999999999996</v>
      </c>
      <c r="F55">
        <v>15741080</v>
      </c>
      <c r="G55">
        <v>0.73319999999999996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-1.864801864802048E-2</v>
      </c>
      <c r="Q55">
        <f t="shared" ref="Q55" si="251">F55*P55</f>
        <v>-293539.95337998221</v>
      </c>
      <c r="R55">
        <f t="shared" ref="R55" si="252">R56+Q55</f>
        <v>-640149327.29340494</v>
      </c>
      <c r="S55">
        <f t="shared" ref="S55" si="253">R55/100000</f>
        <v>-6401.4932729340489</v>
      </c>
      <c r="T55">
        <f t="shared" ref="T55" si="254">S55/1000</f>
        <v>-6.401493272934049</v>
      </c>
    </row>
    <row r="56" spans="1:20" x14ac:dyDescent="0.25">
      <c r="A56" s="5">
        <v>44537</v>
      </c>
      <c r="B56">
        <v>0.74690000000000001</v>
      </c>
      <c r="C56">
        <v>0.76990000000000003</v>
      </c>
      <c r="D56">
        <v>0.71020000000000005</v>
      </c>
      <c r="E56">
        <v>0.7258</v>
      </c>
      <c r="F56">
        <v>9963180</v>
      </c>
      <c r="G56">
        <v>0.7258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-0.4773869346733684</v>
      </c>
      <c r="Q56">
        <f t="shared" ref="Q56" si="256">F56*P56</f>
        <v>-4756291.9597990103</v>
      </c>
      <c r="R56">
        <f t="shared" ref="R56" si="257">R57+Q56</f>
        <v>-639855787.34002495</v>
      </c>
      <c r="S56">
        <f t="shared" ref="S56" si="258">R56/100000</f>
        <v>-6398.5578734002493</v>
      </c>
      <c r="T56">
        <f t="shared" ref="T56" si="259">S56/1000</f>
        <v>-6.3985578734002493</v>
      </c>
    </row>
    <row r="57" spans="1:20" x14ac:dyDescent="0.25">
      <c r="A57" s="5">
        <v>44536</v>
      </c>
      <c r="B57">
        <v>0.74890000000000001</v>
      </c>
      <c r="C57">
        <v>0.75319999999999998</v>
      </c>
      <c r="D57">
        <v>0.65539999999999998</v>
      </c>
      <c r="E57">
        <v>0.74690000000000001</v>
      </c>
      <c r="F57">
        <v>14727839</v>
      </c>
      <c r="G57">
        <v>0.74690000000000001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0.87116564417177966</v>
      </c>
      <c r="Q57">
        <f t="shared" ref="Q57" si="261">F57*P57</f>
        <v>12830387.349693259</v>
      </c>
      <c r="R57">
        <f t="shared" ref="R57" si="262">R58+Q57</f>
        <v>-635099495.3802259</v>
      </c>
      <c r="S57">
        <f t="shared" ref="S57" si="263">R57/100000</f>
        <v>-6350.9949538022593</v>
      </c>
      <c r="T57">
        <f t="shared" ref="T57" si="264">S57/1000</f>
        <v>-6.3509949538022594</v>
      </c>
    </row>
    <row r="58" spans="1:20" x14ac:dyDescent="0.25">
      <c r="A58" s="5">
        <v>44535</v>
      </c>
      <c r="B58">
        <v>0.80500000000000005</v>
      </c>
      <c r="C58">
        <v>0.81950000000000001</v>
      </c>
      <c r="D58">
        <v>0.7077</v>
      </c>
      <c r="E58">
        <v>0.74939999999999996</v>
      </c>
      <c r="F58">
        <v>12654328</v>
      </c>
      <c r="G58">
        <v>0.74939999999999996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-0.25402504472271992</v>
      </c>
      <c r="Q58">
        <f t="shared" ref="Q58" si="266">F58*P58</f>
        <v>-3214516.2361359671</v>
      </c>
      <c r="R58">
        <f t="shared" ref="R58" si="267">R59+Q58</f>
        <v>-647929882.7299192</v>
      </c>
      <c r="S58">
        <f t="shared" ref="S58" si="268">R58/100000</f>
        <v>-6479.2988272991915</v>
      </c>
      <c r="T58">
        <f t="shared" ref="T58" si="269">S58/1000</f>
        <v>-6.4792988272991918</v>
      </c>
    </row>
    <row r="59" spans="1:20" x14ac:dyDescent="0.25">
      <c r="A59" s="5">
        <v>44534</v>
      </c>
      <c r="B59">
        <v>0.95660000000000001</v>
      </c>
      <c r="C59">
        <v>0.96109999999999995</v>
      </c>
      <c r="D59">
        <v>0.56999999999999995</v>
      </c>
      <c r="E59">
        <v>0.80279999999999996</v>
      </c>
      <c r="F59">
        <v>40867978.409999996</v>
      </c>
      <c r="G59">
        <v>0.80279999999999996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0.19048836614676556</v>
      </c>
      <c r="Q59">
        <f t="shared" ref="Q59" si="271">F59*P59</f>
        <v>7784874.4350421894</v>
      </c>
      <c r="R59">
        <f t="shared" ref="R59" si="272">R60+Q59</f>
        <v>-644715366.49378324</v>
      </c>
      <c r="S59">
        <f t="shared" ref="S59" si="273">R59/100000</f>
        <v>-6447.1536649378322</v>
      </c>
      <c r="T59">
        <f t="shared" ref="T59" si="274">S59/1000</f>
        <v>-6.447153664937832</v>
      </c>
    </row>
    <row r="60" spans="1:20" x14ac:dyDescent="0.25">
      <c r="A60" s="5">
        <v>44533</v>
      </c>
      <c r="B60">
        <v>1.0019</v>
      </c>
      <c r="C60">
        <v>1.0665</v>
      </c>
      <c r="D60">
        <v>0.92469999999999997</v>
      </c>
      <c r="E60">
        <v>0.95709999999999995</v>
      </c>
      <c r="F60">
        <v>22111233</v>
      </c>
      <c r="G60">
        <v>0.95709999999999995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-0.54301833568406244</v>
      </c>
      <c r="Q60">
        <f t="shared" ref="Q60" si="276">F60*P60</f>
        <v>-12006804.943582518</v>
      </c>
      <c r="R60">
        <f t="shared" ref="R60" si="277">R61+Q60</f>
        <v>-652500240.92882538</v>
      </c>
      <c r="S60">
        <f t="shared" ref="S60" si="278">R60/100000</f>
        <v>-6525.0024092882541</v>
      </c>
      <c r="T60">
        <f t="shared" ref="T60" si="279">S60/1000</f>
        <v>-6.5250024092882537</v>
      </c>
    </row>
    <row r="61" spans="1:20" x14ac:dyDescent="0.25">
      <c r="A61" s="5">
        <v>44532</v>
      </c>
      <c r="B61">
        <v>1.0278</v>
      </c>
      <c r="C61">
        <v>1.0297000000000001</v>
      </c>
      <c r="D61">
        <v>0.97299999999999998</v>
      </c>
      <c r="E61">
        <v>1.0021</v>
      </c>
      <c r="F61">
        <v>11186408</v>
      </c>
      <c r="G61">
        <v>1.0021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2.6455026455025461E-2</v>
      </c>
      <c r="Q61">
        <f t="shared" ref="Q61" si="281">F61*P61</f>
        <v>295936.71957670845</v>
      </c>
      <c r="R61">
        <f t="shared" ref="R61" si="282">R62+Q61</f>
        <v>-640493435.98524284</v>
      </c>
      <c r="S61">
        <f t="shared" ref="S61" si="283">R61/100000</f>
        <v>-6404.9343598524283</v>
      </c>
      <c r="T61">
        <f t="shared" ref="T61" si="284">S61/1000</f>
        <v>-6.4049343598524286</v>
      </c>
    </row>
    <row r="62" spans="1:20" x14ac:dyDescent="0.25">
      <c r="A62" s="5">
        <v>44531</v>
      </c>
      <c r="B62">
        <v>1.0007999999999999</v>
      </c>
      <c r="C62">
        <v>1.0879000000000001</v>
      </c>
      <c r="D62">
        <v>0.99490000000000001</v>
      </c>
      <c r="E62">
        <v>1.0278</v>
      </c>
      <c r="F62">
        <v>18859320</v>
      </c>
      <c r="G62">
        <v>1.0278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-0.29247311827956968</v>
      </c>
      <c r="Q62">
        <f t="shared" ref="Q62" si="286">F62*P62</f>
        <v>-5515844.1290322542</v>
      </c>
      <c r="R62">
        <f t="shared" ref="R62" si="287">R63+Q62</f>
        <v>-640789372.70481956</v>
      </c>
      <c r="S62">
        <f t="shared" ref="S62" si="288">R62/100000</f>
        <v>-6407.8937270481956</v>
      </c>
      <c r="T62">
        <f t="shared" ref="T62" si="289">S62/1000</f>
        <v>-6.4078937270481955</v>
      </c>
    </row>
    <row r="63" spans="1:20" x14ac:dyDescent="0.25">
      <c r="A63" s="5">
        <v>44530</v>
      </c>
      <c r="B63">
        <v>1.0247999999999999</v>
      </c>
      <c r="C63">
        <v>1.0475000000000001</v>
      </c>
      <c r="D63">
        <v>0.98229999999999995</v>
      </c>
      <c r="E63">
        <v>1.0003</v>
      </c>
      <c r="F63">
        <v>11131861</v>
      </c>
      <c r="G63">
        <v>1.0003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-0.44785276073619706</v>
      </c>
      <c r="Q63">
        <f t="shared" ref="Q63" si="291">F63*P63</f>
        <v>-4985434.6809816035</v>
      </c>
      <c r="R63">
        <f t="shared" ref="R63" si="292">R64+Q63</f>
        <v>-635273528.57578731</v>
      </c>
      <c r="S63">
        <f t="shared" ref="S63" si="293">R63/100000</f>
        <v>-6352.7352857578735</v>
      </c>
      <c r="T63">
        <f t="shared" ref="T63" si="294">S63/1000</f>
        <v>-6.3527352857578734</v>
      </c>
    </row>
    <row r="64" spans="1:20" x14ac:dyDescent="0.25">
      <c r="A64" s="5">
        <v>44529</v>
      </c>
      <c r="B64">
        <v>1.0319</v>
      </c>
      <c r="C64">
        <v>1.0593999999999999</v>
      </c>
      <c r="D64">
        <v>1.0002</v>
      </c>
      <c r="E64">
        <v>1.0258</v>
      </c>
      <c r="F64">
        <v>9073724</v>
      </c>
      <c r="G64">
        <v>1.0258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-0.1351351351351317</v>
      </c>
      <c r="Q64">
        <f t="shared" ref="Q64" si="296">F64*P64</f>
        <v>-1226178.9189188879</v>
      </c>
      <c r="R64">
        <f t="shared" ref="R64" si="297">R65+Q64</f>
        <v>-630288093.89480567</v>
      </c>
      <c r="S64">
        <f t="shared" ref="S64" si="298">R64/100000</f>
        <v>-6302.8809389480566</v>
      </c>
      <c r="T64">
        <f t="shared" ref="T64" si="299">S64/1000</f>
        <v>-6.3028809389480562</v>
      </c>
    </row>
    <row r="65" spans="1:20" x14ac:dyDescent="0.25">
      <c r="A65" s="5">
        <v>44528</v>
      </c>
      <c r="B65">
        <v>1.0476000000000001</v>
      </c>
      <c r="C65">
        <v>1.0476000000000001</v>
      </c>
      <c r="D65">
        <v>0.93779999999999997</v>
      </c>
      <c r="E65">
        <v>1.0313000000000001</v>
      </c>
      <c r="F65">
        <v>14690617</v>
      </c>
      <c r="G65">
        <v>1.0313000000000001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0.70309653916211357</v>
      </c>
      <c r="Q65">
        <f t="shared" ref="Q65" si="301">F65*P65</f>
        <v>10328921.970856111</v>
      </c>
      <c r="R65">
        <f t="shared" ref="R65" si="302">R66+Q65</f>
        <v>-629061914.97588682</v>
      </c>
      <c r="S65">
        <f t="shared" ref="S65" si="303">R65/100000</f>
        <v>-6290.6191497588679</v>
      </c>
      <c r="T65">
        <f t="shared" ref="T65" si="304">S65/1000</f>
        <v>-6.2906191497588679</v>
      </c>
    </row>
    <row r="66" spans="1:20" x14ac:dyDescent="0.25">
      <c r="A66" s="5">
        <v>44527</v>
      </c>
      <c r="B66">
        <v>1.0053000000000001</v>
      </c>
      <c r="C66">
        <v>1.1051</v>
      </c>
      <c r="D66">
        <v>0.99860000000000004</v>
      </c>
      <c r="E66">
        <v>1.0483</v>
      </c>
      <c r="F66">
        <v>17973802</v>
      </c>
      <c r="G66">
        <v>1.0483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-6.6666666666666666E-2</v>
      </c>
      <c r="Q66">
        <f t="shared" ref="Q66" si="306">F66*P66</f>
        <v>-1198253.4666666666</v>
      </c>
      <c r="R66">
        <f t="shared" ref="R66" si="307">R67+Q66</f>
        <v>-639390836.94674289</v>
      </c>
      <c r="S66">
        <f t="shared" ref="S66" si="308">R66/100000</f>
        <v>-6393.9083694674291</v>
      </c>
      <c r="T66">
        <f t="shared" ref="T66" si="309">S66/1000</f>
        <v>-6.3939083694674288</v>
      </c>
    </row>
    <row r="67" spans="1:20" x14ac:dyDescent="0.25">
      <c r="A67" s="5">
        <v>44526</v>
      </c>
      <c r="B67">
        <v>1.1328</v>
      </c>
      <c r="C67">
        <v>1.1505000000000001</v>
      </c>
      <c r="D67">
        <v>0.96</v>
      </c>
      <c r="E67">
        <v>1.0059</v>
      </c>
      <c r="F67">
        <v>29812028</v>
      </c>
      <c r="G67">
        <v>1.0059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-0.51811023622047214</v>
      </c>
      <c r="Q67">
        <f t="shared" ref="Q67" si="311">F67*P67</f>
        <v>-15445916.86929133</v>
      </c>
      <c r="R67">
        <f t="shared" ref="R67" si="312">R68+Q67</f>
        <v>-638192583.48007619</v>
      </c>
      <c r="S67">
        <f t="shared" ref="S67" si="313">R67/100000</f>
        <v>-6381.9258348007615</v>
      </c>
      <c r="T67">
        <f t="shared" ref="T67" si="314">S67/1000</f>
        <v>-6.3819258348007617</v>
      </c>
    </row>
    <row r="68" spans="1:20" x14ac:dyDescent="0.25">
      <c r="A68" s="5">
        <v>44525</v>
      </c>
      <c r="B68">
        <v>1.1792</v>
      </c>
      <c r="C68">
        <v>1.2595000000000001</v>
      </c>
      <c r="D68">
        <v>1.1111</v>
      </c>
      <c r="E68">
        <v>1.1326000000000001</v>
      </c>
      <c r="F68">
        <v>46557785</v>
      </c>
      <c r="G68">
        <v>1.1326000000000001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-0.71024258760107728</v>
      </c>
      <c r="Q68">
        <f t="shared" ref="Q68" si="316">F68*P68</f>
        <v>-33067321.691374622</v>
      </c>
      <c r="R68">
        <f t="shared" ref="R68" si="317">R69+Q68</f>
        <v>-622746666.61078489</v>
      </c>
      <c r="S68">
        <f t="shared" ref="S68" si="318">R68/100000</f>
        <v>-6227.4666661078491</v>
      </c>
      <c r="T68">
        <f t="shared" ref="T68" si="319">S68/1000</f>
        <v>-6.2274666661078495</v>
      </c>
    </row>
    <row r="69" spans="1:20" x14ac:dyDescent="0.25">
      <c r="A69" s="5">
        <v>44524</v>
      </c>
      <c r="B69">
        <v>1.0147999999999999</v>
      </c>
      <c r="C69">
        <v>1.03</v>
      </c>
      <c r="D69">
        <v>0.97709999999999997</v>
      </c>
      <c r="E69">
        <v>1.0134000000000001</v>
      </c>
      <c r="F69">
        <v>5752724</v>
      </c>
      <c r="G69">
        <v>1.0134000000000001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0.37240075614366996</v>
      </c>
      <c r="Q69">
        <f t="shared" ref="Q69" si="321">F69*P69</f>
        <v>2142318.7674858375</v>
      </c>
      <c r="R69">
        <f t="shared" ref="R69" si="322">R70+Q69</f>
        <v>-589679344.91941023</v>
      </c>
      <c r="S69">
        <f t="shared" ref="S69" si="323">R69/100000</f>
        <v>-5896.7934491941023</v>
      </c>
      <c r="T69">
        <f t="shared" ref="T69" si="324">S69/1000</f>
        <v>-5.8967934491941021</v>
      </c>
    </row>
    <row r="70" spans="1:20" x14ac:dyDescent="0.25">
      <c r="A70" s="5">
        <v>44523</v>
      </c>
      <c r="B70">
        <v>1.0236000000000001</v>
      </c>
      <c r="C70">
        <v>1.04</v>
      </c>
      <c r="D70">
        <v>0.97070000000000001</v>
      </c>
      <c r="E70">
        <v>1.0150999999999999</v>
      </c>
      <c r="F70">
        <v>17360408</v>
      </c>
      <c r="G70">
        <v>1.0150999999999999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0.28138528138527752</v>
      </c>
      <c r="Q70">
        <f t="shared" ref="Q70" si="326">F70*P70</f>
        <v>4884963.2900432227</v>
      </c>
      <c r="R70">
        <f t="shared" ref="R70" si="327">R71+Q70</f>
        <v>-591821663.68689609</v>
      </c>
      <c r="S70">
        <f t="shared" ref="S70" si="328">R70/100000</f>
        <v>-5918.2166368689604</v>
      </c>
      <c r="T70">
        <f t="shared" ref="T70" si="329">S70/1000</f>
        <v>-5.9182166368689604</v>
      </c>
    </row>
    <row r="71" spans="1:20" x14ac:dyDescent="0.25">
      <c r="A71" s="5">
        <v>44522</v>
      </c>
      <c r="B71">
        <v>1.1164000000000001</v>
      </c>
      <c r="C71">
        <v>1.1227</v>
      </c>
      <c r="D71">
        <v>1.0001</v>
      </c>
      <c r="E71">
        <v>1.0238</v>
      </c>
      <c r="F71">
        <v>22041398</v>
      </c>
      <c r="G71">
        <v>1.0238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-0.61337683523654085</v>
      </c>
      <c r="Q71">
        <f t="shared" ref="Q71" si="331">F71*P71</f>
        <v>-13519682.94942902</v>
      </c>
      <c r="R71">
        <f t="shared" ref="R71" si="332">R72+Q71</f>
        <v>-596706626.97693932</v>
      </c>
      <c r="S71">
        <f t="shared" ref="S71" si="333">R71/100000</f>
        <v>-5967.0662697693933</v>
      </c>
      <c r="T71">
        <f t="shared" ref="T71" si="334">S71/1000</f>
        <v>-5.9670662697693935</v>
      </c>
    </row>
    <row r="72" spans="1:20" x14ac:dyDescent="0.25">
      <c r="A72" s="5">
        <v>44521</v>
      </c>
      <c r="B72">
        <v>1.1346000000000001</v>
      </c>
      <c r="C72">
        <v>1.2189000000000001</v>
      </c>
      <c r="D72">
        <v>1.0791999999999999</v>
      </c>
      <c r="E72">
        <v>1.1151</v>
      </c>
      <c r="F72">
        <v>33530436</v>
      </c>
      <c r="G72">
        <v>1.1151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-0.48604151753758051</v>
      </c>
      <c r="Q72">
        <f t="shared" ref="Q72" si="336">F72*P72</f>
        <v>-16297183.997136721</v>
      </c>
      <c r="R72">
        <f t="shared" ref="R72" si="337">R73+Q72</f>
        <v>-583186944.02751029</v>
      </c>
      <c r="S72">
        <f t="shared" ref="S72" si="338">R72/100000</f>
        <v>-5831.8694402751025</v>
      </c>
      <c r="T72">
        <f t="shared" ref="T72" si="339">S72/1000</f>
        <v>-5.8318694402751028</v>
      </c>
    </row>
    <row r="73" spans="1:20" x14ac:dyDescent="0.25">
      <c r="A73" s="5">
        <v>44520</v>
      </c>
      <c r="B73">
        <v>1.0078</v>
      </c>
      <c r="C73">
        <v>1.1423000000000001</v>
      </c>
      <c r="D73">
        <v>1.0078</v>
      </c>
      <c r="E73">
        <v>1.1333</v>
      </c>
      <c r="F73">
        <v>36049406</v>
      </c>
      <c r="G73">
        <v>1.1333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0.86617100371747047</v>
      </c>
      <c r="Q73">
        <f t="shared" ref="Q73" si="341">F73*P73</f>
        <v>31224950.178438604</v>
      </c>
      <c r="R73">
        <f t="shared" ref="R73" si="342">R74+Q73</f>
        <v>-566889760.03037357</v>
      </c>
      <c r="S73">
        <f t="shared" ref="S73" si="343">R73/100000</f>
        <v>-5668.897600303736</v>
      </c>
      <c r="T73">
        <f t="shared" ref="T73" si="344">S73/1000</f>
        <v>-5.6688976003037359</v>
      </c>
    </row>
    <row r="74" spans="1:20" x14ac:dyDescent="0.25">
      <c r="A74" s="5">
        <v>44519</v>
      </c>
      <c r="B74">
        <v>0.98470000000000002</v>
      </c>
      <c r="C74">
        <v>1.0489999999999999</v>
      </c>
      <c r="D74">
        <v>0.93879999999999997</v>
      </c>
      <c r="E74">
        <v>1.0065999999999999</v>
      </c>
      <c r="F74">
        <v>19776091</v>
      </c>
      <c r="G74">
        <v>1.0065999999999999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0.2304900181488202</v>
      </c>
      <c r="Q74">
        <f t="shared" ref="Q74" si="346">F74*P74</f>
        <v>4558191.5735027194</v>
      </c>
      <c r="R74">
        <f t="shared" ref="R74" si="347">R75+Q74</f>
        <v>-598114710.20881224</v>
      </c>
      <c r="S74">
        <f t="shared" ref="S74" si="348">R74/100000</f>
        <v>-5981.1471020881227</v>
      </c>
      <c r="T74">
        <f t="shared" ref="T74" si="349">S74/1000</f>
        <v>-5.9811471020881228</v>
      </c>
    </row>
    <row r="75" spans="1:20" x14ac:dyDescent="0.25">
      <c r="A75" s="5">
        <v>44518</v>
      </c>
      <c r="B75">
        <v>1.0389999999999999</v>
      </c>
      <c r="C75">
        <v>1.0880000000000001</v>
      </c>
      <c r="D75">
        <v>0.90759999999999996</v>
      </c>
      <c r="E75">
        <v>0.98470000000000002</v>
      </c>
      <c r="F75">
        <v>42106960</v>
      </c>
      <c r="G75">
        <v>0.98470000000000002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-0.1452328159645232</v>
      </c>
      <c r="Q75">
        <f t="shared" ref="Q75" si="351">F75*P75</f>
        <v>-6115312.37250554</v>
      </c>
      <c r="R75">
        <f t="shared" ref="R75" si="352">R76+Q75</f>
        <v>-602672901.7823149</v>
      </c>
      <c r="S75">
        <f t="shared" ref="S75" si="353">R75/100000</f>
        <v>-6026.7290178231488</v>
      </c>
      <c r="T75">
        <f t="shared" ref="T75" si="354">S75/1000</f>
        <v>-6.0267290178231487</v>
      </c>
    </row>
    <row r="76" spans="1:20" x14ac:dyDescent="0.25">
      <c r="A76" s="5">
        <v>44517</v>
      </c>
      <c r="B76">
        <v>0.94910000000000005</v>
      </c>
      <c r="C76">
        <v>1.0753999999999999</v>
      </c>
      <c r="D76">
        <v>0.91049999999999998</v>
      </c>
      <c r="E76">
        <v>1.0392999999999999</v>
      </c>
      <c r="F76">
        <v>32282021</v>
      </c>
      <c r="G76">
        <v>1.0392999999999999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0.56215888417222515</v>
      </c>
      <c r="Q76">
        <f t="shared" ref="Q76" si="356">F76*P76</f>
        <v>18147624.904184341</v>
      </c>
      <c r="R76">
        <f t="shared" ref="R76" si="357">R77+Q76</f>
        <v>-596557589.40980935</v>
      </c>
      <c r="S76">
        <f t="shared" ref="S76" si="358">R76/100000</f>
        <v>-5965.5758940980932</v>
      </c>
      <c r="T76">
        <f t="shared" ref="T76" si="359">S76/1000</f>
        <v>-5.9655758940980927</v>
      </c>
    </row>
    <row r="77" spans="1:20" x14ac:dyDescent="0.25">
      <c r="A77" s="5">
        <v>44516</v>
      </c>
      <c r="B77">
        <v>1.0649999999999999</v>
      </c>
      <c r="C77">
        <v>1.0659000000000001</v>
      </c>
      <c r="D77">
        <v>0.89980000000000004</v>
      </c>
      <c r="E77">
        <v>0.94910000000000005</v>
      </c>
      <c r="F77">
        <v>25546122</v>
      </c>
      <c r="G77">
        <v>0.94910000000000005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-0.40638169777242622</v>
      </c>
      <c r="Q77">
        <f t="shared" ref="Q77" si="361">F77*P77</f>
        <v>-10381476.429861529</v>
      </c>
      <c r="R77">
        <f t="shared" ref="R77" si="362">R78+Q77</f>
        <v>-614705214.31399369</v>
      </c>
      <c r="S77">
        <f t="shared" ref="S77" si="363">R77/100000</f>
        <v>-6147.0521431399366</v>
      </c>
      <c r="T77">
        <f t="shared" ref="T77" si="364">S77/1000</f>
        <v>-6.1470521431399368</v>
      </c>
    </row>
    <row r="78" spans="1:20" x14ac:dyDescent="0.25">
      <c r="A78" s="5">
        <v>44515</v>
      </c>
      <c r="B78">
        <v>1.1268</v>
      </c>
      <c r="C78">
        <v>1.1679999999999999</v>
      </c>
      <c r="D78">
        <v>1.0590999999999999</v>
      </c>
      <c r="E78">
        <v>1.0651999999999999</v>
      </c>
      <c r="F78">
        <v>13922877</v>
      </c>
      <c r="G78">
        <v>1.0651999999999999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-0.88797061524334264</v>
      </c>
      <c r="Q78">
        <f t="shared" ref="Q78" si="366">F78*P78</f>
        <v>-12363105.655647384</v>
      </c>
      <c r="R78">
        <f t="shared" ref="R78" si="367">R79+Q78</f>
        <v>-604323737.88413215</v>
      </c>
      <c r="S78">
        <f t="shared" ref="S78" si="368">R78/100000</f>
        <v>-6043.2373788413215</v>
      </c>
      <c r="T78">
        <f t="shared" ref="T78" si="369">S78/1000</f>
        <v>-6.0432373788413214</v>
      </c>
    </row>
    <row r="79" spans="1:20" x14ac:dyDescent="0.25">
      <c r="A79" s="5">
        <v>44514</v>
      </c>
      <c r="B79">
        <v>1.1476</v>
      </c>
      <c r="C79">
        <v>1.177</v>
      </c>
      <c r="D79">
        <v>1.0871</v>
      </c>
      <c r="E79">
        <v>1.1263000000000001</v>
      </c>
      <c r="F79">
        <v>13552202</v>
      </c>
      <c r="G79">
        <v>1.1263000000000001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-0.12791991101223396</v>
      </c>
      <c r="Q79">
        <f t="shared" ref="Q79" si="371">F79*P79</f>
        <v>-1733596.4738598191</v>
      </c>
      <c r="R79">
        <f t="shared" ref="R79" si="372">R80+Q79</f>
        <v>-591960632.22848475</v>
      </c>
      <c r="S79">
        <f t="shared" ref="S79" si="373">R79/100000</f>
        <v>-5919.6063222848479</v>
      </c>
      <c r="T79">
        <f t="shared" ref="T79" si="374">S79/1000</f>
        <v>-5.9196063222848476</v>
      </c>
    </row>
    <row r="80" spans="1:20" x14ac:dyDescent="0.25">
      <c r="A80" s="5">
        <v>44513</v>
      </c>
      <c r="B80">
        <v>1.1892</v>
      </c>
      <c r="C80">
        <v>1.2599</v>
      </c>
      <c r="D80">
        <v>1.1375</v>
      </c>
      <c r="E80">
        <v>1.1476</v>
      </c>
      <c r="F80">
        <v>18507050</v>
      </c>
      <c r="G80">
        <v>1.1476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-0.83496732026143805</v>
      </c>
      <c r="Q80">
        <f t="shared" ref="Q80" si="376">F80*P80</f>
        <v>-15452781.944444448</v>
      </c>
      <c r="R80">
        <f t="shared" ref="R80" si="377">R81+Q80</f>
        <v>-590227035.75462496</v>
      </c>
      <c r="S80">
        <f t="shared" ref="S80" si="378">R80/100000</f>
        <v>-5902.2703575462492</v>
      </c>
      <c r="T80">
        <f t="shared" ref="T80" si="379">S80/1000</f>
        <v>-5.9022703575462492</v>
      </c>
    </row>
    <row r="81" spans="1:20" x14ac:dyDescent="0.25">
      <c r="A81" s="5">
        <v>44512</v>
      </c>
      <c r="B81">
        <v>1.2650999999999999</v>
      </c>
      <c r="C81">
        <v>1.2697000000000001</v>
      </c>
      <c r="D81">
        <v>1.1304000000000001</v>
      </c>
      <c r="E81">
        <v>1.1891</v>
      </c>
      <c r="F81">
        <v>46771145</v>
      </c>
      <c r="G81">
        <v>1.1891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-0.15721464465183083</v>
      </c>
      <c r="Q81">
        <f t="shared" ref="Q81" si="381">F81*P81</f>
        <v>-7353108.9411342544</v>
      </c>
      <c r="R81">
        <f t="shared" ref="R81" si="382">R82+Q81</f>
        <v>-574774253.81018054</v>
      </c>
      <c r="S81">
        <f t="shared" ref="S81" si="383">R81/100000</f>
        <v>-5747.7425381018056</v>
      </c>
      <c r="T81">
        <f t="shared" ref="T81" si="384">S81/1000</f>
        <v>-5.7477425381018055</v>
      </c>
    </row>
    <row r="82" spans="1:20" x14ac:dyDescent="0.25">
      <c r="A82" s="5">
        <v>44511</v>
      </c>
      <c r="B82">
        <v>1.0876999999999999</v>
      </c>
      <c r="C82">
        <v>1.5</v>
      </c>
      <c r="D82">
        <v>1.0721000000000001</v>
      </c>
      <c r="E82">
        <v>1.2644</v>
      </c>
      <c r="F82">
        <v>170896655.96000001</v>
      </c>
      <c r="G82">
        <v>1.2644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-0.10119186725870559</v>
      </c>
      <c r="Q82">
        <f t="shared" ref="Q82" si="386">F82*P82</f>
        <v>-17293351.724861</v>
      </c>
      <c r="R82">
        <f t="shared" ref="R82" si="387">R83+Q82</f>
        <v>-567421144.86904633</v>
      </c>
      <c r="S82">
        <f t="shared" ref="S82" si="388">R82/100000</f>
        <v>-5674.2114486904629</v>
      </c>
      <c r="T82">
        <f t="shared" ref="T82" si="389">S82/1000</f>
        <v>-5.6742114486904631</v>
      </c>
    </row>
    <row r="83" spans="1:20" x14ac:dyDescent="0.25">
      <c r="A83" s="5">
        <v>44510</v>
      </c>
      <c r="B83">
        <v>1.0417000000000001</v>
      </c>
      <c r="C83">
        <v>1.2016</v>
      </c>
      <c r="D83">
        <v>1.0112000000000001</v>
      </c>
      <c r="E83">
        <v>1.0865</v>
      </c>
      <c r="F83">
        <v>41691955</v>
      </c>
      <c r="G83">
        <v>1.0865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-0.20903361344537855</v>
      </c>
      <c r="Q83">
        <f t="shared" ref="Q83" si="391">F83*P83</f>
        <v>-8715020.0052521173</v>
      </c>
      <c r="R83">
        <f t="shared" ref="R83" si="392">R84+Q83</f>
        <v>-550127793.1441853</v>
      </c>
      <c r="S83">
        <f t="shared" ref="S83" si="393">R83/100000</f>
        <v>-5501.2779314418531</v>
      </c>
      <c r="T83">
        <f t="shared" ref="T83" si="394">S83/1000</f>
        <v>-5.5012779314418534</v>
      </c>
    </row>
    <row r="84" spans="1:20" x14ac:dyDescent="0.25">
      <c r="A84" s="5">
        <v>44509</v>
      </c>
      <c r="B84">
        <v>1.0518000000000001</v>
      </c>
      <c r="C84">
        <v>1.1111</v>
      </c>
      <c r="D84">
        <v>1.0341</v>
      </c>
      <c r="E84">
        <v>1.0417000000000001</v>
      </c>
      <c r="F84">
        <v>22980539</v>
      </c>
      <c r="G84">
        <v>1.0417000000000001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-0.8025974025974012</v>
      </c>
      <c r="Q84">
        <f t="shared" ref="Q84" si="396">F84*P84</f>
        <v>-18444120.911688279</v>
      </c>
      <c r="R84">
        <f t="shared" ref="R84" si="397">R85+Q84</f>
        <v>-541412773.13893318</v>
      </c>
      <c r="S84">
        <f t="shared" ref="S84" si="398">R84/100000</f>
        <v>-5414.1277313893315</v>
      </c>
      <c r="T84">
        <f t="shared" ref="T84" si="399">S84/1000</f>
        <v>-5.4141277313893319</v>
      </c>
    </row>
    <row r="85" spans="1:20" x14ac:dyDescent="0.25">
      <c r="A85" s="5">
        <v>44508</v>
      </c>
      <c r="B85">
        <v>1.0306999999999999</v>
      </c>
      <c r="C85">
        <v>1.0541</v>
      </c>
      <c r="D85">
        <v>1</v>
      </c>
      <c r="E85">
        <v>1.0516000000000001</v>
      </c>
      <c r="F85">
        <v>13170922</v>
      </c>
      <c r="G85">
        <v>1.0516000000000001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0.90757855822551037</v>
      </c>
      <c r="Q85">
        <f t="shared" ref="Q85" si="401">F85*P85</f>
        <v>11953646.399260655</v>
      </c>
      <c r="R85">
        <f t="shared" ref="R85" si="402">R86+Q85</f>
        <v>-522968652.22724491</v>
      </c>
      <c r="S85">
        <f t="shared" ref="S85" si="403">R85/100000</f>
        <v>-5229.6865222724491</v>
      </c>
      <c r="T85">
        <f t="shared" ref="T85" si="404">S85/1000</f>
        <v>-5.2296865222724493</v>
      </c>
    </row>
    <row r="86" spans="1:20" x14ac:dyDescent="0.25">
      <c r="A86" s="5">
        <v>44507</v>
      </c>
      <c r="B86">
        <v>1.0008999999999999</v>
      </c>
      <c r="C86">
        <v>1.036</v>
      </c>
      <c r="D86">
        <v>0.98360000000000003</v>
      </c>
      <c r="E86">
        <v>1.0308999999999999</v>
      </c>
      <c r="F86">
        <v>10683224</v>
      </c>
      <c r="G86">
        <v>1.0308999999999999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0.80534351145037775</v>
      </c>
      <c r="Q86">
        <f t="shared" ref="Q86" si="406">F86*P86</f>
        <v>8603665.1297709495</v>
      </c>
      <c r="R86">
        <f t="shared" ref="R86" si="407">R87+Q86</f>
        <v>-534922298.62650555</v>
      </c>
      <c r="S86">
        <f t="shared" ref="S86" si="408">R86/100000</f>
        <v>-5349.2229862650556</v>
      </c>
      <c r="T86">
        <f t="shared" ref="T86" si="409">S86/1000</f>
        <v>-5.3492229862650555</v>
      </c>
    </row>
    <row r="87" spans="1:20" x14ac:dyDescent="0.25">
      <c r="A87" s="5">
        <v>44506</v>
      </c>
      <c r="B87">
        <v>0.99719999999999998</v>
      </c>
      <c r="C87">
        <v>1.0165999999999999</v>
      </c>
      <c r="D87">
        <v>0.94510000000000005</v>
      </c>
      <c r="E87">
        <v>1.0007999999999999</v>
      </c>
      <c r="F87">
        <v>11147198</v>
      </c>
      <c r="G87">
        <v>1.0007999999999999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0.55804195804195644</v>
      </c>
      <c r="Q87">
        <f t="shared" ref="Q87" si="411">F87*P87</f>
        <v>6220604.1986013809</v>
      </c>
      <c r="R87">
        <f t="shared" ref="R87" si="412">R88+Q87</f>
        <v>-543525963.75627649</v>
      </c>
      <c r="S87">
        <f t="shared" ref="S87" si="413">R87/100000</f>
        <v>-5435.2596375627645</v>
      </c>
      <c r="T87">
        <f t="shared" ref="T87" si="414">S87/1000</f>
        <v>-5.4352596375627646</v>
      </c>
    </row>
    <row r="88" spans="1:20" x14ac:dyDescent="0.25">
      <c r="A88" s="5">
        <v>44505</v>
      </c>
      <c r="B88">
        <v>1.0532999999999999</v>
      </c>
      <c r="C88">
        <v>1.0864</v>
      </c>
      <c r="D88">
        <v>0.98250000000000004</v>
      </c>
      <c r="E88">
        <v>0.99770000000000003</v>
      </c>
      <c r="F88">
        <v>15795539</v>
      </c>
      <c r="G88">
        <v>0.99770000000000003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-0.70741097208854686</v>
      </c>
      <c r="Q88">
        <f t="shared" ref="Q88" si="416">F88*P88</f>
        <v>-11173937.598652553</v>
      </c>
      <c r="R88">
        <f t="shared" ref="R88" si="417">R89+Q88</f>
        <v>-549746567.95487785</v>
      </c>
      <c r="S88">
        <f t="shared" ref="S88" si="418">R88/100000</f>
        <v>-5497.4656795487781</v>
      </c>
      <c r="T88">
        <f t="shared" ref="T88" si="419">S88/1000</f>
        <v>-5.4974656795487782</v>
      </c>
    </row>
    <row r="89" spans="1:20" x14ac:dyDescent="0.25">
      <c r="A89" s="5">
        <v>44504</v>
      </c>
      <c r="B89">
        <v>1.0553999999999999</v>
      </c>
      <c r="C89">
        <v>1.1466000000000001</v>
      </c>
      <c r="D89">
        <v>1.0228999999999999</v>
      </c>
      <c r="E89">
        <v>1.0535000000000001</v>
      </c>
      <c r="F89">
        <v>17813799</v>
      </c>
      <c r="G89">
        <v>1.0535000000000001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-0.50525464834276235</v>
      </c>
      <c r="Q89">
        <f t="shared" ref="Q89" si="421">F89*P89</f>
        <v>-9000504.7493936513</v>
      </c>
      <c r="R89">
        <f t="shared" ref="R89" si="422">R90+Q89</f>
        <v>-538572630.35622525</v>
      </c>
      <c r="S89">
        <f t="shared" ref="S89" si="423">R89/100000</f>
        <v>-5385.7263035622527</v>
      </c>
      <c r="T89">
        <f t="shared" ref="T89" si="424">S89/1000</f>
        <v>-5.3857263035622527</v>
      </c>
    </row>
    <row r="90" spans="1:20" x14ac:dyDescent="0.25">
      <c r="A90" s="5">
        <v>44503</v>
      </c>
      <c r="B90">
        <v>1.1322000000000001</v>
      </c>
      <c r="C90">
        <v>1.1371</v>
      </c>
      <c r="D90">
        <v>1.0125</v>
      </c>
      <c r="E90">
        <v>1.0549999999999999</v>
      </c>
      <c r="F90">
        <v>22180585</v>
      </c>
      <c r="G90">
        <v>1.0549999999999999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-0.31781701444622845</v>
      </c>
      <c r="Q90">
        <f t="shared" ref="Q90" si="426">F90*P90</f>
        <v>-7049367.303370798</v>
      </c>
      <c r="R90">
        <f t="shared" ref="R90" si="427">R91+Q90</f>
        <v>-529572125.60683161</v>
      </c>
      <c r="S90">
        <f t="shared" ref="S90" si="428">R90/100000</f>
        <v>-5295.7212560683165</v>
      </c>
      <c r="T90">
        <f t="shared" ref="T90" si="429">S90/1000</f>
        <v>-5.2957212560683162</v>
      </c>
    </row>
    <row r="91" spans="1:20" x14ac:dyDescent="0.25">
      <c r="A91" s="5">
        <v>44502</v>
      </c>
      <c r="B91">
        <v>1.0277000000000001</v>
      </c>
      <c r="C91">
        <v>1.2254</v>
      </c>
      <c r="D91">
        <v>1.016</v>
      </c>
      <c r="E91">
        <v>1.1315</v>
      </c>
      <c r="F91">
        <v>35370021</v>
      </c>
      <c r="G91">
        <v>1.1315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0.10315186246418261</v>
      </c>
      <c r="Q91">
        <f t="shared" ref="Q91" si="431">F91*P91</f>
        <v>3648483.5415472505</v>
      </c>
      <c r="R91">
        <f t="shared" ref="R91" si="432">R92+Q91</f>
        <v>-522522758.30346084</v>
      </c>
      <c r="S91">
        <f t="shared" ref="S91" si="433">R91/100000</f>
        <v>-5225.227583034608</v>
      </c>
      <c r="T91">
        <f t="shared" ref="T91" si="434">S91/1000</f>
        <v>-5.2252275830346075</v>
      </c>
    </row>
    <row r="92" spans="1:20" x14ac:dyDescent="0.25">
      <c r="A92" s="5">
        <v>44501</v>
      </c>
      <c r="B92">
        <v>1.0094000000000001</v>
      </c>
      <c r="C92">
        <v>1.0840000000000001</v>
      </c>
      <c r="D92">
        <v>0.95199999999999996</v>
      </c>
      <c r="E92">
        <v>1.0263</v>
      </c>
      <c r="F92">
        <v>23300658</v>
      </c>
      <c r="G92">
        <v>1.0263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0.12575757575757526</v>
      </c>
      <c r="Q92">
        <f t="shared" ref="Q92" si="436">F92*P92</f>
        <v>2930234.263636352</v>
      </c>
      <c r="R92">
        <f t="shared" ref="R92" si="437">R93+Q92</f>
        <v>-526171241.84500808</v>
      </c>
      <c r="S92">
        <f t="shared" ref="S92" si="438">R92/100000</f>
        <v>-5261.7124184500808</v>
      </c>
      <c r="T92">
        <f t="shared" ref="T92" si="439">S92/1000</f>
        <v>-5.261712418450081</v>
      </c>
    </row>
    <row r="93" spans="1:20" x14ac:dyDescent="0.25">
      <c r="A93" s="5">
        <v>44500</v>
      </c>
      <c r="B93">
        <v>1.1198999999999999</v>
      </c>
      <c r="C93">
        <v>1.2689999999999999</v>
      </c>
      <c r="D93">
        <v>0.94</v>
      </c>
      <c r="E93">
        <v>1.0098</v>
      </c>
      <c r="F93">
        <v>61437888</v>
      </c>
      <c r="G93">
        <v>1.0098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-0.57568389057750702</v>
      </c>
      <c r="Q93">
        <f t="shared" ref="Q93" si="441">F93*P93</f>
        <v>-35368802.392705135</v>
      </c>
      <c r="R93">
        <f t="shared" ref="R93" si="442">R94+Q93</f>
        <v>-529101476.10864443</v>
      </c>
      <c r="S93">
        <f t="shared" ref="S93" si="443">R93/100000</f>
        <v>-5291.0147610864442</v>
      </c>
      <c r="T93">
        <f t="shared" ref="T93" si="444">S93/1000</f>
        <v>-5.2910147610864442</v>
      </c>
    </row>
    <row r="94" spans="1:20" x14ac:dyDescent="0.25">
      <c r="A94" s="5">
        <v>44499</v>
      </c>
      <c r="B94">
        <v>0.89429999999999998</v>
      </c>
      <c r="C94">
        <v>1.1865000000000001</v>
      </c>
      <c r="D94">
        <v>0.86050000000000004</v>
      </c>
      <c r="E94">
        <v>1.1194</v>
      </c>
      <c r="F94">
        <v>80467355</v>
      </c>
      <c r="G94">
        <v>1.1194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0.58834355828220775</v>
      </c>
      <c r="Q94">
        <f t="shared" ref="Q94" si="446">F94*P94</f>
        <v>47342449.966257602</v>
      </c>
      <c r="R94">
        <f t="shared" ref="R94" si="447">R95+Q94</f>
        <v>-493732673.71593928</v>
      </c>
      <c r="S94">
        <f t="shared" ref="S94" si="448">R94/100000</f>
        <v>-4937.3267371593929</v>
      </c>
      <c r="T94">
        <f t="shared" ref="T94" si="449">S94/1000</f>
        <v>-4.9373267371593927</v>
      </c>
    </row>
    <row r="95" spans="1:20" x14ac:dyDescent="0.25">
      <c r="A95" s="5">
        <v>44498</v>
      </c>
      <c r="B95">
        <v>0.79910000000000003</v>
      </c>
      <c r="C95">
        <v>0.90769999999999995</v>
      </c>
      <c r="D95">
        <v>0.7923</v>
      </c>
      <c r="E95">
        <v>0.89549999999999996</v>
      </c>
      <c r="F95">
        <v>26459702</v>
      </c>
      <c r="G95">
        <v>0.89549999999999996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0.78856152512998279</v>
      </c>
      <c r="Q95">
        <f t="shared" ref="Q95" si="451">F95*P95</f>
        <v>20865102.963604856</v>
      </c>
      <c r="R95">
        <f t="shared" ref="R95" si="452">R96+Q95</f>
        <v>-541075123.68219686</v>
      </c>
      <c r="S95">
        <f t="shared" ref="S95" si="453">R95/100000</f>
        <v>-5410.7512368219686</v>
      </c>
      <c r="T95">
        <f t="shared" ref="T95" si="454">S95/1000</f>
        <v>-5.4107512368219686</v>
      </c>
    </row>
    <row r="96" spans="1:20" x14ac:dyDescent="0.25">
      <c r="A96" s="5">
        <v>44497</v>
      </c>
      <c r="B96">
        <v>0.75039999999999996</v>
      </c>
      <c r="C96">
        <v>0.80810000000000004</v>
      </c>
      <c r="D96">
        <v>0.74409999999999998</v>
      </c>
      <c r="E96">
        <v>0.79959999999999998</v>
      </c>
      <c r="F96">
        <v>17657808</v>
      </c>
      <c r="G96">
        <v>0.79959999999999998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0.73437499999999822</v>
      </c>
      <c r="Q96">
        <f t="shared" ref="Q96" si="456">F96*P96</f>
        <v>12967452.749999968</v>
      </c>
      <c r="R96">
        <f t="shared" ref="R96" si="457">R97+Q96</f>
        <v>-561940226.64580166</v>
      </c>
      <c r="S96">
        <f t="shared" ref="S96" si="458">R96/100000</f>
        <v>-5619.402266458017</v>
      </c>
      <c r="T96">
        <f t="shared" ref="T96" si="459">S96/1000</f>
        <v>-5.6194022664580174</v>
      </c>
    </row>
    <row r="97" spans="1:20" x14ac:dyDescent="0.25">
      <c r="A97" s="5">
        <v>44496</v>
      </c>
      <c r="B97">
        <v>0.88119999999999998</v>
      </c>
      <c r="C97">
        <v>0.89419999999999999</v>
      </c>
      <c r="D97">
        <v>0.72499999999999998</v>
      </c>
      <c r="E97">
        <v>0.75029999999999997</v>
      </c>
      <c r="F97">
        <v>34138493</v>
      </c>
      <c r="G97">
        <v>0.75029999999999997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-0.70094562647754155</v>
      </c>
      <c r="Q97">
        <f t="shared" ref="Q97" si="461">F97*P97</f>
        <v>-23929227.362884168</v>
      </c>
      <c r="R97">
        <f t="shared" ref="R97" si="462">R98+Q97</f>
        <v>-574907679.39580166</v>
      </c>
      <c r="S97">
        <f t="shared" ref="S97" si="463">R97/100000</f>
        <v>-5749.0767939580164</v>
      </c>
      <c r="T97">
        <f t="shared" ref="T97" si="464">S97/1000</f>
        <v>-5.7490767939580163</v>
      </c>
    </row>
    <row r="98" spans="1:20" x14ac:dyDescent="0.25">
      <c r="A98" s="5">
        <v>44495</v>
      </c>
      <c r="B98">
        <v>0.83720000000000006</v>
      </c>
      <c r="C98">
        <v>0.88549999999999995</v>
      </c>
      <c r="D98">
        <v>0.82099999999999995</v>
      </c>
      <c r="E98">
        <v>0.88119999999999998</v>
      </c>
      <c r="F98">
        <v>20411890</v>
      </c>
      <c r="G98">
        <v>0.88119999999999998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0.86666666666666758</v>
      </c>
      <c r="Q98">
        <f t="shared" ref="Q98" si="466">F98*P98</f>
        <v>17690304.666666687</v>
      </c>
      <c r="R98">
        <f t="shared" ref="R98" si="467">R99+Q98</f>
        <v>-550978452.0329175</v>
      </c>
      <c r="S98">
        <f t="shared" ref="S98" si="468">R98/100000</f>
        <v>-5509.7845203291754</v>
      </c>
      <c r="T98">
        <f t="shared" ref="T98" si="469">S98/1000</f>
        <v>-5.5097845203291751</v>
      </c>
    </row>
    <row r="99" spans="1:20" x14ac:dyDescent="0.25">
      <c r="A99" s="5">
        <v>44494</v>
      </c>
      <c r="B99">
        <v>0.81079999999999997</v>
      </c>
      <c r="C99">
        <v>0.83830000000000005</v>
      </c>
      <c r="D99">
        <v>0.80269999999999997</v>
      </c>
      <c r="E99">
        <v>0.8367</v>
      </c>
      <c r="F99">
        <v>7808747</v>
      </c>
      <c r="G99">
        <v>0.8367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0.91011235955055947</v>
      </c>
      <c r="Q99">
        <f t="shared" ref="Q99" si="471">F99*P99</f>
        <v>7106837.1573033528</v>
      </c>
      <c r="R99">
        <f t="shared" ref="R99" si="472">R100+Q99</f>
        <v>-568668756.69958413</v>
      </c>
      <c r="S99">
        <f t="shared" ref="S99" si="473">R99/100000</f>
        <v>-5686.6875669958408</v>
      </c>
      <c r="T99">
        <f t="shared" ref="T99" si="474">S99/1000</f>
        <v>-5.6866875669958405</v>
      </c>
    </row>
    <row r="100" spans="1:20" x14ac:dyDescent="0.25">
      <c r="A100" s="5">
        <v>44493</v>
      </c>
      <c r="B100">
        <v>0.82950000000000002</v>
      </c>
      <c r="C100">
        <v>0.83579999999999999</v>
      </c>
      <c r="D100">
        <v>0.78769999999999996</v>
      </c>
      <c r="E100">
        <v>0.81079999999999997</v>
      </c>
      <c r="F100">
        <v>9650313</v>
      </c>
      <c r="G100">
        <v>0.81079999999999997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-3.9501039501039739E-2</v>
      </c>
      <c r="Q100">
        <f t="shared" ref="Q100" si="476">F100*P100</f>
        <v>-381197.3950103973</v>
      </c>
      <c r="R100">
        <f t="shared" ref="R100" si="477">R101+Q100</f>
        <v>-575775593.85688746</v>
      </c>
      <c r="S100">
        <f t="shared" ref="S100" si="478">R100/100000</f>
        <v>-5757.7559385688746</v>
      </c>
      <c r="T100">
        <f t="shared" ref="T100" si="479">S100/1000</f>
        <v>-5.7577559385688746</v>
      </c>
    </row>
    <row r="101" spans="1:20" x14ac:dyDescent="0.25">
      <c r="A101" s="5">
        <v>44492</v>
      </c>
      <c r="B101">
        <v>0.8367</v>
      </c>
      <c r="C101">
        <v>0.84230000000000005</v>
      </c>
      <c r="D101">
        <v>0.81430000000000002</v>
      </c>
      <c r="E101">
        <v>0.82940000000000003</v>
      </c>
      <c r="F101">
        <v>6362260</v>
      </c>
      <c r="G101">
        <v>0.82940000000000003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7.8571428571427779E-2</v>
      </c>
      <c r="Q101">
        <f t="shared" ref="Q101" si="481">F101*P101</f>
        <v>499891.8571428521</v>
      </c>
      <c r="R101">
        <f t="shared" ref="R101" si="482">R102+Q101</f>
        <v>-575394396.46187711</v>
      </c>
      <c r="S101">
        <f t="shared" ref="S101" si="483">R101/100000</f>
        <v>-5753.9439646187711</v>
      </c>
      <c r="T101">
        <f t="shared" ref="T101" si="484">S101/1000</f>
        <v>-5.7539439646187711</v>
      </c>
    </row>
    <row r="102" spans="1:20" x14ac:dyDescent="0.25">
      <c r="A102" s="5">
        <v>44491</v>
      </c>
      <c r="B102">
        <v>0.83189999999999997</v>
      </c>
      <c r="C102">
        <v>0.86760000000000004</v>
      </c>
      <c r="D102">
        <v>0.82</v>
      </c>
      <c r="E102">
        <v>0.83699999999999997</v>
      </c>
      <c r="F102">
        <v>14697899</v>
      </c>
      <c r="G102">
        <v>0.83699999999999997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-0.28571428571428636</v>
      </c>
      <c r="Q102">
        <f t="shared" ref="Q102" si="486">F102*P102</f>
        <v>-4199399.7142857239</v>
      </c>
      <c r="R102">
        <f t="shared" ref="R102" si="487">R103+Q102</f>
        <v>-575894288.31901991</v>
      </c>
      <c r="S102">
        <f t="shared" ref="S102" si="488">R102/100000</f>
        <v>-5758.9428831901987</v>
      </c>
      <c r="T102">
        <f t="shared" ref="T102" si="489">S102/1000</f>
        <v>-5.7589428831901985</v>
      </c>
    </row>
    <row r="103" spans="1:20" x14ac:dyDescent="0.25">
      <c r="A103" s="5">
        <v>44490</v>
      </c>
      <c r="B103">
        <v>0.86839999999999995</v>
      </c>
      <c r="C103">
        <v>0.89480000000000004</v>
      </c>
      <c r="D103">
        <v>0.82110000000000005</v>
      </c>
      <c r="E103">
        <v>0.83230000000000004</v>
      </c>
      <c r="F103">
        <v>23242216</v>
      </c>
      <c r="G103">
        <v>0.83230000000000004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-0.69606512890095007</v>
      </c>
      <c r="Q103">
        <f t="shared" ref="Q103" si="491">F103*P103</f>
        <v>-16178096.075983724</v>
      </c>
      <c r="R103">
        <f t="shared" ref="R103" si="492">R104+Q103</f>
        <v>-571694888.60473418</v>
      </c>
      <c r="S103">
        <f t="shared" ref="S103" si="493">R103/100000</f>
        <v>-5716.9488860473421</v>
      </c>
      <c r="T103">
        <f t="shared" ref="T103" si="494">S103/1000</f>
        <v>-5.7169488860473416</v>
      </c>
    </row>
    <row r="104" spans="1:20" x14ac:dyDescent="0.25">
      <c r="A104" s="5">
        <v>44489</v>
      </c>
      <c r="B104">
        <v>0.83189999999999997</v>
      </c>
      <c r="C104">
        <v>0.878</v>
      </c>
      <c r="D104">
        <v>0.82050000000000001</v>
      </c>
      <c r="E104">
        <v>0.86829999999999996</v>
      </c>
      <c r="F104">
        <v>20567758</v>
      </c>
      <c r="G104">
        <v>0.86829999999999996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0.6626086956521724</v>
      </c>
      <c r="Q104">
        <f t="shared" ref="Q104" si="496">F104*P104</f>
        <v>13628375.300869534</v>
      </c>
      <c r="R104">
        <f t="shared" ref="R104" si="497">R105+Q104</f>
        <v>-555516792.52875042</v>
      </c>
      <c r="S104">
        <f t="shared" ref="S104" si="498">R104/100000</f>
        <v>-5555.1679252875037</v>
      </c>
      <c r="T104">
        <f t="shared" ref="T104" si="499">S104/1000</f>
        <v>-5.5551679252875035</v>
      </c>
    </row>
    <row r="105" spans="1:20" x14ac:dyDescent="0.25">
      <c r="A105" s="5">
        <v>44488</v>
      </c>
      <c r="B105">
        <v>0.82110000000000005</v>
      </c>
      <c r="C105">
        <v>0.84289999999999998</v>
      </c>
      <c r="D105">
        <v>0.8054</v>
      </c>
      <c r="E105">
        <v>0.83179999999999998</v>
      </c>
      <c r="F105">
        <v>8898679</v>
      </c>
      <c r="G105">
        <v>0.83179999999999998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0.4079999999999997</v>
      </c>
      <c r="Q105">
        <f t="shared" ref="Q105" si="501">F105*P105</f>
        <v>3630661.0319999973</v>
      </c>
      <c r="R105">
        <f t="shared" ref="R105" si="502">R106+Q105</f>
        <v>-569145167.82962</v>
      </c>
      <c r="S105">
        <f t="shared" ref="S105" si="503">R105/100000</f>
        <v>-5691.4516782962</v>
      </c>
      <c r="T105">
        <f t="shared" ref="T105" si="504">S105/1000</f>
        <v>-5.6914516782962004</v>
      </c>
    </row>
    <row r="106" spans="1:20" x14ac:dyDescent="0.25">
      <c r="A106" s="5">
        <v>44487</v>
      </c>
      <c r="B106">
        <v>0.83499999999999996</v>
      </c>
      <c r="C106">
        <v>0.84509999999999996</v>
      </c>
      <c r="D106">
        <v>0.7923</v>
      </c>
      <c r="E106">
        <v>0.82189999999999996</v>
      </c>
      <c r="F106">
        <v>9946661</v>
      </c>
      <c r="G106">
        <v>0.82189999999999996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0.12121212121212058</v>
      </c>
      <c r="Q106">
        <f t="shared" ref="Q106" si="506">F106*P106</f>
        <v>1205655.8787878724</v>
      </c>
      <c r="R106">
        <f t="shared" ref="R106" si="507">R107+Q106</f>
        <v>-572775828.86161995</v>
      </c>
      <c r="S106">
        <f t="shared" ref="S106" si="508">R106/100000</f>
        <v>-5727.7582886161999</v>
      </c>
      <c r="T106">
        <f t="shared" ref="T106" si="509">S106/1000</f>
        <v>-5.7277582886162</v>
      </c>
    </row>
    <row r="107" spans="1:20" x14ac:dyDescent="0.25">
      <c r="A107" s="5">
        <v>44486</v>
      </c>
      <c r="B107">
        <v>0.86040000000000005</v>
      </c>
      <c r="C107">
        <v>0.89290000000000003</v>
      </c>
      <c r="D107">
        <v>0.80110000000000003</v>
      </c>
      <c r="E107">
        <v>0.83509999999999995</v>
      </c>
      <c r="F107">
        <v>14979200</v>
      </c>
      <c r="G107">
        <v>0.83509999999999995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-0.25925925925926097</v>
      </c>
      <c r="Q107">
        <f t="shared" ref="Q107" si="511">F107*P107</f>
        <v>-3883496.2962963218</v>
      </c>
      <c r="R107">
        <f t="shared" ref="R107" si="512">R108+Q107</f>
        <v>-573981484.74040782</v>
      </c>
      <c r="S107">
        <f t="shared" ref="S107" si="513">R107/100000</f>
        <v>-5739.8148474040781</v>
      </c>
      <c r="T107">
        <f t="shared" ref="T107" si="514">S107/1000</f>
        <v>-5.7398148474040784</v>
      </c>
    </row>
    <row r="108" spans="1:20" x14ac:dyDescent="0.25">
      <c r="A108" s="5">
        <v>44485</v>
      </c>
      <c r="B108">
        <v>0.83299999999999996</v>
      </c>
      <c r="C108">
        <v>0.91890000000000005</v>
      </c>
      <c r="D108">
        <v>0.82750000000000001</v>
      </c>
      <c r="E108">
        <v>0.8609</v>
      </c>
      <c r="F108">
        <v>28378782</v>
      </c>
      <c r="G108">
        <v>0.8609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-0.26914660831509907</v>
      </c>
      <c r="Q108">
        <f t="shared" ref="Q108" si="516">F108*P108</f>
        <v>-7638052.923413584</v>
      </c>
      <c r="R108">
        <f t="shared" ref="R108" si="517">R109+Q108</f>
        <v>-570097988.44411147</v>
      </c>
      <c r="S108">
        <f t="shared" ref="S108" si="518">R108/100000</f>
        <v>-5700.9798844411143</v>
      </c>
      <c r="T108">
        <f t="shared" ref="T108" si="519">S108/1000</f>
        <v>-5.7009798844411144</v>
      </c>
    </row>
    <row r="109" spans="1:20" x14ac:dyDescent="0.25">
      <c r="A109" s="5">
        <v>44484</v>
      </c>
      <c r="B109">
        <v>0.81940000000000002</v>
      </c>
      <c r="C109">
        <v>0.84360000000000002</v>
      </c>
      <c r="D109">
        <v>0.78120000000000001</v>
      </c>
      <c r="E109">
        <v>0.83340000000000003</v>
      </c>
      <c r="F109">
        <v>16079428</v>
      </c>
      <c r="G109">
        <v>0.83340000000000003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0.67307692307692357</v>
      </c>
      <c r="Q109">
        <f t="shared" ref="Q109" si="521">F109*P109</f>
        <v>10822691.923076931</v>
      </c>
      <c r="R109">
        <f t="shared" ref="R109" si="522">R110+Q109</f>
        <v>-562459935.52069783</v>
      </c>
      <c r="S109">
        <f t="shared" ref="S109" si="523">R109/100000</f>
        <v>-5624.5993552069785</v>
      </c>
      <c r="T109">
        <f t="shared" ref="T109" si="524">S109/1000</f>
        <v>-5.6245993552069784</v>
      </c>
    </row>
    <row r="110" spans="1:20" x14ac:dyDescent="0.25">
      <c r="A110" s="5">
        <v>44483</v>
      </c>
      <c r="B110">
        <v>0.81989999999999996</v>
      </c>
      <c r="C110">
        <v>0.85</v>
      </c>
      <c r="D110">
        <v>0.80149999999999999</v>
      </c>
      <c r="E110">
        <v>0.81950000000000001</v>
      </c>
      <c r="F110">
        <v>13213468</v>
      </c>
      <c r="G110">
        <v>0.81950000000000001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-0.25773195876288574</v>
      </c>
      <c r="Q110">
        <f t="shared" ref="Q110" si="526">F110*P110</f>
        <v>-3405532.9896907103</v>
      </c>
      <c r="R110">
        <f t="shared" ref="R110" si="527">R111+Q110</f>
        <v>-573282627.44377482</v>
      </c>
      <c r="S110">
        <f t="shared" ref="S110" si="528">R110/100000</f>
        <v>-5732.826274437748</v>
      </c>
      <c r="T110">
        <f t="shared" ref="T110" si="529">S110/1000</f>
        <v>-5.7328262744377483</v>
      </c>
    </row>
    <row r="111" spans="1:20" x14ac:dyDescent="0.25">
      <c r="A111" s="5">
        <v>44482</v>
      </c>
      <c r="B111">
        <v>0.79659999999999997</v>
      </c>
      <c r="C111">
        <v>0.82050000000000001</v>
      </c>
      <c r="D111">
        <v>0.76680000000000004</v>
      </c>
      <c r="E111">
        <v>0.81969999999999998</v>
      </c>
      <c r="F111">
        <v>10592650</v>
      </c>
      <c r="G111">
        <v>0.81969999999999998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0.97020484171322074</v>
      </c>
      <c r="Q111">
        <f t="shared" ref="Q111" si="531">F111*P111</f>
        <v>10277040.316573547</v>
      </c>
      <c r="R111">
        <f t="shared" ref="R111" si="532">R112+Q111</f>
        <v>-569877094.45408416</v>
      </c>
      <c r="S111">
        <f t="shared" ref="S111" si="533">R111/100000</f>
        <v>-5698.7709445408418</v>
      </c>
      <c r="T111">
        <f t="shared" ref="T111" si="534">S111/1000</f>
        <v>-5.6987709445408417</v>
      </c>
    </row>
    <row r="112" spans="1:20" x14ac:dyDescent="0.25">
      <c r="A112" s="5">
        <v>44481</v>
      </c>
      <c r="B112">
        <v>0.80500000000000005</v>
      </c>
      <c r="C112">
        <v>0.80530000000000002</v>
      </c>
      <c r="D112">
        <v>0.74239999999999995</v>
      </c>
      <c r="E112">
        <v>0.79720000000000002</v>
      </c>
      <c r="F112">
        <v>9408674</v>
      </c>
      <c r="G112">
        <v>0.79720000000000002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0.74244833068362515</v>
      </c>
      <c r="Q112">
        <f t="shared" ref="Q112" si="536">F112*P112</f>
        <v>6985454.3052464258</v>
      </c>
      <c r="R112">
        <f t="shared" ref="R112" si="537">R113+Q112</f>
        <v>-580154134.77065766</v>
      </c>
      <c r="S112">
        <f t="shared" ref="S112" si="538">R112/100000</f>
        <v>-5801.5413477065767</v>
      </c>
      <c r="T112">
        <f t="shared" ref="T112" si="539">S112/1000</f>
        <v>-5.8015413477065767</v>
      </c>
    </row>
    <row r="113" spans="1:20" x14ac:dyDescent="0.25">
      <c r="A113" s="5">
        <v>44480</v>
      </c>
      <c r="B113">
        <v>0.82489999999999997</v>
      </c>
      <c r="C113">
        <v>0.86670000000000003</v>
      </c>
      <c r="D113">
        <v>0.77759999999999996</v>
      </c>
      <c r="E113">
        <v>0.80549999999999999</v>
      </c>
      <c r="F113">
        <v>10337174</v>
      </c>
      <c r="G113">
        <v>0.80549999999999999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-0.37373737373737342</v>
      </c>
      <c r="Q113">
        <f t="shared" ref="Q113" si="541">F113*P113</f>
        <v>-3863388.2626262596</v>
      </c>
      <c r="R113">
        <f t="shared" ref="R113" si="542">R114+Q113</f>
        <v>-587139589.07590413</v>
      </c>
      <c r="S113">
        <f t="shared" ref="S113" si="543">R113/100000</f>
        <v>-5871.3958907590413</v>
      </c>
      <c r="T113">
        <f t="shared" ref="T113" si="544">S113/1000</f>
        <v>-5.8713958907590413</v>
      </c>
    </row>
    <row r="114" spans="1:20" x14ac:dyDescent="0.25">
      <c r="A114" s="5">
        <v>44479</v>
      </c>
      <c r="B114">
        <v>0.89490000000000003</v>
      </c>
      <c r="C114">
        <v>0.89649999999999996</v>
      </c>
      <c r="D114">
        <v>0.81869999999999998</v>
      </c>
      <c r="E114">
        <v>0.82450000000000001</v>
      </c>
      <c r="F114">
        <v>12046338</v>
      </c>
      <c r="G114">
        <v>0.82450000000000001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-0.85089974293059056</v>
      </c>
      <c r="Q114">
        <f t="shared" ref="Q114" si="546">F114*P114</f>
        <v>-10250225.907455005</v>
      </c>
      <c r="R114">
        <f t="shared" ref="R114" si="547">R115+Q114</f>
        <v>-583276200.81327784</v>
      </c>
      <c r="S114">
        <f t="shared" ref="S114" si="548">R114/100000</f>
        <v>-5832.7620081327786</v>
      </c>
      <c r="T114">
        <f t="shared" ref="T114" si="549">S114/1000</f>
        <v>-5.8327620081327787</v>
      </c>
    </row>
    <row r="115" spans="1:20" x14ac:dyDescent="0.25">
      <c r="A115" s="5">
        <v>44478</v>
      </c>
      <c r="B115">
        <v>0.89280000000000004</v>
      </c>
      <c r="C115">
        <v>0.93</v>
      </c>
      <c r="D115">
        <v>0.88129999999999997</v>
      </c>
      <c r="E115">
        <v>0.89459999999999995</v>
      </c>
      <c r="F115">
        <v>11297363</v>
      </c>
      <c r="G115">
        <v>0.89459999999999995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-0.45379876796714752</v>
      </c>
      <c r="Q115">
        <f t="shared" ref="Q115" si="551">F115*P115</f>
        <v>-5126729.4106776379</v>
      </c>
      <c r="R115">
        <f t="shared" ref="R115" si="552">R116+Q115</f>
        <v>-573025974.90582287</v>
      </c>
      <c r="S115">
        <f t="shared" ref="S115" si="553">R115/100000</f>
        <v>-5730.2597490582284</v>
      </c>
      <c r="T115">
        <f t="shared" ref="T115" si="554">S115/1000</f>
        <v>-5.7302597490582281</v>
      </c>
    </row>
    <row r="116" spans="1:20" x14ac:dyDescent="0.25">
      <c r="A116" s="5">
        <v>44477</v>
      </c>
      <c r="B116">
        <v>0.90159999999999996</v>
      </c>
      <c r="C116">
        <v>0.94499999999999995</v>
      </c>
      <c r="D116">
        <v>0.88400000000000001</v>
      </c>
      <c r="E116">
        <v>0.89280000000000004</v>
      </c>
      <c r="F116">
        <v>13053241</v>
      </c>
      <c r="G116">
        <v>0.89280000000000004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-0.71147540983606428</v>
      </c>
      <c r="Q116">
        <f t="shared" ref="Q116" si="556">F116*P116</f>
        <v>-9287059.9901639167</v>
      </c>
      <c r="R116">
        <f t="shared" ref="R116" si="557">R117+Q116</f>
        <v>-567899245.4951452</v>
      </c>
      <c r="S116">
        <f t="shared" ref="S116" si="558">R116/100000</f>
        <v>-5678.9924549514517</v>
      </c>
      <c r="T116">
        <f t="shared" ref="T116" si="559">S116/1000</f>
        <v>-5.6789924549514517</v>
      </c>
    </row>
    <row r="117" spans="1:20" x14ac:dyDescent="0.25">
      <c r="A117" s="5">
        <v>44476</v>
      </c>
      <c r="B117">
        <v>0.90080000000000005</v>
      </c>
      <c r="C117">
        <v>0.93220000000000003</v>
      </c>
      <c r="D117">
        <v>0.87050000000000005</v>
      </c>
      <c r="E117">
        <v>0.90269999999999995</v>
      </c>
      <c r="F117">
        <v>18388928</v>
      </c>
      <c r="G117">
        <v>0.90269999999999995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4.3760129659640434E-2</v>
      </c>
      <c r="Q117">
        <f t="shared" ref="Q117" si="561">F117*P117</f>
        <v>804701.87358179246</v>
      </c>
      <c r="R117">
        <f t="shared" ref="R117" si="562">R118+Q117</f>
        <v>-558612185.50498128</v>
      </c>
      <c r="S117">
        <f t="shared" ref="S117" si="563">R117/100000</f>
        <v>-5586.1218550498124</v>
      </c>
      <c r="T117">
        <f t="shared" ref="T117" si="564">S117/1000</f>
        <v>-5.5861218550498126</v>
      </c>
    </row>
    <row r="118" spans="1:20" x14ac:dyDescent="0.25">
      <c r="A118" s="5">
        <v>44475</v>
      </c>
      <c r="B118">
        <v>0.92920000000000003</v>
      </c>
      <c r="C118">
        <v>0.93530000000000002</v>
      </c>
      <c r="D118">
        <v>0.85</v>
      </c>
      <c r="E118">
        <v>0.90059999999999996</v>
      </c>
      <c r="F118">
        <v>16813944</v>
      </c>
      <c r="G118">
        <v>0.90059999999999996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0.18640093786635295</v>
      </c>
      <c r="Q118">
        <f t="shared" ref="Q118" si="566">F118*P118</f>
        <v>3134134.9308323381</v>
      </c>
      <c r="R118">
        <f t="shared" ref="R118" si="567">R119+Q118</f>
        <v>-559416887.37856305</v>
      </c>
      <c r="S118">
        <f t="shared" ref="S118" si="568">R118/100000</f>
        <v>-5594.1688737856302</v>
      </c>
      <c r="T118">
        <f t="shared" ref="T118" si="569">S118/1000</f>
        <v>-5.5941688737856303</v>
      </c>
    </row>
    <row r="119" spans="1:20" x14ac:dyDescent="0.25">
      <c r="A119" s="5">
        <v>44474</v>
      </c>
      <c r="B119">
        <v>0.94340000000000002</v>
      </c>
      <c r="C119">
        <v>0.96460000000000001</v>
      </c>
      <c r="D119">
        <v>0.88890000000000002</v>
      </c>
      <c r="E119">
        <v>0.9294</v>
      </c>
      <c r="F119">
        <v>24625079</v>
      </c>
      <c r="G119">
        <v>0.9294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7.001321003962975E-2</v>
      </c>
      <c r="Q119">
        <f t="shared" ref="Q119" si="571">F119*P119</f>
        <v>1724080.8282694758</v>
      </c>
      <c r="R119">
        <f t="shared" ref="R119" si="572">R120+Q119</f>
        <v>-562551022.30939543</v>
      </c>
      <c r="S119">
        <f t="shared" ref="S119" si="573">R119/100000</f>
        <v>-5625.5102230939547</v>
      </c>
      <c r="T119">
        <f t="shared" ref="T119" si="574">S119/1000</f>
        <v>-5.6255102230939551</v>
      </c>
    </row>
    <row r="120" spans="1:20" x14ac:dyDescent="0.25">
      <c r="A120" s="5">
        <v>44473</v>
      </c>
      <c r="B120">
        <v>0.85340000000000005</v>
      </c>
      <c r="C120">
        <v>0.95640000000000003</v>
      </c>
      <c r="D120">
        <v>0.81</v>
      </c>
      <c r="E120">
        <v>0.93889999999999996</v>
      </c>
      <c r="F120">
        <v>37173161</v>
      </c>
      <c r="G120">
        <v>0.93889999999999996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0.76092896174863289</v>
      </c>
      <c r="Q120">
        <f t="shared" ref="Q120" si="576">F120*P120</f>
        <v>28286134.804644771</v>
      </c>
      <c r="R120">
        <f t="shared" ref="R120" si="577">R121+Q120</f>
        <v>-564275103.13766491</v>
      </c>
      <c r="S120">
        <f t="shared" ref="S120" si="578">R120/100000</f>
        <v>-5642.7510313766488</v>
      </c>
      <c r="T120">
        <f t="shared" ref="T120" si="579">S120/1000</f>
        <v>-5.6427510313766485</v>
      </c>
    </row>
    <row r="121" spans="1:20" x14ac:dyDescent="0.25">
      <c r="A121" s="5">
        <v>44472</v>
      </c>
      <c r="B121">
        <v>0.84789999999999999</v>
      </c>
      <c r="C121">
        <v>0.88239999999999996</v>
      </c>
      <c r="D121">
        <v>0.82520000000000004</v>
      </c>
      <c r="E121">
        <v>0.8518</v>
      </c>
      <c r="F121">
        <v>14268168</v>
      </c>
      <c r="G121">
        <v>0.8518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-6.9930069930070088E-2</v>
      </c>
      <c r="Q121">
        <f t="shared" ref="Q121" si="581">F121*P121</f>
        <v>-997773.98601398827</v>
      </c>
      <c r="R121">
        <f t="shared" ref="R121" si="582">R122+Q121</f>
        <v>-592561237.94230974</v>
      </c>
      <c r="S121">
        <f t="shared" ref="S121" si="583">R121/100000</f>
        <v>-5925.6123794230971</v>
      </c>
      <c r="T121">
        <f t="shared" ref="T121" si="584">S121/1000</f>
        <v>-5.9256123794230975</v>
      </c>
    </row>
    <row r="122" spans="1:20" x14ac:dyDescent="0.25">
      <c r="A122" s="5">
        <v>44471</v>
      </c>
      <c r="B122">
        <v>0.85270000000000001</v>
      </c>
      <c r="C122">
        <v>0.90559999999999996</v>
      </c>
      <c r="D122">
        <v>0.81110000000000004</v>
      </c>
      <c r="E122">
        <v>0.84889999999999999</v>
      </c>
      <c r="F122">
        <v>18335264</v>
      </c>
      <c r="G122">
        <v>0.84889999999999999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-0.20000000000000048</v>
      </c>
      <c r="Q122">
        <f t="shared" ref="Q122" si="586">F122*P122</f>
        <v>-3667052.8000000087</v>
      </c>
      <c r="R122">
        <f t="shared" ref="R122" si="587">R123+Q122</f>
        <v>-591563463.95629573</v>
      </c>
      <c r="S122">
        <f t="shared" ref="S122" si="588">R122/100000</f>
        <v>-5915.6346395629571</v>
      </c>
      <c r="T122">
        <f t="shared" ref="T122" si="589">S122/1000</f>
        <v>-5.9156346395629571</v>
      </c>
    </row>
    <row r="123" spans="1:20" x14ac:dyDescent="0.25">
      <c r="A123" s="5">
        <v>44470</v>
      </c>
      <c r="B123">
        <v>0.74339999999999995</v>
      </c>
      <c r="C123">
        <v>0.8599</v>
      </c>
      <c r="D123">
        <v>0.72799999999999998</v>
      </c>
      <c r="E123">
        <v>0.85270000000000001</v>
      </c>
      <c r="F123">
        <v>20533579</v>
      </c>
      <c r="G123">
        <v>0.85270000000000001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0.89082638362395783</v>
      </c>
      <c r="Q123">
        <f t="shared" ref="Q123" si="591">F123*P123</f>
        <v>18291853.923426844</v>
      </c>
      <c r="R123">
        <f t="shared" ref="R123" si="592">R124+Q123</f>
        <v>-587896411.15629578</v>
      </c>
      <c r="S123">
        <f t="shared" ref="S123" si="593">R123/100000</f>
        <v>-5878.9641115629574</v>
      </c>
      <c r="T123">
        <f t="shared" ref="T123" si="594">S123/1000</f>
        <v>-5.8789641115629578</v>
      </c>
    </row>
    <row r="124" spans="1:20" x14ac:dyDescent="0.25">
      <c r="A124" s="5">
        <v>44469</v>
      </c>
      <c r="B124">
        <v>0.70860000000000001</v>
      </c>
      <c r="C124">
        <v>0.74580000000000002</v>
      </c>
      <c r="D124">
        <v>0.70369999999999999</v>
      </c>
      <c r="E124">
        <v>0.74350000000000005</v>
      </c>
      <c r="F124">
        <v>8560679</v>
      </c>
      <c r="G124">
        <v>0.74350000000000005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0.89073634204275687</v>
      </c>
      <c r="Q124">
        <f t="shared" ref="Q124" si="596">F124*P124</f>
        <v>7625307.8978622463</v>
      </c>
      <c r="R124">
        <f t="shared" ref="R124" si="597">R125+Q124</f>
        <v>-606188265.07972264</v>
      </c>
      <c r="S124">
        <f t="shared" ref="S124" si="598">R124/100000</f>
        <v>-6061.8826507972262</v>
      </c>
      <c r="T124">
        <f t="shared" ref="T124" si="599">S124/1000</f>
        <v>-6.0618826507972265</v>
      </c>
    </row>
    <row r="125" spans="1:20" x14ac:dyDescent="0.25">
      <c r="A125" s="5">
        <v>44468</v>
      </c>
      <c r="B125">
        <v>0.69279999999999997</v>
      </c>
      <c r="C125">
        <v>0.74809999999999999</v>
      </c>
      <c r="D125">
        <v>0.68559999999999999</v>
      </c>
      <c r="E125">
        <v>0.70830000000000004</v>
      </c>
      <c r="F125">
        <v>8274182</v>
      </c>
      <c r="G125">
        <v>0.70830000000000004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-0.27359999999999829</v>
      </c>
      <c r="Q125">
        <f t="shared" ref="Q125" si="601">F125*P125</f>
        <v>-2263816.195199986</v>
      </c>
      <c r="R125">
        <f t="shared" ref="R125" si="602">R126+Q125</f>
        <v>-613813572.97758484</v>
      </c>
      <c r="S125">
        <f t="shared" ref="S125" si="603">R125/100000</f>
        <v>-6138.1357297758486</v>
      </c>
      <c r="T125">
        <f t="shared" ref="T125" si="604">S125/1000</f>
        <v>-6.1381357297758488</v>
      </c>
    </row>
    <row r="126" spans="1:20" x14ac:dyDescent="0.25">
      <c r="A126" s="5">
        <v>44467</v>
      </c>
      <c r="B126">
        <v>0.71479999999999999</v>
      </c>
      <c r="C126">
        <v>0.74239999999999995</v>
      </c>
      <c r="D126">
        <v>0.68769999999999998</v>
      </c>
      <c r="E126">
        <v>0.69330000000000003</v>
      </c>
      <c r="F126">
        <v>10227992</v>
      </c>
      <c r="G126">
        <v>0.69330000000000003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-0.79524680073125953</v>
      </c>
      <c r="Q126">
        <f t="shared" ref="Q126" si="606">F126*P126</f>
        <v>-8133777.9159049168</v>
      </c>
      <c r="R126">
        <f t="shared" ref="R126" si="607">R127+Q126</f>
        <v>-611549756.78238487</v>
      </c>
      <c r="S126">
        <f t="shared" ref="S126" si="608">R126/100000</f>
        <v>-6115.4975678238488</v>
      </c>
      <c r="T126">
        <f t="shared" ref="T126" si="609">S126/1000</f>
        <v>-6.1154975678238488</v>
      </c>
    </row>
    <row r="127" spans="1:20" x14ac:dyDescent="0.25">
      <c r="A127" s="5">
        <v>44466</v>
      </c>
      <c r="B127">
        <v>0.73240000000000005</v>
      </c>
      <c r="C127">
        <v>0.77810000000000001</v>
      </c>
      <c r="D127">
        <v>0.71319999999999995</v>
      </c>
      <c r="E127">
        <v>0.71530000000000005</v>
      </c>
      <c r="F127">
        <v>11944311</v>
      </c>
      <c r="G127">
        <v>0.71530000000000005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-0.93528505392911865</v>
      </c>
      <c r="Q127">
        <f t="shared" ref="Q127" si="611">F127*P127</f>
        <v>-11171335.557781165</v>
      </c>
      <c r="R127">
        <f t="shared" ref="R127" si="612">R128+Q127</f>
        <v>-603415978.86647999</v>
      </c>
      <c r="S127">
        <f t="shared" ref="S127" si="613">R127/100000</f>
        <v>-6034.1597886647996</v>
      </c>
      <c r="T127">
        <f t="shared" ref="T127" si="614">S127/1000</f>
        <v>-6.0341597886648</v>
      </c>
    </row>
    <row r="128" spans="1:20" x14ac:dyDescent="0.25">
      <c r="A128" s="5">
        <v>44465</v>
      </c>
      <c r="B128">
        <v>0.75849999999999995</v>
      </c>
      <c r="C128">
        <v>0.76870000000000005</v>
      </c>
      <c r="D128">
        <v>0.68</v>
      </c>
      <c r="E128">
        <v>0.73209999999999997</v>
      </c>
      <c r="F128">
        <v>26767562.449999999</v>
      </c>
      <c r="G128">
        <v>0.73209999999999997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0.17474633596392161</v>
      </c>
      <c r="Q128">
        <f t="shared" ref="Q128" si="616">F128*P128</f>
        <v>4677533.4608229529</v>
      </c>
      <c r="R128">
        <f t="shared" ref="R128" si="617">R129+Q128</f>
        <v>-592244643.30869877</v>
      </c>
      <c r="S128">
        <f t="shared" ref="S128" si="618">R128/100000</f>
        <v>-5922.4464330869878</v>
      </c>
      <c r="T128">
        <f t="shared" ref="T128" si="619">S128/1000</f>
        <v>-5.9224464330869875</v>
      </c>
    </row>
    <row r="129" spans="1:20" x14ac:dyDescent="0.25">
      <c r="A129" s="5">
        <v>44464</v>
      </c>
      <c r="B129">
        <v>0.77039999999999997</v>
      </c>
      <c r="C129">
        <v>0.78420000000000001</v>
      </c>
      <c r="D129">
        <v>0.72719999999999996</v>
      </c>
      <c r="E129">
        <v>0.75849999999999995</v>
      </c>
      <c r="F129">
        <v>11654158</v>
      </c>
      <c r="G129">
        <v>0.75849999999999995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9.8245614035086554E-2</v>
      </c>
      <c r="Q129">
        <f t="shared" ref="Q129" si="621">F129*P129</f>
        <v>1144969.9087719163</v>
      </c>
      <c r="R129">
        <f t="shared" ref="R129" si="622">R130+Q129</f>
        <v>-596922176.76952171</v>
      </c>
      <c r="S129">
        <f t="shared" ref="S129" si="623">R129/100000</f>
        <v>-5969.2217676952168</v>
      </c>
      <c r="T129">
        <f t="shared" ref="T129" si="624">S129/1000</f>
        <v>-5.9692217676952168</v>
      </c>
    </row>
    <row r="130" spans="1:20" x14ac:dyDescent="0.25">
      <c r="A130" s="5">
        <v>44463</v>
      </c>
      <c r="B130">
        <v>0.86380000000000001</v>
      </c>
      <c r="C130">
        <v>0.87690000000000001</v>
      </c>
      <c r="D130">
        <v>0.70699999999999996</v>
      </c>
      <c r="E130">
        <v>0.77039999999999997</v>
      </c>
      <c r="F130">
        <v>28173829</v>
      </c>
      <c r="G130">
        <v>0.77039999999999997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-0.25367863449087708</v>
      </c>
      <c r="Q130">
        <f t="shared" ref="Q130" si="626">F130*P130</f>
        <v>-7147098.4690994732</v>
      </c>
      <c r="R130">
        <f t="shared" ref="R130" si="627">R131+Q130</f>
        <v>-598067146.67829359</v>
      </c>
      <c r="S130">
        <f t="shared" ref="S130" si="628">R130/100000</f>
        <v>-5980.6714667829356</v>
      </c>
      <c r="T130">
        <f t="shared" ref="T130" si="629">S130/1000</f>
        <v>-5.9806714667829359</v>
      </c>
    </row>
    <row r="131" spans="1:20" x14ac:dyDescent="0.25">
      <c r="A131" s="5">
        <v>44462</v>
      </c>
      <c r="B131">
        <v>0.80769999999999997</v>
      </c>
      <c r="C131">
        <v>0.88100000000000001</v>
      </c>
      <c r="D131">
        <v>0.78900000000000003</v>
      </c>
      <c r="E131">
        <v>0.86370000000000002</v>
      </c>
      <c r="F131">
        <v>17586094</v>
      </c>
      <c r="G131">
        <v>0.86370000000000002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0.62391304347826115</v>
      </c>
      <c r="Q131">
        <f t="shared" ref="Q131" si="631">F131*P131</f>
        <v>10972193.430434788</v>
      </c>
      <c r="R131">
        <f t="shared" ref="R131" si="632">R132+Q131</f>
        <v>-590920048.20919406</v>
      </c>
      <c r="S131">
        <f t="shared" ref="S131" si="633">R131/100000</f>
        <v>-5909.200482091941</v>
      </c>
      <c r="T131">
        <f t="shared" ref="T131" si="634">S131/1000</f>
        <v>-5.9092004820919408</v>
      </c>
    </row>
    <row r="132" spans="1:20" x14ac:dyDescent="0.25">
      <c r="A132" s="5">
        <v>44461</v>
      </c>
      <c r="B132">
        <v>0.71730000000000005</v>
      </c>
      <c r="C132">
        <v>0.81410000000000005</v>
      </c>
      <c r="D132">
        <v>0.6966</v>
      </c>
      <c r="E132">
        <v>0.80830000000000002</v>
      </c>
      <c r="F132">
        <v>24768012</v>
      </c>
      <c r="G132">
        <v>0.80830000000000002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0.90127659574468044</v>
      </c>
      <c r="Q132">
        <f t="shared" ref="Q132" si="636">F132*P132</f>
        <v>22322829.538723394</v>
      </c>
      <c r="R132">
        <f t="shared" ref="R132" si="637">R133+Q132</f>
        <v>-601892241.63962889</v>
      </c>
      <c r="S132">
        <f t="shared" ref="S132" si="638">R132/100000</f>
        <v>-6018.922416396289</v>
      </c>
      <c r="T132">
        <f t="shared" ref="T132" si="639">S132/1000</f>
        <v>-6.0189224163962889</v>
      </c>
    </row>
    <row r="133" spans="1:20" x14ac:dyDescent="0.25">
      <c r="A133" s="5">
        <v>44460</v>
      </c>
      <c r="B133">
        <v>0.83509999999999995</v>
      </c>
      <c r="C133">
        <v>0.86250000000000004</v>
      </c>
      <c r="D133">
        <v>0.70509999999999995</v>
      </c>
      <c r="E133">
        <v>0.71789999999999998</v>
      </c>
      <c r="F133">
        <v>31783244.609999999</v>
      </c>
      <c r="G133">
        <v>0.71789999999999998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-0.83735705209656897</v>
      </c>
      <c r="Q133">
        <f t="shared" ref="Q133" si="641">F133*P133</f>
        <v>-26613924.012693763</v>
      </c>
      <c r="R133">
        <f t="shared" ref="R133" si="642">R134+Q133</f>
        <v>-624215071.17835224</v>
      </c>
      <c r="S133">
        <f t="shared" ref="S133" si="643">R133/100000</f>
        <v>-6242.1507117835226</v>
      </c>
      <c r="T133">
        <f t="shared" ref="T133" si="644">S133/1000</f>
        <v>-6.2421507117835224</v>
      </c>
    </row>
    <row r="134" spans="1:20" x14ac:dyDescent="0.25">
      <c r="A134" s="5">
        <v>44459</v>
      </c>
      <c r="B134">
        <v>1.0144</v>
      </c>
      <c r="C134">
        <v>1.0174000000000001</v>
      </c>
      <c r="D134">
        <v>0.89510000000000001</v>
      </c>
      <c r="E134">
        <v>0.90790000000000004</v>
      </c>
      <c r="F134">
        <v>9013000</v>
      </c>
      <c r="G134">
        <v>0.90790000000000004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-0.79067865903515899</v>
      </c>
      <c r="Q134">
        <f t="shared" ref="Q134" si="646">F134*P134</f>
        <v>-7126386.753883888</v>
      </c>
      <c r="R134">
        <f t="shared" ref="R134" si="647">R135+Q134</f>
        <v>-597601147.16565847</v>
      </c>
      <c r="S134">
        <f t="shared" ref="S134" si="648">R134/100000</f>
        <v>-5976.0114716565849</v>
      </c>
      <c r="T134">
        <f t="shared" ref="T134" si="649">S134/1000</f>
        <v>-5.9760114716565846</v>
      </c>
    </row>
    <row r="135" spans="1:20" x14ac:dyDescent="0.25">
      <c r="A135" s="5">
        <v>44458</v>
      </c>
      <c r="B135">
        <v>1.0665</v>
      </c>
      <c r="C135">
        <v>1.0873999999999999</v>
      </c>
      <c r="D135">
        <v>0.995</v>
      </c>
      <c r="E135">
        <v>1.0146999999999999</v>
      </c>
      <c r="F135">
        <v>15290011</v>
      </c>
      <c r="G135">
        <v>1.0146999999999999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-0.57359307359307454</v>
      </c>
      <c r="Q135">
        <f t="shared" ref="Q135" si="651">F135*P135</f>
        <v>-8770244.4047619198</v>
      </c>
      <c r="R135">
        <f t="shared" ref="R135" si="652">R136+Q135</f>
        <v>-590474760.41177464</v>
      </c>
      <c r="S135">
        <f t="shared" ref="S135" si="653">R135/100000</f>
        <v>-5904.7476041177461</v>
      </c>
      <c r="T135">
        <f t="shared" ref="T135" si="654">S135/1000</f>
        <v>-5.9047476041177465</v>
      </c>
    </row>
    <row r="136" spans="1:20" x14ac:dyDescent="0.25">
      <c r="A136" s="5">
        <v>44457</v>
      </c>
      <c r="B136">
        <v>1.0611999999999999</v>
      </c>
      <c r="C136">
        <v>1.1449</v>
      </c>
      <c r="D136">
        <v>1.0334000000000001</v>
      </c>
      <c r="E136">
        <v>1.0665</v>
      </c>
      <c r="F136">
        <v>19621035</v>
      </c>
      <c r="G136">
        <v>1.0665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-0.40627802690583092</v>
      </c>
      <c r="Q136">
        <f t="shared" ref="Q136" si="656">F136*P136</f>
        <v>-7971595.3856502501</v>
      </c>
      <c r="R136">
        <f t="shared" ref="R136" si="657">R137+Q136</f>
        <v>-581704516.00701272</v>
      </c>
      <c r="S136">
        <f t="shared" ref="S136" si="658">R136/100000</f>
        <v>-5817.0451600701272</v>
      </c>
      <c r="T136">
        <f t="shared" ref="T136" si="659">S136/1000</f>
        <v>-5.8170451600701272</v>
      </c>
    </row>
    <row r="137" spans="1:20" x14ac:dyDescent="0.25">
      <c r="A137" s="5">
        <v>44456</v>
      </c>
      <c r="B137">
        <v>1.1316999999999999</v>
      </c>
      <c r="C137">
        <v>1.1499999999999999</v>
      </c>
      <c r="D137">
        <v>1.04</v>
      </c>
      <c r="E137">
        <v>1.0607</v>
      </c>
      <c r="F137">
        <v>24837066</v>
      </c>
      <c r="G137">
        <v>1.0607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-0.62363636363636432</v>
      </c>
      <c r="Q137">
        <f t="shared" ref="Q137" si="661">F137*P137</f>
        <v>-15489297.52363638</v>
      </c>
      <c r="R137">
        <f t="shared" ref="R137" si="662">R138+Q137</f>
        <v>-573732920.62136245</v>
      </c>
      <c r="S137">
        <f t="shared" ref="S137" si="663">R137/100000</f>
        <v>-5737.3292062136243</v>
      </c>
      <c r="T137">
        <f t="shared" ref="T137" si="664">S137/1000</f>
        <v>-5.7373292062136239</v>
      </c>
    </row>
    <row r="138" spans="1:20" x14ac:dyDescent="0.25">
      <c r="A138" s="5">
        <v>44455</v>
      </c>
      <c r="B138">
        <v>1.0349999999999999</v>
      </c>
      <c r="C138">
        <v>1.24</v>
      </c>
      <c r="D138">
        <v>1.0108999999999999</v>
      </c>
      <c r="E138">
        <v>1.1314</v>
      </c>
      <c r="F138">
        <v>46024076</v>
      </c>
      <c r="G138">
        <v>1.1314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5.1942383238760444E-2</v>
      </c>
      <c r="Q138">
        <f t="shared" ref="Q138" si="666">F138*P138</f>
        <v>2390600.1938018366</v>
      </c>
      <c r="R138">
        <f t="shared" ref="R138" si="667">R139+Q138</f>
        <v>-558243623.09772611</v>
      </c>
      <c r="S138">
        <f t="shared" ref="S138" si="668">R138/100000</f>
        <v>-5582.4362309772614</v>
      </c>
      <c r="T138">
        <f t="shared" ref="T138" si="669">S138/1000</f>
        <v>-5.5824362309772617</v>
      </c>
    </row>
    <row r="139" spans="1:20" x14ac:dyDescent="0.25">
      <c r="A139" s="5">
        <v>44454</v>
      </c>
      <c r="B139">
        <v>0.97919999999999996</v>
      </c>
      <c r="C139">
        <v>1.0999000000000001</v>
      </c>
      <c r="D139">
        <v>0.96679999999999999</v>
      </c>
      <c r="E139">
        <v>1.0347</v>
      </c>
      <c r="F139">
        <v>17354729</v>
      </c>
      <c r="G139">
        <v>1.0347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2.0285499624341185E-2</v>
      </c>
      <c r="Q139">
        <f t="shared" ref="Q139" si="671">F139*P139</f>
        <v>352049.34861004306</v>
      </c>
      <c r="R139">
        <f t="shared" ref="R139" si="672">R140+Q139</f>
        <v>-560634223.29152799</v>
      </c>
      <c r="S139">
        <f t="shared" ref="S139" si="673">R139/100000</f>
        <v>-5606.34223291528</v>
      </c>
      <c r="T139">
        <f t="shared" ref="T139" si="674">S139/1000</f>
        <v>-5.6063422329152797</v>
      </c>
    </row>
    <row r="140" spans="1:20" x14ac:dyDescent="0.25">
      <c r="A140" s="5">
        <v>44453</v>
      </c>
      <c r="B140">
        <v>0.9194</v>
      </c>
      <c r="C140">
        <v>0.99</v>
      </c>
      <c r="D140">
        <v>0.91180000000000005</v>
      </c>
      <c r="E140">
        <v>0.97919999999999996</v>
      </c>
      <c r="F140">
        <v>12774114</v>
      </c>
      <c r="G140">
        <v>0.97919999999999996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0.72378516624040812</v>
      </c>
      <c r="Q140">
        <f t="shared" ref="Q140" si="676">F140*P140</f>
        <v>9245714.2250639256</v>
      </c>
      <c r="R140">
        <f t="shared" ref="R140" si="677">R141+Q140</f>
        <v>-560986272.64013803</v>
      </c>
      <c r="S140">
        <f t="shared" ref="S140" si="678">R140/100000</f>
        <v>-5609.8627264013803</v>
      </c>
      <c r="T140">
        <f t="shared" ref="T140" si="679">S140/1000</f>
        <v>-5.6098627264013805</v>
      </c>
    </row>
    <row r="141" spans="1:20" x14ac:dyDescent="0.25">
      <c r="A141" s="5">
        <v>44452</v>
      </c>
      <c r="B141">
        <v>0.99650000000000005</v>
      </c>
      <c r="C141">
        <v>1.0091000000000001</v>
      </c>
      <c r="D141">
        <v>0.87</v>
      </c>
      <c r="E141">
        <v>0.91859999999999997</v>
      </c>
      <c r="F141">
        <v>18664955</v>
      </c>
      <c r="G141">
        <v>0.91859999999999997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-0.30122214234363859</v>
      </c>
      <c r="Q141">
        <f t="shared" ref="Q141" si="681">F141*P141</f>
        <v>-5622297.7318476085</v>
      </c>
      <c r="R141">
        <f t="shared" ref="R141" si="682">R142+Q141</f>
        <v>-570231986.86520195</v>
      </c>
      <c r="S141">
        <f t="shared" ref="S141" si="683">R141/100000</f>
        <v>-5702.3198686520191</v>
      </c>
      <c r="T141">
        <f t="shared" ref="T141" si="684">S141/1000</f>
        <v>-5.7023198686520189</v>
      </c>
    </row>
    <row r="142" spans="1:20" x14ac:dyDescent="0.25">
      <c r="A142" s="5">
        <v>44451</v>
      </c>
      <c r="B142">
        <v>0.94910000000000005</v>
      </c>
      <c r="C142">
        <v>1.03</v>
      </c>
      <c r="D142">
        <v>0.92020000000000002</v>
      </c>
      <c r="E142">
        <v>0.99709999999999999</v>
      </c>
      <c r="F142">
        <v>13811947</v>
      </c>
      <c r="G142">
        <v>0.99709999999999999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0.40072859744990824</v>
      </c>
      <c r="Q142">
        <f t="shared" ref="Q142" si="686">F142*P142</f>
        <v>5534842.1493624682</v>
      </c>
      <c r="R142">
        <f t="shared" ref="R142" si="687">R143+Q142</f>
        <v>-564609689.13335431</v>
      </c>
      <c r="S142">
        <f t="shared" ref="S142" si="688">R142/100000</f>
        <v>-5646.0968913335428</v>
      </c>
      <c r="T142">
        <f t="shared" ref="T142" si="689">S142/1000</f>
        <v>-5.646096891333543</v>
      </c>
    </row>
    <row r="143" spans="1:20" x14ac:dyDescent="0.25">
      <c r="A143" s="5">
        <v>44450</v>
      </c>
      <c r="B143">
        <v>0.93089999999999995</v>
      </c>
      <c r="C143">
        <v>0.98719999999999997</v>
      </c>
      <c r="D143">
        <v>0.91200000000000003</v>
      </c>
      <c r="E143">
        <v>0.94899999999999995</v>
      </c>
      <c r="F143">
        <v>15539687</v>
      </c>
      <c r="G143">
        <v>0.94899999999999995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-1.5957446808511848E-2</v>
      </c>
      <c r="Q143">
        <f t="shared" ref="Q143" si="691">F143*P143</f>
        <v>-247973.72872342306</v>
      </c>
      <c r="R143">
        <f t="shared" ref="R143" si="692">R144+Q143</f>
        <v>-570144531.28271675</v>
      </c>
      <c r="S143">
        <f t="shared" ref="S143" si="693">R143/100000</f>
        <v>-5701.4453128271671</v>
      </c>
      <c r="T143">
        <f t="shared" ref="T143" si="694">S143/1000</f>
        <v>-5.7014453128271674</v>
      </c>
    </row>
    <row r="144" spans="1:20" x14ac:dyDescent="0.25">
      <c r="A144" s="5">
        <v>44449</v>
      </c>
      <c r="B144">
        <v>1.0037</v>
      </c>
      <c r="C144">
        <v>1.05</v>
      </c>
      <c r="D144">
        <v>0.90129999999999999</v>
      </c>
      <c r="E144">
        <v>0.93030000000000002</v>
      </c>
      <c r="F144">
        <v>17719551</v>
      </c>
      <c r="G144">
        <v>0.93030000000000002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-0.60995292535305967</v>
      </c>
      <c r="Q144">
        <f t="shared" ref="Q144" si="696">F144*P144</f>
        <v>-10808091.968392733</v>
      </c>
      <c r="R144">
        <f t="shared" ref="R144" si="697">R145+Q144</f>
        <v>-569896557.55399334</v>
      </c>
      <c r="S144">
        <f t="shared" ref="S144" si="698">R144/100000</f>
        <v>-5698.9655755399335</v>
      </c>
      <c r="T144">
        <f t="shared" ref="T144" si="699">S144/1000</f>
        <v>-5.6989655755399333</v>
      </c>
    </row>
    <row r="145" spans="1:20" x14ac:dyDescent="0.25">
      <c r="A145" s="5">
        <v>44448</v>
      </c>
      <c r="B145">
        <v>0.99160000000000004</v>
      </c>
      <c r="C145">
        <v>1.0585</v>
      </c>
      <c r="D145">
        <v>0.95389999999999997</v>
      </c>
      <c r="E145">
        <v>1.0042</v>
      </c>
      <c r="F145">
        <v>22793772</v>
      </c>
      <c r="G145">
        <v>1.0042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-3.824091778202679E-2</v>
      </c>
      <c r="Q145">
        <f t="shared" ref="Q145" si="701">F145*P145</f>
        <v>-871654.76099426439</v>
      </c>
      <c r="R145">
        <f t="shared" ref="R145" si="702">R146+Q145</f>
        <v>-559088465.58560061</v>
      </c>
      <c r="S145">
        <f t="shared" ref="S145" si="703">R145/100000</f>
        <v>-5590.8846558560062</v>
      </c>
      <c r="T145">
        <f t="shared" ref="T145" si="704">S145/1000</f>
        <v>-5.5908846558560059</v>
      </c>
    </row>
    <row r="146" spans="1:20" x14ac:dyDescent="0.25">
      <c r="A146" s="5">
        <v>44447</v>
      </c>
      <c r="B146">
        <v>1.0074000000000001</v>
      </c>
      <c r="C146">
        <v>1.0442</v>
      </c>
      <c r="D146">
        <v>0.88629999999999998</v>
      </c>
      <c r="E146">
        <v>0.99160000000000004</v>
      </c>
      <c r="F146">
        <v>28984706</v>
      </c>
      <c r="G146">
        <v>0.99160000000000004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0.33375554148195102</v>
      </c>
      <c r="Q146">
        <f t="shared" ref="Q146" si="706">F146*P146</f>
        <v>9673806.2457251549</v>
      </c>
      <c r="R146">
        <f t="shared" ref="R146" si="707">R147+Q146</f>
        <v>-558216810.8246063</v>
      </c>
      <c r="S146">
        <f t="shared" ref="S146" si="708">R146/100000</f>
        <v>-5582.1681082460627</v>
      </c>
      <c r="T146">
        <f t="shared" ref="T146" si="709">S146/1000</f>
        <v>-5.582168108246063</v>
      </c>
    </row>
    <row r="147" spans="1:20" x14ac:dyDescent="0.25">
      <c r="A147" s="5">
        <v>44446</v>
      </c>
      <c r="B147">
        <v>1.3707</v>
      </c>
      <c r="C147">
        <v>1.375</v>
      </c>
      <c r="D147">
        <v>0.85560000000000003</v>
      </c>
      <c r="E147">
        <v>1.0074000000000001</v>
      </c>
      <c r="F147">
        <v>49138557.869999997</v>
      </c>
      <c r="G147">
        <v>1.0074000000000001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-0.41547939930689237</v>
      </c>
      <c r="Q147">
        <f t="shared" ref="Q147" si="711">F147*P147</f>
        <v>-20416058.506634567</v>
      </c>
      <c r="R147">
        <f t="shared" ref="R147" si="712">R148+Q147</f>
        <v>-567890617.07033145</v>
      </c>
      <c r="S147">
        <f t="shared" ref="S147" si="713">R147/100000</f>
        <v>-5678.9061707033143</v>
      </c>
      <c r="T147">
        <f t="shared" ref="T147" si="714">S147/1000</f>
        <v>-5.6789061707033142</v>
      </c>
    </row>
    <row r="148" spans="1:20" x14ac:dyDescent="0.25">
      <c r="A148" s="5">
        <v>44445</v>
      </c>
      <c r="B148">
        <v>1.3378000000000001</v>
      </c>
      <c r="C148">
        <v>1.41</v>
      </c>
      <c r="D148">
        <v>1.2745</v>
      </c>
      <c r="E148">
        <v>1.3713</v>
      </c>
      <c r="F148">
        <v>24215626.510000002</v>
      </c>
      <c r="G148">
        <v>1.3713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0.42878228782287869</v>
      </c>
      <c r="Q148">
        <f t="shared" ref="Q148" si="716">F148*P148</f>
        <v>10383231.736022152</v>
      </c>
      <c r="R148">
        <f t="shared" ref="R148" si="717">R149+Q148</f>
        <v>-547474558.56369686</v>
      </c>
      <c r="S148">
        <f t="shared" ref="S148" si="718">R148/100000</f>
        <v>-5474.7455856369688</v>
      </c>
      <c r="T148">
        <f t="shared" ref="T148" si="719">S148/1000</f>
        <v>-5.4747455856369687</v>
      </c>
    </row>
    <row r="149" spans="1:20" x14ac:dyDescent="0.25">
      <c r="A149" s="5">
        <v>44444</v>
      </c>
      <c r="B149">
        <v>1.2693000000000001</v>
      </c>
      <c r="C149">
        <v>1.3542000000000001</v>
      </c>
      <c r="D149">
        <v>1.2511000000000001</v>
      </c>
      <c r="E149">
        <v>1.3376999999999999</v>
      </c>
      <c r="F149">
        <v>16339405</v>
      </c>
      <c r="G149">
        <v>1.3376999999999999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0.67992240543161619</v>
      </c>
      <c r="Q149">
        <f t="shared" ref="Q149" si="721">F149*P149</f>
        <v>11109527.550921377</v>
      </c>
      <c r="R149">
        <f t="shared" ref="R149" si="722">R150+Q149</f>
        <v>-557857790.29971898</v>
      </c>
      <c r="S149">
        <f t="shared" ref="S149" si="723">R149/100000</f>
        <v>-5578.57790299719</v>
      </c>
      <c r="T149">
        <f t="shared" ref="T149" si="724">S149/1000</f>
        <v>-5.57857790299719</v>
      </c>
    </row>
    <row r="150" spans="1:20" x14ac:dyDescent="0.25">
      <c r="A150" s="5">
        <v>44443</v>
      </c>
      <c r="B150">
        <v>1.3569</v>
      </c>
      <c r="C150">
        <v>1.3756999999999999</v>
      </c>
      <c r="D150">
        <v>1.2464999999999999</v>
      </c>
      <c r="E150">
        <v>1.2701</v>
      </c>
      <c r="F150">
        <v>22484763</v>
      </c>
      <c r="G150">
        <v>1.2701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-0.63467492260061809</v>
      </c>
      <c r="Q150">
        <f t="shared" ref="Q150" si="726">F150*P150</f>
        <v>-14270515.216718242</v>
      </c>
      <c r="R150">
        <f t="shared" ref="R150" si="727">R151+Q150</f>
        <v>-568967317.8506403</v>
      </c>
      <c r="S150">
        <f t="shared" ref="S150" si="728">R150/100000</f>
        <v>-5689.673178506403</v>
      </c>
      <c r="T150">
        <f t="shared" ref="T150" si="729">S150/1000</f>
        <v>-5.6896731785064034</v>
      </c>
    </row>
    <row r="151" spans="1:20" x14ac:dyDescent="0.25">
      <c r="A151" s="5">
        <v>44442</v>
      </c>
      <c r="B151">
        <v>1.1639999999999999</v>
      </c>
      <c r="C151">
        <v>1.3879999999999999</v>
      </c>
      <c r="D151">
        <v>1.1343000000000001</v>
      </c>
      <c r="E151">
        <v>1.3580000000000001</v>
      </c>
      <c r="F151">
        <v>46107591.560000002</v>
      </c>
      <c r="G151">
        <v>1.3580000000000001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0.76350019708317052</v>
      </c>
      <c r="Q151">
        <f t="shared" ref="Q151" si="731">F151*P151</f>
        <v>35203155.243090332</v>
      </c>
      <c r="R151">
        <f t="shared" ref="R151" si="732">R152+Q151</f>
        <v>-554696802.6339221</v>
      </c>
      <c r="S151">
        <f t="shared" ref="S151" si="733">R151/100000</f>
        <v>-5546.9680263392211</v>
      </c>
      <c r="T151">
        <f t="shared" ref="T151" si="734">S151/1000</f>
        <v>-5.5469680263392211</v>
      </c>
    </row>
    <row r="152" spans="1:20" x14ac:dyDescent="0.25">
      <c r="A152" s="5">
        <v>44441</v>
      </c>
      <c r="B152">
        <v>1.1738</v>
      </c>
      <c r="C152">
        <v>1.2126999999999999</v>
      </c>
      <c r="D152">
        <v>1.1287</v>
      </c>
      <c r="E152">
        <v>1.1649</v>
      </c>
      <c r="F152">
        <v>20448622</v>
      </c>
      <c r="G152">
        <v>1.1649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-0.13809523809523636</v>
      </c>
      <c r="Q152">
        <f t="shared" ref="Q152" si="736">F152*P152</f>
        <v>-2823857.3238094882</v>
      </c>
      <c r="R152">
        <f t="shared" ref="R152" si="737">R153+Q152</f>
        <v>-589899957.87701237</v>
      </c>
      <c r="S152">
        <f t="shared" ref="S152" si="738">R152/100000</f>
        <v>-5898.9995787701237</v>
      </c>
      <c r="T152">
        <f t="shared" ref="T152" si="739">S152/1000</f>
        <v>-5.8989995787701233</v>
      </c>
    </row>
    <row r="153" spans="1:20" x14ac:dyDescent="0.25">
      <c r="A153" s="5">
        <v>44440</v>
      </c>
      <c r="B153">
        <v>1.1289</v>
      </c>
      <c r="C153">
        <v>1.1848000000000001</v>
      </c>
      <c r="D153">
        <v>1.0941000000000001</v>
      </c>
      <c r="E153">
        <v>1.1734</v>
      </c>
      <c r="F153">
        <v>20599166</v>
      </c>
      <c r="G153">
        <v>1.1734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0.74862183020948014</v>
      </c>
      <c r="Q153">
        <f t="shared" ref="Q153" si="741">F153*P153</f>
        <v>15420985.351708896</v>
      </c>
      <c r="R153">
        <f t="shared" ref="R153" si="742">R154+Q153</f>
        <v>-587076100.55320287</v>
      </c>
      <c r="S153">
        <f t="shared" ref="S153" si="743">R153/100000</f>
        <v>-5870.7610055320283</v>
      </c>
      <c r="T153">
        <f t="shared" ref="T153" si="744">S153/1000</f>
        <v>-5.8707610055320281</v>
      </c>
    </row>
    <row r="154" spans="1:20" x14ac:dyDescent="0.25">
      <c r="A154" s="5">
        <v>44439</v>
      </c>
      <c r="B154">
        <v>1.1899</v>
      </c>
      <c r="C154">
        <v>1.24</v>
      </c>
      <c r="D154">
        <v>1.1100000000000001</v>
      </c>
      <c r="E154">
        <v>1.129</v>
      </c>
      <c r="F154">
        <v>36419117</v>
      </c>
      <c r="G154">
        <v>1.129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-0.70769230769230895</v>
      </c>
      <c r="Q154">
        <f t="shared" ref="Q154" si="746">F154*P154</f>
        <v>-25773528.953846201</v>
      </c>
      <c r="R154">
        <f t="shared" ref="R154" si="747">R155+Q154</f>
        <v>-602497085.90491176</v>
      </c>
      <c r="S154">
        <f t="shared" ref="S154" si="748">R154/100000</f>
        <v>-6024.9708590491173</v>
      </c>
      <c r="T154">
        <f t="shared" ref="T154" si="749">S154/1000</f>
        <v>-6.0249708590491169</v>
      </c>
    </row>
    <row r="155" spans="1:20" x14ac:dyDescent="0.25">
      <c r="A155" s="5">
        <v>44438</v>
      </c>
      <c r="B155">
        <v>1.0539000000000001</v>
      </c>
      <c r="C155">
        <v>1.3</v>
      </c>
      <c r="D155">
        <v>1.0466</v>
      </c>
      <c r="E155">
        <v>1.1908000000000001</v>
      </c>
      <c r="F155">
        <v>90159013.480000004</v>
      </c>
      <c r="G155">
        <v>1.1908000000000001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0.1381215469613265</v>
      </c>
      <c r="Q155">
        <f t="shared" ref="Q155" si="751">F155*P155</f>
        <v>12452902.41436469</v>
      </c>
      <c r="R155">
        <f t="shared" ref="R155" si="752">R156+Q155</f>
        <v>-576723556.95106554</v>
      </c>
      <c r="S155">
        <f t="shared" ref="S155" si="753">R155/100000</f>
        <v>-5767.2355695106553</v>
      </c>
      <c r="T155">
        <f t="shared" ref="T155" si="754">S155/1000</f>
        <v>-5.767235569510655</v>
      </c>
    </row>
    <row r="156" spans="1:20" x14ac:dyDescent="0.25">
      <c r="A156" s="5">
        <v>44437</v>
      </c>
      <c r="B156">
        <v>1.0879000000000001</v>
      </c>
      <c r="C156">
        <v>1.1012</v>
      </c>
      <c r="D156">
        <v>1.0266</v>
      </c>
      <c r="E156">
        <v>1.0545</v>
      </c>
      <c r="F156">
        <v>13937246</v>
      </c>
      <c r="G156">
        <v>1.0545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-0.25201072386058887</v>
      </c>
      <c r="Q156">
        <f t="shared" ref="Q156" si="756">F156*P156</f>
        <v>-3512335.453083097</v>
      </c>
      <c r="R156">
        <f t="shared" ref="R156" si="757">R157+Q156</f>
        <v>-589176459.36543024</v>
      </c>
      <c r="S156">
        <f t="shared" ref="S156" si="758">R156/100000</f>
        <v>-5891.7645936543022</v>
      </c>
      <c r="T156">
        <f t="shared" ref="T156" si="759">S156/1000</f>
        <v>-5.8917645936543019</v>
      </c>
    </row>
    <row r="157" spans="1:20" x14ac:dyDescent="0.25">
      <c r="A157" s="5">
        <v>44436</v>
      </c>
      <c r="B157">
        <v>1.0739000000000001</v>
      </c>
      <c r="C157">
        <v>1.1105</v>
      </c>
      <c r="D157">
        <v>1.0415000000000001</v>
      </c>
      <c r="E157">
        <v>1.0884</v>
      </c>
      <c r="F157">
        <v>18179691</v>
      </c>
      <c r="G157">
        <v>1.0884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0.35942028985507174</v>
      </c>
      <c r="Q157">
        <f t="shared" ref="Q157" si="761">F157*P157</f>
        <v>6534149.8086956386</v>
      </c>
      <c r="R157">
        <f t="shared" ref="R157" si="762">R158+Q157</f>
        <v>-585664123.9123472</v>
      </c>
      <c r="S157">
        <f t="shared" ref="S157" si="763">R157/100000</f>
        <v>-5856.6412391234717</v>
      </c>
      <c r="T157">
        <f t="shared" ref="T157" si="764">S157/1000</f>
        <v>-5.8566412391234719</v>
      </c>
    </row>
    <row r="158" spans="1:20" x14ac:dyDescent="0.25">
      <c r="A158" s="5">
        <v>44435</v>
      </c>
      <c r="B158">
        <v>1.0165999999999999</v>
      </c>
      <c r="C158">
        <v>1.0980000000000001</v>
      </c>
      <c r="D158">
        <v>0.96599999999999997</v>
      </c>
      <c r="E158">
        <v>1.0744</v>
      </c>
      <c r="F158">
        <v>24376497.350000001</v>
      </c>
      <c r="G158">
        <v>1.0744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0.64242424242424179</v>
      </c>
      <c r="Q158">
        <f t="shared" ref="Q158" si="766">F158*P158</f>
        <v>15660052.843030289</v>
      </c>
      <c r="R158">
        <f t="shared" ref="R158" si="767">R159+Q158</f>
        <v>-592198273.72104287</v>
      </c>
      <c r="S158">
        <f t="shared" ref="S158" si="768">R158/100000</f>
        <v>-5921.9827372104291</v>
      </c>
      <c r="T158">
        <f t="shared" ref="T158" si="769">S158/1000</f>
        <v>-5.9219827372104294</v>
      </c>
    </row>
    <row r="159" spans="1:20" x14ac:dyDescent="0.25">
      <c r="A159" s="5">
        <v>44434</v>
      </c>
      <c r="B159">
        <v>1.0697000000000001</v>
      </c>
      <c r="C159">
        <v>1.1528</v>
      </c>
      <c r="D159">
        <v>0.98480000000000001</v>
      </c>
      <c r="E159">
        <v>1.0154000000000001</v>
      </c>
      <c r="F159">
        <v>40064064.789999999</v>
      </c>
      <c r="G159">
        <v>1.0154000000000001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-0.6357142857142849</v>
      </c>
      <c r="Q159">
        <f t="shared" ref="Q159" si="771">F159*P159</f>
        <v>-25469298.330785681</v>
      </c>
      <c r="R159">
        <f t="shared" ref="R159" si="772">R160+Q159</f>
        <v>-607858326.5640732</v>
      </c>
      <c r="S159">
        <f t="shared" ref="S159" si="773">R159/100000</f>
        <v>-6078.583265640732</v>
      </c>
      <c r="T159">
        <f t="shared" ref="T159" si="774">S159/1000</f>
        <v>-6.0785832656407317</v>
      </c>
    </row>
    <row r="160" spans="1:20" x14ac:dyDescent="0.25">
      <c r="A160" s="5">
        <v>44433</v>
      </c>
      <c r="B160">
        <v>1.028</v>
      </c>
      <c r="C160">
        <v>1.1009</v>
      </c>
      <c r="D160">
        <v>0.98050000000000004</v>
      </c>
      <c r="E160">
        <v>1.0690999999999999</v>
      </c>
      <c r="F160">
        <v>18956743.199999999</v>
      </c>
      <c r="G160">
        <v>1.0690999999999999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0.47176079734219162</v>
      </c>
      <c r="Q160">
        <f t="shared" ref="Q160" si="776">F160*P160</f>
        <v>8943048.2870431691</v>
      </c>
      <c r="R160">
        <f t="shared" ref="R160" si="777">R161+Q160</f>
        <v>-582389028.23328757</v>
      </c>
      <c r="S160">
        <f t="shared" ref="S160" si="778">R160/100000</f>
        <v>-5823.8902823328754</v>
      </c>
      <c r="T160">
        <f t="shared" ref="T160" si="779">S160/1000</f>
        <v>-5.8238902823328758</v>
      </c>
    </row>
    <row r="161" spans="1:20" x14ac:dyDescent="0.25">
      <c r="A161" s="5">
        <v>44432</v>
      </c>
      <c r="B161">
        <v>1.1398999999999999</v>
      </c>
      <c r="C161">
        <v>1.1629</v>
      </c>
      <c r="D161">
        <v>0.99390000000000001</v>
      </c>
      <c r="E161">
        <v>1.0289999999999999</v>
      </c>
      <c r="F161">
        <v>25114575.190000001</v>
      </c>
      <c r="G161">
        <v>1.0289999999999999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-0.58461538461538576</v>
      </c>
      <c r="Q161">
        <f t="shared" ref="Q161" si="781">F161*P161</f>
        <v>-14682367.034153875</v>
      </c>
      <c r="R161">
        <f t="shared" ref="R161" si="782">R162+Q161</f>
        <v>-591332076.52033079</v>
      </c>
      <c r="S161">
        <f t="shared" ref="S161" si="783">R161/100000</f>
        <v>-5913.3207652033079</v>
      </c>
      <c r="T161">
        <f t="shared" ref="T161" si="784">S161/1000</f>
        <v>-5.9133207652033075</v>
      </c>
    </row>
    <row r="162" spans="1:20" x14ac:dyDescent="0.25">
      <c r="A162" s="5">
        <v>44431</v>
      </c>
      <c r="B162">
        <v>1.1817</v>
      </c>
      <c r="C162">
        <v>1.198</v>
      </c>
      <c r="D162">
        <v>1.115</v>
      </c>
      <c r="E162">
        <v>1.1415999999999999</v>
      </c>
      <c r="F162">
        <v>20561390.66</v>
      </c>
      <c r="G162">
        <v>1.1415999999999999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-0.35903614457831401</v>
      </c>
      <c r="Q162">
        <f t="shared" ref="Q162" si="786">F162*P162</f>
        <v>-7382282.4297349555</v>
      </c>
      <c r="R162">
        <f t="shared" ref="R162" si="787">R163+Q162</f>
        <v>-576649709.48617697</v>
      </c>
      <c r="S162">
        <f t="shared" ref="S162" si="788">R162/100000</f>
        <v>-5766.4970948617693</v>
      </c>
      <c r="T162">
        <f t="shared" ref="T162" si="789">S162/1000</f>
        <v>-5.7664970948617693</v>
      </c>
    </row>
    <row r="163" spans="1:20" x14ac:dyDescent="0.25">
      <c r="A163" s="5">
        <v>44430</v>
      </c>
      <c r="B163">
        <v>1.0882000000000001</v>
      </c>
      <c r="C163">
        <v>1.1245000000000001</v>
      </c>
      <c r="D163">
        <v>1.0725</v>
      </c>
      <c r="E163">
        <v>1.0935999999999999</v>
      </c>
      <c r="F163">
        <v>4120378.34</v>
      </c>
      <c r="G163">
        <v>1.0935999999999999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-0.18846153846154315</v>
      </c>
      <c r="Q163">
        <f t="shared" ref="Q163" si="791">F163*P163</f>
        <v>-776532.84100001934</v>
      </c>
      <c r="R163">
        <f t="shared" ref="R163" si="792">R164+Q163</f>
        <v>-569267427.05644202</v>
      </c>
      <c r="S163">
        <f t="shared" ref="S163" si="793">R163/100000</f>
        <v>-5692.6742705644201</v>
      </c>
      <c r="T163">
        <f t="shared" ref="T163" si="794">S163/1000</f>
        <v>-5.69267427056442</v>
      </c>
    </row>
    <row r="164" spans="1:20" x14ac:dyDescent="0.25">
      <c r="A164" s="5">
        <v>44429</v>
      </c>
      <c r="B164">
        <v>1.0685</v>
      </c>
      <c r="C164">
        <v>1.1499999999999999</v>
      </c>
      <c r="D164">
        <v>1.0416000000000001</v>
      </c>
      <c r="E164">
        <v>1.0885</v>
      </c>
      <c r="F164">
        <v>29284684.800000001</v>
      </c>
      <c r="G164">
        <v>1.0885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-0.13468634686346836</v>
      </c>
      <c r="Q164">
        <f t="shared" ref="Q164" si="796">F164*P164</f>
        <v>-3944247.2147601396</v>
      </c>
      <c r="R164">
        <f t="shared" ref="R164" si="797">R165+Q164</f>
        <v>-568490894.21544206</v>
      </c>
      <c r="S164">
        <f t="shared" ref="S164" si="798">R164/100000</f>
        <v>-5684.9089421544204</v>
      </c>
      <c r="T164">
        <f t="shared" ref="T164" si="799">S164/1000</f>
        <v>-5.6849089421544203</v>
      </c>
    </row>
    <row r="165" spans="1:20" x14ac:dyDescent="0.25">
      <c r="A165" s="5">
        <v>44428</v>
      </c>
      <c r="B165">
        <v>1.0145</v>
      </c>
      <c r="C165">
        <v>1.0822000000000001</v>
      </c>
      <c r="D165">
        <v>0.98719999999999997</v>
      </c>
      <c r="E165">
        <v>1.0680000000000001</v>
      </c>
      <c r="F165">
        <v>21691741.960000001</v>
      </c>
      <c r="G165">
        <v>1.0680000000000001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0.70105263157894782</v>
      </c>
      <c r="Q165">
        <f t="shared" ref="Q165" si="801">F165*P165</f>
        <v>15207052.784589484</v>
      </c>
      <c r="R165">
        <f t="shared" ref="R165" si="802">R166+Q165</f>
        <v>-564546647.00068188</v>
      </c>
      <c r="S165">
        <f t="shared" ref="S165" si="803">R165/100000</f>
        <v>-5645.4664700068188</v>
      </c>
      <c r="T165">
        <f t="shared" ref="T165" si="804">S165/1000</f>
        <v>-5.6454664700068191</v>
      </c>
    </row>
    <row r="166" spans="1:20" x14ac:dyDescent="0.25">
      <c r="A166" s="5">
        <v>44427</v>
      </c>
      <c r="B166">
        <v>0.94979999999999998</v>
      </c>
      <c r="C166">
        <v>1.0329999999999999</v>
      </c>
      <c r="D166">
        <v>0.90959999999999996</v>
      </c>
      <c r="E166">
        <v>1.0144</v>
      </c>
      <c r="F166">
        <v>21912842.02</v>
      </c>
      <c r="G166">
        <v>1.0144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0.69854132901134591</v>
      </c>
      <c r="Q166">
        <f t="shared" ref="Q166" si="806">F166*P166</f>
        <v>15307025.787066465</v>
      </c>
      <c r="R166">
        <f t="shared" ref="R166" si="807">R167+Q166</f>
        <v>-579753699.78527141</v>
      </c>
      <c r="S166">
        <f t="shared" ref="S166" si="808">R166/100000</f>
        <v>-5797.5369978527142</v>
      </c>
      <c r="T166">
        <f t="shared" ref="T166" si="809">S166/1000</f>
        <v>-5.7975369978527143</v>
      </c>
    </row>
    <row r="167" spans="1:20" x14ac:dyDescent="0.25">
      <c r="A167" s="5">
        <v>44426</v>
      </c>
      <c r="B167">
        <v>0.9577</v>
      </c>
      <c r="C167">
        <v>0.99780000000000002</v>
      </c>
      <c r="D167">
        <v>0.9</v>
      </c>
      <c r="E167">
        <v>0.94930000000000003</v>
      </c>
      <c r="F167">
        <v>22167485.309999999</v>
      </c>
      <c r="G167">
        <v>0.94930000000000003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8.1799591002047339E-3</v>
      </c>
      <c r="Q167">
        <f t="shared" ref="Q167" si="811">F167*P167</f>
        <v>181329.12319018925</v>
      </c>
      <c r="R167">
        <f t="shared" ref="R167" si="812">R168+Q167</f>
        <v>-595060725.57233787</v>
      </c>
      <c r="S167">
        <f t="shared" ref="S167" si="813">R167/100000</f>
        <v>-5950.6072557233783</v>
      </c>
      <c r="T167">
        <f t="shared" ref="T167" si="814">S167/1000</f>
        <v>-5.9506072557233782</v>
      </c>
    </row>
    <row r="168" spans="1:20" x14ac:dyDescent="0.25">
      <c r="A168" s="5">
        <v>44425</v>
      </c>
      <c r="B168">
        <v>1.0506</v>
      </c>
      <c r="C168">
        <v>1.1214999999999999</v>
      </c>
      <c r="D168">
        <v>0.93889999999999996</v>
      </c>
      <c r="E168">
        <v>0.95809999999999995</v>
      </c>
      <c r="F168">
        <v>30213219.699999999</v>
      </c>
      <c r="G168">
        <v>0.95809999999999995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-0.78970427163198254</v>
      </c>
      <c r="Q168">
        <f t="shared" ref="Q168" si="816">F168*P168</f>
        <v>-23859508.656845566</v>
      </c>
      <c r="R168">
        <f t="shared" ref="R168" si="817">R169+Q168</f>
        <v>-595242054.69552803</v>
      </c>
      <c r="S168">
        <f t="shared" ref="S168" si="818">R168/100000</f>
        <v>-5952.4205469552799</v>
      </c>
      <c r="T168">
        <f t="shared" ref="T168" si="819">S168/1000</f>
        <v>-5.9524205469552802</v>
      </c>
    </row>
    <row r="169" spans="1:20" x14ac:dyDescent="0.25">
      <c r="A169" s="5">
        <v>44424</v>
      </c>
      <c r="B169">
        <v>1.0664</v>
      </c>
      <c r="C169">
        <v>1.1999</v>
      </c>
      <c r="D169">
        <v>1.0326</v>
      </c>
      <c r="E169">
        <v>1.0508</v>
      </c>
      <c r="F169">
        <v>35532517.149999999</v>
      </c>
      <c r="G169">
        <v>1.0508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-0.78242677824267792</v>
      </c>
      <c r="Q169">
        <f t="shared" ref="Q169" si="821">F169*P169</f>
        <v>-27801592.9165272</v>
      </c>
      <c r="R169">
        <f t="shared" ref="R169" si="822">R170+Q169</f>
        <v>-571382546.03868246</v>
      </c>
      <c r="S169">
        <f t="shared" ref="S169" si="823">R169/100000</f>
        <v>-5713.8254603868245</v>
      </c>
      <c r="T169">
        <f t="shared" ref="T169" si="824">S169/1000</f>
        <v>-5.7138254603868246</v>
      </c>
    </row>
    <row r="170" spans="1:20" x14ac:dyDescent="0.25">
      <c r="A170" s="5">
        <v>44423</v>
      </c>
      <c r="B170">
        <v>1.0902000000000001</v>
      </c>
      <c r="C170">
        <v>1.0952999999999999</v>
      </c>
      <c r="D170">
        <v>0.99050000000000005</v>
      </c>
      <c r="E170">
        <v>1.0657000000000001</v>
      </c>
      <c r="F170">
        <v>29918206.210000001</v>
      </c>
      <c r="G170">
        <v>1.0657000000000001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0.43511450381679623</v>
      </c>
      <c r="Q170">
        <f t="shared" ref="Q170" si="826">F170*P170</f>
        <v>13017845.450152742</v>
      </c>
      <c r="R170">
        <f t="shared" ref="R170" si="827">R171+Q170</f>
        <v>-543580953.12215531</v>
      </c>
      <c r="S170">
        <f t="shared" ref="S170" si="828">R170/100000</f>
        <v>-5435.8095312215528</v>
      </c>
      <c r="T170">
        <f t="shared" ref="T170" si="829">S170/1000</f>
        <v>-5.4358095312215529</v>
      </c>
    </row>
    <row r="171" spans="1:20" x14ac:dyDescent="0.25">
      <c r="A171" s="5">
        <v>44422</v>
      </c>
      <c r="B171">
        <v>0.99119999999999997</v>
      </c>
      <c r="C171">
        <v>1.1146</v>
      </c>
      <c r="D171">
        <v>0.95740000000000003</v>
      </c>
      <c r="E171">
        <v>1.0909</v>
      </c>
      <c r="F171">
        <v>47761923.880000003</v>
      </c>
      <c r="G171">
        <v>1.0909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0.69847328244274742</v>
      </c>
      <c r="Q171">
        <f t="shared" ref="Q171" si="831">F171*P171</f>
        <v>33360427.748244245</v>
      </c>
      <c r="R171">
        <f t="shared" ref="R171" si="832">R172+Q171</f>
        <v>-556598798.57230806</v>
      </c>
      <c r="S171">
        <f t="shared" ref="S171" si="833">R171/100000</f>
        <v>-5565.9879857230808</v>
      </c>
      <c r="T171">
        <f t="shared" ref="T171" si="834">S171/1000</f>
        <v>-5.5659879857230807</v>
      </c>
    </row>
    <row r="172" spans="1:20" x14ac:dyDescent="0.25">
      <c r="A172" s="5">
        <v>44421</v>
      </c>
      <c r="B172">
        <v>0.9093</v>
      </c>
      <c r="C172">
        <v>0.99509999999999998</v>
      </c>
      <c r="D172">
        <v>0.89280000000000004</v>
      </c>
      <c r="E172">
        <v>0.99119999999999997</v>
      </c>
      <c r="F172">
        <v>19957244.489999998</v>
      </c>
      <c r="G172">
        <v>0.99119999999999997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0.92375366568914918</v>
      </c>
      <c r="Q172">
        <f t="shared" ref="Q172" si="836">F172*P172</f>
        <v>18435577.754692074</v>
      </c>
      <c r="R172">
        <f t="shared" ref="R172" si="837">R173+Q172</f>
        <v>-589959226.32055235</v>
      </c>
      <c r="S172">
        <f t="shared" ref="S172" si="838">R172/100000</f>
        <v>-5899.5922632055235</v>
      </c>
      <c r="T172">
        <f t="shared" ref="T172" si="839">S172/1000</f>
        <v>-5.8995922632055233</v>
      </c>
    </row>
    <row r="173" spans="1:20" x14ac:dyDescent="0.25">
      <c r="A173" s="5">
        <v>44420</v>
      </c>
      <c r="B173">
        <v>0.94420000000000004</v>
      </c>
      <c r="C173">
        <v>0.98760000000000003</v>
      </c>
      <c r="D173">
        <v>0.85929999999999995</v>
      </c>
      <c r="E173">
        <v>0.9093</v>
      </c>
      <c r="F173">
        <v>23458433.550000001</v>
      </c>
      <c r="G173">
        <v>0.9093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-0.2205767731878408</v>
      </c>
      <c r="Q173">
        <f t="shared" ref="Q173" si="841">F173*P173</f>
        <v>-5174385.5765003851</v>
      </c>
      <c r="R173">
        <f t="shared" ref="R173" si="842">R174+Q173</f>
        <v>-608394804.07524443</v>
      </c>
      <c r="S173">
        <f t="shared" ref="S173" si="843">R173/100000</f>
        <v>-6083.9480407524443</v>
      </c>
      <c r="T173">
        <f t="shared" ref="T173" si="844">S173/1000</f>
        <v>-6.0839480407524444</v>
      </c>
    </row>
    <row r="174" spans="1:20" x14ac:dyDescent="0.25">
      <c r="A174" s="5">
        <v>44419</v>
      </c>
      <c r="B174">
        <v>0.89810000000000001</v>
      </c>
      <c r="C174">
        <v>1.0248999999999999</v>
      </c>
      <c r="D174">
        <v>0.89529999999999998</v>
      </c>
      <c r="E174">
        <v>0.94510000000000005</v>
      </c>
      <c r="F174">
        <v>37541634.399999999</v>
      </c>
      <c r="G174">
        <v>0.94510000000000005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-0.23148148148148009</v>
      </c>
      <c r="Q174">
        <f t="shared" ref="Q174" si="846">F174*P174</f>
        <v>-8690193.1481480952</v>
      </c>
      <c r="R174">
        <f t="shared" ref="R174" si="847">R175+Q174</f>
        <v>-603220418.49874401</v>
      </c>
      <c r="S174">
        <f t="shared" ref="S174" si="848">R174/100000</f>
        <v>-6032.2041849874404</v>
      </c>
      <c r="T174">
        <f t="shared" ref="T174" si="849">S174/1000</f>
        <v>-6.0322041849874406</v>
      </c>
    </row>
    <row r="175" spans="1:20" x14ac:dyDescent="0.25">
      <c r="A175" s="5">
        <v>44418</v>
      </c>
      <c r="B175">
        <v>0.85850000000000004</v>
      </c>
      <c r="C175">
        <v>0.93420000000000003</v>
      </c>
      <c r="D175">
        <v>0.83550000000000002</v>
      </c>
      <c r="E175">
        <v>0.89810000000000001</v>
      </c>
      <c r="F175">
        <v>29230779.149999999</v>
      </c>
      <c r="G175">
        <v>0.89810000000000001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0.26849037487335325</v>
      </c>
      <c r="Q175">
        <f t="shared" ref="Q175" si="851">F175*P175</f>
        <v>7848182.8518236978</v>
      </c>
      <c r="R175">
        <f t="shared" ref="R175" si="852">R176+Q175</f>
        <v>-594530225.35059595</v>
      </c>
      <c r="S175">
        <f t="shared" ref="S175" si="853">R175/100000</f>
        <v>-5945.3022535059599</v>
      </c>
      <c r="T175">
        <f t="shared" ref="T175" si="854">S175/1000</f>
        <v>-5.9453022535059601</v>
      </c>
    </row>
    <row r="176" spans="1:20" x14ac:dyDescent="0.25">
      <c r="A176" s="5">
        <v>44417</v>
      </c>
      <c r="B176">
        <v>0.80079999999999996</v>
      </c>
      <c r="C176">
        <v>0.86929999999999996</v>
      </c>
      <c r="D176">
        <v>0.76500000000000001</v>
      </c>
      <c r="E176">
        <v>0.85860000000000003</v>
      </c>
      <c r="F176">
        <v>23859554.559999999</v>
      </c>
      <c r="G176">
        <v>0.85860000000000003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0.79482262703739337</v>
      </c>
      <c r="Q176">
        <f t="shared" ref="Q176" si="856">F176*P176</f>
        <v>18964113.835321218</v>
      </c>
      <c r="R176">
        <f t="shared" ref="R176" si="857">R177+Q176</f>
        <v>-602378408.20241964</v>
      </c>
      <c r="S176">
        <f t="shared" ref="S176" si="858">R176/100000</f>
        <v>-6023.7840820241963</v>
      </c>
      <c r="T176">
        <f t="shared" ref="T176" si="859">S176/1000</f>
        <v>-6.0237840820241964</v>
      </c>
    </row>
    <row r="177" spans="1:20" x14ac:dyDescent="0.25">
      <c r="A177" s="5">
        <v>44416</v>
      </c>
      <c r="B177">
        <v>0.87270000000000003</v>
      </c>
      <c r="C177">
        <v>0.88</v>
      </c>
      <c r="D177">
        <v>0.78290000000000004</v>
      </c>
      <c r="E177">
        <v>0.8004</v>
      </c>
      <c r="F177">
        <v>16161241.09</v>
      </c>
      <c r="G177">
        <v>0.8004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-0.63954685890834262</v>
      </c>
      <c r="Q177">
        <f t="shared" ref="Q177" si="861">F177*P177</f>
        <v>-10335870.97516994</v>
      </c>
      <c r="R177">
        <f t="shared" ref="R177" si="862">R178+Q177</f>
        <v>-621342522.03774083</v>
      </c>
      <c r="S177">
        <f t="shared" ref="S177" si="863">R177/100000</f>
        <v>-6213.4252203774086</v>
      </c>
      <c r="T177">
        <f t="shared" ref="T177" si="864">S177/1000</f>
        <v>-6.2134252203774087</v>
      </c>
    </row>
    <row r="178" spans="1:20" x14ac:dyDescent="0.25">
      <c r="A178" s="5">
        <v>44415</v>
      </c>
      <c r="B178">
        <v>0.8327</v>
      </c>
      <c r="C178">
        <v>0.91</v>
      </c>
      <c r="D178">
        <v>0.82</v>
      </c>
      <c r="E178">
        <v>0.87270000000000003</v>
      </c>
      <c r="F178">
        <v>37369021.460000001</v>
      </c>
      <c r="G178">
        <v>0.87270000000000003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0.17111111111111185</v>
      </c>
      <c r="Q178">
        <f t="shared" ref="Q178" si="866">F178*P178</f>
        <v>6394254.7831555838</v>
      </c>
      <c r="R178">
        <f t="shared" ref="R178" si="867">R179+Q178</f>
        <v>-611006651.06257093</v>
      </c>
      <c r="S178">
        <f t="shared" ref="S178" si="868">R178/100000</f>
        <v>-6110.0665106257093</v>
      </c>
      <c r="T178">
        <f t="shared" ref="T178" si="869">S178/1000</f>
        <v>-6.1100665106257095</v>
      </c>
    </row>
    <row r="179" spans="1:20" x14ac:dyDescent="0.25">
      <c r="A179" s="5">
        <v>44414</v>
      </c>
      <c r="B179">
        <v>0.80859999999999999</v>
      </c>
      <c r="C179">
        <v>0.86070000000000002</v>
      </c>
      <c r="D179">
        <v>0.77500000000000002</v>
      </c>
      <c r="E179">
        <v>0.83230000000000004</v>
      </c>
      <c r="F179">
        <v>36285312.479999997</v>
      </c>
      <c r="G179">
        <v>0.83230000000000004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0.33722287047841348</v>
      </c>
      <c r="Q179">
        <f t="shared" ref="Q179" si="871">F179*P179</f>
        <v>12236237.230711799</v>
      </c>
      <c r="R179">
        <f t="shared" ref="R179" si="872">R180+Q179</f>
        <v>-617400905.84572649</v>
      </c>
      <c r="S179">
        <f t="shared" ref="S179" si="873">R179/100000</f>
        <v>-6174.0090584572645</v>
      </c>
      <c r="T179">
        <f t="shared" ref="T179" si="874">S179/1000</f>
        <v>-6.1740090584572647</v>
      </c>
    </row>
    <row r="180" spans="1:20" x14ac:dyDescent="0.25">
      <c r="A180" s="5">
        <v>44413</v>
      </c>
      <c r="B180">
        <v>0.82799999999999996</v>
      </c>
      <c r="C180">
        <v>0.83550000000000002</v>
      </c>
      <c r="D180">
        <v>0.76319999999999999</v>
      </c>
      <c r="E180">
        <v>0.80820000000000003</v>
      </c>
      <c r="F180">
        <v>22536398.73</v>
      </c>
      <c r="G180">
        <v>0.80820000000000003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0.24481327800829933</v>
      </c>
      <c r="Q180">
        <f t="shared" ref="Q180" si="876">F180*P180</f>
        <v>5517209.6475933744</v>
      </c>
      <c r="R180">
        <f t="shared" ref="R180" si="877">R181+Q180</f>
        <v>-629637143.07643831</v>
      </c>
      <c r="S180">
        <f t="shared" ref="S180" si="878">R180/100000</f>
        <v>-6296.3714307643831</v>
      </c>
      <c r="T180">
        <f t="shared" ref="T180" si="879">S180/1000</f>
        <v>-6.296371430764383</v>
      </c>
    </row>
    <row r="181" spans="1:20" x14ac:dyDescent="0.25">
      <c r="A181" s="5">
        <v>44412</v>
      </c>
      <c r="B181">
        <v>0.76359999999999995</v>
      </c>
      <c r="C181">
        <v>0.85550000000000004</v>
      </c>
      <c r="D181">
        <v>0.753</v>
      </c>
      <c r="E181">
        <v>0.82799999999999996</v>
      </c>
      <c r="F181">
        <v>18407987.43</v>
      </c>
      <c r="G181">
        <v>0.82799999999999996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0.4634146341463401</v>
      </c>
      <c r="Q181">
        <f t="shared" ref="Q181" si="881">F181*P181</f>
        <v>8530530.7602438778</v>
      </c>
      <c r="R181">
        <f t="shared" ref="R181" si="882">R182+Q181</f>
        <v>-635154352.72403169</v>
      </c>
      <c r="S181">
        <f t="shared" ref="S181" si="883">R181/100000</f>
        <v>-6351.5435272403165</v>
      </c>
      <c r="T181">
        <f t="shared" ref="T181" si="884">S181/1000</f>
        <v>-6.3515435272403167</v>
      </c>
    </row>
    <row r="182" spans="1:20" x14ac:dyDescent="0.25">
      <c r="A182" s="5">
        <v>44411</v>
      </c>
      <c r="B182">
        <v>0.78700000000000003</v>
      </c>
      <c r="C182">
        <v>0.80200000000000005</v>
      </c>
      <c r="D182">
        <v>0.75129999999999997</v>
      </c>
      <c r="E182">
        <v>0.7631</v>
      </c>
      <c r="F182">
        <v>9923637.5500000007</v>
      </c>
      <c r="G182">
        <v>0.7631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-0.53451676528599545</v>
      </c>
      <c r="Q182">
        <f t="shared" ref="Q182" si="886">F182*P182</f>
        <v>-5304350.6430966416</v>
      </c>
      <c r="R182">
        <f t="shared" ref="R182" si="887">R183+Q182</f>
        <v>-643684883.48427558</v>
      </c>
      <c r="S182">
        <f t="shared" ref="S182" si="888">R182/100000</f>
        <v>-6436.8488348427554</v>
      </c>
      <c r="T182">
        <f t="shared" ref="T182" si="889">S182/1000</f>
        <v>-6.4368488348427553</v>
      </c>
    </row>
    <row r="183" spans="1:20" x14ac:dyDescent="0.25">
      <c r="A183" s="5">
        <v>44410</v>
      </c>
      <c r="B183">
        <v>0.77869999999999995</v>
      </c>
      <c r="C183">
        <v>0.81810000000000005</v>
      </c>
      <c r="D183">
        <v>0.76270000000000004</v>
      </c>
      <c r="E183">
        <v>0.78739999999999999</v>
      </c>
      <c r="F183">
        <v>12395387.5</v>
      </c>
      <c r="G183">
        <v>0.78739999999999999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-0.10830324909747502</v>
      </c>
      <c r="Q183">
        <f t="shared" ref="Q183" si="891">F183*P183</f>
        <v>-1342460.740072228</v>
      </c>
      <c r="R183">
        <f t="shared" ref="R183" si="892">R184+Q183</f>
        <v>-638380532.84117889</v>
      </c>
      <c r="S183">
        <f t="shared" ref="S183" si="893">R183/100000</f>
        <v>-6383.8053284117887</v>
      </c>
      <c r="T183">
        <f t="shared" ref="T183" si="894">S183/1000</f>
        <v>-6.383805328411789</v>
      </c>
    </row>
    <row r="184" spans="1:20" x14ac:dyDescent="0.25">
      <c r="A184" s="5">
        <v>44409</v>
      </c>
      <c r="B184">
        <v>0.80549999999999999</v>
      </c>
      <c r="C184">
        <v>0.85980000000000001</v>
      </c>
      <c r="D184">
        <v>0.76200000000000001</v>
      </c>
      <c r="E184">
        <v>0.77869999999999995</v>
      </c>
      <c r="F184">
        <v>20715979.23</v>
      </c>
      <c r="G184">
        <v>0.77869999999999995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-0.65848670756646344</v>
      </c>
      <c r="Q184">
        <f t="shared" ref="Q184" si="896">F184*P184</f>
        <v>-13641196.957177941</v>
      </c>
      <c r="R184">
        <f t="shared" ref="R184" si="897">R185+Q184</f>
        <v>-637038072.10110664</v>
      </c>
      <c r="S184">
        <f t="shared" ref="S184" si="898">R184/100000</f>
        <v>-6370.3807210110663</v>
      </c>
      <c r="T184">
        <f t="shared" ref="T184" si="899">S184/1000</f>
        <v>-6.3703807210110659</v>
      </c>
    </row>
    <row r="185" spans="1:20" x14ac:dyDescent="0.25">
      <c r="A185" s="5">
        <v>44408</v>
      </c>
      <c r="B185">
        <v>0.78849999999999998</v>
      </c>
      <c r="C185">
        <v>0.83289999999999997</v>
      </c>
      <c r="D185">
        <v>0.77629999999999999</v>
      </c>
      <c r="E185">
        <v>0.80549999999999999</v>
      </c>
      <c r="F185">
        <v>16419676.27</v>
      </c>
      <c r="G185">
        <v>0.80549999999999999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3.1802120141343183E-2</v>
      </c>
      <c r="Q185">
        <f t="shared" ref="Q185" si="901">F185*P185</f>
        <v>522180.51742050168</v>
      </c>
      <c r="R185">
        <f t="shared" ref="R185" si="902">R186+Q185</f>
        <v>-623396875.14392865</v>
      </c>
      <c r="S185">
        <f t="shared" ref="S185" si="903">R185/100000</f>
        <v>-6233.9687514392863</v>
      </c>
      <c r="T185">
        <f t="shared" ref="T185" si="904">S185/1000</f>
        <v>-6.2339687514392859</v>
      </c>
    </row>
    <row r="186" spans="1:20" x14ac:dyDescent="0.25">
      <c r="A186" s="5">
        <v>44407</v>
      </c>
      <c r="B186">
        <v>0.78180000000000005</v>
      </c>
      <c r="C186">
        <v>0.80959999999999999</v>
      </c>
      <c r="D186">
        <v>0.75449999999999995</v>
      </c>
      <c r="E186">
        <v>0.78859999999999997</v>
      </c>
      <c r="F186">
        <v>19508010.219999999</v>
      </c>
      <c r="G186">
        <v>0.78859999999999997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0.23774954627949169</v>
      </c>
      <c r="Q186">
        <f t="shared" ref="Q186" si="906">F186*P186</f>
        <v>4638020.5786206862</v>
      </c>
      <c r="R186">
        <f t="shared" ref="R186" si="907">R187+Q186</f>
        <v>-623919055.66134918</v>
      </c>
      <c r="S186">
        <f t="shared" ref="S186" si="908">R186/100000</f>
        <v>-6239.1905566134919</v>
      </c>
      <c r="T186">
        <f t="shared" ref="T186" si="909">S186/1000</f>
        <v>-6.239190556613492</v>
      </c>
    </row>
    <row r="187" spans="1:20" x14ac:dyDescent="0.25">
      <c r="A187" s="5">
        <v>44406</v>
      </c>
      <c r="B187">
        <v>0.77639999999999998</v>
      </c>
      <c r="C187">
        <v>0.83309999999999995</v>
      </c>
      <c r="D187">
        <v>0.75109999999999999</v>
      </c>
      <c r="E187">
        <v>0.78139999999999998</v>
      </c>
      <c r="F187">
        <v>18012282.719999999</v>
      </c>
      <c r="G187">
        <v>0.78139999999999998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-0.26097560975609735</v>
      </c>
      <c r="Q187">
        <f t="shared" ref="Q187" si="911">F187*P187</f>
        <v>-4700766.4659512155</v>
      </c>
      <c r="R187">
        <f t="shared" ref="R187" si="912">R188+Q187</f>
        <v>-628557076.23996985</v>
      </c>
      <c r="S187">
        <f t="shared" ref="S187" si="913">R187/100000</f>
        <v>-6285.5707623996987</v>
      </c>
      <c r="T187">
        <f t="shared" ref="T187" si="914">S187/1000</f>
        <v>-6.2855707623996988</v>
      </c>
    </row>
    <row r="188" spans="1:20" x14ac:dyDescent="0.25">
      <c r="A188" s="5">
        <v>44405</v>
      </c>
      <c r="B188">
        <v>0.76759999999999995</v>
      </c>
      <c r="C188">
        <v>0.81089999999999995</v>
      </c>
      <c r="D188">
        <v>0.75339999999999996</v>
      </c>
      <c r="E188">
        <v>0.7762</v>
      </c>
      <c r="F188">
        <v>18926472.649999999</v>
      </c>
      <c r="G188">
        <v>0.7762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-0.2069565217391289</v>
      </c>
      <c r="Q188">
        <f t="shared" ref="Q188" si="916">F188*P188</f>
        <v>-3916956.9484347533</v>
      </c>
      <c r="R188">
        <f t="shared" ref="R188" si="917">R189+Q188</f>
        <v>-623856309.77401865</v>
      </c>
      <c r="S188">
        <f t="shared" ref="S188" si="918">R188/100000</f>
        <v>-6238.5630977401861</v>
      </c>
      <c r="T188">
        <f t="shared" ref="T188" si="919">S188/1000</f>
        <v>-6.2385630977401858</v>
      </c>
    </row>
    <row r="189" spans="1:20" x14ac:dyDescent="0.25">
      <c r="A189" s="5">
        <v>44404</v>
      </c>
      <c r="B189">
        <v>0.74529999999999996</v>
      </c>
      <c r="C189">
        <v>0.80710000000000004</v>
      </c>
      <c r="D189">
        <v>0.7147</v>
      </c>
      <c r="E189">
        <v>0.76759999999999995</v>
      </c>
      <c r="F189">
        <v>18059860.739999998</v>
      </c>
      <c r="G189">
        <v>0.76759999999999995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0.14502164502164341</v>
      </c>
      <c r="Q189">
        <f t="shared" ref="Q189" si="921">F189*P189</f>
        <v>2619070.7133765942</v>
      </c>
      <c r="R189">
        <f t="shared" ref="R189" si="922">R190+Q189</f>
        <v>-619939352.82558393</v>
      </c>
      <c r="S189">
        <f t="shared" ref="S189" si="923">R189/100000</f>
        <v>-6199.3935282558396</v>
      </c>
      <c r="T189">
        <f t="shared" ref="T189" si="924">S189/1000</f>
        <v>-6.1993935282558397</v>
      </c>
    </row>
    <row r="190" spans="1:20" x14ac:dyDescent="0.25">
      <c r="A190" s="5">
        <v>44403</v>
      </c>
      <c r="B190">
        <v>0.79700000000000004</v>
      </c>
      <c r="C190">
        <v>0.85</v>
      </c>
      <c r="D190">
        <v>0.72370000000000001</v>
      </c>
      <c r="E190">
        <v>0.74670000000000003</v>
      </c>
      <c r="F190">
        <v>25506519.82</v>
      </c>
      <c r="G190">
        <v>0.74670000000000003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-0.63578780680918412</v>
      </c>
      <c r="Q190">
        <f t="shared" ref="Q190" si="926">F190*P190</f>
        <v>-16216734.295692787</v>
      </c>
      <c r="R190">
        <f t="shared" ref="R190" si="927">R191+Q190</f>
        <v>-622558423.53896058</v>
      </c>
      <c r="S190">
        <f t="shared" ref="S190" si="928">R190/100000</f>
        <v>-6225.584235389606</v>
      </c>
      <c r="T190">
        <f t="shared" ref="T190" si="929">S190/1000</f>
        <v>-6.225584235389606</v>
      </c>
    </row>
    <row r="191" spans="1:20" x14ac:dyDescent="0.25">
      <c r="A191" s="5">
        <v>44402</v>
      </c>
      <c r="B191">
        <v>0.78710000000000002</v>
      </c>
      <c r="C191">
        <v>0.85880000000000001</v>
      </c>
      <c r="D191">
        <v>0.73640000000000005</v>
      </c>
      <c r="E191">
        <v>0.79700000000000004</v>
      </c>
      <c r="F191">
        <v>29191267.84</v>
      </c>
      <c r="G191">
        <v>0.79700000000000004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-9.8039215686272826E-3</v>
      </c>
      <c r="Q191">
        <f t="shared" ref="Q191" si="931">F191*P191</f>
        <v>-286188.90039215196</v>
      </c>
      <c r="R191">
        <f t="shared" ref="R191" si="932">R192+Q191</f>
        <v>-606341689.24326777</v>
      </c>
      <c r="S191">
        <f t="shared" ref="S191" si="933">R191/100000</f>
        <v>-6063.4168924326777</v>
      </c>
      <c r="T191">
        <f t="shared" ref="T191:T197" si="934">S191/1000</f>
        <v>-6.0634168924326781</v>
      </c>
    </row>
    <row r="192" spans="1:20" x14ac:dyDescent="0.25">
      <c r="A192" s="5">
        <v>44401</v>
      </c>
      <c r="B192">
        <v>0.75209999999999999</v>
      </c>
      <c r="C192">
        <v>0.84499999999999997</v>
      </c>
      <c r="D192">
        <v>0.73599999999999999</v>
      </c>
      <c r="E192">
        <v>0.78610000000000002</v>
      </c>
      <c r="F192">
        <v>41480803.649999999</v>
      </c>
      <c r="G192">
        <v>0.78610000000000002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-8.0733944954127709E-2</v>
      </c>
      <c r="Q192">
        <f t="shared" ref="Q192" si="936">F192*P192</f>
        <v>-3348908.9185320796</v>
      </c>
      <c r="R192">
        <f t="shared" ref="R192" si="937">R193+Q192</f>
        <v>-606055500.3428756</v>
      </c>
      <c r="S192">
        <f t="shared" ref="S192" si="938">R192/100000</f>
        <v>-6060.5550034287562</v>
      </c>
      <c r="T192">
        <f t="shared" si="934"/>
        <v>-6.0605550034287559</v>
      </c>
    </row>
    <row r="193" spans="1:20" x14ac:dyDescent="0.25">
      <c r="A193" s="5">
        <v>44400</v>
      </c>
      <c r="B193">
        <v>0.68030000000000002</v>
      </c>
      <c r="C193">
        <v>0.77</v>
      </c>
      <c r="D193">
        <v>0.66690000000000005</v>
      </c>
      <c r="E193">
        <v>0.75239999999999996</v>
      </c>
      <c r="F193">
        <v>26421083.280000001</v>
      </c>
      <c r="G193">
        <v>0.75239999999999996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0.65858389912705984</v>
      </c>
      <c r="Q193">
        <f t="shared" ref="Q193" si="940">F193*P193</f>
        <v>17400500.045703169</v>
      </c>
      <c r="R193">
        <f t="shared" ref="R193" si="941">R194+Q193</f>
        <v>-602706591.42434347</v>
      </c>
      <c r="S193">
        <f t="shared" ref="S193" si="942">R193/100000</f>
        <v>-6027.0659142434342</v>
      </c>
      <c r="T193">
        <f t="shared" si="934"/>
        <v>-6.0270659142434342</v>
      </c>
    </row>
    <row r="194" spans="1:20" x14ac:dyDescent="0.25">
      <c r="A194" s="5">
        <v>44399</v>
      </c>
      <c r="B194">
        <v>0.66020000000000001</v>
      </c>
      <c r="C194">
        <v>0.71879999999999999</v>
      </c>
      <c r="D194">
        <v>0.64119999999999999</v>
      </c>
      <c r="E194">
        <v>0.6804</v>
      </c>
      <c r="F194">
        <v>17273423.989999998</v>
      </c>
      <c r="G194">
        <v>0.6804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1.0309278350515759E-2</v>
      </c>
      <c r="Q194">
        <f t="shared" ref="Q194" si="944">F194*P194</f>
        <v>178076.53597938651</v>
      </c>
      <c r="R194">
        <f t="shared" ref="R194" si="945">R195+Q194</f>
        <v>-620107091.47004664</v>
      </c>
      <c r="S194">
        <f t="shared" ref="S194" si="946">R194/100000</f>
        <v>-6201.0709147004663</v>
      </c>
      <c r="T194">
        <f t="shared" si="934"/>
        <v>-6.2010709147004661</v>
      </c>
    </row>
    <row r="195" spans="1:20" x14ac:dyDescent="0.25">
      <c r="A195" s="5">
        <v>44398</v>
      </c>
      <c r="B195">
        <v>0.59099999999999997</v>
      </c>
      <c r="C195">
        <v>0.68459999999999999</v>
      </c>
      <c r="D195">
        <v>0.5706</v>
      </c>
      <c r="E195">
        <v>0.65849999999999997</v>
      </c>
      <c r="F195">
        <v>17212344.789999999</v>
      </c>
      <c r="G195">
        <v>0.65849999999999997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0.54210526315789453</v>
      </c>
      <c r="Q195">
        <f t="shared" ref="Q195" si="948">F195*P195</f>
        <v>9330902.701947365</v>
      </c>
      <c r="R195">
        <f t="shared" ref="R195" si="949">R196+Q195</f>
        <v>-620285168.00602603</v>
      </c>
      <c r="S195">
        <f t="shared" ref="S195" si="950">R195/100000</f>
        <v>-6202.8516800602602</v>
      </c>
      <c r="T195">
        <f t="shared" si="934"/>
        <v>-6.2028516800602604</v>
      </c>
    </row>
    <row r="196" spans="1:20" x14ac:dyDescent="0.25">
      <c r="A196" s="5">
        <v>44397</v>
      </c>
      <c r="B196">
        <v>0.65349999999999997</v>
      </c>
      <c r="C196">
        <v>0.66500000000000004</v>
      </c>
      <c r="D196">
        <v>0.56220000000000003</v>
      </c>
      <c r="E196">
        <v>0.5907</v>
      </c>
      <c r="F196">
        <v>18283721.120000001</v>
      </c>
      <c r="G196">
        <v>0.5907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-0.44552529182879436</v>
      </c>
      <c r="Q196">
        <f t="shared" ref="Q196" si="952">F196*P196</f>
        <v>-8145860.1877042912</v>
      </c>
      <c r="R196">
        <f t="shared" ref="R196" si="953">R197+Q196</f>
        <v>-629616070.70797336</v>
      </c>
      <c r="S196">
        <f t="shared" ref="S196" si="954">R196/100000</f>
        <v>-6296.1607070797336</v>
      </c>
      <c r="T196">
        <f t="shared" si="934"/>
        <v>-6.2961607070797339</v>
      </c>
    </row>
    <row r="197" spans="1:20" x14ac:dyDescent="0.25">
      <c r="A197" s="5">
        <v>44396</v>
      </c>
      <c r="B197">
        <v>0.70799999999999996</v>
      </c>
      <c r="C197">
        <v>0.71199999999999997</v>
      </c>
      <c r="D197">
        <v>0.63639999999999997</v>
      </c>
      <c r="E197">
        <v>0.65280000000000005</v>
      </c>
      <c r="F197">
        <v>15976704.710000001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-0.56613756613756394</v>
      </c>
      <c r="Q197">
        <f t="shared" ref="Q197" si="956">F197*P197</f>
        <v>-9045012.7194179557</v>
      </c>
      <c r="R197">
        <f t="shared" ref="R197" si="957">R198+Q197</f>
        <v>-621470210.52026904</v>
      </c>
      <c r="S197">
        <f t="shared" ref="S197" si="958">R197/100000</f>
        <v>-6214.7021052026903</v>
      </c>
      <c r="T197">
        <f t="shared" si="934"/>
        <v>-6.2147021052026901</v>
      </c>
    </row>
    <row r="198" spans="1:20" x14ac:dyDescent="0.25">
      <c r="A198" s="5">
        <v>44395</v>
      </c>
      <c r="B198">
        <v>0.71740000000000004</v>
      </c>
      <c r="C198">
        <v>0.76700000000000002</v>
      </c>
      <c r="D198">
        <v>0.69440000000000002</v>
      </c>
      <c r="E198">
        <v>0.70840000000000003</v>
      </c>
      <c r="F198">
        <v>13330496.439999999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-0.61432506887052307</v>
      </c>
      <c r="Q198">
        <f t="shared" ref="Q198:Q261" si="960">F198*P198</f>
        <v>-8189258.1435812619</v>
      </c>
      <c r="R198">
        <f t="shared" ref="R198:R261" si="961">R199+Q198</f>
        <v>-612425197.80085111</v>
      </c>
      <c r="S198">
        <f t="shared" ref="S198:S261" si="962">R198/100000</f>
        <v>-6124.2519780085113</v>
      </c>
      <c r="T198">
        <f t="shared" ref="T198:T261" si="963">S198/1000</f>
        <v>-6.1242519780085116</v>
      </c>
    </row>
    <row r="199" spans="1:20" x14ac:dyDescent="0.25">
      <c r="A199" s="5">
        <v>44394</v>
      </c>
      <c r="B199">
        <v>0.74099999999999999</v>
      </c>
      <c r="C199">
        <v>0.78010000000000002</v>
      </c>
      <c r="D199">
        <v>0.70330000000000004</v>
      </c>
      <c r="E199">
        <v>0.7177</v>
      </c>
      <c r="F199">
        <v>23060424.93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-0.62500000000000078</v>
      </c>
      <c r="Q199">
        <f t="shared" si="960"/>
        <v>-14412765.581250018</v>
      </c>
      <c r="R199">
        <f t="shared" si="961"/>
        <v>-604235939.65726984</v>
      </c>
      <c r="S199">
        <f t="shared" si="962"/>
        <v>-6042.3593965726986</v>
      </c>
      <c r="T199">
        <f t="shared" si="963"/>
        <v>-6.0423593965726985</v>
      </c>
    </row>
    <row r="200" spans="1:20" x14ac:dyDescent="0.25">
      <c r="A200" s="5">
        <v>44393</v>
      </c>
      <c r="B200">
        <v>0.9385</v>
      </c>
      <c r="C200">
        <v>0.94099999999999995</v>
      </c>
      <c r="D200">
        <v>0.73850000000000005</v>
      </c>
      <c r="E200">
        <v>0.74099999999999999</v>
      </c>
      <c r="F200">
        <v>29600784.719999999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-0.9753086419753092</v>
      </c>
      <c r="Q200">
        <f t="shared" si="960"/>
        <v>-28869901.146666683</v>
      </c>
      <c r="R200">
        <f t="shared" si="961"/>
        <v>-589823174.07601976</v>
      </c>
      <c r="S200">
        <f t="shared" si="962"/>
        <v>-5898.2317407601977</v>
      </c>
      <c r="T200">
        <f t="shared" si="963"/>
        <v>-5.8982317407601981</v>
      </c>
    </row>
    <row r="201" spans="1:20" x14ac:dyDescent="0.25">
      <c r="A201" s="5">
        <v>44392</v>
      </c>
      <c r="B201">
        <v>0.81810000000000005</v>
      </c>
      <c r="C201">
        <v>0.95789999999999997</v>
      </c>
      <c r="D201">
        <v>0.79510000000000003</v>
      </c>
      <c r="E201">
        <v>0.93679999999999997</v>
      </c>
      <c r="F201">
        <v>67239215.620000005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0.74078624078624056</v>
      </c>
      <c r="Q201">
        <f t="shared" si="960"/>
        <v>49809885.772555269</v>
      </c>
      <c r="R201">
        <f t="shared" si="961"/>
        <v>-560953272.92935312</v>
      </c>
      <c r="S201">
        <f t="shared" si="962"/>
        <v>-5609.5327292935308</v>
      </c>
      <c r="T201">
        <f t="shared" si="963"/>
        <v>-5.6095327292935311</v>
      </c>
    </row>
    <row r="202" spans="1:20" x14ac:dyDescent="0.25">
      <c r="A202" s="5">
        <v>44391</v>
      </c>
      <c r="B202">
        <v>0.74039999999999995</v>
      </c>
      <c r="C202">
        <v>0.85199999999999998</v>
      </c>
      <c r="D202">
        <v>0.6673</v>
      </c>
      <c r="E202">
        <v>0.81810000000000005</v>
      </c>
      <c r="F202">
        <v>47858292.609999999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0.63291824580400724</v>
      </c>
      <c r="Q202">
        <f t="shared" si="960"/>
        <v>30290386.605896082</v>
      </c>
      <c r="R202">
        <f t="shared" si="961"/>
        <v>-610763158.70190835</v>
      </c>
      <c r="S202">
        <f t="shared" si="962"/>
        <v>-6107.6315870190838</v>
      </c>
      <c r="T202">
        <f t="shared" si="963"/>
        <v>-6.1076315870190836</v>
      </c>
    </row>
    <row r="203" spans="1:20" x14ac:dyDescent="0.25">
      <c r="A203" s="5">
        <v>44390</v>
      </c>
      <c r="B203">
        <v>0.70589999999999997</v>
      </c>
      <c r="C203">
        <v>0.74250000000000005</v>
      </c>
      <c r="D203">
        <v>0.67490000000000006</v>
      </c>
      <c r="E203">
        <v>0.74119999999999997</v>
      </c>
      <c r="F203">
        <v>19680203.760000002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0.96153846153845923</v>
      </c>
      <c r="Q203">
        <f t="shared" si="960"/>
        <v>18923272.846153803</v>
      </c>
      <c r="R203">
        <f t="shared" si="961"/>
        <v>-641053545.30780447</v>
      </c>
      <c r="S203">
        <f t="shared" si="962"/>
        <v>-6410.5354530780451</v>
      </c>
      <c r="T203">
        <f t="shared" si="963"/>
        <v>-6.4105354530780447</v>
      </c>
    </row>
    <row r="204" spans="1:20" x14ac:dyDescent="0.25">
      <c r="A204" s="5">
        <v>44389</v>
      </c>
      <c r="B204">
        <v>0.76300000000000001</v>
      </c>
      <c r="C204">
        <v>0.76880000000000004</v>
      </c>
      <c r="D204">
        <v>0.68259999999999998</v>
      </c>
      <c r="E204">
        <v>0.70660000000000001</v>
      </c>
      <c r="F204">
        <v>16192639.48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-0.44315545243619475</v>
      </c>
      <c r="Q204">
        <f t="shared" si="960"/>
        <v>-7175856.47489559</v>
      </c>
      <c r="R204">
        <f t="shared" si="961"/>
        <v>-659976818.15395832</v>
      </c>
      <c r="S204">
        <f t="shared" si="962"/>
        <v>-6599.7681815395836</v>
      </c>
      <c r="T204">
        <f t="shared" si="963"/>
        <v>-6.5997681815395834</v>
      </c>
    </row>
    <row r="205" spans="1:20" x14ac:dyDescent="0.25">
      <c r="A205" s="5">
        <v>44388</v>
      </c>
      <c r="B205">
        <v>0.79220000000000002</v>
      </c>
      <c r="C205">
        <v>0.80120000000000002</v>
      </c>
      <c r="D205">
        <v>0.73540000000000005</v>
      </c>
      <c r="E205">
        <v>0.76190000000000002</v>
      </c>
      <c r="F205">
        <v>24515658.84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-0.19452887537993982</v>
      </c>
      <c r="Q205">
        <f t="shared" si="960"/>
        <v>-4769003.5433434797</v>
      </c>
      <c r="R205">
        <f t="shared" si="961"/>
        <v>-652800961.67906272</v>
      </c>
      <c r="S205">
        <f t="shared" si="962"/>
        <v>-6528.0096167906277</v>
      </c>
      <c r="T205">
        <f t="shared" si="963"/>
        <v>-6.5280096167906274</v>
      </c>
    </row>
    <row r="206" spans="1:20" x14ac:dyDescent="0.25">
      <c r="A206" s="5">
        <v>44387</v>
      </c>
      <c r="B206">
        <v>0.67549999999999999</v>
      </c>
      <c r="C206">
        <v>0.79459999999999997</v>
      </c>
      <c r="D206">
        <v>0.65880000000000005</v>
      </c>
      <c r="E206">
        <v>0.79249999999999998</v>
      </c>
      <c r="F206">
        <v>33077775.960000001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0.96907216494845372</v>
      </c>
      <c r="Q206">
        <f t="shared" si="960"/>
        <v>32054751.961237118</v>
      </c>
      <c r="R206">
        <f t="shared" si="961"/>
        <v>-648031958.1357193</v>
      </c>
      <c r="S206">
        <f t="shared" si="962"/>
        <v>-6480.3195813571929</v>
      </c>
      <c r="T206">
        <f t="shared" si="963"/>
        <v>-6.4803195813571932</v>
      </c>
    </row>
    <row r="207" spans="1:20" x14ac:dyDescent="0.25">
      <c r="A207" s="5">
        <v>44386</v>
      </c>
      <c r="B207">
        <v>0.65769999999999995</v>
      </c>
      <c r="C207">
        <v>0.68500000000000005</v>
      </c>
      <c r="D207">
        <v>0.61240000000000006</v>
      </c>
      <c r="E207">
        <v>0.67449999999999999</v>
      </c>
      <c r="F207">
        <v>15988128.58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0.71074380165289075</v>
      </c>
      <c r="Q207">
        <f t="shared" si="960"/>
        <v>11363463.288264435</v>
      </c>
      <c r="R207">
        <f t="shared" si="961"/>
        <v>-680086710.09695637</v>
      </c>
      <c r="S207">
        <f t="shared" si="962"/>
        <v>-6800.8671009695636</v>
      </c>
      <c r="T207">
        <f t="shared" si="963"/>
        <v>-6.8008671009695636</v>
      </c>
    </row>
    <row r="208" spans="1:20" x14ac:dyDescent="0.25">
      <c r="A208" s="5">
        <v>44385</v>
      </c>
      <c r="B208">
        <v>0.7319</v>
      </c>
      <c r="C208">
        <v>0.79649999999999999</v>
      </c>
      <c r="D208">
        <v>0.63829999999999998</v>
      </c>
      <c r="E208">
        <v>0.6583</v>
      </c>
      <c r="F208">
        <v>32184550.949999999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-0.7471554993678885</v>
      </c>
      <c r="Q208">
        <f t="shared" si="960"/>
        <v>-24046864.236978501</v>
      </c>
      <c r="R208">
        <f t="shared" si="961"/>
        <v>-691450173.38522077</v>
      </c>
      <c r="S208">
        <f t="shared" si="962"/>
        <v>-6914.5017338522075</v>
      </c>
      <c r="T208">
        <f t="shared" si="963"/>
        <v>-6.9145017338522079</v>
      </c>
    </row>
    <row r="209" spans="1:20" x14ac:dyDescent="0.25">
      <c r="A209" s="5">
        <v>44384</v>
      </c>
      <c r="B209">
        <v>0.66400000000000003</v>
      </c>
      <c r="C209">
        <v>0.81</v>
      </c>
      <c r="D209">
        <v>0.6573</v>
      </c>
      <c r="E209">
        <v>0.73219999999999996</v>
      </c>
      <c r="F209">
        <v>31738592.27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-1.8991486574984437E-2</v>
      </c>
      <c r="Q209">
        <f t="shared" si="960"/>
        <v>-602763.04900460981</v>
      </c>
      <c r="R209">
        <f t="shared" si="961"/>
        <v>-667403309.14824224</v>
      </c>
      <c r="S209">
        <f t="shared" si="962"/>
        <v>-6674.0330914824226</v>
      </c>
      <c r="T209">
        <f t="shared" si="963"/>
        <v>-6.6740330914824222</v>
      </c>
    </row>
    <row r="210" spans="1:20" x14ac:dyDescent="0.25">
      <c r="A210" s="5">
        <v>44383</v>
      </c>
      <c r="B210">
        <v>0.63660000000000005</v>
      </c>
      <c r="C210">
        <v>0.70750000000000002</v>
      </c>
      <c r="D210">
        <v>0.63549999999999995</v>
      </c>
      <c r="E210">
        <v>0.66400000000000003</v>
      </c>
      <c r="F210">
        <v>14391358.109999999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-0.20833333333333179</v>
      </c>
      <c r="Q210">
        <f t="shared" si="960"/>
        <v>-2998199.6062499778</v>
      </c>
      <c r="R210">
        <f t="shared" si="961"/>
        <v>-666800546.09923768</v>
      </c>
      <c r="S210">
        <f t="shared" si="962"/>
        <v>-6668.0054609923764</v>
      </c>
      <c r="T210">
        <f t="shared" si="963"/>
        <v>-6.6680054609923767</v>
      </c>
    </row>
    <row r="211" spans="1:20" x14ac:dyDescent="0.25">
      <c r="A211" s="5">
        <v>44382</v>
      </c>
      <c r="B211">
        <v>0.67220000000000002</v>
      </c>
      <c r="C211">
        <v>0.67789999999999995</v>
      </c>
      <c r="D211">
        <v>0.62270000000000003</v>
      </c>
      <c r="E211">
        <v>0.63649999999999995</v>
      </c>
      <c r="F211">
        <v>14978040.359999999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-0.500000000000002</v>
      </c>
      <c r="Q211">
        <f t="shared" si="960"/>
        <v>-7489020.1800000295</v>
      </c>
      <c r="R211">
        <f t="shared" si="961"/>
        <v>-663802346.49298775</v>
      </c>
      <c r="S211">
        <f t="shared" si="962"/>
        <v>-6638.0234649298773</v>
      </c>
      <c r="T211">
        <f t="shared" si="963"/>
        <v>-6.6380234649298773</v>
      </c>
    </row>
    <row r="212" spans="1:20" x14ac:dyDescent="0.25">
      <c r="A212" s="5">
        <v>44381</v>
      </c>
      <c r="B212">
        <v>0.65639999999999998</v>
      </c>
      <c r="C212">
        <v>0.69789999999999996</v>
      </c>
      <c r="D212">
        <v>0.63449999999999995</v>
      </c>
      <c r="E212">
        <v>0.67269999999999996</v>
      </c>
      <c r="F212">
        <v>14081164.58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0.20504731861198752</v>
      </c>
      <c r="Q212">
        <f t="shared" si="960"/>
        <v>2887305.0400630934</v>
      </c>
      <c r="R212">
        <f t="shared" si="961"/>
        <v>-656313326.31298769</v>
      </c>
      <c r="S212">
        <f t="shared" si="962"/>
        <v>-6563.1332631298765</v>
      </c>
      <c r="T212">
        <f t="shared" si="963"/>
        <v>-6.5631332631298767</v>
      </c>
    </row>
    <row r="213" spans="1:20" x14ac:dyDescent="0.25">
      <c r="A213" s="5">
        <v>44380</v>
      </c>
      <c r="B213">
        <v>0.64439999999999997</v>
      </c>
      <c r="C213">
        <v>0.67400000000000004</v>
      </c>
      <c r="D213">
        <v>0.62639999999999996</v>
      </c>
      <c r="E213">
        <v>0.65639999999999998</v>
      </c>
      <c r="F213">
        <v>6486139.1699999999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0.26050420168067107</v>
      </c>
      <c r="Q213">
        <f t="shared" si="960"/>
        <v>1689666.5064705804</v>
      </c>
      <c r="R213">
        <f t="shared" si="961"/>
        <v>-659200631.35305083</v>
      </c>
      <c r="S213">
        <f t="shared" si="962"/>
        <v>-6592.0063135305081</v>
      </c>
      <c r="T213">
        <f t="shared" si="963"/>
        <v>-6.5920063135305078</v>
      </c>
    </row>
    <row r="214" spans="1:20" x14ac:dyDescent="0.25">
      <c r="A214" s="5">
        <v>44379</v>
      </c>
      <c r="B214">
        <v>0.64780000000000004</v>
      </c>
      <c r="C214">
        <v>0.66159999999999997</v>
      </c>
      <c r="D214">
        <v>0.61140000000000005</v>
      </c>
      <c r="E214">
        <v>0.64459999999999995</v>
      </c>
      <c r="F214">
        <v>7163979.0499999998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0.32270916334661176</v>
      </c>
      <c r="Q214">
        <f t="shared" si="960"/>
        <v>2311881.6854581544</v>
      </c>
      <c r="R214">
        <f t="shared" si="961"/>
        <v>-660890297.85952139</v>
      </c>
      <c r="S214">
        <f t="shared" si="962"/>
        <v>-6608.9029785952143</v>
      </c>
      <c r="T214">
        <f t="shared" si="963"/>
        <v>-6.6089029785952143</v>
      </c>
    </row>
    <row r="215" spans="1:20" x14ac:dyDescent="0.25">
      <c r="A215" s="5">
        <v>44378</v>
      </c>
      <c r="B215">
        <v>0.68940000000000001</v>
      </c>
      <c r="C215">
        <v>0.71</v>
      </c>
      <c r="D215">
        <v>0.63449999999999995</v>
      </c>
      <c r="E215">
        <v>0.64810000000000001</v>
      </c>
      <c r="F215">
        <v>10055916.029999999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-0.63973509933774686</v>
      </c>
      <c r="Q215">
        <f t="shared" si="960"/>
        <v>-6433122.4403840909</v>
      </c>
      <c r="R215">
        <f t="shared" si="961"/>
        <v>-663202179.54497957</v>
      </c>
      <c r="S215">
        <f t="shared" si="962"/>
        <v>-6632.0217954497957</v>
      </c>
      <c r="T215">
        <f t="shared" si="963"/>
        <v>-6.6320217954497958</v>
      </c>
    </row>
    <row r="216" spans="1:20" x14ac:dyDescent="0.25">
      <c r="A216" s="5">
        <v>44377</v>
      </c>
      <c r="B216">
        <v>0.68579999999999997</v>
      </c>
      <c r="C216">
        <v>0.70020000000000004</v>
      </c>
      <c r="D216">
        <v>0.627</v>
      </c>
      <c r="E216">
        <v>0.6885</v>
      </c>
      <c r="F216">
        <v>13189234.23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0.680327868852458</v>
      </c>
      <c r="Q216">
        <f t="shared" si="960"/>
        <v>8973003.6154917907</v>
      </c>
      <c r="R216">
        <f t="shared" si="961"/>
        <v>-656769057.10459542</v>
      </c>
      <c r="S216">
        <f t="shared" si="962"/>
        <v>-6567.6905710459541</v>
      </c>
      <c r="T216">
        <f t="shared" si="963"/>
        <v>-6.5676905710459543</v>
      </c>
    </row>
    <row r="217" spans="1:20" x14ac:dyDescent="0.25">
      <c r="A217" s="5">
        <v>44376</v>
      </c>
      <c r="B217">
        <v>0.6704</v>
      </c>
      <c r="C217">
        <v>0.73209999999999997</v>
      </c>
      <c r="D217">
        <v>0.66710000000000003</v>
      </c>
      <c r="E217">
        <v>0.68589999999999995</v>
      </c>
      <c r="F217">
        <v>16337857.029999999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-0.4215384615384633</v>
      </c>
      <c r="Q217">
        <f t="shared" si="960"/>
        <v>-6887035.1172615672</v>
      </c>
      <c r="R217">
        <f t="shared" si="961"/>
        <v>-665742060.72008717</v>
      </c>
      <c r="S217">
        <f t="shared" si="962"/>
        <v>-6657.4206072008719</v>
      </c>
      <c r="T217">
        <f t="shared" si="963"/>
        <v>-6.6574206072008719</v>
      </c>
    </row>
    <row r="218" spans="1:20" x14ac:dyDescent="0.25">
      <c r="A218" s="5">
        <v>44375</v>
      </c>
      <c r="B218">
        <v>0.68320000000000003</v>
      </c>
      <c r="C218">
        <v>0.71260000000000001</v>
      </c>
      <c r="D218">
        <v>0.65800000000000003</v>
      </c>
      <c r="E218">
        <v>0.67069999999999996</v>
      </c>
      <c r="F218">
        <v>16832890.329999998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-0.53479853479853712</v>
      </c>
      <c r="Q218">
        <f t="shared" si="960"/>
        <v>-9002205.0849084631</v>
      </c>
      <c r="R218">
        <f t="shared" si="961"/>
        <v>-658855025.60282564</v>
      </c>
      <c r="S218">
        <f t="shared" si="962"/>
        <v>-6588.5502560282566</v>
      </c>
      <c r="T218">
        <f t="shared" si="963"/>
        <v>-6.5885502560282569</v>
      </c>
    </row>
    <row r="219" spans="1:20" x14ac:dyDescent="0.25">
      <c r="A219" s="5">
        <v>44374</v>
      </c>
      <c r="B219">
        <v>0.62219999999999998</v>
      </c>
      <c r="C219">
        <v>0.69750000000000001</v>
      </c>
      <c r="D219">
        <v>0.58550000000000002</v>
      </c>
      <c r="E219">
        <v>0.68320000000000003</v>
      </c>
      <c r="F219">
        <v>15632208.23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0.74464285714285749</v>
      </c>
      <c r="Q219">
        <f t="shared" si="960"/>
        <v>11640412.199839292</v>
      </c>
      <c r="R219">
        <f t="shared" si="961"/>
        <v>-649852820.51791716</v>
      </c>
      <c r="S219">
        <f t="shared" si="962"/>
        <v>-6498.5282051791719</v>
      </c>
      <c r="T219">
        <f t="shared" si="963"/>
        <v>-6.4985282051791717</v>
      </c>
    </row>
    <row r="220" spans="1:20" x14ac:dyDescent="0.25">
      <c r="A220" s="5">
        <v>44373</v>
      </c>
      <c r="B220">
        <v>0.61319999999999997</v>
      </c>
      <c r="C220">
        <v>0.63690000000000002</v>
      </c>
      <c r="D220">
        <v>0.56569999999999998</v>
      </c>
      <c r="E220">
        <v>0.62219999999999998</v>
      </c>
      <c r="F220">
        <v>16068088.66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0.58707865168539219</v>
      </c>
      <c r="Q220">
        <f t="shared" si="960"/>
        <v>9433231.8256741408</v>
      </c>
      <c r="R220">
        <f t="shared" si="961"/>
        <v>-661493232.71775639</v>
      </c>
      <c r="S220">
        <f t="shared" si="962"/>
        <v>-6614.9323271775638</v>
      </c>
      <c r="T220">
        <f t="shared" si="963"/>
        <v>-6.6149323271775637</v>
      </c>
    </row>
    <row r="221" spans="1:20" x14ac:dyDescent="0.25">
      <c r="A221" s="5">
        <v>44372</v>
      </c>
      <c r="B221">
        <v>0.68810000000000004</v>
      </c>
      <c r="C221">
        <v>0.69989999999999997</v>
      </c>
      <c r="D221">
        <v>0.61009999999999998</v>
      </c>
      <c r="E221">
        <v>0.61150000000000004</v>
      </c>
      <c r="F221">
        <v>16926213.829999998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-0.96881959910912985</v>
      </c>
      <c r="Q221">
        <f t="shared" si="960"/>
        <v>-16398447.697216008</v>
      </c>
      <c r="R221">
        <f t="shared" si="961"/>
        <v>-670926464.54343057</v>
      </c>
      <c r="S221">
        <f t="shared" si="962"/>
        <v>-6709.2646454343057</v>
      </c>
      <c r="T221">
        <f t="shared" si="963"/>
        <v>-6.7092646454343061</v>
      </c>
    </row>
    <row r="222" spans="1:20" x14ac:dyDescent="0.25">
      <c r="A222" s="5">
        <v>44371</v>
      </c>
      <c r="B222">
        <v>0.67369999999999997</v>
      </c>
      <c r="C222">
        <v>0.73950000000000005</v>
      </c>
      <c r="D222">
        <v>0.66700000000000004</v>
      </c>
      <c r="E222">
        <v>0.68679999999999997</v>
      </c>
      <c r="F222">
        <v>20548797.93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-0.45379310344827789</v>
      </c>
      <c r="Q222">
        <f t="shared" si="960"/>
        <v>-9324902.7847862486</v>
      </c>
      <c r="R222">
        <f t="shared" si="961"/>
        <v>-654528016.84621453</v>
      </c>
      <c r="S222">
        <f t="shared" si="962"/>
        <v>-6545.2801684621454</v>
      </c>
      <c r="T222">
        <f t="shared" si="963"/>
        <v>-6.5452801684621456</v>
      </c>
    </row>
    <row r="223" spans="1:20" x14ac:dyDescent="0.25">
      <c r="A223" s="5">
        <v>44370</v>
      </c>
      <c r="B223">
        <v>0.61670000000000003</v>
      </c>
      <c r="C223">
        <v>0.72689999999999999</v>
      </c>
      <c r="D223">
        <v>0.59160000000000001</v>
      </c>
      <c r="E223">
        <v>0.67369999999999997</v>
      </c>
      <c r="F223">
        <v>21089961.629999999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0.21359940872135944</v>
      </c>
      <c r="Q223">
        <f t="shared" si="960"/>
        <v>4504803.3341241572</v>
      </c>
      <c r="R223">
        <f t="shared" si="961"/>
        <v>-645203114.06142831</v>
      </c>
      <c r="S223">
        <f t="shared" si="962"/>
        <v>-6452.0311406142828</v>
      </c>
      <c r="T223">
        <f t="shared" si="963"/>
        <v>-6.4520311406142827</v>
      </c>
    </row>
    <row r="224" spans="1:20" x14ac:dyDescent="0.25">
      <c r="A224" s="5">
        <v>44369</v>
      </c>
      <c r="B224">
        <v>0.66910000000000003</v>
      </c>
      <c r="C224">
        <v>0.73699999999999999</v>
      </c>
      <c r="D224">
        <v>0.54010000000000002</v>
      </c>
      <c r="E224">
        <v>0.61599999999999999</v>
      </c>
      <c r="F224">
        <v>22931382.199999999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-0.22905027932960914</v>
      </c>
      <c r="Q224">
        <f t="shared" si="960"/>
        <v>-5252439.4983240273</v>
      </c>
      <c r="R224">
        <f t="shared" si="961"/>
        <v>-649707917.39555252</v>
      </c>
      <c r="S224">
        <f t="shared" si="962"/>
        <v>-6497.0791739555252</v>
      </c>
      <c r="T224">
        <f t="shared" si="963"/>
        <v>-6.4970791739555249</v>
      </c>
    </row>
    <row r="225" spans="1:20" x14ac:dyDescent="0.25">
      <c r="A225" s="5">
        <v>44368</v>
      </c>
      <c r="B225">
        <v>0.86739999999999995</v>
      </c>
      <c r="C225">
        <v>0.90359999999999996</v>
      </c>
      <c r="D225">
        <v>0.66930000000000001</v>
      </c>
      <c r="E225">
        <v>0.66930000000000001</v>
      </c>
      <c r="F225">
        <v>38419051.579999998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-1</v>
      </c>
      <c r="Q225">
        <f t="shared" si="960"/>
        <v>-38419051.579999998</v>
      </c>
      <c r="R225">
        <f t="shared" si="961"/>
        <v>-644455477.89722848</v>
      </c>
      <c r="S225">
        <f t="shared" si="962"/>
        <v>-6444.554778972285</v>
      </c>
      <c r="T225">
        <f t="shared" si="963"/>
        <v>-6.444554778972285</v>
      </c>
    </row>
    <row r="226" spans="1:20" x14ac:dyDescent="0.25">
      <c r="A226" s="5">
        <v>44367</v>
      </c>
      <c r="B226">
        <v>0.82169999999999999</v>
      </c>
      <c r="C226">
        <v>0.9</v>
      </c>
      <c r="D226">
        <v>0.76</v>
      </c>
      <c r="E226">
        <v>0.8659</v>
      </c>
      <c r="F226">
        <v>21583212.260000002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0.51285714285714268</v>
      </c>
      <c r="Q226">
        <f t="shared" si="960"/>
        <v>11069104.573342854</v>
      </c>
      <c r="R226">
        <f t="shared" si="961"/>
        <v>-606036426.31722844</v>
      </c>
      <c r="S226">
        <f t="shared" si="962"/>
        <v>-6060.3642631722842</v>
      </c>
      <c r="T226">
        <f t="shared" si="963"/>
        <v>-6.0603642631722838</v>
      </c>
    </row>
    <row r="227" spans="1:20" x14ac:dyDescent="0.25">
      <c r="A227" s="5">
        <v>44366</v>
      </c>
      <c r="B227">
        <v>0.82340000000000002</v>
      </c>
      <c r="C227">
        <v>0.90569999999999995</v>
      </c>
      <c r="D227">
        <v>0.78590000000000004</v>
      </c>
      <c r="E227">
        <v>0.82130000000000003</v>
      </c>
      <c r="F227">
        <v>20101761.84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-0.40901502504173598</v>
      </c>
      <c r="Q227">
        <f t="shared" si="960"/>
        <v>-8221922.6223706128</v>
      </c>
      <c r="R227">
        <f t="shared" si="961"/>
        <v>-617105530.89057124</v>
      </c>
      <c r="S227">
        <f t="shared" si="962"/>
        <v>-6171.0553089057121</v>
      </c>
      <c r="T227">
        <f t="shared" si="963"/>
        <v>-6.1710553089057125</v>
      </c>
    </row>
    <row r="228" spans="1:20" x14ac:dyDescent="0.25">
      <c r="A228" s="5">
        <v>44365</v>
      </c>
      <c r="B228">
        <v>0.89400000000000002</v>
      </c>
      <c r="C228">
        <v>0.89500000000000002</v>
      </c>
      <c r="D228">
        <v>0.76180000000000003</v>
      </c>
      <c r="E228">
        <v>0.82350000000000001</v>
      </c>
      <c r="F228">
        <v>18417026.07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-7.3573573573573817E-2</v>
      </c>
      <c r="Q228">
        <f t="shared" si="960"/>
        <v>-1355006.422567572</v>
      </c>
      <c r="R228">
        <f t="shared" si="961"/>
        <v>-608883608.26820064</v>
      </c>
      <c r="S228">
        <f t="shared" si="962"/>
        <v>-6088.8360826820062</v>
      </c>
      <c r="T228">
        <f t="shared" si="963"/>
        <v>-6.0888360826820058</v>
      </c>
    </row>
    <row r="229" spans="1:20" x14ac:dyDescent="0.25">
      <c r="A229" s="5">
        <v>44364</v>
      </c>
      <c r="B229">
        <v>0.91790000000000005</v>
      </c>
      <c r="C229">
        <v>0.98950000000000005</v>
      </c>
      <c r="D229">
        <v>0.86370000000000002</v>
      </c>
      <c r="E229">
        <v>0.89400000000000002</v>
      </c>
      <c r="F229">
        <v>18244827.829999998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-0.51828298887122437</v>
      </c>
      <c r="Q229">
        <f t="shared" si="960"/>
        <v>-9455983.8991732933</v>
      </c>
      <c r="R229">
        <f t="shared" si="961"/>
        <v>-607528601.84563303</v>
      </c>
      <c r="S229">
        <f t="shared" si="962"/>
        <v>-6075.2860184563306</v>
      </c>
      <c r="T229">
        <f t="shared" si="963"/>
        <v>-6.0752860184563309</v>
      </c>
    </row>
    <row r="230" spans="1:20" x14ac:dyDescent="0.25">
      <c r="A230" s="5">
        <v>44363</v>
      </c>
      <c r="B230">
        <v>0.98299999999999998</v>
      </c>
      <c r="C230">
        <v>1.0833999999999999</v>
      </c>
      <c r="D230">
        <v>0.8962</v>
      </c>
      <c r="E230">
        <v>0.91790000000000005</v>
      </c>
      <c r="F230">
        <v>38481401.880000003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-0.76816239316239254</v>
      </c>
      <c r="Q230">
        <f t="shared" si="960"/>
        <v>-29559965.760384593</v>
      </c>
      <c r="R230">
        <f t="shared" si="961"/>
        <v>-598072617.94645977</v>
      </c>
      <c r="S230">
        <f t="shared" si="962"/>
        <v>-5980.7261794645974</v>
      </c>
      <c r="T230">
        <f t="shared" si="963"/>
        <v>-5.9807261794645976</v>
      </c>
    </row>
    <row r="231" spans="1:20" x14ac:dyDescent="0.25">
      <c r="A231" s="5">
        <v>44362</v>
      </c>
      <c r="B231">
        <v>0.92020000000000002</v>
      </c>
      <c r="C231">
        <v>0.99</v>
      </c>
      <c r="D231">
        <v>0.89319999999999999</v>
      </c>
      <c r="E231">
        <v>0.9829</v>
      </c>
      <c r="F231">
        <v>25010501.260000002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0.85330578512396704</v>
      </c>
      <c r="Q231">
        <f t="shared" si="960"/>
        <v>21341605.414008267</v>
      </c>
      <c r="R231">
        <f t="shared" si="961"/>
        <v>-568512652.18607521</v>
      </c>
      <c r="S231">
        <f t="shared" si="962"/>
        <v>-5685.1265218607523</v>
      </c>
      <c r="T231">
        <f t="shared" si="963"/>
        <v>-5.6851265218607523</v>
      </c>
    </row>
    <row r="232" spans="1:20" x14ac:dyDescent="0.25">
      <c r="A232" s="5">
        <v>44361</v>
      </c>
      <c r="B232">
        <v>0.77590000000000003</v>
      </c>
      <c r="C232">
        <v>0.94769999999999999</v>
      </c>
      <c r="D232">
        <v>0.76049999999999995</v>
      </c>
      <c r="E232">
        <v>0.92049999999999998</v>
      </c>
      <c r="F232">
        <v>36342054.240000002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0.70940170940170943</v>
      </c>
      <c r="Q232">
        <f t="shared" si="960"/>
        <v>25781115.401025645</v>
      </c>
      <c r="R232">
        <f t="shared" si="961"/>
        <v>-589854257.60008347</v>
      </c>
      <c r="S232">
        <f t="shared" si="962"/>
        <v>-5898.5425760008347</v>
      </c>
      <c r="T232">
        <f t="shared" si="963"/>
        <v>-5.8985425760008345</v>
      </c>
    </row>
    <row r="233" spans="1:20" x14ac:dyDescent="0.25">
      <c r="A233" s="5">
        <v>44360</v>
      </c>
      <c r="B233">
        <v>0.72389999999999999</v>
      </c>
      <c r="C233">
        <v>0.79310000000000003</v>
      </c>
      <c r="D233">
        <v>0.69710000000000005</v>
      </c>
      <c r="E233">
        <v>0.77559999999999996</v>
      </c>
      <c r="F233">
        <v>13615491.76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0.63541666666666508</v>
      </c>
      <c r="Q233">
        <f t="shared" si="960"/>
        <v>8651510.3891666457</v>
      </c>
      <c r="R233">
        <f t="shared" si="961"/>
        <v>-615635373.00110912</v>
      </c>
      <c r="S233">
        <f t="shared" si="962"/>
        <v>-6156.3537300110911</v>
      </c>
      <c r="T233">
        <f t="shared" si="963"/>
        <v>-6.1563537300110909</v>
      </c>
    </row>
    <row r="234" spans="1:20" x14ac:dyDescent="0.25">
      <c r="A234" s="5">
        <v>44359</v>
      </c>
      <c r="B234">
        <v>0.77200000000000002</v>
      </c>
      <c r="C234">
        <v>0.77200000000000002</v>
      </c>
      <c r="D234">
        <v>0.68110000000000004</v>
      </c>
      <c r="E234">
        <v>0.72409999999999997</v>
      </c>
      <c r="F234">
        <v>17746179.57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-5.3905390539055305E-2</v>
      </c>
      <c r="Q234">
        <f t="shared" si="960"/>
        <v>-956614.74029705452</v>
      </c>
      <c r="R234">
        <f t="shared" si="961"/>
        <v>-624286883.39027572</v>
      </c>
      <c r="S234">
        <f t="shared" si="962"/>
        <v>-6242.8688339027576</v>
      </c>
      <c r="T234">
        <f t="shared" si="963"/>
        <v>-6.242868833902758</v>
      </c>
    </row>
    <row r="235" spans="1:20" x14ac:dyDescent="0.25">
      <c r="A235" s="5">
        <v>44358</v>
      </c>
      <c r="B235">
        <v>0.7712</v>
      </c>
      <c r="C235">
        <v>0.9123</v>
      </c>
      <c r="D235">
        <v>0.73199999999999998</v>
      </c>
      <c r="E235">
        <v>0.77210000000000001</v>
      </c>
      <c r="F235">
        <v>41138432.810000002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-0.55518580144204077</v>
      </c>
      <c r="Q235">
        <f t="shared" si="960"/>
        <v>-22839473.789689396</v>
      </c>
      <c r="R235">
        <f t="shared" si="961"/>
        <v>-623330268.64997864</v>
      </c>
      <c r="S235">
        <f t="shared" si="962"/>
        <v>-6233.3026864997864</v>
      </c>
      <c r="T235">
        <f t="shared" si="963"/>
        <v>-6.233302686499786</v>
      </c>
    </row>
    <row r="236" spans="1:20" x14ac:dyDescent="0.25">
      <c r="A236" s="5">
        <v>44357</v>
      </c>
      <c r="B236">
        <v>0.85719999999999996</v>
      </c>
      <c r="C236">
        <v>0.86319999999999997</v>
      </c>
      <c r="D236">
        <v>0.74590000000000001</v>
      </c>
      <c r="E236">
        <v>0.76990000000000003</v>
      </c>
      <c r="F236">
        <v>17077457.280000001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-0.59079283887467982</v>
      </c>
      <c r="Q236">
        <f t="shared" si="960"/>
        <v>-10089239.467212269</v>
      </c>
      <c r="R236">
        <f t="shared" si="961"/>
        <v>-600490794.86028922</v>
      </c>
      <c r="S236">
        <f t="shared" si="962"/>
        <v>-6004.9079486028922</v>
      </c>
      <c r="T236">
        <f t="shared" si="963"/>
        <v>-6.0049079486028925</v>
      </c>
    </row>
    <row r="237" spans="1:20" x14ac:dyDescent="0.25">
      <c r="A237" s="5">
        <v>44356</v>
      </c>
      <c r="B237">
        <v>0.82499999999999996</v>
      </c>
      <c r="C237">
        <v>0.86699999999999999</v>
      </c>
      <c r="D237">
        <v>0.76929999999999998</v>
      </c>
      <c r="E237">
        <v>0.85719999999999996</v>
      </c>
      <c r="F237">
        <v>21367533.370000001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0.79938587512794201</v>
      </c>
      <c r="Q237">
        <f t="shared" si="960"/>
        <v>17080904.362302955</v>
      </c>
      <c r="R237">
        <f t="shared" si="961"/>
        <v>-590401555.3930769</v>
      </c>
      <c r="S237">
        <f t="shared" si="962"/>
        <v>-5904.0155539307689</v>
      </c>
      <c r="T237">
        <f t="shared" si="963"/>
        <v>-5.904015553930769</v>
      </c>
    </row>
    <row r="238" spans="1:20" x14ac:dyDescent="0.25">
      <c r="A238" s="5">
        <v>44355</v>
      </c>
      <c r="B238">
        <v>0.84060000000000001</v>
      </c>
      <c r="C238">
        <v>0.88129999999999997</v>
      </c>
      <c r="D238">
        <v>0.75</v>
      </c>
      <c r="E238">
        <v>0.82330000000000003</v>
      </c>
      <c r="F238">
        <v>20391982.16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0.11652703731911725</v>
      </c>
      <c r="Q238">
        <f t="shared" si="960"/>
        <v>2376217.2661690931</v>
      </c>
      <c r="R238">
        <f t="shared" si="961"/>
        <v>-607482459.7553798</v>
      </c>
      <c r="S238">
        <f t="shared" si="962"/>
        <v>-6074.8245975537984</v>
      </c>
      <c r="T238">
        <f t="shared" si="963"/>
        <v>-6.074824597553798</v>
      </c>
    </row>
    <row r="239" spans="1:20" x14ac:dyDescent="0.25">
      <c r="A239" s="5">
        <v>44354</v>
      </c>
      <c r="B239">
        <v>0.94610000000000005</v>
      </c>
      <c r="C239">
        <v>0.99560000000000004</v>
      </c>
      <c r="D239">
        <v>0.82530000000000003</v>
      </c>
      <c r="E239">
        <v>0.8427</v>
      </c>
      <c r="F239">
        <v>13660710.949999999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-0.79565472695243722</v>
      </c>
      <c r="Q239">
        <f t="shared" si="960"/>
        <v>-10869209.240898419</v>
      </c>
      <c r="R239">
        <f t="shared" si="961"/>
        <v>-609858677.02154887</v>
      </c>
      <c r="S239">
        <f t="shared" si="962"/>
        <v>-6098.5867702154883</v>
      </c>
      <c r="T239">
        <f t="shared" si="963"/>
        <v>-6.0985867702154879</v>
      </c>
    </row>
    <row r="240" spans="1:20" x14ac:dyDescent="0.25">
      <c r="A240" s="5">
        <v>44353</v>
      </c>
      <c r="B240">
        <v>0.92630000000000001</v>
      </c>
      <c r="C240">
        <v>0.96299999999999997</v>
      </c>
      <c r="D240">
        <v>0.90820000000000001</v>
      </c>
      <c r="E240">
        <v>0.94589999999999996</v>
      </c>
      <c r="F240">
        <v>9617615.3000000007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0.37591240875912346</v>
      </c>
      <c r="Q240">
        <f t="shared" si="960"/>
        <v>3615380.9339415999</v>
      </c>
      <c r="R240">
        <f t="shared" si="961"/>
        <v>-598989467.7806505</v>
      </c>
      <c r="S240">
        <f t="shared" si="962"/>
        <v>-5989.8946778065047</v>
      </c>
      <c r="T240">
        <f t="shared" si="963"/>
        <v>-5.9898946778065048</v>
      </c>
    </row>
    <row r="241" spans="1:20" x14ac:dyDescent="0.25">
      <c r="A241" s="5">
        <v>44352</v>
      </c>
      <c r="B241">
        <v>0.94330000000000003</v>
      </c>
      <c r="C241">
        <v>0.99860000000000004</v>
      </c>
      <c r="D241">
        <v>0.85389999999999999</v>
      </c>
      <c r="E241">
        <v>0.9264</v>
      </c>
      <c r="F241">
        <v>18921121.780000001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2.0732550103660461E-3</v>
      </c>
      <c r="Q241">
        <f t="shared" si="960"/>
        <v>39228.310532131123</v>
      </c>
      <c r="R241">
        <f t="shared" si="961"/>
        <v>-602604848.7145921</v>
      </c>
      <c r="S241">
        <f t="shared" si="962"/>
        <v>-6026.0484871459212</v>
      </c>
      <c r="T241">
        <f t="shared" si="963"/>
        <v>-6.0260484871459212</v>
      </c>
    </row>
    <row r="242" spans="1:20" x14ac:dyDescent="0.25">
      <c r="A242" s="5">
        <v>44351</v>
      </c>
      <c r="B242">
        <v>1.0742</v>
      </c>
      <c r="C242">
        <v>1.079</v>
      </c>
      <c r="D242">
        <v>0.88959999999999995</v>
      </c>
      <c r="E242">
        <v>0.94379999999999997</v>
      </c>
      <c r="F242">
        <v>22763514.890000001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-0.42766631467793009</v>
      </c>
      <c r="Q242">
        <f t="shared" si="960"/>
        <v>-9735188.5221224874</v>
      </c>
      <c r="R242">
        <f t="shared" si="961"/>
        <v>-602644077.02512419</v>
      </c>
      <c r="S242">
        <f t="shared" si="962"/>
        <v>-6026.4407702512417</v>
      </c>
      <c r="T242">
        <f t="shared" si="963"/>
        <v>-6.0264407702512415</v>
      </c>
    </row>
    <row r="243" spans="1:20" x14ac:dyDescent="0.25">
      <c r="A243" s="5">
        <v>44350</v>
      </c>
      <c r="B243">
        <v>1.0427</v>
      </c>
      <c r="C243">
        <v>1.1088</v>
      </c>
      <c r="D243">
        <v>1.0301</v>
      </c>
      <c r="E243">
        <v>1.0731999999999999</v>
      </c>
      <c r="F243">
        <v>18781644.75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9.5298602287164427E-2</v>
      </c>
      <c r="Q243">
        <f t="shared" si="960"/>
        <v>1789864.4933290598</v>
      </c>
      <c r="R243">
        <f t="shared" si="961"/>
        <v>-592908888.50300169</v>
      </c>
      <c r="S243">
        <f t="shared" si="962"/>
        <v>-5929.0888850300171</v>
      </c>
      <c r="T243">
        <f t="shared" si="963"/>
        <v>-5.9290888850300174</v>
      </c>
    </row>
    <row r="244" spans="1:20" x14ac:dyDescent="0.25">
      <c r="A244" s="5">
        <v>44349</v>
      </c>
      <c r="B244">
        <v>1.0539000000000001</v>
      </c>
      <c r="C244">
        <v>1.1205000000000001</v>
      </c>
      <c r="D244">
        <v>1.02</v>
      </c>
      <c r="E244">
        <v>1.0427</v>
      </c>
      <c r="F244">
        <v>19035544.960000001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-0.54825870646766295</v>
      </c>
      <c r="Q244">
        <f t="shared" si="960"/>
        <v>-10436403.256676642</v>
      </c>
      <c r="R244">
        <f t="shared" si="961"/>
        <v>-594698752.99633074</v>
      </c>
      <c r="S244">
        <f t="shared" si="962"/>
        <v>-5946.9875299633077</v>
      </c>
      <c r="T244">
        <f t="shared" si="963"/>
        <v>-5.9469875299633079</v>
      </c>
    </row>
    <row r="245" spans="1:20" x14ac:dyDescent="0.25">
      <c r="A245" s="5">
        <v>44348</v>
      </c>
      <c r="B245">
        <v>1.0837000000000001</v>
      </c>
      <c r="C245">
        <v>1.2000999999999999</v>
      </c>
      <c r="D245">
        <v>1.0468999999999999</v>
      </c>
      <c r="E245">
        <v>1.0529999999999999</v>
      </c>
      <c r="F245">
        <v>26259085.66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-0.92036553524804188</v>
      </c>
      <c r="Q245">
        <f t="shared" si="960"/>
        <v>-24167957.428590082</v>
      </c>
      <c r="R245">
        <f t="shared" si="961"/>
        <v>-584262349.73965406</v>
      </c>
      <c r="S245">
        <f t="shared" si="962"/>
        <v>-5842.6234973965402</v>
      </c>
      <c r="T245">
        <f t="shared" si="963"/>
        <v>-5.8426234973965405</v>
      </c>
    </row>
    <row r="246" spans="1:20" x14ac:dyDescent="0.25">
      <c r="A246" s="5">
        <v>44347</v>
      </c>
      <c r="B246">
        <v>1.1321000000000001</v>
      </c>
      <c r="C246">
        <v>1.1653</v>
      </c>
      <c r="D246">
        <v>1.0161</v>
      </c>
      <c r="E246">
        <v>1.0860000000000001</v>
      </c>
      <c r="F246">
        <v>28742686</v>
      </c>
      <c r="G246">
        <v>0</v>
      </c>
      <c r="L246" t="s">
        <v>7</v>
      </c>
      <c r="M246" t="s">
        <v>8</v>
      </c>
      <c r="N246" t="s">
        <v>8</v>
      </c>
      <c r="P246">
        <f t="shared" si="959"/>
        <v>-6.3002680965146468E-2</v>
      </c>
      <c r="Q246">
        <f t="shared" si="960"/>
        <v>-1810866.2761393818</v>
      </c>
      <c r="R246">
        <f t="shared" si="961"/>
        <v>-560094392.311064</v>
      </c>
      <c r="S246">
        <f t="shared" si="962"/>
        <v>-5600.9439231106398</v>
      </c>
      <c r="T246">
        <f t="shared" si="963"/>
        <v>-5.6009439231106395</v>
      </c>
    </row>
    <row r="247" spans="1:20" x14ac:dyDescent="0.25">
      <c r="A247" s="5">
        <v>44346</v>
      </c>
      <c r="B247">
        <v>0.90310000000000001</v>
      </c>
      <c r="C247">
        <v>1.18</v>
      </c>
      <c r="D247">
        <v>0.82350000000000001</v>
      </c>
      <c r="E247">
        <v>1.1337999999999999</v>
      </c>
      <c r="F247">
        <v>36759552.359999999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0.740813464235624</v>
      </c>
      <c r="Q247">
        <f t="shared" si="960"/>
        <v>27231971.327562407</v>
      </c>
      <c r="R247">
        <f t="shared" si="961"/>
        <v>-558283526.03492463</v>
      </c>
      <c r="S247">
        <f t="shared" si="962"/>
        <v>-5582.8352603492467</v>
      </c>
      <c r="T247">
        <f t="shared" si="963"/>
        <v>-5.5828352603492464</v>
      </c>
    </row>
    <row r="248" spans="1:20" x14ac:dyDescent="0.25">
      <c r="A248" s="5">
        <v>44345</v>
      </c>
      <c r="B248">
        <v>0.94020000000000004</v>
      </c>
      <c r="C248">
        <v>1.06</v>
      </c>
      <c r="D248">
        <v>0.81</v>
      </c>
      <c r="E248">
        <v>0.90310000000000001</v>
      </c>
      <c r="F248">
        <v>25373413.93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-0.25520000000000032</v>
      </c>
      <c r="Q248">
        <f t="shared" si="960"/>
        <v>-6475295.2349360082</v>
      </c>
      <c r="R248">
        <f t="shared" si="961"/>
        <v>-585515497.36248708</v>
      </c>
      <c r="S248">
        <f t="shared" si="962"/>
        <v>-5855.1549736248708</v>
      </c>
      <c r="T248">
        <f t="shared" si="963"/>
        <v>-5.8551549736248711</v>
      </c>
    </row>
    <row r="249" spans="1:20" x14ac:dyDescent="0.25">
      <c r="A249" s="5">
        <v>44344</v>
      </c>
      <c r="B249">
        <v>1.1114999999999999</v>
      </c>
      <c r="C249">
        <v>1.1240000000000001</v>
      </c>
      <c r="D249">
        <v>0.90500000000000003</v>
      </c>
      <c r="E249">
        <v>0.94130000000000003</v>
      </c>
      <c r="F249">
        <v>37130241.340000004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-0.66849315068493165</v>
      </c>
      <c r="Q249">
        <f t="shared" si="960"/>
        <v>-24821312.019068502</v>
      </c>
      <c r="R249">
        <f t="shared" si="961"/>
        <v>-579040202.12755108</v>
      </c>
      <c r="S249">
        <f t="shared" si="962"/>
        <v>-5790.4020212755104</v>
      </c>
      <c r="T249">
        <f t="shared" si="963"/>
        <v>-5.7904020212755105</v>
      </c>
    </row>
    <row r="250" spans="1:20" x14ac:dyDescent="0.25">
      <c r="A250" s="5">
        <v>44343</v>
      </c>
      <c r="B250">
        <v>1.2013</v>
      </c>
      <c r="C250">
        <v>1.3328</v>
      </c>
      <c r="D250">
        <v>1.0347</v>
      </c>
      <c r="E250">
        <v>1.1109</v>
      </c>
      <c r="F250">
        <v>55484846.359999999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-0.48876216034887598</v>
      </c>
      <c r="Q250">
        <f t="shared" si="960"/>
        <v>-27118893.373539068</v>
      </c>
      <c r="R250">
        <f t="shared" si="961"/>
        <v>-554218890.1084826</v>
      </c>
      <c r="S250">
        <f t="shared" si="962"/>
        <v>-5542.1889010848263</v>
      </c>
      <c r="T250">
        <f t="shared" si="963"/>
        <v>-5.5421889010848266</v>
      </c>
    </row>
    <row r="251" spans="1:20" x14ac:dyDescent="0.25">
      <c r="A251" s="5">
        <v>44342</v>
      </c>
      <c r="B251">
        <v>1.0656000000000001</v>
      </c>
      <c r="C251">
        <v>1.45</v>
      </c>
      <c r="D251">
        <v>1.0178</v>
      </c>
      <c r="E251">
        <v>1.2030000000000001</v>
      </c>
      <c r="F251">
        <v>141531897.94999999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-0.14298935677926855</v>
      </c>
      <c r="Q251">
        <f t="shared" si="960"/>
        <v>-20237555.051619574</v>
      </c>
      <c r="R251">
        <f t="shared" si="961"/>
        <v>-527099996.73494351</v>
      </c>
      <c r="S251">
        <f t="shared" si="962"/>
        <v>-5270.9999673494349</v>
      </c>
      <c r="T251">
        <f t="shared" si="963"/>
        <v>-5.270999967349435</v>
      </c>
    </row>
    <row r="252" spans="1:20" x14ac:dyDescent="0.25">
      <c r="A252" s="5">
        <v>44341</v>
      </c>
      <c r="B252">
        <v>0.68620000000000003</v>
      </c>
      <c r="C252">
        <v>1.0980000000000001</v>
      </c>
      <c r="D252">
        <v>0.63890000000000002</v>
      </c>
      <c r="E252">
        <v>1.0660000000000001</v>
      </c>
      <c r="F252">
        <v>51434571.079999998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0.86059681986495307</v>
      </c>
      <c r="Q252">
        <f t="shared" si="960"/>
        <v>44264428.30256588</v>
      </c>
      <c r="R252">
        <f t="shared" si="961"/>
        <v>-506862441.68332392</v>
      </c>
      <c r="S252">
        <f t="shared" si="962"/>
        <v>-5068.6244168332396</v>
      </c>
      <c r="T252">
        <f t="shared" si="963"/>
        <v>-5.0686244168332397</v>
      </c>
    </row>
    <row r="253" spans="1:20" x14ac:dyDescent="0.25">
      <c r="A253" s="5">
        <v>44340</v>
      </c>
      <c r="B253">
        <v>0.56889999999999996</v>
      </c>
      <c r="C253">
        <v>0.6966</v>
      </c>
      <c r="D253">
        <v>0.54920000000000002</v>
      </c>
      <c r="E253">
        <v>0.68530000000000002</v>
      </c>
      <c r="F253">
        <v>20878468.149999999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0.84667571234735439</v>
      </c>
      <c r="Q253">
        <f t="shared" si="960"/>
        <v>17677291.893622801</v>
      </c>
      <c r="R253">
        <f t="shared" si="961"/>
        <v>-551126869.98588979</v>
      </c>
      <c r="S253">
        <f t="shared" si="962"/>
        <v>-5511.2686998588979</v>
      </c>
      <c r="T253">
        <f t="shared" si="963"/>
        <v>-5.5112686998588982</v>
      </c>
    </row>
    <row r="254" spans="1:20" x14ac:dyDescent="0.25">
      <c r="A254" s="5">
        <v>44339</v>
      </c>
      <c r="B254">
        <v>0.68340000000000001</v>
      </c>
      <c r="C254">
        <v>0.73819999999999997</v>
      </c>
      <c r="D254">
        <v>0.45590000000000003</v>
      </c>
      <c r="E254">
        <v>0.5696</v>
      </c>
      <c r="F254">
        <v>30578022.699999999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-0.19447396386822535</v>
      </c>
      <c r="Q254">
        <f t="shared" si="960"/>
        <v>-5946629.2817215743</v>
      </c>
      <c r="R254">
        <f t="shared" si="961"/>
        <v>-568804161.87951255</v>
      </c>
      <c r="S254">
        <f t="shared" si="962"/>
        <v>-5688.041618795125</v>
      </c>
      <c r="T254">
        <f t="shared" si="963"/>
        <v>-5.6880416187951246</v>
      </c>
    </row>
    <row r="255" spans="1:20" x14ac:dyDescent="0.25">
      <c r="A255" s="5">
        <v>44338</v>
      </c>
      <c r="B255">
        <v>0.70469999999999999</v>
      </c>
      <c r="C255">
        <v>0.75480000000000003</v>
      </c>
      <c r="D255">
        <v>0.61470000000000002</v>
      </c>
      <c r="E255">
        <v>0.68340000000000001</v>
      </c>
      <c r="F255">
        <v>21105105.09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-1.9271948608137298E-2</v>
      </c>
      <c r="Q255">
        <f t="shared" si="960"/>
        <v>-406736.50066381693</v>
      </c>
      <c r="R255">
        <f t="shared" si="961"/>
        <v>-562857532.59779096</v>
      </c>
      <c r="S255">
        <f t="shared" si="962"/>
        <v>-5628.5753259779094</v>
      </c>
      <c r="T255">
        <f t="shared" si="963"/>
        <v>-5.6285753259779092</v>
      </c>
    </row>
    <row r="256" spans="1:20" x14ac:dyDescent="0.25">
      <c r="A256" s="5">
        <v>44337</v>
      </c>
      <c r="B256">
        <v>0.80100000000000005</v>
      </c>
      <c r="C256">
        <v>0.98119999999999996</v>
      </c>
      <c r="D256">
        <v>0.60580000000000001</v>
      </c>
      <c r="E256">
        <v>0.70469999999999999</v>
      </c>
      <c r="F256">
        <v>26602456.859999999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-0.47309536494405968</v>
      </c>
      <c r="Q256">
        <f t="shared" si="960"/>
        <v>-12585499.036590304</v>
      </c>
      <c r="R256">
        <f t="shared" si="961"/>
        <v>-562450796.09712708</v>
      </c>
      <c r="S256">
        <f t="shared" si="962"/>
        <v>-5624.5079609712711</v>
      </c>
      <c r="T256">
        <f t="shared" si="963"/>
        <v>-5.6245079609712709</v>
      </c>
    </row>
    <row r="257" spans="1:20" x14ac:dyDescent="0.25">
      <c r="A257" s="5">
        <v>44336</v>
      </c>
      <c r="B257">
        <v>0.70779999999999998</v>
      </c>
      <c r="C257">
        <v>0.87390000000000001</v>
      </c>
      <c r="D257">
        <v>0.63800000000000001</v>
      </c>
      <c r="E257">
        <v>0.80049999999999999</v>
      </c>
      <c r="F257">
        <v>26170657.489999998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0.37770241627808376</v>
      </c>
      <c r="Q257">
        <f t="shared" si="960"/>
        <v>9884720.5695591308</v>
      </c>
      <c r="R257">
        <f t="shared" si="961"/>
        <v>-549865297.06053674</v>
      </c>
      <c r="S257">
        <f t="shared" si="962"/>
        <v>-5498.652970605367</v>
      </c>
      <c r="T257">
        <f t="shared" si="963"/>
        <v>-5.4986529706053666</v>
      </c>
    </row>
    <row r="258" spans="1:20" x14ac:dyDescent="0.25">
      <c r="A258" s="5">
        <v>44335</v>
      </c>
      <c r="B258">
        <v>1.1298999999999999</v>
      </c>
      <c r="C258">
        <v>1.157</v>
      </c>
      <c r="D258">
        <v>0.5</v>
      </c>
      <c r="E258">
        <v>0.70579999999999998</v>
      </c>
      <c r="F258">
        <v>46633252.770000003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-0.37351598173515987</v>
      </c>
      <c r="Q258">
        <f t="shared" si="960"/>
        <v>-17418265.189890414</v>
      </c>
      <c r="R258">
        <f t="shared" si="961"/>
        <v>-559750017.63009584</v>
      </c>
      <c r="S258">
        <f t="shared" si="962"/>
        <v>-5597.5001763009586</v>
      </c>
      <c r="T258">
        <f t="shared" si="963"/>
        <v>-5.5975001763009589</v>
      </c>
    </row>
    <row r="259" spans="1:20" x14ac:dyDescent="0.25">
      <c r="A259" s="5">
        <v>44334</v>
      </c>
      <c r="B259">
        <v>1.1153</v>
      </c>
      <c r="C259">
        <v>1.24</v>
      </c>
      <c r="D259">
        <v>1.1039000000000001</v>
      </c>
      <c r="E259">
        <v>1.1302000000000001</v>
      </c>
      <c r="F259">
        <v>16762102.039999999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-0.61351947097722248</v>
      </c>
      <c r="Q259">
        <f t="shared" si="960"/>
        <v>-10283875.97604702</v>
      </c>
      <c r="R259">
        <f t="shared" si="961"/>
        <v>-542331752.44020545</v>
      </c>
      <c r="S259">
        <f t="shared" si="962"/>
        <v>-5423.3175244020549</v>
      </c>
      <c r="T259">
        <f t="shared" si="963"/>
        <v>-5.4233175244020551</v>
      </c>
    </row>
    <row r="260" spans="1:20" x14ac:dyDescent="0.25">
      <c r="A260" s="5">
        <v>44333</v>
      </c>
      <c r="B260">
        <v>1.2004999999999999</v>
      </c>
      <c r="C260">
        <v>1.2747999999999999</v>
      </c>
      <c r="D260">
        <v>1.0266</v>
      </c>
      <c r="E260">
        <v>1.1138999999999999</v>
      </c>
      <c r="F260">
        <v>26313699.670000002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-0.29653505237711569</v>
      </c>
      <c r="Q260">
        <f t="shared" si="960"/>
        <v>-7802934.3098791428</v>
      </c>
      <c r="R260">
        <f t="shared" si="961"/>
        <v>-532047876.46415842</v>
      </c>
      <c r="S260">
        <f t="shared" si="962"/>
        <v>-5320.4787646415843</v>
      </c>
      <c r="T260">
        <f t="shared" si="963"/>
        <v>-5.3204787646415843</v>
      </c>
    </row>
    <row r="261" spans="1:20" x14ac:dyDescent="0.25">
      <c r="A261" s="5">
        <v>44332</v>
      </c>
      <c r="B261">
        <v>1.2522</v>
      </c>
      <c r="C261">
        <v>1.349</v>
      </c>
      <c r="D261">
        <v>1.1102000000000001</v>
      </c>
      <c r="E261">
        <v>1.1998</v>
      </c>
      <c r="F261">
        <v>16108235.59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-0.24958123953098879</v>
      </c>
      <c r="Q261">
        <f t="shared" si="960"/>
        <v>-4020313.4052093886</v>
      </c>
      <c r="R261">
        <f t="shared" si="961"/>
        <v>-524244942.15427929</v>
      </c>
      <c r="S261">
        <f t="shared" si="962"/>
        <v>-5242.4494215427931</v>
      </c>
      <c r="T261">
        <f t="shared" si="963"/>
        <v>-5.2424494215427933</v>
      </c>
    </row>
    <row r="262" spans="1:20" x14ac:dyDescent="0.25">
      <c r="A262" s="5">
        <v>44331</v>
      </c>
      <c r="B262">
        <v>1.3801000000000001</v>
      </c>
      <c r="C262">
        <v>1.3959999999999999</v>
      </c>
      <c r="D262">
        <v>1.22</v>
      </c>
      <c r="E262">
        <v>1.2517</v>
      </c>
      <c r="F262">
        <v>15095284.91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-0.63977272727272649</v>
      </c>
      <c r="Q262">
        <f t="shared" ref="Q262:Q325" si="965">F262*P262</f>
        <v>-9657551.5958295334</v>
      </c>
      <c r="R262">
        <f t="shared" ref="R262:R325" si="966">R263+Q262</f>
        <v>-520224628.74906993</v>
      </c>
      <c r="S262">
        <f t="shared" ref="S262:S325" si="967">R262/100000</f>
        <v>-5202.2462874906996</v>
      </c>
      <c r="T262">
        <f t="shared" ref="T262:T325" si="968">S262/1000</f>
        <v>-5.2022462874906994</v>
      </c>
    </row>
    <row r="263" spans="1:20" x14ac:dyDescent="0.25">
      <c r="A263" s="5">
        <v>44330</v>
      </c>
      <c r="B263">
        <v>1.2709999999999999</v>
      </c>
      <c r="C263">
        <v>1.4693000000000001</v>
      </c>
      <c r="D263">
        <v>1.2656000000000001</v>
      </c>
      <c r="E263">
        <v>1.38</v>
      </c>
      <c r="F263">
        <v>19029070.82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0.12322042218949278</v>
      </c>
      <c r="Q263">
        <f t="shared" si="965"/>
        <v>2344770.1403141576</v>
      </c>
      <c r="R263">
        <f t="shared" si="966"/>
        <v>-510567077.15324038</v>
      </c>
      <c r="S263">
        <f t="shared" si="967"/>
        <v>-5105.6707715324037</v>
      </c>
      <c r="T263">
        <f t="shared" si="968"/>
        <v>-5.1056707715324041</v>
      </c>
    </row>
    <row r="264" spans="1:20" x14ac:dyDescent="0.25">
      <c r="A264" s="5">
        <v>44329</v>
      </c>
      <c r="B264">
        <v>1.21</v>
      </c>
      <c r="C264">
        <v>1.36</v>
      </c>
      <c r="D264">
        <v>1.1274</v>
      </c>
      <c r="E264">
        <v>1.2706999999999999</v>
      </c>
      <c r="F264">
        <v>25472028.140000001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0.23215821152192517</v>
      </c>
      <c r="Q264">
        <f t="shared" si="965"/>
        <v>5913540.4968185499</v>
      </c>
      <c r="R264">
        <f t="shared" si="966"/>
        <v>-512911847.29355454</v>
      </c>
      <c r="S264">
        <f t="shared" si="967"/>
        <v>-5129.1184729355455</v>
      </c>
      <c r="T264">
        <f t="shared" si="968"/>
        <v>-5.1291184729355459</v>
      </c>
    </row>
    <row r="265" spans="1:20" x14ac:dyDescent="0.25">
      <c r="A265" s="5">
        <v>44328</v>
      </c>
      <c r="B265">
        <v>1.4331</v>
      </c>
      <c r="C265">
        <v>1.6738999999999999</v>
      </c>
      <c r="D265">
        <v>1.1811</v>
      </c>
      <c r="E265">
        <v>1.21</v>
      </c>
      <c r="F265">
        <v>31027827.789999999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-0.8827110389610392</v>
      </c>
      <c r="Q265">
        <f t="shared" si="965"/>
        <v>-27388606.105215102</v>
      </c>
      <c r="R265">
        <f t="shared" si="966"/>
        <v>-518825387.79037309</v>
      </c>
      <c r="S265">
        <f t="shared" si="967"/>
        <v>-5188.2538779037304</v>
      </c>
      <c r="T265">
        <f t="shared" si="968"/>
        <v>-5.1882538779037306</v>
      </c>
    </row>
    <row r="266" spans="1:20" x14ac:dyDescent="0.25">
      <c r="A266" s="5">
        <v>44327</v>
      </c>
      <c r="B266">
        <v>1.3523000000000001</v>
      </c>
      <c r="C266">
        <v>1.4735</v>
      </c>
      <c r="D266">
        <v>1.3073999999999999</v>
      </c>
      <c r="E266">
        <v>1.4332</v>
      </c>
      <c r="F266">
        <v>15707964.960000001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0.51475015051174033</v>
      </c>
      <c r="Q266">
        <f t="shared" si="965"/>
        <v>8085677.3273931434</v>
      </c>
      <c r="R266">
        <f t="shared" si="966"/>
        <v>-491436781.68515801</v>
      </c>
      <c r="S266">
        <f t="shared" si="967"/>
        <v>-4914.3678168515798</v>
      </c>
      <c r="T266">
        <f t="shared" si="968"/>
        <v>-4.9143678168515796</v>
      </c>
    </row>
    <row r="267" spans="1:20" x14ac:dyDescent="0.25">
      <c r="A267" s="5">
        <v>44326</v>
      </c>
      <c r="B267">
        <v>1.5598000000000001</v>
      </c>
      <c r="C267">
        <v>1.6273</v>
      </c>
      <c r="D267">
        <v>1.2509999999999999</v>
      </c>
      <c r="E267">
        <v>1.3523000000000001</v>
      </c>
      <c r="F267">
        <v>21606396.98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-0.46159978740366653</v>
      </c>
      <c r="Q267">
        <f t="shared" si="965"/>
        <v>-9973508.252527222</v>
      </c>
      <c r="R267">
        <f t="shared" si="966"/>
        <v>-499522459.01255113</v>
      </c>
      <c r="S267">
        <f t="shared" si="967"/>
        <v>-4995.224590125511</v>
      </c>
      <c r="T267">
        <f t="shared" si="968"/>
        <v>-4.9952245901255106</v>
      </c>
    </row>
    <row r="268" spans="1:20" x14ac:dyDescent="0.25">
      <c r="A268" s="5">
        <v>44325</v>
      </c>
      <c r="B268">
        <v>1.5733999999999999</v>
      </c>
      <c r="C268">
        <v>1.6465000000000001</v>
      </c>
      <c r="D268">
        <v>1.468</v>
      </c>
      <c r="E268">
        <v>1.5596000000000001</v>
      </c>
      <c r="F268">
        <v>16381195.619999999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2.633053221288597E-2</v>
      </c>
      <c r="Q268">
        <f t="shared" si="965"/>
        <v>431325.59895799652</v>
      </c>
      <c r="R268">
        <f t="shared" si="966"/>
        <v>-489548950.76002389</v>
      </c>
      <c r="S268">
        <f t="shared" si="967"/>
        <v>-4895.4895076002385</v>
      </c>
      <c r="T268">
        <f t="shared" si="968"/>
        <v>-4.8954895076002387</v>
      </c>
    </row>
    <row r="269" spans="1:20" x14ac:dyDescent="0.25">
      <c r="A269" s="5">
        <v>44324</v>
      </c>
      <c r="B269">
        <v>1.5716000000000001</v>
      </c>
      <c r="C269">
        <v>1.6527000000000001</v>
      </c>
      <c r="D269">
        <v>1.5382</v>
      </c>
      <c r="E269">
        <v>1.5733999999999999</v>
      </c>
      <c r="F269">
        <v>11444246.84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-0.38515283842794962</v>
      </c>
      <c r="Q269">
        <f t="shared" si="965"/>
        <v>-4407784.154096093</v>
      </c>
      <c r="R269">
        <f t="shared" si="966"/>
        <v>-489980276.35898191</v>
      </c>
      <c r="S269">
        <f t="shared" si="967"/>
        <v>-4899.8027635898188</v>
      </c>
      <c r="T269">
        <f t="shared" si="968"/>
        <v>-4.8998027635898191</v>
      </c>
    </row>
    <row r="270" spans="1:20" x14ac:dyDescent="0.25">
      <c r="A270" s="5">
        <v>44323</v>
      </c>
      <c r="B270">
        <v>1.5863</v>
      </c>
      <c r="C270">
        <v>1.65</v>
      </c>
      <c r="D270">
        <v>1.4996</v>
      </c>
      <c r="E270">
        <v>1.5716000000000001</v>
      </c>
      <c r="F270">
        <v>19544068.640000001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-4.2553191489360008E-2</v>
      </c>
      <c r="Q270">
        <f t="shared" si="965"/>
        <v>-831662.49531911581</v>
      </c>
      <c r="R270">
        <f t="shared" si="966"/>
        <v>-485572492.20488584</v>
      </c>
      <c r="S270">
        <f t="shared" si="967"/>
        <v>-4855.7249220488584</v>
      </c>
      <c r="T270">
        <f t="shared" si="968"/>
        <v>-4.8557249220488581</v>
      </c>
    </row>
    <row r="271" spans="1:20" x14ac:dyDescent="0.25">
      <c r="A271" s="5">
        <v>44322</v>
      </c>
      <c r="B271">
        <v>1.7051000000000001</v>
      </c>
      <c r="C271">
        <v>1.7470000000000001</v>
      </c>
      <c r="D271">
        <v>1.5521</v>
      </c>
      <c r="E271">
        <v>1.5863</v>
      </c>
      <c r="F271">
        <v>21741914.440000001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-0.64905079527963061</v>
      </c>
      <c r="Q271">
        <f t="shared" si="965"/>
        <v>-14111606.858183686</v>
      </c>
      <c r="R271">
        <f t="shared" si="966"/>
        <v>-484740829.70956671</v>
      </c>
      <c r="S271">
        <f t="shared" si="967"/>
        <v>-4847.408297095667</v>
      </c>
      <c r="T271">
        <f t="shared" si="968"/>
        <v>-4.8474082970956669</v>
      </c>
    </row>
    <row r="272" spans="1:20" x14ac:dyDescent="0.25">
      <c r="A272" s="5">
        <v>44321</v>
      </c>
      <c r="B272">
        <v>1.5682</v>
      </c>
      <c r="C272">
        <v>1.8305</v>
      </c>
      <c r="D272">
        <v>1.5544</v>
      </c>
      <c r="E272">
        <v>1.7044999999999999</v>
      </c>
      <c r="F272">
        <v>27067553.199999999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8.7287214777253846E-2</v>
      </c>
      <c r="Q272">
        <f t="shared" si="965"/>
        <v>2362651.3296631444</v>
      </c>
      <c r="R272">
        <f t="shared" si="966"/>
        <v>-470629222.85138303</v>
      </c>
      <c r="S272">
        <f t="shared" si="967"/>
        <v>-4706.2922285138302</v>
      </c>
      <c r="T272">
        <f t="shared" si="968"/>
        <v>-4.7062922285138304</v>
      </c>
    </row>
    <row r="273" spans="1:20" x14ac:dyDescent="0.25">
      <c r="A273" s="5">
        <v>44320</v>
      </c>
      <c r="B273">
        <v>1.8583000000000001</v>
      </c>
      <c r="C273">
        <v>1.8648</v>
      </c>
      <c r="D273">
        <v>1.5411999999999999</v>
      </c>
      <c r="E273">
        <v>1.5669999999999999</v>
      </c>
      <c r="F273">
        <v>22915454.960000001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-0.84054388133498126</v>
      </c>
      <c r="Q273">
        <f t="shared" si="965"/>
        <v>-19261445.454635348</v>
      </c>
      <c r="R273">
        <f t="shared" si="966"/>
        <v>-472991874.18104619</v>
      </c>
      <c r="S273">
        <f t="shared" si="967"/>
        <v>-4729.9187418104621</v>
      </c>
      <c r="T273">
        <f t="shared" si="968"/>
        <v>-4.7299187418104625</v>
      </c>
    </row>
    <row r="274" spans="1:20" x14ac:dyDescent="0.25">
      <c r="A274" s="5">
        <v>44319</v>
      </c>
      <c r="B274">
        <v>1.798</v>
      </c>
      <c r="C274">
        <v>1.9478</v>
      </c>
      <c r="D274">
        <v>1.79</v>
      </c>
      <c r="E274">
        <v>1.8593999999999999</v>
      </c>
      <c r="F274">
        <v>21325309.27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-0.12040557667934179</v>
      </c>
      <c r="Q274">
        <f t="shared" si="965"/>
        <v>-2567686.1605196632</v>
      </c>
      <c r="R274">
        <f t="shared" si="966"/>
        <v>-453730428.72641087</v>
      </c>
      <c r="S274">
        <f t="shared" si="967"/>
        <v>-4537.304287264109</v>
      </c>
      <c r="T274">
        <f t="shared" si="968"/>
        <v>-4.5373042872641092</v>
      </c>
    </row>
    <row r="275" spans="1:20" x14ac:dyDescent="0.25">
      <c r="A275" s="5">
        <v>44318</v>
      </c>
      <c r="B275">
        <v>1.8724000000000001</v>
      </c>
      <c r="C275">
        <v>1.8766</v>
      </c>
      <c r="D275">
        <v>1.7239</v>
      </c>
      <c r="E275">
        <v>1.798</v>
      </c>
      <c r="F275">
        <v>10484977.83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-2.9469548133594935E-2</v>
      </c>
      <c r="Q275">
        <f t="shared" si="965"/>
        <v>-308987.55884086079</v>
      </c>
      <c r="R275">
        <f t="shared" si="966"/>
        <v>-451162742.56589121</v>
      </c>
      <c r="S275">
        <f t="shared" si="967"/>
        <v>-4511.6274256589122</v>
      </c>
      <c r="T275">
        <f t="shared" si="968"/>
        <v>-4.5116274256589124</v>
      </c>
    </row>
    <row r="276" spans="1:20" x14ac:dyDescent="0.25">
      <c r="A276" s="5">
        <v>44317</v>
      </c>
      <c r="B276">
        <v>1.8599000000000001</v>
      </c>
      <c r="C276">
        <v>1.92</v>
      </c>
      <c r="D276">
        <v>1.78</v>
      </c>
      <c r="E276">
        <v>1.8720000000000001</v>
      </c>
      <c r="F276">
        <v>13675183.32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0.31428571428571639</v>
      </c>
      <c r="Q276">
        <f t="shared" si="965"/>
        <v>4297914.7577143144</v>
      </c>
      <c r="R276">
        <f t="shared" si="966"/>
        <v>-450853755.00705034</v>
      </c>
      <c r="S276">
        <f t="shared" si="967"/>
        <v>-4508.5375500705031</v>
      </c>
      <c r="T276">
        <f t="shared" si="968"/>
        <v>-4.5085375500705034</v>
      </c>
    </row>
    <row r="277" spans="1:20" x14ac:dyDescent="0.25">
      <c r="A277" s="5">
        <v>44316</v>
      </c>
      <c r="B277">
        <v>1.8026</v>
      </c>
      <c r="C277">
        <v>1.9</v>
      </c>
      <c r="D277">
        <v>1.7454000000000001</v>
      </c>
      <c r="E277">
        <v>1.8589</v>
      </c>
      <c r="F277">
        <v>11846240.42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0.46830530401034987</v>
      </c>
      <c r="Q277">
        <f t="shared" si="965"/>
        <v>5547657.2212677943</v>
      </c>
      <c r="R277">
        <f t="shared" si="966"/>
        <v>-455151669.76476467</v>
      </c>
      <c r="S277">
        <f t="shared" si="967"/>
        <v>-4551.5166976476467</v>
      </c>
      <c r="T277">
        <f t="shared" si="968"/>
        <v>-4.5515166976476467</v>
      </c>
    </row>
    <row r="278" spans="1:20" x14ac:dyDescent="0.25">
      <c r="A278" s="5">
        <v>44315</v>
      </c>
      <c r="B278">
        <v>1.8871</v>
      </c>
      <c r="C278">
        <v>1.95</v>
      </c>
      <c r="D278">
        <v>1.7264999999999999</v>
      </c>
      <c r="E278">
        <v>1.8030999999999999</v>
      </c>
      <c r="F278">
        <v>16577256.49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-0.3145413870246086</v>
      </c>
      <c r="Q278">
        <f t="shared" si="965"/>
        <v>-5214233.2494272944</v>
      </c>
      <c r="R278">
        <f t="shared" si="966"/>
        <v>-460699326.98603249</v>
      </c>
      <c r="S278">
        <f t="shared" si="967"/>
        <v>-4606.9932698603252</v>
      </c>
      <c r="T278">
        <f t="shared" si="968"/>
        <v>-4.6069932698603253</v>
      </c>
    </row>
    <row r="279" spans="1:20" x14ac:dyDescent="0.25">
      <c r="A279" s="5">
        <v>44314</v>
      </c>
      <c r="B279">
        <v>1.9531000000000001</v>
      </c>
      <c r="C279">
        <v>2.0352999999999999</v>
      </c>
      <c r="D279">
        <v>1.7707999999999999</v>
      </c>
      <c r="E279">
        <v>1.883</v>
      </c>
      <c r="F279">
        <v>14625094.51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-0.15160680529300494</v>
      </c>
      <c r="Q279">
        <f t="shared" si="965"/>
        <v>-2217263.8557693656</v>
      </c>
      <c r="R279">
        <f t="shared" si="966"/>
        <v>-455485093.73660517</v>
      </c>
      <c r="S279">
        <f t="shared" si="967"/>
        <v>-4554.8509373660518</v>
      </c>
      <c r="T279">
        <f t="shared" si="968"/>
        <v>-4.5548509373660515</v>
      </c>
    </row>
    <row r="280" spans="1:20" x14ac:dyDescent="0.25">
      <c r="A280" s="5">
        <v>44313</v>
      </c>
      <c r="B280">
        <v>1.7133</v>
      </c>
      <c r="C280">
        <v>2.0682</v>
      </c>
      <c r="D280">
        <v>1.6760999999999999</v>
      </c>
      <c r="E280">
        <v>1.9502999999999999</v>
      </c>
      <c r="F280">
        <v>20347363.59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0.39862280030604397</v>
      </c>
      <c r="Q280">
        <f t="shared" si="965"/>
        <v>8110923.0530910399</v>
      </c>
      <c r="R280">
        <f t="shared" si="966"/>
        <v>-453267829.88083583</v>
      </c>
      <c r="S280">
        <f t="shared" si="967"/>
        <v>-4532.6782988083587</v>
      </c>
      <c r="T280">
        <f t="shared" si="968"/>
        <v>-4.5326782988083583</v>
      </c>
    </row>
    <row r="281" spans="1:20" x14ac:dyDescent="0.25">
      <c r="A281" s="5">
        <v>44312</v>
      </c>
      <c r="B281">
        <v>1.5175000000000001</v>
      </c>
      <c r="C281">
        <v>1.9176</v>
      </c>
      <c r="D281">
        <v>1.4891000000000001</v>
      </c>
      <c r="E281">
        <v>1.712</v>
      </c>
      <c r="F281">
        <v>20486833.469999999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4.0373395565927367E-2</v>
      </c>
      <c r="Q281">
        <f t="shared" si="965"/>
        <v>827123.03157759027</v>
      </c>
      <c r="R281">
        <f t="shared" si="966"/>
        <v>-461378752.93392688</v>
      </c>
      <c r="S281">
        <f t="shared" si="967"/>
        <v>-4613.787529339269</v>
      </c>
      <c r="T281">
        <f t="shared" si="968"/>
        <v>-4.6137875293392687</v>
      </c>
    </row>
    <row r="282" spans="1:20" x14ac:dyDescent="0.25">
      <c r="A282" s="5">
        <v>44311</v>
      </c>
      <c r="B282">
        <v>1.4634</v>
      </c>
      <c r="C282">
        <v>1.6497999999999999</v>
      </c>
      <c r="D282">
        <v>1.4039999999999999</v>
      </c>
      <c r="E282">
        <v>1.5153000000000001</v>
      </c>
      <c r="F282">
        <v>11583556.67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-9.4385679414156487E-2</v>
      </c>
      <c r="Q282">
        <f t="shared" si="965"/>
        <v>-1093321.866330334</v>
      </c>
      <c r="R282">
        <f t="shared" si="966"/>
        <v>-462205875.96550447</v>
      </c>
      <c r="S282">
        <f t="shared" si="967"/>
        <v>-4622.0587596550449</v>
      </c>
      <c r="T282">
        <f t="shared" si="968"/>
        <v>-4.6220587596550446</v>
      </c>
    </row>
    <row r="283" spans="1:20" x14ac:dyDescent="0.25">
      <c r="A283" s="5">
        <v>44310</v>
      </c>
      <c r="B283">
        <v>1.6769000000000001</v>
      </c>
      <c r="C283">
        <v>1.6839</v>
      </c>
      <c r="D283">
        <v>1.4486000000000001</v>
      </c>
      <c r="E283">
        <v>1.4635</v>
      </c>
      <c r="F283">
        <v>14541026.34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-0.87335316617084635</v>
      </c>
      <c r="Q283">
        <f t="shared" si="965"/>
        <v>-12699451.393412674</v>
      </c>
      <c r="R283">
        <f t="shared" si="966"/>
        <v>-461112554.09917414</v>
      </c>
      <c r="S283">
        <f t="shared" si="967"/>
        <v>-4611.1255409917412</v>
      </c>
      <c r="T283">
        <f t="shared" si="968"/>
        <v>-4.6111255409917415</v>
      </c>
    </row>
    <row r="284" spans="1:20" x14ac:dyDescent="0.25">
      <c r="A284" s="5">
        <v>44309</v>
      </c>
      <c r="B284">
        <v>1.6425000000000001</v>
      </c>
      <c r="C284">
        <v>1.7185999999999999</v>
      </c>
      <c r="D284">
        <v>1.3789</v>
      </c>
      <c r="E284">
        <v>1.6738</v>
      </c>
      <c r="F284">
        <v>30918125.100000001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0.73623785693258781</v>
      </c>
      <c r="Q284">
        <f t="shared" si="965"/>
        <v>22763094.163997654</v>
      </c>
      <c r="R284">
        <f t="shared" si="966"/>
        <v>-448413102.70576149</v>
      </c>
      <c r="S284">
        <f t="shared" si="967"/>
        <v>-4484.131027057615</v>
      </c>
      <c r="T284">
        <f t="shared" si="968"/>
        <v>-4.4841310270576153</v>
      </c>
    </row>
    <row r="285" spans="1:20" x14ac:dyDescent="0.25">
      <c r="A285" s="5">
        <v>44308</v>
      </c>
      <c r="B285">
        <v>1.9251</v>
      </c>
      <c r="C285">
        <v>2.1890000000000001</v>
      </c>
      <c r="D285">
        <v>1.5941000000000001</v>
      </c>
      <c r="E285">
        <v>1.6435</v>
      </c>
      <c r="F285">
        <v>37063366.829999998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-0.83392166750714447</v>
      </c>
      <c r="Q285">
        <f t="shared" si="965"/>
        <v>-30907944.670302585</v>
      </c>
      <c r="R285">
        <f t="shared" si="966"/>
        <v>-471176196.86975914</v>
      </c>
      <c r="S285">
        <f t="shared" si="967"/>
        <v>-4711.7619686975913</v>
      </c>
      <c r="T285">
        <f t="shared" si="968"/>
        <v>-4.7117619686975916</v>
      </c>
    </row>
    <row r="286" spans="1:20" x14ac:dyDescent="0.25">
      <c r="A286" s="5">
        <v>44307</v>
      </c>
      <c r="B286">
        <v>1.6848000000000001</v>
      </c>
      <c r="C286">
        <v>2.25</v>
      </c>
      <c r="D286">
        <v>1.6785000000000001</v>
      </c>
      <c r="E286">
        <v>1.9253</v>
      </c>
      <c r="F286">
        <v>41648050.090000004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-0.13630796150481206</v>
      </c>
      <c r="Q286">
        <f t="shared" si="965"/>
        <v>-5676960.808418205</v>
      </c>
      <c r="R286">
        <f t="shared" si="966"/>
        <v>-440268252.19945657</v>
      </c>
      <c r="S286">
        <f t="shared" si="967"/>
        <v>-4402.6825219945658</v>
      </c>
      <c r="T286">
        <f t="shared" si="968"/>
        <v>-4.4026825219945662</v>
      </c>
    </row>
    <row r="287" spans="1:20" x14ac:dyDescent="0.25">
      <c r="A287" s="5">
        <v>44306</v>
      </c>
      <c r="B287">
        <v>1.6561999999999999</v>
      </c>
      <c r="C287">
        <v>1.77</v>
      </c>
      <c r="D287">
        <v>1.4852000000000001</v>
      </c>
      <c r="E287">
        <v>1.6840999999999999</v>
      </c>
      <c r="F287">
        <v>22068807.170000002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0.39676966292134758</v>
      </c>
      <c r="Q287">
        <f t="shared" si="965"/>
        <v>8756233.1819171198</v>
      </c>
      <c r="R287">
        <f t="shared" si="966"/>
        <v>-434591291.39103836</v>
      </c>
      <c r="S287">
        <f t="shared" si="967"/>
        <v>-4345.9129139103834</v>
      </c>
      <c r="T287">
        <f t="shared" si="968"/>
        <v>-4.3459129139103831</v>
      </c>
    </row>
    <row r="288" spans="1:20" x14ac:dyDescent="0.25">
      <c r="A288" s="5">
        <v>44305</v>
      </c>
      <c r="B288">
        <v>1.9562999999999999</v>
      </c>
      <c r="C288">
        <v>2.0931000000000002</v>
      </c>
      <c r="D288">
        <v>1.6209</v>
      </c>
      <c r="E288">
        <v>1.6552</v>
      </c>
      <c r="F288">
        <v>24595214.829999998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-0.85472257518000849</v>
      </c>
      <c r="Q288">
        <f t="shared" si="965"/>
        <v>-21022085.356603134</v>
      </c>
      <c r="R288">
        <f t="shared" si="966"/>
        <v>-443347524.57295549</v>
      </c>
      <c r="S288">
        <f t="shared" si="967"/>
        <v>-4433.4752457295544</v>
      </c>
      <c r="T288">
        <f t="shared" si="968"/>
        <v>-4.4334752457295545</v>
      </c>
    </row>
    <row r="289" spans="1:20" x14ac:dyDescent="0.25">
      <c r="A289" s="5">
        <v>44304</v>
      </c>
      <c r="B289">
        <v>2.2829000000000002</v>
      </c>
      <c r="C289">
        <v>2.3229000000000002</v>
      </c>
      <c r="D289">
        <v>1.5985</v>
      </c>
      <c r="E289">
        <v>1.9545999999999999</v>
      </c>
      <c r="F289">
        <v>33913493.109999999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-1.6841524019879112E-2</v>
      </c>
      <c r="Q289">
        <f t="shared" si="965"/>
        <v>-571154.90881006978</v>
      </c>
      <c r="R289">
        <f t="shared" si="966"/>
        <v>-422325439.21635234</v>
      </c>
      <c r="S289">
        <f t="shared" si="967"/>
        <v>-4223.2543921635233</v>
      </c>
      <c r="T289">
        <f t="shared" si="968"/>
        <v>-4.2232543921635237</v>
      </c>
    </row>
    <row r="290" spans="1:20" x14ac:dyDescent="0.25">
      <c r="A290" s="5">
        <v>44303</v>
      </c>
      <c r="B290">
        <v>2.2705000000000002</v>
      </c>
      <c r="C290">
        <v>2.4</v>
      </c>
      <c r="D290">
        <v>2.2244000000000002</v>
      </c>
      <c r="E290">
        <v>2.2789000000000001</v>
      </c>
      <c r="F290">
        <v>14797557.140000001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-0.3792710706150334</v>
      </c>
      <c r="Q290">
        <f t="shared" si="965"/>
        <v>-5612285.3389749322</v>
      </c>
      <c r="R290">
        <f t="shared" si="966"/>
        <v>-421754284.30754226</v>
      </c>
      <c r="S290">
        <f t="shared" si="967"/>
        <v>-4217.5428430754228</v>
      </c>
      <c r="T290">
        <f t="shared" si="968"/>
        <v>-4.2175428430754227</v>
      </c>
    </row>
    <row r="291" spans="1:20" x14ac:dyDescent="0.25">
      <c r="A291" s="5">
        <v>44302</v>
      </c>
      <c r="B291">
        <v>2.4047999999999998</v>
      </c>
      <c r="C291">
        <v>2.5350000000000001</v>
      </c>
      <c r="D291">
        <v>2.0994000000000002</v>
      </c>
      <c r="E291">
        <v>2.2705000000000002</v>
      </c>
      <c r="F291">
        <v>24499961.010000002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-0.2144168962350779</v>
      </c>
      <c r="Q291">
        <f t="shared" si="965"/>
        <v>-5253205.5976446243</v>
      </c>
      <c r="R291">
        <f t="shared" si="966"/>
        <v>-416141998.96856731</v>
      </c>
      <c r="S291">
        <f t="shared" si="967"/>
        <v>-4161.4199896856735</v>
      </c>
      <c r="T291">
        <f t="shared" si="968"/>
        <v>-4.1614199896856734</v>
      </c>
    </row>
    <row r="292" spans="1:20" x14ac:dyDescent="0.25">
      <c r="A292" s="5">
        <v>44301</v>
      </c>
      <c r="B292">
        <v>2.3622000000000001</v>
      </c>
      <c r="C292">
        <v>2.5828000000000002</v>
      </c>
      <c r="D292">
        <v>2.3140000000000001</v>
      </c>
      <c r="E292">
        <v>2.4051999999999998</v>
      </c>
      <c r="F292">
        <v>17927818.620000001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-0.32142857142857384</v>
      </c>
      <c r="Q292">
        <f t="shared" si="965"/>
        <v>-5762513.1278571868</v>
      </c>
      <c r="R292">
        <f t="shared" si="966"/>
        <v>-410888793.37092268</v>
      </c>
      <c r="S292">
        <f t="shared" si="967"/>
        <v>-4108.8879337092267</v>
      </c>
      <c r="T292">
        <f t="shared" si="968"/>
        <v>-4.1088879337092266</v>
      </c>
    </row>
    <row r="293" spans="1:20" x14ac:dyDescent="0.25">
      <c r="A293" s="5">
        <v>44300</v>
      </c>
      <c r="B293">
        <v>2.4226000000000001</v>
      </c>
      <c r="C293">
        <v>2.4443000000000001</v>
      </c>
      <c r="D293">
        <v>2.1478999999999999</v>
      </c>
      <c r="E293">
        <v>2.3639000000000001</v>
      </c>
      <c r="F293">
        <v>26408718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0.45748987854251033</v>
      </c>
      <c r="Q293">
        <f t="shared" si="965"/>
        <v>12081721.190283407</v>
      </c>
      <c r="R293">
        <f t="shared" si="966"/>
        <v>-405126280.24306548</v>
      </c>
      <c r="S293">
        <f t="shared" si="967"/>
        <v>-4051.2628024306546</v>
      </c>
      <c r="T293">
        <f t="shared" si="968"/>
        <v>-4.0512628024306547</v>
      </c>
    </row>
    <row r="294" spans="1:20" x14ac:dyDescent="0.25">
      <c r="A294" s="5">
        <v>44299</v>
      </c>
      <c r="B294">
        <v>2.4142000000000001</v>
      </c>
      <c r="C294">
        <v>2.8208000000000002</v>
      </c>
      <c r="D294">
        <v>2.3733</v>
      </c>
      <c r="E294">
        <v>2.4205000000000001</v>
      </c>
      <c r="F294">
        <v>40189005.119999997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-0.78905027932960847</v>
      </c>
      <c r="Q294">
        <f t="shared" si="965"/>
        <v>-31711145.715915062</v>
      </c>
      <c r="R294">
        <f t="shared" si="966"/>
        <v>-417208001.43334889</v>
      </c>
      <c r="S294">
        <f t="shared" si="967"/>
        <v>-4172.0800143334891</v>
      </c>
      <c r="T294">
        <f t="shared" si="968"/>
        <v>-4.1720800143334893</v>
      </c>
    </row>
    <row r="295" spans="1:20" x14ac:dyDescent="0.25">
      <c r="A295" s="5">
        <v>44298</v>
      </c>
      <c r="B295">
        <v>2.5621</v>
      </c>
      <c r="C295">
        <v>2.6353</v>
      </c>
      <c r="D295">
        <v>2.3088000000000002</v>
      </c>
      <c r="E295">
        <v>2.4142000000000001</v>
      </c>
      <c r="F295">
        <v>26752728.739999998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-0.35436447166921897</v>
      </c>
      <c r="Q295">
        <f t="shared" si="965"/>
        <v>-9480216.5856600292</v>
      </c>
      <c r="R295">
        <f t="shared" si="966"/>
        <v>-385496855.71743381</v>
      </c>
      <c r="S295">
        <f t="shared" si="967"/>
        <v>-3854.968557174338</v>
      </c>
      <c r="T295">
        <f t="shared" si="968"/>
        <v>-3.8549685571743382</v>
      </c>
    </row>
    <row r="296" spans="1:20" x14ac:dyDescent="0.25">
      <c r="A296" s="5">
        <v>44297</v>
      </c>
      <c r="B296">
        <v>2.6248</v>
      </c>
      <c r="C296">
        <v>2.8106</v>
      </c>
      <c r="D296">
        <v>2.5007999999999999</v>
      </c>
      <c r="E296">
        <v>2.5613000000000001</v>
      </c>
      <c r="F296">
        <v>18279533.239999998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-0.60942543576500841</v>
      </c>
      <c r="Q296">
        <f t="shared" si="965"/>
        <v>-11140012.510367954</v>
      </c>
      <c r="R296">
        <f t="shared" si="966"/>
        <v>-376016639.13177377</v>
      </c>
      <c r="S296">
        <f t="shared" si="967"/>
        <v>-3760.1663913177376</v>
      </c>
      <c r="T296">
        <f t="shared" si="968"/>
        <v>-3.7601663913177377</v>
      </c>
    </row>
    <row r="297" spans="1:20" x14ac:dyDescent="0.25">
      <c r="A297" s="5">
        <v>44296</v>
      </c>
      <c r="B297">
        <v>2.9485999999999999</v>
      </c>
      <c r="C297">
        <v>2.9632999999999998</v>
      </c>
      <c r="D297">
        <v>2.5470000000000002</v>
      </c>
      <c r="E297">
        <v>2.6234999999999999</v>
      </c>
      <c r="F297">
        <v>28462041.309999999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-0.63247657938986379</v>
      </c>
      <c r="Q297">
        <f t="shared" si="965"/>
        <v>-18001574.530201796</v>
      </c>
      <c r="R297">
        <f t="shared" si="966"/>
        <v>-364876626.62140584</v>
      </c>
      <c r="S297">
        <f t="shared" si="967"/>
        <v>-3648.7662662140583</v>
      </c>
      <c r="T297">
        <f t="shared" si="968"/>
        <v>-3.6487662662140581</v>
      </c>
    </row>
    <row r="298" spans="1:20" x14ac:dyDescent="0.25">
      <c r="A298" s="5">
        <v>44295</v>
      </c>
      <c r="B298">
        <v>3.0855999999999999</v>
      </c>
      <c r="C298">
        <v>3.2475999999999998</v>
      </c>
      <c r="D298">
        <v>2.835</v>
      </c>
      <c r="E298">
        <v>2.9460999999999999</v>
      </c>
      <c r="F298">
        <v>43707610.490000002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-0.46146388754241391</v>
      </c>
      <c r="Q298">
        <f t="shared" si="965"/>
        <v>-20169483.851904992</v>
      </c>
      <c r="R298">
        <f t="shared" si="966"/>
        <v>-346875052.09120405</v>
      </c>
      <c r="S298">
        <f t="shared" si="967"/>
        <v>-3468.7505209120404</v>
      </c>
      <c r="T298">
        <f t="shared" si="968"/>
        <v>-3.4687505209120406</v>
      </c>
    </row>
    <row r="299" spans="1:20" x14ac:dyDescent="0.25">
      <c r="A299" s="5">
        <v>44294</v>
      </c>
      <c r="B299">
        <v>2.9171999999999998</v>
      </c>
      <c r="C299">
        <v>3.39</v>
      </c>
      <c r="D299">
        <v>2.8961000000000001</v>
      </c>
      <c r="E299">
        <v>3.0832999999999999</v>
      </c>
      <c r="F299">
        <v>47583953.009999998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-0.24195181210771488</v>
      </c>
      <c r="Q299">
        <f t="shared" si="965"/>
        <v>-11513023.658017853</v>
      </c>
      <c r="R299">
        <f t="shared" si="966"/>
        <v>-326705568.23929906</v>
      </c>
      <c r="S299">
        <f t="shared" si="967"/>
        <v>-3267.0556823929905</v>
      </c>
      <c r="T299">
        <f t="shared" si="968"/>
        <v>-3.2670556823929906</v>
      </c>
    </row>
    <row r="300" spans="1:20" x14ac:dyDescent="0.25">
      <c r="A300" s="5">
        <v>44293</v>
      </c>
      <c r="B300">
        <v>2.3220999999999998</v>
      </c>
      <c r="C300">
        <v>3.18</v>
      </c>
      <c r="D300">
        <v>2.0099999999999998</v>
      </c>
      <c r="E300">
        <v>2.9137</v>
      </c>
      <c r="F300">
        <v>74860342.230000004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0.54478632478632461</v>
      </c>
      <c r="Q300">
        <f t="shared" si="965"/>
        <v>40782890.715728194</v>
      </c>
      <c r="R300">
        <f t="shared" si="966"/>
        <v>-315192544.58128119</v>
      </c>
      <c r="S300">
        <f t="shared" si="967"/>
        <v>-3151.9254458128116</v>
      </c>
      <c r="T300">
        <f t="shared" si="968"/>
        <v>-3.1519254458128114</v>
      </c>
    </row>
    <row r="301" spans="1:20" x14ac:dyDescent="0.25">
      <c r="A301" s="5">
        <v>44292</v>
      </c>
      <c r="B301">
        <v>2.5055999999999998</v>
      </c>
      <c r="C301">
        <v>3.2</v>
      </c>
      <c r="D301">
        <v>2.3115999999999999</v>
      </c>
      <c r="E301">
        <v>2.3138000000000001</v>
      </c>
      <c r="F301">
        <v>73091250.109999999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-0.99504727600180054</v>
      </c>
      <c r="Q301">
        <f t="shared" si="965"/>
        <v>-72729249.321521804</v>
      </c>
      <c r="R301">
        <f t="shared" si="966"/>
        <v>-355975435.29700941</v>
      </c>
      <c r="S301">
        <f t="shared" si="967"/>
        <v>-3559.7543529700943</v>
      </c>
      <c r="T301">
        <f t="shared" si="968"/>
        <v>-3.5597543529700943</v>
      </c>
    </row>
    <row r="302" spans="1:20" x14ac:dyDescent="0.25">
      <c r="A302" s="5">
        <v>44291</v>
      </c>
      <c r="B302">
        <v>1.9607000000000001</v>
      </c>
      <c r="C302">
        <v>2.8304999999999998</v>
      </c>
      <c r="D302">
        <v>1.8311999999999999</v>
      </c>
      <c r="E302">
        <v>2.5051999999999999</v>
      </c>
      <c r="F302">
        <v>39961188.869999997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0.34894426098268794</v>
      </c>
      <c r="Q302">
        <f t="shared" si="965"/>
        <v>13944227.518231764</v>
      </c>
      <c r="R302">
        <f t="shared" si="966"/>
        <v>-283246185.97548759</v>
      </c>
      <c r="S302">
        <f t="shared" si="967"/>
        <v>-2832.4618597548761</v>
      </c>
      <c r="T302">
        <f t="shared" si="968"/>
        <v>-2.8324618597548761</v>
      </c>
    </row>
    <row r="303" spans="1:20" x14ac:dyDescent="0.25">
      <c r="A303" s="5">
        <v>44290</v>
      </c>
      <c r="B303">
        <v>1.6625000000000001</v>
      </c>
      <c r="C303">
        <v>1.9999</v>
      </c>
      <c r="D303">
        <v>1.65</v>
      </c>
      <c r="E303">
        <v>1.9607000000000001</v>
      </c>
      <c r="F303">
        <v>13258400.49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0.77593598170906031</v>
      </c>
      <c r="Q303">
        <f t="shared" si="965"/>
        <v>10287670.000100037</v>
      </c>
      <c r="R303">
        <f t="shared" si="966"/>
        <v>-297190413.49371934</v>
      </c>
      <c r="S303">
        <f t="shared" si="967"/>
        <v>-2971.9041349371932</v>
      </c>
      <c r="T303">
        <f t="shared" si="968"/>
        <v>-2.9719041349371933</v>
      </c>
    </row>
    <row r="304" spans="1:20" x14ac:dyDescent="0.25">
      <c r="A304" s="5">
        <v>44289</v>
      </c>
      <c r="B304">
        <v>1.839</v>
      </c>
      <c r="C304">
        <v>1.8979999999999999</v>
      </c>
      <c r="D304">
        <v>1.6625000000000001</v>
      </c>
      <c r="E304">
        <v>1.6625000000000001</v>
      </c>
      <c r="F304">
        <v>13578954.24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-1</v>
      </c>
      <c r="Q304">
        <f t="shared" si="965"/>
        <v>-13578954.24</v>
      </c>
      <c r="R304">
        <f t="shared" si="966"/>
        <v>-307478083.49381936</v>
      </c>
      <c r="S304">
        <f t="shared" si="967"/>
        <v>-3074.7808349381935</v>
      </c>
      <c r="T304">
        <f t="shared" si="968"/>
        <v>-3.0747808349381933</v>
      </c>
    </row>
    <row r="305" spans="1:20" x14ac:dyDescent="0.25">
      <c r="A305" s="5">
        <v>44288</v>
      </c>
      <c r="B305">
        <v>1.7842</v>
      </c>
      <c r="C305">
        <v>2.0299999999999998</v>
      </c>
      <c r="D305">
        <v>1.75</v>
      </c>
      <c r="E305">
        <v>1.8416999999999999</v>
      </c>
      <c r="F305">
        <v>15585525.84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-0.34500000000000031</v>
      </c>
      <c r="Q305">
        <f t="shared" si="965"/>
        <v>-5377006.414800005</v>
      </c>
      <c r="R305">
        <f t="shared" si="966"/>
        <v>-293899129.25381935</v>
      </c>
      <c r="S305">
        <f t="shared" si="967"/>
        <v>-2938.9912925381936</v>
      </c>
      <c r="T305">
        <f t="shared" si="968"/>
        <v>-2.9389912925381938</v>
      </c>
    </row>
    <row r="306" spans="1:20" x14ac:dyDescent="0.25">
      <c r="A306" s="5">
        <v>44287</v>
      </c>
      <c r="B306">
        <v>1.984</v>
      </c>
      <c r="C306">
        <v>2.0055999999999998</v>
      </c>
      <c r="D306">
        <v>1.7330000000000001</v>
      </c>
      <c r="E306">
        <v>1.7843</v>
      </c>
      <c r="F306">
        <v>26843703.23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-0.62362435803374938</v>
      </c>
      <c r="Q306">
        <f t="shared" si="965"/>
        <v>-16740387.194057235</v>
      </c>
      <c r="R306">
        <f t="shared" si="966"/>
        <v>-288522122.83901936</v>
      </c>
      <c r="S306">
        <f t="shared" si="967"/>
        <v>-2885.2212283901936</v>
      </c>
      <c r="T306">
        <f t="shared" si="968"/>
        <v>-2.8852212283901935</v>
      </c>
    </row>
    <row r="307" spans="1:20" x14ac:dyDescent="0.25">
      <c r="A307" s="5">
        <v>44286</v>
      </c>
      <c r="B307">
        <v>1.9751000000000001</v>
      </c>
      <c r="C307">
        <v>2.1</v>
      </c>
      <c r="D307">
        <v>1.76</v>
      </c>
      <c r="E307">
        <v>1.9770000000000001</v>
      </c>
      <c r="F307">
        <v>33563523.859999999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0.2764705882352943</v>
      </c>
      <c r="Q307">
        <f t="shared" si="965"/>
        <v>9279327.1848235354</v>
      </c>
      <c r="R307">
        <f t="shared" si="966"/>
        <v>-271781735.64496213</v>
      </c>
      <c r="S307">
        <f t="shared" si="967"/>
        <v>-2717.8173564496215</v>
      </c>
      <c r="T307">
        <f t="shared" si="968"/>
        <v>-2.7178173564496215</v>
      </c>
    </row>
    <row r="308" spans="1:20" x14ac:dyDescent="0.25">
      <c r="A308" s="5">
        <v>44285</v>
      </c>
      <c r="B308">
        <v>1.7717000000000001</v>
      </c>
      <c r="C308">
        <v>2.367</v>
      </c>
      <c r="D308">
        <v>1.6366000000000001</v>
      </c>
      <c r="E308">
        <v>1.9763999999999999</v>
      </c>
      <c r="F308">
        <v>95352488.700000003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-6.9550930996714375E-2</v>
      </c>
      <c r="Q308">
        <f t="shared" si="965"/>
        <v>-6631854.361938687</v>
      </c>
      <c r="R308">
        <f t="shared" si="966"/>
        <v>-281061062.82978565</v>
      </c>
      <c r="S308">
        <f t="shared" si="967"/>
        <v>-2810.6106282978562</v>
      </c>
      <c r="T308">
        <f t="shared" si="968"/>
        <v>-2.810610628297856</v>
      </c>
    </row>
    <row r="309" spans="1:20" x14ac:dyDescent="0.25">
      <c r="A309" s="5">
        <v>44284</v>
      </c>
      <c r="B309">
        <v>1.3845000000000001</v>
      </c>
      <c r="C309">
        <v>1.8</v>
      </c>
      <c r="D309">
        <v>1.3049999999999999</v>
      </c>
      <c r="E309">
        <v>1.7714000000000001</v>
      </c>
      <c r="F309">
        <v>52966933.039999999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0.88444444444444459</v>
      </c>
      <c r="Q309">
        <f t="shared" si="965"/>
        <v>46846309.666488893</v>
      </c>
      <c r="R309">
        <f t="shared" si="966"/>
        <v>-274429208.46784693</v>
      </c>
      <c r="S309">
        <f t="shared" si="967"/>
        <v>-2744.2920846784691</v>
      </c>
      <c r="T309">
        <f t="shared" si="968"/>
        <v>-2.7442920846784693</v>
      </c>
    </row>
    <row r="310" spans="1:20" x14ac:dyDescent="0.25">
      <c r="A310" s="5">
        <v>44283</v>
      </c>
      <c r="B310">
        <v>1.0580000000000001</v>
      </c>
      <c r="C310">
        <v>1.59</v>
      </c>
      <c r="D310">
        <v>1.03</v>
      </c>
      <c r="E310">
        <v>1.3819999999999999</v>
      </c>
      <c r="F310">
        <v>101137857.48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0.25714285714285656</v>
      </c>
      <c r="Q310">
        <f t="shared" si="965"/>
        <v>26006877.63771423</v>
      </c>
      <c r="R310">
        <f t="shared" si="966"/>
        <v>-321275518.13433582</v>
      </c>
      <c r="S310">
        <f t="shared" si="967"/>
        <v>-3212.7551813433583</v>
      </c>
      <c r="T310">
        <f t="shared" si="968"/>
        <v>-3.2127551813433581</v>
      </c>
    </row>
    <row r="311" spans="1:20" x14ac:dyDescent="0.25">
      <c r="A311" s="5">
        <v>44282</v>
      </c>
      <c r="B311">
        <v>0.9284</v>
      </c>
      <c r="C311">
        <v>1.0899000000000001</v>
      </c>
      <c r="D311">
        <v>0.91</v>
      </c>
      <c r="E311">
        <v>1.0584</v>
      </c>
      <c r="F311">
        <v>14177213.380000001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0.64980544747081626</v>
      </c>
      <c r="Q311">
        <f t="shared" si="965"/>
        <v>9212430.4842801448</v>
      </c>
      <c r="R311">
        <f t="shared" si="966"/>
        <v>-347282395.77205002</v>
      </c>
      <c r="S311">
        <f t="shared" si="967"/>
        <v>-3472.8239577205004</v>
      </c>
      <c r="T311">
        <f t="shared" si="968"/>
        <v>-3.4728239577205002</v>
      </c>
    </row>
    <row r="312" spans="1:20" x14ac:dyDescent="0.25">
      <c r="A312" s="5">
        <v>44281</v>
      </c>
      <c r="B312">
        <v>0.79730000000000001</v>
      </c>
      <c r="C312">
        <v>0.96379999999999999</v>
      </c>
      <c r="D312">
        <v>0.79730000000000001</v>
      </c>
      <c r="E312">
        <v>0.92779999999999996</v>
      </c>
      <c r="F312">
        <v>11656584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0.5675675675675671</v>
      </c>
      <c r="Q312">
        <f t="shared" si="965"/>
        <v>6615899.0270270212</v>
      </c>
      <c r="R312">
        <f t="shared" si="966"/>
        <v>-356494826.25633019</v>
      </c>
      <c r="S312">
        <f t="shared" si="967"/>
        <v>-3564.9482625633018</v>
      </c>
      <c r="T312">
        <f t="shared" si="968"/>
        <v>-3.564948262563302</v>
      </c>
    </row>
    <row r="313" spans="1:20" x14ac:dyDescent="0.25">
      <c r="A313" s="5">
        <v>44280</v>
      </c>
      <c r="B313">
        <v>0.78439999999999999</v>
      </c>
      <c r="C313">
        <v>0.8851</v>
      </c>
      <c r="D313">
        <v>0.751</v>
      </c>
      <c r="E313">
        <v>0.79879999999999995</v>
      </c>
      <c r="F313">
        <v>13352455.1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-0.28709917971663007</v>
      </c>
      <c r="Q313">
        <f t="shared" si="965"/>
        <v>-3833478.9064131337</v>
      </c>
      <c r="R313">
        <f t="shared" si="966"/>
        <v>-363110725.2833572</v>
      </c>
      <c r="S313">
        <f t="shared" si="967"/>
        <v>-3631.1072528335721</v>
      </c>
      <c r="T313">
        <f t="shared" si="968"/>
        <v>-3.6311072528335719</v>
      </c>
    </row>
    <row r="314" spans="1:20" x14ac:dyDescent="0.25">
      <c r="A314" s="5">
        <v>44279</v>
      </c>
      <c r="B314">
        <v>0.85119999999999996</v>
      </c>
      <c r="C314">
        <v>0.92</v>
      </c>
      <c r="D314">
        <v>0.78010000000000002</v>
      </c>
      <c r="E314">
        <v>0.78120000000000001</v>
      </c>
      <c r="F314">
        <v>11042967.85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-0.98427448177269494</v>
      </c>
      <c r="Q314">
        <f t="shared" si="965"/>
        <v>-10869311.45779128</v>
      </c>
      <c r="R314">
        <f t="shared" si="966"/>
        <v>-359277246.37694407</v>
      </c>
      <c r="S314">
        <f t="shared" si="967"/>
        <v>-3592.7724637694405</v>
      </c>
      <c r="T314">
        <f t="shared" si="968"/>
        <v>-3.5927724637694407</v>
      </c>
    </row>
    <row r="315" spans="1:20" x14ac:dyDescent="0.25">
      <c r="A315" s="5">
        <v>44278</v>
      </c>
      <c r="B315">
        <v>0.87209999999999999</v>
      </c>
      <c r="C315">
        <v>0.97</v>
      </c>
      <c r="D315">
        <v>0.82499999999999996</v>
      </c>
      <c r="E315">
        <v>0.85119999999999996</v>
      </c>
      <c r="F315">
        <v>14503960.25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-0.63862068965517249</v>
      </c>
      <c r="Q315">
        <f t="shared" si="965"/>
        <v>-9262529.0975862071</v>
      </c>
      <c r="R315">
        <f t="shared" si="966"/>
        <v>-348407934.9191528</v>
      </c>
      <c r="S315">
        <f t="shared" si="967"/>
        <v>-3484.0793491915279</v>
      </c>
      <c r="T315">
        <f t="shared" si="968"/>
        <v>-3.4840793491915281</v>
      </c>
    </row>
    <row r="316" spans="1:20" x14ac:dyDescent="0.25">
      <c r="A316" s="5">
        <v>44277</v>
      </c>
      <c r="B316">
        <v>0.96220000000000006</v>
      </c>
      <c r="C316">
        <v>1.0186999999999999</v>
      </c>
      <c r="D316">
        <v>0.85</v>
      </c>
      <c r="E316">
        <v>0.87239999999999995</v>
      </c>
      <c r="F316">
        <v>17167682.690000001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-0.73443983402489654</v>
      </c>
      <c r="Q316">
        <f t="shared" si="965"/>
        <v>-12608630.02543569</v>
      </c>
      <c r="R316">
        <f t="shared" si="966"/>
        <v>-339145405.82156658</v>
      </c>
      <c r="S316">
        <f t="shared" si="967"/>
        <v>-3391.454058215666</v>
      </c>
      <c r="T316">
        <f t="shared" si="968"/>
        <v>-3.391454058215666</v>
      </c>
    </row>
    <row r="317" spans="1:20" x14ac:dyDescent="0.25">
      <c r="A317" s="5">
        <v>44276</v>
      </c>
      <c r="B317">
        <v>0.99570000000000003</v>
      </c>
      <c r="C317">
        <v>1.05</v>
      </c>
      <c r="D317">
        <v>0.90639999999999998</v>
      </c>
      <c r="E317">
        <v>0.96050000000000002</v>
      </c>
      <c r="F317">
        <v>17895856.140000001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-0.24651810584958198</v>
      </c>
      <c r="Q317">
        <f t="shared" si="965"/>
        <v>-4411652.5581894116</v>
      </c>
      <c r="R317">
        <f t="shared" si="966"/>
        <v>-326536775.7961309</v>
      </c>
      <c r="S317">
        <f t="shared" si="967"/>
        <v>-3265.3677579613091</v>
      </c>
      <c r="T317">
        <f t="shared" si="968"/>
        <v>-3.2653677579613092</v>
      </c>
    </row>
    <row r="318" spans="1:20" x14ac:dyDescent="0.25">
      <c r="A318" s="5">
        <v>44275</v>
      </c>
      <c r="B318">
        <v>0.97219999999999995</v>
      </c>
      <c r="C318">
        <v>1.1442000000000001</v>
      </c>
      <c r="D318">
        <v>0.96160000000000001</v>
      </c>
      <c r="E318">
        <v>0.99580000000000002</v>
      </c>
      <c r="F318">
        <v>22603548.23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-0.62541073384446888</v>
      </c>
      <c r="Q318">
        <f t="shared" si="965"/>
        <v>-14136501.686013145</v>
      </c>
      <c r="R318">
        <f t="shared" si="966"/>
        <v>-322125123.2379415</v>
      </c>
      <c r="S318">
        <f t="shared" si="967"/>
        <v>-3221.2512323794149</v>
      </c>
      <c r="T318">
        <f t="shared" si="968"/>
        <v>-3.2212512323794149</v>
      </c>
    </row>
    <row r="319" spans="1:20" x14ac:dyDescent="0.25">
      <c r="A319" s="5">
        <v>44274</v>
      </c>
      <c r="B319">
        <v>0.97940000000000005</v>
      </c>
      <c r="C319">
        <v>1.0355000000000001</v>
      </c>
      <c r="D319">
        <v>0.9375</v>
      </c>
      <c r="E319">
        <v>0.97209999999999996</v>
      </c>
      <c r="F319">
        <v>14564500.289999999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-0.29387755102040952</v>
      </c>
      <c r="Q319">
        <f t="shared" si="965"/>
        <v>-4280179.6770612439</v>
      </c>
      <c r="R319">
        <f t="shared" si="966"/>
        <v>-307988621.55192834</v>
      </c>
      <c r="S319">
        <f t="shared" si="967"/>
        <v>-3079.8862155192833</v>
      </c>
      <c r="T319">
        <f t="shared" si="968"/>
        <v>-3.0798862155192834</v>
      </c>
    </row>
    <row r="320" spans="1:20" x14ac:dyDescent="0.25">
      <c r="A320" s="5">
        <v>44273</v>
      </c>
      <c r="B320">
        <v>1.0322</v>
      </c>
      <c r="C320">
        <v>1.0387</v>
      </c>
      <c r="D320">
        <v>0.97089999999999999</v>
      </c>
      <c r="E320">
        <v>0.97819999999999996</v>
      </c>
      <c r="F320">
        <v>21330339.870000001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-0.78466076696165266</v>
      </c>
      <c r="Q320">
        <f t="shared" si="965"/>
        <v>-16737080.841946919</v>
      </c>
      <c r="R320">
        <f t="shared" si="966"/>
        <v>-303708441.87486708</v>
      </c>
      <c r="S320">
        <f t="shared" si="967"/>
        <v>-3037.0844187486709</v>
      </c>
      <c r="T320">
        <f t="shared" si="968"/>
        <v>-3.037084418748671</v>
      </c>
    </row>
    <row r="321" spans="1:20" x14ac:dyDescent="0.25">
      <c r="A321" s="5">
        <v>44272</v>
      </c>
      <c r="B321">
        <v>1.0130999999999999</v>
      </c>
      <c r="C321">
        <v>1.1459999999999999</v>
      </c>
      <c r="D321">
        <v>0.98009999999999997</v>
      </c>
      <c r="E321">
        <v>1.0328999999999999</v>
      </c>
      <c r="F321">
        <v>30056807.940000001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-0.36347197106690804</v>
      </c>
      <c r="Q321">
        <f t="shared" si="965"/>
        <v>-10924807.225931292</v>
      </c>
      <c r="R321">
        <f t="shared" si="966"/>
        <v>-286971361.03292018</v>
      </c>
      <c r="S321">
        <f t="shared" si="967"/>
        <v>-2869.7136103292019</v>
      </c>
      <c r="T321">
        <f t="shared" si="968"/>
        <v>-2.8697136103292018</v>
      </c>
    </row>
    <row r="322" spans="1:20" x14ac:dyDescent="0.25">
      <c r="A322" s="5">
        <v>44271</v>
      </c>
      <c r="B322">
        <v>1.1536999999999999</v>
      </c>
      <c r="C322">
        <v>1.367</v>
      </c>
      <c r="D322">
        <v>0.95269999999999999</v>
      </c>
      <c r="E322">
        <v>1.0139</v>
      </c>
      <c r="F322">
        <v>84489045.519999996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-0.70456191165821858</v>
      </c>
      <c r="Q322">
        <f t="shared" si="965"/>
        <v>-59527763.425749443</v>
      </c>
      <c r="R322">
        <f t="shared" si="966"/>
        <v>-276046553.80698889</v>
      </c>
      <c r="S322">
        <f t="shared" si="967"/>
        <v>-2760.4655380698891</v>
      </c>
      <c r="T322">
        <f t="shared" si="968"/>
        <v>-2.760465538069889</v>
      </c>
    </row>
    <row r="323" spans="1:20" x14ac:dyDescent="0.25">
      <c r="A323" s="5">
        <v>44270</v>
      </c>
      <c r="B323">
        <v>0.73750000000000004</v>
      </c>
      <c r="C323">
        <v>1.26</v>
      </c>
      <c r="D323">
        <v>0.72409999999999997</v>
      </c>
      <c r="E323">
        <v>1.1528</v>
      </c>
      <c r="F323">
        <v>93793324.530000001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0.59992535920880774</v>
      </c>
      <c r="Q323">
        <f t="shared" si="965"/>
        <v>56268993.91004853</v>
      </c>
      <c r="R323">
        <f t="shared" si="966"/>
        <v>-216518790.38123947</v>
      </c>
      <c r="S323">
        <f t="shared" si="967"/>
        <v>-2165.1879038123948</v>
      </c>
      <c r="T323">
        <f t="shared" si="968"/>
        <v>-2.1651879038123947</v>
      </c>
    </row>
    <row r="324" spans="1:20" x14ac:dyDescent="0.25">
      <c r="A324" s="5">
        <v>44269</v>
      </c>
      <c r="B324">
        <v>0.80930000000000002</v>
      </c>
      <c r="C324">
        <v>0.81610000000000005</v>
      </c>
      <c r="D324">
        <v>0.72819999999999996</v>
      </c>
      <c r="E324">
        <v>0.73329999999999995</v>
      </c>
      <c r="F324">
        <v>22588370.57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-0.88395904436860095</v>
      </c>
      <c r="Q324">
        <f t="shared" si="965"/>
        <v>-19967194.46290103</v>
      </c>
      <c r="R324">
        <f t="shared" si="966"/>
        <v>-272787784.29128802</v>
      </c>
      <c r="S324">
        <f t="shared" si="967"/>
        <v>-2727.8778429128802</v>
      </c>
      <c r="T324">
        <f t="shared" si="968"/>
        <v>-2.7278778429128803</v>
      </c>
    </row>
    <row r="325" spans="1:20" x14ac:dyDescent="0.25">
      <c r="A325" s="5">
        <v>44268</v>
      </c>
      <c r="B325">
        <v>0.82389999999999997</v>
      </c>
      <c r="C325">
        <v>0.90769999999999995</v>
      </c>
      <c r="D325">
        <v>0.78100000000000003</v>
      </c>
      <c r="E325">
        <v>0.80740000000000001</v>
      </c>
      <c r="F325">
        <v>22463122.649999999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-0.58326756116811374</v>
      </c>
      <c r="Q325">
        <f t="shared" si="965"/>
        <v>-13102010.764285715</v>
      </c>
      <c r="R325">
        <f t="shared" si="966"/>
        <v>-252820589.82838699</v>
      </c>
      <c r="S325">
        <f t="shared" si="967"/>
        <v>-2528.2058982838698</v>
      </c>
      <c r="T325">
        <f t="shared" si="968"/>
        <v>-2.5282058982838698</v>
      </c>
    </row>
    <row r="326" spans="1:20" x14ac:dyDescent="0.25">
      <c r="A326" s="5">
        <v>44267</v>
      </c>
      <c r="B326">
        <v>0.91959999999999997</v>
      </c>
      <c r="C326">
        <v>0.98</v>
      </c>
      <c r="D326">
        <v>0.80759999999999998</v>
      </c>
      <c r="E326">
        <v>0.82599999999999996</v>
      </c>
      <c r="F326">
        <v>30120077.93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-0.786542923433875</v>
      </c>
      <c r="Q326">
        <f t="shared" ref="Q326:Q389" si="970">F326*P326</f>
        <v>-23690734.149118338</v>
      </c>
      <c r="R326">
        <f t="shared" ref="R326:R389" si="971">R327+Q326</f>
        <v>-239718579.06410128</v>
      </c>
      <c r="S326">
        <f t="shared" ref="S326:S389" si="972">R326/100000</f>
        <v>-2397.1857906410128</v>
      </c>
      <c r="T326">
        <f t="shared" ref="T326:T389" si="973">S326/1000</f>
        <v>-2.3971857906410126</v>
      </c>
    </row>
    <row r="327" spans="1:20" x14ac:dyDescent="0.25">
      <c r="A327" s="5">
        <v>44266</v>
      </c>
      <c r="B327">
        <v>0.74760000000000004</v>
      </c>
      <c r="C327">
        <v>0.95099999999999996</v>
      </c>
      <c r="D327">
        <v>0.72070000000000001</v>
      </c>
      <c r="E327">
        <v>0.91690000000000005</v>
      </c>
      <c r="F327">
        <v>41052000.640000001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0.70386452453321824</v>
      </c>
      <c r="Q327">
        <f t="shared" si="970"/>
        <v>28895046.911610972</v>
      </c>
      <c r="R327">
        <f t="shared" si="971"/>
        <v>-216027844.91498294</v>
      </c>
      <c r="S327">
        <f t="shared" si="972"/>
        <v>-2160.2784491498296</v>
      </c>
      <c r="T327">
        <f t="shared" si="973"/>
        <v>-2.1602784491498297</v>
      </c>
    </row>
    <row r="328" spans="1:20" x14ac:dyDescent="0.25">
      <c r="A328" s="5">
        <v>44265</v>
      </c>
      <c r="B328">
        <v>0.79200000000000004</v>
      </c>
      <c r="C328">
        <v>0.89</v>
      </c>
      <c r="D328">
        <v>0.7016</v>
      </c>
      <c r="E328">
        <v>0.74580000000000002</v>
      </c>
      <c r="F328">
        <v>47026678.75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-0.53078556263269627</v>
      </c>
      <c r="Q328">
        <f t="shared" si="970"/>
        <v>-24961082.139065813</v>
      </c>
      <c r="R328">
        <f t="shared" si="971"/>
        <v>-244922891.82659391</v>
      </c>
      <c r="S328">
        <f t="shared" si="972"/>
        <v>-2449.2289182659392</v>
      </c>
      <c r="T328">
        <f t="shared" si="973"/>
        <v>-2.449228918265939</v>
      </c>
    </row>
    <row r="329" spans="1:20" x14ac:dyDescent="0.25">
      <c r="A329" s="5">
        <v>44264</v>
      </c>
      <c r="B329">
        <v>0.67969999999999997</v>
      </c>
      <c r="C329">
        <v>0.98829999999999996</v>
      </c>
      <c r="D329">
        <v>0.67359999999999998</v>
      </c>
      <c r="E329">
        <v>0.79210000000000003</v>
      </c>
      <c r="F329">
        <v>111276101.84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-0.24690181124880803</v>
      </c>
      <c r="Q329">
        <f t="shared" si="970"/>
        <v>-27474271.093002822</v>
      </c>
      <c r="R329">
        <f t="shared" si="971"/>
        <v>-219961809.6875281</v>
      </c>
      <c r="S329">
        <f t="shared" si="972"/>
        <v>-2199.618096875281</v>
      </c>
      <c r="T329">
        <f t="shared" si="973"/>
        <v>-2.1996180968752812</v>
      </c>
    </row>
    <row r="330" spans="1:20" x14ac:dyDescent="0.25">
      <c r="A330" s="5">
        <v>44263</v>
      </c>
      <c r="B330">
        <v>0.5927</v>
      </c>
      <c r="C330">
        <v>0.72</v>
      </c>
      <c r="D330">
        <v>0.53239999999999998</v>
      </c>
      <c r="E330">
        <v>0.68240000000000001</v>
      </c>
      <c r="F330">
        <v>57359900.969999999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0.59914712153518157</v>
      </c>
      <c r="Q330">
        <f t="shared" si="970"/>
        <v>34367019.557718568</v>
      </c>
      <c r="R330">
        <f t="shared" si="971"/>
        <v>-192487538.59452528</v>
      </c>
      <c r="S330">
        <f t="shared" si="972"/>
        <v>-1924.8753859452527</v>
      </c>
      <c r="T330">
        <f t="shared" si="973"/>
        <v>-1.9248753859452528</v>
      </c>
    </row>
    <row r="331" spans="1:20" x14ac:dyDescent="0.25">
      <c r="A331" s="5">
        <v>44262</v>
      </c>
      <c r="B331">
        <v>0.45800000000000002</v>
      </c>
      <c r="C331">
        <v>0.65500000000000003</v>
      </c>
      <c r="D331">
        <v>0.45500000000000002</v>
      </c>
      <c r="E331">
        <v>0.59460000000000002</v>
      </c>
      <c r="F331">
        <v>58707510.909999996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0.39599999999999996</v>
      </c>
      <c r="Q331">
        <f t="shared" si="970"/>
        <v>23248174.320359997</v>
      </c>
      <c r="R331">
        <f t="shared" si="971"/>
        <v>-226854558.15224385</v>
      </c>
      <c r="S331">
        <f t="shared" si="972"/>
        <v>-2268.5455815224386</v>
      </c>
      <c r="T331">
        <f t="shared" si="973"/>
        <v>-2.2685455815224387</v>
      </c>
    </row>
    <row r="332" spans="1:20" x14ac:dyDescent="0.25">
      <c r="A332" s="5">
        <v>44261</v>
      </c>
      <c r="B332">
        <v>0.46229999999999999</v>
      </c>
      <c r="C332">
        <v>0.4929</v>
      </c>
      <c r="D332">
        <v>0.43819999999999998</v>
      </c>
      <c r="E332">
        <v>0.4577</v>
      </c>
      <c r="F332">
        <v>17493069.710000001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-0.2870201096892136</v>
      </c>
      <c r="Q332">
        <f t="shared" si="970"/>
        <v>-5020862.7869652603</v>
      </c>
      <c r="R332">
        <f t="shared" si="971"/>
        <v>-250102732.47260386</v>
      </c>
      <c r="S332">
        <f t="shared" si="972"/>
        <v>-2501.0273247260384</v>
      </c>
      <c r="T332">
        <f t="shared" si="973"/>
        <v>-2.5010273247260382</v>
      </c>
    </row>
    <row r="333" spans="1:20" x14ac:dyDescent="0.25">
      <c r="A333" s="5">
        <v>44260</v>
      </c>
      <c r="B333">
        <v>0.53700000000000003</v>
      </c>
      <c r="C333">
        <v>0.53990000000000005</v>
      </c>
      <c r="D333">
        <v>0.41970000000000002</v>
      </c>
      <c r="E333">
        <v>0.46129999999999999</v>
      </c>
      <c r="F333">
        <v>49933232.880000003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-0.30782029950083262</v>
      </c>
      <c r="Q333">
        <f t="shared" si="970"/>
        <v>-15370462.700166423</v>
      </c>
      <c r="R333">
        <f t="shared" si="971"/>
        <v>-245081869.68563861</v>
      </c>
      <c r="S333">
        <f t="shared" si="972"/>
        <v>-2450.8186968563859</v>
      </c>
      <c r="T333">
        <f t="shared" si="973"/>
        <v>-2.4508186968563859</v>
      </c>
    </row>
    <row r="334" spans="1:20" x14ac:dyDescent="0.25">
      <c r="A334" s="5">
        <v>44259</v>
      </c>
      <c r="B334">
        <v>0.4012</v>
      </c>
      <c r="C334">
        <v>0.56779999999999997</v>
      </c>
      <c r="D334">
        <v>0.39169999999999999</v>
      </c>
      <c r="E334">
        <v>0.53700000000000003</v>
      </c>
      <c r="F334">
        <v>78633944.400000006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0.65019875070982458</v>
      </c>
      <c r="Q334">
        <f t="shared" si="970"/>
        <v>51127692.412265807</v>
      </c>
      <c r="R334">
        <f t="shared" si="971"/>
        <v>-229711406.98547217</v>
      </c>
      <c r="S334">
        <f t="shared" si="972"/>
        <v>-2297.1140698547219</v>
      </c>
      <c r="T334">
        <f t="shared" si="973"/>
        <v>-2.2971140698547221</v>
      </c>
    </row>
    <row r="335" spans="1:20" x14ac:dyDescent="0.25">
      <c r="A335" s="5">
        <v>44258</v>
      </c>
      <c r="B335">
        <v>0.37340000000000001</v>
      </c>
      <c r="C335">
        <v>0.43980000000000002</v>
      </c>
      <c r="D335">
        <v>0.36830000000000002</v>
      </c>
      <c r="E335">
        <v>0.40079999999999999</v>
      </c>
      <c r="F335">
        <v>25546409.100000001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-9.0909090909091758E-2</v>
      </c>
      <c r="Q335">
        <f t="shared" si="970"/>
        <v>-2322400.827272749</v>
      </c>
      <c r="R335">
        <f t="shared" si="971"/>
        <v>-280839099.39773798</v>
      </c>
      <c r="S335">
        <f t="shared" si="972"/>
        <v>-2808.3909939773798</v>
      </c>
      <c r="T335">
        <f t="shared" si="973"/>
        <v>-2.8083909939773797</v>
      </c>
    </row>
    <row r="336" spans="1:20" x14ac:dyDescent="0.25">
      <c r="A336" s="5">
        <v>44257</v>
      </c>
      <c r="B336">
        <v>0.34770000000000001</v>
      </c>
      <c r="C336">
        <v>0.41160000000000002</v>
      </c>
      <c r="D336">
        <v>0.33900000000000002</v>
      </c>
      <c r="E336">
        <v>0.37319999999999998</v>
      </c>
      <c r="F336">
        <v>31695444.43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-5.7851239669422766E-2</v>
      </c>
      <c r="Q336">
        <f t="shared" si="970"/>
        <v>-1833620.7521488008</v>
      </c>
      <c r="R336">
        <f t="shared" si="971"/>
        <v>-278516698.57046521</v>
      </c>
      <c r="S336">
        <f t="shared" si="972"/>
        <v>-2785.1669857046522</v>
      </c>
      <c r="T336">
        <f t="shared" si="973"/>
        <v>-2.7851669857046524</v>
      </c>
    </row>
    <row r="337" spans="1:20" x14ac:dyDescent="0.25">
      <c r="A337" s="5">
        <v>44256</v>
      </c>
      <c r="B337">
        <v>0.3397</v>
      </c>
      <c r="C337">
        <v>0.377</v>
      </c>
      <c r="D337">
        <v>0.31030000000000002</v>
      </c>
      <c r="E337">
        <v>0.34720000000000001</v>
      </c>
      <c r="F337">
        <v>52271802.789999999</v>
      </c>
      <c r="G337">
        <v>0</v>
      </c>
      <c r="L337" t="s">
        <v>7</v>
      </c>
      <c r="M337" t="s">
        <v>7</v>
      </c>
      <c r="N337" t="s">
        <v>8</v>
      </c>
      <c r="P337">
        <f t="shared" si="969"/>
        <v>0.1064467766116941</v>
      </c>
      <c r="Q337">
        <f t="shared" si="970"/>
        <v>5564164.9146776581</v>
      </c>
      <c r="R337">
        <f t="shared" si="971"/>
        <v>-276683077.8183164</v>
      </c>
      <c r="S337">
        <f t="shared" si="972"/>
        <v>-2766.8307781831641</v>
      </c>
      <c r="T337">
        <f t="shared" si="973"/>
        <v>-2.7668307781831643</v>
      </c>
    </row>
    <row r="338" spans="1:20" x14ac:dyDescent="0.25">
      <c r="A338" s="5">
        <v>44255</v>
      </c>
      <c r="B338">
        <v>0.27300000000000002</v>
      </c>
      <c r="C338">
        <v>0.42</v>
      </c>
      <c r="D338">
        <v>0.25679999999999997</v>
      </c>
      <c r="E338">
        <v>0.34010000000000001</v>
      </c>
      <c r="F338">
        <v>189302376.81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2.0833333333333759E-2</v>
      </c>
      <c r="Q338">
        <f t="shared" si="970"/>
        <v>3943799.5168750808</v>
      </c>
      <c r="R338">
        <f t="shared" si="971"/>
        <v>-282247242.73299408</v>
      </c>
      <c r="S338">
        <f t="shared" si="972"/>
        <v>-2822.4724273299407</v>
      </c>
      <c r="T338">
        <f t="shared" si="973"/>
        <v>-2.8224724273299406</v>
      </c>
    </row>
    <row r="339" spans="1:20" x14ac:dyDescent="0.25">
      <c r="A339" s="5">
        <v>44254</v>
      </c>
      <c r="B339">
        <v>0.2717</v>
      </c>
      <c r="C339">
        <v>0.28999999999999998</v>
      </c>
      <c r="D339">
        <v>0.26590000000000003</v>
      </c>
      <c r="E339">
        <v>0.27229999999999999</v>
      </c>
      <c r="F339">
        <v>10016326.42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-0.46887966804979475</v>
      </c>
      <c r="Q339">
        <f t="shared" si="970"/>
        <v>-4696451.8068879889</v>
      </c>
      <c r="R339">
        <f t="shared" si="971"/>
        <v>-286191042.24986917</v>
      </c>
      <c r="S339">
        <f t="shared" si="972"/>
        <v>-2861.9104224986918</v>
      </c>
      <c r="T339">
        <f t="shared" si="973"/>
        <v>-2.861910422498692</v>
      </c>
    </row>
    <row r="340" spans="1:20" x14ac:dyDescent="0.25">
      <c r="A340" s="5">
        <v>44253</v>
      </c>
      <c r="B340">
        <v>0.28110000000000002</v>
      </c>
      <c r="C340">
        <v>0.28999999999999998</v>
      </c>
      <c r="D340">
        <v>0.253</v>
      </c>
      <c r="E340">
        <v>0.27260000000000001</v>
      </c>
      <c r="F340">
        <v>19411558.73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5.9459459459460448E-2</v>
      </c>
      <c r="Q340">
        <f t="shared" si="970"/>
        <v>1154200.7893513707</v>
      </c>
      <c r="R340">
        <f t="shared" si="971"/>
        <v>-281494590.44298118</v>
      </c>
      <c r="S340">
        <f t="shared" si="972"/>
        <v>-2814.9459044298119</v>
      </c>
      <c r="T340">
        <f t="shared" si="973"/>
        <v>-2.8149459044298117</v>
      </c>
    </row>
    <row r="341" spans="1:20" x14ac:dyDescent="0.25">
      <c r="A341" s="5">
        <v>44252</v>
      </c>
      <c r="B341">
        <v>0.30399999999999999</v>
      </c>
      <c r="C341">
        <v>0.33239999999999997</v>
      </c>
      <c r="D341">
        <v>0.27760000000000001</v>
      </c>
      <c r="E341">
        <v>0.27939999999999998</v>
      </c>
      <c r="F341">
        <v>15301976.369999999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-0.93430656934306677</v>
      </c>
      <c r="Q341">
        <f t="shared" si="970"/>
        <v>-14296737.046423374</v>
      </c>
      <c r="R341">
        <f t="shared" si="971"/>
        <v>-282648791.23233253</v>
      </c>
      <c r="S341">
        <f t="shared" si="972"/>
        <v>-2826.4879123233254</v>
      </c>
      <c r="T341">
        <f t="shared" si="973"/>
        <v>-2.8264879123233255</v>
      </c>
    </row>
    <row r="342" spans="1:20" x14ac:dyDescent="0.25">
      <c r="A342" s="5">
        <v>44251</v>
      </c>
      <c r="B342">
        <v>0.28660000000000002</v>
      </c>
      <c r="C342">
        <v>0.32740000000000002</v>
      </c>
      <c r="D342">
        <v>0.2666</v>
      </c>
      <c r="E342">
        <v>0.30559999999999998</v>
      </c>
      <c r="F342">
        <v>16416984.16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0.28289473684210414</v>
      </c>
      <c r="Q342">
        <f t="shared" si="970"/>
        <v>4644278.4136841921</v>
      </c>
      <c r="R342">
        <f t="shared" si="971"/>
        <v>-268352054.18590915</v>
      </c>
      <c r="S342">
        <f t="shared" si="972"/>
        <v>-2683.5205418590917</v>
      </c>
      <c r="T342">
        <f t="shared" si="973"/>
        <v>-2.6835205418590919</v>
      </c>
    </row>
    <row r="343" spans="1:20" x14ac:dyDescent="0.25">
      <c r="A343" s="5">
        <v>44250</v>
      </c>
      <c r="B343">
        <v>0.37180000000000002</v>
      </c>
      <c r="C343">
        <v>0.37590000000000001</v>
      </c>
      <c r="D343">
        <v>0.23100000000000001</v>
      </c>
      <c r="E343">
        <v>0.28639999999999999</v>
      </c>
      <c r="F343">
        <v>36472758.909999996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-0.23533471359558347</v>
      </c>
      <c r="Q343">
        <f t="shared" si="970"/>
        <v>-8583306.2721256148</v>
      </c>
      <c r="R343">
        <f t="shared" si="971"/>
        <v>-272996332.59959334</v>
      </c>
      <c r="S343">
        <f t="shared" si="972"/>
        <v>-2729.9633259959332</v>
      </c>
      <c r="T343">
        <f t="shared" si="973"/>
        <v>-2.7299633259959331</v>
      </c>
    </row>
    <row r="344" spans="1:20" x14ac:dyDescent="0.25">
      <c r="A344" s="5">
        <v>44249</v>
      </c>
      <c r="B344">
        <v>0.40870000000000001</v>
      </c>
      <c r="C344">
        <v>0.41189999999999999</v>
      </c>
      <c r="D344">
        <v>0.31690000000000002</v>
      </c>
      <c r="E344">
        <v>0.37069999999999997</v>
      </c>
      <c r="F344">
        <v>26213313.100000001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0.13263157894736788</v>
      </c>
      <c r="Q344">
        <f t="shared" si="970"/>
        <v>3476713.105894723</v>
      </c>
      <c r="R344">
        <f t="shared" si="971"/>
        <v>-264413026.32746771</v>
      </c>
      <c r="S344">
        <f t="shared" si="972"/>
        <v>-2644.130263274677</v>
      </c>
      <c r="T344">
        <f t="shared" si="973"/>
        <v>-2.6441302632746768</v>
      </c>
    </row>
    <row r="345" spans="1:20" x14ac:dyDescent="0.25">
      <c r="A345" s="5">
        <v>44248</v>
      </c>
      <c r="B345">
        <v>0.37759999999999999</v>
      </c>
      <c r="C345">
        <v>0.4798</v>
      </c>
      <c r="D345">
        <v>0.36859999999999998</v>
      </c>
      <c r="E345">
        <v>0.40810000000000002</v>
      </c>
      <c r="F345">
        <v>56439686.060000002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-0.28956834532374048</v>
      </c>
      <c r="Q345">
        <f t="shared" si="970"/>
        <v>-16343146.502985582</v>
      </c>
      <c r="R345">
        <f t="shared" si="971"/>
        <v>-267889739.43336242</v>
      </c>
      <c r="S345">
        <f t="shared" si="972"/>
        <v>-2678.8973943336241</v>
      </c>
      <c r="T345">
        <f t="shared" si="973"/>
        <v>-2.6788973943336241</v>
      </c>
    </row>
    <row r="346" spans="1:20" x14ac:dyDescent="0.25">
      <c r="A346" s="5">
        <v>44247</v>
      </c>
      <c r="B346">
        <v>0.37880000000000003</v>
      </c>
      <c r="C346">
        <v>0.40799999999999997</v>
      </c>
      <c r="D346">
        <v>0.36309999999999998</v>
      </c>
      <c r="E346">
        <v>0.37759999999999999</v>
      </c>
      <c r="F346">
        <v>25478332.109999999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-0.35412026726057844</v>
      </c>
      <c r="Q346">
        <f t="shared" si="970"/>
        <v>-9022393.7761469763</v>
      </c>
      <c r="R346">
        <f t="shared" si="971"/>
        <v>-251546592.93037683</v>
      </c>
      <c r="S346">
        <f t="shared" si="972"/>
        <v>-2515.4659293037685</v>
      </c>
      <c r="T346">
        <f t="shared" si="973"/>
        <v>-2.5154659293037684</v>
      </c>
    </row>
    <row r="347" spans="1:20" x14ac:dyDescent="0.25">
      <c r="A347" s="5">
        <v>44246</v>
      </c>
      <c r="B347">
        <v>0.40360000000000001</v>
      </c>
      <c r="C347">
        <v>0.40810000000000002</v>
      </c>
      <c r="D347">
        <v>0.36770000000000003</v>
      </c>
      <c r="E347">
        <v>0.37880000000000003</v>
      </c>
      <c r="F347">
        <v>20863620.510000002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-0.45049504950495045</v>
      </c>
      <c r="Q347">
        <f t="shared" si="970"/>
        <v>-9398957.7545049507</v>
      </c>
      <c r="R347">
        <f t="shared" si="971"/>
        <v>-242524199.15422985</v>
      </c>
      <c r="S347">
        <f t="shared" si="972"/>
        <v>-2425.2419915422984</v>
      </c>
      <c r="T347">
        <f t="shared" si="973"/>
        <v>-2.4252419915422982</v>
      </c>
    </row>
    <row r="348" spans="1:20" x14ac:dyDescent="0.25">
      <c r="A348" s="5">
        <v>44245</v>
      </c>
      <c r="B348">
        <v>0.3916</v>
      </c>
      <c r="C348">
        <v>0.42899999999999999</v>
      </c>
      <c r="D348">
        <v>0.38900000000000001</v>
      </c>
      <c r="E348">
        <v>0.40179999999999999</v>
      </c>
      <c r="F348">
        <v>15896015.390000001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-0.36000000000000076</v>
      </c>
      <c r="Q348">
        <f t="shared" si="970"/>
        <v>-5722565.5404000124</v>
      </c>
      <c r="R348">
        <f t="shared" si="971"/>
        <v>-233125241.3997249</v>
      </c>
      <c r="S348">
        <f t="shared" si="972"/>
        <v>-2331.2524139972488</v>
      </c>
      <c r="T348">
        <f t="shared" si="973"/>
        <v>-2.331252413997249</v>
      </c>
    </row>
    <row r="349" spans="1:20" x14ac:dyDescent="0.25">
      <c r="A349" s="5">
        <v>44244</v>
      </c>
      <c r="B349">
        <v>0.39450000000000002</v>
      </c>
      <c r="C349">
        <v>0.41</v>
      </c>
      <c r="D349">
        <v>0.36620000000000003</v>
      </c>
      <c r="E349">
        <v>0.39040000000000002</v>
      </c>
      <c r="F349">
        <v>20823790.870000001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0.10502283105022954</v>
      </c>
      <c r="Q349">
        <f t="shared" si="970"/>
        <v>2186973.4703653227</v>
      </c>
      <c r="R349">
        <f t="shared" si="971"/>
        <v>-227402675.8593249</v>
      </c>
      <c r="S349">
        <f t="shared" si="972"/>
        <v>-2274.0267585932488</v>
      </c>
      <c r="T349">
        <f t="shared" si="973"/>
        <v>-2.2740267585932488</v>
      </c>
    </row>
    <row r="350" spans="1:20" x14ac:dyDescent="0.25">
      <c r="A350" s="5">
        <v>44243</v>
      </c>
      <c r="B350">
        <v>0.373</v>
      </c>
      <c r="C350">
        <v>0.4088</v>
      </c>
      <c r="D350">
        <v>0.36309999999999998</v>
      </c>
      <c r="E350">
        <v>0.39379999999999998</v>
      </c>
      <c r="F350">
        <v>17522148.350000001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0.34354485776805221</v>
      </c>
      <c r="Q350">
        <f t="shared" si="970"/>
        <v>6019643.9626914617</v>
      </c>
      <c r="R350">
        <f t="shared" si="971"/>
        <v>-229589649.32969022</v>
      </c>
      <c r="S350">
        <f t="shared" si="972"/>
        <v>-2295.896493296902</v>
      </c>
      <c r="T350">
        <f t="shared" si="973"/>
        <v>-2.2958964932969019</v>
      </c>
    </row>
    <row r="351" spans="1:20" x14ac:dyDescent="0.25">
      <c r="A351" s="5">
        <v>44242</v>
      </c>
      <c r="B351">
        <v>0.36509999999999998</v>
      </c>
      <c r="C351">
        <v>0.41199999999999998</v>
      </c>
      <c r="D351">
        <v>0.307</v>
      </c>
      <c r="E351">
        <v>0.373</v>
      </c>
      <c r="F351">
        <v>29488421.25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0.2571428571428574</v>
      </c>
      <c r="Q351">
        <f t="shared" si="970"/>
        <v>7582736.8928571502</v>
      </c>
      <c r="R351">
        <f t="shared" si="971"/>
        <v>-235609293.29238167</v>
      </c>
      <c r="S351">
        <f t="shared" si="972"/>
        <v>-2356.0929329238165</v>
      </c>
      <c r="T351">
        <f t="shared" si="973"/>
        <v>-2.3560929329238167</v>
      </c>
    </row>
    <row r="352" spans="1:20" x14ac:dyDescent="0.25">
      <c r="A352" s="5">
        <v>44241</v>
      </c>
      <c r="B352">
        <v>0.40039999999999998</v>
      </c>
      <c r="C352">
        <v>0.41099999999999998</v>
      </c>
      <c r="D352">
        <v>0.36499999999999999</v>
      </c>
      <c r="E352">
        <v>0.3659</v>
      </c>
      <c r="F352">
        <v>14973571.02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-0.96086956521739075</v>
      </c>
      <c r="Q352">
        <f t="shared" si="970"/>
        <v>-14387648.675739123</v>
      </c>
      <c r="R352">
        <f t="shared" si="971"/>
        <v>-243192030.18523884</v>
      </c>
      <c r="S352">
        <f t="shared" si="972"/>
        <v>-2431.9203018523885</v>
      </c>
      <c r="T352">
        <f t="shared" si="973"/>
        <v>-2.4319203018523887</v>
      </c>
    </row>
    <row r="353" spans="1:20" x14ac:dyDescent="0.25">
      <c r="A353" s="5">
        <v>44240</v>
      </c>
      <c r="B353">
        <v>0.41349999999999998</v>
      </c>
      <c r="C353">
        <v>0.43640000000000001</v>
      </c>
      <c r="D353">
        <v>0.36809999999999998</v>
      </c>
      <c r="E353">
        <v>0.40189999999999998</v>
      </c>
      <c r="F353">
        <v>24457788.050000001</v>
      </c>
      <c r="G353">
        <v>0</v>
      </c>
      <c r="L353" t="s">
        <v>8</v>
      </c>
      <c r="M353" t="s">
        <v>8</v>
      </c>
      <c r="N353" t="s">
        <v>7</v>
      </c>
      <c r="P353">
        <f t="shared" si="969"/>
        <v>-1.0248901903367989E-2</v>
      </c>
      <c r="Q353">
        <f t="shared" si="970"/>
        <v>-250665.47049781587</v>
      </c>
      <c r="R353">
        <f t="shared" si="971"/>
        <v>-228804381.50949973</v>
      </c>
      <c r="S353">
        <f t="shared" si="972"/>
        <v>-2288.0438150949972</v>
      </c>
      <c r="T353">
        <f t="shared" si="973"/>
        <v>-2.2880438150949973</v>
      </c>
    </row>
    <row r="354" spans="1:20" x14ac:dyDescent="0.25">
      <c r="A354" s="5">
        <v>44239</v>
      </c>
      <c r="B354">
        <v>0.39090000000000003</v>
      </c>
      <c r="C354">
        <v>0.43480000000000002</v>
      </c>
      <c r="D354">
        <v>0.37319999999999998</v>
      </c>
      <c r="E354">
        <v>0.41389999999999999</v>
      </c>
      <c r="F354">
        <v>29289780.789999999</v>
      </c>
      <c r="G354">
        <v>0</v>
      </c>
      <c r="L354" t="s">
        <v>8</v>
      </c>
      <c r="M354" t="s">
        <v>7</v>
      </c>
      <c r="N354" t="s">
        <v>7</v>
      </c>
      <c r="P354">
        <f t="shared" si="969"/>
        <v>0.32142857142857095</v>
      </c>
      <c r="Q354">
        <f t="shared" si="970"/>
        <v>9414572.3967857007</v>
      </c>
      <c r="R354">
        <f t="shared" si="971"/>
        <v>-228553716.03900191</v>
      </c>
      <c r="S354">
        <f t="shared" si="972"/>
        <v>-2285.5371603900189</v>
      </c>
      <c r="T354">
        <f t="shared" si="973"/>
        <v>-2.2855371603900188</v>
      </c>
    </row>
    <row r="355" spans="1:20" x14ac:dyDescent="0.25">
      <c r="A355" s="5">
        <v>44238</v>
      </c>
      <c r="B355">
        <v>0.37680000000000002</v>
      </c>
      <c r="C355">
        <v>0.44</v>
      </c>
      <c r="D355">
        <v>0.35510000000000003</v>
      </c>
      <c r="E355">
        <v>0.38919999999999999</v>
      </c>
      <c r="F355">
        <v>41316269.590000004</v>
      </c>
      <c r="G355">
        <v>0</v>
      </c>
      <c r="L355" t="s">
        <v>7</v>
      </c>
      <c r="M355" t="s">
        <v>8</v>
      </c>
      <c r="N355" t="s">
        <v>7</v>
      </c>
      <c r="P355">
        <f t="shared" si="969"/>
        <v>-0.19670200235571322</v>
      </c>
      <c r="Q355">
        <f t="shared" si="970"/>
        <v>-8126992.9582214635</v>
      </c>
      <c r="R355">
        <f t="shared" si="971"/>
        <v>-237968288.43578762</v>
      </c>
      <c r="S355">
        <f t="shared" si="972"/>
        <v>-2379.682884357876</v>
      </c>
      <c r="T355">
        <f t="shared" si="973"/>
        <v>-2.3796828843578761</v>
      </c>
    </row>
    <row r="356" spans="1:20" x14ac:dyDescent="0.25">
      <c r="A356" s="5">
        <v>44237</v>
      </c>
      <c r="B356">
        <v>0.43980000000000002</v>
      </c>
      <c r="C356">
        <v>0.57279999999999998</v>
      </c>
      <c r="D356">
        <v>0.34899999999999998</v>
      </c>
      <c r="E356">
        <v>0.37580000000000002</v>
      </c>
      <c r="F356">
        <v>133676058.08</v>
      </c>
      <c r="G356">
        <v>0</v>
      </c>
      <c r="L356" t="s">
        <v>8</v>
      </c>
      <c r="M356" t="s">
        <v>7</v>
      </c>
      <c r="N356" t="s">
        <v>8</v>
      </c>
      <c r="P356">
        <f t="shared" si="969"/>
        <v>-0.76050044682752416</v>
      </c>
      <c r="Q356">
        <f t="shared" si="970"/>
        <v>-101660701.89998206</v>
      </c>
      <c r="R356">
        <f t="shared" si="971"/>
        <v>-229841295.47756615</v>
      </c>
      <c r="S356">
        <f t="shared" si="972"/>
        <v>-2298.4129547756615</v>
      </c>
      <c r="T356">
        <f t="shared" si="973"/>
        <v>-2.2984129547756615</v>
      </c>
    </row>
    <row r="357" spans="1:20" x14ac:dyDescent="0.25">
      <c r="A357" s="5">
        <v>44236</v>
      </c>
      <c r="B357">
        <v>0.3075</v>
      </c>
      <c r="C357">
        <v>0.56000000000000005</v>
      </c>
      <c r="D357">
        <v>0.24229999999999999</v>
      </c>
      <c r="E357">
        <v>0.43980000000000002</v>
      </c>
      <c r="F357">
        <v>153895676.31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0.24331129996852371</v>
      </c>
      <c r="Q357">
        <f t="shared" si="970"/>
        <v>37444557.062521242</v>
      </c>
      <c r="R357">
        <f t="shared" si="971"/>
        <v>-128180593.57758409</v>
      </c>
      <c r="S357">
        <f t="shared" si="972"/>
        <v>-1281.8059357758409</v>
      </c>
      <c r="T357">
        <f t="shared" si="973"/>
        <v>-1.2818059357758409</v>
      </c>
    </row>
    <row r="358" spans="1:20" x14ac:dyDescent="0.25">
      <c r="A358" s="5">
        <v>44235</v>
      </c>
      <c r="B358">
        <v>0.23630000000000001</v>
      </c>
      <c r="C358">
        <v>0.35370000000000001</v>
      </c>
      <c r="D358">
        <v>0.23569999999999999</v>
      </c>
      <c r="E358">
        <v>0.3075</v>
      </c>
      <c r="F358">
        <v>53392339.200000003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0.21694915254237271</v>
      </c>
      <c r="Q358">
        <f t="shared" si="970"/>
        <v>11583422.741694907</v>
      </c>
      <c r="R358">
        <f t="shared" si="971"/>
        <v>-165625150.64010534</v>
      </c>
      <c r="S358">
        <f t="shared" si="972"/>
        <v>-1656.2515064010533</v>
      </c>
      <c r="T358">
        <f t="shared" si="973"/>
        <v>-1.6562515064010535</v>
      </c>
    </row>
    <row r="359" spans="1:20" x14ac:dyDescent="0.25">
      <c r="A359" s="5">
        <v>44234</v>
      </c>
      <c r="B359">
        <v>0.23069999999999999</v>
      </c>
      <c r="C359">
        <v>0.24440000000000001</v>
      </c>
      <c r="D359">
        <v>0.215</v>
      </c>
      <c r="E359">
        <v>0.23649999999999999</v>
      </c>
      <c r="F359">
        <v>15357469.76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0.4625850340136044</v>
      </c>
      <c r="Q359">
        <f t="shared" si="970"/>
        <v>7104135.6712925006</v>
      </c>
      <c r="R359">
        <f t="shared" si="971"/>
        <v>-177208573.38180023</v>
      </c>
      <c r="S359">
        <f t="shared" si="972"/>
        <v>-1772.0857338180024</v>
      </c>
      <c r="T359">
        <f t="shared" si="973"/>
        <v>-1.7720857338180023</v>
      </c>
    </row>
    <row r="360" spans="1:20" x14ac:dyDescent="0.25">
      <c r="A360" s="5">
        <v>44233</v>
      </c>
      <c r="B360">
        <v>0.24410000000000001</v>
      </c>
      <c r="C360">
        <v>0.25230000000000002</v>
      </c>
      <c r="D360">
        <v>0.22</v>
      </c>
      <c r="E360">
        <v>0.23100000000000001</v>
      </c>
      <c r="F360">
        <v>15390522.279999999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-0.31888544891640858</v>
      </c>
      <c r="Q360">
        <f t="shared" si="970"/>
        <v>-4907813.6063157879</v>
      </c>
      <c r="R360">
        <f t="shared" si="971"/>
        <v>-184312709.05309275</v>
      </c>
      <c r="S360">
        <f t="shared" si="972"/>
        <v>-1843.1270905309275</v>
      </c>
      <c r="T360">
        <f t="shared" si="973"/>
        <v>-1.8431270905309274</v>
      </c>
    </row>
    <row r="361" spans="1:20" x14ac:dyDescent="0.25">
      <c r="A361" s="5">
        <v>44232</v>
      </c>
      <c r="B361">
        <v>0.22509999999999999</v>
      </c>
      <c r="C361">
        <v>0.2455</v>
      </c>
      <c r="D361">
        <v>0.21299999999999999</v>
      </c>
      <c r="E361">
        <v>0.24390000000000001</v>
      </c>
      <c r="F361">
        <v>24268692.440000001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0.90153846153846218</v>
      </c>
      <c r="Q361">
        <f t="shared" si="970"/>
        <v>21879159.645907708</v>
      </c>
      <c r="R361">
        <f t="shared" si="971"/>
        <v>-179404895.44677696</v>
      </c>
      <c r="S361">
        <f t="shared" si="972"/>
        <v>-1794.0489544677696</v>
      </c>
      <c r="T361">
        <f t="shared" si="973"/>
        <v>-1.7940489544677696</v>
      </c>
    </row>
    <row r="362" spans="1:20" x14ac:dyDescent="0.25">
      <c r="A362" s="5">
        <v>44231</v>
      </c>
      <c r="B362">
        <v>0.2283</v>
      </c>
      <c r="C362">
        <v>0.23730000000000001</v>
      </c>
      <c r="D362">
        <v>0.21740000000000001</v>
      </c>
      <c r="E362">
        <v>0.2253</v>
      </c>
      <c r="F362">
        <v>13382247.1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-0.20603015075376985</v>
      </c>
      <c r="Q362">
        <f t="shared" si="970"/>
        <v>-2757146.3874371992</v>
      </c>
      <c r="R362">
        <f t="shared" si="971"/>
        <v>-201284055.09268466</v>
      </c>
      <c r="S362">
        <f t="shared" si="972"/>
        <v>-2012.8405509268466</v>
      </c>
      <c r="T362">
        <f t="shared" si="973"/>
        <v>-2.0128405509268466</v>
      </c>
    </row>
    <row r="363" spans="1:20" x14ac:dyDescent="0.25">
      <c r="A363" s="5">
        <v>44230</v>
      </c>
      <c r="B363">
        <v>0.22850000000000001</v>
      </c>
      <c r="C363">
        <v>0.2336</v>
      </c>
      <c r="D363">
        <v>0.22500000000000001</v>
      </c>
      <c r="E363">
        <v>0.22800000000000001</v>
      </c>
      <c r="F363">
        <v>12028729.5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-0.30232558139534793</v>
      </c>
      <c r="Q363">
        <f t="shared" si="970"/>
        <v>-3636592.639534873</v>
      </c>
      <c r="R363">
        <f t="shared" si="971"/>
        <v>-198526908.70524746</v>
      </c>
      <c r="S363">
        <f t="shared" si="972"/>
        <v>-1985.2690870524746</v>
      </c>
      <c r="T363">
        <f t="shared" si="973"/>
        <v>-1.9852690870524745</v>
      </c>
    </row>
    <row r="364" spans="1:20" x14ac:dyDescent="0.25">
      <c r="A364" s="5">
        <v>44229</v>
      </c>
      <c r="B364">
        <v>0.2303</v>
      </c>
      <c r="C364">
        <v>0.24199999999999999</v>
      </c>
      <c r="D364">
        <v>0.22009999999999999</v>
      </c>
      <c r="E364">
        <v>0.22839999999999999</v>
      </c>
      <c r="F364">
        <v>13132987.84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-0.24200913242009126</v>
      </c>
      <c r="Q364">
        <f t="shared" si="970"/>
        <v>-3178302.9932420081</v>
      </c>
      <c r="R364">
        <f t="shared" si="971"/>
        <v>-194890316.0657126</v>
      </c>
      <c r="S364">
        <f t="shared" si="972"/>
        <v>-1948.9031606571259</v>
      </c>
      <c r="T364">
        <f t="shared" si="973"/>
        <v>-1.9489031606571259</v>
      </c>
    </row>
    <row r="365" spans="1:20" x14ac:dyDescent="0.25">
      <c r="A365" s="5">
        <v>44228</v>
      </c>
      <c r="B365">
        <v>0.20469999999999999</v>
      </c>
      <c r="C365">
        <v>0.23150000000000001</v>
      </c>
      <c r="D365">
        <v>0.19650000000000001</v>
      </c>
      <c r="E365">
        <v>0.2303</v>
      </c>
      <c r="F365">
        <v>20728886.120000001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0.93142857142857105</v>
      </c>
      <c r="Q365">
        <f t="shared" si="970"/>
        <v>19307476.786057137</v>
      </c>
      <c r="R365">
        <f t="shared" si="971"/>
        <v>-191712013.07247061</v>
      </c>
      <c r="S365">
        <f t="shared" si="972"/>
        <v>-1917.1201307247061</v>
      </c>
      <c r="T365">
        <f t="shared" si="973"/>
        <v>-1.9171201307247061</v>
      </c>
    </row>
    <row r="366" spans="1:20" x14ac:dyDescent="0.25">
      <c r="A366" s="5">
        <v>44227</v>
      </c>
      <c r="B366">
        <v>0.18379999999999999</v>
      </c>
      <c r="C366">
        <v>0.22220000000000001</v>
      </c>
      <c r="D366">
        <v>0.1832</v>
      </c>
      <c r="E366">
        <v>0.20469999999999999</v>
      </c>
      <c r="F366">
        <v>24067176.620000001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0.10256410256410192</v>
      </c>
      <c r="Q366">
        <f t="shared" si="970"/>
        <v>2468428.371282036</v>
      </c>
      <c r="R366">
        <f t="shared" si="971"/>
        <v>-211019489.85852775</v>
      </c>
      <c r="S366">
        <f t="shared" si="972"/>
        <v>-2110.1948985852773</v>
      </c>
      <c r="T366">
        <f t="shared" si="973"/>
        <v>-2.1101948985852772</v>
      </c>
    </row>
    <row r="367" spans="1:20" x14ac:dyDescent="0.25">
      <c r="A367" s="5">
        <v>44226</v>
      </c>
      <c r="B367">
        <v>0.17849999999999999</v>
      </c>
      <c r="C367">
        <v>0.18859999999999999</v>
      </c>
      <c r="D367">
        <v>0.17230000000000001</v>
      </c>
      <c r="E367">
        <v>0.18379999999999999</v>
      </c>
      <c r="F367">
        <v>13095890.77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0.41104294478527553</v>
      </c>
      <c r="Q367">
        <f t="shared" si="970"/>
        <v>5382973.5066871094</v>
      </c>
      <c r="R367">
        <f t="shared" si="971"/>
        <v>-213487918.22980979</v>
      </c>
      <c r="S367">
        <f t="shared" si="972"/>
        <v>-2134.8791822980979</v>
      </c>
      <c r="T367">
        <f t="shared" si="973"/>
        <v>-2.1348791822980981</v>
      </c>
    </row>
    <row r="368" spans="1:20" x14ac:dyDescent="0.25">
      <c r="A368" s="5">
        <v>44225</v>
      </c>
      <c r="B368">
        <v>0.18260000000000001</v>
      </c>
      <c r="C368">
        <v>0.18729999999999999</v>
      </c>
      <c r="D368">
        <v>0.17419999999999999</v>
      </c>
      <c r="E368">
        <v>0.1784</v>
      </c>
      <c r="F368">
        <v>14590809.970000001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-0.35877862595419707</v>
      </c>
      <c r="Q368">
        <f t="shared" si="970"/>
        <v>-5234870.7525953995</v>
      </c>
      <c r="R368">
        <f t="shared" si="971"/>
        <v>-218870891.7364969</v>
      </c>
      <c r="S368">
        <f t="shared" si="972"/>
        <v>-2188.7089173649688</v>
      </c>
      <c r="T368">
        <f t="shared" si="973"/>
        <v>-2.188708917364969</v>
      </c>
    </row>
    <row r="369" spans="1:20" x14ac:dyDescent="0.25">
      <c r="A369" s="5">
        <v>44224</v>
      </c>
      <c r="B369">
        <v>0.17660000000000001</v>
      </c>
      <c r="C369">
        <v>0.193</v>
      </c>
      <c r="D369">
        <v>0.1699</v>
      </c>
      <c r="E369">
        <v>0.18260000000000001</v>
      </c>
      <c r="F369">
        <v>14058262.98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9.9567099567100581E-2</v>
      </c>
      <c r="Q369">
        <f t="shared" si="970"/>
        <v>1399740.4698701443</v>
      </c>
      <c r="R369">
        <f t="shared" si="971"/>
        <v>-213636020.9839015</v>
      </c>
      <c r="S369">
        <f t="shared" si="972"/>
        <v>-2136.3602098390152</v>
      </c>
      <c r="T369">
        <f t="shared" si="973"/>
        <v>-2.1363602098390153</v>
      </c>
    </row>
    <row r="370" spans="1:20" x14ac:dyDescent="0.25">
      <c r="A370" s="5">
        <v>44223</v>
      </c>
      <c r="B370">
        <v>0.20050000000000001</v>
      </c>
      <c r="C370">
        <v>0.2016</v>
      </c>
      <c r="D370">
        <v>0.17</v>
      </c>
      <c r="E370">
        <v>0.17660000000000001</v>
      </c>
      <c r="F370">
        <v>17086549.620000001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-0.58227848101265844</v>
      </c>
      <c r="Q370">
        <f t="shared" si="970"/>
        <v>-9949130.1584810168</v>
      </c>
      <c r="R370">
        <f t="shared" si="971"/>
        <v>-215035761.45377165</v>
      </c>
      <c r="S370">
        <f t="shared" si="972"/>
        <v>-2150.3576145377165</v>
      </c>
      <c r="T370">
        <f t="shared" si="973"/>
        <v>-2.1503576145377163</v>
      </c>
    </row>
    <row r="371" spans="1:20" x14ac:dyDescent="0.25">
      <c r="A371" s="5">
        <v>44222</v>
      </c>
      <c r="B371">
        <v>0.1903</v>
      </c>
      <c r="C371">
        <v>0.2162</v>
      </c>
      <c r="D371">
        <v>0.1857</v>
      </c>
      <c r="E371">
        <v>0.20050000000000001</v>
      </c>
      <c r="F371">
        <v>26683282.870000001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-2.9508196721310956E-2</v>
      </c>
      <c r="Q371">
        <f t="shared" si="970"/>
        <v>-787375.56009834679</v>
      </c>
      <c r="R371">
        <f t="shared" si="971"/>
        <v>-205086631.29529062</v>
      </c>
      <c r="S371">
        <f t="shared" si="972"/>
        <v>-2050.8663129529064</v>
      </c>
      <c r="T371">
        <f t="shared" si="973"/>
        <v>-2.0508663129529063</v>
      </c>
    </row>
    <row r="372" spans="1:20" x14ac:dyDescent="0.25">
      <c r="A372" s="5">
        <v>44221</v>
      </c>
      <c r="B372">
        <v>0.18609999999999999</v>
      </c>
      <c r="C372">
        <v>0.19600000000000001</v>
      </c>
      <c r="D372">
        <v>0.17879999999999999</v>
      </c>
      <c r="E372">
        <v>0.1903</v>
      </c>
      <c r="F372">
        <v>14347617.539999999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0.33720930232558094</v>
      </c>
      <c r="Q372">
        <f t="shared" si="970"/>
        <v>4838150.1006976673</v>
      </c>
      <c r="R372">
        <f t="shared" si="971"/>
        <v>-204299255.73519227</v>
      </c>
      <c r="S372">
        <f t="shared" si="972"/>
        <v>-2042.9925573519226</v>
      </c>
      <c r="T372">
        <f t="shared" si="973"/>
        <v>-2.0429925573519228</v>
      </c>
    </row>
    <row r="373" spans="1:20" x14ac:dyDescent="0.25">
      <c r="A373" s="5">
        <v>44220</v>
      </c>
      <c r="B373">
        <v>0.1807</v>
      </c>
      <c r="C373">
        <v>0.19889999999999999</v>
      </c>
      <c r="D373">
        <v>0.17849999999999999</v>
      </c>
      <c r="E373">
        <v>0.186</v>
      </c>
      <c r="F373">
        <v>17704569.75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-0.26470588235294057</v>
      </c>
      <c r="Q373">
        <f t="shared" si="970"/>
        <v>-4686503.7573529305</v>
      </c>
      <c r="R373">
        <f t="shared" si="971"/>
        <v>-209137405.83588994</v>
      </c>
      <c r="S373">
        <f t="shared" si="972"/>
        <v>-2091.3740583588992</v>
      </c>
      <c r="T373">
        <f t="shared" si="973"/>
        <v>-2.0913740583588991</v>
      </c>
    </row>
    <row r="374" spans="1:20" x14ac:dyDescent="0.25">
      <c r="A374" s="5">
        <v>44219</v>
      </c>
      <c r="B374">
        <v>0.17879999999999999</v>
      </c>
      <c r="C374">
        <v>0.18529999999999999</v>
      </c>
      <c r="D374">
        <v>0.16880000000000001</v>
      </c>
      <c r="E374">
        <v>0.18090000000000001</v>
      </c>
      <c r="F374">
        <v>15860113.6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0.46666666666666778</v>
      </c>
      <c r="Q374">
        <f t="shared" si="970"/>
        <v>7401386.3466666844</v>
      </c>
      <c r="R374">
        <f t="shared" si="971"/>
        <v>-204450902.07853702</v>
      </c>
      <c r="S374">
        <f t="shared" si="972"/>
        <v>-2044.5090207853702</v>
      </c>
      <c r="T374">
        <f t="shared" si="973"/>
        <v>-2.0445090207853704</v>
      </c>
    </row>
    <row r="375" spans="1:20" x14ac:dyDescent="0.25">
      <c r="A375" s="5">
        <v>44218</v>
      </c>
      <c r="B375">
        <v>0.17810000000000001</v>
      </c>
      <c r="C375">
        <v>0.1946</v>
      </c>
      <c r="D375">
        <v>0.15210000000000001</v>
      </c>
      <c r="E375">
        <v>0.1787</v>
      </c>
      <c r="F375">
        <v>25959523.489999998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0.25176470588235272</v>
      </c>
      <c r="Q375">
        <f t="shared" si="970"/>
        <v>6535691.7963058762</v>
      </c>
      <c r="R375">
        <f t="shared" si="971"/>
        <v>-211852288.42520371</v>
      </c>
      <c r="S375">
        <f t="shared" si="972"/>
        <v>-2118.5228842520373</v>
      </c>
      <c r="T375">
        <f t="shared" si="973"/>
        <v>-2.1185228842520374</v>
      </c>
    </row>
    <row r="376" spans="1:20" x14ac:dyDescent="0.25">
      <c r="A376" s="5">
        <v>44217</v>
      </c>
      <c r="B376">
        <v>0.17249999999999999</v>
      </c>
      <c r="C376">
        <v>0.2145</v>
      </c>
      <c r="D376">
        <v>0.16839999999999999</v>
      </c>
      <c r="E376">
        <v>0.1784</v>
      </c>
      <c r="F376">
        <v>51005993.530000001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-0.56616052060737487</v>
      </c>
      <c r="Q376">
        <f t="shared" si="970"/>
        <v>-28877579.851041194</v>
      </c>
      <c r="R376">
        <f t="shared" si="971"/>
        <v>-218387980.22150958</v>
      </c>
      <c r="S376">
        <f t="shared" si="972"/>
        <v>-2183.8798022150959</v>
      </c>
      <c r="T376">
        <f t="shared" si="973"/>
        <v>-2.1838798022150958</v>
      </c>
    </row>
    <row r="377" spans="1:20" x14ac:dyDescent="0.25">
      <c r="A377" s="5">
        <v>44216</v>
      </c>
      <c r="B377">
        <v>0.16209999999999999</v>
      </c>
      <c r="C377">
        <v>0.17510000000000001</v>
      </c>
      <c r="D377">
        <v>0.15240000000000001</v>
      </c>
      <c r="E377">
        <v>0.1721</v>
      </c>
      <c r="F377">
        <v>14947492.16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0.73568281938325963</v>
      </c>
      <c r="Q377">
        <f t="shared" si="970"/>
        <v>10996613.174977969</v>
      </c>
      <c r="R377">
        <f t="shared" si="971"/>
        <v>-189510400.37046838</v>
      </c>
      <c r="S377">
        <f t="shared" si="972"/>
        <v>-1895.1040037046837</v>
      </c>
      <c r="T377">
        <f t="shared" si="973"/>
        <v>-1.8951040037046838</v>
      </c>
    </row>
    <row r="378" spans="1:20" x14ac:dyDescent="0.25">
      <c r="A378" s="5">
        <v>44215</v>
      </c>
      <c r="B378">
        <v>0.17560000000000001</v>
      </c>
      <c r="C378">
        <v>0.18</v>
      </c>
      <c r="D378">
        <v>0.16</v>
      </c>
      <c r="E378">
        <v>0.16209999999999999</v>
      </c>
      <c r="F378">
        <v>13702809.390000001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-0.79000000000000081</v>
      </c>
      <c r="Q378">
        <f t="shared" si="970"/>
        <v>-10825219.418100012</v>
      </c>
      <c r="R378">
        <f t="shared" si="971"/>
        <v>-200507013.54544634</v>
      </c>
      <c r="S378">
        <f t="shared" si="972"/>
        <v>-2005.0701354544633</v>
      </c>
      <c r="T378">
        <f t="shared" si="973"/>
        <v>-2.0050701354544631</v>
      </c>
    </row>
    <row r="379" spans="1:20" x14ac:dyDescent="0.25">
      <c r="A379" s="5">
        <v>44214</v>
      </c>
      <c r="B379">
        <v>0.17369999999999999</v>
      </c>
      <c r="C379">
        <v>0.18240000000000001</v>
      </c>
      <c r="D379">
        <v>0.16619999999999999</v>
      </c>
      <c r="E379">
        <v>0.17560000000000001</v>
      </c>
      <c r="F379">
        <v>18034591.960000001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0.16049382716049479</v>
      </c>
      <c r="Q379">
        <f t="shared" si="970"/>
        <v>2894440.6849382892</v>
      </c>
      <c r="R379">
        <f t="shared" si="971"/>
        <v>-189681794.12734634</v>
      </c>
      <c r="S379">
        <f t="shared" si="972"/>
        <v>-1896.8179412734635</v>
      </c>
      <c r="T379">
        <f t="shared" si="973"/>
        <v>-1.8968179412734634</v>
      </c>
    </row>
    <row r="380" spans="1:20" x14ac:dyDescent="0.25">
      <c r="A380" s="5">
        <v>44213</v>
      </c>
      <c r="B380">
        <v>0.16239999999999999</v>
      </c>
      <c r="C380">
        <v>0.1804</v>
      </c>
      <c r="D380">
        <v>0.1482</v>
      </c>
      <c r="E380">
        <v>0.1736</v>
      </c>
      <c r="F380">
        <v>19744313.18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0.57763975155279512</v>
      </c>
      <c r="Q380">
        <f t="shared" si="970"/>
        <v>11405100.159875778</v>
      </c>
      <c r="R380">
        <f t="shared" si="971"/>
        <v>-192576234.81228462</v>
      </c>
      <c r="S380">
        <f t="shared" si="972"/>
        <v>-1925.7623481228461</v>
      </c>
      <c r="T380">
        <f t="shared" si="973"/>
        <v>-1.9257623481228461</v>
      </c>
    </row>
    <row r="381" spans="1:20" x14ac:dyDescent="0.25">
      <c r="A381" s="5">
        <v>44212</v>
      </c>
      <c r="B381">
        <v>0.14899999999999999</v>
      </c>
      <c r="C381">
        <v>0.17</v>
      </c>
      <c r="D381">
        <v>0.14660000000000001</v>
      </c>
      <c r="E381">
        <v>0.16239999999999999</v>
      </c>
      <c r="F381">
        <v>18962738.129999999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0.35042735042734852</v>
      </c>
      <c r="Q381">
        <f t="shared" si="970"/>
        <v>6645062.079743553</v>
      </c>
      <c r="R381">
        <f t="shared" si="971"/>
        <v>-203981334.9721604</v>
      </c>
      <c r="S381">
        <f t="shared" si="972"/>
        <v>-2039.813349721604</v>
      </c>
      <c r="T381">
        <f t="shared" si="973"/>
        <v>-2.0398133497216042</v>
      </c>
    </row>
    <row r="382" spans="1:20" x14ac:dyDescent="0.25">
      <c r="A382" s="5">
        <v>44211</v>
      </c>
      <c r="B382">
        <v>0.15409999999999999</v>
      </c>
      <c r="C382">
        <v>0.16</v>
      </c>
      <c r="D382">
        <v>0.13569999999999999</v>
      </c>
      <c r="E382">
        <v>0.1492</v>
      </c>
      <c r="F382">
        <v>18554335.120000001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0.11111111111111137</v>
      </c>
      <c r="Q382">
        <f t="shared" si="970"/>
        <v>2061592.7911111161</v>
      </c>
      <c r="R382">
        <f t="shared" si="971"/>
        <v>-210626397.05190396</v>
      </c>
      <c r="S382">
        <f t="shared" si="972"/>
        <v>-2106.2639705190395</v>
      </c>
      <c r="T382">
        <f t="shared" si="973"/>
        <v>-2.1062639705190396</v>
      </c>
    </row>
    <row r="383" spans="1:20" x14ac:dyDescent="0.25">
      <c r="A383" s="5">
        <v>44210</v>
      </c>
      <c r="B383">
        <v>0.15049999999999999</v>
      </c>
      <c r="C383">
        <v>0.15629999999999999</v>
      </c>
      <c r="D383">
        <v>0.14199999999999999</v>
      </c>
      <c r="E383">
        <v>0.154</v>
      </c>
      <c r="F383">
        <v>12661717.710000001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0.678321678321679</v>
      </c>
      <c r="Q383">
        <f t="shared" si="970"/>
        <v>8588717.6074825265</v>
      </c>
      <c r="R383">
        <f t="shared" si="971"/>
        <v>-212687989.84301507</v>
      </c>
      <c r="S383">
        <f t="shared" si="972"/>
        <v>-2126.8798984301507</v>
      </c>
      <c r="T383">
        <f t="shared" si="973"/>
        <v>-2.1268798984301505</v>
      </c>
    </row>
    <row r="384" spans="1:20" x14ac:dyDescent="0.25">
      <c r="A384" s="5">
        <v>44209</v>
      </c>
      <c r="B384">
        <v>0.1391</v>
      </c>
      <c r="C384">
        <v>0.1515</v>
      </c>
      <c r="D384">
        <v>0.13339999999999999</v>
      </c>
      <c r="E384">
        <v>0.15</v>
      </c>
      <c r="F384">
        <v>9094583.0299999993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0.83425414364640871</v>
      </c>
      <c r="Q384">
        <f t="shared" si="970"/>
        <v>7587193.5775138102</v>
      </c>
      <c r="R384">
        <f t="shared" si="971"/>
        <v>-221276707.4504976</v>
      </c>
      <c r="S384">
        <f t="shared" si="972"/>
        <v>-2212.7670745049759</v>
      </c>
      <c r="T384">
        <f t="shared" si="973"/>
        <v>-2.2127670745049759</v>
      </c>
    </row>
    <row r="385" spans="1:20" x14ac:dyDescent="0.25">
      <c r="A385" s="5">
        <v>44208</v>
      </c>
      <c r="B385">
        <v>0.1454</v>
      </c>
      <c r="C385">
        <v>0.15140000000000001</v>
      </c>
      <c r="D385">
        <v>0.13439999999999999</v>
      </c>
      <c r="E385">
        <v>0.13900000000000001</v>
      </c>
      <c r="F385">
        <v>11175523.029999999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-0.45882352941176274</v>
      </c>
      <c r="Q385">
        <f t="shared" si="970"/>
        <v>-5127592.9196470361</v>
      </c>
      <c r="R385">
        <f t="shared" si="971"/>
        <v>-228863901.02801141</v>
      </c>
      <c r="S385">
        <f t="shared" si="972"/>
        <v>-2288.6390102801142</v>
      </c>
      <c r="T385">
        <f t="shared" si="973"/>
        <v>-2.2886390102801144</v>
      </c>
    </row>
    <row r="386" spans="1:20" x14ac:dyDescent="0.25">
      <c r="A386" s="5">
        <v>44207</v>
      </c>
      <c r="B386">
        <v>0.1593</v>
      </c>
      <c r="C386">
        <v>0.1598</v>
      </c>
      <c r="D386">
        <v>0.13100000000000001</v>
      </c>
      <c r="E386">
        <v>0.14549999999999999</v>
      </c>
      <c r="F386">
        <v>19483173.27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6.9444444444436816E-3</v>
      </c>
      <c r="Q386">
        <f t="shared" si="970"/>
        <v>135299.81437498514</v>
      </c>
      <c r="R386">
        <f t="shared" si="971"/>
        <v>-223736308.10836437</v>
      </c>
      <c r="S386">
        <f t="shared" si="972"/>
        <v>-2237.3630810836439</v>
      </c>
      <c r="T386">
        <f t="shared" si="973"/>
        <v>-2.237363081083644</v>
      </c>
    </row>
    <row r="387" spans="1:20" x14ac:dyDescent="0.25">
      <c r="A387" s="5">
        <v>44206</v>
      </c>
      <c r="B387">
        <v>0.17510000000000001</v>
      </c>
      <c r="C387">
        <v>0.18099999999999999</v>
      </c>
      <c r="D387">
        <v>0.1454</v>
      </c>
      <c r="E387">
        <v>0.1593</v>
      </c>
      <c r="F387">
        <v>20423128.940000001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-0.21910112359550571</v>
      </c>
      <c r="Q387">
        <f t="shared" si="970"/>
        <v>-4474730.49808989</v>
      </c>
      <c r="R387">
        <f t="shared" si="971"/>
        <v>-223871607.92273936</v>
      </c>
      <c r="S387">
        <f t="shared" si="972"/>
        <v>-2238.7160792273935</v>
      </c>
      <c r="T387">
        <f t="shared" si="973"/>
        <v>-2.2387160792273937</v>
      </c>
    </row>
    <row r="388" spans="1:20" x14ac:dyDescent="0.25">
      <c r="A388" s="5">
        <v>44205</v>
      </c>
      <c r="B388">
        <v>0.16689999999999999</v>
      </c>
      <c r="C388">
        <v>0.17799999999999999</v>
      </c>
      <c r="D388">
        <v>0.16</v>
      </c>
      <c r="E388">
        <v>0.17519999999999999</v>
      </c>
      <c r="F388">
        <v>21392112.760000002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0.68888888888888899</v>
      </c>
      <c r="Q388">
        <f t="shared" si="970"/>
        <v>14736788.790222226</v>
      </c>
      <c r="R388">
        <f t="shared" si="971"/>
        <v>-219396877.42464948</v>
      </c>
      <c r="S388">
        <f t="shared" si="972"/>
        <v>-2193.9687742464948</v>
      </c>
      <c r="T388">
        <f t="shared" si="973"/>
        <v>-2.1939687742464948</v>
      </c>
    </row>
    <row r="389" spans="1:20" x14ac:dyDescent="0.25">
      <c r="A389" s="5">
        <v>44204</v>
      </c>
      <c r="B389">
        <v>0.16320000000000001</v>
      </c>
      <c r="C389">
        <v>0.17499999999999999</v>
      </c>
      <c r="D389">
        <v>0.15049999999999999</v>
      </c>
      <c r="E389">
        <v>0.16689999999999999</v>
      </c>
      <c r="F389">
        <v>22846316.210000001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0.33877551020408181</v>
      </c>
      <c r="Q389">
        <f t="shared" si="970"/>
        <v>7739772.4303265354</v>
      </c>
      <c r="R389">
        <f t="shared" si="971"/>
        <v>-234133666.2148717</v>
      </c>
      <c r="S389">
        <f t="shared" si="972"/>
        <v>-2341.3366621487171</v>
      </c>
      <c r="T389">
        <f t="shared" si="973"/>
        <v>-2.3413366621487173</v>
      </c>
    </row>
    <row r="390" spans="1:20" x14ac:dyDescent="0.25">
      <c r="A390" s="5">
        <v>44203</v>
      </c>
      <c r="B390">
        <v>0.14249999999999999</v>
      </c>
      <c r="C390">
        <v>0.18129999999999999</v>
      </c>
      <c r="D390">
        <v>0.14199999999999999</v>
      </c>
      <c r="E390">
        <v>0.16309999999999999</v>
      </c>
      <c r="F390">
        <v>27902495.84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7.3791348600509246E-2</v>
      </c>
      <c r="Q390">
        <f t="shared" ref="Q390:Q453" si="975">F390*P390</f>
        <v>2058962.7973536991</v>
      </c>
      <c r="R390">
        <f t="shared" ref="R390:R453" si="976">R391+Q390</f>
        <v>-241873438.64519823</v>
      </c>
      <c r="S390">
        <f t="shared" ref="S390:S453" si="977">R390/100000</f>
        <v>-2418.7343864519821</v>
      </c>
      <c r="T390">
        <f t="shared" ref="T390:T453" si="978">S390/1000</f>
        <v>-2.4187343864519821</v>
      </c>
    </row>
    <row r="391" spans="1:20" x14ac:dyDescent="0.25">
      <c r="A391" s="5">
        <v>44202</v>
      </c>
      <c r="B391">
        <v>0.1326</v>
      </c>
      <c r="C391">
        <v>0.14979999999999999</v>
      </c>
      <c r="D391">
        <v>0.1293</v>
      </c>
      <c r="E391">
        <v>0.1424</v>
      </c>
      <c r="F391">
        <v>16996539.030000001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0.27804878048780551</v>
      </c>
      <c r="Q391">
        <f t="shared" si="975"/>
        <v>4725866.949804889</v>
      </c>
      <c r="R391">
        <f t="shared" si="976"/>
        <v>-243932401.44255191</v>
      </c>
      <c r="S391">
        <f t="shared" si="977"/>
        <v>-2439.3240144255192</v>
      </c>
      <c r="T391">
        <f t="shared" si="978"/>
        <v>-2.439324014425519</v>
      </c>
    </row>
    <row r="392" spans="1:20" x14ac:dyDescent="0.25">
      <c r="A392" s="5">
        <v>44201</v>
      </c>
      <c r="B392">
        <v>0.13150000000000001</v>
      </c>
      <c r="C392">
        <v>0.13980000000000001</v>
      </c>
      <c r="D392">
        <v>0.1208</v>
      </c>
      <c r="E392">
        <v>0.13270000000000001</v>
      </c>
      <c r="F392">
        <v>7337102.2000000002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0.25263157894736904</v>
      </c>
      <c r="Q392">
        <f t="shared" si="975"/>
        <v>1853583.7136842152</v>
      </c>
      <c r="R392">
        <f t="shared" si="976"/>
        <v>-248658268.39235681</v>
      </c>
      <c r="S392">
        <f t="shared" si="977"/>
        <v>-2486.5826839235683</v>
      </c>
      <c r="T392">
        <f t="shared" si="978"/>
        <v>-2.4865826839235683</v>
      </c>
    </row>
    <row r="393" spans="1:20" x14ac:dyDescent="0.25">
      <c r="A393" s="5">
        <v>44200</v>
      </c>
      <c r="B393">
        <v>0.12959999999999999</v>
      </c>
      <c r="C393">
        <v>0.1399</v>
      </c>
      <c r="D393">
        <v>0.113</v>
      </c>
      <c r="E393">
        <v>0.13150000000000001</v>
      </c>
      <c r="F393">
        <v>14365152.289999999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0.37546468401487043</v>
      </c>
      <c r="Q393">
        <f t="shared" si="975"/>
        <v>5393607.3653903417</v>
      </c>
      <c r="R393">
        <f t="shared" si="976"/>
        <v>-250511852.10604101</v>
      </c>
      <c r="S393">
        <f t="shared" si="977"/>
        <v>-2505.1185210604103</v>
      </c>
      <c r="T393">
        <f t="shared" si="978"/>
        <v>-2.5051185210604103</v>
      </c>
    </row>
    <row r="394" spans="1:20" x14ac:dyDescent="0.25">
      <c r="A394" s="5">
        <v>44199</v>
      </c>
      <c r="B394">
        <v>0.12330000000000001</v>
      </c>
      <c r="C394">
        <v>0.13189999999999999</v>
      </c>
      <c r="D394">
        <v>0.1182</v>
      </c>
      <c r="E394">
        <v>0.12959999999999999</v>
      </c>
      <c r="F394">
        <v>9563666.0600000005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0.66423357664233607</v>
      </c>
      <c r="Q394">
        <f t="shared" si="975"/>
        <v>6352508.1128467182</v>
      </c>
      <c r="R394">
        <f t="shared" si="976"/>
        <v>-255905459.47143134</v>
      </c>
      <c r="S394">
        <f t="shared" si="977"/>
        <v>-2559.0545947143132</v>
      </c>
      <c r="T394">
        <f t="shared" si="978"/>
        <v>-2.5590545947143131</v>
      </c>
    </row>
    <row r="395" spans="1:20" x14ac:dyDescent="0.25">
      <c r="A395" s="5">
        <v>44198</v>
      </c>
      <c r="B395">
        <v>0.1208</v>
      </c>
      <c r="C395">
        <v>0.1268</v>
      </c>
      <c r="D395">
        <v>0.1167</v>
      </c>
      <c r="E395">
        <v>0.1234</v>
      </c>
      <c r="F395">
        <v>6822083.8300000001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0.32673267326732652</v>
      </c>
      <c r="Q395">
        <f t="shared" si="975"/>
        <v>2228997.6870297017</v>
      </c>
      <c r="R395">
        <f t="shared" si="976"/>
        <v>-262257967.58427808</v>
      </c>
      <c r="S395">
        <f t="shared" si="977"/>
        <v>-2622.5796758427809</v>
      </c>
      <c r="T395">
        <f t="shared" si="978"/>
        <v>-2.6225796758427808</v>
      </c>
    </row>
    <row r="396" spans="1:20" x14ac:dyDescent="0.25">
      <c r="A396" s="5">
        <v>44197</v>
      </c>
      <c r="B396">
        <v>0.1132</v>
      </c>
      <c r="C396">
        <v>0.1265</v>
      </c>
      <c r="D396">
        <v>0.1119</v>
      </c>
      <c r="E396">
        <v>0.1208</v>
      </c>
      <c r="F396">
        <v>6268698.7199999997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0.21917808219178136</v>
      </c>
      <c r="Q396">
        <f t="shared" si="975"/>
        <v>1373961.3632876745</v>
      </c>
      <c r="R396">
        <f t="shared" si="976"/>
        <v>-264486965.27130777</v>
      </c>
      <c r="S396">
        <f t="shared" si="977"/>
        <v>-2644.8696527130778</v>
      </c>
      <c r="T396">
        <f t="shared" si="978"/>
        <v>-2.6448696527130777</v>
      </c>
    </row>
    <row r="397" spans="1:20" x14ac:dyDescent="0.25">
      <c r="A397" s="5">
        <v>44196</v>
      </c>
      <c r="B397">
        <v>0.1152</v>
      </c>
      <c r="C397">
        <v>0.1157</v>
      </c>
      <c r="D397">
        <v>0.1106</v>
      </c>
      <c r="E397">
        <v>0.1133</v>
      </c>
      <c r="F397">
        <v>4028810.67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5.8823529411763747E-2</v>
      </c>
      <c r="Q397">
        <f t="shared" si="975"/>
        <v>236988.86294117261</v>
      </c>
      <c r="R397">
        <f t="shared" si="976"/>
        <v>-265860926.63459545</v>
      </c>
      <c r="S397">
        <f t="shared" si="977"/>
        <v>-2658.6092663459544</v>
      </c>
      <c r="T397">
        <f t="shared" si="978"/>
        <v>-2.6586092663459544</v>
      </c>
    </row>
    <row r="398" spans="1:20" x14ac:dyDescent="0.25">
      <c r="A398" s="5">
        <v>44195</v>
      </c>
      <c r="B398">
        <v>0.1153</v>
      </c>
      <c r="C398">
        <v>0.12</v>
      </c>
      <c r="D398">
        <v>0.111</v>
      </c>
      <c r="E398">
        <v>0.1152</v>
      </c>
      <c r="F398">
        <v>5371670.6200000001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-6.6666666666667082E-2</v>
      </c>
      <c r="Q398">
        <f t="shared" si="975"/>
        <v>-358111.37466666888</v>
      </c>
      <c r="R398">
        <f t="shared" si="976"/>
        <v>-266097915.49753663</v>
      </c>
      <c r="S398">
        <f t="shared" si="977"/>
        <v>-2660.9791549753663</v>
      </c>
      <c r="T398">
        <f t="shared" si="978"/>
        <v>-2.6609791549753665</v>
      </c>
    </row>
    <row r="399" spans="1:20" x14ac:dyDescent="0.25">
      <c r="A399" s="5">
        <v>44194</v>
      </c>
      <c r="B399">
        <v>0.1217</v>
      </c>
      <c r="C399">
        <v>0.123</v>
      </c>
      <c r="D399">
        <v>0.11119999999999999</v>
      </c>
      <c r="E399">
        <v>0.1154</v>
      </c>
      <c r="F399">
        <v>4330723.33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-0.28813559322033772</v>
      </c>
      <c r="Q399">
        <f t="shared" si="975"/>
        <v>-1247835.5357627063</v>
      </c>
      <c r="R399">
        <f t="shared" si="976"/>
        <v>-265739804.12286997</v>
      </c>
      <c r="S399">
        <f t="shared" si="977"/>
        <v>-2657.3980412286996</v>
      </c>
      <c r="T399">
        <f t="shared" si="978"/>
        <v>-2.6573980412286997</v>
      </c>
    </row>
    <row r="400" spans="1:20" x14ac:dyDescent="0.25">
      <c r="A400" s="5">
        <v>44193</v>
      </c>
      <c r="B400">
        <v>0.12180000000000001</v>
      </c>
      <c r="C400">
        <v>0.12470000000000001</v>
      </c>
      <c r="D400">
        <v>0.1186</v>
      </c>
      <c r="E400">
        <v>0.12239999999999999</v>
      </c>
      <c r="F400">
        <v>7046929.9900000002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0.2459016393442599</v>
      </c>
      <c r="Q400">
        <f t="shared" si="975"/>
        <v>1732851.636885229</v>
      </c>
      <c r="R400">
        <f t="shared" si="976"/>
        <v>-264491968.58710727</v>
      </c>
      <c r="S400">
        <f t="shared" si="977"/>
        <v>-2644.9196858710725</v>
      </c>
      <c r="T400">
        <f t="shared" si="978"/>
        <v>-2.6449196858710726</v>
      </c>
    </row>
    <row r="401" spans="1:20" x14ac:dyDescent="0.25">
      <c r="A401" s="5">
        <v>44192</v>
      </c>
      <c r="B401">
        <v>0.1183</v>
      </c>
      <c r="C401">
        <v>0.12859999999999999</v>
      </c>
      <c r="D401">
        <v>0.11169999999999999</v>
      </c>
      <c r="E401">
        <v>0.1212</v>
      </c>
      <c r="F401">
        <v>5842083.6299999999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0.12426035502958691</v>
      </c>
      <c r="Q401">
        <f t="shared" si="975"/>
        <v>725939.38597633783</v>
      </c>
      <c r="R401">
        <f t="shared" si="976"/>
        <v>-266224820.2239925</v>
      </c>
      <c r="S401">
        <f t="shared" si="977"/>
        <v>-2662.2482022399249</v>
      </c>
      <c r="T401">
        <f t="shared" si="978"/>
        <v>-2.6622482022399248</v>
      </c>
    </row>
    <row r="402" spans="1:20" x14ac:dyDescent="0.25">
      <c r="A402" s="5">
        <v>44191</v>
      </c>
      <c r="B402">
        <v>0.1265</v>
      </c>
      <c r="C402">
        <v>0.1268</v>
      </c>
      <c r="D402">
        <v>0.1154</v>
      </c>
      <c r="E402">
        <v>0.1182</v>
      </c>
      <c r="F402">
        <v>5642557.6699999999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-0.50877192982456165</v>
      </c>
      <c r="Q402">
        <f t="shared" si="975"/>
        <v>-2870774.9549122821</v>
      </c>
      <c r="R402">
        <f t="shared" si="976"/>
        <v>-266950759.60996884</v>
      </c>
      <c r="S402">
        <f t="shared" si="977"/>
        <v>-2669.5075960996883</v>
      </c>
      <c r="T402">
        <f t="shared" si="978"/>
        <v>-2.6695075960996881</v>
      </c>
    </row>
    <row r="403" spans="1:20" x14ac:dyDescent="0.25">
      <c r="A403" s="5">
        <v>44190</v>
      </c>
      <c r="B403">
        <v>0.12509999999999999</v>
      </c>
      <c r="C403">
        <v>0.13039999999999999</v>
      </c>
      <c r="D403">
        <v>0.1203</v>
      </c>
      <c r="E403">
        <v>0.126</v>
      </c>
      <c r="F403">
        <v>3906038.98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0.12871287128712985</v>
      </c>
      <c r="Q403">
        <f t="shared" si="975"/>
        <v>502757.49247525196</v>
      </c>
      <c r="R403">
        <f t="shared" si="976"/>
        <v>-264079984.65505657</v>
      </c>
      <c r="S403">
        <f t="shared" si="977"/>
        <v>-2640.7998465505657</v>
      </c>
      <c r="T403">
        <f t="shared" si="978"/>
        <v>-2.6407998465505655</v>
      </c>
    </row>
    <row r="404" spans="1:20" x14ac:dyDescent="0.25">
      <c r="A404" s="5">
        <v>44189</v>
      </c>
      <c r="B404">
        <v>0.12</v>
      </c>
      <c r="C404">
        <v>0.12590000000000001</v>
      </c>
      <c r="D404">
        <v>0.113</v>
      </c>
      <c r="E404">
        <v>0.1249</v>
      </c>
      <c r="F404">
        <v>4883844.18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0.84496124031007536</v>
      </c>
      <c r="Q404">
        <f t="shared" si="975"/>
        <v>4126659.0358139426</v>
      </c>
      <c r="R404">
        <f t="shared" si="976"/>
        <v>-264582742.14753181</v>
      </c>
      <c r="S404">
        <f t="shared" si="977"/>
        <v>-2645.8274214753183</v>
      </c>
      <c r="T404">
        <f t="shared" si="978"/>
        <v>-2.6458274214753184</v>
      </c>
    </row>
    <row r="405" spans="1:20" x14ac:dyDescent="0.25">
      <c r="A405" s="5">
        <v>44188</v>
      </c>
      <c r="B405">
        <v>0.14199999999999999</v>
      </c>
      <c r="C405">
        <v>0.14480000000000001</v>
      </c>
      <c r="D405">
        <v>0.1129</v>
      </c>
      <c r="E405">
        <v>0.1211</v>
      </c>
      <c r="F405">
        <v>6869992.75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-0.48589341692789995</v>
      </c>
      <c r="Q405">
        <f t="shared" si="975"/>
        <v>-3338084.2515674001</v>
      </c>
      <c r="R405">
        <f t="shared" si="976"/>
        <v>-268709401.18334574</v>
      </c>
      <c r="S405">
        <f t="shared" si="977"/>
        <v>-2687.0940118334574</v>
      </c>
      <c r="T405">
        <f t="shared" si="978"/>
        <v>-2.6870940118334574</v>
      </c>
    </row>
    <row r="406" spans="1:20" x14ac:dyDescent="0.25">
      <c r="A406" s="5">
        <v>44187</v>
      </c>
      <c r="B406">
        <v>0.14710000000000001</v>
      </c>
      <c r="C406">
        <v>0.14829999999999999</v>
      </c>
      <c r="D406">
        <v>0.13270000000000001</v>
      </c>
      <c r="E406">
        <v>0.1421</v>
      </c>
      <c r="F406">
        <v>5929870.3899999997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0.20512820512820598</v>
      </c>
      <c r="Q406">
        <f t="shared" si="975"/>
        <v>1216383.6697435947</v>
      </c>
      <c r="R406">
        <f t="shared" si="976"/>
        <v>-265371316.93177831</v>
      </c>
      <c r="S406">
        <f t="shared" si="977"/>
        <v>-2653.713169317783</v>
      </c>
      <c r="T406">
        <f t="shared" si="978"/>
        <v>-2.6537131693177831</v>
      </c>
    </row>
    <row r="407" spans="1:20" x14ac:dyDescent="0.25">
      <c r="A407" s="5">
        <v>44186</v>
      </c>
      <c r="B407">
        <v>0.15440000000000001</v>
      </c>
      <c r="C407">
        <v>0.16700000000000001</v>
      </c>
      <c r="D407">
        <v>0.1391</v>
      </c>
      <c r="E407">
        <v>0.14699999999999999</v>
      </c>
      <c r="F407">
        <v>12316856.35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-0.43369175627240231</v>
      </c>
      <c r="Q407">
        <f t="shared" si="975"/>
        <v>-5341719.0621863902</v>
      </c>
      <c r="R407">
        <f t="shared" si="976"/>
        <v>-266587700.60152191</v>
      </c>
      <c r="S407">
        <f t="shared" si="977"/>
        <v>-2665.8770060152192</v>
      </c>
      <c r="T407">
        <f t="shared" si="978"/>
        <v>-2.665877006015219</v>
      </c>
    </row>
    <row r="408" spans="1:20" x14ac:dyDescent="0.25">
      <c r="A408" s="5">
        <v>44185</v>
      </c>
      <c r="B408">
        <v>0.14510000000000001</v>
      </c>
      <c r="C408">
        <v>0.1673</v>
      </c>
      <c r="D408">
        <v>0.1406</v>
      </c>
      <c r="E408">
        <v>0.15429999999999999</v>
      </c>
      <c r="F408">
        <v>15415553.310000001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2.6217228464418665E-2</v>
      </c>
      <c r="Q408">
        <f t="shared" si="975"/>
        <v>404153.08303369541</v>
      </c>
      <c r="R408">
        <f t="shared" si="976"/>
        <v>-261245981.53933552</v>
      </c>
      <c r="S408">
        <f t="shared" si="977"/>
        <v>-2612.4598153933553</v>
      </c>
      <c r="T408">
        <f t="shared" si="978"/>
        <v>-2.6124598153933554</v>
      </c>
    </row>
    <row r="409" spans="1:20" x14ac:dyDescent="0.25">
      <c r="A409" s="5">
        <v>44184</v>
      </c>
      <c r="B409">
        <v>0.14449999999999999</v>
      </c>
      <c r="C409">
        <v>0.15479999999999999</v>
      </c>
      <c r="D409">
        <v>0.1434</v>
      </c>
      <c r="E409">
        <v>0.14510000000000001</v>
      </c>
      <c r="F409">
        <v>5821569.3700000001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-0.70175438596491091</v>
      </c>
      <c r="Q409">
        <f t="shared" si="975"/>
        <v>-4085311.8385964832</v>
      </c>
      <c r="R409">
        <f t="shared" si="976"/>
        <v>-261650134.6223692</v>
      </c>
      <c r="S409">
        <f t="shared" si="977"/>
        <v>-2616.5013462236921</v>
      </c>
      <c r="T409">
        <f t="shared" si="978"/>
        <v>-2.6165013462236919</v>
      </c>
    </row>
    <row r="410" spans="1:20" x14ac:dyDescent="0.25">
      <c r="A410" s="5">
        <v>44183</v>
      </c>
      <c r="B410">
        <v>0.1409</v>
      </c>
      <c r="C410">
        <v>0.14499999999999999</v>
      </c>
      <c r="D410">
        <v>0.13789999999999999</v>
      </c>
      <c r="E410">
        <v>0.14460000000000001</v>
      </c>
      <c r="F410">
        <v>3070585.89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0.88732394366197631</v>
      </c>
      <c r="Q410">
        <f t="shared" si="975"/>
        <v>2724604.3812676193</v>
      </c>
      <c r="R410">
        <f t="shared" si="976"/>
        <v>-257564822.78377271</v>
      </c>
      <c r="S410">
        <f t="shared" si="977"/>
        <v>-2575.6482278377271</v>
      </c>
      <c r="T410">
        <f t="shared" si="978"/>
        <v>-2.5756482278377271</v>
      </c>
    </row>
    <row r="411" spans="1:20" x14ac:dyDescent="0.25">
      <c r="A411" s="5">
        <v>44182</v>
      </c>
      <c r="B411">
        <v>0.1472</v>
      </c>
      <c r="C411">
        <v>0.15179999999999999</v>
      </c>
      <c r="D411">
        <v>0.1381</v>
      </c>
      <c r="E411">
        <v>0.1411</v>
      </c>
      <c r="F411">
        <v>7336738.6200000001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-0.56204379562043727</v>
      </c>
      <c r="Q411">
        <f t="shared" si="975"/>
        <v>-4123568.421459849</v>
      </c>
      <c r="R411">
        <f t="shared" si="976"/>
        <v>-260289427.16504031</v>
      </c>
      <c r="S411">
        <f t="shared" si="977"/>
        <v>-2602.894271650403</v>
      </c>
      <c r="T411">
        <f t="shared" si="978"/>
        <v>-2.6028942716504031</v>
      </c>
    </row>
    <row r="412" spans="1:20" x14ac:dyDescent="0.25">
      <c r="A412" s="5">
        <v>44181</v>
      </c>
      <c r="B412">
        <v>0.1421</v>
      </c>
      <c r="C412">
        <v>0.14899999999999999</v>
      </c>
      <c r="D412">
        <v>0.14000000000000001</v>
      </c>
      <c r="E412">
        <v>0.14710000000000001</v>
      </c>
      <c r="F412">
        <v>5403495.2000000002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0.57777777777778017</v>
      </c>
      <c r="Q412">
        <f t="shared" si="975"/>
        <v>3122019.4488889021</v>
      </c>
      <c r="R412">
        <f t="shared" si="976"/>
        <v>-256165858.74358046</v>
      </c>
      <c r="S412">
        <f t="shared" si="977"/>
        <v>-2561.6585874358047</v>
      </c>
      <c r="T412">
        <f t="shared" si="978"/>
        <v>-2.5616585874358049</v>
      </c>
    </row>
    <row r="413" spans="1:20" x14ac:dyDescent="0.25">
      <c r="A413" s="5">
        <v>44180</v>
      </c>
      <c r="B413">
        <v>0.1394</v>
      </c>
      <c r="C413">
        <v>0.14560000000000001</v>
      </c>
      <c r="D413">
        <v>0.13700000000000001</v>
      </c>
      <c r="E413">
        <v>0.14180000000000001</v>
      </c>
      <c r="F413">
        <v>3746970.61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0.11627906976744201</v>
      </c>
      <c r="Q413">
        <f t="shared" si="975"/>
        <v>435694.25697674474</v>
      </c>
      <c r="R413">
        <f t="shared" si="976"/>
        <v>-259287878.19246936</v>
      </c>
      <c r="S413">
        <f t="shared" si="977"/>
        <v>-2592.8787819246936</v>
      </c>
      <c r="T413">
        <f t="shared" si="978"/>
        <v>-2.5928787819246937</v>
      </c>
    </row>
    <row r="414" spans="1:20" x14ac:dyDescent="0.25">
      <c r="A414" s="5">
        <v>44179</v>
      </c>
      <c r="B414">
        <v>0.1396</v>
      </c>
      <c r="C414">
        <v>0.14149999999999999</v>
      </c>
      <c r="D414">
        <v>0.1376</v>
      </c>
      <c r="E414">
        <v>0.1391</v>
      </c>
      <c r="F414">
        <v>1968066.95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-0.23076923076922748</v>
      </c>
      <c r="Q414">
        <f t="shared" si="975"/>
        <v>-454169.29615383968</v>
      </c>
      <c r="R414">
        <f t="shared" si="976"/>
        <v>-259723572.44944611</v>
      </c>
      <c r="S414">
        <f t="shared" si="977"/>
        <v>-2597.235724494461</v>
      </c>
      <c r="T414">
        <f t="shared" si="978"/>
        <v>-2.5972357244944608</v>
      </c>
    </row>
    <row r="415" spans="1:20" x14ac:dyDescent="0.25">
      <c r="A415" s="5">
        <v>44178</v>
      </c>
      <c r="B415">
        <v>0.1381</v>
      </c>
      <c r="C415">
        <v>0.14360000000000001</v>
      </c>
      <c r="D415">
        <v>0.13730000000000001</v>
      </c>
      <c r="E415">
        <v>0.1401</v>
      </c>
      <c r="F415">
        <v>2185394.67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-0.11111111111111209</v>
      </c>
      <c r="Q415">
        <f t="shared" si="975"/>
        <v>-242821.63000000213</v>
      </c>
      <c r="R415">
        <f t="shared" si="976"/>
        <v>-259269403.15329227</v>
      </c>
      <c r="S415">
        <f t="shared" si="977"/>
        <v>-2592.6940315329225</v>
      </c>
      <c r="T415">
        <f t="shared" si="978"/>
        <v>-2.5926940315329223</v>
      </c>
    </row>
    <row r="416" spans="1:20" x14ac:dyDescent="0.25">
      <c r="A416" s="5">
        <v>44177</v>
      </c>
      <c r="B416">
        <v>0.13270000000000001</v>
      </c>
      <c r="C416">
        <v>0.14149999999999999</v>
      </c>
      <c r="D416">
        <v>0.1321</v>
      </c>
      <c r="E416">
        <v>0.1381</v>
      </c>
      <c r="F416">
        <v>3228914.88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0.27659574468085335</v>
      </c>
      <c r="Q416">
        <f t="shared" si="975"/>
        <v>893104.1157446882</v>
      </c>
      <c r="R416">
        <f t="shared" si="976"/>
        <v>-259026581.52329227</v>
      </c>
      <c r="S416">
        <f t="shared" si="977"/>
        <v>-2590.2658152329227</v>
      </c>
      <c r="T416">
        <f t="shared" si="978"/>
        <v>-2.5902658152329225</v>
      </c>
    </row>
    <row r="417" spans="1:20" x14ac:dyDescent="0.25">
      <c r="A417" s="5">
        <v>44176</v>
      </c>
      <c r="B417">
        <v>0.1399</v>
      </c>
      <c r="C417">
        <v>0.1399</v>
      </c>
      <c r="D417">
        <v>0.127</v>
      </c>
      <c r="E417">
        <v>0.13270000000000001</v>
      </c>
      <c r="F417">
        <v>5019248.37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-0.11627906976743986</v>
      </c>
      <c r="Q417">
        <f t="shared" si="975"/>
        <v>-583633.53139533882</v>
      </c>
      <c r="R417">
        <f t="shared" si="976"/>
        <v>-259919685.63903695</v>
      </c>
      <c r="S417">
        <f t="shared" si="977"/>
        <v>-2599.1968563903697</v>
      </c>
      <c r="T417">
        <f t="shared" si="978"/>
        <v>-2.5991968563903698</v>
      </c>
    </row>
    <row r="418" spans="1:20" x14ac:dyDescent="0.25">
      <c r="A418" s="5">
        <v>44175</v>
      </c>
      <c r="B418">
        <v>0.14829999999999999</v>
      </c>
      <c r="C418">
        <v>0.15</v>
      </c>
      <c r="D418">
        <v>0.13830000000000001</v>
      </c>
      <c r="E418">
        <v>0.13969999999999999</v>
      </c>
      <c r="F418">
        <v>3909951.07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-0.76068376068376309</v>
      </c>
      <c r="Q418">
        <f t="shared" si="975"/>
        <v>-2974236.2840171033</v>
      </c>
      <c r="R418">
        <f t="shared" si="976"/>
        <v>-259336052.10764161</v>
      </c>
      <c r="S418">
        <f t="shared" si="977"/>
        <v>-2593.3605210764163</v>
      </c>
      <c r="T418">
        <f t="shared" si="978"/>
        <v>-2.5933605210764163</v>
      </c>
    </row>
    <row r="419" spans="1:20" x14ac:dyDescent="0.25">
      <c r="A419" s="5">
        <v>44174</v>
      </c>
      <c r="B419">
        <v>0.14699999999999999</v>
      </c>
      <c r="C419">
        <v>0.1489</v>
      </c>
      <c r="D419">
        <v>0.13650000000000001</v>
      </c>
      <c r="E419">
        <v>0.1482</v>
      </c>
      <c r="F419">
        <v>4678167.4800000004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0.88709677419354738</v>
      </c>
      <c r="Q419">
        <f t="shared" si="975"/>
        <v>4149987.2806451567</v>
      </c>
      <c r="R419">
        <f t="shared" si="976"/>
        <v>-256361815.82362449</v>
      </c>
      <c r="S419">
        <f t="shared" si="977"/>
        <v>-2563.6181582362451</v>
      </c>
      <c r="T419">
        <f t="shared" si="978"/>
        <v>-2.5636181582362449</v>
      </c>
    </row>
    <row r="420" spans="1:20" x14ac:dyDescent="0.25">
      <c r="A420" s="5">
        <v>44173</v>
      </c>
      <c r="B420">
        <v>0.15570000000000001</v>
      </c>
      <c r="C420">
        <v>0.15570000000000001</v>
      </c>
      <c r="D420">
        <v>0.14410000000000001</v>
      </c>
      <c r="E420">
        <v>0.14699999999999999</v>
      </c>
      <c r="F420">
        <v>8327945.2300000004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-0.50000000000000244</v>
      </c>
      <c r="Q420">
        <f t="shared" si="975"/>
        <v>-4163972.6150000207</v>
      </c>
      <c r="R420">
        <f t="shared" si="976"/>
        <v>-260511803.10426965</v>
      </c>
      <c r="S420">
        <f t="shared" si="977"/>
        <v>-2605.1180310426967</v>
      </c>
      <c r="T420">
        <f t="shared" si="978"/>
        <v>-2.6051180310426965</v>
      </c>
    </row>
    <row r="421" spans="1:20" x14ac:dyDescent="0.25">
      <c r="A421" s="5">
        <v>44172</v>
      </c>
      <c r="B421">
        <v>0.15049999999999999</v>
      </c>
      <c r="C421">
        <v>0.157</v>
      </c>
      <c r="D421">
        <v>0.15010000000000001</v>
      </c>
      <c r="E421">
        <v>0.15570000000000001</v>
      </c>
      <c r="F421">
        <v>5170674.1100000003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0.62318840579710211</v>
      </c>
      <c r="Q421">
        <f t="shared" si="975"/>
        <v>3222304.1555072498</v>
      </c>
      <c r="R421">
        <f t="shared" si="976"/>
        <v>-256347830.48926964</v>
      </c>
      <c r="S421">
        <f t="shared" si="977"/>
        <v>-2563.4783048926965</v>
      </c>
      <c r="T421">
        <f t="shared" si="978"/>
        <v>-2.5634783048926963</v>
      </c>
    </row>
    <row r="422" spans="1:20" x14ac:dyDescent="0.25">
      <c r="A422" s="5">
        <v>44171</v>
      </c>
      <c r="B422">
        <v>0.154</v>
      </c>
      <c r="C422">
        <v>0.15559999999999999</v>
      </c>
      <c r="D422">
        <v>0.14849999999999999</v>
      </c>
      <c r="E422">
        <v>0.15049999999999999</v>
      </c>
      <c r="F422">
        <v>2414005.17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-0.4366197183098583</v>
      </c>
      <c r="Q422">
        <f t="shared" si="975"/>
        <v>-1054002.2573239414</v>
      </c>
      <c r="R422">
        <f t="shared" si="976"/>
        <v>-259570134.64477688</v>
      </c>
      <c r="S422">
        <f t="shared" si="977"/>
        <v>-2595.7013464477686</v>
      </c>
      <c r="T422">
        <f t="shared" si="978"/>
        <v>-2.5957013464477687</v>
      </c>
    </row>
    <row r="423" spans="1:20" x14ac:dyDescent="0.25">
      <c r="A423" s="5">
        <v>44170</v>
      </c>
      <c r="B423">
        <v>0.1482</v>
      </c>
      <c r="C423">
        <v>0.1585</v>
      </c>
      <c r="D423">
        <v>0.14649999999999999</v>
      </c>
      <c r="E423">
        <v>0.154</v>
      </c>
      <c r="F423">
        <v>3272688.79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0.25</v>
      </c>
      <c r="Q423">
        <f t="shared" si="975"/>
        <v>818172.19750000001</v>
      </c>
      <c r="R423">
        <f t="shared" si="976"/>
        <v>-258516132.38745293</v>
      </c>
      <c r="S423">
        <f t="shared" si="977"/>
        <v>-2585.1613238745294</v>
      </c>
      <c r="T423">
        <f t="shared" si="978"/>
        <v>-2.5851613238745292</v>
      </c>
    </row>
    <row r="424" spans="1:20" x14ac:dyDescent="0.25">
      <c r="A424" s="5">
        <v>44169</v>
      </c>
      <c r="B424">
        <v>0.1593</v>
      </c>
      <c r="C424">
        <v>0.16309999999999999</v>
      </c>
      <c r="D424">
        <v>0.14680000000000001</v>
      </c>
      <c r="E424">
        <v>0.14810000000000001</v>
      </c>
      <c r="F424">
        <v>6512532.04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-0.84049079754601264</v>
      </c>
      <c r="Q424">
        <f t="shared" si="975"/>
        <v>-5473723.2483435608</v>
      </c>
      <c r="R424">
        <f t="shared" si="976"/>
        <v>-259334304.58495292</v>
      </c>
      <c r="S424">
        <f t="shared" si="977"/>
        <v>-2593.3430458495291</v>
      </c>
      <c r="T424">
        <f t="shared" si="978"/>
        <v>-2.593343045849529</v>
      </c>
    </row>
    <row r="425" spans="1:20" x14ac:dyDescent="0.25">
      <c r="A425" s="5">
        <v>44168</v>
      </c>
      <c r="B425">
        <v>0.159</v>
      </c>
      <c r="C425">
        <v>0.1636</v>
      </c>
      <c r="D425">
        <v>0.15579999999999999</v>
      </c>
      <c r="E425">
        <v>0.15920000000000001</v>
      </c>
      <c r="F425">
        <v>4935248.83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-0.12820512820512472</v>
      </c>
      <c r="Q425">
        <f t="shared" si="975"/>
        <v>-632724.20897434186</v>
      </c>
      <c r="R425">
        <f t="shared" si="976"/>
        <v>-253860581.33660936</v>
      </c>
      <c r="S425">
        <f t="shared" si="977"/>
        <v>-2538.6058133660936</v>
      </c>
      <c r="T425">
        <f t="shared" si="978"/>
        <v>-2.5386058133660936</v>
      </c>
    </row>
    <row r="426" spans="1:20" x14ac:dyDescent="0.25">
      <c r="A426" s="5">
        <v>44167</v>
      </c>
      <c r="B426">
        <v>0.14979999999999999</v>
      </c>
      <c r="C426">
        <v>0.16109999999999999</v>
      </c>
      <c r="D426">
        <v>0.14829999999999999</v>
      </c>
      <c r="E426">
        <v>0.15939999999999999</v>
      </c>
      <c r="F426">
        <v>5570313.6200000001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0.734374999999999</v>
      </c>
      <c r="Q426">
        <f t="shared" si="975"/>
        <v>4090699.0646874947</v>
      </c>
      <c r="R426">
        <f t="shared" si="976"/>
        <v>-253227857.12763503</v>
      </c>
      <c r="S426">
        <f t="shared" si="977"/>
        <v>-2532.2785712763502</v>
      </c>
      <c r="T426">
        <f t="shared" si="978"/>
        <v>-2.53227857127635</v>
      </c>
    </row>
    <row r="427" spans="1:20" x14ac:dyDescent="0.25">
      <c r="A427" s="5">
        <v>44166</v>
      </c>
      <c r="B427">
        <v>0.15079999999999999</v>
      </c>
      <c r="C427">
        <v>0.16969999999999999</v>
      </c>
      <c r="D427">
        <v>0.14499999999999999</v>
      </c>
      <c r="E427">
        <v>0.14960000000000001</v>
      </c>
      <c r="F427">
        <v>12689039.18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-0.6275303643724679</v>
      </c>
      <c r="Q427">
        <f t="shared" si="975"/>
        <v>-7962757.3801619215</v>
      </c>
      <c r="R427">
        <f t="shared" si="976"/>
        <v>-257318556.19232252</v>
      </c>
      <c r="S427">
        <f t="shared" si="977"/>
        <v>-2573.1855619232251</v>
      </c>
      <c r="T427">
        <f t="shared" si="978"/>
        <v>-2.5731855619232253</v>
      </c>
    </row>
    <row r="428" spans="1:20" x14ac:dyDescent="0.25">
      <c r="A428" s="5">
        <v>44165</v>
      </c>
      <c r="B428">
        <v>0.1502</v>
      </c>
      <c r="C428">
        <v>0.15340000000000001</v>
      </c>
      <c r="D428">
        <v>0.14599999999999999</v>
      </c>
      <c r="E428">
        <v>0.15079999999999999</v>
      </c>
      <c r="F428">
        <v>5791755.3499999996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0.29729729729729387</v>
      </c>
      <c r="Q428">
        <f t="shared" si="975"/>
        <v>1721873.2121621422</v>
      </c>
      <c r="R428">
        <f t="shared" si="976"/>
        <v>-249355798.81216061</v>
      </c>
      <c r="S428">
        <f t="shared" si="977"/>
        <v>-2493.5579881216063</v>
      </c>
      <c r="T428">
        <f t="shared" si="978"/>
        <v>-2.4935579881216063</v>
      </c>
    </row>
    <row r="429" spans="1:20" x14ac:dyDescent="0.25">
      <c r="A429" s="5">
        <v>44164</v>
      </c>
      <c r="B429">
        <v>0.15110000000000001</v>
      </c>
      <c r="C429">
        <v>0.15440000000000001</v>
      </c>
      <c r="D429">
        <v>0.14660000000000001</v>
      </c>
      <c r="E429">
        <v>0.1502</v>
      </c>
      <c r="F429">
        <v>4453947.97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-7.6923076923079106E-2</v>
      </c>
      <c r="Q429">
        <f t="shared" si="975"/>
        <v>-342611.38230770204</v>
      </c>
      <c r="R429">
        <f t="shared" si="976"/>
        <v>-251077672.02432275</v>
      </c>
      <c r="S429">
        <f t="shared" si="977"/>
        <v>-2510.7767202432274</v>
      </c>
      <c r="T429">
        <f t="shared" si="978"/>
        <v>-2.5107767202432272</v>
      </c>
    </row>
    <row r="430" spans="1:20" x14ac:dyDescent="0.25">
      <c r="A430" s="5">
        <v>44163</v>
      </c>
      <c r="B430">
        <v>0.15129999999999999</v>
      </c>
      <c r="C430">
        <v>0.15640000000000001</v>
      </c>
      <c r="D430">
        <v>0.1457</v>
      </c>
      <c r="E430">
        <v>0.15190000000000001</v>
      </c>
      <c r="F430">
        <v>3371389.68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0.15887850467289763</v>
      </c>
      <c r="Q430">
        <f t="shared" si="975"/>
        <v>535641.35102803889</v>
      </c>
      <c r="R430">
        <f t="shared" si="976"/>
        <v>-250735060.64201504</v>
      </c>
      <c r="S430">
        <f t="shared" si="977"/>
        <v>-2507.3506064201506</v>
      </c>
      <c r="T430">
        <f t="shared" si="978"/>
        <v>-2.5073506064201507</v>
      </c>
    </row>
    <row r="431" spans="1:20" x14ac:dyDescent="0.25">
      <c r="A431" s="5">
        <v>44162</v>
      </c>
      <c r="B431">
        <v>0.15090000000000001</v>
      </c>
      <c r="C431">
        <v>0.1573</v>
      </c>
      <c r="D431">
        <v>0.1444</v>
      </c>
      <c r="E431">
        <v>0.15129999999999999</v>
      </c>
      <c r="F431">
        <v>4087470.83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6.9767441860463922E-2</v>
      </c>
      <c r="Q431">
        <f t="shared" si="975"/>
        <v>285172.3834883672</v>
      </c>
      <c r="R431">
        <f t="shared" si="976"/>
        <v>-251270701.99304307</v>
      </c>
      <c r="S431">
        <f t="shared" si="977"/>
        <v>-2512.7070199304308</v>
      </c>
      <c r="T431">
        <f t="shared" si="978"/>
        <v>-2.5127070199304309</v>
      </c>
    </row>
    <row r="432" spans="1:20" x14ac:dyDescent="0.25">
      <c r="A432" s="5">
        <v>44161</v>
      </c>
      <c r="B432">
        <v>0.16869999999999999</v>
      </c>
      <c r="C432">
        <v>0.185</v>
      </c>
      <c r="D432">
        <v>0.13930000000000001</v>
      </c>
      <c r="E432">
        <v>0.15049999999999999</v>
      </c>
      <c r="F432">
        <v>15205379.32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-0.50984682713347962</v>
      </c>
      <c r="Q432">
        <f t="shared" si="975"/>
        <v>-7752414.4016630258</v>
      </c>
      <c r="R432">
        <f t="shared" si="976"/>
        <v>-251555874.37653142</v>
      </c>
      <c r="S432">
        <f t="shared" si="977"/>
        <v>-2515.5587437653144</v>
      </c>
      <c r="T432">
        <f t="shared" si="978"/>
        <v>-2.5155587437653142</v>
      </c>
    </row>
    <row r="433" spans="1:20" x14ac:dyDescent="0.25">
      <c r="A433" s="5">
        <v>44160</v>
      </c>
      <c r="B433">
        <v>0.16400000000000001</v>
      </c>
      <c r="C433">
        <v>0.19220000000000001</v>
      </c>
      <c r="D433">
        <v>0.159</v>
      </c>
      <c r="E433">
        <v>0.1686</v>
      </c>
      <c r="F433">
        <v>21049879.420000002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-0.42168674698795211</v>
      </c>
      <c r="Q433">
        <f t="shared" si="975"/>
        <v>-8876455.1771084405</v>
      </c>
      <c r="R433">
        <f t="shared" si="976"/>
        <v>-243803459.97486839</v>
      </c>
      <c r="S433">
        <f t="shared" si="977"/>
        <v>-2438.0345997486838</v>
      </c>
      <c r="T433">
        <f t="shared" si="978"/>
        <v>-2.4380345997486836</v>
      </c>
    </row>
    <row r="434" spans="1:20" x14ac:dyDescent="0.25">
      <c r="A434" s="5">
        <v>44159</v>
      </c>
      <c r="B434">
        <v>0.15090000000000001</v>
      </c>
      <c r="C434">
        <v>0.1739</v>
      </c>
      <c r="D434">
        <v>0.14940000000000001</v>
      </c>
      <c r="E434">
        <v>0.16400000000000001</v>
      </c>
      <c r="F434">
        <v>19886698.210000001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0.19183673469387799</v>
      </c>
      <c r="Q434">
        <f t="shared" si="975"/>
        <v>3814999.2484489884</v>
      </c>
      <c r="R434">
        <f t="shared" si="976"/>
        <v>-234927004.79775995</v>
      </c>
      <c r="S434">
        <f t="shared" si="977"/>
        <v>-2349.2700479775995</v>
      </c>
      <c r="T434">
        <f t="shared" si="978"/>
        <v>-2.3492700479775994</v>
      </c>
    </row>
    <row r="435" spans="1:20" x14ac:dyDescent="0.25">
      <c r="A435" s="5">
        <v>44158</v>
      </c>
      <c r="B435">
        <v>0.14460000000000001</v>
      </c>
      <c r="C435">
        <v>0.15359999999999999</v>
      </c>
      <c r="D435">
        <v>0.1426</v>
      </c>
      <c r="E435">
        <v>0.151</v>
      </c>
      <c r="F435">
        <v>9566624.75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0.52727272727272811</v>
      </c>
      <c r="Q435">
        <f t="shared" si="975"/>
        <v>5044220.3227272807</v>
      </c>
      <c r="R435">
        <f t="shared" si="976"/>
        <v>-238742004.04620895</v>
      </c>
      <c r="S435">
        <f t="shared" si="977"/>
        <v>-2387.4200404620897</v>
      </c>
      <c r="T435">
        <f t="shared" si="978"/>
        <v>-2.3874200404620898</v>
      </c>
    </row>
    <row r="436" spans="1:20" x14ac:dyDescent="0.25">
      <c r="A436" s="5">
        <v>44157</v>
      </c>
      <c r="B436">
        <v>0.15190000000000001</v>
      </c>
      <c r="C436">
        <v>0.1575</v>
      </c>
      <c r="D436">
        <v>0.13750000000000001</v>
      </c>
      <c r="E436">
        <v>0.14430000000000001</v>
      </c>
      <c r="F436">
        <v>8023268.8399999999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-0.31999999999999962</v>
      </c>
      <c r="Q436">
        <f t="shared" si="975"/>
        <v>-2567446.0287999967</v>
      </c>
      <c r="R436">
        <f t="shared" si="976"/>
        <v>-243786224.36893624</v>
      </c>
      <c r="S436">
        <f t="shared" si="977"/>
        <v>-2437.8622436893625</v>
      </c>
      <c r="T436">
        <f t="shared" si="978"/>
        <v>-2.4378622436893624</v>
      </c>
    </row>
    <row r="437" spans="1:20" x14ac:dyDescent="0.25">
      <c r="A437" s="5">
        <v>44156</v>
      </c>
      <c r="B437">
        <v>0.1409</v>
      </c>
      <c r="C437">
        <v>0.1588</v>
      </c>
      <c r="D437">
        <v>0.13930000000000001</v>
      </c>
      <c r="E437">
        <v>0.1522</v>
      </c>
      <c r="F437">
        <v>12745377.689999999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0.32307692307692326</v>
      </c>
      <c r="Q437">
        <f t="shared" si="975"/>
        <v>4117737.4075384638</v>
      </c>
      <c r="R437">
        <f t="shared" si="976"/>
        <v>-241218778.34013623</v>
      </c>
      <c r="S437">
        <f t="shared" si="977"/>
        <v>-2412.1877834013621</v>
      </c>
      <c r="T437">
        <f t="shared" si="978"/>
        <v>-2.4121877834013623</v>
      </c>
    </row>
    <row r="438" spans="1:20" x14ac:dyDescent="0.25">
      <c r="A438" s="5">
        <v>44155</v>
      </c>
      <c r="B438">
        <v>0.13719999999999999</v>
      </c>
      <c r="C438">
        <v>0.14799999999999999</v>
      </c>
      <c r="D438">
        <v>0.13639999999999999</v>
      </c>
      <c r="E438">
        <v>0.1409</v>
      </c>
      <c r="F438">
        <v>6948110.3499999996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-0.22413793103448201</v>
      </c>
      <c r="Q438">
        <f t="shared" si="975"/>
        <v>-1557335.0784482707</v>
      </c>
      <c r="R438">
        <f t="shared" si="976"/>
        <v>-245336515.7476747</v>
      </c>
      <c r="S438">
        <f t="shared" si="977"/>
        <v>-2453.3651574767468</v>
      </c>
      <c r="T438">
        <f t="shared" si="978"/>
        <v>-2.453365157476747</v>
      </c>
    </row>
    <row r="439" spans="1:20" x14ac:dyDescent="0.25">
      <c r="A439" s="5">
        <v>44154</v>
      </c>
      <c r="B439">
        <v>0.1487</v>
      </c>
      <c r="C439">
        <v>0.1535</v>
      </c>
      <c r="D439">
        <v>0.1336</v>
      </c>
      <c r="E439">
        <v>0.13750000000000001</v>
      </c>
      <c r="F439">
        <v>11027371.560000001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-0.60804020100502365</v>
      </c>
      <c r="Q439">
        <f t="shared" si="975"/>
        <v>-6705085.2198994812</v>
      </c>
      <c r="R439">
        <f t="shared" si="976"/>
        <v>-243779180.66922644</v>
      </c>
      <c r="S439">
        <f t="shared" si="977"/>
        <v>-2437.7918066922643</v>
      </c>
      <c r="T439">
        <f t="shared" si="978"/>
        <v>-2.4377918066922644</v>
      </c>
    </row>
    <row r="440" spans="1:20" x14ac:dyDescent="0.25">
      <c r="A440" s="5">
        <v>44153</v>
      </c>
      <c r="B440">
        <v>0.1598</v>
      </c>
      <c r="C440">
        <v>0.161</v>
      </c>
      <c r="D440">
        <v>0.1394</v>
      </c>
      <c r="E440">
        <v>0.14860000000000001</v>
      </c>
      <c r="F440">
        <v>12361230.460000001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-0.1481481481481472</v>
      </c>
      <c r="Q440">
        <f t="shared" si="975"/>
        <v>-1831293.4014814699</v>
      </c>
      <c r="R440">
        <f t="shared" si="976"/>
        <v>-237074095.44932696</v>
      </c>
      <c r="S440">
        <f t="shared" si="977"/>
        <v>-2370.7409544932698</v>
      </c>
      <c r="T440">
        <f t="shared" si="978"/>
        <v>-2.3707409544932698</v>
      </c>
    </row>
    <row r="441" spans="1:20" x14ac:dyDescent="0.25">
      <c r="A441" s="5">
        <v>44152</v>
      </c>
      <c r="B441">
        <v>0.17530000000000001</v>
      </c>
      <c r="C441">
        <v>0.182</v>
      </c>
      <c r="D441">
        <v>0.1515</v>
      </c>
      <c r="E441">
        <v>0.1598</v>
      </c>
      <c r="F441">
        <v>31804853.850000001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-0.45573770491803267</v>
      </c>
      <c r="Q441">
        <f t="shared" si="975"/>
        <v>-14494671.098852456</v>
      </c>
      <c r="R441">
        <f t="shared" si="976"/>
        <v>-235242802.04784548</v>
      </c>
      <c r="S441">
        <f t="shared" si="977"/>
        <v>-2352.428020478455</v>
      </c>
      <c r="T441">
        <f t="shared" si="978"/>
        <v>-2.3524280204784551</v>
      </c>
    </row>
    <row r="442" spans="1:20" x14ac:dyDescent="0.25">
      <c r="A442" s="5">
        <v>44151</v>
      </c>
      <c r="B442">
        <v>0.16400000000000001</v>
      </c>
      <c r="C442">
        <v>0.18590000000000001</v>
      </c>
      <c r="D442">
        <v>0.1603</v>
      </c>
      <c r="E442">
        <v>0.17530000000000001</v>
      </c>
      <c r="F442">
        <v>11734785.699999999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0.1718750000000005</v>
      </c>
      <c r="Q442">
        <f t="shared" si="975"/>
        <v>2016916.2921875056</v>
      </c>
      <c r="R442">
        <f t="shared" si="976"/>
        <v>-220748130.94899303</v>
      </c>
      <c r="S442">
        <f t="shared" si="977"/>
        <v>-2207.4813094899305</v>
      </c>
      <c r="T442">
        <f t="shared" si="978"/>
        <v>-2.2074813094899306</v>
      </c>
    </row>
    <row r="443" spans="1:20" x14ac:dyDescent="0.25">
      <c r="A443" s="5">
        <v>44150</v>
      </c>
      <c r="B443">
        <v>0.17299999999999999</v>
      </c>
      <c r="C443">
        <v>0.17699999999999999</v>
      </c>
      <c r="D443">
        <v>0.16</v>
      </c>
      <c r="E443">
        <v>0.16370000000000001</v>
      </c>
      <c r="F443">
        <v>5928893.5300000003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-0.56470588235293984</v>
      </c>
      <c r="Q443">
        <f t="shared" si="975"/>
        <v>-3348081.0522352862</v>
      </c>
      <c r="R443">
        <f t="shared" si="976"/>
        <v>-222765047.24118054</v>
      </c>
      <c r="S443">
        <f t="shared" si="977"/>
        <v>-2227.6504724118054</v>
      </c>
      <c r="T443">
        <f t="shared" si="978"/>
        <v>-2.2276504724118054</v>
      </c>
    </row>
    <row r="444" spans="1:20" x14ac:dyDescent="0.25">
      <c r="A444" s="5">
        <v>44149</v>
      </c>
      <c r="B444">
        <v>0.1782</v>
      </c>
      <c r="C444">
        <v>0.18959999999999999</v>
      </c>
      <c r="D444">
        <v>0.16500000000000001</v>
      </c>
      <c r="E444">
        <v>0.17299999999999999</v>
      </c>
      <c r="F444">
        <v>9192218.1199999992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-0.34959349593496059</v>
      </c>
      <c r="Q444">
        <f t="shared" si="975"/>
        <v>-3213539.6679674909</v>
      </c>
      <c r="R444">
        <f t="shared" si="976"/>
        <v>-219416966.18894526</v>
      </c>
      <c r="S444">
        <f t="shared" si="977"/>
        <v>-2194.1696618894525</v>
      </c>
      <c r="T444">
        <f t="shared" si="978"/>
        <v>-2.1941696618894526</v>
      </c>
    </row>
    <row r="445" spans="1:20" x14ac:dyDescent="0.25">
      <c r="A445" s="5">
        <v>44148</v>
      </c>
      <c r="B445">
        <v>0.1595</v>
      </c>
      <c r="C445">
        <v>0.185</v>
      </c>
      <c r="D445">
        <v>0.15859999999999999</v>
      </c>
      <c r="E445">
        <v>0.1787</v>
      </c>
      <c r="F445">
        <v>9674803.2899999991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0.52272727272727282</v>
      </c>
      <c r="Q445">
        <f t="shared" si="975"/>
        <v>5057283.5379545456</v>
      </c>
      <c r="R445">
        <f t="shared" si="976"/>
        <v>-216203426.52097777</v>
      </c>
      <c r="S445">
        <f t="shared" si="977"/>
        <v>-2162.0342652097775</v>
      </c>
      <c r="T445">
        <f t="shared" si="978"/>
        <v>-2.1620342652097775</v>
      </c>
    </row>
    <row r="446" spans="1:20" x14ac:dyDescent="0.25">
      <c r="A446" s="5">
        <v>44147</v>
      </c>
      <c r="B446">
        <v>0.15720000000000001</v>
      </c>
      <c r="C446">
        <v>0.17460000000000001</v>
      </c>
      <c r="D446">
        <v>0.15229999999999999</v>
      </c>
      <c r="E446">
        <v>0.15909999999999999</v>
      </c>
      <c r="F446">
        <v>11700759.92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-0.39013452914798241</v>
      </c>
      <c r="Q446">
        <f t="shared" si="975"/>
        <v>-4564870.4620627845</v>
      </c>
      <c r="R446">
        <f t="shared" si="976"/>
        <v>-221260710.0589323</v>
      </c>
      <c r="S446">
        <f t="shared" si="977"/>
        <v>-2212.6071005893232</v>
      </c>
      <c r="T446">
        <f t="shared" si="978"/>
        <v>-2.2126071005893233</v>
      </c>
    </row>
    <row r="447" spans="1:20" x14ac:dyDescent="0.25">
      <c r="A447" s="5">
        <v>44146</v>
      </c>
      <c r="B447">
        <v>0.16739999999999999</v>
      </c>
      <c r="C447">
        <v>0.19670000000000001</v>
      </c>
      <c r="D447">
        <v>0.155</v>
      </c>
      <c r="E447">
        <v>0.15740000000000001</v>
      </c>
      <c r="F447">
        <v>29177849.149999999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-0.88489208633093464</v>
      </c>
      <c r="Q447">
        <f t="shared" si="975"/>
        <v>-25819247.808992788</v>
      </c>
      <c r="R447">
        <f t="shared" si="976"/>
        <v>-216695839.59686953</v>
      </c>
      <c r="S447">
        <f t="shared" si="977"/>
        <v>-2166.9583959686952</v>
      </c>
      <c r="T447">
        <f t="shared" si="978"/>
        <v>-2.1669583959686953</v>
      </c>
    </row>
    <row r="448" spans="1:20" x14ac:dyDescent="0.25">
      <c r="A448" s="5">
        <v>44145</v>
      </c>
      <c r="B448">
        <v>0.13250000000000001</v>
      </c>
      <c r="C448">
        <v>0.20630000000000001</v>
      </c>
      <c r="D448">
        <v>0.12989999999999999</v>
      </c>
      <c r="E448">
        <v>0.16769999999999999</v>
      </c>
      <c r="F448">
        <v>32190431.879999999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-1.0471204188481973E-2</v>
      </c>
      <c r="Q448">
        <f t="shared" si="975"/>
        <v>-337072.58513089962</v>
      </c>
      <c r="R448">
        <f t="shared" si="976"/>
        <v>-190876591.78787673</v>
      </c>
      <c r="S448">
        <f t="shared" si="977"/>
        <v>-1908.7659178787671</v>
      </c>
      <c r="T448">
        <f t="shared" si="978"/>
        <v>-1.908765917878767</v>
      </c>
    </row>
    <row r="449" spans="1:20" x14ac:dyDescent="0.25">
      <c r="A449" s="5">
        <v>44144</v>
      </c>
      <c r="B449">
        <v>0.1245</v>
      </c>
      <c r="C449">
        <v>0.13500000000000001</v>
      </c>
      <c r="D449">
        <v>0.1176</v>
      </c>
      <c r="E449">
        <v>0.1328</v>
      </c>
      <c r="F449">
        <v>4225135.7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0.74712643678160851</v>
      </c>
      <c r="Q449">
        <f t="shared" si="975"/>
        <v>3156710.5804597675</v>
      </c>
      <c r="R449">
        <f t="shared" si="976"/>
        <v>-190539519.20274583</v>
      </c>
      <c r="S449">
        <f t="shared" si="977"/>
        <v>-1905.3951920274583</v>
      </c>
      <c r="T449">
        <f t="shared" si="978"/>
        <v>-1.9053951920274583</v>
      </c>
    </row>
    <row r="450" spans="1:20" x14ac:dyDescent="0.25">
      <c r="A450" s="5">
        <v>44143</v>
      </c>
      <c r="B450">
        <v>0.1232</v>
      </c>
      <c r="C450">
        <v>0.12989999999999999</v>
      </c>
      <c r="D450">
        <v>0.1212</v>
      </c>
      <c r="E450">
        <v>0.12479999999999999</v>
      </c>
      <c r="F450">
        <v>4062427.3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-0.1724137931034487</v>
      </c>
      <c r="Q450">
        <f t="shared" si="975"/>
        <v>-700418.50000000175</v>
      </c>
      <c r="R450">
        <f t="shared" si="976"/>
        <v>-193696229.7832056</v>
      </c>
      <c r="S450">
        <f t="shared" si="977"/>
        <v>-1936.962297832056</v>
      </c>
      <c r="T450">
        <f t="shared" si="978"/>
        <v>-1.936962297832056</v>
      </c>
    </row>
    <row r="451" spans="1:20" x14ac:dyDescent="0.25">
      <c r="A451" s="5">
        <v>44142</v>
      </c>
      <c r="B451">
        <v>0.13189999999999999</v>
      </c>
      <c r="C451">
        <v>0.1424</v>
      </c>
      <c r="D451">
        <v>0.1144</v>
      </c>
      <c r="E451">
        <v>0.1237</v>
      </c>
      <c r="F451">
        <v>11281232.48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-0.33571428571428547</v>
      </c>
      <c r="Q451">
        <f t="shared" si="975"/>
        <v>-3787270.9039999973</v>
      </c>
      <c r="R451">
        <f t="shared" si="976"/>
        <v>-192995811.2832056</v>
      </c>
      <c r="S451">
        <f t="shared" si="977"/>
        <v>-1929.958112832056</v>
      </c>
      <c r="T451">
        <f t="shared" si="978"/>
        <v>-1.929958112832056</v>
      </c>
    </row>
    <row r="452" spans="1:20" x14ac:dyDescent="0.25">
      <c r="A452" s="5">
        <v>44141</v>
      </c>
      <c r="B452">
        <v>0.1193</v>
      </c>
      <c r="C452">
        <v>0.13339999999999999</v>
      </c>
      <c r="D452">
        <v>0.11899999999999999</v>
      </c>
      <c r="E452">
        <v>0.1318</v>
      </c>
      <c r="F452">
        <v>5881783.4100000001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0.77777777777777901</v>
      </c>
      <c r="Q452">
        <f t="shared" si="975"/>
        <v>4574720.4300000072</v>
      </c>
      <c r="R452">
        <f t="shared" si="976"/>
        <v>-189208540.37920561</v>
      </c>
      <c r="S452">
        <f t="shared" si="977"/>
        <v>-1892.0854037920562</v>
      </c>
      <c r="T452">
        <f t="shared" si="978"/>
        <v>-1.8920854037920563</v>
      </c>
    </row>
    <row r="453" spans="1:20" x14ac:dyDescent="0.25">
      <c r="A453" s="5">
        <v>44140</v>
      </c>
      <c r="B453">
        <v>0.1192</v>
      </c>
      <c r="C453">
        <v>0.122</v>
      </c>
      <c r="D453">
        <v>0.10680000000000001</v>
      </c>
      <c r="E453">
        <v>0.1192</v>
      </c>
      <c r="F453">
        <v>8433927.7699999996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0.63157894736842124</v>
      </c>
      <c r="Q453">
        <f t="shared" si="975"/>
        <v>5326691.2231578957</v>
      </c>
      <c r="R453">
        <f t="shared" si="976"/>
        <v>-193783260.80920562</v>
      </c>
      <c r="S453">
        <f t="shared" si="977"/>
        <v>-1937.8326080920563</v>
      </c>
      <c r="T453">
        <f t="shared" si="978"/>
        <v>-1.9378326080920563</v>
      </c>
    </row>
    <row r="454" spans="1:20" x14ac:dyDescent="0.25">
      <c r="A454" s="5">
        <v>44139</v>
      </c>
      <c r="B454">
        <v>0.12509999999999999</v>
      </c>
      <c r="C454">
        <v>0.12509999999999999</v>
      </c>
      <c r="D454">
        <v>0.115</v>
      </c>
      <c r="E454">
        <v>0.1197</v>
      </c>
      <c r="F454">
        <v>2009475.43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-6.9306930693068661E-2</v>
      </c>
      <c r="Q454">
        <f t="shared" ref="Q454:Q517" si="980">F454*P454</f>
        <v>-139270.57435643434</v>
      </c>
      <c r="R454">
        <f t="shared" ref="R454:R517" si="981">R455+Q454</f>
        <v>-199109952.0323635</v>
      </c>
      <c r="S454">
        <f t="shared" ref="S454:S517" si="982">R454/100000</f>
        <v>-1991.099520323635</v>
      </c>
      <c r="T454">
        <f t="shared" ref="T454:T517" si="983">S454/1000</f>
        <v>-1.991099520323635</v>
      </c>
    </row>
    <row r="455" spans="1:20" x14ac:dyDescent="0.25">
      <c r="A455" s="5">
        <v>44138</v>
      </c>
      <c r="B455">
        <v>0.1308</v>
      </c>
      <c r="C455">
        <v>0.13239999999999999</v>
      </c>
      <c r="D455">
        <v>0.121</v>
      </c>
      <c r="E455">
        <v>0.12520000000000001</v>
      </c>
      <c r="F455">
        <v>1841751.29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-0.26315789473684004</v>
      </c>
      <c r="Q455">
        <f t="shared" si="980"/>
        <v>-484671.39210525935</v>
      </c>
      <c r="R455">
        <f t="shared" si="981"/>
        <v>-198970681.45800707</v>
      </c>
      <c r="S455">
        <f t="shared" si="982"/>
        <v>-1989.7068145800706</v>
      </c>
      <c r="T455">
        <f t="shared" si="983"/>
        <v>-1.9897068145800707</v>
      </c>
    </row>
    <row r="456" spans="1:20" x14ac:dyDescent="0.25">
      <c r="A456" s="5">
        <v>44137</v>
      </c>
      <c r="B456">
        <v>0.13819999999999999</v>
      </c>
      <c r="C456">
        <v>0.14560000000000001</v>
      </c>
      <c r="D456">
        <v>0.13059999999999999</v>
      </c>
      <c r="E456">
        <v>0.13170000000000001</v>
      </c>
      <c r="F456">
        <v>1979956.91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-0.85333333333333117</v>
      </c>
      <c r="Q456">
        <f t="shared" si="980"/>
        <v>-1689563.2298666623</v>
      </c>
      <c r="R456">
        <f t="shared" si="981"/>
        <v>-198486010.06590182</v>
      </c>
      <c r="S456">
        <f t="shared" si="982"/>
        <v>-1984.8601006590181</v>
      </c>
      <c r="T456">
        <f t="shared" si="983"/>
        <v>-1.9848601006590181</v>
      </c>
    </row>
    <row r="457" spans="1:20" x14ac:dyDescent="0.25">
      <c r="A457" s="5">
        <v>44136</v>
      </c>
      <c r="B457">
        <v>0.13450000000000001</v>
      </c>
      <c r="C457">
        <v>0.14099999999999999</v>
      </c>
      <c r="D457">
        <v>0.13220000000000001</v>
      </c>
      <c r="E457">
        <v>0.13739999999999999</v>
      </c>
      <c r="F457">
        <v>1288020.46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0.18181818181818124</v>
      </c>
      <c r="Q457">
        <f t="shared" si="980"/>
        <v>234185.53818181742</v>
      </c>
      <c r="R457">
        <f t="shared" si="981"/>
        <v>-196796446.83603516</v>
      </c>
      <c r="S457">
        <f t="shared" si="982"/>
        <v>-1967.9644683603517</v>
      </c>
      <c r="T457">
        <f t="shared" si="983"/>
        <v>-1.9679644683603517</v>
      </c>
    </row>
    <row r="458" spans="1:20" x14ac:dyDescent="0.25">
      <c r="A458" s="5">
        <v>44135</v>
      </c>
      <c r="B458">
        <v>0.13730000000000001</v>
      </c>
      <c r="C458">
        <v>0.1434</v>
      </c>
      <c r="D458">
        <v>0.1331</v>
      </c>
      <c r="E458">
        <v>0.1348</v>
      </c>
      <c r="F458">
        <v>1773412.09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-0.66990291262135793</v>
      </c>
      <c r="Q458">
        <f t="shared" si="980"/>
        <v>-1188013.9243689298</v>
      </c>
      <c r="R458">
        <f t="shared" si="981"/>
        <v>-197030632.37421697</v>
      </c>
      <c r="S458">
        <f t="shared" si="982"/>
        <v>-1970.3063237421698</v>
      </c>
      <c r="T458">
        <f t="shared" si="983"/>
        <v>-1.9703063237421699</v>
      </c>
    </row>
    <row r="459" spans="1:20" x14ac:dyDescent="0.25">
      <c r="A459" s="5">
        <v>44134</v>
      </c>
      <c r="B459">
        <v>0.14230000000000001</v>
      </c>
      <c r="C459">
        <v>0.1429</v>
      </c>
      <c r="D459">
        <v>0.13009999999999999</v>
      </c>
      <c r="E459">
        <v>0.1376</v>
      </c>
      <c r="F459">
        <v>2000430.32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0.1718750000000005</v>
      </c>
      <c r="Q459">
        <f t="shared" si="980"/>
        <v>343823.96125000098</v>
      </c>
      <c r="R459">
        <f t="shared" si="981"/>
        <v>-195842618.44984806</v>
      </c>
      <c r="S459">
        <f t="shared" si="982"/>
        <v>-1958.4261844984806</v>
      </c>
      <c r="T459">
        <f t="shared" si="983"/>
        <v>-1.9584261844984805</v>
      </c>
    </row>
    <row r="460" spans="1:20" x14ac:dyDescent="0.25">
      <c r="A460" s="5">
        <v>44133</v>
      </c>
      <c r="B460">
        <v>0.1477</v>
      </c>
      <c r="C460">
        <v>0.15060000000000001</v>
      </c>
      <c r="D460">
        <v>0.1404</v>
      </c>
      <c r="E460">
        <v>0.14169999999999999</v>
      </c>
      <c r="F460">
        <v>1722536.44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-0.74509803921568751</v>
      </c>
      <c r="Q460">
        <f t="shared" si="980"/>
        <v>-1283458.5239215707</v>
      </c>
      <c r="R460">
        <f t="shared" si="981"/>
        <v>-196186442.41109806</v>
      </c>
      <c r="S460">
        <f t="shared" si="982"/>
        <v>-1961.8644241109807</v>
      </c>
      <c r="T460">
        <f t="shared" si="983"/>
        <v>-1.9618644241109808</v>
      </c>
    </row>
    <row r="461" spans="1:20" x14ac:dyDescent="0.25">
      <c r="A461" s="5">
        <v>44132</v>
      </c>
      <c r="B461">
        <v>0.1537</v>
      </c>
      <c r="C461">
        <v>0.15559999999999999</v>
      </c>
      <c r="D461">
        <v>0.1414</v>
      </c>
      <c r="E461">
        <v>0.1477</v>
      </c>
      <c r="F461">
        <v>3538283.71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-0.11267605633802756</v>
      </c>
      <c r="Q461">
        <f t="shared" si="980"/>
        <v>-398679.85464788519</v>
      </c>
      <c r="R461">
        <f t="shared" si="981"/>
        <v>-194902983.88717648</v>
      </c>
      <c r="S461">
        <f t="shared" si="982"/>
        <v>-1949.0298388717649</v>
      </c>
      <c r="T461">
        <f t="shared" si="983"/>
        <v>-1.9490298388717648</v>
      </c>
    </row>
    <row r="462" spans="1:20" x14ac:dyDescent="0.25">
      <c r="A462" s="5">
        <v>44131</v>
      </c>
      <c r="B462">
        <v>0.15479999999999999</v>
      </c>
      <c r="C462">
        <v>0.1618</v>
      </c>
      <c r="D462">
        <v>0.15210000000000001</v>
      </c>
      <c r="E462">
        <v>0.1532</v>
      </c>
      <c r="F462">
        <v>2994716.51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-0.7731958762886616</v>
      </c>
      <c r="Q462">
        <f t="shared" si="980"/>
        <v>-2315502.4561855723</v>
      </c>
      <c r="R462">
        <f t="shared" si="981"/>
        <v>-194504304.03252861</v>
      </c>
      <c r="S462">
        <f t="shared" si="982"/>
        <v>-1945.043040325286</v>
      </c>
      <c r="T462">
        <f t="shared" si="983"/>
        <v>-1.9450430403252861</v>
      </c>
    </row>
    <row r="463" spans="1:20" x14ac:dyDescent="0.25">
      <c r="A463" s="5">
        <v>44130</v>
      </c>
      <c r="B463">
        <v>0.1656</v>
      </c>
      <c r="C463">
        <v>0.1663</v>
      </c>
      <c r="D463">
        <v>0.14849999999999999</v>
      </c>
      <c r="E463">
        <v>0.1547</v>
      </c>
      <c r="F463">
        <v>3121479.96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-0.30337078651685312</v>
      </c>
      <c r="Q463">
        <f t="shared" si="980"/>
        <v>-946965.83056179516</v>
      </c>
      <c r="R463">
        <f t="shared" si="981"/>
        <v>-192188801.57634303</v>
      </c>
      <c r="S463">
        <f t="shared" si="982"/>
        <v>-1921.8880157634303</v>
      </c>
      <c r="T463">
        <f t="shared" si="983"/>
        <v>-1.9218880157634304</v>
      </c>
    </row>
    <row r="464" spans="1:20" x14ac:dyDescent="0.25">
      <c r="A464" s="5">
        <v>44129</v>
      </c>
      <c r="B464">
        <v>0.17080000000000001</v>
      </c>
      <c r="C464">
        <v>0.17230000000000001</v>
      </c>
      <c r="D464">
        <v>0.161</v>
      </c>
      <c r="E464">
        <v>0.1656</v>
      </c>
      <c r="F464">
        <v>1570083.57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-0.18584070796460334</v>
      </c>
      <c r="Q464">
        <f t="shared" si="980"/>
        <v>-291785.44221239188</v>
      </c>
      <c r="R464">
        <f t="shared" si="981"/>
        <v>-191241835.74578124</v>
      </c>
      <c r="S464">
        <f t="shared" si="982"/>
        <v>-1912.4183574578124</v>
      </c>
      <c r="T464">
        <f t="shared" si="983"/>
        <v>-1.9124183574578124</v>
      </c>
    </row>
    <row r="465" spans="1:20" x14ac:dyDescent="0.25">
      <c r="A465" s="5">
        <v>44128</v>
      </c>
      <c r="B465">
        <v>0.1711</v>
      </c>
      <c r="C465">
        <v>0.17560000000000001</v>
      </c>
      <c r="D465">
        <v>0.1656</v>
      </c>
      <c r="E465">
        <v>0.17100000000000001</v>
      </c>
      <c r="F465">
        <v>2680472.5099999998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8.0000000000002222E-2</v>
      </c>
      <c r="Q465">
        <f t="shared" si="980"/>
        <v>214437.80080000593</v>
      </c>
      <c r="R465">
        <f t="shared" si="981"/>
        <v>-190950050.30356884</v>
      </c>
      <c r="S465">
        <f t="shared" si="982"/>
        <v>-1909.5005030356883</v>
      </c>
      <c r="T465">
        <f t="shared" si="983"/>
        <v>-1.9095005030356884</v>
      </c>
    </row>
    <row r="466" spans="1:20" x14ac:dyDescent="0.25">
      <c r="A466" s="5">
        <v>44127</v>
      </c>
      <c r="B466">
        <v>0.18279999999999999</v>
      </c>
      <c r="C466">
        <v>0.18609999999999999</v>
      </c>
      <c r="D466">
        <v>0.1701</v>
      </c>
      <c r="E466">
        <v>0.1711</v>
      </c>
      <c r="F466">
        <v>2887734.19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-0.87499999999999978</v>
      </c>
      <c r="Q466">
        <f t="shared" si="980"/>
        <v>-2526767.4162499993</v>
      </c>
      <c r="R466">
        <f t="shared" si="981"/>
        <v>-191164488.10436884</v>
      </c>
      <c r="S466">
        <f t="shared" si="982"/>
        <v>-1911.6448810436884</v>
      </c>
      <c r="T466">
        <f t="shared" si="983"/>
        <v>-1.9116448810436883</v>
      </c>
    </row>
    <row r="467" spans="1:20" x14ac:dyDescent="0.25">
      <c r="A467" s="5">
        <v>44126</v>
      </c>
      <c r="B467">
        <v>0.17269999999999999</v>
      </c>
      <c r="C467">
        <v>0.19139999999999999</v>
      </c>
      <c r="D467">
        <v>0.17269999999999999</v>
      </c>
      <c r="E467">
        <v>0.18290000000000001</v>
      </c>
      <c r="F467">
        <v>5200330.2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9.0909090909092799E-2</v>
      </c>
      <c r="Q467">
        <f t="shared" si="980"/>
        <v>472757.29090910073</v>
      </c>
      <c r="R467">
        <f t="shared" si="981"/>
        <v>-188637720.68811885</v>
      </c>
      <c r="S467">
        <f t="shared" si="982"/>
        <v>-1886.3772068811884</v>
      </c>
      <c r="T467">
        <f t="shared" si="983"/>
        <v>-1.8863772068811884</v>
      </c>
    </row>
    <row r="468" spans="1:20" x14ac:dyDescent="0.25">
      <c r="A468" s="5">
        <v>44125</v>
      </c>
      <c r="B468">
        <v>0.15659999999999999</v>
      </c>
      <c r="C468">
        <v>0.17469999999999999</v>
      </c>
      <c r="D468">
        <v>0.15620000000000001</v>
      </c>
      <c r="E468">
        <v>0.1716</v>
      </c>
      <c r="F468">
        <v>3566531.75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0.66486486486486551</v>
      </c>
      <c r="Q468">
        <f t="shared" si="980"/>
        <v>2371261.6500000022</v>
      </c>
      <c r="R468">
        <f t="shared" si="981"/>
        <v>-189110477.97902796</v>
      </c>
      <c r="S468">
        <f t="shared" si="982"/>
        <v>-1891.1047797902795</v>
      </c>
      <c r="T468">
        <f t="shared" si="983"/>
        <v>-1.8911047797902796</v>
      </c>
    </row>
    <row r="469" spans="1:20" x14ac:dyDescent="0.25">
      <c r="A469" s="5">
        <v>44124</v>
      </c>
      <c r="B469">
        <v>0.17499999999999999</v>
      </c>
      <c r="C469">
        <v>0.17630000000000001</v>
      </c>
      <c r="D469">
        <v>0.15290000000000001</v>
      </c>
      <c r="E469">
        <v>0.15659999999999999</v>
      </c>
      <c r="F469">
        <v>3400094.62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-0.68376068376068544</v>
      </c>
      <c r="Q469">
        <f t="shared" si="980"/>
        <v>-2324851.0222222279</v>
      </c>
      <c r="R469">
        <f t="shared" si="981"/>
        <v>-191481739.62902796</v>
      </c>
      <c r="S469">
        <f t="shared" si="982"/>
        <v>-1914.8173962902797</v>
      </c>
      <c r="T469">
        <f t="shared" si="983"/>
        <v>-1.9148173962902797</v>
      </c>
    </row>
    <row r="470" spans="1:20" x14ac:dyDescent="0.25">
      <c r="A470" s="5">
        <v>44123</v>
      </c>
      <c r="B470">
        <v>0.17519999999999999</v>
      </c>
      <c r="C470">
        <v>0.17680000000000001</v>
      </c>
      <c r="D470">
        <v>0.16880000000000001</v>
      </c>
      <c r="E470">
        <v>0.17580000000000001</v>
      </c>
      <c r="F470">
        <v>1458599.18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0.75</v>
      </c>
      <c r="Q470">
        <f t="shared" si="980"/>
        <v>1093949.385</v>
      </c>
      <c r="R470">
        <f t="shared" si="981"/>
        <v>-189156888.60680574</v>
      </c>
      <c r="S470">
        <f t="shared" si="982"/>
        <v>-1891.5688860680575</v>
      </c>
      <c r="T470">
        <f t="shared" si="983"/>
        <v>-1.8915688860680575</v>
      </c>
    </row>
    <row r="471" spans="1:20" x14ac:dyDescent="0.25">
      <c r="A471" s="5">
        <v>44122</v>
      </c>
      <c r="B471">
        <v>0.17249999999999999</v>
      </c>
      <c r="C471">
        <v>0.17949999999999999</v>
      </c>
      <c r="D471">
        <v>0.17219999999999999</v>
      </c>
      <c r="E471">
        <v>0.1749</v>
      </c>
      <c r="F471">
        <v>1283923.06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-0.26027397260273766</v>
      </c>
      <c r="Q471">
        <f t="shared" si="980"/>
        <v>-334171.75534246309</v>
      </c>
      <c r="R471">
        <f t="shared" si="981"/>
        <v>-190250837.99180573</v>
      </c>
      <c r="S471">
        <f t="shared" si="982"/>
        <v>-1902.5083799180572</v>
      </c>
      <c r="T471">
        <f t="shared" si="983"/>
        <v>-1.9025083799180573</v>
      </c>
    </row>
    <row r="472" spans="1:20" x14ac:dyDescent="0.25">
      <c r="A472" s="5">
        <v>44121</v>
      </c>
      <c r="B472">
        <v>0.1646</v>
      </c>
      <c r="C472">
        <v>0.17979999999999999</v>
      </c>
      <c r="D472">
        <v>0.16200000000000001</v>
      </c>
      <c r="E472">
        <v>0.17299999999999999</v>
      </c>
      <c r="F472">
        <v>1498655.76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0.23595505617977447</v>
      </c>
      <c r="Q472">
        <f t="shared" si="980"/>
        <v>353615.40404494258</v>
      </c>
      <c r="R472">
        <f t="shared" si="981"/>
        <v>-189916666.23646328</v>
      </c>
      <c r="S472">
        <f t="shared" si="982"/>
        <v>-1899.1666623646329</v>
      </c>
      <c r="T472">
        <f t="shared" si="983"/>
        <v>-1.8991666623646328</v>
      </c>
    </row>
    <row r="473" spans="1:20" x14ac:dyDescent="0.25">
      <c r="A473" s="5">
        <v>44120</v>
      </c>
      <c r="B473">
        <v>0.17080000000000001</v>
      </c>
      <c r="C473">
        <v>0.1731</v>
      </c>
      <c r="D473">
        <v>0.161</v>
      </c>
      <c r="E473">
        <v>0.1646</v>
      </c>
      <c r="F473">
        <v>1888225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-0.40495867768595173</v>
      </c>
      <c r="Q473">
        <f t="shared" si="980"/>
        <v>-764653.0991735562</v>
      </c>
      <c r="R473">
        <f t="shared" si="981"/>
        <v>-190270281.64050823</v>
      </c>
      <c r="S473">
        <f t="shared" si="982"/>
        <v>-1902.7028164050823</v>
      </c>
      <c r="T473">
        <f t="shared" si="983"/>
        <v>-1.9027028164050823</v>
      </c>
    </row>
    <row r="474" spans="1:20" x14ac:dyDescent="0.25">
      <c r="A474" s="5">
        <v>44119</v>
      </c>
      <c r="B474">
        <v>0.1812</v>
      </c>
      <c r="C474">
        <v>0.18229999999999999</v>
      </c>
      <c r="D474">
        <v>0.16669999999999999</v>
      </c>
      <c r="E474">
        <v>0.17180000000000001</v>
      </c>
      <c r="F474">
        <v>3402525.67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-0.34615384615384354</v>
      </c>
      <c r="Q474">
        <f t="shared" si="980"/>
        <v>-1177797.3473076834</v>
      </c>
      <c r="R474">
        <f t="shared" si="981"/>
        <v>-189505628.54133469</v>
      </c>
      <c r="S474">
        <f t="shared" si="982"/>
        <v>-1895.0562854133468</v>
      </c>
      <c r="T474">
        <f t="shared" si="983"/>
        <v>-1.8950562854133468</v>
      </c>
    </row>
    <row r="475" spans="1:20" x14ac:dyDescent="0.25">
      <c r="A475" s="5">
        <v>44118</v>
      </c>
      <c r="B475">
        <v>0.18509999999999999</v>
      </c>
      <c r="C475">
        <v>0.18959999999999999</v>
      </c>
      <c r="D475">
        <v>0.17910000000000001</v>
      </c>
      <c r="E475">
        <v>0.18099999999999999</v>
      </c>
      <c r="F475">
        <v>2578353.79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-0.63809523809524027</v>
      </c>
      <c r="Q475">
        <f t="shared" si="980"/>
        <v>-1645235.2755238151</v>
      </c>
      <c r="R475">
        <f t="shared" si="981"/>
        <v>-188327831.19402701</v>
      </c>
      <c r="S475">
        <f t="shared" si="982"/>
        <v>-1883.27831194027</v>
      </c>
      <c r="T475">
        <f t="shared" si="983"/>
        <v>-1.8832783119402701</v>
      </c>
    </row>
    <row r="476" spans="1:20" x14ac:dyDescent="0.25">
      <c r="A476" s="5">
        <v>44117</v>
      </c>
      <c r="B476">
        <v>0.18340000000000001</v>
      </c>
      <c r="C476">
        <v>0.19</v>
      </c>
      <c r="D476">
        <v>0.18129999999999999</v>
      </c>
      <c r="E476">
        <v>0.18509999999999999</v>
      </c>
      <c r="F476">
        <v>1844744.85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-0.12643678160919725</v>
      </c>
      <c r="Q476">
        <f t="shared" si="980"/>
        <v>-233243.60172414134</v>
      </c>
      <c r="R476">
        <f t="shared" si="981"/>
        <v>-186682595.9185032</v>
      </c>
      <c r="S476">
        <f t="shared" si="982"/>
        <v>-1866.8259591850319</v>
      </c>
      <c r="T476">
        <f t="shared" si="983"/>
        <v>-1.866825959185032</v>
      </c>
    </row>
    <row r="477" spans="1:20" x14ac:dyDescent="0.25">
      <c r="A477" s="5">
        <v>44116</v>
      </c>
      <c r="B477">
        <v>0.18840000000000001</v>
      </c>
      <c r="C477">
        <v>0.19159999999999999</v>
      </c>
      <c r="D477">
        <v>0.1802</v>
      </c>
      <c r="E477">
        <v>0.18340000000000001</v>
      </c>
      <c r="F477">
        <v>2758732.63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-0.43859649122806837</v>
      </c>
      <c r="Q477">
        <f t="shared" si="980"/>
        <v>-1209970.4517543809</v>
      </c>
      <c r="R477">
        <f t="shared" si="981"/>
        <v>-186449352.31677905</v>
      </c>
      <c r="S477">
        <f t="shared" si="982"/>
        <v>-1864.4935231677905</v>
      </c>
      <c r="T477">
        <f t="shared" si="983"/>
        <v>-1.8644935231677906</v>
      </c>
    </row>
    <row r="478" spans="1:20" x14ac:dyDescent="0.25">
      <c r="A478" s="5">
        <v>44115</v>
      </c>
      <c r="B478">
        <v>0.18529999999999999</v>
      </c>
      <c r="C478">
        <v>0.191</v>
      </c>
      <c r="D478">
        <v>0.1812</v>
      </c>
      <c r="E478">
        <v>0.18840000000000001</v>
      </c>
      <c r="F478">
        <v>1380090.42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0.46938775510204278</v>
      </c>
      <c r="Q478">
        <f t="shared" si="980"/>
        <v>647797.54408163531</v>
      </c>
      <c r="R478">
        <f t="shared" si="981"/>
        <v>-185239381.86502466</v>
      </c>
      <c r="S478">
        <f t="shared" si="982"/>
        <v>-1852.3938186502467</v>
      </c>
      <c r="T478">
        <f t="shared" si="983"/>
        <v>-1.8523938186502467</v>
      </c>
    </row>
    <row r="479" spans="1:20" x14ac:dyDescent="0.25">
      <c r="A479" s="5">
        <v>44114</v>
      </c>
      <c r="B479">
        <v>0.18970000000000001</v>
      </c>
      <c r="C479">
        <v>0.2001</v>
      </c>
      <c r="D479">
        <v>0.18540000000000001</v>
      </c>
      <c r="E479">
        <v>0.18540000000000001</v>
      </c>
      <c r="F479">
        <v>2454046.13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-1</v>
      </c>
      <c r="Q479">
        <f t="shared" si="980"/>
        <v>-2454046.13</v>
      </c>
      <c r="R479">
        <f t="shared" si="981"/>
        <v>-185887179.40910628</v>
      </c>
      <c r="S479">
        <f t="shared" si="982"/>
        <v>-1858.8717940910628</v>
      </c>
      <c r="T479">
        <f t="shared" si="983"/>
        <v>-1.8588717940910628</v>
      </c>
    </row>
    <row r="480" spans="1:20" x14ac:dyDescent="0.25">
      <c r="A480" s="5">
        <v>44113</v>
      </c>
      <c r="B480">
        <v>0.17710000000000001</v>
      </c>
      <c r="C480">
        <v>0.19409999999999999</v>
      </c>
      <c r="D480">
        <v>0.17130000000000001</v>
      </c>
      <c r="E480">
        <v>0.1903</v>
      </c>
      <c r="F480">
        <v>3932440.5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0.66666666666666663</v>
      </c>
      <c r="Q480">
        <f t="shared" si="980"/>
        <v>2621627</v>
      </c>
      <c r="R480">
        <f t="shared" si="981"/>
        <v>-183433133.27910629</v>
      </c>
      <c r="S480">
        <f t="shared" si="982"/>
        <v>-1834.331332791063</v>
      </c>
      <c r="T480">
        <f t="shared" si="983"/>
        <v>-1.8343313327910631</v>
      </c>
    </row>
    <row r="481" spans="1:20" x14ac:dyDescent="0.25">
      <c r="A481" s="5">
        <v>44112</v>
      </c>
      <c r="B481">
        <v>0.1729</v>
      </c>
      <c r="C481">
        <v>0.18340000000000001</v>
      </c>
      <c r="D481">
        <v>0.1593</v>
      </c>
      <c r="E481">
        <v>0.17549999999999999</v>
      </c>
      <c r="F481">
        <v>3710750.7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0.34439834024896143</v>
      </c>
      <c r="Q481">
        <f t="shared" si="980"/>
        <v>1277976.382157672</v>
      </c>
      <c r="R481">
        <f t="shared" si="981"/>
        <v>-186054760.27910629</v>
      </c>
      <c r="S481">
        <f t="shared" si="982"/>
        <v>-1860.5476027910629</v>
      </c>
      <c r="T481">
        <f t="shared" si="983"/>
        <v>-1.8605476027910628</v>
      </c>
    </row>
    <row r="482" spans="1:20" x14ac:dyDescent="0.25">
      <c r="A482" s="5">
        <v>44111</v>
      </c>
      <c r="B482">
        <v>0.17330000000000001</v>
      </c>
      <c r="C482">
        <v>0.1744</v>
      </c>
      <c r="D482">
        <v>0.15820000000000001</v>
      </c>
      <c r="E482">
        <v>0.17269999999999999</v>
      </c>
      <c r="F482">
        <v>3801494.5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0.79012345679012252</v>
      </c>
      <c r="Q482">
        <f t="shared" si="980"/>
        <v>3003649.9753086385</v>
      </c>
      <c r="R482">
        <f t="shared" si="981"/>
        <v>-187332736.66126397</v>
      </c>
      <c r="S482">
        <f t="shared" si="982"/>
        <v>-1873.3273666126397</v>
      </c>
      <c r="T482">
        <f t="shared" si="983"/>
        <v>-1.8733273666126398</v>
      </c>
    </row>
    <row r="483" spans="1:20" x14ac:dyDescent="0.25">
      <c r="A483" s="5">
        <v>44110</v>
      </c>
      <c r="B483">
        <v>0.2059</v>
      </c>
      <c r="C483">
        <v>0.20649999999999999</v>
      </c>
      <c r="D483">
        <v>0.1719</v>
      </c>
      <c r="E483">
        <v>0.17330000000000001</v>
      </c>
      <c r="F483">
        <v>5219062.37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-0.91907514450866978</v>
      </c>
      <c r="Q483">
        <f t="shared" si="980"/>
        <v>-4796710.5019075107</v>
      </c>
      <c r="R483">
        <f t="shared" si="981"/>
        <v>-190336386.6365726</v>
      </c>
      <c r="S483">
        <f t="shared" si="982"/>
        <v>-1903.3638663657259</v>
      </c>
      <c r="T483">
        <f t="shared" si="983"/>
        <v>-1.903363866365726</v>
      </c>
    </row>
    <row r="484" spans="1:20" x14ac:dyDescent="0.25">
      <c r="A484" s="5">
        <v>44109</v>
      </c>
      <c r="B484">
        <v>0.19850000000000001</v>
      </c>
      <c r="C484">
        <v>0.21229999999999999</v>
      </c>
      <c r="D484">
        <v>0.18990000000000001</v>
      </c>
      <c r="E484">
        <v>0.20519999999999999</v>
      </c>
      <c r="F484">
        <v>3729758.65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0.36607142857142833</v>
      </c>
      <c r="Q484">
        <f t="shared" si="980"/>
        <v>1365358.077232142</v>
      </c>
      <c r="R484">
        <f t="shared" si="981"/>
        <v>-185539676.1346651</v>
      </c>
      <c r="S484">
        <f t="shared" si="982"/>
        <v>-1855.3967613466509</v>
      </c>
      <c r="T484">
        <f t="shared" si="983"/>
        <v>-1.8553967613466509</v>
      </c>
    </row>
    <row r="485" spans="1:20" x14ac:dyDescent="0.25">
      <c r="A485" s="5">
        <v>44108</v>
      </c>
      <c r="B485">
        <v>0.19869999999999999</v>
      </c>
      <c r="C485">
        <v>0.2016</v>
      </c>
      <c r="D485">
        <v>0.191</v>
      </c>
      <c r="E485">
        <v>0.19800000000000001</v>
      </c>
      <c r="F485">
        <v>1730421.83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0.32075471698113345</v>
      </c>
      <c r="Q485">
        <f t="shared" si="980"/>
        <v>555040.96433962509</v>
      </c>
      <c r="R485">
        <f t="shared" si="981"/>
        <v>-186905034.21189725</v>
      </c>
      <c r="S485">
        <f t="shared" si="982"/>
        <v>-1869.0503421189726</v>
      </c>
      <c r="T485">
        <f t="shared" si="983"/>
        <v>-1.8690503421189726</v>
      </c>
    </row>
    <row r="486" spans="1:20" x14ac:dyDescent="0.25">
      <c r="A486" s="5">
        <v>44107</v>
      </c>
      <c r="B486">
        <v>0.2056</v>
      </c>
      <c r="C486">
        <v>0.20649999999999999</v>
      </c>
      <c r="D486">
        <v>0.1973</v>
      </c>
      <c r="E486">
        <v>0.19919999999999999</v>
      </c>
      <c r="F486">
        <v>1957511.81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-0.58695652173913304</v>
      </c>
      <c r="Q486">
        <f t="shared" si="980"/>
        <v>-1148974.3232608747</v>
      </c>
      <c r="R486">
        <f t="shared" si="981"/>
        <v>-187460075.17623687</v>
      </c>
      <c r="S486">
        <f t="shared" si="982"/>
        <v>-1874.6007517623686</v>
      </c>
      <c r="T486">
        <f t="shared" si="983"/>
        <v>-1.8746007517623686</v>
      </c>
    </row>
    <row r="487" spans="1:20" x14ac:dyDescent="0.25">
      <c r="A487" s="5">
        <v>44106</v>
      </c>
      <c r="B487">
        <v>0.22470000000000001</v>
      </c>
      <c r="C487">
        <v>0.2288</v>
      </c>
      <c r="D487">
        <v>0.19209999999999999</v>
      </c>
      <c r="E487">
        <v>0.2044</v>
      </c>
      <c r="F487">
        <v>5225745.91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-0.32970027247956391</v>
      </c>
      <c r="Q487">
        <f t="shared" si="980"/>
        <v>-1722929.8504359666</v>
      </c>
      <c r="R487">
        <f t="shared" si="981"/>
        <v>-186311100.85297599</v>
      </c>
      <c r="S487">
        <f t="shared" si="982"/>
        <v>-1863.1110085297601</v>
      </c>
      <c r="T487">
        <f t="shared" si="983"/>
        <v>-1.86311100852976</v>
      </c>
    </row>
    <row r="488" spans="1:20" x14ac:dyDescent="0.25">
      <c r="A488" s="5">
        <v>44105</v>
      </c>
      <c r="B488">
        <v>0.23519999999999999</v>
      </c>
      <c r="C488">
        <v>0.24479999999999999</v>
      </c>
      <c r="D488">
        <v>0.21029999999999999</v>
      </c>
      <c r="E488">
        <v>0.2261</v>
      </c>
      <c r="F488">
        <v>6647210.7800000003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-8.4057971014492333E-2</v>
      </c>
      <c r="Q488">
        <f t="shared" si="980"/>
        <v>-558751.05107246095</v>
      </c>
      <c r="R488">
        <f t="shared" si="981"/>
        <v>-184588171.00254002</v>
      </c>
      <c r="S488">
        <f t="shared" si="982"/>
        <v>-1845.8817100254003</v>
      </c>
      <c r="T488">
        <f t="shared" si="983"/>
        <v>-1.8458817100254004</v>
      </c>
    </row>
    <row r="489" spans="1:20" x14ac:dyDescent="0.25">
      <c r="A489" s="5">
        <v>44104</v>
      </c>
      <c r="B489">
        <v>0.2177</v>
      </c>
      <c r="C489">
        <v>0.24</v>
      </c>
      <c r="D489">
        <v>0.21329999999999999</v>
      </c>
      <c r="E489">
        <v>0.23519999999999999</v>
      </c>
      <c r="F489">
        <v>5750228.1900000004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0.64044943820224731</v>
      </c>
      <c r="Q489">
        <f t="shared" si="980"/>
        <v>3682730.4138202257</v>
      </c>
      <c r="R489">
        <f t="shared" si="981"/>
        <v>-184029419.95146757</v>
      </c>
      <c r="S489">
        <f t="shared" si="982"/>
        <v>-1840.2941995146757</v>
      </c>
      <c r="T489">
        <f t="shared" si="983"/>
        <v>-1.8402941995146758</v>
      </c>
    </row>
    <row r="490" spans="1:20" x14ac:dyDescent="0.25">
      <c r="A490" s="5">
        <v>44103</v>
      </c>
      <c r="B490">
        <v>0.21490000000000001</v>
      </c>
      <c r="C490">
        <v>0.2177</v>
      </c>
      <c r="D490">
        <v>0.20979999999999999</v>
      </c>
      <c r="E490">
        <v>0.21759999999999999</v>
      </c>
      <c r="F490">
        <v>1801959.63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0.97468354430379334</v>
      </c>
      <c r="Q490">
        <f t="shared" si="980"/>
        <v>1756340.3988607519</v>
      </c>
      <c r="R490">
        <f t="shared" si="981"/>
        <v>-187712150.36528781</v>
      </c>
      <c r="S490">
        <f t="shared" si="982"/>
        <v>-1877.1215036528781</v>
      </c>
      <c r="T490">
        <f t="shared" si="983"/>
        <v>-1.8771215036528781</v>
      </c>
    </row>
    <row r="491" spans="1:20" x14ac:dyDescent="0.25">
      <c r="A491" s="5">
        <v>44102</v>
      </c>
      <c r="B491">
        <v>0.2228</v>
      </c>
      <c r="C491">
        <v>0.22539999999999999</v>
      </c>
      <c r="D491">
        <v>0.21299999999999999</v>
      </c>
      <c r="E491">
        <v>0.21379999999999999</v>
      </c>
      <c r="F491">
        <v>3055919.26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-0.87096774193548454</v>
      </c>
      <c r="Q491">
        <f t="shared" si="980"/>
        <v>-2661607.0974193565</v>
      </c>
      <c r="R491">
        <f t="shared" si="981"/>
        <v>-189468490.76414856</v>
      </c>
      <c r="S491">
        <f t="shared" si="982"/>
        <v>-1894.6849076414856</v>
      </c>
      <c r="T491">
        <f t="shared" si="983"/>
        <v>-1.8946849076414856</v>
      </c>
    </row>
    <row r="492" spans="1:20" x14ac:dyDescent="0.25">
      <c r="A492" s="5">
        <v>44101</v>
      </c>
      <c r="B492">
        <v>0.22570000000000001</v>
      </c>
      <c r="C492">
        <v>0.23050000000000001</v>
      </c>
      <c r="D492">
        <v>0.20730000000000001</v>
      </c>
      <c r="E492">
        <v>0.2218</v>
      </c>
      <c r="F492">
        <v>3220530.28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0.24999999999999881</v>
      </c>
      <c r="Q492">
        <f t="shared" si="980"/>
        <v>805132.56999999611</v>
      </c>
      <c r="R492">
        <f t="shared" si="981"/>
        <v>-186806883.66672921</v>
      </c>
      <c r="S492">
        <f t="shared" si="982"/>
        <v>-1868.0688366672921</v>
      </c>
      <c r="T492">
        <f t="shared" si="983"/>
        <v>-1.8680688366672922</v>
      </c>
    </row>
    <row r="493" spans="1:20" x14ac:dyDescent="0.25">
      <c r="A493" s="5">
        <v>44100</v>
      </c>
      <c r="B493">
        <v>0.22220000000000001</v>
      </c>
      <c r="C493">
        <v>0.2369</v>
      </c>
      <c r="D493">
        <v>0.21790000000000001</v>
      </c>
      <c r="E493">
        <v>0.22589999999999999</v>
      </c>
      <c r="F493">
        <v>3869443.83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-0.15789473684210695</v>
      </c>
      <c r="Q493">
        <f t="shared" si="980"/>
        <v>-610964.81526316446</v>
      </c>
      <c r="R493">
        <f t="shared" si="981"/>
        <v>-187612016.2367292</v>
      </c>
      <c r="S493">
        <f t="shared" si="982"/>
        <v>-1876.1201623672921</v>
      </c>
      <c r="T493">
        <f t="shared" si="983"/>
        <v>-1.8761201623672921</v>
      </c>
    </row>
    <row r="494" spans="1:20" x14ac:dyDescent="0.25">
      <c r="A494" s="5">
        <v>44099</v>
      </c>
      <c r="B494">
        <v>0.2109</v>
      </c>
      <c r="C494">
        <v>0.23400000000000001</v>
      </c>
      <c r="D494">
        <v>0.20630000000000001</v>
      </c>
      <c r="E494">
        <v>0.22059999999999999</v>
      </c>
      <c r="F494">
        <v>9891662.8900000006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3.2490974729240299E-2</v>
      </c>
      <c r="Q494">
        <f t="shared" si="980"/>
        <v>321389.76898915408</v>
      </c>
      <c r="R494">
        <f t="shared" si="981"/>
        <v>-187001051.42146605</v>
      </c>
      <c r="S494">
        <f t="shared" si="982"/>
        <v>-1870.0105142146606</v>
      </c>
      <c r="T494">
        <f t="shared" si="983"/>
        <v>-1.8700105142146606</v>
      </c>
    </row>
    <row r="495" spans="1:20" x14ac:dyDescent="0.25">
      <c r="A495" s="5">
        <v>44098</v>
      </c>
      <c r="B495">
        <v>0.19270000000000001</v>
      </c>
      <c r="C495">
        <v>0.2112</v>
      </c>
      <c r="D495">
        <v>0.191</v>
      </c>
      <c r="E495">
        <v>0.21029999999999999</v>
      </c>
      <c r="F495">
        <v>4225718.58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0.9108910891089097</v>
      </c>
      <c r="Q495">
        <f t="shared" si="980"/>
        <v>3849169.3996039554</v>
      </c>
      <c r="R495">
        <f t="shared" si="981"/>
        <v>-187322441.1904552</v>
      </c>
      <c r="S495">
        <f t="shared" si="982"/>
        <v>-1873.224411904552</v>
      </c>
      <c r="T495">
        <f t="shared" si="983"/>
        <v>-1.873224411904552</v>
      </c>
    </row>
    <row r="496" spans="1:20" x14ac:dyDescent="0.25">
      <c r="A496" s="5">
        <v>44097</v>
      </c>
      <c r="B496">
        <v>0.2104</v>
      </c>
      <c r="C496">
        <v>0.2359</v>
      </c>
      <c r="D496">
        <v>0.19</v>
      </c>
      <c r="E496">
        <v>0.19320000000000001</v>
      </c>
      <c r="F496">
        <v>10675082.380000001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-0.86056644880174249</v>
      </c>
      <c r="Q496">
        <f t="shared" si="980"/>
        <v>-9186617.7344226539</v>
      </c>
      <c r="R496">
        <f t="shared" si="981"/>
        <v>-191171610.59005916</v>
      </c>
      <c r="S496">
        <f t="shared" si="982"/>
        <v>-1911.7161059005916</v>
      </c>
      <c r="T496">
        <f t="shared" si="983"/>
        <v>-1.9117161059005916</v>
      </c>
    </row>
    <row r="497" spans="1:20" x14ac:dyDescent="0.25">
      <c r="A497" s="5">
        <v>44096</v>
      </c>
      <c r="B497">
        <v>0.19320000000000001</v>
      </c>
      <c r="C497">
        <v>0.21249999999999999</v>
      </c>
      <c r="D497">
        <v>0.1875</v>
      </c>
      <c r="E497">
        <v>0.21010000000000001</v>
      </c>
      <c r="F497">
        <v>3334096.62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0.80800000000000116</v>
      </c>
      <c r="Q497">
        <f t="shared" si="980"/>
        <v>2693950.068960004</v>
      </c>
      <c r="R497">
        <f t="shared" si="981"/>
        <v>-181984992.85563651</v>
      </c>
      <c r="S497">
        <f t="shared" si="982"/>
        <v>-1819.8499285563651</v>
      </c>
      <c r="T497">
        <f t="shared" si="983"/>
        <v>-1.819849928556365</v>
      </c>
    </row>
    <row r="498" spans="1:20" x14ac:dyDescent="0.25">
      <c r="A498" s="5">
        <v>44095</v>
      </c>
      <c r="B498">
        <v>0.22170000000000001</v>
      </c>
      <c r="C498">
        <v>0.23069999999999999</v>
      </c>
      <c r="D498">
        <v>0.1812</v>
      </c>
      <c r="E498">
        <v>0.193</v>
      </c>
      <c r="F498">
        <v>5522211.7599999998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-0.52323232323232294</v>
      </c>
      <c r="Q498">
        <f t="shared" si="980"/>
        <v>-2889399.6885656547</v>
      </c>
      <c r="R498">
        <f t="shared" si="981"/>
        <v>-184678942.92459652</v>
      </c>
      <c r="S498">
        <f t="shared" si="982"/>
        <v>-1846.7894292459653</v>
      </c>
      <c r="T498">
        <f t="shared" si="983"/>
        <v>-1.8467894292459652</v>
      </c>
    </row>
    <row r="499" spans="1:20" x14ac:dyDescent="0.25">
      <c r="A499" s="5">
        <v>44094</v>
      </c>
      <c r="B499">
        <v>0.23300000000000001</v>
      </c>
      <c r="C499">
        <v>0.23649999999999999</v>
      </c>
      <c r="D499">
        <v>0.2102</v>
      </c>
      <c r="E499">
        <v>0.22059999999999999</v>
      </c>
      <c r="F499">
        <v>3686681.43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-0.20912547528517136</v>
      </c>
      <c r="Q499">
        <f t="shared" si="980"/>
        <v>-770979.00627376523</v>
      </c>
      <c r="R499">
        <f t="shared" si="981"/>
        <v>-181789543.23603088</v>
      </c>
      <c r="S499">
        <f t="shared" si="982"/>
        <v>-1817.8954323603089</v>
      </c>
      <c r="T499">
        <f t="shared" si="983"/>
        <v>-1.8178954323603089</v>
      </c>
    </row>
    <row r="500" spans="1:20" x14ac:dyDescent="0.25">
      <c r="A500" s="5">
        <v>44093</v>
      </c>
      <c r="B500">
        <v>0.21340000000000001</v>
      </c>
      <c r="C500">
        <v>0.24129999999999999</v>
      </c>
      <c r="D500">
        <v>0.21099999999999999</v>
      </c>
      <c r="E500">
        <v>0.2319</v>
      </c>
      <c r="F500">
        <v>4645615.6399999997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0.37953795379537997</v>
      </c>
      <c r="Q500">
        <f t="shared" si="980"/>
        <v>1763187.4541254144</v>
      </c>
      <c r="R500">
        <f t="shared" si="981"/>
        <v>-181018564.2297571</v>
      </c>
      <c r="S500">
        <f t="shared" si="982"/>
        <v>-1810.1856422975709</v>
      </c>
      <c r="T500">
        <f t="shared" si="983"/>
        <v>-1.8101856422975708</v>
      </c>
    </row>
    <row r="501" spans="1:20" x14ac:dyDescent="0.25">
      <c r="A501" s="5">
        <v>44092</v>
      </c>
      <c r="B501">
        <v>0.22259999999999999</v>
      </c>
      <c r="C501">
        <v>0.23419999999999999</v>
      </c>
      <c r="D501">
        <v>0.20760000000000001</v>
      </c>
      <c r="E501">
        <v>0.21390000000000001</v>
      </c>
      <c r="F501">
        <v>4768789.82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-0.52631578947368396</v>
      </c>
      <c r="Q501">
        <f t="shared" si="980"/>
        <v>-2509889.3789473674</v>
      </c>
      <c r="R501">
        <f t="shared" si="981"/>
        <v>-182781751.6838825</v>
      </c>
      <c r="S501">
        <f t="shared" si="982"/>
        <v>-1827.817516838825</v>
      </c>
      <c r="T501">
        <f t="shared" si="983"/>
        <v>-1.8278175168388251</v>
      </c>
    </row>
    <row r="502" spans="1:20" x14ac:dyDescent="0.25">
      <c r="A502" s="5">
        <v>44091</v>
      </c>
      <c r="B502">
        <v>0.22359999999999999</v>
      </c>
      <c r="C502">
        <v>0.2346</v>
      </c>
      <c r="D502">
        <v>0.21279999999999999</v>
      </c>
      <c r="E502">
        <v>0.2225</v>
      </c>
      <c r="F502">
        <v>3128746.74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-0.11009174311926533</v>
      </c>
      <c r="Q502">
        <f t="shared" si="980"/>
        <v>-344449.18238531885</v>
      </c>
      <c r="R502">
        <f t="shared" si="981"/>
        <v>-180271862.30493513</v>
      </c>
      <c r="S502">
        <f t="shared" si="982"/>
        <v>-1802.7186230493512</v>
      </c>
      <c r="T502">
        <f t="shared" si="983"/>
        <v>-1.8027186230493513</v>
      </c>
    </row>
    <row r="503" spans="1:20" x14ac:dyDescent="0.25">
      <c r="A503" s="5">
        <v>44090</v>
      </c>
      <c r="B503">
        <v>0.22500000000000001</v>
      </c>
      <c r="C503">
        <v>0.23219999999999999</v>
      </c>
      <c r="D503">
        <v>0.2082</v>
      </c>
      <c r="E503">
        <v>0.22259999999999999</v>
      </c>
      <c r="F503">
        <v>4228512.1100000003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0.2</v>
      </c>
      <c r="Q503">
        <f t="shared" si="980"/>
        <v>845702.42200000014</v>
      </c>
      <c r="R503">
        <f t="shared" si="981"/>
        <v>-179927413.1225498</v>
      </c>
      <c r="S503">
        <f t="shared" si="982"/>
        <v>-1799.274131225498</v>
      </c>
      <c r="T503">
        <f t="shared" si="983"/>
        <v>-1.7992741312254981</v>
      </c>
    </row>
    <row r="504" spans="1:20" x14ac:dyDescent="0.25">
      <c r="A504" s="5">
        <v>44089</v>
      </c>
      <c r="B504">
        <v>0.24610000000000001</v>
      </c>
      <c r="C504">
        <v>0.26</v>
      </c>
      <c r="D504">
        <v>0.22220000000000001</v>
      </c>
      <c r="E504">
        <v>0.22500000000000001</v>
      </c>
      <c r="F504">
        <v>5219552.71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-0.85185185185185197</v>
      </c>
      <c r="Q504">
        <f t="shared" si="980"/>
        <v>-4446285.6418518526</v>
      </c>
      <c r="R504">
        <f t="shared" si="981"/>
        <v>-180773115.54454979</v>
      </c>
      <c r="S504">
        <f t="shared" si="982"/>
        <v>-1807.731155445498</v>
      </c>
      <c r="T504">
        <f t="shared" si="983"/>
        <v>-1.807731155445498</v>
      </c>
    </row>
    <row r="505" spans="1:20" x14ac:dyDescent="0.25">
      <c r="A505" s="5">
        <v>44088</v>
      </c>
      <c r="B505">
        <v>0.2389</v>
      </c>
      <c r="C505">
        <v>0.2487</v>
      </c>
      <c r="D505">
        <v>0.2301</v>
      </c>
      <c r="E505">
        <v>0.247</v>
      </c>
      <c r="F505">
        <v>3990521.17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0.81720430107526809</v>
      </c>
      <c r="Q505">
        <f t="shared" si="980"/>
        <v>3261071.063655911</v>
      </c>
      <c r="R505">
        <f t="shared" si="981"/>
        <v>-176326829.90269795</v>
      </c>
      <c r="S505">
        <f t="shared" si="982"/>
        <v>-1763.2682990269795</v>
      </c>
      <c r="T505">
        <f t="shared" si="983"/>
        <v>-1.7632682990269795</v>
      </c>
    </row>
    <row r="506" spans="1:20" x14ac:dyDescent="0.25">
      <c r="A506" s="5">
        <v>44087</v>
      </c>
      <c r="B506">
        <v>0.26140000000000002</v>
      </c>
      <c r="C506">
        <v>0.26469999999999999</v>
      </c>
      <c r="D506">
        <v>0.22600000000000001</v>
      </c>
      <c r="E506">
        <v>0.2382</v>
      </c>
      <c r="F506">
        <v>5881588.3700000001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-0.36950904392764894</v>
      </c>
      <c r="Q506">
        <f t="shared" si="980"/>
        <v>-2173300.0953746792</v>
      </c>
      <c r="R506">
        <f t="shared" si="981"/>
        <v>-179587900.96635386</v>
      </c>
      <c r="S506">
        <f t="shared" si="982"/>
        <v>-1795.8790096635387</v>
      </c>
      <c r="T506">
        <f t="shared" si="983"/>
        <v>-1.7958790096635386</v>
      </c>
    </row>
    <row r="507" spans="1:20" x14ac:dyDescent="0.25">
      <c r="A507" s="5">
        <v>44086</v>
      </c>
      <c r="B507">
        <v>0.25159999999999999</v>
      </c>
      <c r="C507">
        <v>0.2697</v>
      </c>
      <c r="D507">
        <v>0.24790000000000001</v>
      </c>
      <c r="E507">
        <v>0.26200000000000001</v>
      </c>
      <c r="F507">
        <v>3800385.51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0.29357798165137711</v>
      </c>
      <c r="Q507">
        <f t="shared" si="980"/>
        <v>1115709.5075229395</v>
      </c>
      <c r="R507">
        <f t="shared" si="981"/>
        <v>-177414600.87097919</v>
      </c>
      <c r="S507">
        <f t="shared" si="982"/>
        <v>-1774.1460087097919</v>
      </c>
      <c r="T507">
        <f t="shared" si="983"/>
        <v>-1.7741460087097918</v>
      </c>
    </row>
    <row r="508" spans="1:20" x14ac:dyDescent="0.25">
      <c r="A508" s="5">
        <v>44085</v>
      </c>
      <c r="B508">
        <v>0.26050000000000001</v>
      </c>
      <c r="C508">
        <v>0.26190000000000002</v>
      </c>
      <c r="D508">
        <v>0.24</v>
      </c>
      <c r="E508">
        <v>0.25159999999999999</v>
      </c>
      <c r="F508">
        <v>3222707.1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5.9360730593605755E-2</v>
      </c>
      <c r="Q508">
        <f t="shared" si="980"/>
        <v>191302.24794520048</v>
      </c>
      <c r="R508">
        <f t="shared" si="981"/>
        <v>-178530310.37850213</v>
      </c>
      <c r="S508">
        <f t="shared" si="982"/>
        <v>-1785.3031037850212</v>
      </c>
      <c r="T508">
        <f t="shared" si="983"/>
        <v>-1.7853031037850213</v>
      </c>
    </row>
    <row r="509" spans="1:20" x14ac:dyDescent="0.25">
      <c r="A509" s="5">
        <v>44084</v>
      </c>
      <c r="B509">
        <v>0.25280000000000002</v>
      </c>
      <c r="C509">
        <v>0.27100000000000002</v>
      </c>
      <c r="D509">
        <v>0.24709999999999999</v>
      </c>
      <c r="E509">
        <v>0.26040000000000002</v>
      </c>
      <c r="F509">
        <v>5639458.5099999998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0.11297071129707247</v>
      </c>
      <c r="Q509">
        <f t="shared" si="980"/>
        <v>637093.63920502842</v>
      </c>
      <c r="R509">
        <f t="shared" si="981"/>
        <v>-178721612.62644732</v>
      </c>
      <c r="S509">
        <f t="shared" si="982"/>
        <v>-1787.2161262644731</v>
      </c>
      <c r="T509">
        <f t="shared" si="983"/>
        <v>-1.7872161262644732</v>
      </c>
    </row>
    <row r="510" spans="1:20" x14ac:dyDescent="0.25">
      <c r="A510" s="5">
        <v>44083</v>
      </c>
      <c r="B510">
        <v>0.23039999999999999</v>
      </c>
      <c r="C510">
        <v>0.26429999999999998</v>
      </c>
      <c r="D510">
        <v>0.22789999999999999</v>
      </c>
      <c r="E510">
        <v>0.25280000000000002</v>
      </c>
      <c r="F510">
        <v>7812514.7199999997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0.36813186813187043</v>
      </c>
      <c r="Q510">
        <f t="shared" si="980"/>
        <v>2876035.6386813368</v>
      </c>
      <c r="R510">
        <f t="shared" si="981"/>
        <v>-179358706.26565236</v>
      </c>
      <c r="S510">
        <f t="shared" si="982"/>
        <v>-1793.5870626565236</v>
      </c>
      <c r="T510">
        <f t="shared" si="983"/>
        <v>-1.7935870626565236</v>
      </c>
    </row>
    <row r="511" spans="1:20" x14ac:dyDescent="0.25">
      <c r="A511" s="5">
        <v>44082</v>
      </c>
      <c r="B511">
        <v>0.255</v>
      </c>
      <c r="C511">
        <v>0.2616</v>
      </c>
      <c r="D511">
        <v>0.22170000000000001</v>
      </c>
      <c r="E511">
        <v>0.23</v>
      </c>
      <c r="F511">
        <v>7781694.5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-0.58395989974937323</v>
      </c>
      <c r="Q511">
        <f t="shared" si="980"/>
        <v>-4544197.5401002495</v>
      </c>
      <c r="R511">
        <f t="shared" si="981"/>
        <v>-182234741.90433368</v>
      </c>
      <c r="S511">
        <f t="shared" si="982"/>
        <v>-1822.3474190433369</v>
      </c>
      <c r="T511">
        <f t="shared" si="983"/>
        <v>-1.8223474190433369</v>
      </c>
    </row>
    <row r="512" spans="1:20" x14ac:dyDescent="0.25">
      <c r="A512" s="5">
        <v>44081</v>
      </c>
      <c r="B512">
        <v>0.27110000000000001</v>
      </c>
      <c r="C512">
        <v>0.2717</v>
      </c>
      <c r="D512">
        <v>0.22</v>
      </c>
      <c r="E512">
        <v>0.2545</v>
      </c>
      <c r="F512">
        <v>7218695.6699999999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0.33462282398452631</v>
      </c>
      <c r="Q512">
        <f t="shared" si="980"/>
        <v>2415540.3305802722</v>
      </c>
      <c r="R512">
        <f t="shared" si="981"/>
        <v>-177690544.36423343</v>
      </c>
      <c r="S512">
        <f t="shared" si="982"/>
        <v>-1776.9054436423344</v>
      </c>
      <c r="T512">
        <f t="shared" si="983"/>
        <v>-1.7769054436423344</v>
      </c>
    </row>
    <row r="513" spans="1:20" x14ac:dyDescent="0.25">
      <c r="A513" s="5">
        <v>44080</v>
      </c>
      <c r="B513">
        <v>0.23139999999999999</v>
      </c>
      <c r="C513">
        <v>0.27989999999999998</v>
      </c>
      <c r="D513">
        <v>0.21679999999999999</v>
      </c>
      <c r="E513">
        <v>0.27060000000000001</v>
      </c>
      <c r="F513">
        <v>7707718.2800000003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0.70522979397781371</v>
      </c>
      <c r="Q513">
        <f t="shared" si="980"/>
        <v>5435712.5746434284</v>
      </c>
      <c r="R513">
        <f t="shared" si="981"/>
        <v>-180106084.6948137</v>
      </c>
      <c r="S513">
        <f t="shared" si="982"/>
        <v>-1801.0608469481369</v>
      </c>
      <c r="T513">
        <f t="shared" si="983"/>
        <v>-1.8010608469481368</v>
      </c>
    </row>
    <row r="514" spans="1:20" x14ac:dyDescent="0.25">
      <c r="A514" s="5">
        <v>44079</v>
      </c>
      <c r="B514">
        <v>0.30280000000000001</v>
      </c>
      <c r="C514">
        <v>0.31069999999999998</v>
      </c>
      <c r="D514">
        <v>0.21099999999999999</v>
      </c>
      <c r="E514">
        <v>0.23150000000000001</v>
      </c>
      <c r="F514">
        <v>10838485.41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-0.58876629889668963</v>
      </c>
      <c r="Q514">
        <f t="shared" si="980"/>
        <v>-6381334.9404914696</v>
      </c>
      <c r="R514">
        <f t="shared" si="981"/>
        <v>-185541797.26945713</v>
      </c>
      <c r="S514">
        <f t="shared" si="982"/>
        <v>-1855.4179726945713</v>
      </c>
      <c r="T514">
        <f t="shared" si="983"/>
        <v>-1.8554179726945712</v>
      </c>
    </row>
    <row r="515" spans="1:20" x14ac:dyDescent="0.25">
      <c r="A515" s="5">
        <v>44078</v>
      </c>
      <c r="B515">
        <v>0.30380000000000001</v>
      </c>
      <c r="C515">
        <v>0.32119999999999999</v>
      </c>
      <c r="D515">
        <v>0.26550000000000001</v>
      </c>
      <c r="E515">
        <v>0.30159999999999998</v>
      </c>
      <c r="F515">
        <v>8833175.1899999995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0.29622980251346442</v>
      </c>
      <c r="Q515">
        <f t="shared" si="980"/>
        <v>2616649.7421005336</v>
      </c>
      <c r="R515">
        <f t="shared" si="981"/>
        <v>-179160462.32896566</v>
      </c>
      <c r="S515">
        <f t="shared" si="982"/>
        <v>-1791.6046232896567</v>
      </c>
      <c r="T515">
        <f t="shared" si="983"/>
        <v>-1.7916046232896568</v>
      </c>
    </row>
    <row r="516" spans="1:20" x14ac:dyDescent="0.25">
      <c r="A516" s="5">
        <v>44077</v>
      </c>
      <c r="B516">
        <v>0.43109999999999998</v>
      </c>
      <c r="C516">
        <v>0.43109999999999998</v>
      </c>
      <c r="D516">
        <v>0.28100000000000003</v>
      </c>
      <c r="E516">
        <v>0.30420000000000003</v>
      </c>
      <c r="F516">
        <v>15091209.84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-0.69087275149900063</v>
      </c>
      <c r="Q516">
        <f t="shared" si="980"/>
        <v>-10426105.665609593</v>
      </c>
      <c r="R516">
        <f t="shared" si="981"/>
        <v>-181777112.0710662</v>
      </c>
      <c r="S516">
        <f t="shared" si="982"/>
        <v>-1817.771120710662</v>
      </c>
      <c r="T516">
        <f t="shared" si="983"/>
        <v>-1.8177711207106619</v>
      </c>
    </row>
    <row r="517" spans="1:20" x14ac:dyDescent="0.25">
      <c r="A517" s="5">
        <v>44076</v>
      </c>
      <c r="B517">
        <v>0.47289999999999999</v>
      </c>
      <c r="C517">
        <v>0.51049999999999995</v>
      </c>
      <c r="D517">
        <v>0.42330000000000001</v>
      </c>
      <c r="E517">
        <v>0.43140000000000001</v>
      </c>
      <c r="F517">
        <v>16695557.699999999</v>
      </c>
      <c r="G517">
        <v>0</v>
      </c>
      <c r="L517" t="s">
        <v>8</v>
      </c>
      <c r="M517" t="s">
        <v>8</v>
      </c>
      <c r="N517" t="s">
        <v>7</v>
      </c>
      <c r="P517">
        <f t="shared" si="979"/>
        <v>-0.81422018348623848</v>
      </c>
      <c r="Q517">
        <f t="shared" si="980"/>
        <v>-13593860.053899081</v>
      </c>
      <c r="R517">
        <f t="shared" si="981"/>
        <v>-171351006.4054566</v>
      </c>
      <c r="S517">
        <f t="shared" si="982"/>
        <v>-1713.5100640545661</v>
      </c>
      <c r="T517">
        <f t="shared" si="983"/>
        <v>-1.7135100640545662</v>
      </c>
    </row>
    <row r="518" spans="1:20" x14ac:dyDescent="0.25">
      <c r="A518" s="5">
        <v>44075</v>
      </c>
      <c r="B518">
        <v>0.41270000000000001</v>
      </c>
      <c r="C518">
        <v>0.499</v>
      </c>
      <c r="D518">
        <v>0.40460000000000002</v>
      </c>
      <c r="E518">
        <v>0.4748</v>
      </c>
      <c r="F518">
        <v>15060041.5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0.48728813559322026</v>
      </c>
      <c r="Q518">
        <f t="shared" ref="Q518:Q581" si="985">F518*P518</f>
        <v>7338579.5444915239</v>
      </c>
      <c r="R518">
        <f t="shared" ref="R518:R581" si="986">R519+Q518</f>
        <v>-157757146.35155752</v>
      </c>
      <c r="S518">
        <f t="shared" ref="S518:S581" si="987">R518/100000</f>
        <v>-1577.5714635155753</v>
      </c>
      <c r="T518">
        <f t="shared" ref="T518:T581" si="988">S518/1000</f>
        <v>-1.5775714635155753</v>
      </c>
    </row>
    <row r="519" spans="1:20" x14ac:dyDescent="0.25">
      <c r="A519" s="5">
        <v>44074</v>
      </c>
      <c r="B519">
        <v>0.42159999999999997</v>
      </c>
      <c r="C519">
        <v>0.44450000000000001</v>
      </c>
      <c r="D519">
        <v>0.40129999999999999</v>
      </c>
      <c r="E519">
        <v>0.41270000000000001</v>
      </c>
      <c r="F519">
        <v>6177630.7400000002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-0.47222222222222143</v>
      </c>
      <c r="Q519">
        <f t="shared" si="985"/>
        <v>-2917214.5161111061</v>
      </c>
      <c r="R519">
        <f t="shared" si="986"/>
        <v>-165095725.89604905</v>
      </c>
      <c r="S519">
        <f t="shared" si="987"/>
        <v>-1650.9572589604904</v>
      </c>
      <c r="T519">
        <f t="shared" si="988"/>
        <v>-1.6509572589604904</v>
      </c>
    </row>
    <row r="520" spans="1:20" x14ac:dyDescent="0.25">
      <c r="A520" s="5">
        <v>44073</v>
      </c>
      <c r="B520">
        <v>0.40189999999999998</v>
      </c>
      <c r="C520">
        <v>0.4355</v>
      </c>
      <c r="D520">
        <v>0.39250000000000002</v>
      </c>
      <c r="E520">
        <v>0.42170000000000002</v>
      </c>
      <c r="F520">
        <v>5628855.0300000003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0.35813953488372163</v>
      </c>
      <c r="Q520">
        <f t="shared" si="985"/>
        <v>2015915.522372097</v>
      </c>
      <c r="R520">
        <f t="shared" si="986"/>
        <v>-162178511.37993795</v>
      </c>
      <c r="S520">
        <f t="shared" si="987"/>
        <v>-1621.7851137993794</v>
      </c>
      <c r="T520">
        <f t="shared" si="988"/>
        <v>-1.6217851137993793</v>
      </c>
    </row>
    <row r="521" spans="1:20" x14ac:dyDescent="0.25">
      <c r="A521" s="5">
        <v>44072</v>
      </c>
      <c r="B521">
        <v>0.40339999999999998</v>
      </c>
      <c r="C521">
        <v>0.40670000000000001</v>
      </c>
      <c r="D521">
        <v>0.38469999999999999</v>
      </c>
      <c r="E521">
        <v>0.40329999999999999</v>
      </c>
      <c r="F521">
        <v>4835159.78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0.69090909090908992</v>
      </c>
      <c r="Q521">
        <f t="shared" si="985"/>
        <v>3340655.8479999956</v>
      </c>
      <c r="R521">
        <f t="shared" si="986"/>
        <v>-164194426.90231004</v>
      </c>
      <c r="S521">
        <f t="shared" si="987"/>
        <v>-1641.9442690231003</v>
      </c>
      <c r="T521">
        <f t="shared" si="988"/>
        <v>-1.6419442690231003</v>
      </c>
    </row>
    <row r="522" spans="1:20" x14ac:dyDescent="0.25">
      <c r="A522" s="5">
        <v>44071</v>
      </c>
      <c r="B522">
        <v>0.379</v>
      </c>
      <c r="C522">
        <v>0.41499999999999998</v>
      </c>
      <c r="D522">
        <v>0.37340000000000001</v>
      </c>
      <c r="E522">
        <v>0.40350000000000003</v>
      </c>
      <c r="F522">
        <v>5512739.0300000003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0.44711538461538641</v>
      </c>
      <c r="Q522">
        <f t="shared" si="985"/>
        <v>2464830.4316827022</v>
      </c>
      <c r="R522">
        <f t="shared" si="986"/>
        <v>-167535082.75031003</v>
      </c>
      <c r="S522">
        <f t="shared" si="987"/>
        <v>-1675.3508275031004</v>
      </c>
      <c r="T522">
        <f t="shared" si="988"/>
        <v>-1.6753508275031004</v>
      </c>
    </row>
    <row r="523" spans="1:20" x14ac:dyDescent="0.25">
      <c r="A523" s="5">
        <v>44070</v>
      </c>
      <c r="B523">
        <v>0.41499999999999998</v>
      </c>
      <c r="C523">
        <v>0.41699999999999998</v>
      </c>
      <c r="D523">
        <v>0.36459999999999998</v>
      </c>
      <c r="E523">
        <v>0.37869999999999998</v>
      </c>
      <c r="F523">
        <v>5752671.4100000001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-0.46183206106870228</v>
      </c>
      <c r="Q523">
        <f t="shared" si="985"/>
        <v>-2656768.0939312978</v>
      </c>
      <c r="R523">
        <f t="shared" si="986"/>
        <v>-169999913.18199274</v>
      </c>
      <c r="S523">
        <f t="shared" si="987"/>
        <v>-1699.9991318199275</v>
      </c>
      <c r="T523">
        <f t="shared" si="988"/>
        <v>-1.6999991318199275</v>
      </c>
    </row>
    <row r="524" spans="1:20" x14ac:dyDescent="0.25">
      <c r="A524" s="5">
        <v>44069</v>
      </c>
      <c r="B524">
        <v>0.39279999999999998</v>
      </c>
      <c r="C524">
        <v>0.41970000000000002</v>
      </c>
      <c r="D524">
        <v>0.38150000000000001</v>
      </c>
      <c r="E524">
        <v>0.41510000000000002</v>
      </c>
      <c r="F524">
        <v>4206475.34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0.75916230366492188</v>
      </c>
      <c r="Q524">
        <f t="shared" si="985"/>
        <v>3193397.5094240853</v>
      </c>
      <c r="R524">
        <f t="shared" si="986"/>
        <v>-167343145.08806145</v>
      </c>
      <c r="S524">
        <f t="shared" si="987"/>
        <v>-1673.4314508806144</v>
      </c>
      <c r="T524">
        <f t="shared" si="988"/>
        <v>-1.6734314508806145</v>
      </c>
    </row>
    <row r="525" spans="1:20" x14ac:dyDescent="0.25">
      <c r="A525" s="5">
        <v>44068</v>
      </c>
      <c r="B525">
        <v>0.4304</v>
      </c>
      <c r="C525">
        <v>0.43290000000000001</v>
      </c>
      <c r="D525">
        <v>0.36969999999999997</v>
      </c>
      <c r="E525">
        <v>0.39279999999999998</v>
      </c>
      <c r="F525">
        <v>5573471.4000000004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-0.268987341772152</v>
      </c>
      <c r="Q525">
        <f t="shared" si="985"/>
        <v>-1499193.2563291145</v>
      </c>
      <c r="R525">
        <f t="shared" si="986"/>
        <v>-170536542.59748554</v>
      </c>
      <c r="S525">
        <f t="shared" si="987"/>
        <v>-1705.3654259748555</v>
      </c>
      <c r="T525">
        <f t="shared" si="988"/>
        <v>-1.7053654259748554</v>
      </c>
    </row>
    <row r="526" spans="1:20" x14ac:dyDescent="0.25">
      <c r="A526" s="5">
        <v>44067</v>
      </c>
      <c r="B526">
        <v>0.42549999999999999</v>
      </c>
      <c r="C526">
        <v>0.44850000000000001</v>
      </c>
      <c r="D526">
        <v>0.41520000000000001</v>
      </c>
      <c r="E526">
        <v>0.4284</v>
      </c>
      <c r="F526">
        <v>4706168.18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-0.20720720720720776</v>
      </c>
      <c r="Q526">
        <f t="shared" si="985"/>
        <v>-975151.96522522776</v>
      </c>
      <c r="R526">
        <f t="shared" si="986"/>
        <v>-169037349.34115642</v>
      </c>
      <c r="S526">
        <f t="shared" si="987"/>
        <v>-1690.3734934115641</v>
      </c>
      <c r="T526">
        <f t="shared" si="988"/>
        <v>-1.6903734934115642</v>
      </c>
    </row>
    <row r="527" spans="1:20" x14ac:dyDescent="0.25">
      <c r="A527" s="5">
        <v>44066</v>
      </c>
      <c r="B527">
        <v>0.40789999999999998</v>
      </c>
      <c r="C527">
        <v>0.436</v>
      </c>
      <c r="D527">
        <v>0.39040000000000002</v>
      </c>
      <c r="E527">
        <v>0.42599999999999999</v>
      </c>
      <c r="F527">
        <v>3593094.23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0.56140350877192924</v>
      </c>
      <c r="Q527">
        <f t="shared" si="985"/>
        <v>2017175.7080701734</v>
      </c>
      <c r="R527">
        <f t="shared" si="986"/>
        <v>-168062197.3759312</v>
      </c>
      <c r="S527">
        <f t="shared" si="987"/>
        <v>-1680.6219737593121</v>
      </c>
      <c r="T527">
        <f t="shared" si="988"/>
        <v>-1.6806219737593122</v>
      </c>
    </row>
    <row r="528" spans="1:20" x14ac:dyDescent="0.25">
      <c r="A528" s="5">
        <v>44065</v>
      </c>
      <c r="B528">
        <v>0.38740000000000002</v>
      </c>
      <c r="C528">
        <v>0.41</v>
      </c>
      <c r="D528">
        <v>0.36449999999999999</v>
      </c>
      <c r="E528">
        <v>0.40920000000000001</v>
      </c>
      <c r="F528">
        <v>6015996.0899999999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0.96483516483516629</v>
      </c>
      <c r="Q528">
        <f t="shared" si="985"/>
        <v>5804444.5791428657</v>
      </c>
      <c r="R528">
        <f t="shared" si="986"/>
        <v>-170079373.08400136</v>
      </c>
      <c r="S528">
        <f t="shared" si="987"/>
        <v>-1700.7937308400137</v>
      </c>
      <c r="T528">
        <f t="shared" si="988"/>
        <v>-1.7007937308400136</v>
      </c>
    </row>
    <row r="529" spans="1:20" x14ac:dyDescent="0.25">
      <c r="A529" s="5">
        <v>44064</v>
      </c>
      <c r="B529">
        <v>0.4304</v>
      </c>
      <c r="C529">
        <v>0.47639999999999999</v>
      </c>
      <c r="D529">
        <v>0.38300000000000001</v>
      </c>
      <c r="E529">
        <v>0.38679999999999998</v>
      </c>
      <c r="F529">
        <v>8076984.8700000001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-0.91862955032119975</v>
      </c>
      <c r="Q529">
        <f t="shared" si="985"/>
        <v>-7419756.9790792344</v>
      </c>
      <c r="R529">
        <f t="shared" si="986"/>
        <v>-175883817.66314423</v>
      </c>
      <c r="S529">
        <f t="shared" si="987"/>
        <v>-1758.8381766314424</v>
      </c>
      <c r="T529">
        <f t="shared" si="988"/>
        <v>-1.7588381766314423</v>
      </c>
    </row>
    <row r="530" spans="1:20" x14ac:dyDescent="0.25">
      <c r="A530" s="5">
        <v>44063</v>
      </c>
      <c r="B530">
        <v>0.40260000000000001</v>
      </c>
      <c r="C530">
        <v>0.44890000000000002</v>
      </c>
      <c r="D530">
        <v>0.39340000000000003</v>
      </c>
      <c r="E530">
        <v>0.4304</v>
      </c>
      <c r="F530">
        <v>6359027.1200000001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0.33333333333333265</v>
      </c>
      <c r="Q530">
        <f t="shared" si="985"/>
        <v>2119675.7066666624</v>
      </c>
      <c r="R530">
        <f t="shared" si="986"/>
        <v>-168464060.68406498</v>
      </c>
      <c r="S530">
        <f t="shared" si="987"/>
        <v>-1684.6406068406498</v>
      </c>
      <c r="T530">
        <f t="shared" si="988"/>
        <v>-1.6846406068406496</v>
      </c>
    </row>
    <row r="531" spans="1:20" x14ac:dyDescent="0.25">
      <c r="A531" s="5">
        <v>44062</v>
      </c>
      <c r="B531">
        <v>0.44280000000000003</v>
      </c>
      <c r="C531">
        <v>0.45900000000000002</v>
      </c>
      <c r="D531">
        <v>0.37769999999999998</v>
      </c>
      <c r="E531">
        <v>0.40260000000000001</v>
      </c>
      <c r="F531">
        <v>9267031.5600000005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-0.38745387453874486</v>
      </c>
      <c r="Q531">
        <f t="shared" si="985"/>
        <v>-3590547.2833948294</v>
      </c>
      <c r="R531">
        <f t="shared" si="986"/>
        <v>-170583736.39073163</v>
      </c>
      <c r="S531">
        <f t="shared" si="987"/>
        <v>-1705.8373639073163</v>
      </c>
      <c r="T531">
        <f t="shared" si="988"/>
        <v>-1.7058373639073163</v>
      </c>
    </row>
    <row r="532" spans="1:20" x14ac:dyDescent="0.25">
      <c r="A532" s="5">
        <v>44061</v>
      </c>
      <c r="B532">
        <v>0.4899</v>
      </c>
      <c r="C532">
        <v>0.49390000000000001</v>
      </c>
      <c r="D532">
        <v>0.43430000000000002</v>
      </c>
      <c r="E532">
        <v>0.443</v>
      </c>
      <c r="F532">
        <v>9090894.1099999994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-0.70805369127516815</v>
      </c>
      <c r="Q532">
        <f t="shared" si="985"/>
        <v>-6436841.1315771844</v>
      </c>
      <c r="R532">
        <f t="shared" si="986"/>
        <v>-166993189.10733679</v>
      </c>
      <c r="S532">
        <f t="shared" si="987"/>
        <v>-1669.931891073368</v>
      </c>
      <c r="T532">
        <f t="shared" si="988"/>
        <v>-1.669931891073368</v>
      </c>
    </row>
    <row r="533" spans="1:20" x14ac:dyDescent="0.25">
      <c r="A533" s="5">
        <v>44060</v>
      </c>
      <c r="B533">
        <v>0.51480000000000004</v>
      </c>
      <c r="C533">
        <v>0.51480000000000004</v>
      </c>
      <c r="D533">
        <v>0.46429999999999999</v>
      </c>
      <c r="E533">
        <v>0.48959999999999998</v>
      </c>
      <c r="F533">
        <v>9326058.6899999995</v>
      </c>
      <c r="G533">
        <v>0</v>
      </c>
      <c r="L533" t="s">
        <v>7</v>
      </c>
      <c r="M533" t="s">
        <v>7</v>
      </c>
      <c r="N533" t="s">
        <v>7</v>
      </c>
      <c r="P533">
        <f t="shared" si="984"/>
        <v>1.980198019800661E-3</v>
      </c>
      <c r="Q533">
        <f t="shared" si="985"/>
        <v>18467.442950482746</v>
      </c>
      <c r="R533">
        <f t="shared" si="986"/>
        <v>-160556347.9757596</v>
      </c>
      <c r="S533">
        <f t="shared" si="987"/>
        <v>-1605.563479757596</v>
      </c>
      <c r="T533">
        <f t="shared" si="988"/>
        <v>-1.6055634797575959</v>
      </c>
    </row>
    <row r="534" spans="1:20" x14ac:dyDescent="0.25">
      <c r="A534" s="5">
        <v>44059</v>
      </c>
      <c r="B534">
        <v>0.4708</v>
      </c>
      <c r="C534">
        <v>0.52949999999999997</v>
      </c>
      <c r="D534">
        <v>0.46</v>
      </c>
      <c r="E534">
        <v>0.51480000000000004</v>
      </c>
      <c r="F534">
        <v>11100949.859999999</v>
      </c>
      <c r="G534">
        <v>0</v>
      </c>
      <c r="L534" t="s">
        <v>8</v>
      </c>
      <c r="M534" t="s">
        <v>7</v>
      </c>
      <c r="N534" t="s">
        <v>7</v>
      </c>
      <c r="P534">
        <f t="shared" si="984"/>
        <v>0.57697841726618859</v>
      </c>
      <c r="Q534">
        <f t="shared" si="985"/>
        <v>6405008.4803741174</v>
      </c>
      <c r="R534">
        <f t="shared" si="986"/>
        <v>-160574815.41871008</v>
      </c>
      <c r="S534">
        <f t="shared" si="987"/>
        <v>-1605.7481541871009</v>
      </c>
      <c r="T534">
        <f t="shared" si="988"/>
        <v>-1.6057481541871008</v>
      </c>
    </row>
    <row r="535" spans="1:20" x14ac:dyDescent="0.25">
      <c r="A535" s="5">
        <v>44058</v>
      </c>
      <c r="B535">
        <v>0.48060000000000003</v>
      </c>
      <c r="C535">
        <v>0.51200000000000001</v>
      </c>
      <c r="D535">
        <v>0.45300000000000001</v>
      </c>
      <c r="E535">
        <v>0.47039999999999998</v>
      </c>
      <c r="F535">
        <v>10665397.82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-0.4101694915254247</v>
      </c>
      <c r="Q535">
        <f t="shared" si="985"/>
        <v>-4374620.8007457731</v>
      </c>
      <c r="R535">
        <f t="shared" si="986"/>
        <v>-166979823.89908421</v>
      </c>
      <c r="S535">
        <f t="shared" si="987"/>
        <v>-1669.798238990842</v>
      </c>
      <c r="T535">
        <f t="shared" si="988"/>
        <v>-1.6697982389908421</v>
      </c>
    </row>
    <row r="536" spans="1:20" x14ac:dyDescent="0.25">
      <c r="A536" s="5">
        <v>44057</v>
      </c>
      <c r="B536">
        <v>0.504</v>
      </c>
      <c r="C536">
        <v>0.55330000000000001</v>
      </c>
      <c r="D536">
        <v>0.47260000000000002</v>
      </c>
      <c r="E536">
        <v>0.48060000000000003</v>
      </c>
      <c r="F536">
        <v>12510336.6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-0.80173482032218069</v>
      </c>
      <c r="Q536">
        <f t="shared" si="985"/>
        <v>-10029972.466171</v>
      </c>
      <c r="R536">
        <f t="shared" si="986"/>
        <v>-162605203.09833843</v>
      </c>
      <c r="S536">
        <f t="shared" si="987"/>
        <v>-1626.0520309833842</v>
      </c>
      <c r="T536">
        <f t="shared" si="988"/>
        <v>-1.6260520309833841</v>
      </c>
    </row>
    <row r="537" spans="1:20" x14ac:dyDescent="0.25">
      <c r="A537" s="5">
        <v>44056</v>
      </c>
      <c r="B537">
        <v>0.54</v>
      </c>
      <c r="C537">
        <v>0.64259999999999995</v>
      </c>
      <c r="D537">
        <v>0.46400000000000002</v>
      </c>
      <c r="E537">
        <v>0.50319999999999998</v>
      </c>
      <c r="F537">
        <v>47722422.890000001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-0.56103023516237427</v>
      </c>
      <c r="Q537">
        <f t="shared" si="985"/>
        <v>-26773722.136494972</v>
      </c>
      <c r="R537">
        <f t="shared" si="986"/>
        <v>-152575230.63216743</v>
      </c>
      <c r="S537">
        <f t="shared" si="987"/>
        <v>-1525.7523063216743</v>
      </c>
      <c r="T537">
        <f t="shared" si="988"/>
        <v>-1.5257523063216742</v>
      </c>
    </row>
    <row r="538" spans="1:20" x14ac:dyDescent="0.25">
      <c r="A538" s="5">
        <v>44055</v>
      </c>
      <c r="B538">
        <v>0.41639999999999999</v>
      </c>
      <c r="C538">
        <v>0.58330000000000004</v>
      </c>
      <c r="D538">
        <v>0.38800000000000001</v>
      </c>
      <c r="E538">
        <v>0.54</v>
      </c>
      <c r="F538">
        <v>25845732.899999999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0.5565796210957501</v>
      </c>
      <c r="Q538">
        <f t="shared" si="985"/>
        <v>14385208.224423962</v>
      </c>
      <c r="R538">
        <f t="shared" si="986"/>
        <v>-125801508.49567245</v>
      </c>
      <c r="S538">
        <f t="shared" si="987"/>
        <v>-1258.0150849567244</v>
      </c>
      <c r="T538">
        <f t="shared" si="988"/>
        <v>-1.2580150849567244</v>
      </c>
    </row>
    <row r="539" spans="1:20" x14ac:dyDescent="0.25">
      <c r="A539" s="5">
        <v>44054</v>
      </c>
      <c r="B539">
        <v>0.42059999999999997</v>
      </c>
      <c r="C539">
        <v>0.45450000000000002</v>
      </c>
      <c r="D539">
        <v>0.36699999999999999</v>
      </c>
      <c r="E539">
        <v>0.41489999999999999</v>
      </c>
      <c r="F539">
        <v>14361832.68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9.4857142857142543E-2</v>
      </c>
      <c r="Q539">
        <f t="shared" si="985"/>
        <v>1362322.4142171384</v>
      </c>
      <c r="R539">
        <f t="shared" si="986"/>
        <v>-140186716.72009641</v>
      </c>
      <c r="S539">
        <f t="shared" si="987"/>
        <v>-1401.8671672009641</v>
      </c>
      <c r="T539">
        <f t="shared" si="988"/>
        <v>-1.4018671672009642</v>
      </c>
    </row>
    <row r="540" spans="1:20" x14ac:dyDescent="0.25">
      <c r="A540" s="5">
        <v>44053</v>
      </c>
      <c r="B540">
        <v>0.38800000000000001</v>
      </c>
      <c r="C540">
        <v>0.43109999999999998</v>
      </c>
      <c r="D540">
        <v>0.35</v>
      </c>
      <c r="E540">
        <v>0.42099999999999999</v>
      </c>
      <c r="F540">
        <v>12597637.5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0.75092478421701614</v>
      </c>
      <c r="Q540">
        <f t="shared" si="985"/>
        <v>9459878.2213316914</v>
      </c>
      <c r="R540">
        <f t="shared" si="986"/>
        <v>-141549039.13431355</v>
      </c>
      <c r="S540">
        <f t="shared" si="987"/>
        <v>-1415.4903913431356</v>
      </c>
      <c r="T540">
        <f t="shared" si="988"/>
        <v>-1.4154903913431356</v>
      </c>
    </row>
    <row r="541" spans="1:20" x14ac:dyDescent="0.25">
      <c r="A541" s="5">
        <v>44052</v>
      </c>
      <c r="B541">
        <v>0.36759999999999998</v>
      </c>
      <c r="C541">
        <v>0.3926</v>
      </c>
      <c r="D541">
        <v>0.35010000000000002</v>
      </c>
      <c r="E541">
        <v>0.38769999999999999</v>
      </c>
      <c r="F541">
        <v>7117950.1399999997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0.76941176470588157</v>
      </c>
      <c r="Q541">
        <f t="shared" si="985"/>
        <v>5476634.5783058768</v>
      </c>
      <c r="R541">
        <f t="shared" si="986"/>
        <v>-151008917.35564524</v>
      </c>
      <c r="S541">
        <f t="shared" si="987"/>
        <v>-1510.0891735564524</v>
      </c>
      <c r="T541">
        <f t="shared" si="988"/>
        <v>-1.5100891735564523</v>
      </c>
    </row>
    <row r="542" spans="1:20" x14ac:dyDescent="0.25">
      <c r="A542" s="5">
        <v>44051</v>
      </c>
      <c r="B542">
        <v>0.33860000000000001</v>
      </c>
      <c r="C542">
        <v>0.37690000000000001</v>
      </c>
      <c r="D542">
        <v>0.33040000000000003</v>
      </c>
      <c r="E542">
        <v>0.36609999999999998</v>
      </c>
      <c r="F542">
        <v>7850276.2699999996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0.53548387096774042</v>
      </c>
      <c r="Q542">
        <f t="shared" si="985"/>
        <v>4203696.3252257947</v>
      </c>
      <c r="R542">
        <f t="shared" si="986"/>
        <v>-156485551.93395111</v>
      </c>
      <c r="S542">
        <f t="shared" si="987"/>
        <v>-1564.8555193395111</v>
      </c>
      <c r="T542">
        <f t="shared" si="988"/>
        <v>-1.5648555193395111</v>
      </c>
    </row>
    <row r="543" spans="1:20" x14ac:dyDescent="0.25">
      <c r="A543" s="5">
        <v>44050</v>
      </c>
      <c r="B543">
        <v>0.31909999999999999</v>
      </c>
      <c r="C543">
        <v>0.34329999999999999</v>
      </c>
      <c r="D543">
        <v>0.31790000000000002</v>
      </c>
      <c r="E543">
        <v>0.33939999999999998</v>
      </c>
      <c r="F543">
        <v>7591833.0099999998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0.6929133858267702</v>
      </c>
      <c r="Q543">
        <f t="shared" si="985"/>
        <v>5260482.7155905403</v>
      </c>
      <c r="R543">
        <f t="shared" si="986"/>
        <v>-160689248.25917691</v>
      </c>
      <c r="S543">
        <f t="shared" si="987"/>
        <v>-1606.8924825917691</v>
      </c>
      <c r="T543">
        <f t="shared" si="988"/>
        <v>-1.606892482591769</v>
      </c>
    </row>
    <row r="544" spans="1:20" x14ac:dyDescent="0.25">
      <c r="A544" s="5">
        <v>44049</v>
      </c>
      <c r="B544">
        <v>0.30309999999999998</v>
      </c>
      <c r="C544">
        <v>0.32850000000000001</v>
      </c>
      <c r="D544">
        <v>0.29909999999999998</v>
      </c>
      <c r="E544">
        <v>0.31900000000000001</v>
      </c>
      <c r="F544">
        <v>9496051.8800000008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0.35374149659863968</v>
      </c>
      <c r="Q544">
        <f t="shared" si="985"/>
        <v>3359147.6038095262</v>
      </c>
      <c r="R544">
        <f t="shared" si="986"/>
        <v>-165949730.97476745</v>
      </c>
      <c r="S544">
        <f t="shared" si="987"/>
        <v>-1659.4973097476745</v>
      </c>
      <c r="T544">
        <f t="shared" si="988"/>
        <v>-1.6594973097476746</v>
      </c>
    </row>
    <row r="545" spans="1:20" x14ac:dyDescent="0.25">
      <c r="A545" s="5">
        <v>44048</v>
      </c>
      <c r="B545">
        <v>0.31259999999999999</v>
      </c>
      <c r="C545">
        <v>0.31319999999999998</v>
      </c>
      <c r="D545">
        <v>0.29380000000000001</v>
      </c>
      <c r="E545">
        <v>0.30370000000000003</v>
      </c>
      <c r="F545">
        <v>9105981.2200000007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2.0618556701034407E-2</v>
      </c>
      <c r="Q545">
        <f t="shared" si="985"/>
        <v>187752.19010312448</v>
      </c>
      <c r="R545">
        <f t="shared" si="986"/>
        <v>-169308878.57857698</v>
      </c>
      <c r="S545">
        <f t="shared" si="987"/>
        <v>-1693.0887857857699</v>
      </c>
      <c r="T545">
        <f t="shared" si="988"/>
        <v>-1.6930887857857699</v>
      </c>
    </row>
    <row r="546" spans="1:20" x14ac:dyDescent="0.25">
      <c r="A546" s="5">
        <v>44047</v>
      </c>
      <c r="B546">
        <v>0.31840000000000002</v>
      </c>
      <c r="C546">
        <v>0.31869999999999998</v>
      </c>
      <c r="D546">
        <v>0.30359999999999998</v>
      </c>
      <c r="E546">
        <v>0.31259999999999999</v>
      </c>
      <c r="F546">
        <v>2652524.04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0.1920529801324512</v>
      </c>
      <c r="Q546">
        <f t="shared" si="985"/>
        <v>509425.1467549692</v>
      </c>
      <c r="R546">
        <f t="shared" si="986"/>
        <v>-169496630.7686801</v>
      </c>
      <c r="S546">
        <f t="shared" si="987"/>
        <v>-1694.966307686801</v>
      </c>
      <c r="T546">
        <f t="shared" si="988"/>
        <v>-1.6949663076868009</v>
      </c>
    </row>
    <row r="547" spans="1:20" x14ac:dyDescent="0.25">
      <c r="A547" s="5">
        <v>44046</v>
      </c>
      <c r="B547">
        <v>0.30980000000000002</v>
      </c>
      <c r="C547">
        <v>0.32250000000000001</v>
      </c>
      <c r="D547">
        <v>0.30690000000000001</v>
      </c>
      <c r="E547">
        <v>0.31850000000000001</v>
      </c>
      <c r="F547">
        <v>2533781.15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0.48717948717948684</v>
      </c>
      <c r="Q547">
        <f t="shared" si="985"/>
        <v>1234406.2012820505</v>
      </c>
      <c r="R547">
        <f t="shared" si="986"/>
        <v>-170006055.91543508</v>
      </c>
      <c r="S547">
        <f t="shared" si="987"/>
        <v>-1700.0605591543508</v>
      </c>
      <c r="T547">
        <f t="shared" si="988"/>
        <v>-1.7000605591543507</v>
      </c>
    </row>
    <row r="548" spans="1:20" x14ac:dyDescent="0.25">
      <c r="A548" s="5">
        <v>44045</v>
      </c>
      <c r="B548">
        <v>0.30809999999999998</v>
      </c>
      <c r="C548">
        <v>0.32769999999999999</v>
      </c>
      <c r="D548">
        <v>0.25159999999999999</v>
      </c>
      <c r="E548">
        <v>0.30969999999999998</v>
      </c>
      <c r="F548">
        <v>6289587.0499999998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0.52693823915900095</v>
      </c>
      <c r="Q548">
        <f t="shared" si="985"/>
        <v>3314223.9251642553</v>
      </c>
      <c r="R548">
        <f t="shared" si="986"/>
        <v>-171240462.11671713</v>
      </c>
      <c r="S548">
        <f t="shared" si="987"/>
        <v>-1712.4046211671714</v>
      </c>
      <c r="T548">
        <f t="shared" si="988"/>
        <v>-1.7124046211671713</v>
      </c>
    </row>
    <row r="549" spans="1:20" x14ac:dyDescent="0.25">
      <c r="A549" s="5">
        <v>44044</v>
      </c>
      <c r="B549">
        <v>0.31</v>
      </c>
      <c r="C549">
        <v>0.32040000000000002</v>
      </c>
      <c r="D549">
        <v>0.3</v>
      </c>
      <c r="E549">
        <v>0.30809999999999998</v>
      </c>
      <c r="F549">
        <v>3481564.51</v>
      </c>
      <c r="G549">
        <v>0</v>
      </c>
      <c r="L549" t="s">
        <v>7</v>
      </c>
      <c r="M549" t="s">
        <v>7</v>
      </c>
      <c r="N549" t="s">
        <v>7</v>
      </c>
      <c r="P549">
        <f t="shared" si="984"/>
        <v>-0.20588235294117799</v>
      </c>
      <c r="Q549">
        <f t="shared" si="985"/>
        <v>-716792.69323529932</v>
      </c>
      <c r="R549">
        <f t="shared" si="986"/>
        <v>-174554686.04188138</v>
      </c>
      <c r="S549">
        <f t="shared" si="987"/>
        <v>-1745.5468604188138</v>
      </c>
      <c r="T549">
        <f t="shared" si="988"/>
        <v>-1.7455468604188138</v>
      </c>
    </row>
    <row r="550" spans="1:20" x14ac:dyDescent="0.25">
      <c r="A550" s="5">
        <v>44043</v>
      </c>
      <c r="B550">
        <v>0.32890000000000003</v>
      </c>
      <c r="C550">
        <v>0.33040000000000003</v>
      </c>
      <c r="D550">
        <v>0.30420000000000003</v>
      </c>
      <c r="E550">
        <v>0.31</v>
      </c>
      <c r="F550">
        <v>2523325.2999999998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-0.55725190839694871</v>
      </c>
      <c r="Q550">
        <f t="shared" si="985"/>
        <v>-1406127.838931303</v>
      </c>
      <c r="R550">
        <f t="shared" si="986"/>
        <v>-173837893.34864607</v>
      </c>
      <c r="S550">
        <f t="shared" si="987"/>
        <v>-1738.3789334864607</v>
      </c>
      <c r="T550">
        <f t="shared" si="988"/>
        <v>-1.7383789334864608</v>
      </c>
    </row>
    <row r="551" spans="1:20" x14ac:dyDescent="0.25">
      <c r="A551" s="5">
        <v>44042</v>
      </c>
      <c r="B551">
        <v>0.32040000000000002</v>
      </c>
      <c r="C551">
        <v>0.33639999999999998</v>
      </c>
      <c r="D551">
        <v>0.31809999999999999</v>
      </c>
      <c r="E551">
        <v>0.32850000000000001</v>
      </c>
      <c r="F551">
        <v>2970101.68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0.13661202185792679</v>
      </c>
      <c r="Q551">
        <f t="shared" si="985"/>
        <v>405751.59562842507</v>
      </c>
      <c r="R551">
        <f t="shared" si="986"/>
        <v>-172431765.50971478</v>
      </c>
      <c r="S551">
        <f t="shared" si="987"/>
        <v>-1724.3176550971477</v>
      </c>
      <c r="T551">
        <f t="shared" si="988"/>
        <v>-1.7243176550971477</v>
      </c>
    </row>
    <row r="552" spans="1:20" x14ac:dyDescent="0.25">
      <c r="A552" s="5">
        <v>44041</v>
      </c>
      <c r="B552">
        <v>0.32079999999999997</v>
      </c>
      <c r="C552">
        <v>0.34160000000000001</v>
      </c>
      <c r="D552">
        <v>0.31690000000000002</v>
      </c>
      <c r="E552">
        <v>0.32040000000000002</v>
      </c>
      <c r="F552">
        <v>5636198.0700000003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-0.71659919028340058</v>
      </c>
      <c r="Q552">
        <f t="shared" si="985"/>
        <v>-4038894.9732388654</v>
      </c>
      <c r="R552">
        <f t="shared" si="986"/>
        <v>-172837517.10534319</v>
      </c>
      <c r="S552">
        <f t="shared" si="987"/>
        <v>-1728.375171053432</v>
      </c>
      <c r="T552">
        <f t="shared" si="988"/>
        <v>-1.7283751710534321</v>
      </c>
    </row>
    <row r="553" spans="1:20" x14ac:dyDescent="0.25">
      <c r="A553" s="5">
        <v>44040</v>
      </c>
      <c r="B553">
        <v>0.30070000000000002</v>
      </c>
      <c r="C553">
        <v>0.32500000000000001</v>
      </c>
      <c r="D553">
        <v>0.29499999999999998</v>
      </c>
      <c r="E553">
        <v>0.32100000000000001</v>
      </c>
      <c r="F553">
        <v>5824732.5700000003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0.73333333333333328</v>
      </c>
      <c r="Q553">
        <f t="shared" si="985"/>
        <v>4271470.5513333334</v>
      </c>
      <c r="R553">
        <f t="shared" si="986"/>
        <v>-168798622.13210434</v>
      </c>
      <c r="S553">
        <f t="shared" si="987"/>
        <v>-1687.9862213210433</v>
      </c>
      <c r="T553">
        <f t="shared" si="988"/>
        <v>-1.6879862213210433</v>
      </c>
    </row>
    <row r="554" spans="1:20" x14ac:dyDescent="0.25">
      <c r="A554" s="5">
        <v>44039</v>
      </c>
      <c r="B554">
        <v>0.31680000000000003</v>
      </c>
      <c r="C554">
        <v>0.33510000000000001</v>
      </c>
      <c r="D554">
        <v>0.28999999999999998</v>
      </c>
      <c r="E554">
        <v>0.3009</v>
      </c>
      <c r="F554">
        <v>10641249.23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-0.51662971175166239</v>
      </c>
      <c r="Q554">
        <f t="shared" si="985"/>
        <v>-5497585.5223725</v>
      </c>
      <c r="R554">
        <f t="shared" si="986"/>
        <v>-173070092.68343768</v>
      </c>
      <c r="S554">
        <f t="shared" si="987"/>
        <v>-1730.7009268343768</v>
      </c>
      <c r="T554">
        <f t="shared" si="988"/>
        <v>-1.7307009268343767</v>
      </c>
    </row>
    <row r="555" spans="1:20" x14ac:dyDescent="0.25">
      <c r="A555" s="5">
        <v>44038</v>
      </c>
      <c r="B555">
        <v>0.32869999999999999</v>
      </c>
      <c r="C555">
        <v>0.32950000000000002</v>
      </c>
      <c r="D555">
        <v>0.29580000000000001</v>
      </c>
      <c r="E555">
        <v>0.31630000000000003</v>
      </c>
      <c r="F555">
        <v>8150884.9100000001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0.21661721068249337</v>
      </c>
      <c r="Q555">
        <f t="shared" si="985"/>
        <v>1765621.9537982261</v>
      </c>
      <c r="R555">
        <f t="shared" si="986"/>
        <v>-167572507.16106516</v>
      </c>
      <c r="S555">
        <f t="shared" si="987"/>
        <v>-1675.7250716106516</v>
      </c>
      <c r="T555">
        <f t="shared" si="988"/>
        <v>-1.6757250716106515</v>
      </c>
    </row>
    <row r="556" spans="1:20" x14ac:dyDescent="0.25">
      <c r="A556" s="5">
        <v>44037</v>
      </c>
      <c r="B556">
        <v>0.33860000000000001</v>
      </c>
      <c r="C556">
        <v>0.34670000000000001</v>
      </c>
      <c r="D556">
        <v>0.32050000000000001</v>
      </c>
      <c r="E556">
        <v>0.32869999999999999</v>
      </c>
      <c r="F556">
        <v>6768967.04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-0.37404580152671874</v>
      </c>
      <c r="Q556">
        <f t="shared" si="985"/>
        <v>-2531903.7019847408</v>
      </c>
      <c r="R556">
        <f t="shared" si="986"/>
        <v>-169338129.1148634</v>
      </c>
      <c r="S556">
        <f t="shared" si="987"/>
        <v>-1693.3812911486339</v>
      </c>
      <c r="T556">
        <f t="shared" si="988"/>
        <v>-1.6933812911486339</v>
      </c>
    </row>
    <row r="557" spans="1:20" x14ac:dyDescent="0.25">
      <c r="A557" s="5">
        <v>44036</v>
      </c>
      <c r="B557">
        <v>0.35849999999999999</v>
      </c>
      <c r="C557">
        <v>0.3644</v>
      </c>
      <c r="D557">
        <v>0.33400000000000002</v>
      </c>
      <c r="E557">
        <v>0.33860000000000001</v>
      </c>
      <c r="F557">
        <v>4262168.07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-0.69736842105263186</v>
      </c>
      <c r="Q557">
        <f t="shared" si="985"/>
        <v>-2972301.4172368436</v>
      </c>
      <c r="R557">
        <f t="shared" si="986"/>
        <v>-166806225.41287866</v>
      </c>
      <c r="S557">
        <f t="shared" si="987"/>
        <v>-1668.0622541287867</v>
      </c>
      <c r="T557">
        <f t="shared" si="988"/>
        <v>-1.6680622541287866</v>
      </c>
    </row>
    <row r="558" spans="1:20" x14ac:dyDescent="0.25">
      <c r="A558" s="5">
        <v>44035</v>
      </c>
      <c r="B558">
        <v>0.36170000000000002</v>
      </c>
      <c r="C558">
        <v>0.37459999999999999</v>
      </c>
      <c r="D558">
        <v>0.35010000000000002</v>
      </c>
      <c r="E558">
        <v>0.35849999999999999</v>
      </c>
      <c r="F558">
        <v>4863962.25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-0.31428571428571633</v>
      </c>
      <c r="Q558">
        <f t="shared" si="985"/>
        <v>-1528673.8500000099</v>
      </c>
      <c r="R558">
        <f t="shared" si="986"/>
        <v>-163833923.99564183</v>
      </c>
      <c r="S558">
        <f t="shared" si="987"/>
        <v>-1638.3392399564182</v>
      </c>
      <c r="T558">
        <f t="shared" si="988"/>
        <v>-1.6383392399564181</v>
      </c>
    </row>
    <row r="559" spans="1:20" x14ac:dyDescent="0.25">
      <c r="A559" s="5">
        <v>44034</v>
      </c>
      <c r="B559">
        <v>0.35610000000000003</v>
      </c>
      <c r="C559">
        <v>0.38879999999999998</v>
      </c>
      <c r="D559">
        <v>0.34499999999999997</v>
      </c>
      <c r="E559">
        <v>0.36270000000000002</v>
      </c>
      <c r="F559">
        <v>6785079.4000000004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-0.19178082191780607</v>
      </c>
      <c r="Q559">
        <f t="shared" si="985"/>
        <v>-1301248.1041095746</v>
      </c>
      <c r="R559">
        <f t="shared" si="986"/>
        <v>-162305250.1456418</v>
      </c>
      <c r="S559">
        <f t="shared" si="987"/>
        <v>-1623.052501456418</v>
      </c>
      <c r="T559">
        <f t="shared" si="988"/>
        <v>-1.6230525014564179</v>
      </c>
    </row>
    <row r="560" spans="1:20" x14ac:dyDescent="0.25">
      <c r="A560" s="5">
        <v>44033</v>
      </c>
      <c r="B560">
        <v>0.36030000000000001</v>
      </c>
      <c r="C560">
        <v>0.38080000000000003</v>
      </c>
      <c r="D560">
        <v>0.3397</v>
      </c>
      <c r="E560">
        <v>0.35599999999999998</v>
      </c>
      <c r="F560">
        <v>9529879.25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-0.20681265206812793</v>
      </c>
      <c r="Q560">
        <f t="shared" si="985"/>
        <v>-1970899.601581522</v>
      </c>
      <c r="R560">
        <f t="shared" si="986"/>
        <v>-161004002.04153222</v>
      </c>
      <c r="S560">
        <f t="shared" si="987"/>
        <v>-1610.0400204153223</v>
      </c>
      <c r="T560">
        <f t="shared" si="988"/>
        <v>-1.6100400204153222</v>
      </c>
    </row>
    <row r="561" spans="1:104" x14ac:dyDescent="0.25">
      <c r="A561" s="5">
        <v>44032</v>
      </c>
      <c r="B561">
        <v>0.40050000000000002</v>
      </c>
      <c r="C561">
        <v>0.43859999999999999</v>
      </c>
      <c r="D561">
        <v>0.34810000000000002</v>
      </c>
      <c r="E561">
        <v>0.36049999999999999</v>
      </c>
      <c r="F561">
        <v>18068453.379999999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-0.72596685082872991</v>
      </c>
      <c r="Q561">
        <f t="shared" si="985"/>
        <v>-13117098.19962432</v>
      </c>
      <c r="R561">
        <f t="shared" si="986"/>
        <v>-159033102.4399507</v>
      </c>
      <c r="S561">
        <f t="shared" si="987"/>
        <v>-1590.331024399507</v>
      </c>
      <c r="T561">
        <f t="shared" si="988"/>
        <v>-1.590331024399507</v>
      </c>
      <c r="CZ561" t="s">
        <v>7</v>
      </c>
    </row>
    <row r="562" spans="1:104" x14ac:dyDescent="0.25">
      <c r="A562" s="5">
        <v>44031</v>
      </c>
      <c r="B562">
        <v>0.32019999999999998</v>
      </c>
      <c r="C562">
        <v>0.4098</v>
      </c>
      <c r="D562">
        <v>0.31890000000000002</v>
      </c>
      <c r="E562">
        <v>0.4</v>
      </c>
      <c r="F562">
        <v>22981959.629999999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0.78437843784378491</v>
      </c>
      <c r="Q562">
        <f t="shared" si="985"/>
        <v>18026553.593168329</v>
      </c>
      <c r="R562">
        <f t="shared" si="986"/>
        <v>-145916004.24032637</v>
      </c>
      <c r="S562">
        <f t="shared" si="987"/>
        <v>-1459.1600424032638</v>
      </c>
      <c r="T562">
        <f t="shared" si="988"/>
        <v>-1.4591600424032638</v>
      </c>
      <c r="CZ562" t="s">
        <v>7</v>
      </c>
    </row>
    <row r="563" spans="1:104" x14ac:dyDescent="0.25">
      <c r="A563" s="5">
        <v>44030</v>
      </c>
      <c r="B563">
        <v>0.32750000000000001</v>
      </c>
      <c r="C563">
        <v>0.34179999999999999</v>
      </c>
      <c r="D563">
        <v>0.31119999999999998</v>
      </c>
      <c r="E563">
        <v>0.32019999999999998</v>
      </c>
      <c r="F563">
        <v>6635411.5099999998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-0.41176470588235276</v>
      </c>
      <c r="Q563">
        <f t="shared" si="985"/>
        <v>-2732228.2688235282</v>
      </c>
      <c r="R563">
        <f t="shared" si="986"/>
        <v>-163942557.83349469</v>
      </c>
      <c r="S563">
        <f t="shared" si="987"/>
        <v>-1639.425578334947</v>
      </c>
      <c r="T563">
        <f t="shared" si="988"/>
        <v>-1.639425578334947</v>
      </c>
      <c r="CZ563" t="s">
        <v>7</v>
      </c>
    </row>
    <row r="564" spans="1:104" x14ac:dyDescent="0.25">
      <c r="A564" s="5">
        <v>44029</v>
      </c>
      <c r="B564">
        <v>0.2994</v>
      </c>
      <c r="C564">
        <v>0.33800000000000002</v>
      </c>
      <c r="D564">
        <v>0.29709999999999998</v>
      </c>
      <c r="E564">
        <v>0.32750000000000001</v>
      </c>
      <c r="F564">
        <v>11032407.310000001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0.48655256723716395</v>
      </c>
      <c r="Q564">
        <f t="shared" si="985"/>
        <v>5367846.099486554</v>
      </c>
      <c r="R564">
        <f t="shared" si="986"/>
        <v>-161210329.56467116</v>
      </c>
      <c r="S564">
        <f t="shared" si="987"/>
        <v>-1612.1032956467116</v>
      </c>
      <c r="T564">
        <f t="shared" si="988"/>
        <v>-1.6121032956467116</v>
      </c>
    </row>
    <row r="565" spans="1:104" x14ac:dyDescent="0.25">
      <c r="A565" s="5">
        <v>44028</v>
      </c>
      <c r="B565">
        <v>0.29220000000000002</v>
      </c>
      <c r="C565">
        <v>0.30869999999999997</v>
      </c>
      <c r="D565">
        <v>0.27139999999999997</v>
      </c>
      <c r="E565">
        <v>0.2994</v>
      </c>
      <c r="F565">
        <v>6652753.6900000004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0.50134048257372787</v>
      </c>
      <c r="Q565">
        <f t="shared" si="985"/>
        <v>3335294.7453887491</v>
      </c>
      <c r="R565">
        <f t="shared" si="986"/>
        <v>-166578175.66415772</v>
      </c>
      <c r="S565">
        <f t="shared" si="987"/>
        <v>-1665.7817566415772</v>
      </c>
      <c r="T565">
        <f t="shared" si="988"/>
        <v>-1.6657817566415771</v>
      </c>
    </row>
    <row r="566" spans="1:104" x14ac:dyDescent="0.25">
      <c r="A566" s="5">
        <v>44027</v>
      </c>
      <c r="B566">
        <v>0.29409999999999997</v>
      </c>
      <c r="C566">
        <v>0.312</v>
      </c>
      <c r="D566">
        <v>0.2843</v>
      </c>
      <c r="E566">
        <v>0.29189999999999999</v>
      </c>
      <c r="F566">
        <v>7089659.6100000003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-0.45126353790613755</v>
      </c>
      <c r="Q566">
        <f t="shared" si="985"/>
        <v>-3199304.8781588473</v>
      </c>
      <c r="R566">
        <f t="shared" si="986"/>
        <v>-169913470.40954646</v>
      </c>
      <c r="S566">
        <f t="shared" si="987"/>
        <v>-1699.1347040954647</v>
      </c>
      <c r="T566">
        <f t="shared" si="988"/>
        <v>-1.6991347040954647</v>
      </c>
    </row>
    <row r="567" spans="1:104" x14ac:dyDescent="0.25">
      <c r="A567" s="5">
        <v>44026</v>
      </c>
      <c r="B567">
        <v>0.29389999999999999</v>
      </c>
      <c r="C567">
        <v>0.29709999999999998</v>
      </c>
      <c r="D567">
        <v>0.28010000000000002</v>
      </c>
      <c r="E567">
        <v>0.29409999999999997</v>
      </c>
      <c r="F567">
        <v>4951326.53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0.64705882352941058</v>
      </c>
      <c r="Q567">
        <f t="shared" si="985"/>
        <v>3203799.519411759</v>
      </c>
      <c r="R567">
        <f t="shared" si="986"/>
        <v>-166714165.53138763</v>
      </c>
      <c r="S567">
        <f t="shared" si="987"/>
        <v>-1667.1416553138763</v>
      </c>
      <c r="T567">
        <f t="shared" si="988"/>
        <v>-1.6671416553138763</v>
      </c>
    </row>
    <row r="568" spans="1:104" x14ac:dyDescent="0.25">
      <c r="A568" s="5">
        <v>44025</v>
      </c>
      <c r="B568">
        <v>0.31530000000000002</v>
      </c>
      <c r="C568">
        <v>0.31740000000000002</v>
      </c>
      <c r="D568">
        <v>0.28749999999999998</v>
      </c>
      <c r="E568">
        <v>0.29299999999999998</v>
      </c>
      <c r="F568">
        <v>9259017.2899999991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-0.63210702341137137</v>
      </c>
      <c r="Q568">
        <f t="shared" si="985"/>
        <v>-5852689.8588963216</v>
      </c>
      <c r="R568">
        <f t="shared" si="986"/>
        <v>-169917965.0507994</v>
      </c>
      <c r="S568">
        <f t="shared" si="987"/>
        <v>-1699.179650507994</v>
      </c>
      <c r="T568">
        <f t="shared" si="988"/>
        <v>-1.6991796505079939</v>
      </c>
    </row>
    <row r="569" spans="1:104" x14ac:dyDescent="0.25">
      <c r="A569" s="5">
        <v>44024</v>
      </c>
      <c r="B569">
        <v>0.30769999999999997</v>
      </c>
      <c r="C569">
        <v>0.32890000000000003</v>
      </c>
      <c r="D569">
        <v>0.30409999999999998</v>
      </c>
      <c r="E569">
        <v>0.31530000000000002</v>
      </c>
      <c r="F569">
        <v>5098916.37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-9.6774193548385221E-2</v>
      </c>
      <c r="Q569">
        <f t="shared" si="985"/>
        <v>-493443.51967740979</v>
      </c>
      <c r="R569">
        <f t="shared" si="986"/>
        <v>-164065275.19190308</v>
      </c>
      <c r="S569">
        <f t="shared" si="987"/>
        <v>-1640.6527519190308</v>
      </c>
      <c r="T569">
        <f t="shared" si="988"/>
        <v>-1.6406527519190308</v>
      </c>
    </row>
    <row r="570" spans="1:104" x14ac:dyDescent="0.25">
      <c r="A570" s="5">
        <v>44023</v>
      </c>
      <c r="B570">
        <v>0.31319999999999998</v>
      </c>
      <c r="C570">
        <v>0.32</v>
      </c>
      <c r="D570">
        <v>0.30220000000000002</v>
      </c>
      <c r="E570">
        <v>0.30769999999999997</v>
      </c>
      <c r="F570">
        <v>3580627.9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-0.38202247191011746</v>
      </c>
      <c r="Q570">
        <f t="shared" si="985"/>
        <v>-1367880.3213483328</v>
      </c>
      <c r="R570">
        <f t="shared" si="986"/>
        <v>-163571831.67222568</v>
      </c>
      <c r="S570">
        <f t="shared" si="987"/>
        <v>-1635.7183167222568</v>
      </c>
      <c r="T570">
        <f t="shared" si="988"/>
        <v>-1.6357183167222566</v>
      </c>
    </row>
    <row r="571" spans="1:104" x14ac:dyDescent="0.25">
      <c r="A571" s="5">
        <v>44022</v>
      </c>
      <c r="B571">
        <v>0.34010000000000001</v>
      </c>
      <c r="C571">
        <v>0.34089999999999998</v>
      </c>
      <c r="D571">
        <v>0.3004</v>
      </c>
      <c r="E571">
        <v>0.31340000000000001</v>
      </c>
      <c r="F571">
        <v>7645114.3600000003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-0.35802469135802384</v>
      </c>
      <c r="Q571">
        <f t="shared" si="985"/>
        <v>-2737139.7091357959</v>
      </c>
      <c r="R571">
        <f t="shared" si="986"/>
        <v>-162203951.35087734</v>
      </c>
      <c r="S571">
        <f t="shared" si="987"/>
        <v>-1622.0395135087736</v>
      </c>
      <c r="T571">
        <f t="shared" si="988"/>
        <v>-1.6220395135087735</v>
      </c>
    </row>
    <row r="572" spans="1:104" x14ac:dyDescent="0.25">
      <c r="A572" s="5">
        <v>44021</v>
      </c>
      <c r="B572">
        <v>0.2898</v>
      </c>
      <c r="C572">
        <v>0.34860000000000002</v>
      </c>
      <c r="D572">
        <v>0.28860000000000002</v>
      </c>
      <c r="E572">
        <v>0.3402</v>
      </c>
      <c r="F572">
        <v>22433314.050000001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0.71999999999999942</v>
      </c>
      <c r="Q572">
        <f t="shared" si="985"/>
        <v>16151986.115999987</v>
      </c>
      <c r="R572">
        <f t="shared" si="986"/>
        <v>-159466811.64174154</v>
      </c>
      <c r="S572">
        <f t="shared" si="987"/>
        <v>-1594.6681164174154</v>
      </c>
      <c r="T572">
        <f t="shared" si="988"/>
        <v>-1.5946681164174155</v>
      </c>
    </row>
    <row r="573" spans="1:104" x14ac:dyDescent="0.25">
      <c r="A573" s="5">
        <v>44020</v>
      </c>
      <c r="B573">
        <v>0.2853</v>
      </c>
      <c r="C573">
        <v>0.30980000000000002</v>
      </c>
      <c r="D573">
        <v>0.28160000000000002</v>
      </c>
      <c r="E573">
        <v>0.2898</v>
      </c>
      <c r="F573">
        <v>8126021.0999999996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-0.41843971631205784</v>
      </c>
      <c r="Q573">
        <f t="shared" si="985"/>
        <v>-3400249.9638297958</v>
      </c>
      <c r="R573">
        <f t="shared" si="986"/>
        <v>-175618797.75774154</v>
      </c>
      <c r="S573">
        <f t="shared" si="987"/>
        <v>-1756.1879775774155</v>
      </c>
      <c r="T573">
        <f t="shared" si="988"/>
        <v>-1.7561879775774154</v>
      </c>
    </row>
    <row r="574" spans="1:104" x14ac:dyDescent="0.25">
      <c r="A574" s="5">
        <v>44019</v>
      </c>
      <c r="B574">
        <v>0.27329999999999999</v>
      </c>
      <c r="C574">
        <v>0.29270000000000002</v>
      </c>
      <c r="D574">
        <v>0.27250000000000002</v>
      </c>
      <c r="E574">
        <v>0.2853</v>
      </c>
      <c r="F574">
        <v>5267904.3899999997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0.2673267326732654</v>
      </c>
      <c r="Q574">
        <f t="shared" si="985"/>
        <v>1408251.6686138511</v>
      </c>
      <c r="R574">
        <f t="shared" si="986"/>
        <v>-172218547.79391176</v>
      </c>
      <c r="S574">
        <f t="shared" si="987"/>
        <v>-1722.1854779391176</v>
      </c>
      <c r="T574">
        <f t="shared" si="988"/>
        <v>-1.7221854779391177</v>
      </c>
    </row>
    <row r="575" spans="1:104" x14ac:dyDescent="0.25">
      <c r="A575" s="5">
        <v>44018</v>
      </c>
      <c r="B575">
        <v>0.26279999999999998</v>
      </c>
      <c r="C575">
        <v>0.28899999999999998</v>
      </c>
      <c r="D575">
        <v>0.26</v>
      </c>
      <c r="E575">
        <v>0.2737</v>
      </c>
      <c r="F575">
        <v>5154147.22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-5.517241379310317E-2</v>
      </c>
      <c r="Q575">
        <f t="shared" si="985"/>
        <v>-284366.74317241233</v>
      </c>
      <c r="R575">
        <f t="shared" si="986"/>
        <v>-173626799.46252561</v>
      </c>
      <c r="S575">
        <f t="shared" si="987"/>
        <v>-1736.2679946252561</v>
      </c>
      <c r="T575">
        <f t="shared" si="988"/>
        <v>-1.7362679946252562</v>
      </c>
    </row>
    <row r="576" spans="1:104" x14ac:dyDescent="0.25">
      <c r="A576" s="5">
        <v>44017</v>
      </c>
      <c r="B576">
        <v>0.28449999999999998</v>
      </c>
      <c r="C576">
        <v>0.28539999999999999</v>
      </c>
      <c r="D576">
        <v>0.25729999999999997</v>
      </c>
      <c r="E576">
        <v>0.26329999999999998</v>
      </c>
      <c r="F576">
        <v>4144375.36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-0.57295373665480409</v>
      </c>
      <c r="Q576">
        <f t="shared" si="985"/>
        <v>-2374535.348612099</v>
      </c>
      <c r="R576">
        <f t="shared" si="986"/>
        <v>-173342432.7193532</v>
      </c>
      <c r="S576">
        <f t="shared" si="987"/>
        <v>-1733.424327193532</v>
      </c>
      <c r="T576">
        <f t="shared" si="988"/>
        <v>-1.7334243271935319</v>
      </c>
    </row>
    <row r="577" spans="1:20" x14ac:dyDescent="0.25">
      <c r="A577" s="5">
        <v>44016</v>
      </c>
      <c r="B577">
        <v>0.25330000000000003</v>
      </c>
      <c r="C577">
        <v>0.29010000000000002</v>
      </c>
      <c r="D577">
        <v>0.25169999999999998</v>
      </c>
      <c r="E577">
        <v>0.28449999999999998</v>
      </c>
      <c r="F577">
        <v>9745214.0999999996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0.70833333333333115</v>
      </c>
      <c r="Q577">
        <f t="shared" si="985"/>
        <v>6902859.9874999784</v>
      </c>
      <c r="R577">
        <f t="shared" si="986"/>
        <v>-170967897.3707411</v>
      </c>
      <c r="S577">
        <f t="shared" si="987"/>
        <v>-1709.6789737074109</v>
      </c>
      <c r="T577">
        <f t="shared" si="988"/>
        <v>-1.709678973707411</v>
      </c>
    </row>
    <row r="578" spans="1:20" x14ac:dyDescent="0.25">
      <c r="A578" s="5">
        <v>44015</v>
      </c>
      <c r="B578">
        <v>0.25169999999999998</v>
      </c>
      <c r="C578">
        <v>0.26850000000000002</v>
      </c>
      <c r="D578">
        <v>0.24660000000000001</v>
      </c>
      <c r="E578">
        <v>0.2535</v>
      </c>
      <c r="F578">
        <v>3598829.88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-0.36986301369863117</v>
      </c>
      <c r="Q578">
        <f t="shared" si="985"/>
        <v>-1331074.0652054832</v>
      </c>
      <c r="R578">
        <f t="shared" si="986"/>
        <v>-177870757.35824108</v>
      </c>
      <c r="S578">
        <f t="shared" si="987"/>
        <v>-1778.7075735824108</v>
      </c>
      <c r="T578">
        <f t="shared" si="988"/>
        <v>-1.7787075735824107</v>
      </c>
    </row>
    <row r="579" spans="1:20" x14ac:dyDescent="0.25">
      <c r="A579" s="5">
        <v>44014</v>
      </c>
      <c r="B579">
        <v>0.26490000000000002</v>
      </c>
      <c r="C579">
        <v>0.26910000000000001</v>
      </c>
      <c r="D579">
        <v>0.24429999999999999</v>
      </c>
      <c r="E579">
        <v>0.25169999999999998</v>
      </c>
      <c r="F579">
        <v>4479502.5599999996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-0.4032258064516141</v>
      </c>
      <c r="Q579">
        <f t="shared" si="985"/>
        <v>-1806251.0322580696</v>
      </c>
      <c r="R579">
        <f t="shared" si="986"/>
        <v>-176539683.2930356</v>
      </c>
      <c r="S579">
        <f t="shared" si="987"/>
        <v>-1765.3968329303559</v>
      </c>
      <c r="T579">
        <f t="shared" si="988"/>
        <v>-1.765396832930356</v>
      </c>
    </row>
    <row r="580" spans="1:20" x14ac:dyDescent="0.25">
      <c r="A580" s="5">
        <v>44013</v>
      </c>
      <c r="B580">
        <v>0.26550000000000001</v>
      </c>
      <c r="C580">
        <v>0.27450000000000002</v>
      </c>
      <c r="D580">
        <v>0.26229999999999998</v>
      </c>
      <c r="E580">
        <v>0.26450000000000001</v>
      </c>
      <c r="F580">
        <v>4181302.47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-0.63934426229507746</v>
      </c>
      <c r="Q580">
        <f t="shared" si="985"/>
        <v>-2673291.7431147355</v>
      </c>
      <c r="R580">
        <f t="shared" si="986"/>
        <v>-174733432.26077753</v>
      </c>
      <c r="S580">
        <f t="shared" si="987"/>
        <v>-1747.3343226077752</v>
      </c>
      <c r="T580">
        <f t="shared" si="988"/>
        <v>-1.7473343226077753</v>
      </c>
    </row>
    <row r="581" spans="1:20" x14ac:dyDescent="0.25">
      <c r="A581" s="5">
        <v>44012</v>
      </c>
      <c r="B581">
        <v>0.28470000000000001</v>
      </c>
      <c r="C581">
        <v>0.29659999999999997</v>
      </c>
      <c r="D581">
        <v>0.26019999999999999</v>
      </c>
      <c r="E581">
        <v>0.2651</v>
      </c>
      <c r="F581">
        <v>8425255.8499999996</v>
      </c>
      <c r="G581">
        <v>0</v>
      </c>
      <c r="L581" t="s">
        <v>7</v>
      </c>
      <c r="M581" t="s">
        <v>8</v>
      </c>
      <c r="N581" t="s">
        <v>7</v>
      </c>
      <c r="P581">
        <f t="shared" si="984"/>
        <v>-0.73076923076922984</v>
      </c>
      <c r="Q581">
        <f t="shared" si="985"/>
        <v>-6156917.736538453</v>
      </c>
      <c r="R581">
        <f t="shared" si="986"/>
        <v>-172060140.51766279</v>
      </c>
      <c r="S581">
        <f t="shared" si="987"/>
        <v>-1720.6014051766278</v>
      </c>
      <c r="T581">
        <f t="shared" si="988"/>
        <v>-1.7206014051766279</v>
      </c>
    </row>
    <row r="582" spans="1:20" x14ac:dyDescent="0.25">
      <c r="A582" s="5">
        <v>44011</v>
      </c>
      <c r="B582">
        <v>0.2576</v>
      </c>
      <c r="C582">
        <v>0.3</v>
      </c>
      <c r="D582">
        <v>0.25209999999999999</v>
      </c>
      <c r="E582">
        <v>0.2853</v>
      </c>
      <c r="F582">
        <v>13816364.060000001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89">IF(C582=D582,0,((E582-D582)-(C582-E582))/(C582-D582))</f>
        <v>0.38622129436325714</v>
      </c>
      <c r="Q582">
        <f t="shared" ref="Q582:Q645" si="990">F582*P582</f>
        <v>5336174.010647187</v>
      </c>
      <c r="R582">
        <f t="shared" ref="R582:R645" si="991">R583+Q582</f>
        <v>-165903222.78112435</v>
      </c>
      <c r="S582">
        <f t="shared" ref="S582:S645" si="992">R582/100000</f>
        <v>-1659.0322278112435</v>
      </c>
      <c r="T582">
        <f t="shared" ref="T582:T645" si="993">S582/1000</f>
        <v>-1.6590322278112435</v>
      </c>
    </row>
    <row r="583" spans="1:20" x14ac:dyDescent="0.25">
      <c r="A583" s="5">
        <v>44010</v>
      </c>
      <c r="B583">
        <v>0.2424</v>
      </c>
      <c r="C583">
        <v>0.26779999999999998</v>
      </c>
      <c r="D583">
        <v>0.23649999999999999</v>
      </c>
      <c r="E583">
        <v>0.25779999999999997</v>
      </c>
      <c r="F583">
        <v>5338731.63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0.3610223642172517</v>
      </c>
      <c r="Q583">
        <f t="shared" si="990"/>
        <v>1927401.5149840219</v>
      </c>
      <c r="R583">
        <f t="shared" si="991"/>
        <v>-171239396.79177153</v>
      </c>
      <c r="S583">
        <f t="shared" si="992"/>
        <v>-1712.3939679177154</v>
      </c>
      <c r="T583">
        <f t="shared" si="993"/>
        <v>-1.7123939679177154</v>
      </c>
    </row>
    <row r="584" spans="1:20" x14ac:dyDescent="0.25">
      <c r="A584" s="5">
        <v>44009</v>
      </c>
      <c r="B584">
        <v>0.27510000000000001</v>
      </c>
      <c r="C584">
        <v>0.27510000000000001</v>
      </c>
      <c r="D584">
        <v>0.23569999999999999</v>
      </c>
      <c r="E584">
        <v>0.24210000000000001</v>
      </c>
      <c r="F584">
        <v>5119636.59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-0.67512690355329874</v>
      </c>
      <c r="Q584">
        <f t="shared" si="990"/>
        <v>-3456404.3983248691</v>
      </c>
      <c r="R584">
        <f t="shared" si="991"/>
        <v>-173166798.30675554</v>
      </c>
      <c r="S584">
        <f t="shared" si="992"/>
        <v>-1731.6679830675555</v>
      </c>
      <c r="T584">
        <f t="shared" si="993"/>
        <v>-1.7316679830675554</v>
      </c>
    </row>
    <row r="585" spans="1:20" x14ac:dyDescent="0.25">
      <c r="A585" s="5">
        <v>44008</v>
      </c>
      <c r="B585">
        <v>0.28260000000000002</v>
      </c>
      <c r="C585">
        <v>0.28399999999999997</v>
      </c>
      <c r="D585">
        <v>0.2641</v>
      </c>
      <c r="E585">
        <v>0.27500000000000002</v>
      </c>
      <c r="F585">
        <v>4562082.18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9.547738693467693E-2</v>
      </c>
      <c r="Q585">
        <f t="shared" si="990"/>
        <v>435575.68552765442</v>
      </c>
      <c r="R585">
        <f t="shared" si="991"/>
        <v>-169710393.90843067</v>
      </c>
      <c r="S585">
        <f t="shared" si="992"/>
        <v>-1697.1039390843066</v>
      </c>
      <c r="T585">
        <f t="shared" si="993"/>
        <v>-1.6971039390843066</v>
      </c>
    </row>
    <row r="586" spans="1:20" x14ac:dyDescent="0.25">
      <c r="A586" s="5">
        <v>44007</v>
      </c>
      <c r="B586">
        <v>0.29720000000000002</v>
      </c>
      <c r="C586">
        <v>0.29899999999999999</v>
      </c>
      <c r="D586">
        <v>0.27560000000000001</v>
      </c>
      <c r="E586">
        <v>0.28260000000000002</v>
      </c>
      <c r="F586">
        <v>6255181.6500000004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-0.40170940170940056</v>
      </c>
      <c r="Q586">
        <f t="shared" si="990"/>
        <v>-2512765.2782051209</v>
      </c>
      <c r="R586">
        <f t="shared" si="991"/>
        <v>-170145969.59395832</v>
      </c>
      <c r="S586">
        <f t="shared" si="992"/>
        <v>-1701.4596959395831</v>
      </c>
      <c r="T586">
        <f t="shared" si="993"/>
        <v>-1.7014596959395831</v>
      </c>
    </row>
    <row r="587" spans="1:20" x14ac:dyDescent="0.25">
      <c r="A587" s="5">
        <v>44006</v>
      </c>
      <c r="B587">
        <v>0.3165</v>
      </c>
      <c r="C587">
        <v>0.32090000000000002</v>
      </c>
      <c r="D587">
        <v>0.29260000000000003</v>
      </c>
      <c r="E587">
        <v>0.29770000000000002</v>
      </c>
      <c r="F587">
        <v>7678194.7000000002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-0.63957597173144909</v>
      </c>
      <c r="Q587">
        <f t="shared" si="990"/>
        <v>-4910788.8363957619</v>
      </c>
      <c r="R587">
        <f t="shared" si="991"/>
        <v>-167633204.31575319</v>
      </c>
      <c r="S587">
        <f t="shared" si="992"/>
        <v>-1676.3320431575319</v>
      </c>
      <c r="T587">
        <f t="shared" si="993"/>
        <v>-1.6763320431575319</v>
      </c>
    </row>
    <row r="588" spans="1:20" x14ac:dyDescent="0.25">
      <c r="A588" s="5">
        <v>44005</v>
      </c>
      <c r="B588">
        <v>0.30709999999999998</v>
      </c>
      <c r="C588">
        <v>0.35970000000000002</v>
      </c>
      <c r="D588">
        <v>0.30530000000000002</v>
      </c>
      <c r="E588">
        <v>0.3165</v>
      </c>
      <c r="F588">
        <v>14421475.050000001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-0.58823529411764752</v>
      </c>
      <c r="Q588">
        <f t="shared" si="990"/>
        <v>-8483220.6176470667</v>
      </c>
      <c r="R588">
        <f t="shared" si="991"/>
        <v>-162722415.47935742</v>
      </c>
      <c r="S588">
        <f t="shared" si="992"/>
        <v>-1627.2241547935741</v>
      </c>
      <c r="T588">
        <f t="shared" si="993"/>
        <v>-1.6272241547935742</v>
      </c>
    </row>
    <row r="589" spans="1:20" x14ac:dyDescent="0.25">
      <c r="A589" s="5">
        <v>44004</v>
      </c>
      <c r="B589">
        <v>0.3039</v>
      </c>
      <c r="C589">
        <v>0.32</v>
      </c>
      <c r="D589">
        <v>0.30049999999999999</v>
      </c>
      <c r="E589">
        <v>0.30659999999999998</v>
      </c>
      <c r="F589">
        <v>7452022.7699999996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-0.37435897435897547</v>
      </c>
      <c r="Q589">
        <f t="shared" si="990"/>
        <v>-2789731.6010769312</v>
      </c>
      <c r="R589">
        <f t="shared" si="991"/>
        <v>-154239194.86171037</v>
      </c>
      <c r="S589">
        <f t="shared" si="992"/>
        <v>-1542.3919486171037</v>
      </c>
      <c r="T589">
        <f t="shared" si="993"/>
        <v>-1.5423919486171036</v>
      </c>
    </row>
    <row r="590" spans="1:20" x14ac:dyDescent="0.25">
      <c r="A590" s="5">
        <v>44003</v>
      </c>
      <c r="B590">
        <v>0.29770000000000002</v>
      </c>
      <c r="C590">
        <v>0.32390000000000002</v>
      </c>
      <c r="D590">
        <v>0.29499999999999998</v>
      </c>
      <c r="E590">
        <v>0.30380000000000001</v>
      </c>
      <c r="F590">
        <v>8641889.6500000004</v>
      </c>
      <c r="G590">
        <v>0</v>
      </c>
      <c r="L590" t="s">
        <v>8</v>
      </c>
      <c r="M590" t="s">
        <v>7</v>
      </c>
      <c r="N590" t="s">
        <v>7</v>
      </c>
      <c r="P590">
        <f t="shared" si="989"/>
        <v>-0.39100346020761118</v>
      </c>
      <c r="Q590">
        <f t="shared" si="990"/>
        <v>-3379008.7558823419</v>
      </c>
      <c r="R590">
        <f t="shared" si="991"/>
        <v>-151449463.26063344</v>
      </c>
      <c r="S590">
        <f t="shared" si="992"/>
        <v>-1514.4946326063343</v>
      </c>
      <c r="T590">
        <f t="shared" si="993"/>
        <v>-1.5144946326063344</v>
      </c>
    </row>
    <row r="591" spans="1:20" x14ac:dyDescent="0.25">
      <c r="A591" s="5">
        <v>44002</v>
      </c>
      <c r="B591">
        <v>0.33829999999999999</v>
      </c>
      <c r="C591">
        <v>0.34300000000000003</v>
      </c>
      <c r="D591">
        <v>0.29699999999999999</v>
      </c>
      <c r="E591">
        <v>0.29749999999999999</v>
      </c>
      <c r="F591">
        <v>14034636.859999999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-0.97826086956521741</v>
      </c>
      <c r="Q591">
        <f t="shared" si="990"/>
        <v>-13729536.058695652</v>
      </c>
      <c r="R591">
        <f t="shared" si="991"/>
        <v>-148070454.50475109</v>
      </c>
      <c r="S591">
        <f t="shared" si="992"/>
        <v>-1480.7045450475109</v>
      </c>
      <c r="T591">
        <f t="shared" si="993"/>
        <v>-1.4807045450475109</v>
      </c>
    </row>
    <row r="592" spans="1:20" x14ac:dyDescent="0.25">
      <c r="A592" s="5">
        <v>44001</v>
      </c>
      <c r="B592">
        <v>0.37669999999999998</v>
      </c>
      <c r="C592">
        <v>0.42959999999999998</v>
      </c>
      <c r="D592">
        <v>0.31569999999999998</v>
      </c>
      <c r="E592">
        <v>0.33829999999999999</v>
      </c>
      <c r="F592">
        <v>35461025.909999996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-0.60316066725197526</v>
      </c>
      <c r="Q592">
        <f t="shared" si="990"/>
        <v>-21388696.049315181</v>
      </c>
      <c r="R592">
        <f t="shared" si="991"/>
        <v>-134340918.44605544</v>
      </c>
      <c r="S592">
        <f t="shared" si="992"/>
        <v>-1343.4091844605543</v>
      </c>
      <c r="T592">
        <f t="shared" si="993"/>
        <v>-1.3434091844605542</v>
      </c>
    </row>
    <row r="593" spans="1:20" x14ac:dyDescent="0.25">
      <c r="A593" s="5">
        <v>44000</v>
      </c>
      <c r="B593">
        <v>0.2288</v>
      </c>
      <c r="C593">
        <v>0.49</v>
      </c>
      <c r="D593">
        <v>0.22600000000000001</v>
      </c>
      <c r="E593">
        <v>0.37580000000000002</v>
      </c>
      <c r="F593">
        <v>94815917.049999997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0.13484848484848502</v>
      </c>
      <c r="Q593">
        <f t="shared" si="990"/>
        <v>12785782.753712138</v>
      </c>
      <c r="R593">
        <f t="shared" si="991"/>
        <v>-112952222.39674026</v>
      </c>
      <c r="S593">
        <f t="shared" si="992"/>
        <v>-1129.5222239674026</v>
      </c>
      <c r="T593">
        <f t="shared" si="993"/>
        <v>-1.1295222239674025</v>
      </c>
    </row>
    <row r="594" spans="1:20" x14ac:dyDescent="0.25">
      <c r="A594" s="5">
        <v>43999</v>
      </c>
      <c r="B594">
        <v>0.2399</v>
      </c>
      <c r="C594">
        <v>0.2399</v>
      </c>
      <c r="D594">
        <v>0.22500000000000001</v>
      </c>
      <c r="E594">
        <v>0.2286</v>
      </c>
      <c r="F594">
        <v>2653819.5499999998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-0.51677852348993381</v>
      </c>
      <c r="Q594">
        <f t="shared" si="990"/>
        <v>-1371436.9486577203</v>
      </c>
      <c r="R594">
        <f t="shared" si="991"/>
        <v>-125738005.15045239</v>
      </c>
      <c r="S594">
        <f t="shared" si="992"/>
        <v>-1257.3800515045239</v>
      </c>
      <c r="T594">
        <f t="shared" si="993"/>
        <v>-1.2573800515045239</v>
      </c>
    </row>
    <row r="595" spans="1:20" x14ac:dyDescent="0.25">
      <c r="A595" s="5">
        <v>43998</v>
      </c>
      <c r="B595">
        <v>0.23530000000000001</v>
      </c>
      <c r="C595">
        <v>0.25009999999999999</v>
      </c>
      <c r="D595">
        <v>0.2261</v>
      </c>
      <c r="E595">
        <v>0.2399</v>
      </c>
      <c r="F595">
        <v>5021046.59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0.15000000000000085</v>
      </c>
      <c r="Q595">
        <f t="shared" si="990"/>
        <v>753156.98850000429</v>
      </c>
      <c r="R595">
        <f t="shared" si="991"/>
        <v>-124366568.20179467</v>
      </c>
      <c r="S595">
        <f t="shared" si="992"/>
        <v>-1243.6656820179467</v>
      </c>
      <c r="T595">
        <f t="shared" si="993"/>
        <v>-1.2436656820179466</v>
      </c>
    </row>
    <row r="596" spans="1:20" x14ac:dyDescent="0.25">
      <c r="A596" s="5">
        <v>43997</v>
      </c>
      <c r="B596">
        <v>0.23730000000000001</v>
      </c>
      <c r="C596">
        <v>0.245</v>
      </c>
      <c r="D596">
        <v>0.21199999999999999</v>
      </c>
      <c r="E596">
        <v>0.23569999999999999</v>
      </c>
      <c r="F596">
        <v>8227665.79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0.43636363636363623</v>
      </c>
      <c r="Q596">
        <f t="shared" si="990"/>
        <v>3590254.1629090901</v>
      </c>
      <c r="R596">
        <f t="shared" si="991"/>
        <v>-125119725.19029467</v>
      </c>
      <c r="S596">
        <f t="shared" si="992"/>
        <v>-1251.1972519029466</v>
      </c>
      <c r="T596">
        <f t="shared" si="993"/>
        <v>-1.2511972519029466</v>
      </c>
    </row>
    <row r="597" spans="1:20" x14ac:dyDescent="0.25">
      <c r="A597" s="5">
        <v>43996</v>
      </c>
      <c r="B597">
        <v>0.25480000000000003</v>
      </c>
      <c r="C597">
        <v>0.2621</v>
      </c>
      <c r="D597">
        <v>0.23419999999999999</v>
      </c>
      <c r="E597">
        <v>0.23760000000000001</v>
      </c>
      <c r="F597">
        <v>3743732.33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-0.75627240143369079</v>
      </c>
      <c r="Q597">
        <f t="shared" si="990"/>
        <v>-2831281.4395340467</v>
      </c>
      <c r="R597">
        <f t="shared" si="991"/>
        <v>-128709979.35320376</v>
      </c>
      <c r="S597">
        <f t="shared" si="992"/>
        <v>-1287.0997935320377</v>
      </c>
      <c r="T597">
        <f t="shared" si="993"/>
        <v>-1.2870997935320376</v>
      </c>
    </row>
    <row r="598" spans="1:20" x14ac:dyDescent="0.25">
      <c r="A598" s="5">
        <v>43995</v>
      </c>
      <c r="B598">
        <v>0.24279999999999999</v>
      </c>
      <c r="C598">
        <v>0.26779999999999998</v>
      </c>
      <c r="D598">
        <v>0.24210000000000001</v>
      </c>
      <c r="E598">
        <v>0.25480000000000003</v>
      </c>
      <c r="F598">
        <v>4983216.21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-1.1673151750970409E-2</v>
      </c>
      <c r="Q598">
        <f t="shared" si="990"/>
        <v>-58169.839027225622</v>
      </c>
      <c r="R598">
        <f t="shared" si="991"/>
        <v>-125878697.91366971</v>
      </c>
      <c r="S598">
        <f t="shared" si="992"/>
        <v>-1258.786979136697</v>
      </c>
      <c r="T598">
        <f t="shared" si="993"/>
        <v>-1.258786979136697</v>
      </c>
    </row>
    <row r="599" spans="1:20" x14ac:dyDescent="0.25">
      <c r="A599" s="5">
        <v>43994</v>
      </c>
      <c r="B599">
        <v>0.2359</v>
      </c>
      <c r="C599">
        <v>0.2535</v>
      </c>
      <c r="D599">
        <v>0.2301</v>
      </c>
      <c r="E599">
        <v>0.24279999999999999</v>
      </c>
      <c r="F599">
        <v>5219376.66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8.5470085470084348E-2</v>
      </c>
      <c r="Q599">
        <f t="shared" si="990"/>
        <v>446100.56923076336</v>
      </c>
      <c r="R599">
        <f t="shared" si="991"/>
        <v>-125820528.07464248</v>
      </c>
      <c r="S599">
        <f t="shared" si="992"/>
        <v>-1258.2052807464247</v>
      </c>
      <c r="T599">
        <f t="shared" si="993"/>
        <v>-1.2582052807464248</v>
      </c>
    </row>
    <row r="600" spans="1:20" x14ac:dyDescent="0.25">
      <c r="A600" s="5">
        <v>43993</v>
      </c>
      <c r="B600">
        <v>0.26169999999999999</v>
      </c>
      <c r="C600">
        <v>0.2823</v>
      </c>
      <c r="D600">
        <v>0.22889999999999999</v>
      </c>
      <c r="E600">
        <v>0.23619999999999999</v>
      </c>
      <c r="F600">
        <v>12662964.960000001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-0.72659176029962547</v>
      </c>
      <c r="Q600">
        <f t="shared" si="990"/>
        <v>-9200806.0008988772</v>
      </c>
      <c r="R600">
        <f t="shared" si="991"/>
        <v>-126266628.64387324</v>
      </c>
      <c r="S600">
        <f t="shared" si="992"/>
        <v>-1262.6662864387324</v>
      </c>
      <c r="T600">
        <f t="shared" si="993"/>
        <v>-1.2626662864387324</v>
      </c>
    </row>
    <row r="601" spans="1:20" x14ac:dyDescent="0.25">
      <c r="A601" s="5">
        <v>43992</v>
      </c>
      <c r="B601">
        <v>0.25280000000000002</v>
      </c>
      <c r="C601">
        <v>0.2742</v>
      </c>
      <c r="D601">
        <v>0.23960000000000001</v>
      </c>
      <c r="E601">
        <v>0.26169999999999999</v>
      </c>
      <c r="F601">
        <v>11117806.109999999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0.27745664739884313</v>
      </c>
      <c r="Q601">
        <f t="shared" si="990"/>
        <v>3084709.2097109733</v>
      </c>
      <c r="R601">
        <f t="shared" si="991"/>
        <v>-117065822.64297436</v>
      </c>
      <c r="S601">
        <f t="shared" si="992"/>
        <v>-1170.6582264297435</v>
      </c>
      <c r="T601">
        <f t="shared" si="993"/>
        <v>-1.1706582264297436</v>
      </c>
    </row>
    <row r="602" spans="1:20" x14ac:dyDescent="0.25">
      <c r="A602" s="5">
        <v>43991</v>
      </c>
      <c r="B602">
        <v>0.2419</v>
      </c>
      <c r="C602">
        <v>0.27410000000000001</v>
      </c>
      <c r="D602">
        <v>0.24030000000000001</v>
      </c>
      <c r="E602">
        <v>0.25280000000000002</v>
      </c>
      <c r="F602">
        <v>18568916.710000001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-0.26035502958579809</v>
      </c>
      <c r="Q602">
        <f t="shared" si="990"/>
        <v>-4834510.8594082706</v>
      </c>
      <c r="R602">
        <f t="shared" si="991"/>
        <v>-120150531.85268533</v>
      </c>
      <c r="S602">
        <f t="shared" si="992"/>
        <v>-1201.5053185268532</v>
      </c>
      <c r="T602">
        <f t="shared" si="993"/>
        <v>-1.2015053185268532</v>
      </c>
    </row>
    <row r="603" spans="1:20" x14ac:dyDescent="0.25">
      <c r="A603" s="5">
        <v>43990</v>
      </c>
      <c r="B603">
        <v>0.22819999999999999</v>
      </c>
      <c r="C603">
        <v>0.2492</v>
      </c>
      <c r="D603">
        <v>0.2276</v>
      </c>
      <c r="E603">
        <v>0.24129999999999999</v>
      </c>
      <c r="F603">
        <v>7185609.4800000004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0.2685185185185171</v>
      </c>
      <c r="Q603">
        <f t="shared" si="990"/>
        <v>1929469.2122222122</v>
      </c>
      <c r="R603">
        <f t="shared" si="991"/>
        <v>-115316020.99327706</v>
      </c>
      <c r="S603">
        <f t="shared" si="992"/>
        <v>-1153.1602099327706</v>
      </c>
      <c r="T603">
        <f t="shared" si="993"/>
        <v>-1.1531602099327707</v>
      </c>
    </row>
    <row r="604" spans="1:20" x14ac:dyDescent="0.25">
      <c r="A604" s="5">
        <v>43989</v>
      </c>
      <c r="B604">
        <v>0.2324</v>
      </c>
      <c r="C604">
        <v>0.23330000000000001</v>
      </c>
      <c r="D604">
        <v>0.21</v>
      </c>
      <c r="E604">
        <v>0.2283</v>
      </c>
      <c r="F604">
        <v>6980081.8700000001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0.5708154506437767</v>
      </c>
      <c r="Q604">
        <f t="shared" si="990"/>
        <v>3984338.5781545057</v>
      </c>
      <c r="R604">
        <f t="shared" si="991"/>
        <v>-117245490.20549928</v>
      </c>
      <c r="S604">
        <f t="shared" si="992"/>
        <v>-1172.4549020549928</v>
      </c>
      <c r="T604">
        <f t="shared" si="993"/>
        <v>-1.1724549020549928</v>
      </c>
    </row>
    <row r="605" spans="1:20" x14ac:dyDescent="0.25">
      <c r="A605" s="5">
        <v>43988</v>
      </c>
      <c r="B605">
        <v>0.23069999999999999</v>
      </c>
      <c r="C605">
        <v>0.245</v>
      </c>
      <c r="D605">
        <v>0.22800000000000001</v>
      </c>
      <c r="E605">
        <v>0.2324</v>
      </c>
      <c r="F605">
        <v>5502575.6100000003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-0.48235294117647171</v>
      </c>
      <c r="Q605">
        <f t="shared" si="990"/>
        <v>-2654183.5295294179</v>
      </c>
      <c r="R605">
        <f t="shared" si="991"/>
        <v>-121229828.78365378</v>
      </c>
      <c r="S605">
        <f t="shared" si="992"/>
        <v>-1212.2982878365378</v>
      </c>
      <c r="T605">
        <f t="shared" si="993"/>
        <v>-1.2122982878365378</v>
      </c>
    </row>
    <row r="606" spans="1:20" x14ac:dyDescent="0.25">
      <c r="A606" s="5">
        <v>43987</v>
      </c>
      <c r="B606">
        <v>0.21460000000000001</v>
      </c>
      <c r="C606">
        <v>0.2404</v>
      </c>
      <c r="D606">
        <v>0.21460000000000001</v>
      </c>
      <c r="E606">
        <v>0.23050000000000001</v>
      </c>
      <c r="F606">
        <v>6935148.5700000003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0.23255813953488402</v>
      </c>
      <c r="Q606">
        <f t="shared" si="990"/>
        <v>1612825.2488372114</v>
      </c>
      <c r="R606">
        <f t="shared" si="991"/>
        <v>-118575645.25412436</v>
      </c>
      <c r="S606">
        <f t="shared" si="992"/>
        <v>-1185.7564525412436</v>
      </c>
      <c r="T606">
        <f t="shared" si="993"/>
        <v>-1.1857564525412436</v>
      </c>
    </row>
    <row r="607" spans="1:20" x14ac:dyDescent="0.25">
      <c r="A607" s="5">
        <v>43986</v>
      </c>
      <c r="B607">
        <v>0.223</v>
      </c>
      <c r="C607">
        <v>0.22389999999999999</v>
      </c>
      <c r="D607">
        <v>0.20899999999999999</v>
      </c>
      <c r="E607">
        <v>0.2152</v>
      </c>
      <c r="F607">
        <v>4204150.93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-0.16778523489932717</v>
      </c>
      <c r="Q607">
        <f t="shared" si="990"/>
        <v>-705394.45134227478</v>
      </c>
      <c r="R607">
        <f t="shared" si="991"/>
        <v>-120188470.50296158</v>
      </c>
      <c r="S607">
        <f t="shared" si="992"/>
        <v>-1201.8847050296158</v>
      </c>
      <c r="T607">
        <f t="shared" si="993"/>
        <v>-1.2018847050296158</v>
      </c>
    </row>
    <row r="608" spans="1:20" x14ac:dyDescent="0.25">
      <c r="A608" s="5">
        <v>43985</v>
      </c>
      <c r="B608">
        <v>0.19600000000000001</v>
      </c>
      <c r="C608">
        <v>0.2273</v>
      </c>
      <c r="D608">
        <v>0.19600000000000001</v>
      </c>
      <c r="E608">
        <v>0.224</v>
      </c>
      <c r="F608">
        <v>9516395.1400000006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0.78913738019169344</v>
      </c>
      <c r="Q608">
        <f t="shared" si="990"/>
        <v>7509743.1296485644</v>
      </c>
      <c r="R608">
        <f t="shared" si="991"/>
        <v>-119483076.05161931</v>
      </c>
      <c r="S608">
        <f t="shared" si="992"/>
        <v>-1194.8307605161931</v>
      </c>
      <c r="T608">
        <f t="shared" si="993"/>
        <v>-1.1948307605161932</v>
      </c>
    </row>
    <row r="609" spans="1:20" x14ac:dyDescent="0.25">
      <c r="A609" s="5">
        <v>43984</v>
      </c>
      <c r="B609">
        <v>0.19789999999999999</v>
      </c>
      <c r="C609">
        <v>0.2056</v>
      </c>
      <c r="D609">
        <v>0.1825</v>
      </c>
      <c r="E609">
        <v>0.19600000000000001</v>
      </c>
      <c r="F609">
        <v>5872478.5499999998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0.16883116883116939</v>
      </c>
      <c r="Q609">
        <f t="shared" si="990"/>
        <v>991457.41753247078</v>
      </c>
      <c r="R609">
        <f t="shared" si="991"/>
        <v>-126992819.18126787</v>
      </c>
      <c r="S609">
        <f t="shared" si="992"/>
        <v>-1269.9281918126787</v>
      </c>
      <c r="T609">
        <f t="shared" si="993"/>
        <v>-1.2699281918126788</v>
      </c>
    </row>
    <row r="610" spans="1:20" x14ac:dyDescent="0.25">
      <c r="A610" s="5">
        <v>43983</v>
      </c>
      <c r="B610">
        <v>0.19350000000000001</v>
      </c>
      <c r="C610">
        <v>0.20619999999999999</v>
      </c>
      <c r="D610">
        <v>0.19350000000000001</v>
      </c>
      <c r="E610">
        <v>0.19800000000000001</v>
      </c>
      <c r="F610">
        <v>5254928.59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-0.29133858267716412</v>
      </c>
      <c r="Q610">
        <f t="shared" si="990"/>
        <v>-1530963.4474803084</v>
      </c>
      <c r="R610">
        <f t="shared" si="991"/>
        <v>-127984276.59880035</v>
      </c>
      <c r="S610">
        <f t="shared" si="992"/>
        <v>-1279.8427659880035</v>
      </c>
      <c r="T610">
        <f t="shared" si="993"/>
        <v>-1.2798427659880036</v>
      </c>
    </row>
    <row r="611" spans="1:20" x14ac:dyDescent="0.25">
      <c r="A611" s="5">
        <v>43982</v>
      </c>
      <c r="B611">
        <v>0.19389999999999999</v>
      </c>
      <c r="C611">
        <v>0.20849999999999999</v>
      </c>
      <c r="D611">
        <v>0.19009999999999999</v>
      </c>
      <c r="E611">
        <v>0.19309999999999999</v>
      </c>
      <c r="F611">
        <v>7161981.7800000003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-0.67391304347826053</v>
      </c>
      <c r="Q611">
        <f t="shared" si="990"/>
        <v>-4826552.9386956496</v>
      </c>
      <c r="R611">
        <f t="shared" si="991"/>
        <v>-126453313.15132004</v>
      </c>
      <c r="S611">
        <f t="shared" si="992"/>
        <v>-1264.5331315132005</v>
      </c>
      <c r="T611">
        <f t="shared" si="993"/>
        <v>-1.2645331315132005</v>
      </c>
    </row>
    <row r="612" spans="1:20" x14ac:dyDescent="0.25">
      <c r="A612" s="5">
        <v>43981</v>
      </c>
      <c r="B612">
        <v>0.18870000000000001</v>
      </c>
      <c r="C612">
        <v>0.19900000000000001</v>
      </c>
      <c r="D612">
        <v>0.18720000000000001</v>
      </c>
      <c r="E612">
        <v>0.1938</v>
      </c>
      <c r="F612">
        <v>5457084.8399999999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0.11864406779660881</v>
      </c>
      <c r="Q612">
        <f t="shared" si="990"/>
        <v>647450.74372880615</v>
      </c>
      <c r="R612">
        <f t="shared" si="991"/>
        <v>-121626760.21262439</v>
      </c>
      <c r="S612">
        <f t="shared" si="992"/>
        <v>-1216.2676021262439</v>
      </c>
      <c r="T612">
        <f t="shared" si="993"/>
        <v>-1.216267602126244</v>
      </c>
    </row>
    <row r="613" spans="1:20" x14ac:dyDescent="0.25">
      <c r="A613" s="5">
        <v>43980</v>
      </c>
      <c r="B613">
        <v>0.1905</v>
      </c>
      <c r="C613">
        <v>0.19189999999999999</v>
      </c>
      <c r="D613">
        <v>0.185</v>
      </c>
      <c r="E613">
        <v>0.18870000000000001</v>
      </c>
      <c r="F613">
        <v>3296455.79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7.2463768115946223E-2</v>
      </c>
      <c r="Q613">
        <f t="shared" si="990"/>
        <v>238873.60797102831</v>
      </c>
      <c r="R613">
        <f t="shared" si="991"/>
        <v>-122274210.95635319</v>
      </c>
      <c r="S613">
        <f t="shared" si="992"/>
        <v>-1222.7421095635318</v>
      </c>
      <c r="T613">
        <f t="shared" si="993"/>
        <v>-1.2227421095635318</v>
      </c>
    </row>
    <row r="614" spans="1:20" x14ac:dyDescent="0.25">
      <c r="A614" s="5">
        <v>43979</v>
      </c>
      <c r="B614">
        <v>0.18959999999999999</v>
      </c>
      <c r="C614">
        <v>0.19409999999999999</v>
      </c>
      <c r="D614">
        <v>0.1875</v>
      </c>
      <c r="E614">
        <v>0.1905</v>
      </c>
      <c r="F614">
        <v>3650087.08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-9.0909090909089385E-2</v>
      </c>
      <c r="Q614">
        <f t="shared" si="990"/>
        <v>-331826.09818181262</v>
      </c>
      <c r="R614">
        <f t="shared" si="991"/>
        <v>-122513084.56432422</v>
      </c>
      <c r="S614">
        <f t="shared" si="992"/>
        <v>-1225.1308456432421</v>
      </c>
      <c r="T614">
        <f t="shared" si="993"/>
        <v>-1.2251308456432422</v>
      </c>
    </row>
    <row r="615" spans="1:20" x14ac:dyDescent="0.25">
      <c r="A615" s="5">
        <v>43978</v>
      </c>
      <c r="B615">
        <v>0.193</v>
      </c>
      <c r="C615">
        <v>0.19889999999999999</v>
      </c>
      <c r="D615">
        <v>0.182</v>
      </c>
      <c r="E615">
        <v>0.18959999999999999</v>
      </c>
      <c r="F615">
        <v>6208241.3799999999</v>
      </c>
      <c r="G615">
        <v>0</v>
      </c>
      <c r="L615" t="s">
        <v>8</v>
      </c>
      <c r="M615" t="s">
        <v>7</v>
      </c>
      <c r="N615" t="s">
        <v>8</v>
      </c>
      <c r="P615">
        <f t="shared" si="989"/>
        <v>-0.10059171597633179</v>
      </c>
      <c r="Q615">
        <f t="shared" si="990"/>
        <v>-624497.65360947012</v>
      </c>
      <c r="R615">
        <f t="shared" si="991"/>
        <v>-122181258.4661424</v>
      </c>
      <c r="S615">
        <f t="shared" si="992"/>
        <v>-1221.8125846614239</v>
      </c>
      <c r="T615">
        <f t="shared" si="993"/>
        <v>-1.2218125846614238</v>
      </c>
    </row>
    <row r="616" spans="1:20" x14ac:dyDescent="0.25">
      <c r="A616" s="5">
        <v>43977</v>
      </c>
      <c r="B616">
        <v>0.18809999999999999</v>
      </c>
      <c r="C616">
        <v>0.19500000000000001</v>
      </c>
      <c r="D616">
        <v>0.17879999999999999</v>
      </c>
      <c r="E616">
        <v>0.19239999999999999</v>
      </c>
      <c r="F616">
        <v>7328375.8099999996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0.67901234567901037</v>
      </c>
      <c r="Q616">
        <f t="shared" si="990"/>
        <v>4976057.6487654177</v>
      </c>
      <c r="R616">
        <f t="shared" si="991"/>
        <v>-121556760.81253293</v>
      </c>
      <c r="S616">
        <f t="shared" si="992"/>
        <v>-1215.5676081253293</v>
      </c>
      <c r="T616">
        <f t="shared" si="993"/>
        <v>-1.2155676081253293</v>
      </c>
    </row>
    <row r="617" spans="1:20" x14ac:dyDescent="0.25">
      <c r="A617" s="5">
        <v>43976</v>
      </c>
      <c r="B617">
        <v>0.17280000000000001</v>
      </c>
      <c r="C617">
        <v>0.19320000000000001</v>
      </c>
      <c r="D617">
        <v>0.1721</v>
      </c>
      <c r="E617">
        <v>0.18740000000000001</v>
      </c>
      <c r="F617">
        <v>7327907.9299999997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0.45023696682464481</v>
      </c>
      <c r="Q617">
        <f t="shared" si="990"/>
        <v>3299295.0395734613</v>
      </c>
      <c r="R617">
        <f t="shared" si="991"/>
        <v>-126532818.46129835</v>
      </c>
      <c r="S617">
        <f t="shared" si="992"/>
        <v>-1265.3281846129835</v>
      </c>
      <c r="T617">
        <f t="shared" si="993"/>
        <v>-1.2653281846129836</v>
      </c>
    </row>
    <row r="618" spans="1:20" x14ac:dyDescent="0.25">
      <c r="A618" s="5">
        <v>43975</v>
      </c>
      <c r="B618">
        <v>0.18820000000000001</v>
      </c>
      <c r="C618">
        <v>0.20979999999999999</v>
      </c>
      <c r="D618">
        <v>0.17180000000000001</v>
      </c>
      <c r="E618">
        <v>0.1726</v>
      </c>
      <c r="F618">
        <v>10248054.77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-0.95789473684210547</v>
      </c>
      <c r="Q618">
        <f t="shared" si="990"/>
        <v>-9816557.7270526327</v>
      </c>
      <c r="R618">
        <f t="shared" si="991"/>
        <v>-129832113.50087181</v>
      </c>
      <c r="S618">
        <f t="shared" si="992"/>
        <v>-1298.3211350087181</v>
      </c>
      <c r="T618">
        <f t="shared" si="993"/>
        <v>-1.298321135008718</v>
      </c>
    </row>
    <row r="619" spans="1:20" x14ac:dyDescent="0.25">
      <c r="A619" s="5">
        <v>43974</v>
      </c>
      <c r="B619">
        <v>0.18</v>
      </c>
      <c r="C619">
        <v>0.19620000000000001</v>
      </c>
      <c r="D619">
        <v>0.17829999999999999</v>
      </c>
      <c r="E619">
        <v>0.18759999999999999</v>
      </c>
      <c r="F619">
        <v>7173588.7800000003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3.9106145251395386E-2</v>
      </c>
      <c r="Q619">
        <f t="shared" si="990"/>
        <v>280531.40480446024</v>
      </c>
      <c r="R619">
        <f t="shared" si="991"/>
        <v>-120015555.77381918</v>
      </c>
      <c r="S619">
        <f t="shared" si="992"/>
        <v>-1200.1555577381919</v>
      </c>
      <c r="T619">
        <f t="shared" si="993"/>
        <v>-1.2001555577381919</v>
      </c>
    </row>
    <row r="620" spans="1:20" x14ac:dyDescent="0.25">
      <c r="A620" s="5">
        <v>43973</v>
      </c>
      <c r="B620">
        <v>0.1731</v>
      </c>
      <c r="C620">
        <v>0.185</v>
      </c>
      <c r="D620">
        <v>0.17</v>
      </c>
      <c r="E620">
        <v>0.1799</v>
      </c>
      <c r="F620">
        <v>5703639.4299999997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0.32000000000000023</v>
      </c>
      <c r="Q620">
        <f t="shared" si="990"/>
        <v>1825164.6176000012</v>
      </c>
      <c r="R620">
        <f t="shared" si="991"/>
        <v>-120296087.17862363</v>
      </c>
      <c r="S620">
        <f t="shared" si="992"/>
        <v>-1202.9608717862363</v>
      </c>
      <c r="T620">
        <f t="shared" si="993"/>
        <v>-1.2029608717862363</v>
      </c>
    </row>
    <row r="621" spans="1:20" x14ac:dyDescent="0.25">
      <c r="A621" s="5">
        <v>43972</v>
      </c>
      <c r="B621">
        <v>0.18629999999999999</v>
      </c>
      <c r="C621">
        <v>0.18629999999999999</v>
      </c>
      <c r="D621">
        <v>0.16539999999999999</v>
      </c>
      <c r="E621">
        <v>0.1739</v>
      </c>
      <c r="F621">
        <v>9098463.8300000001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-0.18660287081339649</v>
      </c>
      <c r="Q621">
        <f t="shared" si="990"/>
        <v>-1697799.4706698507</v>
      </c>
      <c r="R621">
        <f t="shared" si="991"/>
        <v>-122121251.79622363</v>
      </c>
      <c r="S621">
        <f t="shared" si="992"/>
        <v>-1221.2125179622362</v>
      </c>
      <c r="T621">
        <f t="shared" si="993"/>
        <v>-1.2212125179622362</v>
      </c>
    </row>
    <row r="622" spans="1:20" x14ac:dyDescent="0.25">
      <c r="A622" s="5">
        <v>43971</v>
      </c>
      <c r="B622">
        <v>0.1981</v>
      </c>
      <c r="C622">
        <v>0.2</v>
      </c>
      <c r="D622">
        <v>0.17699999999999999</v>
      </c>
      <c r="E622">
        <v>0.1862</v>
      </c>
      <c r="F622">
        <v>9087371.2799999993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-0.19999999999999951</v>
      </c>
      <c r="Q622">
        <f t="shared" si="990"/>
        <v>-1817474.2559999954</v>
      </c>
      <c r="R622">
        <f t="shared" si="991"/>
        <v>-120423452.32555377</v>
      </c>
      <c r="S622">
        <f t="shared" si="992"/>
        <v>-1204.2345232555379</v>
      </c>
      <c r="T622">
        <f t="shared" si="993"/>
        <v>-1.2042345232555378</v>
      </c>
    </row>
    <row r="623" spans="1:20" x14ac:dyDescent="0.25">
      <c r="A623" s="5">
        <v>43970</v>
      </c>
      <c r="B623">
        <v>0.1971</v>
      </c>
      <c r="C623">
        <v>0.20519999999999999</v>
      </c>
      <c r="D623">
        <v>0.17910000000000001</v>
      </c>
      <c r="E623">
        <v>0.19839999999999999</v>
      </c>
      <c r="F623">
        <v>16077794.26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0.47892720306513376</v>
      </c>
      <c r="Q623">
        <f t="shared" si="990"/>
        <v>7700093.036398462</v>
      </c>
      <c r="R623">
        <f t="shared" si="991"/>
        <v>-118605978.06955378</v>
      </c>
      <c r="S623">
        <f t="shared" si="992"/>
        <v>-1186.0597806955377</v>
      </c>
      <c r="T623">
        <f t="shared" si="993"/>
        <v>-1.1860597806955377</v>
      </c>
    </row>
    <row r="624" spans="1:20" x14ac:dyDescent="0.25">
      <c r="A624" s="5">
        <v>43969</v>
      </c>
      <c r="B624">
        <v>0.16619999999999999</v>
      </c>
      <c r="C624">
        <v>0.2</v>
      </c>
      <c r="D624">
        <v>0.16619999999999999</v>
      </c>
      <c r="E624">
        <v>0.19700000000000001</v>
      </c>
      <c r="F624">
        <v>13582283.85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0.8224852071005917</v>
      </c>
      <c r="Q624">
        <f t="shared" si="990"/>
        <v>11171227.545266273</v>
      </c>
      <c r="R624">
        <f t="shared" si="991"/>
        <v>-126306071.10595223</v>
      </c>
      <c r="S624">
        <f t="shared" si="992"/>
        <v>-1263.0607110595224</v>
      </c>
      <c r="T624">
        <f t="shared" si="993"/>
        <v>-1.2630607110595224</v>
      </c>
    </row>
    <row r="625" spans="1:20" x14ac:dyDescent="0.25">
      <c r="A625" s="5">
        <v>43968</v>
      </c>
      <c r="B625">
        <v>0.1656</v>
      </c>
      <c r="C625">
        <v>0.17899999999999999</v>
      </c>
      <c r="D625">
        <v>0.16500000000000001</v>
      </c>
      <c r="E625">
        <v>0.16619999999999999</v>
      </c>
      <c r="F625">
        <v>7800463.9299999997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-0.8285714285714314</v>
      </c>
      <c r="Q625">
        <f t="shared" si="990"/>
        <v>-6463241.5420000218</v>
      </c>
      <c r="R625">
        <f t="shared" si="991"/>
        <v>-137477298.6512185</v>
      </c>
      <c r="S625">
        <f t="shared" si="992"/>
        <v>-1374.7729865121851</v>
      </c>
      <c r="T625">
        <f t="shared" si="993"/>
        <v>-1.3747729865121852</v>
      </c>
    </row>
    <row r="626" spans="1:20" x14ac:dyDescent="0.25">
      <c r="A626" s="5">
        <v>43967</v>
      </c>
      <c r="B626">
        <v>0.1605</v>
      </c>
      <c r="C626">
        <v>0.1704</v>
      </c>
      <c r="D626">
        <v>0.158</v>
      </c>
      <c r="E626">
        <v>0.1656</v>
      </c>
      <c r="F626">
        <v>4153096.33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0.22580645161290308</v>
      </c>
      <c r="Q626">
        <f t="shared" si="990"/>
        <v>937795.94548387034</v>
      </c>
      <c r="R626">
        <f t="shared" si="991"/>
        <v>-131014057.10921848</v>
      </c>
      <c r="S626">
        <f t="shared" si="992"/>
        <v>-1310.1405710921847</v>
      </c>
      <c r="T626">
        <f t="shared" si="993"/>
        <v>-1.3101405710921847</v>
      </c>
    </row>
    <row r="627" spans="1:20" x14ac:dyDescent="0.25">
      <c r="A627" s="5">
        <v>43966</v>
      </c>
      <c r="B627">
        <v>0.1638</v>
      </c>
      <c r="C627">
        <v>0.16950000000000001</v>
      </c>
      <c r="D627">
        <v>0.155</v>
      </c>
      <c r="E627">
        <v>0.1608</v>
      </c>
      <c r="F627">
        <v>5379142.3799999999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-0.20000000000000076</v>
      </c>
      <c r="Q627">
        <f t="shared" si="990"/>
        <v>-1075828.476000004</v>
      </c>
      <c r="R627">
        <f t="shared" si="991"/>
        <v>-131951853.05470234</v>
      </c>
      <c r="S627">
        <f t="shared" si="992"/>
        <v>-1319.5185305470234</v>
      </c>
      <c r="T627">
        <f t="shared" si="993"/>
        <v>-1.3195185305470234</v>
      </c>
    </row>
    <row r="628" spans="1:20" x14ac:dyDescent="0.25">
      <c r="A628" s="5">
        <v>43965</v>
      </c>
      <c r="B628">
        <v>0.16830000000000001</v>
      </c>
      <c r="C628">
        <v>0.17369999999999999</v>
      </c>
      <c r="D628">
        <v>0.1613</v>
      </c>
      <c r="E628">
        <v>0.16350000000000001</v>
      </c>
      <c r="F628">
        <v>5649688.2000000002</v>
      </c>
      <c r="G628">
        <v>0</v>
      </c>
      <c r="L628" t="s">
        <v>7</v>
      </c>
      <c r="M628" t="s">
        <v>8</v>
      </c>
      <c r="N628" t="s">
        <v>7</v>
      </c>
      <c r="P628">
        <f t="shared" si="989"/>
        <v>-0.64516129032257929</v>
      </c>
      <c r="Q628">
        <f t="shared" si="990"/>
        <v>-3644960.1290322505</v>
      </c>
      <c r="R628">
        <f t="shared" si="991"/>
        <v>-130876024.57870233</v>
      </c>
      <c r="S628">
        <f t="shared" si="992"/>
        <v>-1308.7602457870232</v>
      </c>
      <c r="T628">
        <f t="shared" si="993"/>
        <v>-1.3087602457870233</v>
      </c>
    </row>
    <row r="629" spans="1:20" x14ac:dyDescent="0.25">
      <c r="A629" s="5">
        <v>43964</v>
      </c>
      <c r="B629">
        <v>0.16450000000000001</v>
      </c>
      <c r="C629">
        <v>0.1865</v>
      </c>
      <c r="D629">
        <v>0.16070000000000001</v>
      </c>
      <c r="E629">
        <v>0.16819999999999999</v>
      </c>
      <c r="F629">
        <v>11156931.380000001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-0.41860465116279211</v>
      </c>
      <c r="Q629">
        <f t="shared" si="990"/>
        <v>-4670343.3683721088</v>
      </c>
      <c r="R629">
        <f t="shared" si="991"/>
        <v>-127231064.44967008</v>
      </c>
      <c r="S629">
        <f t="shared" si="992"/>
        <v>-1272.3106444967007</v>
      </c>
      <c r="T629">
        <f t="shared" si="993"/>
        <v>-1.2723106444967007</v>
      </c>
    </row>
    <row r="630" spans="1:20" x14ac:dyDescent="0.25">
      <c r="A630" s="5">
        <v>43963</v>
      </c>
      <c r="B630">
        <v>0.14779999999999999</v>
      </c>
      <c r="C630">
        <v>0.16669999999999999</v>
      </c>
      <c r="D630">
        <v>0.14460000000000001</v>
      </c>
      <c r="E630">
        <v>0.16539999999999999</v>
      </c>
      <c r="F630">
        <v>6622763.1900000004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0.8823529411764709</v>
      </c>
      <c r="Q630">
        <f t="shared" si="990"/>
        <v>5843614.5794117674</v>
      </c>
      <c r="R630">
        <f t="shared" si="991"/>
        <v>-122560721.08129796</v>
      </c>
      <c r="S630">
        <f t="shared" si="992"/>
        <v>-1225.6072108129797</v>
      </c>
      <c r="T630">
        <f t="shared" si="993"/>
        <v>-1.2256072108129796</v>
      </c>
    </row>
    <row r="631" spans="1:20" x14ac:dyDescent="0.25">
      <c r="A631" s="5">
        <v>43962</v>
      </c>
      <c r="B631">
        <v>0.15179999999999999</v>
      </c>
      <c r="C631">
        <v>0.159</v>
      </c>
      <c r="D631">
        <v>0.13869999999999999</v>
      </c>
      <c r="E631">
        <v>0.14779999999999999</v>
      </c>
      <c r="F631">
        <v>4891536.54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-0.10344827586206981</v>
      </c>
      <c r="Q631">
        <f t="shared" si="990"/>
        <v>-506021.02137931448</v>
      </c>
      <c r="R631">
        <f t="shared" si="991"/>
        <v>-128404335.66070974</v>
      </c>
      <c r="S631">
        <f t="shared" si="992"/>
        <v>-1284.0433566070974</v>
      </c>
      <c r="T631">
        <f t="shared" si="993"/>
        <v>-1.2840433566070975</v>
      </c>
    </row>
    <row r="632" spans="1:20" x14ac:dyDescent="0.25">
      <c r="A632" s="5">
        <v>43961</v>
      </c>
      <c r="B632">
        <v>0.1769</v>
      </c>
      <c r="C632">
        <v>0.1774</v>
      </c>
      <c r="D632">
        <v>0.14050000000000001</v>
      </c>
      <c r="E632">
        <v>0.15210000000000001</v>
      </c>
      <c r="F632">
        <v>9342815.2799999993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-0.37127371273712723</v>
      </c>
      <c r="Q632">
        <f t="shared" si="990"/>
        <v>-3468741.7164227627</v>
      </c>
      <c r="R632">
        <f t="shared" si="991"/>
        <v>-127898314.63933042</v>
      </c>
      <c r="S632">
        <f t="shared" si="992"/>
        <v>-1278.9831463933042</v>
      </c>
      <c r="T632">
        <f t="shared" si="993"/>
        <v>-1.2789831463933041</v>
      </c>
    </row>
    <row r="633" spans="1:20" x14ac:dyDescent="0.25">
      <c r="A633" s="5">
        <v>43960</v>
      </c>
      <c r="B633">
        <v>0.17169999999999999</v>
      </c>
      <c r="C633">
        <v>0.1885</v>
      </c>
      <c r="D633">
        <v>0.1691</v>
      </c>
      <c r="E633">
        <v>0.1769</v>
      </c>
      <c r="F633">
        <v>7021601.6399999997</v>
      </c>
      <c r="G633">
        <v>0</v>
      </c>
      <c r="L633" t="s">
        <v>8</v>
      </c>
      <c r="M633" t="s">
        <v>7</v>
      </c>
      <c r="N633" t="s">
        <v>7</v>
      </c>
      <c r="P633">
        <f t="shared" si="989"/>
        <v>-0.1958762886597937</v>
      </c>
      <c r="Q633">
        <f t="shared" si="990"/>
        <v>-1375365.2696907208</v>
      </c>
      <c r="R633">
        <f t="shared" si="991"/>
        <v>-124429572.92290765</v>
      </c>
      <c r="S633">
        <f t="shared" si="992"/>
        <v>-1244.2957292290764</v>
      </c>
      <c r="T633">
        <f t="shared" si="993"/>
        <v>-1.2442957292290764</v>
      </c>
    </row>
    <row r="634" spans="1:20" x14ac:dyDescent="0.25">
      <c r="A634" s="5">
        <v>43959</v>
      </c>
      <c r="B634">
        <v>0.17230000000000001</v>
      </c>
      <c r="C634">
        <v>0.1777</v>
      </c>
      <c r="D634">
        <v>0.16350000000000001</v>
      </c>
      <c r="E634">
        <v>0.17169999999999999</v>
      </c>
      <c r="F634">
        <v>7246241.0899999999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0.15492957746478742</v>
      </c>
      <c r="Q634">
        <f t="shared" si="990"/>
        <v>1122657.0702816807</v>
      </c>
      <c r="R634">
        <f t="shared" si="991"/>
        <v>-123054207.65321693</v>
      </c>
      <c r="S634">
        <f t="shared" si="992"/>
        <v>-1230.5420765321692</v>
      </c>
      <c r="T634">
        <f t="shared" si="993"/>
        <v>-1.2305420765321691</v>
      </c>
    </row>
    <row r="635" spans="1:20" x14ac:dyDescent="0.25">
      <c r="A635" s="5">
        <v>43958</v>
      </c>
      <c r="B635">
        <v>0.1825</v>
      </c>
      <c r="C635">
        <v>0.18659999999999999</v>
      </c>
      <c r="D635">
        <v>0.15759999999999999</v>
      </c>
      <c r="E635">
        <v>0.17230000000000001</v>
      </c>
      <c r="F635">
        <v>10990235.77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1.3793103448277215E-2</v>
      </c>
      <c r="Q635">
        <f t="shared" si="990"/>
        <v>151589.45889656659</v>
      </c>
      <c r="R635">
        <f t="shared" si="991"/>
        <v>-124176864.72349861</v>
      </c>
      <c r="S635">
        <f t="shared" si="992"/>
        <v>-1241.768647234986</v>
      </c>
      <c r="T635">
        <f t="shared" si="993"/>
        <v>-1.241768647234986</v>
      </c>
    </row>
    <row r="636" spans="1:20" x14ac:dyDescent="0.25">
      <c r="A636" s="5">
        <v>43957</v>
      </c>
      <c r="B636">
        <v>0.1973</v>
      </c>
      <c r="C636">
        <v>0.1978</v>
      </c>
      <c r="D636">
        <v>0.1807</v>
      </c>
      <c r="E636">
        <v>0.18260000000000001</v>
      </c>
      <c r="F636">
        <v>7497544.3399999999</v>
      </c>
      <c r="G636">
        <v>0</v>
      </c>
      <c r="L636" t="s">
        <v>7</v>
      </c>
      <c r="M636" t="s">
        <v>7</v>
      </c>
      <c r="N636" t="s">
        <v>7</v>
      </c>
      <c r="P636">
        <f t="shared" si="989"/>
        <v>-0.77777777777777635</v>
      </c>
      <c r="Q636">
        <f t="shared" si="990"/>
        <v>-5831423.3755555451</v>
      </c>
      <c r="R636">
        <f t="shared" si="991"/>
        <v>-124328454.18239518</v>
      </c>
      <c r="S636">
        <f t="shared" si="992"/>
        <v>-1243.2845418239517</v>
      </c>
      <c r="T636">
        <f t="shared" si="993"/>
        <v>-1.2432845418239518</v>
      </c>
    </row>
    <row r="637" spans="1:20" x14ac:dyDescent="0.25">
      <c r="A637" s="5">
        <v>43956</v>
      </c>
      <c r="B637">
        <v>0.21160000000000001</v>
      </c>
      <c r="C637">
        <v>0.2132</v>
      </c>
      <c r="D637">
        <v>0.18990000000000001</v>
      </c>
      <c r="E637">
        <v>0.1973</v>
      </c>
      <c r="F637">
        <v>12100214.380000001</v>
      </c>
      <c r="G637">
        <v>0</v>
      </c>
      <c r="L637" t="s">
        <v>7</v>
      </c>
      <c r="M637" t="s">
        <v>7</v>
      </c>
      <c r="N637" t="s">
        <v>7</v>
      </c>
      <c r="P637">
        <f t="shared" si="989"/>
        <v>-0.36480686695279024</v>
      </c>
      <c r="Q637">
        <f t="shared" si="990"/>
        <v>-4414241.2974248994</v>
      </c>
      <c r="R637">
        <f t="shared" si="991"/>
        <v>-118497030.80683963</v>
      </c>
      <c r="S637">
        <f t="shared" si="992"/>
        <v>-1184.9703080683962</v>
      </c>
      <c r="T637">
        <f t="shared" si="993"/>
        <v>-1.1849703080683962</v>
      </c>
    </row>
    <row r="638" spans="1:20" x14ac:dyDescent="0.25">
      <c r="A638" s="5">
        <v>43955</v>
      </c>
      <c r="B638">
        <v>0.2248</v>
      </c>
      <c r="C638">
        <v>0.22539999999999999</v>
      </c>
      <c r="D638">
        <v>0.2</v>
      </c>
      <c r="E638">
        <v>0.21149999999999999</v>
      </c>
      <c r="F638">
        <v>5370592.9500000002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-9.4488188976378548E-2</v>
      </c>
      <c r="Q638">
        <f t="shared" si="990"/>
        <v>-507457.60157480638</v>
      </c>
      <c r="R638">
        <f t="shared" si="991"/>
        <v>-114082789.50941473</v>
      </c>
      <c r="S638">
        <f t="shared" si="992"/>
        <v>-1140.8278950941474</v>
      </c>
      <c r="T638">
        <f t="shared" si="993"/>
        <v>-1.1408278950941473</v>
      </c>
    </row>
    <row r="639" spans="1:20" x14ac:dyDescent="0.25">
      <c r="A639" s="5">
        <v>43954</v>
      </c>
      <c r="B639">
        <v>0.23130000000000001</v>
      </c>
      <c r="C639">
        <v>0.23200000000000001</v>
      </c>
      <c r="D639">
        <v>0.221</v>
      </c>
      <c r="E639">
        <v>0.22439999999999999</v>
      </c>
      <c r="F639">
        <v>3817410.26</v>
      </c>
      <c r="G639">
        <v>0</v>
      </c>
      <c r="L639" t="s">
        <v>7</v>
      </c>
      <c r="M639" t="s">
        <v>8</v>
      </c>
      <c r="N639" t="s">
        <v>7</v>
      </c>
      <c r="P639">
        <f t="shared" si="989"/>
        <v>-0.38181818181818483</v>
      </c>
      <c r="Q639">
        <f t="shared" si="990"/>
        <v>-1457556.6447272841</v>
      </c>
      <c r="R639">
        <f t="shared" si="991"/>
        <v>-113575331.90783992</v>
      </c>
      <c r="S639">
        <f t="shared" si="992"/>
        <v>-1135.7533190783993</v>
      </c>
      <c r="T639">
        <f t="shared" si="993"/>
        <v>-1.1357533190783993</v>
      </c>
    </row>
    <row r="640" spans="1:20" x14ac:dyDescent="0.25">
      <c r="A640" s="5">
        <v>43953</v>
      </c>
      <c r="B640">
        <v>0.2303</v>
      </c>
      <c r="C640">
        <v>0.25290000000000001</v>
      </c>
      <c r="D640">
        <v>0.2281</v>
      </c>
      <c r="E640">
        <v>0.23150000000000001</v>
      </c>
      <c r="F640">
        <v>8500428.8800000008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-0.72580645161290225</v>
      </c>
      <c r="Q640">
        <f t="shared" si="990"/>
        <v>-6169666.1225806372</v>
      </c>
      <c r="R640">
        <f t="shared" si="991"/>
        <v>-112117775.26311263</v>
      </c>
      <c r="S640">
        <f t="shared" si="992"/>
        <v>-1121.1777526311264</v>
      </c>
      <c r="T640">
        <f t="shared" si="993"/>
        <v>-1.1211777526311264</v>
      </c>
    </row>
    <row r="641" spans="1:20" x14ac:dyDescent="0.25">
      <c r="A641" s="5">
        <v>43952</v>
      </c>
      <c r="B641">
        <v>0.22239999999999999</v>
      </c>
      <c r="C641">
        <v>0.24049999999999999</v>
      </c>
      <c r="D641">
        <v>0.22239999999999999</v>
      </c>
      <c r="E641">
        <v>0.23019999999999999</v>
      </c>
      <c r="F641">
        <v>5463327.9699999997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-0.13812154696132606</v>
      </c>
      <c r="Q641">
        <f t="shared" si="990"/>
        <v>-754603.31077348115</v>
      </c>
      <c r="R641">
        <f t="shared" si="991"/>
        <v>-105948109.140532</v>
      </c>
      <c r="S641">
        <f t="shared" si="992"/>
        <v>-1059.4810914053201</v>
      </c>
      <c r="T641">
        <f t="shared" si="993"/>
        <v>-1.0594810914053201</v>
      </c>
    </row>
    <row r="642" spans="1:20" x14ac:dyDescent="0.25">
      <c r="A642" s="5">
        <v>43951</v>
      </c>
      <c r="B642">
        <v>0.2354</v>
      </c>
      <c r="C642">
        <v>0.23830000000000001</v>
      </c>
      <c r="D642">
        <v>0.22009999999999999</v>
      </c>
      <c r="E642">
        <v>0.22289999999999999</v>
      </c>
      <c r="F642">
        <v>4306867.25</v>
      </c>
      <c r="G642">
        <v>0</v>
      </c>
      <c r="L642" t="s">
        <v>7</v>
      </c>
      <c r="M642" t="s">
        <v>8</v>
      </c>
      <c r="N642" t="s">
        <v>7</v>
      </c>
      <c r="P642">
        <f t="shared" si="989"/>
        <v>-0.69230769230769296</v>
      </c>
      <c r="Q642">
        <f t="shared" si="990"/>
        <v>-2981677.3269230798</v>
      </c>
      <c r="R642">
        <f t="shared" si="991"/>
        <v>-105193505.82975852</v>
      </c>
      <c r="S642">
        <f t="shared" si="992"/>
        <v>-1051.9350582975853</v>
      </c>
      <c r="T642">
        <f t="shared" si="993"/>
        <v>-1.0519350582975853</v>
      </c>
    </row>
    <row r="643" spans="1:20" x14ac:dyDescent="0.25">
      <c r="A643" s="5">
        <v>43950</v>
      </c>
      <c r="B643">
        <v>0.23</v>
      </c>
      <c r="C643">
        <v>0.23860000000000001</v>
      </c>
      <c r="D643">
        <v>0.22570000000000001</v>
      </c>
      <c r="E643">
        <v>0.2354</v>
      </c>
      <c r="F643">
        <v>4873895.07</v>
      </c>
      <c r="G643">
        <v>0</v>
      </c>
      <c r="L643" t="s">
        <v>7</v>
      </c>
      <c r="M643" t="s">
        <v>8</v>
      </c>
      <c r="N643" t="s">
        <v>7</v>
      </c>
      <c r="P643">
        <f t="shared" si="989"/>
        <v>0.50387596899224651</v>
      </c>
      <c r="Q643">
        <f t="shared" si="990"/>
        <v>2455838.6011627833</v>
      </c>
      <c r="R643">
        <f t="shared" si="991"/>
        <v>-102211828.50283544</v>
      </c>
      <c r="S643">
        <f t="shared" si="992"/>
        <v>-1022.1182850283544</v>
      </c>
      <c r="T643">
        <f t="shared" si="993"/>
        <v>-1.0221182850283543</v>
      </c>
    </row>
    <row r="644" spans="1:20" x14ac:dyDescent="0.25">
      <c r="A644" s="5">
        <v>43949</v>
      </c>
      <c r="B644">
        <v>0.23039999999999999</v>
      </c>
      <c r="C644">
        <v>0.2359</v>
      </c>
      <c r="D644">
        <v>0.22650000000000001</v>
      </c>
      <c r="E644">
        <v>0.23</v>
      </c>
      <c r="F644">
        <v>1666854.89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-0.25531914893616892</v>
      </c>
      <c r="Q644">
        <f t="shared" si="990"/>
        <v>-425579.97191489144</v>
      </c>
      <c r="R644">
        <f t="shared" si="991"/>
        <v>-104667667.10399821</v>
      </c>
      <c r="S644">
        <f t="shared" si="992"/>
        <v>-1046.6766710399822</v>
      </c>
      <c r="T644">
        <f t="shared" si="993"/>
        <v>-1.0466766710399822</v>
      </c>
    </row>
    <row r="645" spans="1:20" x14ac:dyDescent="0.25">
      <c r="A645" s="5">
        <v>43948</v>
      </c>
      <c r="B645">
        <v>0.23930000000000001</v>
      </c>
      <c r="C645">
        <v>0.24340000000000001</v>
      </c>
      <c r="D645">
        <v>0.223</v>
      </c>
      <c r="E645">
        <v>0.23069999999999999</v>
      </c>
      <c r="F645">
        <v>3479632.98</v>
      </c>
      <c r="G645">
        <v>0</v>
      </c>
      <c r="L645" t="s">
        <v>7</v>
      </c>
      <c r="M645" t="s">
        <v>8</v>
      </c>
      <c r="N645" t="s">
        <v>7</v>
      </c>
      <c r="P645">
        <f t="shared" si="989"/>
        <v>-0.24509803921568785</v>
      </c>
      <c r="Q645">
        <f t="shared" si="990"/>
        <v>-852851.22058824077</v>
      </c>
      <c r="R645">
        <f t="shared" si="991"/>
        <v>-104242087.13208333</v>
      </c>
      <c r="S645">
        <f t="shared" si="992"/>
        <v>-1042.4208713208332</v>
      </c>
      <c r="T645">
        <f t="shared" si="993"/>
        <v>-1.0424208713208332</v>
      </c>
    </row>
    <row r="646" spans="1:20" x14ac:dyDescent="0.25">
      <c r="A646" s="5">
        <v>43947</v>
      </c>
      <c r="B646">
        <v>0.22989999999999999</v>
      </c>
      <c r="C646">
        <v>0.24579999999999999</v>
      </c>
      <c r="D646">
        <v>0.22950000000000001</v>
      </c>
      <c r="E646">
        <v>0.2392</v>
      </c>
      <c r="F646">
        <v>5825565.6399999997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0.19018404907975431</v>
      </c>
      <c r="Q646">
        <f t="shared" ref="Q646:Q709" si="995">F646*P646</f>
        <v>1107929.6615950903</v>
      </c>
      <c r="R646">
        <f t="shared" ref="R646:R709" si="996">R647+Q646</f>
        <v>-103389235.91149509</v>
      </c>
      <c r="S646">
        <f t="shared" ref="S646:S709" si="997">R646/100000</f>
        <v>-1033.892359114951</v>
      </c>
      <c r="T646">
        <f t="shared" ref="T646:T709" si="998">S646/1000</f>
        <v>-1.0338923591149509</v>
      </c>
    </row>
    <row r="647" spans="1:20" x14ac:dyDescent="0.25">
      <c r="A647" s="5">
        <v>43946</v>
      </c>
      <c r="B647">
        <v>0.22450000000000001</v>
      </c>
      <c r="C647">
        <v>0.2384</v>
      </c>
      <c r="D647">
        <v>0.22</v>
      </c>
      <c r="E647">
        <v>0.22989999999999999</v>
      </c>
      <c r="F647">
        <v>3753326.83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7.6086956521738289E-2</v>
      </c>
      <c r="Q647">
        <f t="shared" si="995"/>
        <v>285579.21532608382</v>
      </c>
      <c r="R647">
        <f t="shared" si="996"/>
        <v>-104497165.57309018</v>
      </c>
      <c r="S647">
        <f t="shared" si="997"/>
        <v>-1044.9716557309018</v>
      </c>
      <c r="T647">
        <f t="shared" si="998"/>
        <v>-1.0449716557309019</v>
      </c>
    </row>
    <row r="648" spans="1:20" x14ac:dyDescent="0.25">
      <c r="A648" s="5">
        <v>43945</v>
      </c>
      <c r="B648">
        <v>0.22409999999999999</v>
      </c>
      <c r="C648">
        <v>0.2336</v>
      </c>
      <c r="D648">
        <v>0.22059999999999999</v>
      </c>
      <c r="E648">
        <v>0.22500000000000001</v>
      </c>
      <c r="F648">
        <v>4337177.71</v>
      </c>
      <c r="G648">
        <v>0</v>
      </c>
      <c r="L648" t="s">
        <v>7</v>
      </c>
      <c r="M648" t="s">
        <v>7</v>
      </c>
      <c r="N648" t="s">
        <v>7</v>
      </c>
      <c r="P648">
        <f t="shared" si="994"/>
        <v>-0.32307692307692137</v>
      </c>
      <c r="Q648">
        <f t="shared" si="995"/>
        <v>-1401242.0293846079</v>
      </c>
      <c r="R648">
        <f t="shared" si="996"/>
        <v>-104782744.78841627</v>
      </c>
      <c r="S648">
        <f t="shared" si="997"/>
        <v>-1047.8274478841627</v>
      </c>
      <c r="T648">
        <f t="shared" si="998"/>
        <v>-1.0478274478841627</v>
      </c>
    </row>
    <row r="649" spans="1:20" x14ac:dyDescent="0.25">
      <c r="A649" s="5">
        <v>43944</v>
      </c>
      <c r="B649">
        <v>0.23019999999999999</v>
      </c>
      <c r="C649">
        <v>0.23649999999999999</v>
      </c>
      <c r="D649">
        <v>0.21809999999999999</v>
      </c>
      <c r="E649">
        <v>0.22359999999999999</v>
      </c>
      <c r="F649">
        <v>4281284.3099999996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-0.40217391304347772</v>
      </c>
      <c r="Q649">
        <f t="shared" si="995"/>
        <v>-1721820.8638043453</v>
      </c>
      <c r="R649">
        <f t="shared" si="996"/>
        <v>-103381502.75903165</v>
      </c>
      <c r="S649">
        <f t="shared" si="997"/>
        <v>-1033.8150275903165</v>
      </c>
      <c r="T649">
        <f t="shared" si="998"/>
        <v>-1.0338150275903164</v>
      </c>
    </row>
    <row r="650" spans="1:20" x14ac:dyDescent="0.25">
      <c r="A650" s="5">
        <v>43943</v>
      </c>
      <c r="B650">
        <v>0.21160000000000001</v>
      </c>
      <c r="C650">
        <v>0.23019999999999999</v>
      </c>
      <c r="D650">
        <v>0.21049999999999999</v>
      </c>
      <c r="E650">
        <v>0.23</v>
      </c>
      <c r="F650">
        <v>2451375.2999999998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0.97969543147208349</v>
      </c>
      <c r="Q650">
        <f t="shared" si="995"/>
        <v>2401601.1822335077</v>
      </c>
      <c r="R650">
        <f t="shared" si="996"/>
        <v>-101659681.89522731</v>
      </c>
      <c r="S650">
        <f t="shared" si="997"/>
        <v>-1016.5968189522731</v>
      </c>
      <c r="T650">
        <f t="shared" si="998"/>
        <v>-1.0165968189522732</v>
      </c>
    </row>
    <row r="651" spans="1:20" x14ac:dyDescent="0.25">
      <c r="A651" s="5">
        <v>43942</v>
      </c>
      <c r="B651">
        <v>0.21210000000000001</v>
      </c>
      <c r="C651">
        <v>0.21679999999999999</v>
      </c>
      <c r="D651">
        <v>0.20580000000000001</v>
      </c>
      <c r="E651">
        <v>0.21229999999999999</v>
      </c>
      <c r="F651">
        <v>1882254.87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0.18181818181817974</v>
      </c>
      <c r="Q651">
        <f t="shared" si="995"/>
        <v>342228.1581818143</v>
      </c>
      <c r="R651">
        <f t="shared" si="996"/>
        <v>-104061283.07746083</v>
      </c>
      <c r="S651">
        <f t="shared" si="997"/>
        <v>-1040.6128307746083</v>
      </c>
      <c r="T651">
        <f t="shared" si="998"/>
        <v>-1.0406128307746083</v>
      </c>
    </row>
    <row r="652" spans="1:20" x14ac:dyDescent="0.25">
      <c r="A652" s="5">
        <v>43941</v>
      </c>
      <c r="B652">
        <v>0.22869999999999999</v>
      </c>
      <c r="C652">
        <v>0.2341</v>
      </c>
      <c r="D652">
        <v>0.21</v>
      </c>
      <c r="E652">
        <v>0.21229999999999999</v>
      </c>
      <c r="F652">
        <v>3268478.9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-0.80912863070539454</v>
      </c>
      <c r="Q652">
        <f t="shared" si="995"/>
        <v>-2644619.8568464741</v>
      </c>
      <c r="R652">
        <f t="shared" si="996"/>
        <v>-104403511.23564264</v>
      </c>
      <c r="S652">
        <f t="shared" si="997"/>
        <v>-1044.0351123564265</v>
      </c>
      <c r="T652">
        <f t="shared" si="998"/>
        <v>-1.0440351123564264</v>
      </c>
    </row>
    <row r="653" spans="1:20" x14ac:dyDescent="0.25">
      <c r="A653" s="5">
        <v>43940</v>
      </c>
      <c r="B653">
        <v>0.23430000000000001</v>
      </c>
      <c r="C653">
        <v>0.24199999999999999</v>
      </c>
      <c r="D653">
        <v>0.2223</v>
      </c>
      <c r="E653">
        <v>0.22939999999999999</v>
      </c>
      <c r="F653">
        <v>2890576.25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-0.27918781725888359</v>
      </c>
      <c r="Q653">
        <f t="shared" si="995"/>
        <v>-807013.673857869</v>
      </c>
      <c r="R653">
        <f t="shared" si="996"/>
        <v>-101758891.37879616</v>
      </c>
      <c r="S653">
        <f t="shared" si="997"/>
        <v>-1017.5889137879616</v>
      </c>
      <c r="T653">
        <f t="shared" si="998"/>
        <v>-1.0175889137879617</v>
      </c>
    </row>
    <row r="654" spans="1:20" x14ac:dyDescent="0.25">
      <c r="A654" s="5">
        <v>43939</v>
      </c>
      <c r="B654">
        <v>0.2223</v>
      </c>
      <c r="C654">
        <v>0.23669999999999999</v>
      </c>
      <c r="D654">
        <v>0.2208</v>
      </c>
      <c r="E654">
        <v>0.2344</v>
      </c>
      <c r="F654">
        <v>3284990.45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0.71069182389937147</v>
      </c>
      <c r="Q654">
        <f t="shared" si="995"/>
        <v>2334615.854402517</v>
      </c>
      <c r="R654">
        <f t="shared" si="996"/>
        <v>-100951877.70493829</v>
      </c>
      <c r="S654">
        <f t="shared" si="997"/>
        <v>-1009.5187770493829</v>
      </c>
      <c r="T654">
        <f t="shared" si="998"/>
        <v>-1.009518777049383</v>
      </c>
    </row>
    <row r="655" spans="1:20" x14ac:dyDescent="0.25">
      <c r="A655" s="5">
        <v>43938</v>
      </c>
      <c r="B655">
        <v>0.22459999999999999</v>
      </c>
      <c r="C655">
        <v>0.22750000000000001</v>
      </c>
      <c r="D655">
        <v>0.2185</v>
      </c>
      <c r="E655">
        <v>0.222</v>
      </c>
      <c r="F655">
        <v>1894099.02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-0.22222222222222221</v>
      </c>
      <c r="Q655">
        <f t="shared" si="995"/>
        <v>-420910.89333333331</v>
      </c>
      <c r="R655">
        <f t="shared" si="996"/>
        <v>-103286493.5593408</v>
      </c>
      <c r="S655">
        <f t="shared" si="997"/>
        <v>-1032.8649355934081</v>
      </c>
      <c r="T655">
        <f t="shared" si="998"/>
        <v>-1.0328649355934081</v>
      </c>
    </row>
    <row r="656" spans="1:20" x14ac:dyDescent="0.25">
      <c r="A656" s="5">
        <v>43937</v>
      </c>
      <c r="B656">
        <v>0.21149999999999999</v>
      </c>
      <c r="C656">
        <v>0.23</v>
      </c>
      <c r="D656">
        <v>0.2077</v>
      </c>
      <c r="E656">
        <v>0.22450000000000001</v>
      </c>
      <c r="F656">
        <v>4113762.84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0.50672645739910305</v>
      </c>
      <c r="Q656">
        <f t="shared" si="995"/>
        <v>2084552.4704932731</v>
      </c>
      <c r="R656">
        <f t="shared" si="996"/>
        <v>-102865582.66600747</v>
      </c>
      <c r="S656">
        <f t="shared" si="997"/>
        <v>-1028.6558266600748</v>
      </c>
      <c r="T656">
        <f t="shared" si="998"/>
        <v>-1.0286558266600747</v>
      </c>
    </row>
    <row r="657" spans="1:20" x14ac:dyDescent="0.25">
      <c r="A657" s="5">
        <v>43936</v>
      </c>
      <c r="B657">
        <v>0.22289999999999999</v>
      </c>
      <c r="C657">
        <v>0.22770000000000001</v>
      </c>
      <c r="D657">
        <v>0.21099999999999999</v>
      </c>
      <c r="E657">
        <v>0.21160000000000001</v>
      </c>
      <c r="F657">
        <v>2516921.87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-0.92814371257484829</v>
      </c>
      <c r="Q657">
        <f t="shared" si="995"/>
        <v>-2336065.2086826297</v>
      </c>
      <c r="R657">
        <f t="shared" si="996"/>
        <v>-104950135.13650075</v>
      </c>
      <c r="S657">
        <f t="shared" si="997"/>
        <v>-1049.5013513650074</v>
      </c>
      <c r="T657">
        <f t="shared" si="998"/>
        <v>-1.0495013513650073</v>
      </c>
    </row>
    <row r="658" spans="1:20" x14ac:dyDescent="0.25">
      <c r="A658" s="5">
        <v>43935</v>
      </c>
      <c r="B658">
        <v>0.2369</v>
      </c>
      <c r="C658">
        <v>0.28000000000000003</v>
      </c>
      <c r="D658">
        <v>0.21790000000000001</v>
      </c>
      <c r="E658">
        <v>0.22320000000000001</v>
      </c>
      <c r="F658">
        <v>14987362.060000001</v>
      </c>
      <c r="G658">
        <v>0</v>
      </c>
      <c r="L658" t="s">
        <v>8</v>
      </c>
      <c r="M658" t="s">
        <v>8</v>
      </c>
      <c r="N658" t="s">
        <v>7</v>
      </c>
      <c r="P658">
        <f t="shared" si="994"/>
        <v>-0.82930756843800324</v>
      </c>
      <c r="Q658">
        <f t="shared" si="995"/>
        <v>-12429132.787278583</v>
      </c>
      <c r="R658">
        <f t="shared" si="996"/>
        <v>-102614069.92781812</v>
      </c>
      <c r="S658">
        <f t="shared" si="997"/>
        <v>-1026.1406992781813</v>
      </c>
      <c r="T658">
        <f t="shared" si="998"/>
        <v>-1.0261406992781812</v>
      </c>
    </row>
    <row r="659" spans="1:20" x14ac:dyDescent="0.25">
      <c r="A659" s="5">
        <v>43934</v>
      </c>
      <c r="B659">
        <v>0.22309999999999999</v>
      </c>
      <c r="C659">
        <v>0.23849999999999999</v>
      </c>
      <c r="D659">
        <v>0.21029999999999999</v>
      </c>
      <c r="E659">
        <v>0.2369</v>
      </c>
      <c r="F659">
        <v>5563533.7199999997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0.88652482269503619</v>
      </c>
      <c r="Q659">
        <f t="shared" si="995"/>
        <v>4932210.7446808545</v>
      </c>
      <c r="R659">
        <f t="shared" si="996"/>
        <v>-90184937.140539542</v>
      </c>
      <c r="S659">
        <f t="shared" si="997"/>
        <v>-901.84937140539546</v>
      </c>
      <c r="T659">
        <f t="shared" si="998"/>
        <v>-0.90184937140539545</v>
      </c>
    </row>
    <row r="660" spans="1:20" x14ac:dyDescent="0.25">
      <c r="A660" s="5">
        <v>43933</v>
      </c>
      <c r="B660">
        <v>0.2165</v>
      </c>
      <c r="C660">
        <v>0.23799999999999999</v>
      </c>
      <c r="D660">
        <v>0.2135</v>
      </c>
      <c r="E660">
        <v>0.2233</v>
      </c>
      <c r="F660">
        <v>4646757.87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-0.19999999999999954</v>
      </c>
      <c r="Q660">
        <f t="shared" si="995"/>
        <v>-929351.57399999793</v>
      </c>
      <c r="R660">
        <f t="shared" si="996"/>
        <v>-95117147.885220394</v>
      </c>
      <c r="S660">
        <f t="shared" si="997"/>
        <v>-951.1714788522039</v>
      </c>
      <c r="T660">
        <f t="shared" si="998"/>
        <v>-0.95117147885220388</v>
      </c>
    </row>
    <row r="661" spans="1:20" x14ac:dyDescent="0.25">
      <c r="A661" s="5">
        <v>43932</v>
      </c>
      <c r="B661">
        <v>0.22120000000000001</v>
      </c>
      <c r="C661">
        <v>0.23269999999999999</v>
      </c>
      <c r="D661">
        <v>0.21249999999999999</v>
      </c>
      <c r="E661">
        <v>0.2165</v>
      </c>
      <c r="F661">
        <v>3455582.03</v>
      </c>
      <c r="G661">
        <v>0</v>
      </c>
      <c r="L661" t="s">
        <v>8</v>
      </c>
      <c r="M661" t="s">
        <v>7</v>
      </c>
      <c r="N661" t="s">
        <v>7</v>
      </c>
      <c r="P661">
        <f t="shared" si="994"/>
        <v>-0.6039603960396035</v>
      </c>
      <c r="Q661">
        <f t="shared" si="995"/>
        <v>-2087034.6913861369</v>
      </c>
      <c r="R661">
        <f t="shared" si="996"/>
        <v>-94187796.311220393</v>
      </c>
      <c r="S661">
        <f t="shared" si="997"/>
        <v>-941.87796311220393</v>
      </c>
      <c r="T661">
        <f t="shared" si="998"/>
        <v>-0.94187796311220395</v>
      </c>
    </row>
    <row r="662" spans="1:20" x14ac:dyDescent="0.25">
      <c r="A662" s="5">
        <v>43931</v>
      </c>
      <c r="B662">
        <v>0.25380000000000003</v>
      </c>
      <c r="C662">
        <v>0.25480000000000003</v>
      </c>
      <c r="D662">
        <v>0.21210000000000001</v>
      </c>
      <c r="E662">
        <v>0.22120000000000001</v>
      </c>
      <c r="F662">
        <v>5539507.21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-0.57377049180327899</v>
      </c>
      <c r="Q662">
        <f t="shared" si="995"/>
        <v>-3178405.7762295101</v>
      </c>
      <c r="R662">
        <f t="shared" si="996"/>
        <v>-92100761.619834259</v>
      </c>
      <c r="S662">
        <f t="shared" si="997"/>
        <v>-921.00761619834259</v>
      </c>
      <c r="T662">
        <f t="shared" si="998"/>
        <v>-0.92100761619834259</v>
      </c>
    </row>
    <row r="663" spans="1:20" x14ac:dyDescent="0.25">
      <c r="A663" s="5">
        <v>43930</v>
      </c>
      <c r="B663">
        <v>0.28129999999999999</v>
      </c>
      <c r="C663">
        <v>0.28289999999999998</v>
      </c>
      <c r="D663">
        <v>0.2334</v>
      </c>
      <c r="E663">
        <v>0.254</v>
      </c>
      <c r="F663">
        <v>6917504.5300000003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-0.1676767676767672</v>
      </c>
      <c r="Q663">
        <f t="shared" si="995"/>
        <v>-1159904.7999797948</v>
      </c>
      <c r="R663">
        <f t="shared" si="996"/>
        <v>-88922355.843604743</v>
      </c>
      <c r="S663">
        <f t="shared" si="997"/>
        <v>-889.22355843604748</v>
      </c>
      <c r="T663">
        <f t="shared" si="998"/>
        <v>-0.8892235584360475</v>
      </c>
    </row>
    <row r="664" spans="1:20" x14ac:dyDescent="0.25">
      <c r="A664" s="5">
        <v>43929</v>
      </c>
      <c r="B664">
        <v>0.26390000000000002</v>
      </c>
      <c r="C664">
        <v>0.28449999999999998</v>
      </c>
      <c r="D664">
        <v>0.25590000000000002</v>
      </c>
      <c r="E664">
        <v>0.28120000000000001</v>
      </c>
      <c r="F664">
        <v>4918113.0999999996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0.76923076923077105</v>
      </c>
      <c r="Q664">
        <f t="shared" si="995"/>
        <v>3783163.9230769319</v>
      </c>
      <c r="R664">
        <f t="shared" si="996"/>
        <v>-87762451.043624952</v>
      </c>
      <c r="S664">
        <f t="shared" si="997"/>
        <v>-877.62451043624958</v>
      </c>
      <c r="T664">
        <f t="shared" si="998"/>
        <v>-0.87762451043624956</v>
      </c>
    </row>
    <row r="665" spans="1:20" x14ac:dyDescent="0.25">
      <c r="A665" s="5">
        <v>43928</v>
      </c>
      <c r="B665">
        <v>0.26150000000000001</v>
      </c>
      <c r="C665">
        <v>0.29099999999999998</v>
      </c>
      <c r="D665">
        <v>0.24890000000000001</v>
      </c>
      <c r="E665">
        <v>0.26219999999999999</v>
      </c>
      <c r="F665">
        <v>8352223.5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-0.36817102137767277</v>
      </c>
      <c r="Q665">
        <f t="shared" si="995"/>
        <v>-3075046.6567696007</v>
      </c>
      <c r="R665">
        <f t="shared" si="996"/>
        <v>-91545614.96670188</v>
      </c>
      <c r="S665">
        <f t="shared" si="997"/>
        <v>-915.45614966701885</v>
      </c>
      <c r="T665">
        <f t="shared" si="998"/>
        <v>-0.91545614966701883</v>
      </c>
    </row>
    <row r="666" spans="1:20" x14ac:dyDescent="0.25">
      <c r="A666" s="5">
        <v>43927</v>
      </c>
      <c r="B666">
        <v>0.22950000000000001</v>
      </c>
      <c r="C666">
        <v>0.26569999999999999</v>
      </c>
      <c r="D666">
        <v>0.22900000000000001</v>
      </c>
      <c r="E666">
        <v>0.26150000000000001</v>
      </c>
      <c r="F666">
        <v>5043320.22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0.77111716621253501</v>
      </c>
      <c r="Q666">
        <f t="shared" si="995"/>
        <v>3888990.7963487785</v>
      </c>
      <c r="R666">
        <f t="shared" si="996"/>
        <v>-88470568.309932277</v>
      </c>
      <c r="S666">
        <f t="shared" si="997"/>
        <v>-884.70568309932275</v>
      </c>
      <c r="T666">
        <f t="shared" si="998"/>
        <v>-0.88470568309932274</v>
      </c>
    </row>
    <row r="667" spans="1:20" x14ac:dyDescent="0.25">
      <c r="A667" s="5">
        <v>43926</v>
      </c>
      <c r="B667">
        <v>0.24199999999999999</v>
      </c>
      <c r="C667">
        <v>0.24660000000000001</v>
      </c>
      <c r="D667">
        <v>0.22720000000000001</v>
      </c>
      <c r="E667">
        <v>0.22950000000000001</v>
      </c>
      <c r="F667">
        <v>2635149.34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-0.76288659793814473</v>
      </c>
      <c r="Q667">
        <f t="shared" si="995"/>
        <v>-2010320.1150515473</v>
      </c>
      <c r="R667">
        <f t="shared" si="996"/>
        <v>-92359559.106281057</v>
      </c>
      <c r="S667">
        <f t="shared" si="997"/>
        <v>-923.59559106281063</v>
      </c>
      <c r="T667">
        <f t="shared" si="998"/>
        <v>-0.92359559106281064</v>
      </c>
    </row>
    <row r="668" spans="1:20" x14ac:dyDescent="0.25">
      <c r="A668" s="5">
        <v>43925</v>
      </c>
      <c r="B668">
        <v>0.24410000000000001</v>
      </c>
      <c r="C668">
        <v>0.25969999999999999</v>
      </c>
      <c r="D668">
        <v>0.23699999999999999</v>
      </c>
      <c r="E668">
        <v>0.24199999999999999</v>
      </c>
      <c r="F668">
        <v>5144185.6900000004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-0.55947136563876609</v>
      </c>
      <c r="Q668">
        <f t="shared" si="995"/>
        <v>-2878024.5930836983</v>
      </c>
      <c r="R668">
        <f t="shared" si="996"/>
        <v>-90349238.991229504</v>
      </c>
      <c r="S668">
        <f t="shared" si="997"/>
        <v>-903.49238991229504</v>
      </c>
      <c r="T668">
        <f t="shared" si="998"/>
        <v>-0.90349238991229508</v>
      </c>
    </row>
    <row r="669" spans="1:20" x14ac:dyDescent="0.25">
      <c r="A669" s="5">
        <v>43924</v>
      </c>
      <c r="B669">
        <v>0.25729999999999997</v>
      </c>
      <c r="C669">
        <v>0.28539999999999999</v>
      </c>
      <c r="D669">
        <v>0.23599999999999999</v>
      </c>
      <c r="E669">
        <v>0.245</v>
      </c>
      <c r="F669">
        <v>12628826.640000001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-0.63562753036437214</v>
      </c>
      <c r="Q669">
        <f t="shared" si="995"/>
        <v>-8027229.8885829924</v>
      </c>
      <c r="R669">
        <f t="shared" si="996"/>
        <v>-87471214.39814581</v>
      </c>
      <c r="S669">
        <f t="shared" si="997"/>
        <v>-874.7121439814581</v>
      </c>
      <c r="T669">
        <f t="shared" si="998"/>
        <v>-0.87471214398145813</v>
      </c>
    </row>
    <row r="670" spans="1:20" x14ac:dyDescent="0.25">
      <c r="A670" s="5">
        <v>43923</v>
      </c>
      <c r="B670">
        <v>0.2117</v>
      </c>
      <c r="C670">
        <v>0.26040000000000002</v>
      </c>
      <c r="D670">
        <v>0.2079</v>
      </c>
      <c r="E670">
        <v>0.2576</v>
      </c>
      <c r="F670">
        <v>10795987.630000001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0.89333333333333242</v>
      </c>
      <c r="Q670">
        <f t="shared" si="995"/>
        <v>9644415.6161333248</v>
      </c>
      <c r="R670">
        <f t="shared" si="996"/>
        <v>-79443984.50956282</v>
      </c>
      <c r="S670">
        <f t="shared" si="997"/>
        <v>-794.43984509562824</v>
      </c>
      <c r="T670">
        <f t="shared" si="998"/>
        <v>-0.79443984509562826</v>
      </c>
    </row>
    <row r="671" spans="1:20" x14ac:dyDescent="0.25">
      <c r="A671" s="5">
        <v>43922</v>
      </c>
      <c r="B671">
        <v>0.2036</v>
      </c>
      <c r="C671">
        <v>0.216</v>
      </c>
      <c r="D671">
        <v>0.19800000000000001</v>
      </c>
      <c r="E671">
        <v>0.21060000000000001</v>
      </c>
      <c r="F671">
        <v>3180164.67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0.40000000000000091</v>
      </c>
      <c r="Q671">
        <f t="shared" si="995"/>
        <v>1272065.8680000028</v>
      </c>
      <c r="R671">
        <f t="shared" si="996"/>
        <v>-89088400.125696152</v>
      </c>
      <c r="S671">
        <f t="shared" si="997"/>
        <v>-890.88400125696148</v>
      </c>
      <c r="T671">
        <f t="shared" si="998"/>
        <v>-0.89088400125696143</v>
      </c>
    </row>
    <row r="672" spans="1:20" x14ac:dyDescent="0.25">
      <c r="A672" s="5">
        <v>43921</v>
      </c>
      <c r="B672">
        <v>0.20669999999999999</v>
      </c>
      <c r="C672">
        <v>0.20979999999999999</v>
      </c>
      <c r="D672">
        <v>0.20050000000000001</v>
      </c>
      <c r="E672">
        <v>0.20349999999999999</v>
      </c>
      <c r="F672">
        <v>1882197.42</v>
      </c>
      <c r="G672">
        <v>0</v>
      </c>
      <c r="L672" t="s">
        <v>7</v>
      </c>
      <c r="M672" t="s">
        <v>7</v>
      </c>
      <c r="N672" t="s">
        <v>8</v>
      </c>
      <c r="P672">
        <f t="shared" si="994"/>
        <v>-0.35483870967742304</v>
      </c>
      <c r="Q672">
        <f t="shared" si="995"/>
        <v>-667876.50387097464</v>
      </c>
      <c r="R672">
        <f t="shared" si="996"/>
        <v>-90360465.993696153</v>
      </c>
      <c r="S672">
        <f t="shared" si="997"/>
        <v>-903.60465993696153</v>
      </c>
      <c r="T672">
        <f t="shared" si="998"/>
        <v>-0.90360465993696149</v>
      </c>
    </row>
    <row r="673" spans="1:20" x14ac:dyDescent="0.25">
      <c r="A673" s="5">
        <v>43920</v>
      </c>
      <c r="B673">
        <v>0.1956</v>
      </c>
      <c r="C673">
        <v>0.21490000000000001</v>
      </c>
      <c r="D673">
        <v>0.19400000000000001</v>
      </c>
      <c r="E673">
        <v>0.2069</v>
      </c>
      <c r="F673">
        <v>2699564.73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0.23444976076554963</v>
      </c>
      <c r="Q673">
        <f t="shared" si="995"/>
        <v>632912.30511961563</v>
      </c>
      <c r="R673">
        <f t="shared" si="996"/>
        <v>-89692589.489825174</v>
      </c>
      <c r="S673">
        <f t="shared" si="997"/>
        <v>-896.92589489825173</v>
      </c>
      <c r="T673">
        <f t="shared" si="998"/>
        <v>-0.8969258948982517</v>
      </c>
    </row>
    <row r="674" spans="1:20" x14ac:dyDescent="0.25">
      <c r="A674" s="5">
        <v>43919</v>
      </c>
      <c r="B674">
        <v>0.2031</v>
      </c>
      <c r="C674">
        <v>0.21099999999999999</v>
      </c>
      <c r="D674">
        <v>0.19</v>
      </c>
      <c r="E674">
        <v>0.1951</v>
      </c>
      <c r="F674">
        <v>2010794.53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-0.51428571428571468</v>
      </c>
      <c r="Q674">
        <f t="shared" si="995"/>
        <v>-1034122.901142858</v>
      </c>
      <c r="R674">
        <f t="shared" si="996"/>
        <v>-90325501.794944793</v>
      </c>
      <c r="S674">
        <f t="shared" si="997"/>
        <v>-903.25501794944796</v>
      </c>
      <c r="T674">
        <f t="shared" si="998"/>
        <v>-0.90325501794944796</v>
      </c>
    </row>
    <row r="675" spans="1:20" x14ac:dyDescent="0.25">
      <c r="A675" s="5">
        <v>43918</v>
      </c>
      <c r="B675">
        <v>0.20549999999999999</v>
      </c>
      <c r="C675">
        <v>0.20949999999999999</v>
      </c>
      <c r="D675">
        <v>0.185</v>
      </c>
      <c r="E675">
        <v>0.2031</v>
      </c>
      <c r="F675">
        <v>3292759.18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0.47755102040816405</v>
      </c>
      <c r="Q675">
        <f t="shared" si="995"/>
        <v>1572460.5063673495</v>
      </c>
      <c r="R675">
        <f t="shared" si="996"/>
        <v>-89291378.893801928</v>
      </c>
      <c r="S675">
        <f t="shared" si="997"/>
        <v>-892.91378893801925</v>
      </c>
      <c r="T675">
        <f t="shared" si="998"/>
        <v>-0.8929137889380192</v>
      </c>
    </row>
    <row r="676" spans="1:20" x14ac:dyDescent="0.25">
      <c r="A676" s="5">
        <v>43917</v>
      </c>
      <c r="B676">
        <v>0.22650000000000001</v>
      </c>
      <c r="C676">
        <v>0.24</v>
      </c>
      <c r="D676">
        <v>0.2034</v>
      </c>
      <c r="E676">
        <v>0.20549999999999999</v>
      </c>
      <c r="F676">
        <v>4319643.2300000004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-0.8852459016393448</v>
      </c>
      <c r="Q676">
        <f t="shared" si="995"/>
        <v>-3823946.4659016421</v>
      </c>
      <c r="R676">
        <f t="shared" si="996"/>
        <v>-90863839.400169283</v>
      </c>
      <c r="S676">
        <f t="shared" si="997"/>
        <v>-908.63839400169286</v>
      </c>
      <c r="T676">
        <f t="shared" si="998"/>
        <v>-0.90863839400169288</v>
      </c>
    </row>
    <row r="677" spans="1:20" x14ac:dyDescent="0.25">
      <c r="A677" s="5">
        <v>43916</v>
      </c>
      <c r="B677">
        <v>0.224</v>
      </c>
      <c r="C677">
        <v>0.24010000000000001</v>
      </c>
      <c r="D677">
        <v>0.2114</v>
      </c>
      <c r="E677">
        <v>0.22670000000000001</v>
      </c>
      <c r="F677">
        <v>5428764.9400000004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6.6202090592334936E-2</v>
      </c>
      <c r="Q677">
        <f t="shared" si="995"/>
        <v>359395.58836237178</v>
      </c>
      <c r="R677">
        <f t="shared" si="996"/>
        <v>-87039892.93426764</v>
      </c>
      <c r="S677">
        <f t="shared" si="997"/>
        <v>-870.39892934267641</v>
      </c>
      <c r="T677">
        <f t="shared" si="998"/>
        <v>-0.87039892934267638</v>
      </c>
    </row>
    <row r="678" spans="1:20" x14ac:dyDescent="0.25">
      <c r="A678" s="5">
        <v>43915</v>
      </c>
      <c r="B678">
        <v>0.19700000000000001</v>
      </c>
      <c r="C678">
        <v>0.22750000000000001</v>
      </c>
      <c r="D678">
        <v>0.19209999999999999</v>
      </c>
      <c r="E678">
        <v>0.22259999999999999</v>
      </c>
      <c r="F678">
        <v>4175081.45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0.72316384180790882</v>
      </c>
      <c r="Q678">
        <f t="shared" si="995"/>
        <v>3019267.9412429347</v>
      </c>
      <c r="R678">
        <f t="shared" si="996"/>
        <v>-87399288.522630006</v>
      </c>
      <c r="S678">
        <f t="shared" si="997"/>
        <v>-873.99288522630002</v>
      </c>
      <c r="T678">
        <f t="shared" si="998"/>
        <v>-0.87399288522630003</v>
      </c>
    </row>
    <row r="679" spans="1:20" x14ac:dyDescent="0.25">
      <c r="A679" s="5">
        <v>43914</v>
      </c>
      <c r="B679">
        <v>0.19600000000000001</v>
      </c>
      <c r="C679">
        <v>0.21990000000000001</v>
      </c>
      <c r="D679">
        <v>0.1915</v>
      </c>
      <c r="E679">
        <v>0.1971</v>
      </c>
      <c r="F679">
        <v>2399094.46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-0.60563380281690193</v>
      </c>
      <c r="Q679">
        <f t="shared" si="995"/>
        <v>-1452972.7011267617</v>
      </c>
      <c r="R679">
        <f t="shared" si="996"/>
        <v>-90418556.463872939</v>
      </c>
      <c r="S679">
        <f t="shared" si="997"/>
        <v>-904.18556463872937</v>
      </c>
      <c r="T679">
        <f t="shared" si="998"/>
        <v>-0.90418556463872934</v>
      </c>
    </row>
    <row r="680" spans="1:20" x14ac:dyDescent="0.25">
      <c r="A680" s="5">
        <v>43913</v>
      </c>
      <c r="B680">
        <v>0.17069999999999999</v>
      </c>
      <c r="C680">
        <v>0.2056</v>
      </c>
      <c r="D680">
        <v>0.16739999999999999</v>
      </c>
      <c r="E680">
        <v>0.19589999999999999</v>
      </c>
      <c r="F680">
        <v>3562989.94</v>
      </c>
      <c r="G680">
        <v>0</v>
      </c>
      <c r="L680" t="s">
        <v>7</v>
      </c>
      <c r="M680" t="s">
        <v>8</v>
      </c>
      <c r="N680" t="s">
        <v>7</v>
      </c>
      <c r="P680">
        <f t="shared" si="994"/>
        <v>0.49214659685863815</v>
      </c>
      <c r="Q680">
        <f t="shared" si="995"/>
        <v>1753513.3736125634</v>
      </c>
      <c r="R680">
        <f t="shared" si="996"/>
        <v>-88965583.76274617</v>
      </c>
      <c r="S680">
        <f t="shared" si="997"/>
        <v>-889.65583762746166</v>
      </c>
      <c r="T680">
        <f t="shared" si="998"/>
        <v>-0.8896558376274617</v>
      </c>
    </row>
    <row r="681" spans="1:20" x14ac:dyDescent="0.25">
      <c r="A681" s="5">
        <v>43912</v>
      </c>
      <c r="B681">
        <v>0.20150000000000001</v>
      </c>
      <c r="C681">
        <v>0.21199999999999999</v>
      </c>
      <c r="D681">
        <v>0.1691</v>
      </c>
      <c r="E681">
        <v>0.1704</v>
      </c>
      <c r="F681">
        <v>3369126.5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-0.93939393939393956</v>
      </c>
      <c r="Q681">
        <f t="shared" si="995"/>
        <v>-3164937.0151515156</v>
      </c>
      <c r="R681">
        <f t="shared" si="996"/>
        <v>-90719097.136358738</v>
      </c>
      <c r="S681">
        <f t="shared" si="997"/>
        <v>-907.19097136358732</v>
      </c>
      <c r="T681">
        <f t="shared" si="998"/>
        <v>-0.90719097136358728</v>
      </c>
    </row>
    <row r="682" spans="1:20" x14ac:dyDescent="0.25">
      <c r="A682" s="5">
        <v>43911</v>
      </c>
      <c r="B682">
        <v>0.20699999999999999</v>
      </c>
      <c r="C682">
        <v>0.21540000000000001</v>
      </c>
      <c r="D682">
        <v>0.18759999999999999</v>
      </c>
      <c r="E682">
        <v>0.20169999999999999</v>
      </c>
      <c r="F682">
        <v>3609525.11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1.4388489208632498E-2</v>
      </c>
      <c r="Q682">
        <f t="shared" si="995"/>
        <v>51935.613093523025</v>
      </c>
      <c r="R682">
        <f t="shared" si="996"/>
        <v>-87554160.121207222</v>
      </c>
      <c r="S682">
        <f t="shared" si="997"/>
        <v>-875.54160121207224</v>
      </c>
      <c r="T682">
        <f t="shared" si="998"/>
        <v>-0.87554160121207225</v>
      </c>
    </row>
    <row r="683" spans="1:20" x14ac:dyDescent="0.25">
      <c r="A683" s="5">
        <v>43910</v>
      </c>
      <c r="B683">
        <v>0.21740000000000001</v>
      </c>
      <c r="C683">
        <v>0.25800000000000001</v>
      </c>
      <c r="D683">
        <v>0.182</v>
      </c>
      <c r="E683">
        <v>0.2079</v>
      </c>
      <c r="F683">
        <v>8146371.4199999999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-0.31842105263157888</v>
      </c>
      <c r="Q683">
        <f t="shared" si="995"/>
        <v>-2593976.1626842101</v>
      </c>
      <c r="R683">
        <f t="shared" si="996"/>
        <v>-87606095.734300748</v>
      </c>
      <c r="S683">
        <f t="shared" si="997"/>
        <v>-876.06095734300743</v>
      </c>
      <c r="T683">
        <f t="shared" si="998"/>
        <v>-0.87606095734300748</v>
      </c>
    </row>
    <row r="684" spans="1:20" x14ac:dyDescent="0.25">
      <c r="A684" s="5">
        <v>43909</v>
      </c>
      <c r="B684">
        <v>0.20499999999999999</v>
      </c>
      <c r="C684">
        <v>0.24540000000000001</v>
      </c>
      <c r="D684">
        <v>0.19719999999999999</v>
      </c>
      <c r="E684">
        <v>0.21690000000000001</v>
      </c>
      <c r="F684">
        <v>6761889.3099999996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-0.18257261410788322</v>
      </c>
      <c r="Q684">
        <f t="shared" si="995"/>
        <v>-1234535.8076348507</v>
      </c>
      <c r="R684">
        <f t="shared" si="996"/>
        <v>-85012119.57161653</v>
      </c>
      <c r="S684">
        <f t="shared" si="997"/>
        <v>-850.12119571616529</v>
      </c>
      <c r="T684">
        <f t="shared" si="998"/>
        <v>-0.85012119571616529</v>
      </c>
    </row>
    <row r="685" spans="1:20" x14ac:dyDescent="0.25">
      <c r="A685" s="5">
        <v>43908</v>
      </c>
      <c r="B685">
        <v>0.20730000000000001</v>
      </c>
      <c r="C685">
        <v>0.21970000000000001</v>
      </c>
      <c r="D685">
        <v>0.18429999999999999</v>
      </c>
      <c r="E685">
        <v>0.2046</v>
      </c>
      <c r="F685">
        <v>4388092.3899999997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0.14689265536723187</v>
      </c>
      <c r="Q685">
        <f t="shared" si="995"/>
        <v>644578.54316384275</v>
      </c>
      <c r="R685">
        <f t="shared" si="996"/>
        <v>-83777583.763981685</v>
      </c>
      <c r="S685">
        <f t="shared" si="997"/>
        <v>-837.77583763981681</v>
      </c>
      <c r="T685">
        <f t="shared" si="998"/>
        <v>-0.83777583763981678</v>
      </c>
    </row>
    <row r="686" spans="1:20" x14ac:dyDescent="0.25">
      <c r="A686" s="5">
        <v>43907</v>
      </c>
      <c r="B686">
        <v>0.185</v>
      </c>
      <c r="C686">
        <v>0.23480000000000001</v>
      </c>
      <c r="D686">
        <v>0.17749999999999999</v>
      </c>
      <c r="E686">
        <v>0.20730000000000001</v>
      </c>
      <c r="F686">
        <v>6663461.7800000003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4.013961605584683E-2</v>
      </c>
      <c r="Q686">
        <f t="shared" si="995"/>
        <v>267468.79745200969</v>
      </c>
      <c r="R686">
        <f t="shared" si="996"/>
        <v>-84422162.307145521</v>
      </c>
      <c r="S686">
        <f t="shared" si="997"/>
        <v>-844.22162307145516</v>
      </c>
      <c r="T686">
        <f t="shared" si="998"/>
        <v>-0.84422162307145521</v>
      </c>
    </row>
    <row r="687" spans="1:20" x14ac:dyDescent="0.25">
      <c r="A687" s="5">
        <v>43906</v>
      </c>
      <c r="B687">
        <v>0.22839999999999999</v>
      </c>
      <c r="C687">
        <v>0.22839999999999999</v>
      </c>
      <c r="D687">
        <v>0.14119999999999999</v>
      </c>
      <c r="E687">
        <v>0.185</v>
      </c>
      <c r="F687">
        <v>8845323.2300000004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4.5871559633028835E-3</v>
      </c>
      <c r="Q687">
        <f t="shared" si="995"/>
        <v>40574.877201836025</v>
      </c>
      <c r="R687">
        <f t="shared" si="996"/>
        <v>-84689631.104597524</v>
      </c>
      <c r="S687">
        <f t="shared" si="997"/>
        <v>-846.89631104597527</v>
      </c>
      <c r="T687">
        <f t="shared" si="998"/>
        <v>-0.84689631104597529</v>
      </c>
    </row>
    <row r="688" spans="1:20" x14ac:dyDescent="0.25">
      <c r="A688" s="5">
        <v>43905</v>
      </c>
      <c r="B688">
        <v>0.2273</v>
      </c>
      <c r="C688">
        <v>0.255</v>
      </c>
      <c r="D688">
        <v>0.20649999999999999</v>
      </c>
      <c r="E688">
        <v>0.22869999999999999</v>
      </c>
      <c r="F688">
        <v>5603163.0999999996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-8.4536082474227198E-2</v>
      </c>
      <c r="Q688">
        <f t="shared" si="995"/>
        <v>-473669.45793814649</v>
      </c>
      <c r="R688">
        <f t="shared" si="996"/>
        <v>-84730205.981799364</v>
      </c>
      <c r="S688">
        <f t="shared" si="997"/>
        <v>-847.30205981799361</v>
      </c>
      <c r="T688">
        <f t="shared" si="998"/>
        <v>-0.84730205981799356</v>
      </c>
    </row>
    <row r="689" spans="1:20" x14ac:dyDescent="0.25">
      <c r="A689" s="5">
        <v>43904</v>
      </c>
      <c r="B689">
        <v>0.2525</v>
      </c>
      <c r="C689">
        <v>0.27</v>
      </c>
      <c r="D689">
        <v>0.21</v>
      </c>
      <c r="E689">
        <v>0.22720000000000001</v>
      </c>
      <c r="F689">
        <v>8865958.7799999993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-0.42666666666666619</v>
      </c>
      <c r="Q689">
        <f t="shared" si="995"/>
        <v>-3782809.0794666624</v>
      </c>
      <c r="R689">
        <f t="shared" si="996"/>
        <v>-84256536.523861215</v>
      </c>
      <c r="S689">
        <f t="shared" si="997"/>
        <v>-842.56536523861212</v>
      </c>
      <c r="T689">
        <f t="shared" si="998"/>
        <v>-0.84256536523861214</v>
      </c>
    </row>
    <row r="690" spans="1:20" x14ac:dyDescent="0.25">
      <c r="A690" s="5">
        <v>43903</v>
      </c>
      <c r="B690">
        <v>0.1804</v>
      </c>
      <c r="C690">
        <v>0.27800000000000002</v>
      </c>
      <c r="D690">
        <v>0.11899999999999999</v>
      </c>
      <c r="E690">
        <v>0.25469999999999998</v>
      </c>
      <c r="F690">
        <v>14952795.07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0.7069182389937102</v>
      </c>
      <c r="Q690">
        <f t="shared" si="995"/>
        <v>10570403.558918232</v>
      </c>
      <c r="R690">
        <f t="shared" si="996"/>
        <v>-80473727.444394559</v>
      </c>
      <c r="S690">
        <f t="shared" si="997"/>
        <v>-804.73727444394558</v>
      </c>
      <c r="T690">
        <f t="shared" si="998"/>
        <v>-0.8047372744439456</v>
      </c>
    </row>
    <row r="691" spans="1:20" x14ac:dyDescent="0.25">
      <c r="A691" s="5">
        <v>43902</v>
      </c>
      <c r="B691">
        <v>0.40699999999999997</v>
      </c>
      <c r="C691">
        <v>0.40899999999999997</v>
      </c>
      <c r="D691">
        <v>0.16189999999999999</v>
      </c>
      <c r="E691">
        <v>0.17899999999999999</v>
      </c>
      <c r="F691">
        <v>14017021.439999999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-0.86159449615540262</v>
      </c>
      <c r="Q691">
        <f t="shared" si="995"/>
        <v>-12076988.525196277</v>
      </c>
      <c r="R691">
        <f t="shared" si="996"/>
        <v>-91044131.003312796</v>
      </c>
      <c r="S691">
        <f t="shared" si="997"/>
        <v>-910.44131003312793</v>
      </c>
      <c r="T691">
        <f t="shared" si="998"/>
        <v>-0.91044131003312789</v>
      </c>
    </row>
    <row r="692" spans="1:20" x14ac:dyDescent="0.25">
      <c r="A692" s="5">
        <v>43901</v>
      </c>
      <c r="B692">
        <v>0.44990000000000002</v>
      </c>
      <c r="C692">
        <v>0.49199999999999999</v>
      </c>
      <c r="D692">
        <v>0.37680000000000002</v>
      </c>
      <c r="E692">
        <v>0.40910000000000002</v>
      </c>
      <c r="F692">
        <v>7522585.9900000002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-0.43923611111111105</v>
      </c>
      <c r="Q692">
        <f t="shared" si="995"/>
        <v>-3304191.4157465273</v>
      </c>
      <c r="R692">
        <f t="shared" si="996"/>
        <v>-78967142.478116512</v>
      </c>
      <c r="S692">
        <f t="shared" si="997"/>
        <v>-789.67142478116511</v>
      </c>
      <c r="T692">
        <f t="shared" si="998"/>
        <v>-0.78967142478116514</v>
      </c>
    </row>
    <row r="693" spans="1:20" x14ac:dyDescent="0.25">
      <c r="A693" s="5">
        <v>43900</v>
      </c>
      <c r="B693">
        <v>0.44269999999999998</v>
      </c>
      <c r="C693">
        <v>0.50870000000000004</v>
      </c>
      <c r="D693">
        <v>0.41499999999999998</v>
      </c>
      <c r="E693">
        <v>0.44990000000000002</v>
      </c>
      <c r="F693">
        <v>8948550.1500000004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-0.2550693703308427</v>
      </c>
      <c r="Q693">
        <f t="shared" si="995"/>
        <v>-2282501.0521344682</v>
      </c>
      <c r="R693">
        <f t="shared" si="996"/>
        <v>-75662951.062369987</v>
      </c>
      <c r="S693">
        <f t="shared" si="997"/>
        <v>-756.62951062369984</v>
      </c>
      <c r="T693">
        <f t="shared" si="998"/>
        <v>-0.75662951062369987</v>
      </c>
    </row>
    <row r="694" spans="1:20" x14ac:dyDescent="0.25">
      <c r="A694" s="5">
        <v>43899</v>
      </c>
      <c r="B694">
        <v>0.47</v>
      </c>
      <c r="C694">
        <v>0.54300000000000004</v>
      </c>
      <c r="D694">
        <v>0.4</v>
      </c>
      <c r="E694">
        <v>0.44290000000000002</v>
      </c>
      <c r="F694">
        <v>14592215.35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-0.40000000000000013</v>
      </c>
      <c r="Q694">
        <f t="shared" si="995"/>
        <v>-5836886.1400000015</v>
      </c>
      <c r="R694">
        <f t="shared" si="996"/>
        <v>-73380450.010235518</v>
      </c>
      <c r="S694">
        <f t="shared" si="997"/>
        <v>-733.80450010235518</v>
      </c>
      <c r="T694">
        <f t="shared" si="998"/>
        <v>-0.73380450010235521</v>
      </c>
    </row>
    <row r="695" spans="1:20" x14ac:dyDescent="0.25">
      <c r="A695" s="5">
        <v>43898</v>
      </c>
      <c r="B695">
        <v>0.40410000000000001</v>
      </c>
      <c r="C695">
        <v>0.54990000000000006</v>
      </c>
      <c r="D695">
        <v>0.36399999999999999</v>
      </c>
      <c r="E695">
        <v>0.46910000000000002</v>
      </c>
      <c r="F695">
        <v>19588087.68</v>
      </c>
      <c r="G695">
        <v>0</v>
      </c>
      <c r="L695" t="s">
        <v>8</v>
      </c>
      <c r="M695" t="s">
        <v>8</v>
      </c>
      <c r="N695" t="s">
        <v>8</v>
      </c>
      <c r="P695">
        <f t="shared" si="994"/>
        <v>0.13071543840774599</v>
      </c>
      <c r="Q695">
        <f t="shared" si="995"/>
        <v>2560465.4686605679</v>
      </c>
      <c r="R695">
        <f t="shared" si="996"/>
        <v>-67543563.870235518</v>
      </c>
      <c r="S695">
        <f t="shared" si="997"/>
        <v>-675.43563870235516</v>
      </c>
      <c r="T695">
        <f t="shared" si="998"/>
        <v>-0.67543563870235512</v>
      </c>
    </row>
    <row r="696" spans="1:20" x14ac:dyDescent="0.25">
      <c r="A696" s="5">
        <v>43897</v>
      </c>
      <c r="B696">
        <v>0.38090000000000002</v>
      </c>
      <c r="C696">
        <v>0.4733</v>
      </c>
      <c r="D696">
        <v>0.3735</v>
      </c>
      <c r="E696">
        <v>0.40339999999999998</v>
      </c>
      <c r="F696">
        <v>7580676.2199999997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-0.40080160320641317</v>
      </c>
      <c r="Q696">
        <f t="shared" si="995"/>
        <v>-3038347.182364732</v>
      </c>
      <c r="R696">
        <f t="shared" si="996"/>
        <v>-70104029.338896081</v>
      </c>
      <c r="S696">
        <f t="shared" si="997"/>
        <v>-701.04029338896078</v>
      </c>
      <c r="T696">
        <f t="shared" si="998"/>
        <v>-0.70104029338896079</v>
      </c>
    </row>
    <row r="697" spans="1:20" x14ac:dyDescent="0.25">
      <c r="A697" s="5">
        <v>43896</v>
      </c>
      <c r="B697">
        <v>0.34129999999999999</v>
      </c>
      <c r="C697">
        <v>0.4037</v>
      </c>
      <c r="D697">
        <v>0.33600000000000002</v>
      </c>
      <c r="E697">
        <v>0.38040000000000002</v>
      </c>
      <c r="F697">
        <v>5545701.0800000001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0.31166912850812428</v>
      </c>
      <c r="Q697">
        <f t="shared" si="995"/>
        <v>1728423.8225701638</v>
      </c>
      <c r="R697">
        <f t="shared" si="996"/>
        <v>-67065682.156531349</v>
      </c>
      <c r="S697">
        <f t="shared" si="997"/>
        <v>-670.65682156531352</v>
      </c>
      <c r="T697">
        <f t="shared" si="998"/>
        <v>-0.67065682156531348</v>
      </c>
    </row>
    <row r="698" spans="1:20" x14ac:dyDescent="0.25">
      <c r="A698" s="5">
        <v>43895</v>
      </c>
      <c r="B698">
        <v>0.36799999999999999</v>
      </c>
      <c r="C698">
        <v>0.38479999999999998</v>
      </c>
      <c r="D698">
        <v>0.3367</v>
      </c>
      <c r="E698">
        <v>0.34160000000000001</v>
      </c>
      <c r="F698">
        <v>5439932.1500000004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-0.79625779625779547</v>
      </c>
      <c r="Q698">
        <f t="shared" si="995"/>
        <v>-4331588.3855509311</v>
      </c>
      <c r="R698">
        <f t="shared" si="996"/>
        <v>-68794105.979101509</v>
      </c>
      <c r="S698">
        <f t="shared" si="997"/>
        <v>-687.94105979101505</v>
      </c>
      <c r="T698">
        <f t="shared" si="998"/>
        <v>-0.68794105979101505</v>
      </c>
    </row>
    <row r="699" spans="1:20" x14ac:dyDescent="0.25">
      <c r="A699" s="5">
        <v>43894</v>
      </c>
      <c r="B699">
        <v>0.30809999999999998</v>
      </c>
      <c r="C699">
        <v>0.3755</v>
      </c>
      <c r="D699">
        <v>0.30080000000000001</v>
      </c>
      <c r="E699">
        <v>0.36709999999999998</v>
      </c>
      <c r="F699">
        <v>7283503.5999999996</v>
      </c>
      <c r="G699">
        <v>0</v>
      </c>
      <c r="L699" t="s">
        <v>7</v>
      </c>
      <c r="M699" t="s">
        <v>8</v>
      </c>
      <c r="N699" t="s">
        <v>8</v>
      </c>
      <c r="P699">
        <f t="shared" si="994"/>
        <v>0.77510040160642513</v>
      </c>
      <c r="Q699">
        <f t="shared" si="995"/>
        <v>5645446.5654618433</v>
      </c>
      <c r="R699">
        <f t="shared" si="996"/>
        <v>-64462517.593550578</v>
      </c>
      <c r="S699">
        <f t="shared" si="997"/>
        <v>-644.62517593550581</v>
      </c>
      <c r="T699">
        <f t="shared" si="998"/>
        <v>-0.64462517593550583</v>
      </c>
    </row>
    <row r="700" spans="1:20" x14ac:dyDescent="0.25">
      <c r="A700" s="5">
        <v>43893</v>
      </c>
      <c r="B700">
        <v>0.3246</v>
      </c>
      <c r="C700">
        <v>0.32679999999999998</v>
      </c>
      <c r="D700">
        <v>0.308</v>
      </c>
      <c r="E700">
        <v>0.30809999999999998</v>
      </c>
      <c r="F700">
        <v>2328070.69</v>
      </c>
      <c r="G700">
        <v>0</v>
      </c>
      <c r="L700" t="s">
        <v>7</v>
      </c>
      <c r="M700" t="s">
        <v>8</v>
      </c>
      <c r="N700" t="s">
        <v>8</v>
      </c>
      <c r="P700">
        <f t="shared" si="994"/>
        <v>-0.98936170212766072</v>
      </c>
      <c r="Q700">
        <f t="shared" si="995"/>
        <v>-2303303.9805319174</v>
      </c>
      <c r="R700">
        <f t="shared" si="996"/>
        <v>-70107964.159012422</v>
      </c>
      <c r="S700">
        <f t="shared" si="997"/>
        <v>-701.0796415901242</v>
      </c>
      <c r="T700">
        <f t="shared" si="998"/>
        <v>-0.70107964159012415</v>
      </c>
    </row>
    <row r="701" spans="1:20" x14ac:dyDescent="0.25">
      <c r="A701" s="5">
        <v>43892</v>
      </c>
      <c r="B701">
        <v>0.33150000000000002</v>
      </c>
      <c r="C701">
        <v>0.34</v>
      </c>
      <c r="D701">
        <v>0.31209999999999999</v>
      </c>
      <c r="E701">
        <v>0.3246</v>
      </c>
      <c r="F701">
        <v>3029673.38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-0.10394265232974946</v>
      </c>
      <c r="Q701">
        <f t="shared" si="995"/>
        <v>-314912.28681003692</v>
      </c>
      <c r="R701">
        <f t="shared" si="996"/>
        <v>-67804660.178480506</v>
      </c>
      <c r="S701">
        <f t="shared" si="997"/>
        <v>-678.04660178480503</v>
      </c>
      <c r="T701">
        <f t="shared" si="998"/>
        <v>-0.67804660178480503</v>
      </c>
    </row>
    <row r="702" spans="1:20" x14ac:dyDescent="0.25">
      <c r="A702" s="5">
        <v>43891</v>
      </c>
      <c r="B702">
        <v>0.31669999999999998</v>
      </c>
      <c r="C702">
        <v>0.34749999999999998</v>
      </c>
      <c r="D702">
        <v>0.30940000000000001</v>
      </c>
      <c r="E702">
        <v>0.33160000000000001</v>
      </c>
      <c r="F702">
        <v>3881931.69</v>
      </c>
      <c r="G702">
        <v>0</v>
      </c>
      <c r="L702" t="s">
        <v>7</v>
      </c>
      <c r="M702" t="s">
        <v>8</v>
      </c>
      <c r="N702" t="s">
        <v>8</v>
      </c>
      <c r="P702">
        <f t="shared" si="994"/>
        <v>0.16535433070866229</v>
      </c>
      <c r="Q702">
        <f t="shared" si="995"/>
        <v>641894.21645669627</v>
      </c>
      <c r="R702">
        <f t="shared" si="996"/>
        <v>-67489747.891670465</v>
      </c>
      <c r="S702">
        <f t="shared" si="997"/>
        <v>-674.8974789167047</v>
      </c>
      <c r="T702">
        <f t="shared" si="998"/>
        <v>-0.67489747891670471</v>
      </c>
    </row>
    <row r="703" spans="1:20" x14ac:dyDescent="0.25">
      <c r="A703" s="5">
        <v>43890</v>
      </c>
      <c r="B703">
        <v>0.31690000000000002</v>
      </c>
      <c r="C703">
        <v>0.34989999999999999</v>
      </c>
      <c r="D703">
        <v>0.29459999999999997</v>
      </c>
      <c r="E703">
        <v>0.31590000000000001</v>
      </c>
      <c r="F703">
        <v>6506728.2400000002</v>
      </c>
      <c r="G703">
        <v>0</v>
      </c>
      <c r="L703" t="s">
        <v>8</v>
      </c>
      <c r="M703" t="s">
        <v>8</v>
      </c>
      <c r="N703" t="s">
        <v>8</v>
      </c>
      <c r="P703">
        <f t="shared" si="994"/>
        <v>-0.22965641952983598</v>
      </c>
      <c r="Q703">
        <f t="shared" si="995"/>
        <v>-1494311.9104520713</v>
      </c>
      <c r="R703">
        <f t="shared" si="996"/>
        <v>-68131642.108127162</v>
      </c>
      <c r="S703">
        <f t="shared" si="997"/>
        <v>-681.31642108127164</v>
      </c>
      <c r="T703">
        <f t="shared" si="998"/>
        <v>-0.68131642108127166</v>
      </c>
    </row>
    <row r="704" spans="1:20" x14ac:dyDescent="0.25">
      <c r="A704" s="5">
        <v>43889</v>
      </c>
      <c r="B704">
        <v>0.27479999999999999</v>
      </c>
      <c r="C704">
        <v>0.32369999999999999</v>
      </c>
      <c r="D704">
        <v>0.25559999999999999</v>
      </c>
      <c r="E704">
        <v>0.31690000000000002</v>
      </c>
      <c r="F704">
        <v>6509168.29</v>
      </c>
      <c r="G704">
        <v>0</v>
      </c>
      <c r="L704" t="s">
        <v>8</v>
      </c>
      <c r="M704" t="s">
        <v>7</v>
      </c>
      <c r="N704" t="s">
        <v>8</v>
      </c>
      <c r="P704">
        <f t="shared" si="994"/>
        <v>0.8002936857562416</v>
      </c>
      <c r="Q704">
        <f t="shared" si="995"/>
        <v>5209246.2820117529</v>
      </c>
      <c r="R704">
        <f t="shared" si="996"/>
        <v>-66637330.197675087</v>
      </c>
      <c r="S704">
        <f t="shared" si="997"/>
        <v>-666.37330197675089</v>
      </c>
      <c r="T704">
        <f t="shared" si="998"/>
        <v>-0.66637330197675093</v>
      </c>
    </row>
    <row r="705" spans="1:20" x14ac:dyDescent="0.25">
      <c r="A705" s="5">
        <v>43888</v>
      </c>
      <c r="B705">
        <v>0.2515</v>
      </c>
      <c r="C705">
        <v>0.31130000000000002</v>
      </c>
      <c r="D705">
        <v>0.2301</v>
      </c>
      <c r="E705">
        <v>0.27229999999999999</v>
      </c>
      <c r="F705">
        <v>6588277.2199999997</v>
      </c>
      <c r="G705">
        <v>0</v>
      </c>
      <c r="L705" t="s">
        <v>8</v>
      </c>
      <c r="M705" t="s">
        <v>8</v>
      </c>
      <c r="N705" t="s">
        <v>8</v>
      </c>
      <c r="P705">
        <f t="shared" si="994"/>
        <v>3.9408866995073302E-2</v>
      </c>
      <c r="Q705">
        <f t="shared" si="995"/>
        <v>259636.54068965127</v>
      </c>
      <c r="R705">
        <f t="shared" si="996"/>
        <v>-71846576.479686841</v>
      </c>
      <c r="S705">
        <f t="shared" si="997"/>
        <v>-718.46576479686837</v>
      </c>
      <c r="T705">
        <f t="shared" si="998"/>
        <v>-0.71846576479686841</v>
      </c>
    </row>
    <row r="706" spans="1:20" x14ac:dyDescent="0.25">
      <c r="A706" s="5">
        <v>43887</v>
      </c>
      <c r="B706">
        <v>0.25979999999999998</v>
      </c>
      <c r="C706">
        <v>0.28620000000000001</v>
      </c>
      <c r="D706">
        <v>0.21679999999999999</v>
      </c>
      <c r="E706">
        <v>0.25280000000000002</v>
      </c>
      <c r="F706">
        <v>6093717.7300000004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3.7463976945245621E-2</v>
      </c>
      <c r="Q706">
        <f t="shared" si="995"/>
        <v>228294.90054755448</v>
      </c>
      <c r="R706">
        <f t="shared" si="996"/>
        <v>-72106213.020376489</v>
      </c>
      <c r="S706">
        <f t="shared" si="997"/>
        <v>-721.06213020376492</v>
      </c>
      <c r="T706">
        <f t="shared" si="998"/>
        <v>-0.72106213020376497</v>
      </c>
    </row>
    <row r="707" spans="1:20" x14ac:dyDescent="0.25">
      <c r="A707" s="5">
        <v>43886</v>
      </c>
      <c r="B707">
        <v>0.2918</v>
      </c>
      <c r="C707">
        <v>0.29370000000000002</v>
      </c>
      <c r="D707">
        <v>0.255</v>
      </c>
      <c r="E707">
        <v>0.25979999999999998</v>
      </c>
      <c r="F707">
        <v>2481493.11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-0.75193798449612559</v>
      </c>
      <c r="Q707">
        <f t="shared" si="995"/>
        <v>-1865928.9276744223</v>
      </c>
      <c r="R707">
        <f t="shared" si="996"/>
        <v>-72334507.920924038</v>
      </c>
      <c r="S707">
        <f t="shared" si="997"/>
        <v>-723.34507920924034</v>
      </c>
      <c r="T707">
        <f t="shared" si="998"/>
        <v>-0.72334507920924029</v>
      </c>
    </row>
    <row r="708" spans="1:20" x14ac:dyDescent="0.25">
      <c r="A708" s="5">
        <v>43885</v>
      </c>
      <c r="B708">
        <v>0.28710000000000002</v>
      </c>
      <c r="C708">
        <v>0.3246</v>
      </c>
      <c r="D708">
        <v>0.27679999999999999</v>
      </c>
      <c r="E708">
        <v>0.29330000000000001</v>
      </c>
      <c r="F708">
        <v>5956790.75</v>
      </c>
      <c r="G708">
        <v>0</v>
      </c>
      <c r="L708" t="s">
        <v>8</v>
      </c>
      <c r="M708" t="s">
        <v>8</v>
      </c>
      <c r="N708" t="s">
        <v>8</v>
      </c>
      <c r="P708">
        <f t="shared" si="994"/>
        <v>-0.30962343096234263</v>
      </c>
      <c r="Q708">
        <f t="shared" si="995"/>
        <v>-1844361.9895397462</v>
      </c>
      <c r="R708">
        <f t="shared" si="996"/>
        <v>-70468578.99324961</v>
      </c>
      <c r="S708">
        <f t="shared" si="997"/>
        <v>-704.68578993249605</v>
      </c>
      <c r="T708">
        <f t="shared" si="998"/>
        <v>-0.70468578993249609</v>
      </c>
    </row>
    <row r="709" spans="1:20" x14ac:dyDescent="0.25">
      <c r="A709" s="5">
        <v>43884</v>
      </c>
      <c r="B709">
        <v>0.28100000000000003</v>
      </c>
      <c r="C709">
        <v>0.29330000000000001</v>
      </c>
      <c r="D709">
        <v>0.26569999999999999</v>
      </c>
      <c r="E709">
        <v>0.28939999999999999</v>
      </c>
      <c r="F709">
        <v>2542924.98</v>
      </c>
      <c r="G709">
        <v>0</v>
      </c>
      <c r="L709" t="s">
        <v>7</v>
      </c>
      <c r="M709" t="s">
        <v>7</v>
      </c>
      <c r="N709" t="s">
        <v>8</v>
      </c>
      <c r="P709">
        <f t="shared" si="994"/>
        <v>0.71739130434782516</v>
      </c>
      <c r="Q709">
        <f t="shared" si="995"/>
        <v>1824272.2682608671</v>
      </c>
      <c r="R709">
        <f t="shared" si="996"/>
        <v>-68624217.003709868</v>
      </c>
      <c r="S709">
        <f t="shared" si="997"/>
        <v>-686.24217003709873</v>
      </c>
      <c r="T709">
        <f t="shared" si="998"/>
        <v>-0.68624217003709875</v>
      </c>
    </row>
    <row r="710" spans="1:20" x14ac:dyDescent="0.25">
      <c r="A710" s="5">
        <v>43883</v>
      </c>
      <c r="B710">
        <v>0.28710000000000002</v>
      </c>
      <c r="C710">
        <v>0.29499999999999998</v>
      </c>
      <c r="D710">
        <v>0.27900000000000003</v>
      </c>
      <c r="E710">
        <v>0.28100000000000003</v>
      </c>
      <c r="F710">
        <v>1637077.43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-0.74999999999999911</v>
      </c>
      <c r="Q710">
        <f t="shared" ref="Q710:Q766" si="1000">F710*P710</f>
        <v>-1227808.0724999986</v>
      </c>
      <c r="R710">
        <f t="shared" ref="R710:R766" si="1001">R711+Q710</f>
        <v>-70448489.271970734</v>
      </c>
      <c r="S710">
        <f t="shared" ref="S710:S766" si="1002">R710/100000</f>
        <v>-704.48489271970732</v>
      </c>
      <c r="T710">
        <f t="shared" ref="T710:T766" si="1003">S710/1000</f>
        <v>-0.70448489271970727</v>
      </c>
    </row>
    <row r="711" spans="1:20" x14ac:dyDescent="0.25">
      <c r="A711" s="5">
        <v>43882</v>
      </c>
      <c r="B711">
        <v>0.29899999999999999</v>
      </c>
      <c r="C711">
        <v>0.309</v>
      </c>
      <c r="D711">
        <v>0.28029999999999999</v>
      </c>
      <c r="E711">
        <v>0.2873</v>
      </c>
      <c r="F711">
        <v>1711921.84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-0.51219512195121919</v>
      </c>
      <c r="Q711">
        <f t="shared" si="1000"/>
        <v>-876838.01560975565</v>
      </c>
      <c r="R711">
        <f t="shared" si="1001"/>
        <v>-69220681.199470729</v>
      </c>
      <c r="S711">
        <f t="shared" si="1002"/>
        <v>-692.20681199470732</v>
      </c>
      <c r="T711">
        <f t="shared" si="1003"/>
        <v>-0.69220681199470735</v>
      </c>
    </row>
    <row r="712" spans="1:20" x14ac:dyDescent="0.25">
      <c r="A712" s="5">
        <v>43881</v>
      </c>
      <c r="B712">
        <v>0.308</v>
      </c>
      <c r="C712">
        <v>0.309</v>
      </c>
      <c r="D712">
        <v>0.27510000000000001</v>
      </c>
      <c r="E712">
        <v>0.29909999999999998</v>
      </c>
      <c r="F712">
        <v>3200318.83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0.4159292035398216</v>
      </c>
      <c r="Q712">
        <f t="shared" si="1000"/>
        <v>1331106.0620353937</v>
      </c>
      <c r="R712">
        <f t="shared" si="1001"/>
        <v>-68343843.183860973</v>
      </c>
      <c r="S712">
        <f t="shared" si="1002"/>
        <v>-683.43843183860974</v>
      </c>
      <c r="T712">
        <f t="shared" si="1003"/>
        <v>-0.68343843183860975</v>
      </c>
    </row>
    <row r="713" spans="1:20" x14ac:dyDescent="0.25">
      <c r="A713" s="5">
        <v>43880</v>
      </c>
      <c r="B713">
        <v>0.32700000000000001</v>
      </c>
      <c r="C713">
        <v>0.33829999999999999</v>
      </c>
      <c r="D713">
        <v>0.29499999999999998</v>
      </c>
      <c r="E713">
        <v>0.308</v>
      </c>
      <c r="F713">
        <v>2974638.23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-0.39953810623556535</v>
      </c>
      <c r="Q713">
        <f t="shared" si="1000"/>
        <v>-1188481.325150114</v>
      </c>
      <c r="R713">
        <f t="shared" si="1001"/>
        <v>-69674949.245896369</v>
      </c>
      <c r="S713">
        <f t="shared" si="1002"/>
        <v>-696.74949245896369</v>
      </c>
      <c r="T713">
        <f t="shared" si="1003"/>
        <v>-0.69674949245896367</v>
      </c>
    </row>
    <row r="714" spans="1:20" x14ac:dyDescent="0.25">
      <c r="A714" s="5">
        <v>43879</v>
      </c>
      <c r="B714">
        <v>0.3211</v>
      </c>
      <c r="C714">
        <v>0.36899999999999999</v>
      </c>
      <c r="D714">
        <v>0.3</v>
      </c>
      <c r="E714">
        <v>0.32700000000000001</v>
      </c>
      <c r="F714">
        <v>9090763</v>
      </c>
      <c r="G714">
        <v>0</v>
      </c>
      <c r="L714" t="s">
        <v>8</v>
      </c>
      <c r="M714" t="s">
        <v>8</v>
      </c>
      <c r="N714" t="s">
        <v>8</v>
      </c>
      <c r="P714">
        <f t="shared" si="999"/>
        <v>-0.21739130434782547</v>
      </c>
      <c r="Q714">
        <f t="shared" si="1000"/>
        <v>-1976252.826086951</v>
      </c>
      <c r="R714">
        <f t="shared" si="1001"/>
        <v>-68486467.920746252</v>
      </c>
      <c r="S714">
        <f t="shared" si="1002"/>
        <v>-684.86467920746247</v>
      </c>
      <c r="T714">
        <f t="shared" si="1003"/>
        <v>-0.68486467920746252</v>
      </c>
    </row>
    <row r="715" spans="1:20" x14ac:dyDescent="0.25">
      <c r="A715" s="5">
        <v>43878</v>
      </c>
      <c r="B715">
        <v>0.2863</v>
      </c>
      <c r="C715">
        <v>0.3458</v>
      </c>
      <c r="D715">
        <v>0.28100000000000003</v>
      </c>
      <c r="E715">
        <v>0.32090000000000002</v>
      </c>
      <c r="F715">
        <v>11114857.210000001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0.23148148148148179</v>
      </c>
      <c r="Q715">
        <f t="shared" si="1000"/>
        <v>2572883.6134259296</v>
      </c>
      <c r="R715">
        <f t="shared" si="1001"/>
        <v>-66510215.094659306</v>
      </c>
      <c r="S715">
        <f t="shared" si="1002"/>
        <v>-665.10215094659304</v>
      </c>
      <c r="T715">
        <f t="shared" si="1003"/>
        <v>-0.66510215094659308</v>
      </c>
    </row>
    <row r="716" spans="1:20" x14ac:dyDescent="0.25">
      <c r="A716" s="5">
        <v>43877</v>
      </c>
      <c r="B716">
        <v>0.27800000000000002</v>
      </c>
      <c r="C716">
        <v>0.32290000000000002</v>
      </c>
      <c r="D716">
        <v>0.255</v>
      </c>
      <c r="E716">
        <v>0.2863</v>
      </c>
      <c r="F716">
        <v>7717534.4199999999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-7.8055964653903173E-2</v>
      </c>
      <c r="Q716">
        <f t="shared" si="1000"/>
        <v>-602399.59390280116</v>
      </c>
      <c r="R716">
        <f t="shared" si="1001"/>
        <v>-69083098.708085239</v>
      </c>
      <c r="S716">
        <f t="shared" si="1002"/>
        <v>-690.83098708085242</v>
      </c>
      <c r="T716">
        <f t="shared" si="1003"/>
        <v>-0.69083098708085244</v>
      </c>
    </row>
    <row r="717" spans="1:20" x14ac:dyDescent="0.25">
      <c r="A717" s="5">
        <v>43876</v>
      </c>
      <c r="B717">
        <v>0.28370000000000001</v>
      </c>
      <c r="C717">
        <v>0.37590000000000001</v>
      </c>
      <c r="D717">
        <v>0.26900000000000002</v>
      </c>
      <c r="E717">
        <v>0.27789999999999998</v>
      </c>
      <c r="F717">
        <v>17266359.149999999</v>
      </c>
      <c r="G717">
        <v>0</v>
      </c>
      <c r="L717" t="s">
        <v>7</v>
      </c>
      <c r="M717" t="s">
        <v>8</v>
      </c>
      <c r="N717" t="s">
        <v>7</v>
      </c>
      <c r="P717">
        <f t="shared" si="999"/>
        <v>-0.83348924228250765</v>
      </c>
      <c r="Q717">
        <f t="shared" si="1000"/>
        <v>-14391324.604911141</v>
      </c>
      <c r="R717">
        <f t="shared" si="1001"/>
        <v>-68480699.114182442</v>
      </c>
      <c r="S717">
        <f t="shared" si="1002"/>
        <v>-684.80699114182437</v>
      </c>
      <c r="T717">
        <f t="shared" si="1003"/>
        <v>-0.68480699114182442</v>
      </c>
    </row>
    <row r="718" spans="1:20" x14ac:dyDescent="0.25">
      <c r="A718" s="5">
        <v>43875</v>
      </c>
      <c r="B718">
        <v>0.32800000000000001</v>
      </c>
      <c r="C718">
        <v>0.32800000000000001</v>
      </c>
      <c r="D718">
        <v>0.27600000000000002</v>
      </c>
      <c r="E718">
        <v>0.28260000000000002</v>
      </c>
      <c r="F718">
        <v>5966904.5099999998</v>
      </c>
      <c r="G718">
        <v>0</v>
      </c>
      <c r="L718" t="s">
        <v>7</v>
      </c>
      <c r="M718" t="s">
        <v>7</v>
      </c>
      <c r="N718" t="s">
        <v>7</v>
      </c>
      <c r="P718">
        <f t="shared" si="999"/>
        <v>-0.74615384615384628</v>
      </c>
      <c r="Q718">
        <f t="shared" si="1000"/>
        <v>-4452228.7497692313</v>
      </c>
      <c r="R718">
        <f t="shared" si="1001"/>
        <v>-54089374.509271294</v>
      </c>
      <c r="S718">
        <f t="shared" si="1002"/>
        <v>-540.89374509271295</v>
      </c>
      <c r="T718">
        <f t="shared" si="1003"/>
        <v>-0.54089374509271293</v>
      </c>
    </row>
    <row r="719" spans="1:20" x14ac:dyDescent="0.25">
      <c r="A719" s="5">
        <v>43874</v>
      </c>
      <c r="B719">
        <v>0.32379999999999998</v>
      </c>
      <c r="C719">
        <v>0.3493</v>
      </c>
      <c r="D719">
        <v>0.30499999999999999</v>
      </c>
      <c r="E719">
        <v>0.32879999999999998</v>
      </c>
      <c r="F719">
        <v>7411549.04</v>
      </c>
      <c r="G719">
        <v>0</v>
      </c>
      <c r="L719" t="s">
        <v>8</v>
      </c>
      <c r="M719" t="s">
        <v>7</v>
      </c>
      <c r="N719" t="s">
        <v>7</v>
      </c>
      <c r="P719">
        <f t="shared" si="999"/>
        <v>7.4492099322798405E-2</v>
      </c>
      <c r="Q719">
        <f t="shared" si="1000"/>
        <v>552101.84722347115</v>
      </c>
      <c r="R719">
        <f t="shared" si="1001"/>
        <v>-49637145.759502061</v>
      </c>
      <c r="S719">
        <f t="shared" si="1002"/>
        <v>-496.37145759502062</v>
      </c>
      <c r="T719">
        <f t="shared" si="1003"/>
        <v>-0.4963714575950206</v>
      </c>
    </row>
    <row r="720" spans="1:20" x14ac:dyDescent="0.25">
      <c r="A720" s="5">
        <v>43873</v>
      </c>
      <c r="B720">
        <v>0.34660000000000002</v>
      </c>
      <c r="C720">
        <v>0.3992</v>
      </c>
      <c r="D720">
        <v>0.3</v>
      </c>
      <c r="E720">
        <v>0.32319999999999999</v>
      </c>
      <c r="F720">
        <v>16972004.530000001</v>
      </c>
      <c r="G720">
        <v>0</v>
      </c>
      <c r="L720" t="s">
        <v>7</v>
      </c>
      <c r="M720" t="s">
        <v>7</v>
      </c>
      <c r="N720" t="s">
        <v>7</v>
      </c>
      <c r="P720">
        <f t="shared" si="999"/>
        <v>-0.53225806451612911</v>
      </c>
      <c r="Q720">
        <f t="shared" si="1000"/>
        <v>-9033486.2820967771</v>
      </c>
      <c r="R720">
        <f t="shared" si="1001"/>
        <v>-50189247.606725529</v>
      </c>
      <c r="S720">
        <f t="shared" si="1002"/>
        <v>-501.8924760672553</v>
      </c>
      <c r="T720">
        <f t="shared" si="1003"/>
        <v>-0.50189247606725529</v>
      </c>
    </row>
    <row r="721" spans="1:20" x14ac:dyDescent="0.25">
      <c r="A721" s="5">
        <v>43872</v>
      </c>
      <c r="B721">
        <v>0.37809999999999999</v>
      </c>
      <c r="C721">
        <v>0.38419999999999999</v>
      </c>
      <c r="D721">
        <v>0.32440000000000002</v>
      </c>
      <c r="E721">
        <v>0.34899999999999998</v>
      </c>
      <c r="F721">
        <v>10268856.699999999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-0.17725752508361303</v>
      </c>
      <c r="Q721">
        <f t="shared" si="1000"/>
        <v>-1820232.1240802775</v>
      </c>
      <c r="R721">
        <f t="shared" si="1001"/>
        <v>-41155761.324628748</v>
      </c>
      <c r="S721">
        <f t="shared" si="1002"/>
        <v>-411.55761324628747</v>
      </c>
      <c r="T721">
        <f t="shared" si="1003"/>
        <v>-0.41155761324628748</v>
      </c>
    </row>
    <row r="722" spans="1:20" x14ac:dyDescent="0.25">
      <c r="A722" s="5">
        <v>43871</v>
      </c>
      <c r="B722">
        <v>0.44059999999999999</v>
      </c>
      <c r="C722">
        <v>0.45300000000000001</v>
      </c>
      <c r="D722">
        <v>0.35510000000000003</v>
      </c>
      <c r="E722">
        <v>0.37809999999999999</v>
      </c>
      <c r="F722">
        <v>21017970.09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-0.53013278855975554</v>
      </c>
      <c r="Q722">
        <f t="shared" si="1000"/>
        <v>-11142315.093677236</v>
      </c>
      <c r="R722">
        <f t="shared" si="1001"/>
        <v>-39335529.20054847</v>
      </c>
      <c r="S722">
        <f t="shared" si="1002"/>
        <v>-393.35529200548473</v>
      </c>
      <c r="T722">
        <f t="shared" si="1003"/>
        <v>-0.39335529200548475</v>
      </c>
    </row>
    <row r="723" spans="1:20" x14ac:dyDescent="0.25">
      <c r="A723" s="5">
        <v>43870</v>
      </c>
      <c r="B723">
        <v>0.32769999999999999</v>
      </c>
      <c r="C723">
        <v>0.4582</v>
      </c>
      <c r="D723">
        <v>0.2802</v>
      </c>
      <c r="E723">
        <v>0.443</v>
      </c>
      <c r="F723">
        <v>38416688.210000001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0.82921348314606746</v>
      </c>
      <c r="Q723">
        <f t="shared" si="1000"/>
        <v>31855635.841550566</v>
      </c>
      <c r="R723">
        <f t="shared" si="1001"/>
        <v>-28193214.106871232</v>
      </c>
      <c r="S723">
        <f t="shared" si="1002"/>
        <v>-281.93214106871233</v>
      </c>
      <c r="T723">
        <f t="shared" si="1003"/>
        <v>-0.28193214106871234</v>
      </c>
    </row>
    <row r="724" spans="1:20" x14ac:dyDescent="0.25">
      <c r="A724" s="5">
        <v>43869</v>
      </c>
      <c r="B724">
        <v>0.21759999999999999</v>
      </c>
      <c r="C724">
        <v>0.35</v>
      </c>
      <c r="D724">
        <v>0.21149999999999999</v>
      </c>
      <c r="E724">
        <v>0.3266</v>
      </c>
      <c r="F724">
        <v>28577016.530000001</v>
      </c>
      <c r="G724">
        <v>0</v>
      </c>
      <c r="L724" t="s">
        <v>8</v>
      </c>
      <c r="M724" t="s">
        <v>8</v>
      </c>
      <c r="N724" t="s">
        <v>7</v>
      </c>
      <c r="P724">
        <f t="shared" si="999"/>
        <v>0.66209386281588478</v>
      </c>
      <c r="Q724">
        <f t="shared" si="1000"/>
        <v>18920667.262101091</v>
      </c>
      <c r="R724">
        <f t="shared" si="1001"/>
        <v>-60048849.948421799</v>
      </c>
      <c r="S724">
        <f t="shared" si="1002"/>
        <v>-600.48849948421798</v>
      </c>
      <c r="T724">
        <f t="shared" si="1003"/>
        <v>-0.60048849948421801</v>
      </c>
    </row>
    <row r="725" spans="1:20" x14ac:dyDescent="0.25">
      <c r="A725" s="5">
        <v>43868</v>
      </c>
      <c r="B725">
        <v>0.25219999999999998</v>
      </c>
      <c r="C725">
        <v>0.32500000000000001</v>
      </c>
      <c r="D725">
        <v>0.21060000000000001</v>
      </c>
      <c r="E725">
        <v>0.22009999999999999</v>
      </c>
      <c r="F725">
        <v>40012109.890000001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-0.83391608391608429</v>
      </c>
      <c r="Q725">
        <f t="shared" si="1000"/>
        <v>-33366741.988688827</v>
      </c>
      <c r="R725">
        <f t="shared" si="1001"/>
        <v>-78969517.21052289</v>
      </c>
      <c r="S725">
        <f t="shared" si="1002"/>
        <v>-789.69517210522895</v>
      </c>
      <c r="T725">
        <f t="shared" si="1003"/>
        <v>-0.78969517210522899</v>
      </c>
    </row>
    <row r="726" spans="1:20" x14ac:dyDescent="0.25">
      <c r="A726" s="5">
        <v>43867</v>
      </c>
      <c r="B726">
        <v>0.12039999999999999</v>
      </c>
      <c r="C726">
        <v>0.29799999999999999</v>
      </c>
      <c r="D726">
        <v>0.1162</v>
      </c>
      <c r="E726">
        <v>0.25030000000000002</v>
      </c>
      <c r="F726">
        <v>58317088.649999999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0.47524752475247561</v>
      </c>
      <c r="Q726">
        <f t="shared" si="1000"/>
        <v>27715052.031683188</v>
      </c>
      <c r="R726">
        <f t="shared" si="1001"/>
        <v>-45602775.221834064</v>
      </c>
      <c r="S726">
        <f t="shared" si="1002"/>
        <v>-456.02775221834065</v>
      </c>
      <c r="T726">
        <f t="shared" si="1003"/>
        <v>-0.45602775221834063</v>
      </c>
    </row>
    <row r="727" spans="1:20" x14ac:dyDescent="0.25">
      <c r="A727" s="5">
        <v>43866</v>
      </c>
      <c r="B727">
        <v>0.1171</v>
      </c>
      <c r="C727">
        <v>0.12139999999999999</v>
      </c>
      <c r="D727">
        <v>0.1109</v>
      </c>
      <c r="E727">
        <v>0.1207</v>
      </c>
      <c r="F727">
        <v>4086675.25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0.86666666666666803</v>
      </c>
      <c r="Q727">
        <f t="shared" si="1000"/>
        <v>3541785.2166666724</v>
      </c>
      <c r="R727">
        <f t="shared" si="1001"/>
        <v>-73317827.253517255</v>
      </c>
      <c r="S727">
        <f t="shared" si="1002"/>
        <v>-733.1782725351726</v>
      </c>
      <c r="T727">
        <f t="shared" si="1003"/>
        <v>-0.73317827253517265</v>
      </c>
    </row>
    <row r="728" spans="1:20" x14ac:dyDescent="0.25">
      <c r="A728" s="5">
        <v>43865</v>
      </c>
      <c r="B728">
        <v>0.1142</v>
      </c>
      <c r="C728">
        <v>0.1192</v>
      </c>
      <c r="D728">
        <v>0.11260000000000001</v>
      </c>
      <c r="E728">
        <v>0.11749999999999999</v>
      </c>
      <c r="F728">
        <v>3682953.06</v>
      </c>
      <c r="G728">
        <v>0</v>
      </c>
      <c r="L728" t="s">
        <v>7</v>
      </c>
      <c r="M728" t="s">
        <v>8</v>
      </c>
      <c r="N728" t="s">
        <v>7</v>
      </c>
      <c r="P728">
        <f t="shared" si="999"/>
        <v>0.48484848484848231</v>
      </c>
      <c r="Q728">
        <f t="shared" si="1000"/>
        <v>1785674.2109090816</v>
      </c>
      <c r="R728">
        <f t="shared" si="1001"/>
        <v>-76859612.470183924</v>
      </c>
      <c r="S728">
        <f t="shared" si="1002"/>
        <v>-768.59612470183924</v>
      </c>
      <c r="T728">
        <f t="shared" si="1003"/>
        <v>-0.76859612470183925</v>
      </c>
    </row>
    <row r="729" spans="1:20" x14ac:dyDescent="0.25">
      <c r="A729" s="5">
        <v>43864</v>
      </c>
      <c r="B729">
        <v>0.11749999999999999</v>
      </c>
      <c r="C729">
        <v>0.12479999999999999</v>
      </c>
      <c r="D729">
        <v>0.1115</v>
      </c>
      <c r="E729">
        <v>0.1144</v>
      </c>
      <c r="F729">
        <v>4664279.26</v>
      </c>
      <c r="G729">
        <v>0</v>
      </c>
      <c r="L729" t="s">
        <v>7</v>
      </c>
      <c r="M729" t="s">
        <v>8</v>
      </c>
      <c r="N729" t="s">
        <v>7</v>
      </c>
      <c r="P729">
        <f t="shared" si="999"/>
        <v>-0.56390977443609003</v>
      </c>
      <c r="Q729">
        <f t="shared" si="1000"/>
        <v>-2630232.6654135329</v>
      </c>
      <c r="R729">
        <f t="shared" si="1001"/>
        <v>-78645286.681093007</v>
      </c>
      <c r="S729">
        <f t="shared" si="1002"/>
        <v>-786.45286681093012</v>
      </c>
      <c r="T729">
        <f t="shared" si="1003"/>
        <v>-0.78645286681093007</v>
      </c>
    </row>
    <row r="730" spans="1:20" x14ac:dyDescent="0.25">
      <c r="A730" s="5">
        <v>43863</v>
      </c>
      <c r="B730">
        <v>0.1115</v>
      </c>
      <c r="C730">
        <v>0.12820000000000001</v>
      </c>
      <c r="D730">
        <v>0.11119999999999999</v>
      </c>
      <c r="E730">
        <v>0.11749999999999999</v>
      </c>
      <c r="F730">
        <v>4869993.17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-0.25882352941176534</v>
      </c>
      <c r="Q730">
        <f t="shared" si="1000"/>
        <v>-1260468.8204705913</v>
      </c>
      <c r="R730">
        <f t="shared" si="1001"/>
        <v>-76015054.015679479</v>
      </c>
      <c r="S730">
        <f t="shared" si="1002"/>
        <v>-760.15054015679482</v>
      </c>
      <c r="T730">
        <f t="shared" si="1003"/>
        <v>-0.76015054015679484</v>
      </c>
    </row>
    <row r="731" spans="1:20" x14ac:dyDescent="0.25">
      <c r="A731" s="5">
        <v>43862</v>
      </c>
      <c r="B731">
        <v>0.1125</v>
      </c>
      <c r="C731">
        <v>0.1148</v>
      </c>
      <c r="D731">
        <v>0.1081</v>
      </c>
      <c r="E731">
        <v>0.1115</v>
      </c>
      <c r="F731">
        <v>1544120.53</v>
      </c>
      <c r="G731">
        <v>0</v>
      </c>
      <c r="L731" t="s">
        <v>7</v>
      </c>
      <c r="M731" t="s">
        <v>7</v>
      </c>
      <c r="N731" t="s">
        <v>7</v>
      </c>
      <c r="P731">
        <f t="shared" si="999"/>
        <v>1.4925373134328792E-2</v>
      </c>
      <c r="Q731">
        <f t="shared" si="1000"/>
        <v>23046.575074627537</v>
      </c>
      <c r="R731">
        <f t="shared" si="1001"/>
        <v>-74754585.195208892</v>
      </c>
      <c r="S731">
        <f t="shared" si="1002"/>
        <v>-747.54585195208892</v>
      </c>
      <c r="T731">
        <f t="shared" si="1003"/>
        <v>-0.74754585195208889</v>
      </c>
    </row>
    <row r="732" spans="1:20" x14ac:dyDescent="0.25">
      <c r="A732" s="5">
        <v>43861</v>
      </c>
      <c r="B732">
        <v>0.111</v>
      </c>
      <c r="C732">
        <v>0.11650000000000001</v>
      </c>
      <c r="D732">
        <v>0.1043</v>
      </c>
      <c r="E732">
        <v>0.11169999999999999</v>
      </c>
      <c r="F732">
        <v>3166467.68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0.21311475409835876</v>
      </c>
      <c r="Q732">
        <f t="shared" si="1000"/>
        <v>674820.9809836006</v>
      </c>
      <c r="R732">
        <f t="shared" si="1001"/>
        <v>-74777631.77028352</v>
      </c>
      <c r="S732">
        <f t="shared" si="1002"/>
        <v>-747.77631770283517</v>
      </c>
      <c r="T732">
        <f t="shared" si="1003"/>
        <v>-0.74777631770283515</v>
      </c>
    </row>
    <row r="733" spans="1:20" x14ac:dyDescent="0.25">
      <c r="A733" s="5">
        <v>43860</v>
      </c>
      <c r="B733">
        <v>0.1074</v>
      </c>
      <c r="C733">
        <v>0.1113</v>
      </c>
      <c r="D733">
        <v>0.1026</v>
      </c>
      <c r="E733">
        <v>0.11119999999999999</v>
      </c>
      <c r="F733">
        <v>2874715.33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0.97701149425287293</v>
      </c>
      <c r="Q733">
        <f t="shared" si="1000"/>
        <v>2808629.920114941</v>
      </c>
      <c r="R733">
        <f t="shared" si="1001"/>
        <v>-75452452.75126712</v>
      </c>
      <c r="S733">
        <f t="shared" si="1002"/>
        <v>-754.52452751267117</v>
      </c>
      <c r="T733">
        <f t="shared" si="1003"/>
        <v>-0.75452452751267118</v>
      </c>
    </row>
    <row r="734" spans="1:20" x14ac:dyDescent="0.25">
      <c r="A734" s="5">
        <v>43859</v>
      </c>
      <c r="B734">
        <v>0.1113</v>
      </c>
      <c r="C734">
        <v>0.11269999999999999</v>
      </c>
      <c r="D734">
        <v>0.106</v>
      </c>
      <c r="E734">
        <v>0.1074</v>
      </c>
      <c r="F734">
        <v>2613909.67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-0.58208955223880632</v>
      </c>
      <c r="Q734">
        <f t="shared" si="1000"/>
        <v>-1521529.5094029859</v>
      </c>
      <c r="R734">
        <f t="shared" si="1001"/>
        <v>-78261082.671382055</v>
      </c>
      <c r="S734">
        <f t="shared" si="1002"/>
        <v>-782.61082671382053</v>
      </c>
      <c r="T734">
        <f t="shared" si="1003"/>
        <v>-0.78261082671382054</v>
      </c>
    </row>
    <row r="735" spans="1:20" x14ac:dyDescent="0.25">
      <c r="A735" s="5">
        <v>43858</v>
      </c>
      <c r="B735">
        <v>0.1201</v>
      </c>
      <c r="C735">
        <v>0.12039999999999999</v>
      </c>
      <c r="D735">
        <v>0.1105</v>
      </c>
      <c r="E735">
        <v>0.111</v>
      </c>
      <c r="F735">
        <v>2031134.22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-0.89898989898989878</v>
      </c>
      <c r="Q735">
        <f t="shared" si="1000"/>
        <v>-1825969.1472727268</v>
      </c>
      <c r="R735">
        <f t="shared" si="1001"/>
        <v>-76739553.161979064</v>
      </c>
      <c r="S735">
        <f t="shared" si="1002"/>
        <v>-767.39553161979063</v>
      </c>
      <c r="T735">
        <f t="shared" si="1003"/>
        <v>-0.76739553161979068</v>
      </c>
    </row>
    <row r="736" spans="1:20" x14ac:dyDescent="0.25">
      <c r="A736" s="5">
        <v>43857</v>
      </c>
      <c r="B736">
        <v>0.1166</v>
      </c>
      <c r="C736">
        <v>0.1244</v>
      </c>
      <c r="D736">
        <v>0.1166</v>
      </c>
      <c r="E736">
        <v>0.1195</v>
      </c>
      <c r="F736">
        <v>1338720.96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-0.25641025641025661</v>
      </c>
      <c r="Q736">
        <f t="shared" si="1000"/>
        <v>-343261.78461538488</v>
      </c>
      <c r="R736">
        <f t="shared" si="1001"/>
        <v>-74913584.014706343</v>
      </c>
      <c r="S736">
        <f t="shared" si="1002"/>
        <v>-749.13584014706339</v>
      </c>
      <c r="T736">
        <f t="shared" si="1003"/>
        <v>-0.74913584014706336</v>
      </c>
    </row>
    <row r="737" spans="1:20" x14ac:dyDescent="0.25">
      <c r="A737" s="5">
        <v>43856</v>
      </c>
      <c r="B737">
        <v>0.1159</v>
      </c>
      <c r="C737">
        <v>0.12</v>
      </c>
      <c r="D737">
        <v>0.1125</v>
      </c>
      <c r="E737">
        <v>0.1166</v>
      </c>
      <c r="F737">
        <v>1713790.07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9.3333333333332394E-2</v>
      </c>
      <c r="Q737">
        <f t="shared" si="1000"/>
        <v>159953.73986666507</v>
      </c>
      <c r="R737">
        <f t="shared" si="1001"/>
        <v>-74570322.230090961</v>
      </c>
      <c r="S737">
        <f t="shared" si="1002"/>
        <v>-745.7032223009096</v>
      </c>
      <c r="T737">
        <f t="shared" si="1003"/>
        <v>-0.74570322230090957</v>
      </c>
    </row>
    <row r="738" spans="1:20" x14ac:dyDescent="0.25">
      <c r="A738" s="5">
        <v>43855</v>
      </c>
      <c r="B738">
        <v>0.122</v>
      </c>
      <c r="C738">
        <v>0.1231</v>
      </c>
      <c r="D738">
        <v>0.1153</v>
      </c>
      <c r="E738">
        <v>0.1162</v>
      </c>
      <c r="F738">
        <v>2027227.13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-0.76923076923076983</v>
      </c>
      <c r="Q738">
        <f t="shared" si="1000"/>
        <v>-1559405.4846153858</v>
      </c>
      <c r="R738">
        <f t="shared" si="1001"/>
        <v>-74730275.96995762</v>
      </c>
      <c r="S738">
        <f t="shared" si="1002"/>
        <v>-747.3027596995762</v>
      </c>
      <c r="T738">
        <f t="shared" si="1003"/>
        <v>-0.74730275969957616</v>
      </c>
    </row>
    <row r="739" spans="1:20" x14ac:dyDescent="0.25">
      <c r="A739" s="5">
        <v>43854</v>
      </c>
      <c r="B739">
        <v>0.12870000000000001</v>
      </c>
      <c r="C739">
        <v>0.13389999999999999</v>
      </c>
      <c r="D739">
        <v>0.1171</v>
      </c>
      <c r="E739">
        <v>0.122</v>
      </c>
      <c r="F739">
        <v>4038415.95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-0.4166666666666663</v>
      </c>
      <c r="Q739">
        <f t="shared" si="1000"/>
        <v>-1682673.3124999986</v>
      </c>
      <c r="R739">
        <f t="shared" si="1001"/>
        <v>-73170870.485342234</v>
      </c>
      <c r="S739">
        <f t="shared" si="1002"/>
        <v>-731.70870485342232</v>
      </c>
      <c r="T739">
        <f t="shared" si="1003"/>
        <v>-0.73170870485342232</v>
      </c>
    </row>
    <row r="740" spans="1:20" x14ac:dyDescent="0.25">
      <c r="A740" s="5">
        <v>43853</v>
      </c>
      <c r="B740">
        <v>0.12970000000000001</v>
      </c>
      <c r="C740">
        <v>0.13339999999999999</v>
      </c>
      <c r="D740">
        <v>0.1221</v>
      </c>
      <c r="E740">
        <v>0.12889999999999999</v>
      </c>
      <c r="F740">
        <v>3544694.98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0.20353982300884818</v>
      </c>
      <c r="Q740">
        <f t="shared" si="1000"/>
        <v>721486.58884955267</v>
      </c>
      <c r="R740">
        <f t="shared" si="1001"/>
        <v>-71488197.172842234</v>
      </c>
      <c r="S740">
        <f t="shared" si="1002"/>
        <v>-714.8819717284224</v>
      </c>
      <c r="T740">
        <f t="shared" si="1003"/>
        <v>-0.71488197172842238</v>
      </c>
    </row>
    <row r="741" spans="1:20" x14ac:dyDescent="0.25">
      <c r="A741" s="5">
        <v>43852</v>
      </c>
      <c r="B741">
        <v>0.12570000000000001</v>
      </c>
      <c r="C741">
        <v>0.14760000000000001</v>
      </c>
      <c r="D741">
        <v>0.1246</v>
      </c>
      <c r="E741">
        <v>0.12970000000000001</v>
      </c>
      <c r="F741">
        <v>10278724.6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-0.55652173913043423</v>
      </c>
      <c r="Q741">
        <f t="shared" si="1000"/>
        <v>-5720333.6904347772</v>
      </c>
      <c r="R741">
        <f t="shared" si="1001"/>
        <v>-72209683.761691794</v>
      </c>
      <c r="S741">
        <f t="shared" si="1002"/>
        <v>-722.09683761691792</v>
      </c>
      <c r="T741">
        <f t="shared" si="1003"/>
        <v>-0.7220968376169179</v>
      </c>
    </row>
    <row r="742" spans="1:20" x14ac:dyDescent="0.25">
      <c r="A742" s="5">
        <v>43851</v>
      </c>
      <c r="B742">
        <v>0.10929999999999999</v>
      </c>
      <c r="C742">
        <v>0.1275</v>
      </c>
      <c r="D742">
        <v>0.109</v>
      </c>
      <c r="E742">
        <v>0.1245</v>
      </c>
      <c r="F742">
        <v>7761219.3899999997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0.67567567567567544</v>
      </c>
      <c r="Q742">
        <f t="shared" si="1000"/>
        <v>5244067.1554054031</v>
      </c>
      <c r="R742">
        <f t="shared" si="1001"/>
        <v>-66489350.07125701</v>
      </c>
      <c r="S742">
        <f t="shared" si="1002"/>
        <v>-664.89350071257013</v>
      </c>
      <c r="T742">
        <f t="shared" si="1003"/>
        <v>-0.66489350071257014</v>
      </c>
    </row>
    <row r="743" spans="1:20" x14ac:dyDescent="0.25">
      <c r="A743" s="5">
        <v>43850</v>
      </c>
      <c r="B743">
        <v>0.1149</v>
      </c>
      <c r="C743">
        <v>0.11509999999999999</v>
      </c>
      <c r="D743">
        <v>0.1065</v>
      </c>
      <c r="E743">
        <v>0.1096</v>
      </c>
      <c r="F743">
        <v>2219321.98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-0.27906976744185891</v>
      </c>
      <c r="Q743">
        <f t="shared" si="1000"/>
        <v>-619345.66883720586</v>
      </c>
      <c r="R743">
        <f t="shared" si="1001"/>
        <v>-71733417.226662412</v>
      </c>
      <c r="S743">
        <f t="shared" si="1002"/>
        <v>-717.33417226662414</v>
      </c>
      <c r="T743">
        <f t="shared" si="1003"/>
        <v>-0.7173341722666241</v>
      </c>
    </row>
    <row r="744" spans="1:20" x14ac:dyDescent="0.25">
      <c r="A744" s="5">
        <v>43849</v>
      </c>
      <c r="B744">
        <v>0.128</v>
      </c>
      <c r="C744">
        <v>0.1298</v>
      </c>
      <c r="D744">
        <v>0.1106</v>
      </c>
      <c r="E744">
        <v>0.115</v>
      </c>
      <c r="F744">
        <v>6100461.4500000002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-0.54166666666666641</v>
      </c>
      <c r="Q744">
        <f t="shared" si="1000"/>
        <v>-3304416.6187499985</v>
      </c>
      <c r="R744">
        <f t="shared" si="1001"/>
        <v>-71114071.557825208</v>
      </c>
      <c r="S744">
        <f t="shared" si="1002"/>
        <v>-711.14071557825207</v>
      </c>
      <c r="T744">
        <f t="shared" si="1003"/>
        <v>-0.71114071557825209</v>
      </c>
    </row>
    <row r="745" spans="1:20" x14ac:dyDescent="0.25">
      <c r="A745" s="5">
        <v>43848</v>
      </c>
      <c r="B745">
        <v>0.12</v>
      </c>
      <c r="C745">
        <v>0.1283</v>
      </c>
      <c r="D745">
        <v>0.11849999999999999</v>
      </c>
      <c r="E745">
        <v>0.128</v>
      </c>
      <c r="F745">
        <v>3536680.59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0.93877551020408279</v>
      </c>
      <c r="Q745">
        <f t="shared" si="1000"/>
        <v>3320149.1253061262</v>
      </c>
      <c r="R745">
        <f t="shared" si="1001"/>
        <v>-67809654.939075202</v>
      </c>
      <c r="S745">
        <f t="shared" si="1002"/>
        <v>-678.09654939075199</v>
      </c>
      <c r="T745">
        <f t="shared" si="1003"/>
        <v>-0.67809654939075203</v>
      </c>
    </row>
    <row r="746" spans="1:20" x14ac:dyDescent="0.25">
      <c r="A746" s="5">
        <v>43847</v>
      </c>
      <c r="B746">
        <v>0.1188</v>
      </c>
      <c r="C746">
        <v>0.1285</v>
      </c>
      <c r="D746">
        <v>0.1158</v>
      </c>
      <c r="E746">
        <v>0.12</v>
      </c>
      <c r="F746">
        <v>6813533.7400000002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-0.33858267716535523</v>
      </c>
      <c r="Q746">
        <f t="shared" si="1000"/>
        <v>-2306944.4946456756</v>
      </c>
      <c r="R746">
        <f t="shared" si="1001"/>
        <v>-71129804.064381331</v>
      </c>
      <c r="S746">
        <f t="shared" si="1002"/>
        <v>-711.29804064381335</v>
      </c>
      <c r="T746">
        <f t="shared" si="1003"/>
        <v>-0.7112980406438133</v>
      </c>
    </row>
    <row r="747" spans="1:20" x14ac:dyDescent="0.25">
      <c r="A747" s="5">
        <v>43846</v>
      </c>
      <c r="B747">
        <v>0.13220000000000001</v>
      </c>
      <c r="C747">
        <v>0.15379999999999999</v>
      </c>
      <c r="D747">
        <v>0.1171</v>
      </c>
      <c r="E747">
        <v>0.1188</v>
      </c>
      <c r="F747">
        <v>10758663.550000001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-0.90735694822888247</v>
      </c>
      <c r="Q747">
        <f t="shared" si="1000"/>
        <v>-9761948.1257493161</v>
      </c>
      <c r="R747">
        <f t="shared" si="1001"/>
        <v>-68822859.569735661</v>
      </c>
      <c r="S747">
        <f t="shared" si="1002"/>
        <v>-688.22859569735658</v>
      </c>
      <c r="T747">
        <f t="shared" si="1003"/>
        <v>-0.68822859569735662</v>
      </c>
    </row>
    <row r="748" spans="1:20" x14ac:dyDescent="0.25">
      <c r="A748" s="5">
        <v>43845</v>
      </c>
      <c r="B748">
        <v>0.14510000000000001</v>
      </c>
      <c r="C748">
        <v>0.14530000000000001</v>
      </c>
      <c r="D748">
        <v>0.12889999999999999</v>
      </c>
      <c r="E748">
        <v>0.13159999999999999</v>
      </c>
      <c r="F748">
        <v>9812263.9199999999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-0.67073170731707277</v>
      </c>
      <c r="Q748">
        <f t="shared" si="1000"/>
        <v>-6581396.5317073129</v>
      </c>
      <c r="R748">
        <f t="shared" si="1001"/>
        <v>-59060911.443986341</v>
      </c>
      <c r="S748">
        <f t="shared" si="1002"/>
        <v>-590.60911443986345</v>
      </c>
      <c r="T748">
        <f t="shared" si="1003"/>
        <v>-0.59060911443986341</v>
      </c>
    </row>
    <row r="749" spans="1:20" x14ac:dyDescent="0.25">
      <c r="A749" s="5">
        <v>43844</v>
      </c>
      <c r="B749">
        <v>0.1673</v>
      </c>
      <c r="C749">
        <v>0.16869999999999999</v>
      </c>
      <c r="D749">
        <v>0.14499999999999999</v>
      </c>
      <c r="E749">
        <v>0.14530000000000001</v>
      </c>
      <c r="F749">
        <v>9364327.0099999998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-0.97468354430379556</v>
      </c>
      <c r="Q749">
        <f t="shared" si="1000"/>
        <v>-9127255.4401265644</v>
      </c>
      <c r="R749">
        <f t="shared" si="1001"/>
        <v>-52479514.912279025</v>
      </c>
      <c r="S749">
        <f t="shared" si="1002"/>
        <v>-524.79514912279024</v>
      </c>
      <c r="T749">
        <f t="shared" si="1003"/>
        <v>-0.52479514912279024</v>
      </c>
    </row>
    <row r="750" spans="1:20" x14ac:dyDescent="0.25">
      <c r="A750" s="5">
        <v>43843</v>
      </c>
      <c r="B750">
        <v>0.1668</v>
      </c>
      <c r="C750">
        <v>0.18149999999999999</v>
      </c>
      <c r="D750">
        <v>0.157</v>
      </c>
      <c r="E750">
        <v>0.1668</v>
      </c>
      <c r="F750">
        <v>8550823.8499999996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-0.19999999999999954</v>
      </c>
      <c r="Q750">
        <f t="shared" si="1000"/>
        <v>-1710164.7699999961</v>
      </c>
      <c r="R750">
        <f t="shared" si="1001"/>
        <v>-43352259.472152457</v>
      </c>
      <c r="S750">
        <f t="shared" si="1002"/>
        <v>-433.52259472152457</v>
      </c>
      <c r="T750">
        <f t="shared" si="1003"/>
        <v>-0.43352259472152455</v>
      </c>
    </row>
    <row r="751" spans="1:20" x14ac:dyDescent="0.25">
      <c r="A751" s="5">
        <v>43842</v>
      </c>
      <c r="B751">
        <v>0.1706</v>
      </c>
      <c r="C751">
        <v>0.17649999999999999</v>
      </c>
      <c r="D751">
        <v>0.1588</v>
      </c>
      <c r="E751">
        <v>0.16639999999999999</v>
      </c>
      <c r="F751">
        <v>7504214.2999999998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-0.14124293785310751</v>
      </c>
      <c r="Q751">
        <f t="shared" si="1000"/>
        <v>-1059917.2740113006</v>
      </c>
      <c r="R751">
        <f t="shared" si="1001"/>
        <v>-41642094.702152461</v>
      </c>
      <c r="S751">
        <f t="shared" si="1002"/>
        <v>-416.42094702152463</v>
      </c>
      <c r="T751">
        <f t="shared" si="1003"/>
        <v>-0.4164209470215246</v>
      </c>
    </row>
    <row r="752" spans="1:20" x14ac:dyDescent="0.25">
      <c r="A752" s="5">
        <v>43841</v>
      </c>
      <c r="B752">
        <v>0.2011</v>
      </c>
      <c r="C752">
        <v>0.20469999999999999</v>
      </c>
      <c r="D752">
        <v>0.16769999999999999</v>
      </c>
      <c r="E752">
        <v>0.1706</v>
      </c>
      <c r="F752">
        <v>8965735.0500000007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-0.84324324324324251</v>
      </c>
      <c r="Q752">
        <f t="shared" si="1000"/>
        <v>-7560295.5016216161</v>
      </c>
      <c r="R752">
        <f t="shared" si="1001"/>
        <v>-40582177.428141162</v>
      </c>
      <c r="S752">
        <f t="shared" si="1002"/>
        <v>-405.82177428141159</v>
      </c>
      <c r="T752">
        <f t="shared" si="1003"/>
        <v>-0.40582177428141158</v>
      </c>
    </row>
    <row r="753" spans="1:20" x14ac:dyDescent="0.25">
      <c r="A753" s="5">
        <v>43840</v>
      </c>
      <c r="B753">
        <v>0.218</v>
      </c>
      <c r="C753">
        <v>0.23669999999999999</v>
      </c>
      <c r="D753">
        <v>0.20050000000000001</v>
      </c>
      <c r="E753">
        <v>0.2009</v>
      </c>
      <c r="F753">
        <v>13995092.32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-0.97790055248618879</v>
      </c>
      <c r="Q753">
        <f t="shared" si="1000"/>
        <v>-13685808.511823218</v>
      </c>
      <c r="R753">
        <f t="shared" si="1001"/>
        <v>-33021881.926519547</v>
      </c>
      <c r="S753">
        <f t="shared" si="1002"/>
        <v>-330.21881926519546</v>
      </c>
      <c r="T753">
        <f t="shared" si="1003"/>
        <v>-0.33021881926519547</v>
      </c>
    </row>
    <row r="754" spans="1:20" x14ac:dyDescent="0.25">
      <c r="A754" s="5">
        <v>43839</v>
      </c>
      <c r="B754">
        <v>9.8900000000000002E-2</v>
      </c>
      <c r="C754">
        <v>0.499</v>
      </c>
      <c r="D754">
        <v>9.8900000000000002E-2</v>
      </c>
      <c r="E754">
        <v>0.218</v>
      </c>
      <c r="F754">
        <v>47784823.799999997</v>
      </c>
      <c r="G754">
        <v>0</v>
      </c>
      <c r="P754">
        <f t="shared" si="999"/>
        <v>-0.40464883779055244</v>
      </c>
      <c r="Q754">
        <f t="shared" si="1000"/>
        <v>-19336073.414696328</v>
      </c>
      <c r="R754">
        <f t="shared" si="1001"/>
        <v>-19336073.414696328</v>
      </c>
      <c r="S754">
        <f t="shared" si="1002"/>
        <v>-193.3607341469633</v>
      </c>
      <c r="T754">
        <f t="shared" si="1003"/>
        <v>-0.19336073414696331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R645" sqref="OR64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$A$644</v>
      </c>
      <c r="D111" s="1" t="str">
        <f>ADDRESS(C121-1,D121,1,1)</f>
        <v>$OR$644</v>
      </c>
      <c r="E111"/>
    </row>
    <row r="112" spans="1:5" x14ac:dyDescent="0.25">
      <c r="A112" s="7">
        <v>12164.144957890772</v>
      </c>
      <c r="C112" s="1" t="str">
        <f>ADDRESS(C121,1,1,1)</f>
        <v>$A$645</v>
      </c>
      <c r="D112" s="1" t="str">
        <f>ADDRESS(C121,D121-1,1,1)</f>
        <v>$OQ$645</v>
      </c>
      <c r="E112"/>
    </row>
    <row r="113" spans="1:5" x14ac:dyDescent="0.25">
      <c r="A113" s="7">
        <v>11925.63231165762</v>
      </c>
      <c r="C113" s="1" t="str">
        <f>ADDRESS(C121+1,1,1,1)</f>
        <v>$A$646</v>
      </c>
      <c r="D113" s="1" t="str">
        <f>ADDRESS(C121-1,D121+1,1,1)</f>
        <v>$OS$644</v>
      </c>
    </row>
    <row r="114" spans="1:5" x14ac:dyDescent="0.25">
      <c r="A114" s="7">
        <v>11691.796383978059</v>
      </c>
      <c r="C114" s="1" t="str">
        <f>ADDRESS(C121,D121,1,1)</f>
        <v>$OR$645</v>
      </c>
      <c r="D114" s="1" t="str">
        <f>ADDRESS(C121+1,D121+1,1,1)</f>
        <v>$OS$646</v>
      </c>
    </row>
    <row r="115" spans="1:5" x14ac:dyDescent="0.25">
      <c r="A115" s="7">
        <v>11462.545474488292</v>
      </c>
      <c r="C115" s="1" t="str">
        <f>ADDRESS(C121+1,D121,1,1)</f>
        <v>$OR$646</v>
      </c>
    </row>
    <row r="116" spans="1:5" x14ac:dyDescent="0.25">
      <c r="A116" s="7">
        <v>11237.789680870874</v>
      </c>
      <c r="C116" s="1">
        <f>C117-1</f>
        <v>644</v>
      </c>
    </row>
    <row r="117" spans="1:5" x14ac:dyDescent="0.25">
      <c r="A117" s="7">
        <v>11017.440863598895</v>
      </c>
      <c r="C117" s="1">
        <f>C121</f>
        <v>645</v>
      </c>
      <c r="D117" s="1">
        <f>D121</f>
        <v>408</v>
      </c>
    </row>
    <row r="118" spans="1:5" x14ac:dyDescent="0.25">
      <c r="A118" s="7">
        <v>10801.412611371465</v>
      </c>
      <c r="C118" s="1">
        <f>C117+1</f>
        <v>646</v>
      </c>
      <c r="D118" s="1">
        <f>D117+1</f>
        <v>409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645</v>
      </c>
      <c r="D121" s="19">
        <v>408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R645</v>
      </c>
      <c r="D123" s="1" t="str">
        <f>"C"&amp;D121</f>
        <v>C408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0.31709547002401678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42" x14ac:dyDescent="0.25">
      <c r="A513" s="7">
        <v>4.3292504462035977</v>
      </c>
      <c r="B513"/>
      <c r="C513"/>
      <c r="D513"/>
      <c r="E513"/>
    </row>
    <row r="514" spans="1:242" x14ac:dyDescent="0.25">
      <c r="A514" s="7">
        <v>4.2443631825525463</v>
      </c>
      <c r="B514"/>
      <c r="C514"/>
      <c r="D514"/>
      <c r="E514"/>
    </row>
    <row r="515" spans="1:242" x14ac:dyDescent="0.25">
      <c r="A515" s="7">
        <v>4.1611403750515157</v>
      </c>
      <c r="B515"/>
      <c r="C515"/>
      <c r="D515"/>
      <c r="E515"/>
    </row>
    <row r="516" spans="1:242" x14ac:dyDescent="0.25">
      <c r="A516" s="7">
        <v>4.0795493873054074</v>
      </c>
      <c r="B516"/>
      <c r="C516"/>
      <c r="D516"/>
      <c r="E516"/>
    </row>
    <row r="517" spans="1:242" x14ac:dyDescent="0.25">
      <c r="A517" s="7">
        <v>3.9995582228484383</v>
      </c>
      <c r="B517"/>
      <c r="C517"/>
      <c r="D517"/>
      <c r="E517"/>
    </row>
    <row r="518" spans="1:242" x14ac:dyDescent="0.25">
      <c r="A518" s="7">
        <v>3.9211355125965079</v>
      </c>
      <c r="B518"/>
      <c r="C518"/>
      <c r="D518"/>
      <c r="E518"/>
    </row>
    <row r="519" spans="1:242" x14ac:dyDescent="0.25">
      <c r="A519" s="7">
        <v>3.844250502545596</v>
      </c>
      <c r="B519"/>
      <c r="C519"/>
      <c r="D519"/>
      <c r="E519"/>
    </row>
    <row r="520" spans="1:242" x14ac:dyDescent="0.25">
      <c r="A520" s="7">
        <v>3.7688730417113687</v>
      </c>
      <c r="B520"/>
      <c r="C520"/>
      <c r="D520"/>
      <c r="E520"/>
    </row>
    <row r="521" spans="1:242" x14ac:dyDescent="0.25">
      <c r="A521" s="7">
        <v>3.6949735703052635</v>
      </c>
      <c r="B521"/>
      <c r="C521"/>
      <c r="D521"/>
      <c r="E521"/>
    </row>
    <row r="522" spans="1:242" x14ac:dyDescent="0.25">
      <c r="A522" s="7">
        <v>3.6225231081424152</v>
      </c>
      <c r="B522"/>
      <c r="C522"/>
      <c r="D522"/>
      <c r="E522"/>
    </row>
    <row r="523" spans="1:242" x14ac:dyDescent="0.25">
      <c r="A523" s="7">
        <v>3.5514932432768775</v>
      </c>
      <c r="B523"/>
      <c r="C523"/>
      <c r="D523"/>
      <c r="E523"/>
    </row>
    <row r="524" spans="1:242" x14ac:dyDescent="0.25">
      <c r="A524" s="7">
        <v>3.4818561208596837</v>
      </c>
      <c r="B524"/>
      <c r="C524"/>
      <c r="D524"/>
      <c r="E524"/>
    </row>
    <row r="525" spans="1:242" x14ac:dyDescent="0.25">
      <c r="A525" s="7">
        <v>3.4135844322153761</v>
      </c>
      <c r="B525"/>
      <c r="C525"/>
      <c r="D525"/>
      <c r="E525"/>
    </row>
    <row r="526" spans="1:242" x14ac:dyDescent="0.25">
      <c r="A526" s="7">
        <v>3.3466514041327216</v>
      </c>
      <c r="B526"/>
      <c r="C526"/>
      <c r="D526"/>
      <c r="E526"/>
      <c r="IG526" s="27" t="s">
        <v>8</v>
      </c>
    </row>
    <row r="527" spans="1:242" x14ac:dyDescent="0.25">
      <c r="A527" s="7">
        <v>3.2810307883654133</v>
      </c>
      <c r="B527"/>
      <c r="C527"/>
      <c r="D527"/>
      <c r="E527"/>
      <c r="IG527" s="27" t="s">
        <v>8</v>
      </c>
      <c r="IH527" s="27" t="s">
        <v>7</v>
      </c>
    </row>
    <row r="528" spans="1:242" x14ac:dyDescent="0.25">
      <c r="A528" s="7">
        <v>3.2166968513386403</v>
      </c>
      <c r="B528"/>
      <c r="C528"/>
      <c r="D528"/>
      <c r="E528"/>
      <c r="IG528" s="27" t="s">
        <v>8</v>
      </c>
      <c r="IH528" s="27" t="s">
        <v>7</v>
      </c>
    </row>
    <row r="529" spans="1:248" x14ac:dyDescent="0.25">
      <c r="A529" s="7">
        <v>3.1536243640574906</v>
      </c>
      <c r="B529"/>
      <c r="C529"/>
      <c r="D529"/>
      <c r="E529"/>
      <c r="IE529" s="27" t="s">
        <v>8</v>
      </c>
      <c r="IG529" s="27" t="s">
        <v>8</v>
      </c>
      <c r="IH529" s="27" t="s">
        <v>7</v>
      </c>
    </row>
    <row r="530" spans="1:248" x14ac:dyDescent="0.25">
      <c r="A530" s="7">
        <v>3.0917885922132262</v>
      </c>
      <c r="B530"/>
      <c r="C530"/>
      <c r="D530"/>
      <c r="E530"/>
      <c r="IE530" s="27" t="s">
        <v>8</v>
      </c>
      <c r="IF530" s="27" t="s">
        <v>7</v>
      </c>
      <c r="IG530" s="27" t="s">
        <v>8</v>
      </c>
      <c r="IH530" s="27" t="s">
        <v>7</v>
      </c>
    </row>
    <row r="531" spans="1:248" x14ac:dyDescent="0.25">
      <c r="A531" s="7">
        <v>3.0311652864835552</v>
      </c>
      <c r="B531"/>
      <c r="C531"/>
      <c r="D531"/>
      <c r="E531"/>
      <c r="IE531" s="27" t="s">
        <v>8</v>
      </c>
      <c r="IF531" s="27" t="s">
        <v>7</v>
      </c>
      <c r="IG531" s="27" t="s">
        <v>8</v>
      </c>
      <c r="IH531" s="27" t="s">
        <v>7</v>
      </c>
    </row>
    <row r="532" spans="1:248" x14ac:dyDescent="0.25">
      <c r="A532" s="7">
        <v>2.9717306730230932</v>
      </c>
      <c r="B532"/>
      <c r="C532"/>
      <c r="D532"/>
      <c r="E532"/>
      <c r="IE532" s="27" t="s">
        <v>8</v>
      </c>
      <c r="IF532" s="27" t="s">
        <v>7</v>
      </c>
      <c r="IG532" s="27" t="s">
        <v>8</v>
      </c>
      <c r="IH532" s="27" t="s">
        <v>7</v>
      </c>
    </row>
    <row r="533" spans="1:248" x14ac:dyDescent="0.25">
      <c r="A533" s="7">
        <v>2.9134614441402875</v>
      </c>
      <c r="B533"/>
      <c r="C533"/>
      <c r="D533"/>
      <c r="E533"/>
      <c r="IE533" s="27" t="s">
        <v>8</v>
      </c>
      <c r="IF533" s="27" t="s">
        <v>7</v>
      </c>
      <c r="IG533" s="27" t="s">
        <v>8</v>
      </c>
      <c r="IH533" s="27" t="s">
        <v>7</v>
      </c>
    </row>
    <row r="534" spans="1:248" x14ac:dyDescent="0.25">
      <c r="A534" s="7">
        <v>2.8563347491571447</v>
      </c>
      <c r="B534"/>
      <c r="C534"/>
      <c r="D534"/>
      <c r="E534"/>
      <c r="IE534" s="27" t="s">
        <v>8</v>
      </c>
      <c r="IF534" s="27" t="s">
        <v>7</v>
      </c>
      <c r="IG534" s="27" t="s">
        <v>8</v>
      </c>
      <c r="IH534" s="27" t="s">
        <v>7</v>
      </c>
    </row>
    <row r="535" spans="1:248" x14ac:dyDescent="0.25">
      <c r="A535" s="7">
        <v>2.8003281854481812</v>
      </c>
      <c r="B535"/>
      <c r="C535"/>
      <c r="D535"/>
      <c r="E535"/>
      <c r="IE535" s="27" t="s">
        <v>8</v>
      </c>
      <c r="IF535" s="27" t="s">
        <v>7</v>
      </c>
      <c r="IG535" s="27" t="s">
        <v>8</v>
      </c>
      <c r="IH535" s="27" t="s">
        <v>7</v>
      </c>
      <c r="II535" s="27" t="s">
        <v>8</v>
      </c>
    </row>
    <row r="536" spans="1:248" x14ac:dyDescent="0.25">
      <c r="A536" s="7">
        <v>2.7454197896550796</v>
      </c>
      <c r="B536"/>
      <c r="C536"/>
      <c r="D536"/>
      <c r="E536"/>
      <c r="IE536" s="27" t="s">
        <v>8</v>
      </c>
      <c r="IF536" s="27" t="s">
        <v>7</v>
      </c>
      <c r="IG536" s="27" t="s">
        <v>8</v>
      </c>
      <c r="IH536" s="27" t="s">
        <v>7</v>
      </c>
      <c r="II536" s="27" t="s">
        <v>8</v>
      </c>
      <c r="IJ536" s="27" t="s">
        <v>7</v>
      </c>
    </row>
    <row r="537" spans="1:248" x14ac:dyDescent="0.25">
      <c r="A537" s="7">
        <v>2.6915880290736074</v>
      </c>
      <c r="B537"/>
      <c r="C537"/>
      <c r="D537"/>
      <c r="E537"/>
      <c r="IE537" s="27" t="s">
        <v>8</v>
      </c>
      <c r="IF537" s="27" t="s">
        <v>7</v>
      </c>
      <c r="IG537" s="27" t="s">
        <v>8</v>
      </c>
      <c r="IH537" s="27" t="s">
        <v>7</v>
      </c>
      <c r="II537" s="27" t="s">
        <v>8</v>
      </c>
      <c r="IJ537" s="27" t="s">
        <v>7</v>
      </c>
    </row>
    <row r="538" spans="1:248" x14ac:dyDescent="0.25">
      <c r="A538" s="7">
        <v>2.6388117932094191</v>
      </c>
      <c r="B538"/>
      <c r="C538"/>
      <c r="D538"/>
      <c r="E538"/>
      <c r="IE538" s="27" t="s">
        <v>8</v>
      </c>
      <c r="IF538" s="27" t="s">
        <v>7</v>
      </c>
      <c r="IG538" s="27" t="s">
        <v>8</v>
      </c>
      <c r="IH538" s="27" t="s">
        <v>7</v>
      </c>
      <c r="II538" s="27" t="s">
        <v>8</v>
      </c>
      <c r="IJ538" s="27" t="s">
        <v>7</v>
      </c>
    </row>
    <row r="539" spans="1:248" x14ac:dyDescent="0.25">
      <c r="A539" s="7">
        <v>2.5870703854994304</v>
      </c>
      <c r="B539"/>
      <c r="C539"/>
      <c r="D539"/>
      <c r="E539"/>
      <c r="IE539" s="27" t="s">
        <v>8</v>
      </c>
      <c r="IF539" s="27" t="s">
        <v>7</v>
      </c>
      <c r="IG539" s="27" t="s">
        <v>8</v>
      </c>
      <c r="IH539" s="27" t="s">
        <v>7</v>
      </c>
      <c r="II539" s="27" t="s">
        <v>8</v>
      </c>
      <c r="IJ539" s="27" t="s">
        <v>7</v>
      </c>
    </row>
    <row r="540" spans="1:248" x14ac:dyDescent="0.25">
      <c r="A540" s="7">
        <v>2.53634351519552</v>
      </c>
      <c r="B540"/>
      <c r="C540"/>
      <c r="D540"/>
      <c r="E540"/>
      <c r="IE540" s="27" t="s">
        <v>8</v>
      </c>
      <c r="IF540" s="27" t="s">
        <v>7</v>
      </c>
      <c r="IG540" s="27" t="s">
        <v>8</v>
      </c>
      <c r="IH540" s="27" t="s">
        <v>7</v>
      </c>
      <c r="II540" s="27" t="s">
        <v>8</v>
      </c>
      <c r="IJ540" s="27" t="s">
        <v>7</v>
      </c>
      <c r="IK540" s="27" t="s">
        <v>8</v>
      </c>
    </row>
    <row r="541" spans="1:248" x14ac:dyDescent="0.25">
      <c r="A541" s="7">
        <v>2.4866112894073726</v>
      </c>
      <c r="B541"/>
      <c r="C541"/>
      <c r="D541"/>
      <c r="E541"/>
      <c r="IE541" s="27" t="s">
        <v>8</v>
      </c>
      <c r="IF541" s="27" t="s">
        <v>7</v>
      </c>
      <c r="IG541" s="27" t="s">
        <v>8</v>
      </c>
      <c r="IH541" s="27" t="s">
        <v>7</v>
      </c>
      <c r="II541" s="27" t="s">
        <v>8</v>
      </c>
      <c r="IJ541" s="27" t="s">
        <v>7</v>
      </c>
      <c r="IK541" s="27" t="s">
        <v>8</v>
      </c>
      <c r="IL541" s="27" t="s">
        <v>7</v>
      </c>
    </row>
    <row r="542" spans="1:248" x14ac:dyDescent="0.25">
      <c r="A542" s="7">
        <v>2.4378542053013459</v>
      </c>
      <c r="B542"/>
      <c r="C542"/>
      <c r="D542"/>
      <c r="E542"/>
      <c r="IE542" s="27" t="s">
        <v>8</v>
      </c>
      <c r="IF542" s="27" t="s">
        <v>7</v>
      </c>
      <c r="IG542" s="27" t="s">
        <v>8</v>
      </c>
      <c r="IH542" s="27" t="s">
        <v>7</v>
      </c>
      <c r="II542" s="27" t="s">
        <v>8</v>
      </c>
      <c r="IJ542" s="27" t="s">
        <v>7</v>
      </c>
      <c r="IK542" s="27" t="s">
        <v>8</v>
      </c>
      <c r="IL542" s="27" t="s">
        <v>7</v>
      </c>
    </row>
    <row r="543" spans="1:248" x14ac:dyDescent="0.25">
      <c r="A543" s="7">
        <v>2.3900531424522997</v>
      </c>
      <c r="B543"/>
      <c r="C543"/>
      <c r="D543"/>
      <c r="E543"/>
      <c r="IE543" s="27" t="s">
        <v>8</v>
      </c>
      <c r="IF543" s="27" t="s">
        <v>7</v>
      </c>
      <c r="IG543" s="27" t="s">
        <v>8</v>
      </c>
      <c r="IH543" s="27" t="s">
        <v>7</v>
      </c>
      <c r="II543" s="27" t="s">
        <v>8</v>
      </c>
      <c r="IJ543" s="27" t="s">
        <v>7</v>
      </c>
      <c r="IK543" s="27" t="s">
        <v>8</v>
      </c>
      <c r="IL543" s="27" t="s">
        <v>7</v>
      </c>
      <c r="IM543" s="27" t="s">
        <v>8</v>
      </c>
    </row>
    <row r="544" spans="1:248" x14ac:dyDescent="0.25">
      <c r="A544" s="7">
        <v>2.343189355345392</v>
      </c>
      <c r="B544"/>
      <c r="C544"/>
      <c r="D544"/>
      <c r="E544"/>
      <c r="IA544" s="27" t="s">
        <v>8</v>
      </c>
      <c r="IE544" s="27" t="s">
        <v>8</v>
      </c>
      <c r="IF544" s="27" t="s">
        <v>7</v>
      </c>
      <c r="IG544" s="27" t="s">
        <v>8</v>
      </c>
      <c r="IH544" s="27" t="s">
        <v>7</v>
      </c>
      <c r="IJ544" s="27" t="s">
        <v>7</v>
      </c>
      <c r="IK544" s="27" t="s">
        <v>8</v>
      </c>
      <c r="IL544" s="27" t="s">
        <v>7</v>
      </c>
      <c r="IM544" s="27" t="s">
        <v>8</v>
      </c>
      <c r="IN544" s="27" t="s">
        <v>7</v>
      </c>
    </row>
    <row r="545" spans="1:262" x14ac:dyDescent="0.25">
      <c r="A545" s="7">
        <v>2.2972444660248938</v>
      </c>
      <c r="B545"/>
      <c r="C545"/>
      <c r="D545"/>
      <c r="E545"/>
      <c r="IA545" s="27" t="s">
        <v>8</v>
      </c>
      <c r="IB545" s="27" t="s">
        <v>7</v>
      </c>
      <c r="IE545" s="27" t="s">
        <v>8</v>
      </c>
      <c r="IF545" s="27" t="s">
        <v>7</v>
      </c>
      <c r="IG545" s="27" t="s">
        <v>8</v>
      </c>
      <c r="IJ545" s="27" t="s">
        <v>7</v>
      </c>
      <c r="IK545" s="27" t="s">
        <v>8</v>
      </c>
      <c r="IL545" s="27" t="s">
        <v>7</v>
      </c>
      <c r="IM545" s="27" t="s">
        <v>8</v>
      </c>
      <c r="IN545" s="27" t="s">
        <v>7</v>
      </c>
    </row>
    <row r="546" spans="1:262" x14ac:dyDescent="0.25">
      <c r="A546" s="7">
        <v>2.252200456887151</v>
      </c>
      <c r="B546"/>
      <c r="C546"/>
      <c r="D546"/>
      <c r="E546"/>
      <c r="IA546" s="27" t="s">
        <v>8</v>
      </c>
      <c r="IB546" s="27" t="s">
        <v>7</v>
      </c>
      <c r="IE546" s="27" t="s">
        <v>8</v>
      </c>
      <c r="IF546" s="27" t="s">
        <v>7</v>
      </c>
      <c r="IG546" s="27" t="s">
        <v>8</v>
      </c>
      <c r="IJ546" s="27" t="s">
        <v>7</v>
      </c>
      <c r="IK546" s="27" t="s">
        <v>8</v>
      </c>
      <c r="IL546" s="27" t="s">
        <v>7</v>
      </c>
      <c r="IM546" s="27" t="s">
        <v>8</v>
      </c>
      <c r="IN546" s="27" t="s">
        <v>7</v>
      </c>
    </row>
    <row r="547" spans="1:262" x14ac:dyDescent="0.25">
      <c r="A547" s="7">
        <v>2.208039663614854</v>
      </c>
      <c r="B547"/>
      <c r="C547"/>
      <c r="D547"/>
      <c r="E547"/>
      <c r="IA547" s="27" t="s">
        <v>8</v>
      </c>
      <c r="IB547" s="27" t="s">
        <v>7</v>
      </c>
      <c r="IE547" s="27" t="s">
        <v>8</v>
      </c>
      <c r="IF547" s="27" t="s">
        <v>7</v>
      </c>
      <c r="IG547" s="27" t="s">
        <v>8</v>
      </c>
      <c r="IJ547" s="27" t="s">
        <v>7</v>
      </c>
      <c r="IK547" s="27" t="s">
        <v>8</v>
      </c>
      <c r="IL547" s="27" t="s">
        <v>7</v>
      </c>
      <c r="IM547" s="27" t="s">
        <v>8</v>
      </c>
      <c r="IN547" s="27" t="s">
        <v>7</v>
      </c>
      <c r="IQ547" s="27" t="s">
        <v>8</v>
      </c>
    </row>
    <row r="548" spans="1:262" x14ac:dyDescent="0.25">
      <c r="A548" s="7">
        <v>2.1647447682498568</v>
      </c>
      <c r="B548"/>
      <c r="C548"/>
      <c r="D548"/>
      <c r="E548"/>
      <c r="IA548" s="27" t="s">
        <v>8</v>
      </c>
      <c r="IB548" s="27" t="s">
        <v>7</v>
      </c>
      <c r="IE548" s="27" t="s">
        <v>8</v>
      </c>
      <c r="IF548" s="27" t="s">
        <v>7</v>
      </c>
      <c r="IG548" s="27" t="s">
        <v>8</v>
      </c>
      <c r="IJ548" s="27" t="s">
        <v>7</v>
      </c>
      <c r="IL548" s="27" t="s">
        <v>7</v>
      </c>
      <c r="IM548" s="27" t="s">
        <v>8</v>
      </c>
      <c r="IN548" s="27" t="s">
        <v>7</v>
      </c>
      <c r="IQ548" s="27" t="s">
        <v>8</v>
      </c>
      <c r="IR548" s="27" t="s">
        <v>7</v>
      </c>
    </row>
    <row r="549" spans="1:262" x14ac:dyDescent="0.25">
      <c r="A549" s="7">
        <v>2.1222987924018204</v>
      </c>
      <c r="B549"/>
      <c r="C549"/>
      <c r="D549"/>
      <c r="E549"/>
      <c r="IA549" s="27" t="s">
        <v>8</v>
      </c>
      <c r="IB549" s="27" t="s">
        <v>7</v>
      </c>
      <c r="IE549" s="27" t="s">
        <v>8</v>
      </c>
      <c r="IF549" s="27" t="s">
        <v>7</v>
      </c>
      <c r="IG549" s="27" t="s">
        <v>8</v>
      </c>
      <c r="IL549" s="27" t="s">
        <v>7</v>
      </c>
      <c r="IN549" s="27" t="s">
        <v>7</v>
      </c>
      <c r="IQ549" s="27" t="s">
        <v>8</v>
      </c>
      <c r="IR549" s="27" t="s">
        <v>7</v>
      </c>
    </row>
    <row r="550" spans="1:262" x14ac:dyDescent="0.25">
      <c r="A550" s="7">
        <v>2.0806850905900198</v>
      </c>
      <c r="B550"/>
      <c r="C550"/>
      <c r="D550"/>
      <c r="E550"/>
      <c r="IA550" s="27" t="s">
        <v>8</v>
      </c>
      <c r="IB550" s="27" t="s">
        <v>7</v>
      </c>
      <c r="IE550" s="27" t="s">
        <v>8</v>
      </c>
      <c r="IF550" s="27" t="s">
        <v>7</v>
      </c>
      <c r="IG550" s="27" t="s">
        <v>8</v>
      </c>
      <c r="IN550" s="27" t="s">
        <v>7</v>
      </c>
      <c r="IO550" s="27" t="s">
        <v>8</v>
      </c>
      <c r="IQ550" s="27" t="s">
        <v>8</v>
      </c>
      <c r="IR550" s="27" t="s">
        <v>7</v>
      </c>
    </row>
    <row r="551" spans="1:262" x14ac:dyDescent="0.25">
      <c r="A551" s="7">
        <v>2.0398873437157055</v>
      </c>
      <c r="B551"/>
      <c r="C551"/>
      <c r="D551"/>
      <c r="E551"/>
      <c r="IA551" s="27" t="s">
        <v>8</v>
      </c>
      <c r="IB551" s="27" t="s">
        <v>7</v>
      </c>
      <c r="IE551" s="27" t="s">
        <v>8</v>
      </c>
      <c r="IF551" s="27" t="s">
        <v>7</v>
      </c>
      <c r="IN551" s="27" t="s">
        <v>7</v>
      </c>
      <c r="IO551" s="27" t="s">
        <v>8</v>
      </c>
      <c r="IP551" s="27" t="s">
        <v>7</v>
      </c>
      <c r="IQ551" s="27" t="s">
        <v>8</v>
      </c>
      <c r="IR551" s="27" t="s">
        <v>7</v>
      </c>
      <c r="IU551" s="27" t="s">
        <v>8</v>
      </c>
    </row>
    <row r="552" spans="1:262" x14ac:dyDescent="0.25">
      <c r="A552" s="7">
        <v>1.9998895526624565</v>
      </c>
      <c r="B552"/>
      <c r="C552"/>
      <c r="D552"/>
      <c r="E552"/>
      <c r="IA552" s="27" t="s">
        <v>8</v>
      </c>
      <c r="IB552" s="27" t="s">
        <v>7</v>
      </c>
      <c r="IC552" s="27" t="s">
        <v>8</v>
      </c>
      <c r="IE552" s="27" t="s">
        <v>8</v>
      </c>
      <c r="IN552" s="27" t="s">
        <v>7</v>
      </c>
      <c r="IO552" s="27" t="s">
        <v>8</v>
      </c>
      <c r="IP552" s="27" t="s">
        <v>7</v>
      </c>
      <c r="IQ552" s="27" t="s">
        <v>8</v>
      </c>
      <c r="IR552" s="27" t="s">
        <v>7</v>
      </c>
      <c r="IU552" s="27" t="s">
        <v>8</v>
      </c>
      <c r="IV552" s="27" t="s">
        <v>7</v>
      </c>
    </row>
    <row r="553" spans="1:262" x14ac:dyDescent="0.25">
      <c r="A553" s="7">
        <v>1.9606760320220162</v>
      </c>
      <c r="B553"/>
      <c r="C553"/>
      <c r="D553"/>
      <c r="E553"/>
      <c r="IA553" s="27" t="s">
        <v>8</v>
      </c>
      <c r="IB553" s="27" t="s">
        <v>7</v>
      </c>
      <c r="IC553" s="27" t="s">
        <v>8</v>
      </c>
      <c r="ID553" s="27" t="s">
        <v>7</v>
      </c>
      <c r="IE553" s="27" t="s">
        <v>8</v>
      </c>
      <c r="IN553" s="27" t="s">
        <v>7</v>
      </c>
      <c r="IO553" s="27" t="s">
        <v>8</v>
      </c>
      <c r="IP553" s="27" t="s">
        <v>7</v>
      </c>
      <c r="IQ553" s="27" t="s">
        <v>8</v>
      </c>
      <c r="IR553" s="27" t="s">
        <v>7</v>
      </c>
      <c r="IU553" s="27" t="s">
        <v>8</v>
      </c>
      <c r="IV553" s="27" t="s">
        <v>7</v>
      </c>
    </row>
    <row r="554" spans="1:262" x14ac:dyDescent="0.25">
      <c r="A554" s="7">
        <v>1.9222314039431532</v>
      </c>
      <c r="B554"/>
      <c r="C554"/>
      <c r="D554"/>
      <c r="E554"/>
      <c r="IA554" s="27" t="s">
        <v>8</v>
      </c>
      <c r="IB554" s="27" t="s">
        <v>7</v>
      </c>
      <c r="IC554" s="27" t="s">
        <v>8</v>
      </c>
      <c r="ID554" s="27" t="s">
        <v>7</v>
      </c>
      <c r="IE554" s="27" t="s">
        <v>8</v>
      </c>
      <c r="IN554" s="27" t="s">
        <v>7</v>
      </c>
      <c r="IO554" s="27" t="s">
        <v>8</v>
      </c>
      <c r="IP554" s="27" t="s">
        <v>7</v>
      </c>
      <c r="IQ554" s="27" t="s">
        <v>8</v>
      </c>
      <c r="IR554" s="27" t="s">
        <v>7</v>
      </c>
      <c r="IU554" s="27" t="s">
        <v>8</v>
      </c>
      <c r="IV554" s="27" t="s">
        <v>7</v>
      </c>
      <c r="IY554" s="27" t="s">
        <v>8</v>
      </c>
    </row>
    <row r="555" spans="1:262" x14ac:dyDescent="0.25">
      <c r="A555" s="7">
        <v>1.8845405921011305</v>
      </c>
      <c r="B555"/>
      <c r="C555"/>
      <c r="D555"/>
      <c r="E555"/>
      <c r="IA555" s="27" t="s">
        <v>8</v>
      </c>
      <c r="IB555" s="27" t="s">
        <v>7</v>
      </c>
      <c r="IC555" s="27" t="s">
        <v>8</v>
      </c>
      <c r="ID555" s="27" t="s">
        <v>7</v>
      </c>
      <c r="IE555" s="27" t="s">
        <v>8</v>
      </c>
      <c r="IN555" s="27" t="s">
        <v>7</v>
      </c>
      <c r="IO555" s="27" t="s">
        <v>8</v>
      </c>
      <c r="IP555" s="27" t="s">
        <v>7</v>
      </c>
      <c r="IQ555" s="27" t="s">
        <v>8</v>
      </c>
      <c r="IR555" s="27" t="s">
        <v>7</v>
      </c>
      <c r="IU555" s="27" t="s">
        <v>8</v>
      </c>
      <c r="IV555" s="27" t="s">
        <v>7</v>
      </c>
      <c r="IW555" s="27" t="s">
        <v>8</v>
      </c>
      <c r="IY555" s="27" t="s">
        <v>8</v>
      </c>
      <c r="IZ555" s="27" t="s">
        <v>7</v>
      </c>
    </row>
    <row r="556" spans="1:262" x14ac:dyDescent="0.25">
      <c r="A556" s="7">
        <v>1.8475888157854219</v>
      </c>
      <c r="B556"/>
      <c r="C556"/>
      <c r="D556"/>
      <c r="E556"/>
      <c r="IA556" s="27" t="s">
        <v>8</v>
      </c>
      <c r="IB556" s="27" t="s">
        <v>7</v>
      </c>
      <c r="IC556" s="27" t="s">
        <v>8</v>
      </c>
      <c r="ID556" s="27" t="s">
        <v>7</v>
      </c>
      <c r="IE556" s="27" t="s">
        <v>8</v>
      </c>
      <c r="IN556" s="27" t="s">
        <v>7</v>
      </c>
      <c r="IO556" s="27" t="s">
        <v>8</v>
      </c>
      <c r="IP556" s="27" t="s">
        <v>7</v>
      </c>
      <c r="IQ556" s="27" t="s">
        <v>8</v>
      </c>
      <c r="IR556" s="27" t="s">
        <v>7</v>
      </c>
      <c r="IU556" s="27" t="s">
        <v>8</v>
      </c>
      <c r="IV556" s="27" t="s">
        <v>7</v>
      </c>
      <c r="IW556" s="27" t="s">
        <v>8</v>
      </c>
      <c r="IX556" s="27" t="s">
        <v>7</v>
      </c>
      <c r="IY556" s="27" t="s">
        <v>8</v>
      </c>
      <c r="IZ556" s="27" t="s">
        <v>7</v>
      </c>
    </row>
    <row r="557" spans="1:262" x14ac:dyDescent="0.25">
      <c r="A557" s="7">
        <v>1.8113615841033548</v>
      </c>
      <c r="B557"/>
      <c r="C557"/>
      <c r="D557"/>
      <c r="E557"/>
      <c r="IA557" s="27" t="s">
        <v>8</v>
      </c>
      <c r="IB557" s="27" t="s">
        <v>7</v>
      </c>
      <c r="IC557" s="27" t="s">
        <v>8</v>
      </c>
      <c r="ID557" s="27" t="s">
        <v>7</v>
      </c>
      <c r="IE557" s="27" t="s">
        <v>8</v>
      </c>
      <c r="IN557" s="27" t="s">
        <v>7</v>
      </c>
      <c r="IO557" s="27" t="s">
        <v>8</v>
      </c>
      <c r="IP557" s="27" t="s">
        <v>7</v>
      </c>
      <c r="IQ557" s="27" t="s">
        <v>8</v>
      </c>
      <c r="IR557" s="27" t="s">
        <v>7</v>
      </c>
      <c r="IU557" s="27" t="s">
        <v>8</v>
      </c>
      <c r="IV557" s="27" t="s">
        <v>7</v>
      </c>
      <c r="IW557" s="27" t="s">
        <v>8</v>
      </c>
      <c r="IX557" s="27" t="s">
        <v>7</v>
      </c>
      <c r="IY557" s="27" t="s">
        <v>8</v>
      </c>
      <c r="IZ557" s="27" t="s">
        <v>7</v>
      </c>
      <c r="JA557" s="27" t="s">
        <v>8</v>
      </c>
    </row>
    <row r="558" spans="1:262" x14ac:dyDescent="0.25">
      <c r="A558" s="7">
        <v>1.7758446902974065</v>
      </c>
      <c r="B558"/>
      <c r="C558"/>
      <c r="D558"/>
      <c r="E558"/>
      <c r="IA558" s="27" t="s">
        <v>8</v>
      </c>
      <c r="IB558" s="27" t="s">
        <v>7</v>
      </c>
      <c r="IC558" s="27" t="s">
        <v>8</v>
      </c>
      <c r="ID558" s="27" t="s">
        <v>7</v>
      </c>
      <c r="IE558" s="27" t="s">
        <v>8</v>
      </c>
      <c r="IN558" s="27" t="s">
        <v>7</v>
      </c>
      <c r="IO558" s="27" t="s">
        <v>8</v>
      </c>
      <c r="IP558" s="27" t="s">
        <v>7</v>
      </c>
      <c r="IQ558" s="27" t="s">
        <v>8</v>
      </c>
      <c r="IR558" s="27" t="s">
        <v>7</v>
      </c>
      <c r="IU558" s="27" t="s">
        <v>8</v>
      </c>
      <c r="IV558" s="27" t="s">
        <v>7</v>
      </c>
      <c r="IW558" s="27" t="s">
        <v>8</v>
      </c>
      <c r="IX558" s="27" t="s">
        <v>7</v>
      </c>
      <c r="IY558" s="27" t="s">
        <v>8</v>
      </c>
      <c r="IZ558" s="27" t="s">
        <v>7</v>
      </c>
      <c r="JA558" s="27" t="s">
        <v>8</v>
      </c>
      <c r="JB558" s="27" t="s">
        <v>7</v>
      </c>
    </row>
    <row r="559" spans="1:262" x14ac:dyDescent="0.25">
      <c r="A559" s="7">
        <v>1.7410242061739281</v>
      </c>
      <c r="B559"/>
      <c r="C559"/>
      <c r="D559"/>
      <c r="E559"/>
      <c r="IA559" s="27" t="s">
        <v>8</v>
      </c>
      <c r="IB559" s="27" t="s">
        <v>7</v>
      </c>
      <c r="ID559" s="27" t="s">
        <v>7</v>
      </c>
      <c r="IE559" s="27" t="s">
        <v>8</v>
      </c>
      <c r="IN559" s="27" t="s">
        <v>7</v>
      </c>
      <c r="IO559" s="27" t="s">
        <v>8</v>
      </c>
      <c r="IP559" s="27" t="s">
        <v>7</v>
      </c>
      <c r="IQ559" s="27" t="s">
        <v>8</v>
      </c>
      <c r="IR559" s="27" t="s">
        <v>7</v>
      </c>
      <c r="IU559" s="27" t="s">
        <v>8</v>
      </c>
      <c r="IV559" s="27" t="s">
        <v>7</v>
      </c>
      <c r="IX559" s="27" t="s">
        <v>7</v>
      </c>
      <c r="IZ559" s="27" t="s">
        <v>7</v>
      </c>
      <c r="JA559" s="27" t="s">
        <v>8</v>
      </c>
      <c r="JB559" s="27" t="s">
        <v>7</v>
      </c>
    </row>
    <row r="560" spans="1:262" x14ac:dyDescent="0.25">
      <c r="A560" s="7">
        <v>1.7068864766411058</v>
      </c>
      <c r="B560"/>
      <c r="C560"/>
      <c r="D560"/>
      <c r="E560"/>
      <c r="IA560" s="27" t="s">
        <v>8</v>
      </c>
      <c r="ID560" s="27" t="s">
        <v>7</v>
      </c>
      <c r="IE560" s="27" t="s">
        <v>8</v>
      </c>
      <c r="IN560" s="27" t="s">
        <v>7</v>
      </c>
      <c r="IO560" s="27" t="s">
        <v>8</v>
      </c>
      <c r="IP560" s="27" t="s">
        <v>7</v>
      </c>
      <c r="IQ560" s="27" t="s">
        <v>8</v>
      </c>
      <c r="IR560" s="27" t="s">
        <v>7</v>
      </c>
      <c r="IU560" s="27" t="s">
        <v>8</v>
      </c>
      <c r="IZ560" s="27" t="s">
        <v>7</v>
      </c>
      <c r="JA560" s="27" t="s">
        <v>8</v>
      </c>
      <c r="JB560" s="27" t="s">
        <v>7</v>
      </c>
    </row>
    <row r="561" spans="1:377" x14ac:dyDescent="0.25">
      <c r="A561" s="7">
        <v>1.6734181143540252</v>
      </c>
      <c r="B561"/>
      <c r="C561"/>
      <c r="D561"/>
      <c r="E561"/>
      <c r="IA561" s="27" t="s">
        <v>8</v>
      </c>
      <c r="ID561" s="27" t="s">
        <v>7</v>
      </c>
      <c r="IN561" s="27" t="s">
        <v>7</v>
      </c>
      <c r="IO561" s="27" t="s">
        <v>8</v>
      </c>
      <c r="IP561" s="27" t="s">
        <v>7</v>
      </c>
      <c r="IQ561" s="27" t="s">
        <v>8</v>
      </c>
      <c r="IR561" s="27" t="s">
        <v>7</v>
      </c>
      <c r="IS561" s="27" t="s">
        <v>8</v>
      </c>
      <c r="IU561" s="27" t="s">
        <v>8</v>
      </c>
      <c r="IZ561" s="27" t="s">
        <v>7</v>
      </c>
      <c r="JA561" s="27" t="s">
        <v>8</v>
      </c>
      <c r="JB561" s="27" t="s">
        <v>7</v>
      </c>
      <c r="JE561" s="27" t="s">
        <v>8</v>
      </c>
    </row>
    <row r="562" spans="1:377" x14ac:dyDescent="0.25">
      <c r="A562" s="7">
        <v>1.6406059944647307</v>
      </c>
      <c r="B562"/>
      <c r="C562"/>
      <c r="D562"/>
      <c r="E562"/>
      <c r="IA562" s="27" t="s">
        <v>8</v>
      </c>
      <c r="IN562" s="27" t="s">
        <v>7</v>
      </c>
      <c r="IO562" s="27" t="s">
        <v>8</v>
      </c>
      <c r="IP562" s="27" t="s">
        <v>7</v>
      </c>
      <c r="IQ562" s="27" t="s">
        <v>8</v>
      </c>
      <c r="IR562" s="27" t="s">
        <v>7</v>
      </c>
      <c r="IS562" s="27" t="s">
        <v>8</v>
      </c>
      <c r="IT562" s="27" t="s">
        <v>7</v>
      </c>
      <c r="IU562" s="27" t="s">
        <v>8</v>
      </c>
      <c r="IZ562" s="27" t="s">
        <v>7</v>
      </c>
      <c r="JA562" s="27" t="s">
        <v>8</v>
      </c>
      <c r="JB562" s="27" t="s">
        <v>7</v>
      </c>
      <c r="JC562" s="27" t="s">
        <v>8</v>
      </c>
      <c r="JE562" s="27" t="s">
        <v>8</v>
      </c>
      <c r="JF562" s="27" t="s">
        <v>7</v>
      </c>
    </row>
    <row r="563" spans="1:377" x14ac:dyDescent="0.25">
      <c r="A563" s="7">
        <v>1.6084372494752261</v>
      </c>
      <c r="B563"/>
      <c r="C563"/>
      <c r="D563"/>
      <c r="E563"/>
      <c r="IA563" s="27" t="s">
        <v>8</v>
      </c>
      <c r="IN563" s="27" t="s">
        <v>7</v>
      </c>
      <c r="IP563" s="27" t="s">
        <v>7</v>
      </c>
      <c r="IQ563" s="27" t="s">
        <v>8</v>
      </c>
      <c r="IR563" s="27" t="s">
        <v>7</v>
      </c>
      <c r="IS563" s="27" t="s">
        <v>8</v>
      </c>
      <c r="IT563" s="27" t="s">
        <v>7</v>
      </c>
      <c r="IU563" s="27" t="s">
        <v>8</v>
      </c>
      <c r="IZ563" s="27" t="s">
        <v>7</v>
      </c>
      <c r="JA563" s="27" t="s">
        <v>8</v>
      </c>
      <c r="JB563" s="27" t="s">
        <v>7</v>
      </c>
      <c r="JC563" s="27" t="s">
        <v>8</v>
      </c>
      <c r="JD563" s="27" t="s">
        <v>7</v>
      </c>
      <c r="JE563" s="27" t="s">
        <v>8</v>
      </c>
      <c r="JF563" s="27" t="s">
        <v>7</v>
      </c>
    </row>
    <row r="564" spans="1:377" x14ac:dyDescent="0.25">
      <c r="A564" s="7">
        <v>1.5768992641913981</v>
      </c>
      <c r="B564"/>
      <c r="C564"/>
      <c r="D564"/>
      <c r="E564"/>
      <c r="IA564" s="27" t="s">
        <v>8</v>
      </c>
      <c r="IP564" s="27" t="s">
        <v>7</v>
      </c>
      <c r="IQ564" s="27" t="s">
        <v>8</v>
      </c>
      <c r="IR564" s="27" t="s">
        <v>7</v>
      </c>
      <c r="IS564" s="27" t="s">
        <v>8</v>
      </c>
      <c r="IT564" s="27" t="s">
        <v>7</v>
      </c>
      <c r="IU564" s="27" t="s">
        <v>8</v>
      </c>
      <c r="IZ564" s="27" t="s">
        <v>7</v>
      </c>
      <c r="JA564" s="27" t="s">
        <v>8</v>
      </c>
      <c r="JB564" s="27" t="s">
        <v>7</v>
      </c>
      <c r="JC564" s="27" t="s">
        <v>8</v>
      </c>
      <c r="JD564" s="27" t="s">
        <v>7</v>
      </c>
      <c r="JE564" s="27" t="s">
        <v>8</v>
      </c>
      <c r="JF564" s="27" t="s">
        <v>7</v>
      </c>
    </row>
    <row r="565" spans="1:377" x14ac:dyDescent="0.25">
      <c r="A565" s="7">
        <v>1.5459796707758806</v>
      </c>
      <c r="B565"/>
      <c r="C565"/>
      <c r="D565"/>
      <c r="E565"/>
      <c r="IA565" s="27" t="s">
        <v>8</v>
      </c>
      <c r="IP565" s="27" t="s">
        <v>7</v>
      </c>
      <c r="IQ565" s="27" t="s">
        <v>8</v>
      </c>
      <c r="IR565" s="27" t="s">
        <v>7</v>
      </c>
      <c r="IS565" s="27" t="s">
        <v>8</v>
      </c>
      <c r="IT565" s="27" t="s">
        <v>7</v>
      </c>
      <c r="IU565" s="27" t="s">
        <v>8</v>
      </c>
      <c r="IZ565" s="27" t="s">
        <v>7</v>
      </c>
      <c r="JB565" s="27" t="s">
        <v>7</v>
      </c>
      <c r="JC565" s="27" t="s">
        <v>8</v>
      </c>
      <c r="JD565" s="27" t="s">
        <v>7</v>
      </c>
      <c r="JE565" s="27" t="s">
        <v>8</v>
      </c>
      <c r="JF565" s="27" t="s">
        <v>7</v>
      </c>
    </row>
    <row r="566" spans="1:377" x14ac:dyDescent="0.25">
      <c r="A566" s="7">
        <v>1.5156663438979221</v>
      </c>
      <c r="B566"/>
      <c r="C566"/>
      <c r="D566"/>
      <c r="E566"/>
      <c r="IA566" s="27" t="s">
        <v>8</v>
      </c>
      <c r="IP566" s="27" t="s">
        <v>7</v>
      </c>
      <c r="IQ566" s="27" t="s">
        <v>8</v>
      </c>
      <c r="IR566" s="27" t="s">
        <v>7</v>
      </c>
      <c r="IS566" s="27" t="s">
        <v>8</v>
      </c>
      <c r="IT566" s="27" t="s">
        <v>7</v>
      </c>
      <c r="IU566" s="27" t="s">
        <v>8</v>
      </c>
      <c r="JB566" s="27" t="s">
        <v>7</v>
      </c>
      <c r="JD566" s="27" t="s">
        <v>7</v>
      </c>
      <c r="JE566" s="27" t="s">
        <v>8</v>
      </c>
      <c r="JF566" s="27" t="s">
        <v>7</v>
      </c>
    </row>
    <row r="567" spans="1:377" x14ac:dyDescent="0.25">
      <c r="A567" s="7">
        <v>1.4859473959783549</v>
      </c>
      <c r="B567"/>
      <c r="C567"/>
      <c r="D567"/>
      <c r="E567"/>
      <c r="IA567" s="27" t="s">
        <v>8</v>
      </c>
      <c r="IP567" s="27" t="s">
        <v>7</v>
      </c>
      <c r="IR567" s="27" t="s">
        <v>7</v>
      </c>
      <c r="IS567" s="27" t="s">
        <v>8</v>
      </c>
      <c r="IT567" s="27" t="s">
        <v>7</v>
      </c>
      <c r="IU567" s="27" t="s">
        <v>8</v>
      </c>
      <c r="JD567" s="27" t="s">
        <v>7</v>
      </c>
      <c r="JE567" s="27" t="s">
        <v>8</v>
      </c>
      <c r="JF567" s="27" t="s">
        <v>7</v>
      </c>
      <c r="NE567" s="27" t="s">
        <v>8</v>
      </c>
    </row>
    <row r="568" spans="1:377" x14ac:dyDescent="0.25">
      <c r="A568" s="7">
        <v>1.4568111725277988</v>
      </c>
      <c r="B568"/>
      <c r="C568"/>
      <c r="D568"/>
      <c r="E568"/>
      <c r="IA568" s="27" t="s">
        <v>8</v>
      </c>
      <c r="IR568" s="27" t="s">
        <v>7</v>
      </c>
      <c r="IS568" s="27" t="s">
        <v>8</v>
      </c>
      <c r="IT568" s="27" t="s">
        <v>7</v>
      </c>
      <c r="IU568" s="27" t="s">
        <v>8</v>
      </c>
      <c r="JD568" s="27" t="s">
        <v>7</v>
      </c>
      <c r="JE568" s="27" t="s">
        <v>8</v>
      </c>
      <c r="JF568" s="27" t="s">
        <v>7</v>
      </c>
      <c r="JG568" s="27" t="s">
        <v>8</v>
      </c>
      <c r="NE568" s="27" t="s">
        <v>8</v>
      </c>
      <c r="NF568" s="27" t="s">
        <v>7</v>
      </c>
    </row>
    <row r="569" spans="1:377" x14ac:dyDescent="0.25">
      <c r="A569" s="7">
        <v>1.4282462475762734</v>
      </c>
      <c r="B569"/>
      <c r="C569"/>
      <c r="D569"/>
      <c r="E569"/>
      <c r="IA569" s="27" t="s">
        <v>8</v>
      </c>
      <c r="IR569" s="27" t="s">
        <v>7</v>
      </c>
      <c r="IS569" s="27" t="s">
        <v>8</v>
      </c>
      <c r="IT569" s="27" t="s">
        <v>7</v>
      </c>
      <c r="JD569" s="27" t="s">
        <v>7</v>
      </c>
      <c r="JE569" s="27" t="s">
        <v>8</v>
      </c>
      <c r="JF569" s="27" t="s">
        <v>7</v>
      </c>
      <c r="JG569" s="27" t="s">
        <v>8</v>
      </c>
      <c r="JH569" s="27" t="s">
        <v>7</v>
      </c>
      <c r="JM569" s="27" t="s">
        <v>8</v>
      </c>
      <c r="NE569" s="27" t="s">
        <v>8</v>
      </c>
      <c r="NF569" s="27" t="s">
        <v>7</v>
      </c>
    </row>
    <row r="570" spans="1:377" x14ac:dyDescent="0.25">
      <c r="A570" s="7">
        <v>1.4002414191924248</v>
      </c>
      <c r="B570"/>
      <c r="C570"/>
      <c r="D570"/>
      <c r="E570"/>
      <c r="IA570" s="27" t="s">
        <v>8</v>
      </c>
      <c r="IR570" s="27" t="s">
        <v>7</v>
      </c>
      <c r="JD570" s="27" t="s">
        <v>7</v>
      </c>
      <c r="JE570" s="27" t="s">
        <v>8</v>
      </c>
      <c r="JF570" s="27" t="s">
        <v>7</v>
      </c>
      <c r="JG570" s="27" t="s">
        <v>8</v>
      </c>
      <c r="JH570" s="27" t="s">
        <v>7</v>
      </c>
      <c r="JM570" s="27" t="s">
        <v>8</v>
      </c>
      <c r="JN570" s="27" t="s">
        <v>7</v>
      </c>
      <c r="LU570" s="27" t="s">
        <v>8</v>
      </c>
      <c r="NE570" s="27" t="s">
        <v>8</v>
      </c>
      <c r="NF570" s="27" t="s">
        <v>7</v>
      </c>
    </row>
    <row r="571" spans="1:377" x14ac:dyDescent="0.25">
      <c r="A571" s="7">
        <v>1.3727857050906125</v>
      </c>
      <c r="B571"/>
      <c r="C571"/>
      <c r="D571"/>
      <c r="E571"/>
      <c r="IA571" s="27" t="s">
        <v>8</v>
      </c>
      <c r="JD571" s="27" t="s">
        <v>7</v>
      </c>
      <c r="JE571" s="27" t="s">
        <v>8</v>
      </c>
      <c r="JF571" s="27" t="s">
        <v>7</v>
      </c>
      <c r="JG571" s="27" t="s">
        <v>8</v>
      </c>
      <c r="JH571" s="27" t="s">
        <v>7</v>
      </c>
      <c r="JM571" s="27" t="s">
        <v>8</v>
      </c>
      <c r="JN571" s="27" t="s">
        <v>7</v>
      </c>
      <c r="LS571" s="27" t="s">
        <v>8</v>
      </c>
      <c r="LU571" s="27" t="s">
        <v>8</v>
      </c>
      <c r="LV571" s="27" t="s">
        <v>7</v>
      </c>
      <c r="NE571" s="27" t="s">
        <v>8</v>
      </c>
      <c r="NF571" s="27" t="s">
        <v>7</v>
      </c>
    </row>
    <row r="572" spans="1:377" x14ac:dyDescent="0.25">
      <c r="A572" s="7">
        <v>1.3458683383241299</v>
      </c>
      <c r="B572"/>
      <c r="C572"/>
      <c r="D572"/>
      <c r="E572"/>
      <c r="HW572" s="27" t="s">
        <v>8</v>
      </c>
      <c r="IA572" s="27" t="s">
        <v>8</v>
      </c>
      <c r="JD572" s="27" t="s">
        <v>7</v>
      </c>
      <c r="JE572" s="27" t="s">
        <v>8</v>
      </c>
      <c r="JF572" s="27" t="s">
        <v>7</v>
      </c>
      <c r="JG572" s="27" t="s">
        <v>8</v>
      </c>
      <c r="JH572" s="27" t="s">
        <v>7</v>
      </c>
      <c r="JM572" s="27" t="s">
        <v>8</v>
      </c>
      <c r="JN572" s="27" t="s">
        <v>7</v>
      </c>
      <c r="LS572" s="27" t="s">
        <v>8</v>
      </c>
      <c r="LT572" s="27" t="s">
        <v>7</v>
      </c>
      <c r="LU572" s="27" t="s">
        <v>8</v>
      </c>
      <c r="LV572" s="27" t="s">
        <v>7</v>
      </c>
      <c r="NE572" s="27" t="s">
        <v>8</v>
      </c>
      <c r="NF572" s="27" t="s">
        <v>7</v>
      </c>
    </row>
    <row r="573" spans="1:377" x14ac:dyDescent="0.25">
      <c r="A573" s="7">
        <v>1.3194787630628724</v>
      </c>
      <c r="B573"/>
      <c r="C573"/>
      <c r="D573"/>
      <c r="E573"/>
      <c r="HW573" s="27" t="s">
        <v>8</v>
      </c>
      <c r="HX573" s="27" t="s">
        <v>7</v>
      </c>
      <c r="IA573" s="27" t="s">
        <v>8</v>
      </c>
      <c r="JD573" s="27" t="s">
        <v>7</v>
      </c>
      <c r="JE573" s="27" t="s">
        <v>8</v>
      </c>
      <c r="JF573" s="27" t="s">
        <v>7</v>
      </c>
      <c r="JG573" s="27" t="s">
        <v>8</v>
      </c>
      <c r="JH573" s="27" t="s">
        <v>7</v>
      </c>
      <c r="JM573" s="27" t="s">
        <v>8</v>
      </c>
      <c r="JN573" s="27" t="s">
        <v>7</v>
      </c>
      <c r="LS573" s="27" t="s">
        <v>8</v>
      </c>
      <c r="LT573" s="27" t="s">
        <v>7</v>
      </c>
      <c r="LU573" s="27" t="s">
        <v>8</v>
      </c>
      <c r="LV573" s="27" t="s">
        <v>7</v>
      </c>
      <c r="NE573" s="27" t="s">
        <v>8</v>
      </c>
      <c r="NF573" s="27" t="s">
        <v>7</v>
      </c>
    </row>
    <row r="574" spans="1:377" x14ac:dyDescent="0.25">
      <c r="A574" s="7">
        <v>1.2936066304537963</v>
      </c>
      <c r="B574"/>
      <c r="C574"/>
      <c r="D574"/>
      <c r="E574"/>
      <c r="HW574" s="27" t="s">
        <v>8</v>
      </c>
      <c r="HX574" s="27" t="s">
        <v>7</v>
      </c>
      <c r="IA574" s="27" t="s">
        <v>8</v>
      </c>
      <c r="JD574" s="27" t="s">
        <v>7</v>
      </c>
      <c r="JE574" s="27" t="s">
        <v>8</v>
      </c>
      <c r="JF574" s="27" t="s">
        <v>7</v>
      </c>
      <c r="JG574" s="27" t="s">
        <v>8</v>
      </c>
      <c r="JH574" s="27" t="s">
        <v>7</v>
      </c>
      <c r="JM574" s="27" t="s">
        <v>8</v>
      </c>
      <c r="JN574" s="27" t="s">
        <v>7</v>
      </c>
      <c r="LQ574" s="27" t="s">
        <v>8</v>
      </c>
      <c r="LS574" s="27" t="s">
        <v>8</v>
      </c>
      <c r="LT574" s="27" t="s">
        <v>7</v>
      </c>
      <c r="LU574" s="27" t="s">
        <v>8</v>
      </c>
      <c r="LV574" s="27" t="s">
        <v>7</v>
      </c>
      <c r="NE574" s="27" t="s">
        <v>8</v>
      </c>
      <c r="NF574" s="27" t="s">
        <v>7</v>
      </c>
    </row>
    <row r="575" spans="1:377" x14ac:dyDescent="0.25">
      <c r="A575" s="7">
        <v>1.2682417945625455</v>
      </c>
      <c r="B575"/>
      <c r="C575"/>
      <c r="D575"/>
      <c r="E575"/>
      <c r="HW575" s="27" t="s">
        <v>8</v>
      </c>
      <c r="HX575" s="27" t="s">
        <v>7</v>
      </c>
      <c r="IA575" s="27" t="s">
        <v>8</v>
      </c>
      <c r="JD575" s="27" t="s">
        <v>7</v>
      </c>
      <c r="JF575" s="27" t="s">
        <v>7</v>
      </c>
      <c r="JG575" s="27" t="s">
        <v>8</v>
      </c>
      <c r="JH575" s="27" t="s">
        <v>7</v>
      </c>
      <c r="JM575" s="27" t="s">
        <v>8</v>
      </c>
      <c r="JN575" s="27" t="s">
        <v>7</v>
      </c>
      <c r="LQ575" s="27" t="s">
        <v>8</v>
      </c>
      <c r="LR575" s="27" t="s">
        <v>7</v>
      </c>
      <c r="LS575" s="27" t="s">
        <v>8</v>
      </c>
      <c r="LT575" s="27" t="s">
        <v>7</v>
      </c>
      <c r="LV575" s="27" t="s">
        <v>7</v>
      </c>
      <c r="MY575" s="27" t="s">
        <v>8</v>
      </c>
      <c r="NE575" s="27" t="s">
        <v>8</v>
      </c>
      <c r="NF575" s="27" t="s">
        <v>7</v>
      </c>
    </row>
    <row r="576" spans="1:377" x14ac:dyDescent="0.25">
      <c r="A576" s="7">
        <v>1.2433743083946525</v>
      </c>
      <c r="B576"/>
      <c r="C576"/>
      <c r="D576"/>
      <c r="E576"/>
      <c r="HW576" s="27" t="s">
        <v>8</v>
      </c>
      <c r="HX576" s="27" t="s">
        <v>7</v>
      </c>
      <c r="IA576" s="27" t="s">
        <v>8</v>
      </c>
      <c r="JF576" s="27" t="s">
        <v>7</v>
      </c>
      <c r="JG576" s="27" t="s">
        <v>8</v>
      </c>
      <c r="JH576" s="27" t="s">
        <v>7</v>
      </c>
      <c r="JM576" s="27" t="s">
        <v>8</v>
      </c>
      <c r="JN576" s="27" t="s">
        <v>7</v>
      </c>
      <c r="LQ576" s="27" t="s">
        <v>8</v>
      </c>
      <c r="LR576" s="27" t="s">
        <v>7</v>
      </c>
      <c r="LS576" s="27" t="s">
        <v>8</v>
      </c>
      <c r="LV576" s="27" t="s">
        <v>7</v>
      </c>
      <c r="MY576" s="27" t="s">
        <v>8</v>
      </c>
      <c r="MZ576" s="27" t="s">
        <v>7</v>
      </c>
      <c r="NE576" s="27" t="s">
        <v>8</v>
      </c>
      <c r="NF576" s="27" t="s">
        <v>7</v>
      </c>
      <c r="NG576" s="27" t="s">
        <v>8</v>
      </c>
      <c r="NM576" s="27" t="s">
        <v>8</v>
      </c>
    </row>
    <row r="577" spans="1:382" x14ac:dyDescent="0.25">
      <c r="A577" s="7">
        <v>1.2189944199947573</v>
      </c>
      <c r="B577"/>
      <c r="C577"/>
      <c r="D577"/>
      <c r="E577"/>
      <c r="HW577" s="27" t="s">
        <v>8</v>
      </c>
      <c r="HX577" s="27" t="s">
        <v>7</v>
      </c>
      <c r="IA577" s="27" t="s">
        <v>8</v>
      </c>
      <c r="JF577" s="27" t="s">
        <v>7</v>
      </c>
      <c r="JG577" s="27" t="s">
        <v>8</v>
      </c>
      <c r="JH577" s="27" t="s">
        <v>7</v>
      </c>
      <c r="JI577" s="27" t="s">
        <v>8</v>
      </c>
      <c r="JM577" s="27" t="s">
        <v>8</v>
      </c>
      <c r="JN577" s="27" t="s">
        <v>7</v>
      </c>
      <c r="LQ577" s="27" t="s">
        <v>8</v>
      </c>
      <c r="LR577" s="27" t="s">
        <v>7</v>
      </c>
      <c r="LS577" s="27" t="s">
        <v>8</v>
      </c>
      <c r="LV577" s="27" t="s">
        <v>7</v>
      </c>
      <c r="MA577" s="27" t="s">
        <v>8</v>
      </c>
      <c r="MY577" s="27" t="s">
        <v>8</v>
      </c>
      <c r="MZ577" s="27" t="s">
        <v>7</v>
      </c>
      <c r="NA577" s="27" t="s">
        <v>8</v>
      </c>
      <c r="NE577" s="27" t="s">
        <v>8</v>
      </c>
      <c r="NF577" s="27" t="s">
        <v>7</v>
      </c>
      <c r="NG577" s="27" t="s">
        <v>8</v>
      </c>
      <c r="NH577" s="27" t="s">
        <v>7</v>
      </c>
      <c r="NM577" s="27" t="s">
        <v>8</v>
      </c>
      <c r="NN577" s="27" t="s">
        <v>7</v>
      </c>
    </row>
    <row r="578" spans="1:382" x14ac:dyDescent="0.25">
      <c r="A578" s="7">
        <v>1.1950925686223111</v>
      </c>
      <c r="B578"/>
      <c r="C578"/>
      <c r="D578"/>
      <c r="E578"/>
      <c r="HW578" s="27" t="s">
        <v>8</v>
      </c>
      <c r="HX578" s="27" t="s">
        <v>7</v>
      </c>
      <c r="IA578" s="27" t="s">
        <v>8</v>
      </c>
      <c r="JF578" s="27" t="s">
        <v>7</v>
      </c>
      <c r="JG578" s="27" t="s">
        <v>8</v>
      </c>
      <c r="JH578" s="27" t="s">
        <v>7</v>
      </c>
      <c r="JI578" s="27" t="s">
        <v>8</v>
      </c>
      <c r="JJ578" s="27" t="s">
        <v>7</v>
      </c>
      <c r="JM578" s="27" t="s">
        <v>8</v>
      </c>
      <c r="JN578" s="27" t="s">
        <v>7</v>
      </c>
      <c r="JQ578" s="27" t="s">
        <v>8</v>
      </c>
      <c r="LG578" s="27" t="s">
        <v>8</v>
      </c>
      <c r="LK578" s="27" t="s">
        <v>8</v>
      </c>
      <c r="LQ578" s="27" t="s">
        <v>8</v>
      </c>
      <c r="LR578" s="27" t="s">
        <v>7</v>
      </c>
      <c r="LS578" s="27" t="s">
        <v>8</v>
      </c>
      <c r="LV578" s="27" t="s">
        <v>7</v>
      </c>
      <c r="MA578" s="27" t="s">
        <v>8</v>
      </c>
      <c r="MB578" s="27" t="s">
        <v>7</v>
      </c>
      <c r="MY578" s="27" t="s">
        <v>8</v>
      </c>
      <c r="MZ578" s="27" t="s">
        <v>7</v>
      </c>
      <c r="NA578" s="27" t="s">
        <v>8</v>
      </c>
      <c r="NB578" s="27" t="s">
        <v>7</v>
      </c>
      <c r="NE578" s="27" t="s">
        <v>8</v>
      </c>
      <c r="NF578" s="27" t="s">
        <v>7</v>
      </c>
      <c r="NG578" s="27" t="s">
        <v>8</v>
      </c>
      <c r="NH578" s="27" t="s">
        <v>7</v>
      </c>
      <c r="NK578" s="27" t="s">
        <v>8</v>
      </c>
      <c r="NM578" s="27" t="s">
        <v>8</v>
      </c>
      <c r="NN578" s="27" t="s">
        <v>7</v>
      </c>
    </row>
    <row r="579" spans="1:382" x14ac:dyDescent="0.25">
      <c r="A579" s="7">
        <v>1.1716593810022657</v>
      </c>
      <c r="B579"/>
      <c r="C579"/>
      <c r="D579"/>
      <c r="E579"/>
      <c r="HW579" s="27" t="s">
        <v>8</v>
      </c>
      <c r="HX579" s="27" t="s">
        <v>7</v>
      </c>
      <c r="IA579" s="27" t="s">
        <v>8</v>
      </c>
      <c r="JF579" s="27" t="s">
        <v>7</v>
      </c>
      <c r="JG579" s="27" t="s">
        <v>8</v>
      </c>
      <c r="JH579" s="27" t="s">
        <v>7</v>
      </c>
      <c r="JI579" s="27" t="s">
        <v>8</v>
      </c>
      <c r="JJ579" s="27" t="s">
        <v>7</v>
      </c>
      <c r="JM579" s="27" t="s">
        <v>8</v>
      </c>
      <c r="JN579" s="27" t="s">
        <v>7</v>
      </c>
      <c r="JO579" s="27" t="s">
        <v>8</v>
      </c>
      <c r="JQ579" s="27" t="s">
        <v>8</v>
      </c>
      <c r="JR579" s="27" t="s">
        <v>7</v>
      </c>
      <c r="LG579" s="27" t="s">
        <v>8</v>
      </c>
      <c r="LH579" s="27" t="s">
        <v>7</v>
      </c>
      <c r="LK579" s="27" t="s">
        <v>8</v>
      </c>
      <c r="LL579" s="27" t="s">
        <v>7</v>
      </c>
      <c r="LQ579" s="27" t="s">
        <v>8</v>
      </c>
      <c r="LR579" s="27" t="s">
        <v>7</v>
      </c>
      <c r="LS579" s="27" t="s">
        <v>8</v>
      </c>
      <c r="LV579" s="27" t="s">
        <v>7</v>
      </c>
      <c r="MA579" s="27" t="s">
        <v>8</v>
      </c>
      <c r="MB579" s="27" t="s">
        <v>7</v>
      </c>
      <c r="MY579" s="27" t="s">
        <v>8</v>
      </c>
      <c r="MZ579" s="27" t="s">
        <v>7</v>
      </c>
      <c r="NA579" s="27" t="s">
        <v>8</v>
      </c>
      <c r="NB579" s="27" t="s">
        <v>7</v>
      </c>
      <c r="NE579" s="27" t="s">
        <v>8</v>
      </c>
      <c r="NF579" s="27" t="s">
        <v>7</v>
      </c>
      <c r="NG579" s="27" t="s">
        <v>8</v>
      </c>
      <c r="NH579" s="27" t="s">
        <v>7</v>
      </c>
      <c r="NK579" s="27" t="s">
        <v>8</v>
      </c>
      <c r="NL579" s="27" t="s">
        <v>7</v>
      </c>
      <c r="NM579" s="27" t="s">
        <v>8</v>
      </c>
      <c r="NN579" s="27" t="s">
        <v>7</v>
      </c>
    </row>
    <row r="580" spans="1:382" x14ac:dyDescent="0.25">
      <c r="A580" s="7">
        <v>1.14868566764928</v>
      </c>
      <c r="B580"/>
      <c r="C580"/>
      <c r="D580"/>
      <c r="E580"/>
      <c r="HW580" s="27" t="s">
        <v>8</v>
      </c>
      <c r="HX580" s="27" t="s">
        <v>7</v>
      </c>
      <c r="IA580" s="27" t="s">
        <v>8</v>
      </c>
      <c r="JF580" s="27" t="s">
        <v>7</v>
      </c>
      <c r="JH580" s="27" t="s">
        <v>7</v>
      </c>
      <c r="JI580" s="27" t="s">
        <v>8</v>
      </c>
      <c r="JJ580" s="27" t="s">
        <v>7</v>
      </c>
      <c r="JM580" s="27" t="s">
        <v>8</v>
      </c>
      <c r="JN580" s="27" t="s">
        <v>7</v>
      </c>
      <c r="JO580" s="27" t="s">
        <v>8</v>
      </c>
      <c r="JP580" s="27" t="s">
        <v>7</v>
      </c>
      <c r="JQ580" s="27" t="s">
        <v>8</v>
      </c>
      <c r="JR580" s="27" t="s">
        <v>7</v>
      </c>
      <c r="LG580" s="27" t="s">
        <v>8</v>
      </c>
      <c r="LH580" s="27" t="s">
        <v>7</v>
      </c>
      <c r="LI580" s="27" t="s">
        <v>8</v>
      </c>
      <c r="LK580" s="27" t="s">
        <v>8</v>
      </c>
      <c r="LL580" s="27" t="s">
        <v>7</v>
      </c>
      <c r="LM580" s="27" t="s">
        <v>8</v>
      </c>
      <c r="LQ580" s="27" t="s">
        <v>8</v>
      </c>
      <c r="LR580" s="27" t="s">
        <v>7</v>
      </c>
      <c r="LS580" s="27" t="s">
        <v>8</v>
      </c>
      <c r="LV580" s="27" t="s">
        <v>7</v>
      </c>
      <c r="MA580" s="27" t="s">
        <v>8</v>
      </c>
      <c r="MB580" s="27" t="s">
        <v>7</v>
      </c>
      <c r="MY580" s="27" t="s">
        <v>8</v>
      </c>
      <c r="MZ580" s="27" t="s">
        <v>7</v>
      </c>
      <c r="NA580" s="27" t="s">
        <v>8</v>
      </c>
      <c r="NB580" s="27" t="s">
        <v>7</v>
      </c>
      <c r="NE580" s="27" t="s">
        <v>8</v>
      </c>
      <c r="NF580" s="27" t="s">
        <v>7</v>
      </c>
      <c r="NH580" s="27" t="s">
        <v>7</v>
      </c>
      <c r="NK580" s="27" t="s">
        <v>8</v>
      </c>
      <c r="NL580" s="27" t="s">
        <v>7</v>
      </c>
      <c r="NM580" s="27" t="s">
        <v>8</v>
      </c>
      <c r="NN580" s="27" t="s">
        <v>7</v>
      </c>
    </row>
    <row r="581" spans="1:382" x14ac:dyDescent="0.25">
      <c r="A581" s="7">
        <v>1.1261624192640001</v>
      </c>
      <c r="B581"/>
      <c r="C581"/>
      <c r="D581"/>
      <c r="E581"/>
      <c r="HW581" s="27" t="s">
        <v>8</v>
      </c>
      <c r="HX581" s="27" t="s">
        <v>7</v>
      </c>
      <c r="HY581" s="27" t="s">
        <v>8</v>
      </c>
      <c r="IA581" s="27" t="s">
        <v>8</v>
      </c>
      <c r="JH581" s="27" t="s">
        <v>7</v>
      </c>
      <c r="JI581" s="27" t="s">
        <v>8</v>
      </c>
      <c r="JJ581" s="27" t="s">
        <v>7</v>
      </c>
      <c r="JM581" s="27" t="s">
        <v>8</v>
      </c>
      <c r="JN581" s="27" t="s">
        <v>7</v>
      </c>
      <c r="JO581" s="27" t="s">
        <v>8</v>
      </c>
      <c r="JP581" s="27" t="s">
        <v>7</v>
      </c>
      <c r="JQ581" s="27" t="s">
        <v>8</v>
      </c>
      <c r="JR581" s="27" t="s">
        <v>7</v>
      </c>
      <c r="LG581" s="27" t="s">
        <v>8</v>
      </c>
      <c r="LH581" s="27" t="s">
        <v>7</v>
      </c>
      <c r="LI581" s="27" t="s">
        <v>8</v>
      </c>
      <c r="LJ581" s="27" t="s">
        <v>7</v>
      </c>
      <c r="LK581" s="27" t="s">
        <v>8</v>
      </c>
      <c r="LL581" s="27" t="s">
        <v>7</v>
      </c>
      <c r="LM581" s="27" t="s">
        <v>8</v>
      </c>
      <c r="LN581" s="27" t="s">
        <v>7</v>
      </c>
      <c r="LQ581" s="27" t="s">
        <v>8</v>
      </c>
      <c r="LR581" s="27" t="s">
        <v>7</v>
      </c>
      <c r="LS581" s="27" t="s">
        <v>8</v>
      </c>
      <c r="LV581" s="27" t="s">
        <v>7</v>
      </c>
      <c r="MA581" s="27" t="s">
        <v>8</v>
      </c>
      <c r="MB581" s="27" t="s">
        <v>7</v>
      </c>
      <c r="MC581" s="27" t="s">
        <v>8</v>
      </c>
      <c r="MY581" s="27" t="s">
        <v>8</v>
      </c>
      <c r="MZ581" s="27" t="s">
        <v>7</v>
      </c>
      <c r="NA581" s="27" t="s">
        <v>8</v>
      </c>
      <c r="NB581" s="27" t="s">
        <v>7</v>
      </c>
      <c r="NC581" s="27" t="s">
        <v>8</v>
      </c>
      <c r="NE581" s="27" t="s">
        <v>8</v>
      </c>
      <c r="NH581" s="27" t="s">
        <v>7</v>
      </c>
      <c r="NK581" s="27" t="s">
        <v>8</v>
      </c>
      <c r="NL581" s="27" t="s">
        <v>7</v>
      </c>
      <c r="NM581" s="27" t="s">
        <v>8</v>
      </c>
      <c r="NN581" s="27" t="s">
        <v>7</v>
      </c>
    </row>
    <row r="582" spans="1:382" x14ac:dyDescent="0.25">
      <c r="A582" s="7">
        <v>1.1040808032</v>
      </c>
      <c r="B582"/>
      <c r="C582"/>
      <c r="D582"/>
      <c r="E582"/>
      <c r="HW582" s="27" t="s">
        <v>8</v>
      </c>
      <c r="HX582" s="27" t="s">
        <v>7</v>
      </c>
      <c r="HY582" s="27" t="s">
        <v>8</v>
      </c>
      <c r="HZ582" s="27" t="s">
        <v>7</v>
      </c>
      <c r="IA582" s="27" t="s">
        <v>8</v>
      </c>
      <c r="JH582" s="27" t="s">
        <v>7</v>
      </c>
      <c r="JI582" s="27" t="s">
        <v>8</v>
      </c>
      <c r="JJ582" s="27" t="s">
        <v>7</v>
      </c>
      <c r="JM582" s="27" t="s">
        <v>8</v>
      </c>
      <c r="JN582" s="27" t="s">
        <v>7</v>
      </c>
      <c r="JO582" s="27" t="s">
        <v>8</v>
      </c>
      <c r="JP582" s="27" t="s">
        <v>7</v>
      </c>
      <c r="JQ582" s="27" t="s">
        <v>8</v>
      </c>
      <c r="JR582" s="27" t="s">
        <v>7</v>
      </c>
      <c r="JS582" s="27" t="s">
        <v>8</v>
      </c>
      <c r="LE582" s="27" t="s">
        <v>8</v>
      </c>
      <c r="LG582" s="27" t="s">
        <v>8</v>
      </c>
      <c r="LH582" s="27" t="s">
        <v>7</v>
      </c>
      <c r="LI582" s="27" t="s">
        <v>8</v>
      </c>
      <c r="LJ582" s="27" t="s">
        <v>7</v>
      </c>
      <c r="LK582" s="27" t="s">
        <v>8</v>
      </c>
      <c r="LL582" s="27" t="s">
        <v>7</v>
      </c>
      <c r="LM582" s="27" t="s">
        <v>8</v>
      </c>
      <c r="LN582" s="27" t="s">
        <v>7</v>
      </c>
      <c r="LO582" s="27" t="s">
        <v>8</v>
      </c>
      <c r="LQ582" s="27" t="s">
        <v>8</v>
      </c>
      <c r="LR582" s="27" t="s">
        <v>7</v>
      </c>
      <c r="LV582" s="27" t="s">
        <v>7</v>
      </c>
      <c r="MA582" s="27" t="s">
        <v>8</v>
      </c>
      <c r="MB582" s="27" t="s">
        <v>7</v>
      </c>
      <c r="MC582" s="27" t="s">
        <v>8</v>
      </c>
      <c r="MD582" s="27" t="s">
        <v>7</v>
      </c>
      <c r="MY582" s="27" t="s">
        <v>8</v>
      </c>
      <c r="MZ582" s="27" t="s">
        <v>7</v>
      </c>
      <c r="NA582" s="27" t="s">
        <v>8</v>
      </c>
      <c r="NB582" s="27" t="s">
        <v>7</v>
      </c>
      <c r="NC582" s="27" t="s">
        <v>8</v>
      </c>
      <c r="ND582" s="27" t="s">
        <v>7</v>
      </c>
      <c r="NE582" s="27" t="s">
        <v>8</v>
      </c>
      <c r="NH582" s="27" t="s">
        <v>7</v>
      </c>
      <c r="NK582" s="27" t="s">
        <v>8</v>
      </c>
      <c r="NL582" s="27" t="s">
        <v>7</v>
      </c>
      <c r="NM582" s="27" t="s">
        <v>8</v>
      </c>
      <c r="NN582" s="27" t="s">
        <v>7</v>
      </c>
      <c r="NO582" s="27" t="s">
        <v>8</v>
      </c>
    </row>
    <row r="583" spans="1:382" x14ac:dyDescent="0.25">
      <c r="A583" s="7">
        <v>1.08243216</v>
      </c>
      <c r="B583"/>
      <c r="C583"/>
      <c r="D583"/>
      <c r="E583"/>
      <c r="HW583" s="27" t="s">
        <v>8</v>
      </c>
      <c r="HX583" s="27" t="s">
        <v>7</v>
      </c>
      <c r="HY583" s="27" t="s">
        <v>8</v>
      </c>
      <c r="HZ583" s="27" t="s">
        <v>7</v>
      </c>
      <c r="IA583" s="27" t="s">
        <v>8</v>
      </c>
      <c r="JH583" s="27" t="s">
        <v>7</v>
      </c>
      <c r="JI583" s="27" t="s">
        <v>8</v>
      </c>
      <c r="JJ583" s="27" t="s">
        <v>7</v>
      </c>
      <c r="JM583" s="27" t="s">
        <v>8</v>
      </c>
      <c r="JN583" s="27" t="s">
        <v>7</v>
      </c>
      <c r="JO583" s="27" t="s">
        <v>8</v>
      </c>
      <c r="JP583" s="27" t="s">
        <v>7</v>
      </c>
      <c r="JQ583" s="27" t="s">
        <v>8</v>
      </c>
      <c r="JR583" s="27" t="s">
        <v>7</v>
      </c>
      <c r="JS583" s="27" t="s">
        <v>8</v>
      </c>
      <c r="JT583" s="27" t="s">
        <v>7</v>
      </c>
      <c r="JY583" s="27" t="s">
        <v>8</v>
      </c>
      <c r="LE583" s="27" t="s">
        <v>8</v>
      </c>
      <c r="LF583" s="27" t="s">
        <v>7</v>
      </c>
      <c r="LG583" s="27" t="s">
        <v>8</v>
      </c>
      <c r="LH583" s="27" t="s">
        <v>7</v>
      </c>
      <c r="LI583" s="27" t="s">
        <v>8</v>
      </c>
      <c r="LJ583" s="27" t="s">
        <v>7</v>
      </c>
      <c r="LL583" s="27" t="s">
        <v>7</v>
      </c>
      <c r="LM583" s="27" t="s">
        <v>8</v>
      </c>
      <c r="LN583" s="27" t="s">
        <v>7</v>
      </c>
      <c r="LO583" s="27" t="s">
        <v>8</v>
      </c>
      <c r="LP583" s="27" t="s">
        <v>7</v>
      </c>
      <c r="LQ583" s="27" t="s">
        <v>8</v>
      </c>
      <c r="LV583" s="27" t="s">
        <v>7</v>
      </c>
      <c r="MA583" s="27" t="s">
        <v>8</v>
      </c>
      <c r="MB583" s="27" t="s">
        <v>7</v>
      </c>
      <c r="MC583" s="27" t="s">
        <v>8</v>
      </c>
      <c r="MD583" s="27" t="s">
        <v>7</v>
      </c>
      <c r="MY583" s="27" t="s">
        <v>8</v>
      </c>
      <c r="MZ583" s="27" t="s">
        <v>7</v>
      </c>
      <c r="NA583" s="27" t="s">
        <v>8</v>
      </c>
      <c r="NB583" s="27" t="s">
        <v>7</v>
      </c>
      <c r="NC583" s="27" t="s">
        <v>8</v>
      </c>
      <c r="ND583" s="27" t="s">
        <v>7</v>
      </c>
      <c r="NE583" s="27" t="s">
        <v>8</v>
      </c>
      <c r="NH583" s="27" t="s">
        <v>7</v>
      </c>
      <c r="NI583" s="27" t="s">
        <v>8</v>
      </c>
      <c r="NK583" s="27" t="s">
        <v>8</v>
      </c>
      <c r="NL583" s="27" t="s">
        <v>7</v>
      </c>
      <c r="NM583" s="27" t="s">
        <v>8</v>
      </c>
      <c r="NN583" s="27" t="s">
        <v>7</v>
      </c>
      <c r="NO583" s="27" t="s">
        <v>8</v>
      </c>
      <c r="NP583" s="27" t="s">
        <v>7</v>
      </c>
      <c r="NQ583" s="27" t="s">
        <v>8</v>
      </c>
    </row>
    <row r="584" spans="1:382" x14ac:dyDescent="0.25">
      <c r="A584" s="7">
        <v>1.0612079999999999</v>
      </c>
      <c r="B584"/>
      <c r="C584"/>
      <c r="D584"/>
      <c r="E584"/>
      <c r="HW584" s="27" t="s">
        <v>8</v>
      </c>
      <c r="HX584" s="27" t="s">
        <v>7</v>
      </c>
      <c r="HY584" s="27" t="s">
        <v>8</v>
      </c>
      <c r="HZ584" s="27" t="s">
        <v>7</v>
      </c>
      <c r="IA584" s="27" t="s">
        <v>8</v>
      </c>
      <c r="JH584" s="27" t="s">
        <v>7</v>
      </c>
      <c r="JI584" s="27" t="s">
        <v>8</v>
      </c>
      <c r="JJ584" s="27" t="s">
        <v>7</v>
      </c>
      <c r="JM584" s="27" t="s">
        <v>8</v>
      </c>
      <c r="JN584" s="27" t="s">
        <v>7</v>
      </c>
      <c r="JO584" s="27" t="s">
        <v>8</v>
      </c>
      <c r="JP584" s="27" t="s">
        <v>7</v>
      </c>
      <c r="JQ584" s="27" t="s">
        <v>8</v>
      </c>
      <c r="JR584" s="27" t="s">
        <v>7</v>
      </c>
      <c r="JS584" s="27" t="s">
        <v>8</v>
      </c>
      <c r="JT584" s="27" t="s">
        <v>7</v>
      </c>
      <c r="JY584" s="27" t="s">
        <v>8</v>
      </c>
      <c r="JZ584" s="27" t="s">
        <v>7</v>
      </c>
      <c r="LE584" s="27" t="s">
        <v>8</v>
      </c>
      <c r="LF584" s="27" t="s">
        <v>7</v>
      </c>
      <c r="LG584" s="27" t="s">
        <v>8</v>
      </c>
      <c r="LH584" s="27" t="s">
        <v>7</v>
      </c>
      <c r="LI584" s="27" t="s">
        <v>8</v>
      </c>
      <c r="LL584" s="27" t="s">
        <v>7</v>
      </c>
      <c r="LM584" s="27" t="s">
        <v>8</v>
      </c>
      <c r="LN584" s="27" t="s">
        <v>7</v>
      </c>
      <c r="LO584" s="27" t="s">
        <v>8</v>
      </c>
      <c r="LP584" s="27" t="s">
        <v>7</v>
      </c>
      <c r="LQ584" s="27" t="s">
        <v>8</v>
      </c>
      <c r="LV584" s="27" t="s">
        <v>7</v>
      </c>
      <c r="MA584" s="27" t="s">
        <v>8</v>
      </c>
      <c r="MB584" s="27" t="s">
        <v>7</v>
      </c>
      <c r="MC584" s="27" t="s">
        <v>8</v>
      </c>
      <c r="MD584" s="27" t="s">
        <v>7</v>
      </c>
      <c r="MY584" s="27" t="s">
        <v>8</v>
      </c>
      <c r="MZ584" s="27" t="s">
        <v>7</v>
      </c>
      <c r="NA584" s="27" t="s">
        <v>8</v>
      </c>
      <c r="NB584" s="27" t="s">
        <v>7</v>
      </c>
      <c r="NC584" s="27" t="s">
        <v>8</v>
      </c>
      <c r="ND584" s="27" t="s">
        <v>7</v>
      </c>
      <c r="NE584" s="27" t="s">
        <v>8</v>
      </c>
      <c r="NH584" s="27" t="s">
        <v>7</v>
      </c>
      <c r="NI584" s="27" t="s">
        <v>8</v>
      </c>
      <c r="NJ584" s="27" t="s">
        <v>7</v>
      </c>
      <c r="NK584" s="27" t="s">
        <v>8</v>
      </c>
      <c r="NL584" s="27" t="s">
        <v>7</v>
      </c>
      <c r="NM584" s="27" t="s">
        <v>8</v>
      </c>
      <c r="NN584" s="27" t="s">
        <v>7</v>
      </c>
      <c r="NO584" s="27" t="s">
        <v>8</v>
      </c>
      <c r="NP584" s="27" t="s">
        <v>7</v>
      </c>
      <c r="NQ584" s="27" t="s">
        <v>8</v>
      </c>
      <c r="NR584" s="27" t="s">
        <v>7</v>
      </c>
    </row>
    <row r="585" spans="1:382" x14ac:dyDescent="0.25">
      <c r="A585" s="7">
        <v>1.0404</v>
      </c>
      <c r="B585"/>
      <c r="C585"/>
      <c r="D585"/>
      <c r="E585"/>
      <c r="HW585" s="27" t="s">
        <v>8</v>
      </c>
      <c r="HX585" s="27" t="s">
        <v>7</v>
      </c>
      <c r="HY585" s="27" t="s">
        <v>8</v>
      </c>
      <c r="HZ585" s="27" t="s">
        <v>7</v>
      </c>
      <c r="IA585" s="27" t="s">
        <v>8</v>
      </c>
      <c r="JH585" s="27" t="s">
        <v>7</v>
      </c>
      <c r="JJ585" s="27" t="s">
        <v>7</v>
      </c>
      <c r="JM585" s="27" t="s">
        <v>8</v>
      </c>
      <c r="JN585" s="27" t="s">
        <v>7</v>
      </c>
      <c r="JO585" s="27" t="s">
        <v>8</v>
      </c>
      <c r="JP585" s="27" t="s">
        <v>7</v>
      </c>
      <c r="JQ585" s="27" t="s">
        <v>8</v>
      </c>
      <c r="JR585" s="27" t="s">
        <v>7</v>
      </c>
      <c r="JT585" s="27" t="s">
        <v>7</v>
      </c>
      <c r="JY585" s="27" t="s">
        <v>8</v>
      </c>
      <c r="JZ585" s="27" t="s">
        <v>7</v>
      </c>
      <c r="LE585" s="27" t="s">
        <v>8</v>
      </c>
      <c r="LF585" s="27" t="s">
        <v>7</v>
      </c>
      <c r="LG585" s="27" t="s">
        <v>8</v>
      </c>
      <c r="LH585" s="27" t="s">
        <v>7</v>
      </c>
      <c r="LI585" s="27" t="s">
        <v>8</v>
      </c>
      <c r="LL585" s="27" t="s">
        <v>7</v>
      </c>
      <c r="LM585" s="27" t="s">
        <v>8</v>
      </c>
      <c r="LN585" s="27" t="s">
        <v>7</v>
      </c>
      <c r="LO585" s="27" t="s">
        <v>8</v>
      </c>
      <c r="LP585" s="27" t="s">
        <v>7</v>
      </c>
      <c r="LV585" s="27" t="s">
        <v>7</v>
      </c>
      <c r="LW585" s="27" t="s">
        <v>8</v>
      </c>
      <c r="MA585" s="27" t="s">
        <v>8</v>
      </c>
      <c r="MB585" s="27" t="s">
        <v>7</v>
      </c>
      <c r="MD585" s="27" t="s">
        <v>7</v>
      </c>
      <c r="MY585" s="27" t="s">
        <v>8</v>
      </c>
      <c r="MZ585" s="27" t="s">
        <v>7</v>
      </c>
      <c r="NA585" s="27" t="s">
        <v>8</v>
      </c>
      <c r="NB585" s="27" t="s">
        <v>7</v>
      </c>
      <c r="NC585" s="27" t="s">
        <v>8</v>
      </c>
      <c r="ND585" s="27" t="s">
        <v>7</v>
      </c>
      <c r="NE585" s="27" t="s">
        <v>8</v>
      </c>
      <c r="NH585" s="27" t="s">
        <v>7</v>
      </c>
      <c r="NI585" s="27" t="s">
        <v>8</v>
      </c>
      <c r="NJ585" s="27" t="s">
        <v>7</v>
      </c>
      <c r="NK585" s="27" t="s">
        <v>8</v>
      </c>
      <c r="NL585" s="27" t="s">
        <v>7</v>
      </c>
      <c r="NM585" s="27" t="s">
        <v>8</v>
      </c>
      <c r="NN585" s="27" t="s">
        <v>7</v>
      </c>
      <c r="NO585" s="27" t="s">
        <v>8</v>
      </c>
      <c r="NP585" s="27" t="s">
        <v>7</v>
      </c>
      <c r="NQ585" s="27" t="s">
        <v>8</v>
      </c>
      <c r="NR585" s="27" t="s">
        <v>7</v>
      </c>
    </row>
    <row r="586" spans="1:382" x14ac:dyDescent="0.25">
      <c r="A586" s="7">
        <v>1.02</v>
      </c>
      <c r="B586"/>
      <c r="C586"/>
      <c r="D586"/>
      <c r="E586"/>
      <c r="HW586" s="27" t="s">
        <v>8</v>
      </c>
      <c r="HX586" s="27" t="s">
        <v>7</v>
      </c>
      <c r="HY586" s="27" t="s">
        <v>8</v>
      </c>
      <c r="HZ586" s="27" t="s">
        <v>7</v>
      </c>
      <c r="IA586" s="27" t="s">
        <v>8</v>
      </c>
      <c r="JJ586" s="27" t="s">
        <v>7</v>
      </c>
      <c r="JM586" s="27" t="s">
        <v>8</v>
      </c>
      <c r="JN586" s="27" t="s">
        <v>7</v>
      </c>
      <c r="JO586" s="27" t="s">
        <v>8</v>
      </c>
      <c r="JP586" s="27" t="s">
        <v>7</v>
      </c>
      <c r="JT586" s="27" t="s">
        <v>7</v>
      </c>
      <c r="JY586" s="27" t="s">
        <v>8</v>
      </c>
      <c r="JZ586" s="27" t="s">
        <v>7</v>
      </c>
      <c r="LC586" s="27" t="s">
        <v>8</v>
      </c>
      <c r="LE586" s="27" t="s">
        <v>8</v>
      </c>
      <c r="LF586" s="27" t="s">
        <v>7</v>
      </c>
      <c r="LG586" s="27" t="s">
        <v>8</v>
      </c>
      <c r="LH586" s="27" t="s">
        <v>7</v>
      </c>
      <c r="LI586" s="27" t="s">
        <v>8</v>
      </c>
      <c r="LL586" s="27" t="s">
        <v>7</v>
      </c>
      <c r="LM586" s="27" t="s">
        <v>8</v>
      </c>
      <c r="LN586" s="27" t="s">
        <v>7</v>
      </c>
      <c r="LO586" s="27" t="s">
        <v>8</v>
      </c>
      <c r="LV586" s="27" t="s">
        <v>7</v>
      </c>
      <c r="LW586" s="27" t="s">
        <v>8</v>
      </c>
      <c r="LX586" s="27" t="s">
        <v>7</v>
      </c>
      <c r="LY586" s="27" t="s">
        <v>8</v>
      </c>
      <c r="MA586" s="27" t="s">
        <v>8</v>
      </c>
      <c r="MD586" s="27" t="s">
        <v>7</v>
      </c>
      <c r="MY586" s="27" t="s">
        <v>8</v>
      </c>
      <c r="MZ586" s="27" t="s">
        <v>7</v>
      </c>
      <c r="NA586" s="27" t="s">
        <v>8</v>
      </c>
      <c r="NB586" s="27" t="s">
        <v>7</v>
      </c>
      <c r="ND586" s="27" t="s">
        <v>7</v>
      </c>
      <c r="NE586" s="27" t="s">
        <v>8</v>
      </c>
      <c r="NH586" s="27" t="s">
        <v>7</v>
      </c>
      <c r="NI586" s="27" t="s">
        <v>8</v>
      </c>
      <c r="NJ586" s="27" t="s">
        <v>7</v>
      </c>
      <c r="NK586" s="27" t="s">
        <v>8</v>
      </c>
      <c r="NL586" s="27" t="s">
        <v>7</v>
      </c>
      <c r="NM586" s="27" t="s">
        <v>8</v>
      </c>
      <c r="NN586" s="27" t="s">
        <v>7</v>
      </c>
      <c r="NO586" s="27" t="s">
        <v>8</v>
      </c>
      <c r="NP586" s="27" t="s">
        <v>7</v>
      </c>
      <c r="NQ586" s="27" t="s">
        <v>8</v>
      </c>
      <c r="NR586" s="27" t="s">
        <v>7</v>
      </c>
    </row>
    <row r="587" spans="1:382" x14ac:dyDescent="0.25">
      <c r="A587" s="7">
        <v>1</v>
      </c>
      <c r="B587"/>
      <c r="C587"/>
      <c r="D587"/>
      <c r="E587" s="29" t="s">
        <v>8</v>
      </c>
      <c r="HW587" s="27" t="s">
        <v>8</v>
      </c>
      <c r="HX587" s="27" t="s">
        <v>7</v>
      </c>
      <c r="HY587" s="27" t="s">
        <v>8</v>
      </c>
      <c r="HZ587" s="27" t="s">
        <v>7</v>
      </c>
      <c r="IA587" s="27" t="s">
        <v>8</v>
      </c>
      <c r="JJ587" s="27" t="s">
        <v>7</v>
      </c>
      <c r="JM587" s="27" t="s">
        <v>8</v>
      </c>
      <c r="JN587" s="27" t="s">
        <v>7</v>
      </c>
      <c r="JO587" s="27" t="s">
        <v>8</v>
      </c>
      <c r="JT587" s="27" t="s">
        <v>7</v>
      </c>
      <c r="JY587" s="27" t="s">
        <v>8</v>
      </c>
      <c r="JZ587" s="27" t="s">
        <v>7</v>
      </c>
      <c r="LC587" s="27" t="s">
        <v>8</v>
      </c>
      <c r="LD587" s="27" t="s">
        <v>7</v>
      </c>
      <c r="LE587" s="27" t="s">
        <v>8</v>
      </c>
      <c r="LF587" s="27" t="s">
        <v>7</v>
      </c>
      <c r="LH587" s="27" t="s">
        <v>7</v>
      </c>
      <c r="LI587" s="27" t="s">
        <v>8</v>
      </c>
      <c r="LL587" s="27" t="s">
        <v>7</v>
      </c>
      <c r="LN587" s="27" t="s">
        <v>7</v>
      </c>
      <c r="LO587" s="27" t="s">
        <v>8</v>
      </c>
      <c r="LV587" s="27" t="s">
        <v>7</v>
      </c>
      <c r="LW587" s="27" t="s">
        <v>8</v>
      </c>
      <c r="LX587" s="27" t="s">
        <v>7</v>
      </c>
      <c r="LY587" s="27" t="s">
        <v>8</v>
      </c>
      <c r="LZ587" s="27" t="s">
        <v>7</v>
      </c>
      <c r="MA587" s="27" t="s">
        <v>8</v>
      </c>
      <c r="MD587" s="27" t="s">
        <v>7</v>
      </c>
      <c r="MY587" s="27" t="s">
        <v>8</v>
      </c>
      <c r="MZ587" s="27" t="s">
        <v>7</v>
      </c>
      <c r="NA587" s="27" t="s">
        <v>8</v>
      </c>
      <c r="ND587" s="27" t="s">
        <v>7</v>
      </c>
      <c r="NE587" s="27" t="s">
        <v>8</v>
      </c>
      <c r="NH587" s="27" t="s">
        <v>7</v>
      </c>
      <c r="NI587" s="27" t="s">
        <v>8</v>
      </c>
      <c r="NJ587" s="27" t="s">
        <v>7</v>
      </c>
      <c r="NK587" s="27" t="s">
        <v>8</v>
      </c>
      <c r="NL587" s="27" t="s">
        <v>7</v>
      </c>
      <c r="NM587" s="27" t="s">
        <v>8</v>
      </c>
      <c r="NN587" s="27" t="s">
        <v>7</v>
      </c>
      <c r="NO587" s="27" t="s">
        <v>8</v>
      </c>
      <c r="NP587" s="27" t="s">
        <v>7</v>
      </c>
      <c r="NQ587" s="27" t="s">
        <v>8</v>
      </c>
      <c r="NR587" s="27" t="s">
        <v>7</v>
      </c>
    </row>
    <row r="588" spans="1:382" x14ac:dyDescent="0.25">
      <c r="A588" s="7">
        <v>0.98039215686274506</v>
      </c>
      <c r="B588"/>
      <c r="C588"/>
      <c r="D588"/>
      <c r="E588"/>
      <c r="F588" s="27" t="s">
        <v>7</v>
      </c>
      <c r="HS588" s="27" t="s">
        <v>8</v>
      </c>
      <c r="HW588" s="27" t="s">
        <v>8</v>
      </c>
      <c r="HX588" s="27" t="s">
        <v>7</v>
      </c>
      <c r="HY588" s="27" t="s">
        <v>8</v>
      </c>
      <c r="HZ588" s="27" t="s">
        <v>7</v>
      </c>
      <c r="IA588" s="27" t="s">
        <v>8</v>
      </c>
      <c r="JJ588" s="27" t="s">
        <v>7</v>
      </c>
      <c r="JK588" s="27" t="s">
        <v>8</v>
      </c>
      <c r="JM588" s="27" t="s">
        <v>8</v>
      </c>
      <c r="JN588" s="27" t="s">
        <v>7</v>
      </c>
      <c r="JO588" s="27" t="s">
        <v>8</v>
      </c>
      <c r="JT588" s="27" t="s">
        <v>7</v>
      </c>
      <c r="JU588" s="27" t="s">
        <v>8</v>
      </c>
      <c r="JY588" s="27" t="s">
        <v>8</v>
      </c>
      <c r="JZ588" s="27" t="s">
        <v>7</v>
      </c>
      <c r="LC588" s="27" t="s">
        <v>8</v>
      </c>
      <c r="LD588" s="27" t="s">
        <v>7</v>
      </c>
      <c r="LE588" s="27" t="s">
        <v>8</v>
      </c>
      <c r="LH588" s="27" t="s">
        <v>7</v>
      </c>
      <c r="LI588" s="27" t="s">
        <v>8</v>
      </c>
      <c r="LN588" s="27" t="s">
        <v>7</v>
      </c>
      <c r="LV588" s="27" t="s">
        <v>7</v>
      </c>
      <c r="LW588" s="27" t="s">
        <v>8</v>
      </c>
      <c r="LX588" s="27" t="s">
        <v>7</v>
      </c>
      <c r="LY588" s="27" t="s">
        <v>8</v>
      </c>
      <c r="LZ588" s="27" t="s">
        <v>7</v>
      </c>
      <c r="MA588" s="27" t="s">
        <v>8</v>
      </c>
      <c r="MD588" s="27" t="s">
        <v>7</v>
      </c>
      <c r="MY588" s="27" t="s">
        <v>8</v>
      </c>
      <c r="MZ588" s="27" t="s">
        <v>7</v>
      </c>
      <c r="NA588" s="27" t="s">
        <v>8</v>
      </c>
      <c r="ND588" s="27" t="s">
        <v>7</v>
      </c>
      <c r="NE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L588" s="27" t="s">
        <v>7</v>
      </c>
      <c r="NN588" s="27" t="s">
        <v>7</v>
      </c>
      <c r="NO588" s="27" t="s">
        <v>8</v>
      </c>
      <c r="NP588" s="27" t="s">
        <v>7</v>
      </c>
      <c r="NQ588" s="27" t="s">
        <v>8</v>
      </c>
      <c r="NR588" s="27" t="s">
        <v>7</v>
      </c>
    </row>
    <row r="589" spans="1:382" x14ac:dyDescent="0.25">
      <c r="A589" s="7">
        <v>0.96116878123798544</v>
      </c>
      <c r="B589"/>
      <c r="C589"/>
      <c r="D589"/>
      <c r="E589"/>
      <c r="F589" s="27" t="s">
        <v>7</v>
      </c>
      <c r="HS589" s="27" t="s">
        <v>8</v>
      </c>
      <c r="HT589" s="27" t="s">
        <v>7</v>
      </c>
      <c r="HU589" s="27" t="s">
        <v>8</v>
      </c>
      <c r="HW589" s="27" t="s">
        <v>8</v>
      </c>
      <c r="HX589" s="27" t="s">
        <v>7</v>
      </c>
      <c r="HY589" s="27" t="s">
        <v>8</v>
      </c>
      <c r="HZ589" s="27" t="s">
        <v>7</v>
      </c>
      <c r="IA589" s="27" t="s">
        <v>8</v>
      </c>
      <c r="JJ589" s="27" t="s">
        <v>7</v>
      </c>
      <c r="JK589" s="27" t="s">
        <v>8</v>
      </c>
      <c r="JL589" s="27" t="s">
        <v>7</v>
      </c>
      <c r="JM589" s="27" t="s">
        <v>8</v>
      </c>
      <c r="JN589" s="27" t="s">
        <v>7</v>
      </c>
      <c r="JO589" s="27" t="s">
        <v>8</v>
      </c>
      <c r="JT589" s="27" t="s">
        <v>7</v>
      </c>
      <c r="JU589" s="27" t="s">
        <v>8</v>
      </c>
      <c r="JV589" s="27" t="s">
        <v>7</v>
      </c>
      <c r="JY589" s="27" t="s">
        <v>8</v>
      </c>
      <c r="JZ589" s="27" t="s">
        <v>7</v>
      </c>
      <c r="LC589" s="27" t="s">
        <v>8</v>
      </c>
      <c r="LD589" s="27" t="s">
        <v>7</v>
      </c>
      <c r="LE589" s="27" t="s">
        <v>8</v>
      </c>
      <c r="LH589" s="27" t="s">
        <v>7</v>
      </c>
      <c r="LI589" s="27" t="s">
        <v>8</v>
      </c>
      <c r="LV589" s="27" t="s">
        <v>7</v>
      </c>
      <c r="LW589" s="27" t="s">
        <v>8</v>
      </c>
      <c r="LX589" s="27" t="s">
        <v>7</v>
      </c>
      <c r="LY589" s="27" t="s">
        <v>8</v>
      </c>
      <c r="LZ589" s="27" t="s">
        <v>7</v>
      </c>
      <c r="MA589" s="27" t="s">
        <v>8</v>
      </c>
      <c r="MD589" s="27" t="s">
        <v>7</v>
      </c>
      <c r="MM589" s="27" t="s">
        <v>8</v>
      </c>
      <c r="MY589" s="27" t="s">
        <v>8</v>
      </c>
      <c r="MZ589" s="27" t="s">
        <v>7</v>
      </c>
      <c r="ND589" s="27" t="s">
        <v>7</v>
      </c>
      <c r="NH589" s="27" t="s">
        <v>7</v>
      </c>
      <c r="NI589" s="27" t="s">
        <v>8</v>
      </c>
      <c r="NJ589" s="27" t="s">
        <v>7</v>
      </c>
      <c r="NK589" s="27" t="s">
        <v>8</v>
      </c>
      <c r="NN589" s="27" t="s">
        <v>7</v>
      </c>
      <c r="NP589" s="27" t="s">
        <v>7</v>
      </c>
      <c r="NQ589" s="27" t="s">
        <v>8</v>
      </c>
      <c r="NR589" s="27" t="s">
        <v>7</v>
      </c>
    </row>
    <row r="590" spans="1:382" x14ac:dyDescent="0.25">
      <c r="A590" s="7">
        <v>0.94232233454704462</v>
      </c>
      <c r="B590"/>
      <c r="C590"/>
      <c r="D590"/>
      <c r="E590"/>
      <c r="F590" s="27" t="s">
        <v>7</v>
      </c>
      <c r="HS590" s="27" t="s">
        <v>8</v>
      </c>
      <c r="HT590" s="27" t="s">
        <v>7</v>
      </c>
      <c r="HU590" s="27" t="s">
        <v>8</v>
      </c>
      <c r="HV590" s="27" t="s">
        <v>7</v>
      </c>
      <c r="HW590" s="27" t="s">
        <v>8</v>
      </c>
      <c r="HX590" s="27" t="s">
        <v>7</v>
      </c>
      <c r="HZ590" s="27" t="s">
        <v>7</v>
      </c>
      <c r="IA590" s="27" t="s">
        <v>8</v>
      </c>
      <c r="JJ590" s="27" t="s">
        <v>7</v>
      </c>
      <c r="JK590" s="27" t="s">
        <v>8</v>
      </c>
      <c r="JL590" s="27" t="s">
        <v>7</v>
      </c>
      <c r="JM590" s="27" t="s">
        <v>8</v>
      </c>
      <c r="JN590" s="27" t="s">
        <v>7</v>
      </c>
      <c r="JO590" s="27" t="s">
        <v>8</v>
      </c>
      <c r="JT590" s="27" t="s">
        <v>7</v>
      </c>
      <c r="JU590" s="27" t="s">
        <v>8</v>
      </c>
      <c r="JV590" s="27" t="s">
        <v>7</v>
      </c>
      <c r="JY590" s="27" t="s">
        <v>8</v>
      </c>
      <c r="JZ590" s="27" t="s">
        <v>7</v>
      </c>
      <c r="KO590" s="27" t="s">
        <v>8</v>
      </c>
      <c r="LC590" s="27" t="s">
        <v>8</v>
      </c>
      <c r="LD590" s="27" t="s">
        <v>7</v>
      </c>
      <c r="LE590" s="27" t="s">
        <v>8</v>
      </c>
      <c r="LH590" s="27" t="s">
        <v>7</v>
      </c>
      <c r="LI590" s="27" t="s">
        <v>8</v>
      </c>
      <c r="LV590" s="27" t="s">
        <v>7</v>
      </c>
      <c r="LW590" s="27" t="s">
        <v>8</v>
      </c>
      <c r="LX590" s="27" t="s">
        <v>7</v>
      </c>
      <c r="LY590" s="27" t="s">
        <v>8</v>
      </c>
      <c r="LZ590" s="27" t="s">
        <v>7</v>
      </c>
      <c r="MA590" s="27" t="s">
        <v>8</v>
      </c>
      <c r="MD590" s="27" t="s">
        <v>7</v>
      </c>
      <c r="MM590" s="27" t="s">
        <v>8</v>
      </c>
      <c r="MN590" s="27" t="s">
        <v>7</v>
      </c>
      <c r="MO590" s="27" t="s">
        <v>8</v>
      </c>
      <c r="MY590" s="27" t="s">
        <v>8</v>
      </c>
      <c r="NH590" s="27" t="s">
        <v>7</v>
      </c>
      <c r="NI590" s="27" t="s">
        <v>8</v>
      </c>
      <c r="NJ590" s="27" t="s">
        <v>7</v>
      </c>
      <c r="NP590" s="27" t="s">
        <v>7</v>
      </c>
      <c r="NR590" s="27" t="s">
        <v>7</v>
      </c>
    </row>
    <row r="591" spans="1:382" x14ac:dyDescent="0.25">
      <c r="A591" s="7">
        <v>0.92384542602651432</v>
      </c>
      <c r="B591"/>
      <c r="C591"/>
      <c r="D591"/>
      <c r="E591"/>
      <c r="F591" s="27" t="s">
        <v>7</v>
      </c>
      <c r="HS591" s="27" t="s">
        <v>8</v>
      </c>
      <c r="HT591" s="27" t="s">
        <v>7</v>
      </c>
      <c r="HU591" s="27" t="s">
        <v>8</v>
      </c>
      <c r="HV591" s="27" t="s">
        <v>7</v>
      </c>
      <c r="HW591" s="27" t="s">
        <v>8</v>
      </c>
      <c r="HZ591" s="27" t="s">
        <v>7</v>
      </c>
      <c r="IA591" s="27" t="s">
        <v>8</v>
      </c>
      <c r="JJ591" s="27" t="s">
        <v>7</v>
      </c>
      <c r="JK591" s="27" t="s">
        <v>8</v>
      </c>
      <c r="JL591" s="27" t="s">
        <v>7</v>
      </c>
      <c r="JM591" s="27" t="s">
        <v>8</v>
      </c>
      <c r="JN591" s="27" t="s">
        <v>7</v>
      </c>
      <c r="JO591" s="27" t="s">
        <v>8</v>
      </c>
      <c r="JT591" s="27" t="s">
        <v>7</v>
      </c>
      <c r="JU591" s="27" t="s">
        <v>8</v>
      </c>
      <c r="JV591" s="27" t="s">
        <v>7</v>
      </c>
      <c r="JY591" s="27" t="s">
        <v>8</v>
      </c>
      <c r="JZ591" s="27" t="s">
        <v>7</v>
      </c>
      <c r="KO591" s="27" t="s">
        <v>8</v>
      </c>
      <c r="KP591" s="27" t="s">
        <v>7</v>
      </c>
      <c r="LC591" s="27" t="s">
        <v>8</v>
      </c>
      <c r="LD591" s="27" t="s">
        <v>7</v>
      </c>
      <c r="LE591" s="27" t="s">
        <v>8</v>
      </c>
      <c r="LH591" s="27" t="s">
        <v>7</v>
      </c>
      <c r="LI591" s="27" t="s">
        <v>8</v>
      </c>
      <c r="LV591" s="27" t="s">
        <v>7</v>
      </c>
      <c r="LW591" s="27" t="s">
        <v>8</v>
      </c>
      <c r="LX591" s="27" t="s">
        <v>7</v>
      </c>
      <c r="LY591" s="27" t="s">
        <v>8</v>
      </c>
      <c r="LZ591" s="27" t="s">
        <v>7</v>
      </c>
      <c r="MA591" s="27" t="s">
        <v>8</v>
      </c>
      <c r="MD591" s="27" t="s">
        <v>7</v>
      </c>
      <c r="MM591" s="27" t="s">
        <v>8</v>
      </c>
      <c r="MN591" s="27" t="s">
        <v>7</v>
      </c>
      <c r="MO591" s="27" t="s">
        <v>8</v>
      </c>
      <c r="MP591" s="27" t="s">
        <v>7</v>
      </c>
      <c r="MY591" s="27" t="s">
        <v>8</v>
      </c>
      <c r="NH591" s="27" t="s">
        <v>7</v>
      </c>
      <c r="NI591" s="27" t="s">
        <v>8</v>
      </c>
      <c r="NR591" s="27" t="s">
        <v>7</v>
      </c>
    </row>
    <row r="592" spans="1:382" x14ac:dyDescent="0.25">
      <c r="A592" s="7">
        <v>0.90573080982991594</v>
      </c>
      <c r="B592"/>
      <c r="C592"/>
      <c r="D592"/>
      <c r="E592"/>
      <c r="F592" s="27" t="s">
        <v>7</v>
      </c>
      <c r="HS592" s="27" t="s">
        <v>8</v>
      </c>
      <c r="HT592" s="27" t="s">
        <v>7</v>
      </c>
      <c r="HU592" s="27" t="s">
        <v>8</v>
      </c>
      <c r="HV592" s="27" t="s">
        <v>7</v>
      </c>
      <c r="HW592" s="27" t="s">
        <v>8</v>
      </c>
      <c r="HZ592" s="27" t="s">
        <v>7</v>
      </c>
      <c r="IA592" s="27" t="s">
        <v>8</v>
      </c>
      <c r="JJ592" s="27" t="s">
        <v>7</v>
      </c>
      <c r="JK592" s="27" t="s">
        <v>8</v>
      </c>
      <c r="JL592" s="27" t="s">
        <v>7</v>
      </c>
      <c r="JM592" s="27" t="s">
        <v>8</v>
      </c>
      <c r="JN592" s="27" t="s">
        <v>7</v>
      </c>
      <c r="JO592" s="27" t="s">
        <v>8</v>
      </c>
      <c r="JT592" s="27" t="s">
        <v>7</v>
      </c>
      <c r="JU592" s="27" t="s">
        <v>8</v>
      </c>
      <c r="JV592" s="27" t="s">
        <v>7</v>
      </c>
      <c r="JY592" s="27" t="s">
        <v>8</v>
      </c>
      <c r="JZ592" s="27" t="s">
        <v>7</v>
      </c>
      <c r="KO592" s="27" t="s">
        <v>8</v>
      </c>
      <c r="KP592" s="27" t="s">
        <v>7</v>
      </c>
      <c r="LA592" s="27" t="s">
        <v>8</v>
      </c>
      <c r="LC592" s="27" t="s">
        <v>8</v>
      </c>
      <c r="LD592" s="27" t="s">
        <v>7</v>
      </c>
      <c r="LE592" s="27" t="s">
        <v>8</v>
      </c>
      <c r="LH592" s="27" t="s">
        <v>7</v>
      </c>
      <c r="LV592" s="27" t="s">
        <v>7</v>
      </c>
      <c r="LW592" s="27" t="s">
        <v>8</v>
      </c>
      <c r="LX592" s="27" t="s">
        <v>7</v>
      </c>
      <c r="LZ592" s="27" t="s">
        <v>7</v>
      </c>
      <c r="MA592" s="27" t="s">
        <v>8</v>
      </c>
      <c r="MD592" s="27" t="s">
        <v>7</v>
      </c>
      <c r="MM592" s="27" t="s">
        <v>8</v>
      </c>
      <c r="MN592" s="27" t="s">
        <v>7</v>
      </c>
      <c r="MO592" s="27" t="s">
        <v>8</v>
      </c>
      <c r="MP592" s="27" t="s">
        <v>7</v>
      </c>
      <c r="MS592" s="27" t="s">
        <v>8</v>
      </c>
      <c r="MY592" s="27" t="s">
        <v>8</v>
      </c>
      <c r="NH592" s="27" t="s">
        <v>7</v>
      </c>
      <c r="NR592" s="27" t="s">
        <v>7</v>
      </c>
    </row>
    <row r="593" spans="1:400" x14ac:dyDescent="0.25">
      <c r="A593" s="7">
        <v>0.8879713821861922</v>
      </c>
      <c r="B593"/>
      <c r="C593"/>
      <c r="D593"/>
      <c r="E593"/>
      <c r="F593" s="27" t="s">
        <v>7</v>
      </c>
      <c r="HS593" s="27" t="s">
        <v>8</v>
      </c>
      <c r="HT593" s="27" t="s">
        <v>7</v>
      </c>
      <c r="HU593" s="27" t="s">
        <v>8</v>
      </c>
      <c r="HV593" s="27" t="s">
        <v>7</v>
      </c>
      <c r="HW593" s="27" t="s">
        <v>8</v>
      </c>
      <c r="HZ593" s="27" t="s">
        <v>7</v>
      </c>
      <c r="IA593" s="27" t="s">
        <v>8</v>
      </c>
      <c r="JJ593" s="27" t="s">
        <v>7</v>
      </c>
      <c r="JK593" s="27" t="s">
        <v>8</v>
      </c>
      <c r="JL593" s="27" t="s">
        <v>7</v>
      </c>
      <c r="JM593" s="27" t="s">
        <v>8</v>
      </c>
      <c r="JN593" s="27" t="s">
        <v>7</v>
      </c>
      <c r="JO593" s="27" t="s">
        <v>8</v>
      </c>
      <c r="JT593" s="27" t="s">
        <v>7</v>
      </c>
      <c r="JU593" s="27" t="s">
        <v>8</v>
      </c>
      <c r="JV593" s="27" t="s">
        <v>7</v>
      </c>
      <c r="JY593" s="27" t="s">
        <v>8</v>
      </c>
      <c r="JZ593" s="27" t="s">
        <v>7</v>
      </c>
      <c r="KA593" s="27" t="s">
        <v>8</v>
      </c>
      <c r="KO593" s="27" t="s">
        <v>8</v>
      </c>
      <c r="KP593" s="27" t="s">
        <v>7</v>
      </c>
      <c r="LA593" s="27" t="s">
        <v>8</v>
      </c>
      <c r="LB593" s="27" t="s">
        <v>7</v>
      </c>
      <c r="LC593" s="27" t="s">
        <v>8</v>
      </c>
      <c r="LD593" s="27" t="s">
        <v>7</v>
      </c>
      <c r="LE593" s="27" t="s">
        <v>8</v>
      </c>
      <c r="LV593" s="27" t="s">
        <v>7</v>
      </c>
      <c r="LW593" s="27" t="s">
        <v>8</v>
      </c>
      <c r="LZ593" s="27" t="s">
        <v>7</v>
      </c>
      <c r="MA593" s="27" t="s">
        <v>8</v>
      </c>
      <c r="MD593" s="27" t="s">
        <v>7</v>
      </c>
      <c r="MK593" s="27" t="s">
        <v>8</v>
      </c>
      <c r="MM593" s="27" t="s">
        <v>8</v>
      </c>
      <c r="MN593" s="27" t="s">
        <v>7</v>
      </c>
      <c r="MO593" s="27" t="s">
        <v>8</v>
      </c>
      <c r="MP593" s="27" t="s">
        <v>7</v>
      </c>
      <c r="MS593" s="27" t="s">
        <v>8</v>
      </c>
      <c r="MT593" s="27" t="s">
        <v>7</v>
      </c>
      <c r="MU593" s="27" t="s">
        <v>8</v>
      </c>
      <c r="MW593" s="27" t="s">
        <v>8</v>
      </c>
      <c r="MY593" s="27" t="s">
        <v>8</v>
      </c>
      <c r="NR593" s="27" t="s">
        <v>7</v>
      </c>
    </row>
    <row r="594" spans="1:400" x14ac:dyDescent="0.25">
      <c r="A594" s="7">
        <v>0.87056017861391399</v>
      </c>
      <c r="B594"/>
      <c r="C594"/>
      <c r="D594"/>
      <c r="E594"/>
      <c r="F594" s="27" t="s">
        <v>7</v>
      </c>
      <c r="HS594" s="27" t="s">
        <v>8</v>
      </c>
      <c r="HT594" s="27" t="s">
        <v>7</v>
      </c>
      <c r="HU594" s="27" t="s">
        <v>8</v>
      </c>
      <c r="HV594" s="27" t="s">
        <v>7</v>
      </c>
      <c r="HW594" s="27" t="s">
        <v>8</v>
      </c>
      <c r="HZ594" s="27" t="s">
        <v>7</v>
      </c>
      <c r="IA594" s="27" t="s">
        <v>8</v>
      </c>
      <c r="JJ594" s="27" t="s">
        <v>7</v>
      </c>
      <c r="JK594" s="27" t="s">
        <v>8</v>
      </c>
      <c r="JL594" s="27" t="s">
        <v>7</v>
      </c>
      <c r="JM594" s="27" t="s">
        <v>8</v>
      </c>
      <c r="JN594" s="27" t="s">
        <v>7</v>
      </c>
      <c r="JO594" s="27" t="s">
        <v>8</v>
      </c>
      <c r="JT594" s="27" t="s">
        <v>7</v>
      </c>
      <c r="JV594" s="27" t="s">
        <v>7</v>
      </c>
      <c r="JY594" s="27" t="s">
        <v>8</v>
      </c>
      <c r="JZ594" s="27" t="s">
        <v>7</v>
      </c>
      <c r="KA594" s="27" t="s">
        <v>8</v>
      </c>
      <c r="KB594" s="27" t="s">
        <v>7</v>
      </c>
      <c r="KO594" s="27" t="s">
        <v>8</v>
      </c>
      <c r="KP594" s="27" t="s">
        <v>7</v>
      </c>
      <c r="LA594" s="27" t="s">
        <v>8</v>
      </c>
      <c r="LB594" s="27" t="s">
        <v>7</v>
      </c>
      <c r="LC594" s="27" t="s">
        <v>8</v>
      </c>
      <c r="LD594" s="27" t="s">
        <v>7</v>
      </c>
      <c r="LV594" s="27" t="s">
        <v>7</v>
      </c>
      <c r="LZ594" s="27" t="s">
        <v>7</v>
      </c>
      <c r="MD594" s="27" t="s">
        <v>7</v>
      </c>
      <c r="ME594" s="27" t="s">
        <v>8</v>
      </c>
      <c r="MK594" s="27" t="s">
        <v>8</v>
      </c>
      <c r="ML594" s="27" t="s">
        <v>7</v>
      </c>
      <c r="MM594" s="27" t="s">
        <v>8</v>
      </c>
      <c r="MN594" s="27" t="s">
        <v>7</v>
      </c>
      <c r="MO594" s="27" t="s">
        <v>8</v>
      </c>
      <c r="MP594" s="27" t="s">
        <v>7</v>
      </c>
      <c r="MS594" s="27" t="s">
        <v>8</v>
      </c>
      <c r="MT594" s="27" t="s">
        <v>7</v>
      </c>
      <c r="MU594" s="27" t="s">
        <v>8</v>
      </c>
      <c r="MV594" s="27" t="s">
        <v>7</v>
      </c>
      <c r="MW594" s="27" t="s">
        <v>8</v>
      </c>
      <c r="MX594" s="27" t="s">
        <v>7</v>
      </c>
      <c r="MY594" s="27" t="s">
        <v>8</v>
      </c>
      <c r="NR594" s="27" t="s">
        <v>7</v>
      </c>
    </row>
    <row r="595" spans="1:400" x14ac:dyDescent="0.25">
      <c r="A595" s="7">
        <v>0.85349037119011173</v>
      </c>
      <c r="B595"/>
      <c r="C595"/>
      <c r="D595"/>
      <c r="E595"/>
      <c r="F595" s="27" t="s">
        <v>7</v>
      </c>
      <c r="HS595" s="27" t="s">
        <v>8</v>
      </c>
      <c r="HT595" s="27" t="s">
        <v>7</v>
      </c>
      <c r="HU595" s="27" t="s">
        <v>8</v>
      </c>
      <c r="HV595" s="27" t="s">
        <v>7</v>
      </c>
      <c r="HW595" s="27" t="s">
        <v>8</v>
      </c>
      <c r="HZ595" s="27" t="s">
        <v>7</v>
      </c>
      <c r="IA595" s="27" t="s">
        <v>8</v>
      </c>
      <c r="JJ595" s="27" t="s">
        <v>7</v>
      </c>
      <c r="JK595" s="27" t="s">
        <v>8</v>
      </c>
      <c r="JL595" s="27" t="s">
        <v>7</v>
      </c>
      <c r="JM595" s="27" t="s">
        <v>8</v>
      </c>
      <c r="JN595" s="27" t="s">
        <v>7</v>
      </c>
      <c r="JO595" s="27" t="s">
        <v>8</v>
      </c>
      <c r="JV595" s="27" t="s">
        <v>7</v>
      </c>
      <c r="JW595" s="27" t="s">
        <v>8</v>
      </c>
      <c r="JY595" s="27" t="s">
        <v>8</v>
      </c>
      <c r="JZ595" s="27" t="s">
        <v>7</v>
      </c>
      <c r="KA595" s="27" t="s">
        <v>8</v>
      </c>
      <c r="KB595" s="27" t="s">
        <v>7</v>
      </c>
      <c r="KO595" s="27" t="s">
        <v>8</v>
      </c>
      <c r="KP595" s="27" t="s">
        <v>7</v>
      </c>
      <c r="KQ595" s="27" t="s">
        <v>8</v>
      </c>
      <c r="KW595" s="27" t="s">
        <v>8</v>
      </c>
      <c r="KY595" s="27" t="s">
        <v>8</v>
      </c>
      <c r="LA595" s="27" t="s">
        <v>8</v>
      </c>
      <c r="LB595" s="27" t="s">
        <v>7</v>
      </c>
      <c r="LC595" s="27" t="s">
        <v>8</v>
      </c>
      <c r="MD595" s="27" t="s">
        <v>7</v>
      </c>
      <c r="ME595" s="27" t="s">
        <v>8</v>
      </c>
      <c r="MF595" s="27" t="s">
        <v>7</v>
      </c>
      <c r="MK595" s="27" t="s">
        <v>8</v>
      </c>
      <c r="ML595" s="27" t="s">
        <v>7</v>
      </c>
      <c r="MM595" s="27" t="s">
        <v>8</v>
      </c>
      <c r="MN595" s="27" t="s">
        <v>7</v>
      </c>
      <c r="MP595" s="27" t="s">
        <v>7</v>
      </c>
      <c r="MS595" s="27" t="s">
        <v>8</v>
      </c>
      <c r="MT595" s="27" t="s">
        <v>7</v>
      </c>
      <c r="MU595" s="27" t="s">
        <v>8</v>
      </c>
      <c r="MV595" s="27" t="s">
        <v>7</v>
      </c>
      <c r="MW595" s="27" t="s">
        <v>8</v>
      </c>
      <c r="MX595" s="27" t="s">
        <v>7</v>
      </c>
      <c r="MY595" s="27" t="s">
        <v>8</v>
      </c>
      <c r="NR595" s="27" t="s">
        <v>7</v>
      </c>
    </row>
    <row r="596" spans="1:400" x14ac:dyDescent="0.25">
      <c r="A596" s="7">
        <v>0.83675526587265858</v>
      </c>
      <c r="B596"/>
      <c r="C596"/>
      <c r="D596"/>
      <c r="E596"/>
      <c r="F596" s="27" t="s">
        <v>7</v>
      </c>
      <c r="HS596" s="27" t="s">
        <v>8</v>
      </c>
      <c r="HT596" s="27" t="s">
        <v>7</v>
      </c>
      <c r="HU596" s="27" t="s">
        <v>8</v>
      </c>
      <c r="HV596" s="27" t="s">
        <v>7</v>
      </c>
      <c r="HW596" s="27" t="s">
        <v>8</v>
      </c>
      <c r="HZ596" s="27" t="s">
        <v>7</v>
      </c>
      <c r="IA596" s="27" t="s">
        <v>8</v>
      </c>
      <c r="JJ596" s="27" t="s">
        <v>7</v>
      </c>
      <c r="JK596" s="27" t="s">
        <v>8</v>
      </c>
      <c r="JL596" s="27" t="s">
        <v>7</v>
      </c>
      <c r="JM596" s="27" t="s">
        <v>8</v>
      </c>
      <c r="JN596" s="27" t="s">
        <v>7</v>
      </c>
      <c r="JO596" s="27" t="s">
        <v>8</v>
      </c>
      <c r="JV596" s="27" t="s">
        <v>7</v>
      </c>
      <c r="JW596" s="27" t="s">
        <v>8</v>
      </c>
      <c r="JX596" s="27" t="s">
        <v>7</v>
      </c>
      <c r="JY596" s="27" t="s">
        <v>8</v>
      </c>
      <c r="JZ596" s="27" t="s">
        <v>7</v>
      </c>
      <c r="KA596" s="27" t="s">
        <v>8</v>
      </c>
      <c r="KB596" s="27" t="s">
        <v>7</v>
      </c>
      <c r="KO596" s="27" t="s">
        <v>8</v>
      </c>
      <c r="KP596" s="27" t="s">
        <v>7</v>
      </c>
      <c r="KQ596" s="27" t="s">
        <v>8</v>
      </c>
      <c r="KR596" s="27" t="s">
        <v>7</v>
      </c>
      <c r="KW596" s="27" t="s">
        <v>8</v>
      </c>
      <c r="KX596" s="27" t="s">
        <v>7</v>
      </c>
      <c r="KY596" s="27" t="s">
        <v>8</v>
      </c>
      <c r="KZ596" s="27" t="s">
        <v>7</v>
      </c>
      <c r="LA596" s="27" t="s">
        <v>8</v>
      </c>
      <c r="LB596" s="27" t="s">
        <v>7</v>
      </c>
      <c r="LC596" s="27" t="s">
        <v>8</v>
      </c>
      <c r="MD596" s="27" t="s">
        <v>7</v>
      </c>
      <c r="ME596" s="27" t="s">
        <v>8</v>
      </c>
      <c r="MF596" s="27" t="s">
        <v>7</v>
      </c>
      <c r="MK596" s="27" t="s">
        <v>8</v>
      </c>
      <c r="ML596" s="27" t="s">
        <v>7</v>
      </c>
      <c r="MM596" s="27" t="s">
        <v>8</v>
      </c>
      <c r="MP596" s="27" t="s">
        <v>7</v>
      </c>
      <c r="MQ596" s="27" t="s">
        <v>8</v>
      </c>
      <c r="MS596" s="27" t="s">
        <v>8</v>
      </c>
      <c r="MT596" s="27" t="s">
        <v>7</v>
      </c>
      <c r="MU596" s="27" t="s">
        <v>8</v>
      </c>
      <c r="MV596" s="27" t="s">
        <v>7</v>
      </c>
      <c r="MW596" s="27" t="s">
        <v>8</v>
      </c>
      <c r="MX596" s="27" t="s">
        <v>7</v>
      </c>
      <c r="MY596" s="27" t="s">
        <v>8</v>
      </c>
      <c r="NR596" s="27" t="s">
        <v>7</v>
      </c>
    </row>
    <row r="597" spans="1:400" x14ac:dyDescent="0.25">
      <c r="A597" s="7">
        <v>0.82034829987515545</v>
      </c>
      <c r="B597"/>
      <c r="C597"/>
      <c r="D597"/>
      <c r="E597"/>
      <c r="F597" s="27" t="s">
        <v>7</v>
      </c>
      <c r="HS597" s="27" t="s">
        <v>8</v>
      </c>
      <c r="HT597" s="27" t="s">
        <v>7</v>
      </c>
      <c r="HU597" s="27" t="s">
        <v>8</v>
      </c>
      <c r="HV597" s="27" t="s">
        <v>7</v>
      </c>
      <c r="HW597" s="27" t="s">
        <v>8</v>
      </c>
      <c r="HZ597" s="27" t="s">
        <v>7</v>
      </c>
      <c r="IA597" s="27" t="s">
        <v>8</v>
      </c>
      <c r="JJ597" s="27" t="s">
        <v>7</v>
      </c>
      <c r="JK597" s="27" t="s">
        <v>8</v>
      </c>
      <c r="JL597" s="27" t="s">
        <v>7</v>
      </c>
      <c r="JM597" s="27" t="s">
        <v>8</v>
      </c>
      <c r="JN597" s="27" t="s">
        <v>7</v>
      </c>
      <c r="JV597" s="27" t="s">
        <v>7</v>
      </c>
      <c r="JW597" s="27" t="s">
        <v>8</v>
      </c>
      <c r="JX597" s="27" t="s">
        <v>7</v>
      </c>
      <c r="JY597" s="27" t="s">
        <v>8</v>
      </c>
      <c r="JZ597" s="27" t="s">
        <v>7</v>
      </c>
      <c r="KA597" s="27" t="s">
        <v>8</v>
      </c>
      <c r="KB597" s="27" t="s">
        <v>7</v>
      </c>
      <c r="KO597" s="27" t="s">
        <v>8</v>
      </c>
      <c r="KP597" s="27" t="s">
        <v>7</v>
      </c>
      <c r="KQ597" s="27" t="s">
        <v>8</v>
      </c>
      <c r="KR597" s="27" t="s">
        <v>7</v>
      </c>
      <c r="KU597" s="27" t="s">
        <v>8</v>
      </c>
      <c r="KW597" s="27" t="s">
        <v>8</v>
      </c>
      <c r="KX597" s="27" t="s">
        <v>7</v>
      </c>
      <c r="KY597" s="27" t="s">
        <v>8</v>
      </c>
      <c r="KZ597" s="27" t="s">
        <v>7</v>
      </c>
      <c r="LA597" s="27" t="s">
        <v>8</v>
      </c>
      <c r="LB597" s="27" t="s">
        <v>7</v>
      </c>
      <c r="LC597" s="27" t="s">
        <v>8</v>
      </c>
      <c r="MD597" s="27" t="s">
        <v>7</v>
      </c>
      <c r="ME597" s="27" t="s">
        <v>8</v>
      </c>
      <c r="MF597" s="27" t="s">
        <v>7</v>
      </c>
      <c r="MK597" s="27" t="s">
        <v>8</v>
      </c>
      <c r="ML597" s="27" t="s">
        <v>7</v>
      </c>
      <c r="MP597" s="27" t="s">
        <v>7</v>
      </c>
      <c r="MQ597" s="27" t="s">
        <v>8</v>
      </c>
      <c r="MR597" s="27" t="s">
        <v>7</v>
      </c>
      <c r="MS597" s="27" t="s">
        <v>8</v>
      </c>
      <c r="MT597" s="27" t="s">
        <v>7</v>
      </c>
      <c r="MU597" s="27" t="s">
        <v>8</v>
      </c>
      <c r="MV597" s="27" t="s">
        <v>7</v>
      </c>
      <c r="MW597" s="27" t="s">
        <v>8</v>
      </c>
      <c r="MX597" s="27" t="s">
        <v>7</v>
      </c>
      <c r="MY597" s="27" t="s">
        <v>8</v>
      </c>
      <c r="NR597" s="27" t="s">
        <v>7</v>
      </c>
    </row>
    <row r="598" spans="1:400" x14ac:dyDescent="0.25">
      <c r="A598" s="7">
        <v>0.80426303909328967</v>
      </c>
      <c r="B598"/>
      <c r="C598"/>
      <c r="D598"/>
      <c r="E598"/>
      <c r="F598" s="27" t="s">
        <v>7</v>
      </c>
      <c r="HS598" s="27" t="s">
        <v>8</v>
      </c>
      <c r="HT598" s="27" t="s">
        <v>7</v>
      </c>
      <c r="HU598" s="27" t="s">
        <v>8</v>
      </c>
      <c r="HV598" s="27" t="s">
        <v>7</v>
      </c>
      <c r="HW598" s="27" t="s">
        <v>8</v>
      </c>
      <c r="HZ598" s="27" t="s">
        <v>7</v>
      </c>
      <c r="IA598" s="27" t="s">
        <v>8</v>
      </c>
      <c r="JJ598" s="27" t="s">
        <v>7</v>
      </c>
      <c r="JK598" s="27" t="s">
        <v>8</v>
      </c>
      <c r="JL598" s="27" t="s">
        <v>7</v>
      </c>
      <c r="JM598" s="27" t="s">
        <v>8</v>
      </c>
      <c r="JV598" s="27" t="s">
        <v>7</v>
      </c>
      <c r="JW598" s="27" t="s">
        <v>8</v>
      </c>
      <c r="JX598" s="27" t="s">
        <v>7</v>
      </c>
      <c r="JY598" s="27" t="s">
        <v>8</v>
      </c>
      <c r="JZ598" s="27" t="s">
        <v>7</v>
      </c>
      <c r="KA598" s="27" t="s">
        <v>8</v>
      </c>
      <c r="KB598" s="27" t="s">
        <v>7</v>
      </c>
      <c r="KK598" s="27" t="s">
        <v>8</v>
      </c>
      <c r="KO598" s="27" t="s">
        <v>8</v>
      </c>
      <c r="KP598" s="27" t="s">
        <v>7</v>
      </c>
      <c r="KQ598" s="27" t="s">
        <v>8</v>
      </c>
      <c r="KR598" s="27" t="s">
        <v>7</v>
      </c>
      <c r="KS598" s="27" t="s">
        <v>8</v>
      </c>
      <c r="KU598" s="27" t="s">
        <v>8</v>
      </c>
      <c r="KV598" s="27" t="s">
        <v>7</v>
      </c>
      <c r="KW598" s="27" t="s">
        <v>8</v>
      </c>
      <c r="KX598" s="27" t="s">
        <v>7</v>
      </c>
      <c r="KY598" s="27" t="s">
        <v>8</v>
      </c>
      <c r="KZ598" s="27" t="s">
        <v>7</v>
      </c>
      <c r="LA598" s="27" t="s">
        <v>8</v>
      </c>
      <c r="LB598" s="27" t="s">
        <v>7</v>
      </c>
      <c r="LC598" s="27" t="s">
        <v>8</v>
      </c>
      <c r="MD598" s="27" t="s">
        <v>7</v>
      </c>
      <c r="ME598" s="27" t="s">
        <v>8</v>
      </c>
      <c r="MF598" s="27" t="s">
        <v>7</v>
      </c>
      <c r="MK598" s="27" t="s">
        <v>8</v>
      </c>
      <c r="MP598" s="27" t="s">
        <v>7</v>
      </c>
      <c r="MQ598" s="27" t="s">
        <v>8</v>
      </c>
      <c r="MR598" s="27" t="s">
        <v>7</v>
      </c>
      <c r="MS598" s="27" t="s">
        <v>8</v>
      </c>
      <c r="MT598" s="27" t="s">
        <v>7</v>
      </c>
      <c r="MV598" s="27" t="s">
        <v>7</v>
      </c>
      <c r="MW598" s="27" t="s">
        <v>8</v>
      </c>
      <c r="MX598" s="27" t="s">
        <v>7</v>
      </c>
      <c r="MY598" s="27" t="s">
        <v>8</v>
      </c>
      <c r="NR598" s="27" t="s">
        <v>7</v>
      </c>
      <c r="NS598" s="27" t="s">
        <v>8</v>
      </c>
    </row>
    <row r="599" spans="1:400" x14ac:dyDescent="0.25">
      <c r="A599" s="7">
        <v>0.78849317558165644</v>
      </c>
      <c r="B599"/>
      <c r="C599"/>
      <c r="D599"/>
      <c r="E599"/>
      <c r="F599" s="27" t="s">
        <v>7</v>
      </c>
      <c r="HS599" s="27" t="s">
        <v>8</v>
      </c>
      <c r="HT599" s="27" t="s">
        <v>7</v>
      </c>
      <c r="HU599" s="27" t="s">
        <v>8</v>
      </c>
      <c r="HV599" s="27" t="s">
        <v>7</v>
      </c>
      <c r="HW599" s="27" t="s">
        <v>8</v>
      </c>
      <c r="HZ599" s="27" t="s">
        <v>7</v>
      </c>
      <c r="IA599" s="27" t="s">
        <v>8</v>
      </c>
      <c r="JJ599" s="27" t="s">
        <v>7</v>
      </c>
      <c r="JK599" s="27" t="s">
        <v>8</v>
      </c>
      <c r="JL599" s="27" t="s">
        <v>7</v>
      </c>
      <c r="JM599" s="27" t="s">
        <v>8</v>
      </c>
      <c r="JV599" s="27" t="s">
        <v>7</v>
      </c>
      <c r="JW599" s="27" t="s">
        <v>8</v>
      </c>
      <c r="JX599" s="27" t="s">
        <v>7</v>
      </c>
      <c r="JY599" s="27" t="s">
        <v>8</v>
      </c>
      <c r="JZ599" s="27" t="s">
        <v>7</v>
      </c>
      <c r="KA599" s="27" t="s">
        <v>8</v>
      </c>
      <c r="KB599" s="27" t="s">
        <v>7</v>
      </c>
      <c r="KK599" s="27" t="s">
        <v>8</v>
      </c>
      <c r="KL599" s="27" t="s">
        <v>7</v>
      </c>
      <c r="KM599" s="27" t="s">
        <v>8</v>
      </c>
      <c r="KO599" s="27" t="s">
        <v>8</v>
      </c>
      <c r="KP599" s="27" t="s">
        <v>7</v>
      </c>
      <c r="KQ599" s="27" t="s">
        <v>8</v>
      </c>
      <c r="KR599" s="27" t="s">
        <v>7</v>
      </c>
      <c r="KS599" s="27" t="s">
        <v>8</v>
      </c>
      <c r="KT599" s="27" t="s">
        <v>7</v>
      </c>
      <c r="KU599" s="27" t="s">
        <v>8</v>
      </c>
      <c r="KV599" s="27" t="s">
        <v>7</v>
      </c>
      <c r="KW599" s="27" t="s">
        <v>8</v>
      </c>
      <c r="KX599" s="27" t="s">
        <v>7</v>
      </c>
      <c r="KY599" s="27" t="s">
        <v>8</v>
      </c>
      <c r="KZ599" s="27" t="s">
        <v>7</v>
      </c>
      <c r="LA599" s="27" t="s">
        <v>8</v>
      </c>
      <c r="LB599" s="27" t="s">
        <v>7</v>
      </c>
      <c r="LC599" s="27" t="s">
        <v>8</v>
      </c>
      <c r="MD599" s="27" t="s">
        <v>7</v>
      </c>
      <c r="ME599" s="27" t="s">
        <v>8</v>
      </c>
      <c r="MF599" s="27" t="s">
        <v>7</v>
      </c>
      <c r="MK599" s="27" t="s">
        <v>8</v>
      </c>
      <c r="MP599" s="27" t="s">
        <v>7</v>
      </c>
      <c r="MQ599" s="27" t="s">
        <v>8</v>
      </c>
      <c r="MR599" s="27" t="s">
        <v>7</v>
      </c>
      <c r="MV599" s="27" t="s">
        <v>7</v>
      </c>
      <c r="MX599" s="27" t="s">
        <v>7</v>
      </c>
      <c r="MY599" s="27" t="s">
        <v>8</v>
      </c>
      <c r="NR599" s="27" t="s">
        <v>7</v>
      </c>
      <c r="NS599" s="27" t="s">
        <v>8</v>
      </c>
      <c r="NT599" s="27" t="s">
        <v>7</v>
      </c>
    </row>
    <row r="600" spans="1:400" x14ac:dyDescent="0.25">
      <c r="A600" s="7">
        <v>0.77303252508005538</v>
      </c>
      <c r="B600"/>
      <c r="C600"/>
      <c r="D600"/>
      <c r="E600"/>
      <c r="F600" s="27" t="s">
        <v>7</v>
      </c>
      <c r="HS600" s="27" t="s">
        <v>8</v>
      </c>
      <c r="HT600" s="27" t="s">
        <v>7</v>
      </c>
      <c r="HU600" s="27" t="s">
        <v>8</v>
      </c>
      <c r="HV600" s="27" t="s">
        <v>7</v>
      </c>
      <c r="HW600" s="27" t="s">
        <v>8</v>
      </c>
      <c r="HZ600" s="27" t="s">
        <v>7</v>
      </c>
      <c r="IA600" s="27" t="s">
        <v>8</v>
      </c>
      <c r="JJ600" s="27" t="s">
        <v>7</v>
      </c>
      <c r="JK600" s="27" t="s">
        <v>8</v>
      </c>
      <c r="JL600" s="27" t="s">
        <v>7</v>
      </c>
      <c r="JM600" s="27" t="s">
        <v>8</v>
      </c>
      <c r="JV600" s="27" t="s">
        <v>7</v>
      </c>
      <c r="JW600" s="27" t="s">
        <v>8</v>
      </c>
      <c r="JX600" s="27" t="s">
        <v>7</v>
      </c>
      <c r="JY600" s="27" t="s">
        <v>8</v>
      </c>
      <c r="JZ600" s="27" t="s">
        <v>7</v>
      </c>
      <c r="KB600" s="27" t="s">
        <v>7</v>
      </c>
      <c r="KK600" s="27" t="s">
        <v>8</v>
      </c>
      <c r="KL600" s="27" t="s">
        <v>7</v>
      </c>
      <c r="KM600" s="27" t="s">
        <v>8</v>
      </c>
      <c r="KN600" s="27" t="s">
        <v>7</v>
      </c>
      <c r="KO600" s="27" t="s">
        <v>8</v>
      </c>
      <c r="KP600" s="27" t="s">
        <v>7</v>
      </c>
      <c r="KQ600" s="27" t="s">
        <v>8</v>
      </c>
      <c r="KR600" s="27" t="s">
        <v>7</v>
      </c>
      <c r="KS600" s="27" t="s">
        <v>8</v>
      </c>
      <c r="KT600" s="27" t="s">
        <v>7</v>
      </c>
      <c r="KU600" s="27" t="s">
        <v>8</v>
      </c>
      <c r="KV600" s="27" t="s">
        <v>7</v>
      </c>
      <c r="KW600" s="27" t="s">
        <v>8</v>
      </c>
      <c r="KX600" s="27" t="s">
        <v>7</v>
      </c>
      <c r="KY600" s="27" t="s">
        <v>8</v>
      </c>
      <c r="KZ600" s="27" t="s">
        <v>7</v>
      </c>
      <c r="LB600" s="27" t="s">
        <v>7</v>
      </c>
      <c r="MD600" s="27" t="s">
        <v>7</v>
      </c>
      <c r="ME600" s="27" t="s">
        <v>8</v>
      </c>
      <c r="MF600" s="27" t="s">
        <v>7</v>
      </c>
      <c r="MG600" s="27" t="s">
        <v>8</v>
      </c>
      <c r="MI600" s="27" t="s">
        <v>8</v>
      </c>
      <c r="MK600" s="27" t="s">
        <v>8</v>
      </c>
      <c r="MP600" s="27" t="s">
        <v>7</v>
      </c>
      <c r="MQ600" s="27" t="s">
        <v>8</v>
      </c>
      <c r="MX600" s="27" t="s">
        <v>7</v>
      </c>
      <c r="MY600" s="27" t="s">
        <v>8</v>
      </c>
      <c r="NR600" s="27" t="s">
        <v>7</v>
      </c>
      <c r="NS600" s="27" t="s">
        <v>8</v>
      </c>
      <c r="NT600" s="27" t="s">
        <v>7</v>
      </c>
      <c r="NU600" s="27" t="s">
        <v>8</v>
      </c>
    </row>
    <row r="601" spans="1:400" x14ac:dyDescent="0.25">
      <c r="A601" s="7">
        <v>0.75787502458828959</v>
      </c>
      <c r="B601"/>
      <c r="C601"/>
      <c r="D601"/>
      <c r="E601"/>
      <c r="F601" s="27" t="s">
        <v>7</v>
      </c>
      <c r="HS601" s="27" t="s">
        <v>8</v>
      </c>
      <c r="HT601" s="27" t="s">
        <v>7</v>
      </c>
      <c r="HU601" s="27" t="s">
        <v>8</v>
      </c>
      <c r="HV601" s="27" t="s">
        <v>7</v>
      </c>
      <c r="HW601" s="27" t="s">
        <v>8</v>
      </c>
      <c r="HZ601" s="27" t="s">
        <v>7</v>
      </c>
      <c r="JJ601" s="27" t="s">
        <v>7</v>
      </c>
      <c r="JK601" s="27" t="s">
        <v>8</v>
      </c>
      <c r="JL601" s="27" t="s">
        <v>7</v>
      </c>
      <c r="JM601" s="27" t="s">
        <v>8</v>
      </c>
      <c r="JV601" s="27" t="s">
        <v>7</v>
      </c>
      <c r="JX601" s="27" t="s">
        <v>7</v>
      </c>
      <c r="JY601" s="27" t="s">
        <v>8</v>
      </c>
      <c r="KB601" s="27" t="s">
        <v>7</v>
      </c>
      <c r="KK601" s="27" t="s">
        <v>8</v>
      </c>
      <c r="KL601" s="27" t="s">
        <v>7</v>
      </c>
      <c r="KM601" s="27" t="s">
        <v>8</v>
      </c>
      <c r="KN601" s="27" t="s">
        <v>7</v>
      </c>
      <c r="KO601" s="27" t="s">
        <v>8</v>
      </c>
      <c r="KP601" s="27" t="s">
        <v>7</v>
      </c>
      <c r="KQ601" s="27" t="s">
        <v>8</v>
      </c>
      <c r="KR601" s="27" t="s">
        <v>7</v>
      </c>
      <c r="KS601" s="27" t="s">
        <v>8</v>
      </c>
      <c r="KT601" s="27" t="s">
        <v>7</v>
      </c>
      <c r="KV601" s="27" t="s">
        <v>7</v>
      </c>
      <c r="KX601" s="27" t="s">
        <v>7</v>
      </c>
      <c r="MD601" s="27" t="s">
        <v>7</v>
      </c>
      <c r="ME601" s="27" t="s">
        <v>8</v>
      </c>
      <c r="MF601" s="27" t="s">
        <v>7</v>
      </c>
      <c r="MG601" s="27" t="s">
        <v>8</v>
      </c>
      <c r="MH601" s="27" t="s">
        <v>7</v>
      </c>
      <c r="MI601" s="27" t="s">
        <v>8</v>
      </c>
      <c r="MJ601" s="27" t="s">
        <v>7</v>
      </c>
      <c r="MK601" s="27" t="s">
        <v>8</v>
      </c>
      <c r="MP601" s="27" t="s">
        <v>7</v>
      </c>
      <c r="MQ601" s="27" t="s">
        <v>8</v>
      </c>
      <c r="MX601" s="27" t="s">
        <v>7</v>
      </c>
      <c r="NR601" s="27" t="s">
        <v>7</v>
      </c>
      <c r="NS601" s="27" t="s">
        <v>8</v>
      </c>
      <c r="NT601" s="27" t="s">
        <v>7</v>
      </c>
      <c r="NU601" s="27" t="s">
        <v>8</v>
      </c>
      <c r="NV601" s="27" t="s">
        <v>7</v>
      </c>
      <c r="OG601" s="27" t="s">
        <v>8</v>
      </c>
    </row>
    <row r="602" spans="1:400" x14ac:dyDescent="0.25">
      <c r="A602" s="7">
        <v>0.74301472998851925</v>
      </c>
      <c r="B602"/>
      <c r="C602"/>
      <c r="D602"/>
      <c r="E602"/>
      <c r="F602" s="27" t="s">
        <v>7</v>
      </c>
      <c r="HS602" s="27" t="s">
        <v>8</v>
      </c>
      <c r="HT602" s="27" t="s">
        <v>7</v>
      </c>
      <c r="HU602" s="27" t="s">
        <v>8</v>
      </c>
      <c r="HV602" s="27" t="s">
        <v>7</v>
      </c>
      <c r="HW602" s="27" t="s">
        <v>8</v>
      </c>
      <c r="JJ602" s="27" t="s">
        <v>7</v>
      </c>
      <c r="JK602" s="27" t="s">
        <v>8</v>
      </c>
      <c r="JL602" s="27" t="s">
        <v>7</v>
      </c>
      <c r="JM602" s="27" t="s">
        <v>8</v>
      </c>
      <c r="JX602" s="27" t="s">
        <v>7</v>
      </c>
      <c r="JY602" s="27" t="s">
        <v>8</v>
      </c>
      <c r="KB602" s="27" t="s">
        <v>7</v>
      </c>
      <c r="KK602" s="27" t="s">
        <v>8</v>
      </c>
      <c r="KL602" s="27" t="s">
        <v>7</v>
      </c>
      <c r="KM602" s="27" t="s">
        <v>8</v>
      </c>
      <c r="KN602" s="27" t="s">
        <v>7</v>
      </c>
      <c r="KO602" s="27" t="s">
        <v>8</v>
      </c>
      <c r="KP602" s="27" t="s">
        <v>7</v>
      </c>
      <c r="KQ602" s="27" t="s">
        <v>8</v>
      </c>
      <c r="KR602" s="27" t="s">
        <v>7</v>
      </c>
      <c r="KS602" s="27" t="s">
        <v>8</v>
      </c>
      <c r="MD602" s="27" t="s">
        <v>7</v>
      </c>
      <c r="ME602" s="27" t="s">
        <v>8</v>
      </c>
      <c r="MF602" s="27" t="s">
        <v>7</v>
      </c>
      <c r="MG602" s="27" t="s">
        <v>8</v>
      </c>
      <c r="MH602" s="27" t="s">
        <v>7</v>
      </c>
      <c r="MI602" s="27" t="s">
        <v>8</v>
      </c>
      <c r="MJ602" s="27" t="s">
        <v>7</v>
      </c>
      <c r="MK602" s="27" t="s">
        <v>8</v>
      </c>
      <c r="MP602" s="27" t="s">
        <v>7</v>
      </c>
      <c r="NR602" s="27" t="s">
        <v>7</v>
      </c>
      <c r="NS602" s="27" t="s">
        <v>8</v>
      </c>
      <c r="NT602" s="27" t="s">
        <v>7</v>
      </c>
      <c r="NU602" s="27" t="s">
        <v>8</v>
      </c>
      <c r="NV602" s="27" t="s">
        <v>7</v>
      </c>
      <c r="OG602" s="27" t="s">
        <v>8</v>
      </c>
      <c r="OH602" s="27" t="s">
        <v>7</v>
      </c>
    </row>
    <row r="603" spans="1:400" x14ac:dyDescent="0.25">
      <c r="A603" s="7">
        <v>0.72844581371423456</v>
      </c>
      <c r="B603"/>
      <c r="C603"/>
      <c r="D603"/>
      <c r="E603"/>
      <c r="F603" s="27" t="s">
        <v>7</v>
      </c>
      <c r="HS603" s="27" t="s">
        <v>8</v>
      </c>
      <c r="HT603" s="27" t="s">
        <v>7</v>
      </c>
      <c r="HU603" s="27" t="s">
        <v>8</v>
      </c>
      <c r="HV603" s="27" t="s">
        <v>7</v>
      </c>
      <c r="JJ603" s="27" t="s">
        <v>7</v>
      </c>
      <c r="JK603" s="27" t="s">
        <v>8</v>
      </c>
      <c r="JL603" s="27" t="s">
        <v>7</v>
      </c>
      <c r="JM603" s="27" t="s">
        <v>8</v>
      </c>
      <c r="JX603" s="27" t="s">
        <v>7</v>
      </c>
      <c r="JY603" s="27" t="s">
        <v>8</v>
      </c>
      <c r="KB603" s="27" t="s">
        <v>7</v>
      </c>
      <c r="KC603" s="27" t="s">
        <v>8</v>
      </c>
      <c r="KE603" s="27" t="s">
        <v>8</v>
      </c>
      <c r="KK603" s="27" t="s">
        <v>8</v>
      </c>
      <c r="KL603" s="27" t="s">
        <v>7</v>
      </c>
      <c r="KM603" s="27" t="s">
        <v>8</v>
      </c>
      <c r="KN603" s="27" t="s">
        <v>7</v>
      </c>
      <c r="KO603" s="27" t="s">
        <v>8</v>
      </c>
      <c r="KP603" s="27" t="s">
        <v>7</v>
      </c>
      <c r="KQ603" s="27" t="s">
        <v>8</v>
      </c>
      <c r="KR603" s="27" t="s">
        <v>7</v>
      </c>
      <c r="MD603" s="27" t="s">
        <v>7</v>
      </c>
      <c r="ME603" s="27" t="s">
        <v>8</v>
      </c>
      <c r="MF603" s="27" t="s">
        <v>7</v>
      </c>
      <c r="MG603" s="27" t="s">
        <v>8</v>
      </c>
      <c r="MH603" s="27" t="s">
        <v>7</v>
      </c>
      <c r="MI603" s="27" t="s">
        <v>8</v>
      </c>
      <c r="MJ603" s="27" t="s">
        <v>7</v>
      </c>
      <c r="MK603" s="27" t="s">
        <v>8</v>
      </c>
      <c r="NR603" s="27" t="s">
        <v>7</v>
      </c>
      <c r="NS603" s="27" t="s">
        <v>8</v>
      </c>
      <c r="NT603" s="27" t="s">
        <v>7</v>
      </c>
      <c r="NU603" s="27" t="s">
        <v>8</v>
      </c>
      <c r="NV603" s="27" t="s">
        <v>7</v>
      </c>
      <c r="OE603" s="27" t="s">
        <v>8</v>
      </c>
      <c r="OG603" s="27" t="s">
        <v>8</v>
      </c>
      <c r="OH603" s="27" t="s">
        <v>7</v>
      </c>
    </row>
    <row r="604" spans="1:400" x14ac:dyDescent="0.25">
      <c r="A604" s="7">
        <v>0.71416256246493581</v>
      </c>
      <c r="B604"/>
      <c r="C604"/>
      <c r="D604"/>
      <c r="E604"/>
      <c r="F604" s="27" t="s">
        <v>7</v>
      </c>
      <c r="HS604" s="27" t="s">
        <v>8</v>
      </c>
      <c r="HT604" s="27" t="s">
        <v>7</v>
      </c>
      <c r="JJ604" s="27" t="s">
        <v>7</v>
      </c>
      <c r="JK604" s="27" t="s">
        <v>8</v>
      </c>
      <c r="JL604" s="27" t="s">
        <v>7</v>
      </c>
      <c r="JM604" s="27" t="s">
        <v>8</v>
      </c>
      <c r="JX604" s="27" t="s">
        <v>7</v>
      </c>
      <c r="JY604" s="27" t="s">
        <v>8</v>
      </c>
      <c r="KB604" s="27" t="s">
        <v>7</v>
      </c>
      <c r="KC604" s="27" t="s">
        <v>8</v>
      </c>
      <c r="KD604" s="27" t="s">
        <v>7</v>
      </c>
      <c r="KE604" s="27" t="s">
        <v>8</v>
      </c>
      <c r="KF604" s="27" t="s">
        <v>7</v>
      </c>
      <c r="KK604" s="27" t="s">
        <v>8</v>
      </c>
      <c r="KL604" s="27" t="s">
        <v>7</v>
      </c>
      <c r="KM604" s="27" t="s">
        <v>8</v>
      </c>
      <c r="KN604" s="27" t="s">
        <v>7</v>
      </c>
      <c r="KO604" s="27" t="s">
        <v>8</v>
      </c>
      <c r="KP604" s="27" t="s">
        <v>7</v>
      </c>
      <c r="KQ604" s="27" t="s">
        <v>8</v>
      </c>
      <c r="MD604" s="27" t="s">
        <v>7</v>
      </c>
      <c r="ME604" s="27" t="s">
        <v>8</v>
      </c>
      <c r="MF604" s="27" t="s">
        <v>7</v>
      </c>
      <c r="MH604" s="27" t="s">
        <v>7</v>
      </c>
      <c r="MI604" s="27" t="s">
        <v>8</v>
      </c>
      <c r="MJ604" s="27" t="s">
        <v>7</v>
      </c>
      <c r="MK604" s="27" t="s">
        <v>8</v>
      </c>
      <c r="NR604" s="27" t="s">
        <v>7</v>
      </c>
      <c r="NS604" s="27" t="s">
        <v>8</v>
      </c>
      <c r="NT604" s="27" t="s">
        <v>7</v>
      </c>
      <c r="NU604" s="27" t="s">
        <v>8</v>
      </c>
      <c r="NV604" s="27" t="s">
        <v>7</v>
      </c>
      <c r="OE604" s="27" t="s">
        <v>8</v>
      </c>
      <c r="OF604" s="27" t="s">
        <v>7</v>
      </c>
      <c r="OG604" s="27" t="s">
        <v>8</v>
      </c>
      <c r="OH604" s="27" t="s">
        <v>7</v>
      </c>
    </row>
    <row r="605" spans="1:400" x14ac:dyDescent="0.25">
      <c r="A605" s="7">
        <v>0.7001593749656233</v>
      </c>
      <c r="B605"/>
      <c r="C605"/>
      <c r="D605"/>
      <c r="E605"/>
      <c r="F605" s="27" t="s">
        <v>7</v>
      </c>
      <c r="HS605" s="27" t="s">
        <v>8</v>
      </c>
      <c r="JJ605" s="27" t="s">
        <v>7</v>
      </c>
      <c r="JK605" s="27" t="s">
        <v>8</v>
      </c>
      <c r="JL605" s="27" t="s">
        <v>7</v>
      </c>
      <c r="JM605" s="27" t="s">
        <v>8</v>
      </c>
      <c r="JX605" s="27" t="s">
        <v>7</v>
      </c>
      <c r="JY605" s="27" t="s">
        <v>8</v>
      </c>
      <c r="KB605" s="27" t="s">
        <v>7</v>
      </c>
      <c r="KC605" s="27" t="s">
        <v>8</v>
      </c>
      <c r="KD605" s="27" t="s">
        <v>7</v>
      </c>
      <c r="KE605" s="27" t="s">
        <v>8</v>
      </c>
      <c r="KF605" s="27" t="s">
        <v>7</v>
      </c>
      <c r="KG605" s="27" t="s">
        <v>8</v>
      </c>
      <c r="KK605" s="27" t="s">
        <v>8</v>
      </c>
      <c r="KL605" s="27" t="s">
        <v>7</v>
      </c>
      <c r="KM605" s="27" t="s">
        <v>8</v>
      </c>
      <c r="KN605" s="27" t="s">
        <v>7</v>
      </c>
      <c r="KO605" s="27" t="s">
        <v>8</v>
      </c>
      <c r="KP605" s="27" t="s">
        <v>7</v>
      </c>
      <c r="KQ605" s="27" t="s">
        <v>8</v>
      </c>
      <c r="MD605" s="27" t="s">
        <v>7</v>
      </c>
      <c r="MH605" s="27" t="s">
        <v>7</v>
      </c>
      <c r="MI605" s="27" t="s">
        <v>8</v>
      </c>
      <c r="MJ605" s="27" t="s">
        <v>7</v>
      </c>
      <c r="MK605" s="27" t="s">
        <v>8</v>
      </c>
      <c r="NR605" s="27" t="s">
        <v>7</v>
      </c>
      <c r="NS605" s="27" t="s">
        <v>8</v>
      </c>
      <c r="NT605" s="27" t="s">
        <v>7</v>
      </c>
      <c r="NU605" s="27" t="s">
        <v>8</v>
      </c>
      <c r="NV605" s="27" t="s">
        <v>7</v>
      </c>
      <c r="OC605" s="27" t="s">
        <v>8</v>
      </c>
      <c r="OE605" s="27" t="s">
        <v>8</v>
      </c>
      <c r="OF605" s="27" t="s">
        <v>7</v>
      </c>
      <c r="OG605" s="27" t="s">
        <v>8</v>
      </c>
      <c r="OH605" s="27" t="s">
        <v>7</v>
      </c>
    </row>
    <row r="606" spans="1:400" x14ac:dyDescent="0.25">
      <c r="A606" s="7">
        <v>0.68643075977021883</v>
      </c>
      <c r="B606"/>
      <c r="C606"/>
      <c r="D606"/>
      <c r="E606"/>
      <c r="F606" s="27" t="s">
        <v>7</v>
      </c>
      <c r="HS606" s="27" t="s">
        <v>8</v>
      </c>
      <c r="JJ606" s="27" t="s">
        <v>7</v>
      </c>
      <c r="JK606" s="27" t="s">
        <v>8</v>
      </c>
      <c r="JL606" s="27" t="s">
        <v>7</v>
      </c>
      <c r="JM606" s="27" t="s">
        <v>8</v>
      </c>
      <c r="JX606" s="27" t="s">
        <v>7</v>
      </c>
      <c r="KB606" s="27" t="s">
        <v>7</v>
      </c>
      <c r="KC606" s="27" t="s">
        <v>8</v>
      </c>
      <c r="KD606" s="27" t="s">
        <v>7</v>
      </c>
      <c r="KE606" s="27" t="s">
        <v>8</v>
      </c>
      <c r="KF606" s="27" t="s">
        <v>7</v>
      </c>
      <c r="KG606" s="27" t="s">
        <v>8</v>
      </c>
      <c r="KH606" s="27" t="s">
        <v>7</v>
      </c>
      <c r="KI606" s="27" t="s">
        <v>8</v>
      </c>
      <c r="KK606" s="27" t="s">
        <v>8</v>
      </c>
      <c r="KL606" s="27" t="s">
        <v>7</v>
      </c>
      <c r="KM606" s="27" t="s">
        <v>8</v>
      </c>
      <c r="KN606" s="27" t="s">
        <v>7</v>
      </c>
      <c r="KP606" s="27" t="s">
        <v>7</v>
      </c>
      <c r="KQ606" s="27" t="s">
        <v>8</v>
      </c>
      <c r="MH606" s="27" t="s">
        <v>7</v>
      </c>
      <c r="MJ606" s="27" t="s">
        <v>7</v>
      </c>
      <c r="NR606" s="27" t="s">
        <v>7</v>
      </c>
      <c r="NS606" s="27" t="s">
        <v>8</v>
      </c>
      <c r="NT606" s="27" t="s">
        <v>7</v>
      </c>
      <c r="NU606" s="27" t="s">
        <v>8</v>
      </c>
      <c r="NV606" s="27" t="s">
        <v>7</v>
      </c>
      <c r="NW606" s="27" t="s">
        <v>8</v>
      </c>
      <c r="OA606" s="27" t="s">
        <v>8</v>
      </c>
      <c r="OC606" s="27" t="s">
        <v>8</v>
      </c>
      <c r="OD606" s="27" t="s">
        <v>7</v>
      </c>
      <c r="OE606" s="27" t="s">
        <v>8</v>
      </c>
      <c r="OF606" s="27" t="s">
        <v>7</v>
      </c>
      <c r="OH606" s="27" t="s">
        <v>7</v>
      </c>
      <c r="OI606" s="27" t="s">
        <v>8</v>
      </c>
    </row>
    <row r="607" spans="1:400" x14ac:dyDescent="0.25">
      <c r="A607" s="7">
        <v>0.67297133310805768</v>
      </c>
      <c r="B607"/>
      <c r="C607"/>
      <c r="D607"/>
      <c r="E607"/>
      <c r="F607" s="27" t="s">
        <v>7</v>
      </c>
      <c r="HS607" s="27" t="s">
        <v>8</v>
      </c>
      <c r="JJ607" s="27" t="s">
        <v>7</v>
      </c>
      <c r="JK607" s="27" t="s">
        <v>8</v>
      </c>
      <c r="JL607" s="27" t="s">
        <v>7</v>
      </c>
      <c r="JM607" s="27" t="s">
        <v>8</v>
      </c>
      <c r="KB607" s="27" t="s">
        <v>7</v>
      </c>
      <c r="KC607" s="27" t="s">
        <v>8</v>
      </c>
      <c r="KD607" s="27" t="s">
        <v>7</v>
      </c>
      <c r="KE607" s="27" t="s">
        <v>8</v>
      </c>
      <c r="KF607" s="27" t="s">
        <v>7</v>
      </c>
      <c r="KG607" s="27" t="s">
        <v>8</v>
      </c>
      <c r="KH607" s="27" t="s">
        <v>7</v>
      </c>
      <c r="KI607" s="27" t="s">
        <v>8</v>
      </c>
      <c r="KJ607" s="27" t="s">
        <v>7</v>
      </c>
      <c r="KK607" s="27" t="s">
        <v>8</v>
      </c>
      <c r="KL607" s="27" t="s">
        <v>7</v>
      </c>
      <c r="KM607" s="27" t="s">
        <v>8</v>
      </c>
      <c r="KP607" s="27" t="s">
        <v>7</v>
      </c>
      <c r="KQ607" s="27" t="s">
        <v>8</v>
      </c>
      <c r="NR607" s="27" t="s">
        <v>7</v>
      </c>
      <c r="NS607" s="27" t="s">
        <v>8</v>
      </c>
      <c r="NT607" s="27" t="s">
        <v>7</v>
      </c>
      <c r="NU607" s="27" t="s">
        <v>8</v>
      </c>
      <c r="NV607" s="27" t="s">
        <v>7</v>
      </c>
      <c r="NW607" s="27" t="s">
        <v>8</v>
      </c>
      <c r="NX607" s="27" t="s">
        <v>7</v>
      </c>
      <c r="NY607" s="27" t="s">
        <v>8</v>
      </c>
      <c r="OA607" s="27" t="s">
        <v>8</v>
      </c>
      <c r="OB607" s="27" t="s">
        <v>7</v>
      </c>
      <c r="OC607" s="27" t="s">
        <v>8</v>
      </c>
      <c r="OD607" s="27" t="s">
        <v>7</v>
      </c>
      <c r="OE607" s="27" t="s">
        <v>8</v>
      </c>
      <c r="OH607" s="27" t="s">
        <v>7</v>
      </c>
      <c r="OI607" s="27" t="s">
        <v>8</v>
      </c>
      <c r="OJ607" s="27" t="s">
        <v>7</v>
      </c>
    </row>
    <row r="608" spans="1:400" x14ac:dyDescent="0.25">
      <c r="A608" s="7">
        <v>0.65977581677260566</v>
      </c>
      <c r="B608"/>
      <c r="C608"/>
      <c r="D608"/>
      <c r="E608"/>
      <c r="F608" s="27" t="s">
        <v>7</v>
      </c>
      <c r="HS608" s="27" t="s">
        <v>8</v>
      </c>
      <c r="JJ608" s="27" t="s">
        <v>7</v>
      </c>
      <c r="JK608" s="27" t="s">
        <v>8</v>
      </c>
      <c r="JL608" s="27" t="s">
        <v>7</v>
      </c>
      <c r="JM608" s="27" t="s">
        <v>8</v>
      </c>
      <c r="KB608" s="27" t="s">
        <v>7</v>
      </c>
      <c r="KC608" s="27" t="s">
        <v>8</v>
      </c>
      <c r="KD608" s="27" t="s">
        <v>7</v>
      </c>
      <c r="KE608" s="27" t="s">
        <v>8</v>
      </c>
      <c r="KF608" s="27" t="s">
        <v>7</v>
      </c>
      <c r="KG608" s="27" t="s">
        <v>8</v>
      </c>
      <c r="KH608" s="27" t="s">
        <v>7</v>
      </c>
      <c r="KI608" s="27" t="s">
        <v>8</v>
      </c>
      <c r="KJ608" s="27" t="s">
        <v>7</v>
      </c>
      <c r="KK608" s="27" t="s">
        <v>8</v>
      </c>
      <c r="KL608" s="27" t="s">
        <v>7</v>
      </c>
      <c r="KM608" s="27" t="s">
        <v>8</v>
      </c>
      <c r="KP608" s="27" t="s">
        <v>7</v>
      </c>
      <c r="KQ608" s="27" t="s">
        <v>8</v>
      </c>
      <c r="NR608" s="27" t="s">
        <v>7</v>
      </c>
      <c r="NS608" s="27" t="s">
        <v>8</v>
      </c>
      <c r="NT608" s="27" t="s">
        <v>7</v>
      </c>
      <c r="NV608" s="27" t="s">
        <v>7</v>
      </c>
      <c r="NW608" s="27" t="s">
        <v>8</v>
      </c>
      <c r="NX608" s="27" t="s">
        <v>7</v>
      </c>
      <c r="NY608" s="27" t="s">
        <v>8</v>
      </c>
      <c r="NZ608" s="27" t="s">
        <v>7</v>
      </c>
      <c r="OA608" s="27" t="s">
        <v>8</v>
      </c>
      <c r="OB608" s="27" t="s">
        <v>7</v>
      </c>
      <c r="OC608" s="27" t="s">
        <v>8</v>
      </c>
      <c r="OD608" s="27" t="s">
        <v>7</v>
      </c>
      <c r="OH608" s="27" t="s">
        <v>7</v>
      </c>
      <c r="OI608" s="27" t="s">
        <v>8</v>
      </c>
      <c r="OJ608" s="27" t="s">
        <v>7</v>
      </c>
    </row>
    <row r="609" spans="1:404" x14ac:dyDescent="0.25">
      <c r="A609" s="7">
        <v>0.64683903605157422</v>
      </c>
      <c r="B609"/>
      <c r="C609"/>
      <c r="D609"/>
      <c r="E609"/>
      <c r="F609" s="27" t="s">
        <v>7</v>
      </c>
      <c r="HS609" s="27" t="s">
        <v>8</v>
      </c>
      <c r="JJ609" s="27" t="s">
        <v>7</v>
      </c>
      <c r="JK609" s="27" t="s">
        <v>8</v>
      </c>
      <c r="JL609" s="27" t="s">
        <v>7</v>
      </c>
      <c r="JM609" s="27" t="s">
        <v>8</v>
      </c>
      <c r="KB609" s="27" t="s">
        <v>7</v>
      </c>
      <c r="KC609" s="27" t="s">
        <v>8</v>
      </c>
      <c r="KD609" s="27" t="s">
        <v>7</v>
      </c>
      <c r="KE609" s="27" t="s">
        <v>8</v>
      </c>
      <c r="KF609" s="27" t="s">
        <v>7</v>
      </c>
      <c r="KG609" s="27" t="s">
        <v>8</v>
      </c>
      <c r="KH609" s="27" t="s">
        <v>7</v>
      </c>
      <c r="KI609" s="27" t="s">
        <v>8</v>
      </c>
      <c r="KJ609" s="27" t="s">
        <v>7</v>
      </c>
      <c r="KK609" s="27" t="s">
        <v>8</v>
      </c>
      <c r="KL609" s="27" t="s">
        <v>7</v>
      </c>
      <c r="KM609" s="27" t="s">
        <v>8</v>
      </c>
      <c r="KP609" s="18" t="s">
        <v>7</v>
      </c>
      <c r="KQ609" s="27" t="s">
        <v>8</v>
      </c>
      <c r="NR609" s="27" t="s">
        <v>7</v>
      </c>
      <c r="NS609" s="27" t="s">
        <v>8</v>
      </c>
      <c r="NV609" s="27" t="s">
        <v>7</v>
      </c>
      <c r="NW609" s="27" t="s">
        <v>8</v>
      </c>
      <c r="NX609" s="27" t="s">
        <v>7</v>
      </c>
      <c r="NY609" s="27" t="s">
        <v>8</v>
      </c>
      <c r="NZ609" s="27" t="s">
        <v>7</v>
      </c>
      <c r="OA609" s="27" t="s">
        <v>8</v>
      </c>
      <c r="OB609" s="27" t="s">
        <v>7</v>
      </c>
      <c r="OC609" s="27" t="s">
        <v>8</v>
      </c>
      <c r="OH609" s="27" t="s">
        <v>7</v>
      </c>
      <c r="OI609" s="27" t="s">
        <v>8</v>
      </c>
      <c r="OJ609" s="27" t="s">
        <v>7</v>
      </c>
    </row>
    <row r="610" spans="1:404" x14ac:dyDescent="0.25">
      <c r="A610" s="7">
        <v>0.63415591769762181</v>
      </c>
      <c r="B610"/>
      <c r="C610"/>
      <c r="D610"/>
      <c r="E610"/>
      <c r="F610" s="27" t="s">
        <v>7</v>
      </c>
      <c r="DE610" s="27" t="s">
        <v>8</v>
      </c>
      <c r="HS610" s="27" t="s">
        <v>8</v>
      </c>
      <c r="JJ610" s="27" t="s">
        <v>7</v>
      </c>
      <c r="JK610" s="27" t="s">
        <v>8</v>
      </c>
      <c r="JL610" s="27" t="s">
        <v>7</v>
      </c>
      <c r="JM610" s="27" t="s">
        <v>8</v>
      </c>
      <c r="KB610" s="27" t="s">
        <v>7</v>
      </c>
      <c r="KC610" s="27" t="s">
        <v>8</v>
      </c>
      <c r="KD610" s="27" t="s">
        <v>7</v>
      </c>
      <c r="KE610" s="27" t="s">
        <v>8</v>
      </c>
      <c r="KF610" s="27" t="s">
        <v>7</v>
      </c>
      <c r="KH610" s="27" t="s">
        <v>7</v>
      </c>
      <c r="KI610" s="27" t="s">
        <v>8</v>
      </c>
      <c r="KJ610" s="27" t="s">
        <v>7</v>
      </c>
      <c r="KL610" s="27" t="s">
        <v>7</v>
      </c>
      <c r="KM610" s="27" t="s">
        <v>8</v>
      </c>
      <c r="KP610" s="27" t="s">
        <v>7</v>
      </c>
      <c r="KQ610" s="27" t="s">
        <v>8</v>
      </c>
      <c r="NR610" s="27" t="s">
        <v>7</v>
      </c>
      <c r="NS610" s="27" t="s">
        <v>8</v>
      </c>
      <c r="NV610" s="27" t="s">
        <v>7</v>
      </c>
      <c r="NW610" s="27" t="s">
        <v>8</v>
      </c>
      <c r="NX610" s="27" t="s">
        <v>7</v>
      </c>
      <c r="NY610" s="27" t="s">
        <v>8</v>
      </c>
      <c r="NZ610" s="27" t="s">
        <v>7</v>
      </c>
      <c r="OA610" s="27" t="s">
        <v>8</v>
      </c>
      <c r="OB610" s="27" t="s">
        <v>7</v>
      </c>
      <c r="OC610" s="27" t="s">
        <v>8</v>
      </c>
      <c r="OH610" s="27" t="s">
        <v>7</v>
      </c>
      <c r="OI610" s="27" t="s">
        <v>8</v>
      </c>
      <c r="OJ610" s="27" t="s">
        <v>7</v>
      </c>
    </row>
    <row r="611" spans="1:404" x14ac:dyDescent="0.25">
      <c r="A611" s="7">
        <v>0.62172148793884496</v>
      </c>
      <c r="B611"/>
      <c r="C611"/>
      <c r="D611"/>
      <c r="E611"/>
      <c r="F611" s="27" t="s">
        <v>7</v>
      </c>
      <c r="DE611" s="27" t="s">
        <v>8</v>
      </c>
      <c r="DF611" s="27" t="s">
        <v>7</v>
      </c>
      <c r="HS611" s="27" t="s">
        <v>8</v>
      </c>
      <c r="JJ611" s="27" t="s">
        <v>7</v>
      </c>
      <c r="JK611" s="27" t="s">
        <v>8</v>
      </c>
      <c r="JL611" s="27" t="s">
        <v>7</v>
      </c>
      <c r="JM611" s="27" t="s">
        <v>8</v>
      </c>
      <c r="KB611" s="27" t="s">
        <v>7</v>
      </c>
      <c r="KC611" s="27" t="s">
        <v>8</v>
      </c>
      <c r="KD611" s="27" t="s">
        <v>7</v>
      </c>
      <c r="KE611" s="27" t="s">
        <v>8</v>
      </c>
      <c r="KH611" s="27" t="s">
        <v>7</v>
      </c>
      <c r="KL611" s="27" t="s">
        <v>7</v>
      </c>
      <c r="KP611" s="27" t="s">
        <v>7</v>
      </c>
      <c r="KQ611" s="27" t="s">
        <v>8</v>
      </c>
      <c r="NR611" s="27" t="s">
        <v>7</v>
      </c>
      <c r="NS611" s="27" t="s">
        <v>8</v>
      </c>
      <c r="NV611" s="27" t="s">
        <v>7</v>
      </c>
      <c r="NX611" s="27" t="s">
        <v>7</v>
      </c>
      <c r="NY611" s="27" t="s">
        <v>8</v>
      </c>
      <c r="NZ611" s="27" t="s">
        <v>7</v>
      </c>
      <c r="OA611" s="27" t="s">
        <v>8</v>
      </c>
      <c r="OB611" s="27" t="s">
        <v>7</v>
      </c>
      <c r="OC611" s="27" t="s">
        <v>8</v>
      </c>
      <c r="OH611" s="27" t="s">
        <v>7</v>
      </c>
      <c r="OI611" s="27" t="s">
        <v>8</v>
      </c>
      <c r="OJ611" s="27" t="s">
        <v>7</v>
      </c>
    </row>
    <row r="612" spans="1:404" x14ac:dyDescent="0.25">
      <c r="A612" s="7">
        <v>0.60953087052827937</v>
      </c>
      <c r="B612"/>
      <c r="C612"/>
      <c r="D612"/>
      <c r="E612"/>
      <c r="F612" s="27" t="s">
        <v>7</v>
      </c>
      <c r="DE612" s="27" t="s">
        <v>8</v>
      </c>
      <c r="DF612" s="27" t="s">
        <v>7</v>
      </c>
      <c r="HS612" s="27" t="s">
        <v>8</v>
      </c>
      <c r="JJ612" s="27" t="s">
        <v>7</v>
      </c>
      <c r="JK612" s="27" t="s">
        <v>8</v>
      </c>
      <c r="JL612" s="27" t="s">
        <v>7</v>
      </c>
      <c r="JM612" s="27" t="s">
        <v>8</v>
      </c>
      <c r="KB612" s="27" t="s">
        <v>7</v>
      </c>
      <c r="KC612" s="27" t="s">
        <v>8</v>
      </c>
      <c r="KD612" s="27" t="s">
        <v>7</v>
      </c>
      <c r="KE612" s="27" t="s">
        <v>8</v>
      </c>
      <c r="KP612" s="27" t="s">
        <v>7</v>
      </c>
      <c r="KQ612" s="27" t="s">
        <v>8</v>
      </c>
      <c r="NR612" s="27" t="s">
        <v>7</v>
      </c>
      <c r="NS612" s="27" t="s">
        <v>8</v>
      </c>
      <c r="NX612" s="27" t="s">
        <v>7</v>
      </c>
      <c r="NY612" s="27" t="s">
        <v>8</v>
      </c>
      <c r="NZ612" s="27" t="s">
        <v>7</v>
      </c>
      <c r="OA612" s="27" t="s">
        <v>8</v>
      </c>
      <c r="OB612" s="27" t="s">
        <v>7</v>
      </c>
      <c r="OC612" s="27" t="s">
        <v>8</v>
      </c>
      <c r="OH612" s="27" t="s">
        <v>7</v>
      </c>
      <c r="OI612" s="27" t="s">
        <v>8</v>
      </c>
      <c r="OJ612" s="27" t="s">
        <v>7</v>
      </c>
    </row>
    <row r="613" spans="1:404" x14ac:dyDescent="0.25">
      <c r="A613" s="7">
        <v>0.59757928483164646</v>
      </c>
      <c r="B613"/>
      <c r="C613"/>
      <c r="D613"/>
      <c r="E613"/>
      <c r="F613" s="27" t="s">
        <v>7</v>
      </c>
      <c r="DE613" s="27" t="s">
        <v>8</v>
      </c>
      <c r="DF613" s="27" t="s">
        <v>7</v>
      </c>
      <c r="HS613" s="27" t="s">
        <v>8</v>
      </c>
      <c r="JJ613" s="27" t="s">
        <v>7</v>
      </c>
      <c r="JK613" s="27" t="s">
        <v>8</v>
      </c>
      <c r="JL613" s="27" t="s">
        <v>7</v>
      </c>
      <c r="JM613" s="27" t="s">
        <v>8</v>
      </c>
      <c r="KB613" s="27" t="s">
        <v>7</v>
      </c>
      <c r="KC613" s="27" t="s">
        <v>8</v>
      </c>
      <c r="KD613" s="27" t="s">
        <v>7</v>
      </c>
      <c r="KE613" s="27" t="s">
        <v>8</v>
      </c>
      <c r="KP613" s="27" t="s">
        <v>7</v>
      </c>
      <c r="KQ613" s="27" t="s">
        <v>8</v>
      </c>
      <c r="NR613" s="27" t="s">
        <v>7</v>
      </c>
      <c r="NS613" s="27" t="s">
        <v>8</v>
      </c>
      <c r="NX613" s="27" t="s">
        <v>7</v>
      </c>
      <c r="NY613" s="27" t="s">
        <v>8</v>
      </c>
      <c r="NZ613" s="27" t="s">
        <v>7</v>
      </c>
      <c r="OA613" s="27" t="s">
        <v>8</v>
      </c>
      <c r="OB613" s="27" t="s">
        <v>7</v>
      </c>
      <c r="OH613" s="27" t="s">
        <v>7</v>
      </c>
      <c r="OJ613" s="27" t="s">
        <v>7</v>
      </c>
    </row>
    <row r="614" spans="1:404" x14ac:dyDescent="0.25">
      <c r="A614" s="7">
        <v>0.58586204395259456</v>
      </c>
      <c r="B614"/>
      <c r="C614"/>
      <c r="D614"/>
      <c r="E614"/>
      <c r="F614" s="27" t="s">
        <v>7</v>
      </c>
      <c r="DE614" s="27" t="s">
        <v>8</v>
      </c>
      <c r="DF614" s="27" t="s">
        <v>7</v>
      </c>
      <c r="HS614" s="27" t="s">
        <v>8</v>
      </c>
      <c r="JJ614" s="27" t="s">
        <v>7</v>
      </c>
      <c r="JK614" s="27" t="s">
        <v>8</v>
      </c>
      <c r="JL614" s="27" t="s">
        <v>7</v>
      </c>
      <c r="JM614" s="27" t="s">
        <v>8</v>
      </c>
      <c r="KB614" s="27" t="s">
        <v>7</v>
      </c>
      <c r="KC614" s="27" t="s">
        <v>8</v>
      </c>
      <c r="KD614" s="27" t="s">
        <v>7</v>
      </c>
      <c r="KE614" s="27" t="s">
        <v>8</v>
      </c>
      <c r="KP614" s="27" t="s">
        <v>7</v>
      </c>
      <c r="KQ614" s="27" t="s">
        <v>8</v>
      </c>
      <c r="NR614" s="27" t="s">
        <v>7</v>
      </c>
      <c r="NS614" s="27" t="s">
        <v>8</v>
      </c>
      <c r="NX614" s="27" t="s">
        <v>7</v>
      </c>
      <c r="NY614" s="27" t="s">
        <v>8</v>
      </c>
      <c r="NZ614" s="27" t="s">
        <v>7</v>
      </c>
      <c r="OJ614" s="27" t="s">
        <v>7</v>
      </c>
    </row>
    <row r="615" spans="1:404" x14ac:dyDescent="0.25">
      <c r="A615" s="7">
        <v>0.57437455289470052</v>
      </c>
      <c r="B615"/>
      <c r="C615"/>
      <c r="D615"/>
      <c r="E615"/>
      <c r="F615" s="27" t="s">
        <v>7</v>
      </c>
      <c r="DE615" s="27" t="s">
        <v>8</v>
      </c>
      <c r="DF615" s="27" t="s">
        <v>7</v>
      </c>
      <c r="HS615" s="27" t="s">
        <v>8</v>
      </c>
      <c r="JJ615" s="27" t="s">
        <v>7</v>
      </c>
      <c r="JK615" s="27" t="s">
        <v>8</v>
      </c>
      <c r="JL615" s="27" t="s">
        <v>7</v>
      </c>
      <c r="JM615" s="27" t="s">
        <v>8</v>
      </c>
      <c r="KB615" s="27" t="s">
        <v>7</v>
      </c>
      <c r="KC615" s="27" t="s">
        <v>8</v>
      </c>
      <c r="KD615" s="27" t="s">
        <v>7</v>
      </c>
      <c r="KP615" s="27" t="s">
        <v>7</v>
      </c>
      <c r="KQ615" s="27" t="s">
        <v>8</v>
      </c>
      <c r="NR615" s="27" t="s">
        <v>7</v>
      </c>
      <c r="NX615" s="27" t="s">
        <v>7</v>
      </c>
      <c r="OJ615" s="27" t="s">
        <v>7</v>
      </c>
    </row>
    <row r="616" spans="1:404" x14ac:dyDescent="0.25">
      <c r="A616" s="7">
        <v>0.56311230675951029</v>
      </c>
      <c r="B616"/>
      <c r="C616"/>
      <c r="D616"/>
      <c r="E616"/>
      <c r="F616" s="27" t="s">
        <v>7</v>
      </c>
      <c r="DE616" s="27" t="s">
        <v>8</v>
      </c>
      <c r="DF616" s="27" t="s">
        <v>7</v>
      </c>
      <c r="HC616" s="27" t="s">
        <v>8</v>
      </c>
      <c r="HQ616" s="27" t="s">
        <v>8</v>
      </c>
      <c r="HS616" s="27" t="s">
        <v>8</v>
      </c>
      <c r="JJ616" s="27" t="s">
        <v>7</v>
      </c>
      <c r="JK616" s="27" t="s">
        <v>8</v>
      </c>
      <c r="JL616" s="27" t="s">
        <v>7</v>
      </c>
      <c r="JM616" s="27" t="s">
        <v>8</v>
      </c>
      <c r="KB616" s="27" t="s">
        <v>7</v>
      </c>
      <c r="KC616" s="27" t="s">
        <v>8</v>
      </c>
      <c r="KP616" s="27" t="s">
        <v>7</v>
      </c>
      <c r="OJ616" s="27" t="s">
        <v>7</v>
      </c>
    </row>
    <row r="617" spans="1:404" x14ac:dyDescent="0.25">
      <c r="A617" s="7">
        <v>0.55207088897991208</v>
      </c>
      <c r="B617"/>
      <c r="C617"/>
      <c r="D617"/>
      <c r="E617"/>
      <c r="F617" s="27" t="s">
        <v>7</v>
      </c>
      <c r="DE617" s="27" t="s">
        <v>8</v>
      </c>
      <c r="DF617" s="27" t="s">
        <v>7</v>
      </c>
      <c r="HC617" s="27" t="s">
        <v>8</v>
      </c>
      <c r="HD617" s="27" t="s">
        <v>7</v>
      </c>
      <c r="HQ617" s="27" t="s">
        <v>8</v>
      </c>
      <c r="HR617" s="27" t="s">
        <v>7</v>
      </c>
      <c r="HS617" s="27" t="s">
        <v>8</v>
      </c>
      <c r="JJ617" s="27" t="s">
        <v>7</v>
      </c>
      <c r="JK617" s="27" t="s">
        <v>8</v>
      </c>
      <c r="JL617" s="27" t="s">
        <v>7</v>
      </c>
      <c r="JM617" s="27" t="s">
        <v>8</v>
      </c>
      <c r="KB617" s="27" t="s">
        <v>7</v>
      </c>
      <c r="KC617" s="27" t="s">
        <v>8</v>
      </c>
      <c r="OJ617" s="27" t="s">
        <v>7</v>
      </c>
    </row>
    <row r="618" spans="1:404" x14ac:dyDescent="0.25">
      <c r="A618" s="7">
        <v>0.54124596958814908</v>
      </c>
      <c r="B618"/>
      <c r="C618"/>
      <c r="D618"/>
      <c r="E618"/>
      <c r="F618" s="27" t="s">
        <v>7</v>
      </c>
      <c r="AE618" s="27" t="s">
        <v>8</v>
      </c>
      <c r="DE618" s="27" t="s">
        <v>8</v>
      </c>
      <c r="DF618" s="27" t="s">
        <v>7</v>
      </c>
      <c r="HC618" s="27" t="s">
        <v>8</v>
      </c>
      <c r="HD618" s="27" t="s">
        <v>7</v>
      </c>
      <c r="HQ618" s="27" t="s">
        <v>8</v>
      </c>
      <c r="HR618" s="27" t="s">
        <v>7</v>
      </c>
      <c r="HS618" s="27" t="s">
        <v>8</v>
      </c>
      <c r="JJ618" s="27" t="s">
        <v>7</v>
      </c>
      <c r="JK618" s="27" t="s">
        <v>8</v>
      </c>
      <c r="JL618" s="27" t="s">
        <v>7</v>
      </c>
      <c r="JM618" s="27" t="s">
        <v>8</v>
      </c>
      <c r="KB618" s="27" t="s">
        <v>7</v>
      </c>
      <c r="OJ618" s="27" t="s">
        <v>7</v>
      </c>
      <c r="OK618" s="27" t="s">
        <v>8</v>
      </c>
      <c r="OM618" s="27" t="s">
        <v>8</v>
      </c>
    </row>
    <row r="619" spans="1:404" x14ac:dyDescent="0.25">
      <c r="A619" s="7">
        <v>0.53063330351779314</v>
      </c>
      <c r="B619"/>
      <c r="C619"/>
      <c r="D619"/>
      <c r="E619"/>
      <c r="F619" s="27" t="s">
        <v>7</v>
      </c>
      <c r="AE619" s="27" t="s">
        <v>8</v>
      </c>
      <c r="AF619" s="27" t="s">
        <v>7</v>
      </c>
      <c r="DE619" s="27" t="s">
        <v>8</v>
      </c>
      <c r="DF619" s="27" t="s">
        <v>7</v>
      </c>
      <c r="HC619" s="27" t="s">
        <v>8</v>
      </c>
      <c r="HD619" s="27" t="s">
        <v>7</v>
      </c>
      <c r="HQ619" s="27" t="s">
        <v>8</v>
      </c>
      <c r="HR619" s="27" t="s">
        <v>7</v>
      </c>
      <c r="HS619" s="27" t="s">
        <v>8</v>
      </c>
      <c r="JJ619" s="27" t="s">
        <v>7</v>
      </c>
      <c r="JK619" s="27" t="s">
        <v>8</v>
      </c>
      <c r="JL619" s="27" t="s">
        <v>7</v>
      </c>
      <c r="JM619" s="27" t="s">
        <v>8</v>
      </c>
      <c r="OJ619" s="27" t="s">
        <v>7</v>
      </c>
      <c r="OK619" s="27" t="s">
        <v>8</v>
      </c>
      <c r="OL619" s="27" t="s">
        <v>7</v>
      </c>
      <c r="OM619" s="27" t="s">
        <v>8</v>
      </c>
      <c r="ON619" s="27" t="s">
        <v>7</v>
      </c>
    </row>
    <row r="620" spans="1:404" x14ac:dyDescent="0.25">
      <c r="A620" s="7">
        <v>0.52022872893901284</v>
      </c>
      <c r="B620"/>
      <c r="C620"/>
      <c r="D620"/>
      <c r="E620"/>
      <c r="F620" s="27" t="s">
        <v>7</v>
      </c>
      <c r="AE620" s="27" t="s">
        <v>8</v>
      </c>
      <c r="AF620" s="27" t="s">
        <v>7</v>
      </c>
      <c r="DE620" s="27" t="s">
        <v>8</v>
      </c>
      <c r="DF620" s="27" t="s">
        <v>7</v>
      </c>
      <c r="DG620" s="27" t="s">
        <v>8</v>
      </c>
      <c r="HC620" s="27" t="s">
        <v>8</v>
      </c>
      <c r="HD620" s="27" t="s">
        <v>7</v>
      </c>
      <c r="HQ620" s="27" t="s">
        <v>8</v>
      </c>
      <c r="HR620" s="27" t="s">
        <v>7</v>
      </c>
      <c r="HS620" s="27" t="s">
        <v>8</v>
      </c>
      <c r="JJ620" s="27" t="s">
        <v>7</v>
      </c>
      <c r="JK620" s="27" t="s">
        <v>8</v>
      </c>
      <c r="JL620" s="27" t="s">
        <v>7</v>
      </c>
      <c r="JM620" s="27" t="s">
        <v>8</v>
      </c>
      <c r="OJ620" s="27" t="s">
        <v>7</v>
      </c>
      <c r="OK620" s="27" t="s">
        <v>8</v>
      </c>
      <c r="OL620" s="27" t="s">
        <v>7</v>
      </c>
      <c r="OM620" s="27" t="s">
        <v>8</v>
      </c>
      <c r="ON620" s="27" t="s">
        <v>7</v>
      </c>
    </row>
    <row r="621" spans="1:404" x14ac:dyDescent="0.25">
      <c r="A621" s="7">
        <v>0.51002816562648323</v>
      </c>
      <c r="B621"/>
      <c r="C621"/>
      <c r="D621"/>
      <c r="E621"/>
      <c r="F621" s="27" t="s">
        <v>7</v>
      </c>
      <c r="AE621" s="27" t="s">
        <v>8</v>
      </c>
      <c r="AF621" s="27" t="s">
        <v>7</v>
      </c>
      <c r="DE621" s="27" t="s">
        <v>8</v>
      </c>
      <c r="DF621" s="27" t="s">
        <v>7</v>
      </c>
      <c r="DG621" s="27" t="s">
        <v>8</v>
      </c>
      <c r="DH621" s="27" t="s">
        <v>7</v>
      </c>
      <c r="DQ621" s="27" t="s">
        <v>8</v>
      </c>
      <c r="HC621" s="27" t="s">
        <v>8</v>
      </c>
      <c r="HD621" s="27" t="s">
        <v>7</v>
      </c>
      <c r="HQ621" s="27" t="s">
        <v>8</v>
      </c>
      <c r="HR621" s="27" t="s">
        <v>7</v>
      </c>
      <c r="HS621" s="27" t="s">
        <v>8</v>
      </c>
      <c r="JJ621" s="27" t="s">
        <v>7</v>
      </c>
      <c r="JK621" s="27" t="s">
        <v>8</v>
      </c>
      <c r="JL621" s="27" t="s">
        <v>7</v>
      </c>
      <c r="JM621" s="27" t="s">
        <v>8</v>
      </c>
      <c r="OJ621" s="27" t="s">
        <v>7</v>
      </c>
      <c r="OK621" s="27" t="s">
        <v>8</v>
      </c>
      <c r="OL621" s="27" t="s">
        <v>7</v>
      </c>
      <c r="OM621" s="27" t="s">
        <v>8</v>
      </c>
      <c r="ON621" s="27" t="s">
        <v>7</v>
      </c>
    </row>
    <row r="622" spans="1:404" x14ac:dyDescent="0.25">
      <c r="A622" s="7">
        <v>0.50002761335929735</v>
      </c>
      <c r="B622"/>
      <c r="C622"/>
      <c r="D622"/>
      <c r="E622"/>
      <c r="F622" s="27" t="s">
        <v>7</v>
      </c>
      <c r="AE622" s="27" t="s">
        <v>8</v>
      </c>
      <c r="AF622" s="27" t="s">
        <v>7</v>
      </c>
      <c r="AG622" s="27" t="s">
        <v>8</v>
      </c>
      <c r="DE622" s="27" t="s">
        <v>8</v>
      </c>
      <c r="DF622" s="27" t="s">
        <v>7</v>
      </c>
      <c r="DG622" s="27" t="s">
        <v>8</v>
      </c>
      <c r="DH622" s="27" t="s">
        <v>7</v>
      </c>
      <c r="DQ622" s="27" t="s">
        <v>8</v>
      </c>
      <c r="DR622" s="27" t="s">
        <v>7</v>
      </c>
      <c r="HC622" s="27" t="s">
        <v>8</v>
      </c>
      <c r="HD622" s="27" t="s">
        <v>7</v>
      </c>
      <c r="HQ622" s="27" t="s">
        <v>8</v>
      </c>
      <c r="HR622" s="27" t="s">
        <v>7</v>
      </c>
      <c r="HS622" s="27" t="s">
        <v>8</v>
      </c>
      <c r="JJ622" s="27" t="s">
        <v>7</v>
      </c>
      <c r="JL622" s="27" t="s">
        <v>7</v>
      </c>
      <c r="JM622" s="27" t="s">
        <v>8</v>
      </c>
      <c r="OJ622" s="27" t="s">
        <v>7</v>
      </c>
      <c r="OK622" s="27" t="s">
        <v>8</v>
      </c>
      <c r="OL622" s="27" t="s">
        <v>7</v>
      </c>
      <c r="ON622" s="27" t="s">
        <v>7</v>
      </c>
    </row>
    <row r="623" spans="1:404" x14ac:dyDescent="0.25">
      <c r="A623" s="7">
        <v>0.49022315035225228</v>
      </c>
      <c r="B623"/>
      <c r="C623"/>
      <c r="D623"/>
      <c r="E623"/>
      <c r="F623" s="27" t="s">
        <v>7</v>
      </c>
      <c r="AE623" s="27" t="s">
        <v>8</v>
      </c>
      <c r="AF623" s="27" t="s">
        <v>7</v>
      </c>
      <c r="AG623" s="27" t="s">
        <v>8</v>
      </c>
      <c r="AH623" s="27" t="s">
        <v>7</v>
      </c>
      <c r="DE623" s="27" t="s">
        <v>8</v>
      </c>
      <c r="DF623" s="27" t="s">
        <v>7</v>
      </c>
      <c r="DG623" s="27" t="s">
        <v>8</v>
      </c>
      <c r="DH623" s="27" t="s">
        <v>7</v>
      </c>
      <c r="DQ623" s="27" t="s">
        <v>8</v>
      </c>
      <c r="DR623" s="27" t="s">
        <v>7</v>
      </c>
      <c r="HC623" s="27" t="s">
        <v>8</v>
      </c>
      <c r="HD623" s="27" t="s">
        <v>7</v>
      </c>
      <c r="HQ623" s="27" t="s">
        <v>8</v>
      </c>
      <c r="HR623" s="27" t="s">
        <v>7</v>
      </c>
      <c r="HS623" s="27" t="s">
        <v>8</v>
      </c>
      <c r="JL623" s="27" t="s">
        <v>7</v>
      </c>
      <c r="JM623" s="27" t="s">
        <v>8</v>
      </c>
      <c r="OJ623" s="27" t="s">
        <v>7</v>
      </c>
      <c r="OK623" s="27" t="s">
        <v>8</v>
      </c>
      <c r="ON623" s="27" t="s">
        <v>7</v>
      </c>
    </row>
    <row r="624" spans="1:404" x14ac:dyDescent="0.25">
      <c r="A624" s="7">
        <v>0.48061093171789437</v>
      </c>
      <c r="B624"/>
      <c r="C624"/>
      <c r="D624"/>
      <c r="E624"/>
      <c r="F624" s="27" t="s">
        <v>7</v>
      </c>
      <c r="AE624" s="27" t="s">
        <v>8</v>
      </c>
      <c r="AF624" s="27" t="s">
        <v>7</v>
      </c>
      <c r="AG624" s="27" t="s">
        <v>8</v>
      </c>
      <c r="AH624" s="27" t="s">
        <v>7</v>
      </c>
      <c r="CE624" s="27" t="s">
        <v>8</v>
      </c>
      <c r="DE624" s="27" t="s">
        <v>8</v>
      </c>
      <c r="DF624" s="27" t="s">
        <v>7</v>
      </c>
      <c r="DG624" s="27" t="s">
        <v>8</v>
      </c>
      <c r="DH624" s="27" t="s">
        <v>7</v>
      </c>
      <c r="DQ624" s="27" t="s">
        <v>8</v>
      </c>
      <c r="DR624" s="27" t="s">
        <v>7</v>
      </c>
      <c r="HC624" s="27" t="s">
        <v>8</v>
      </c>
      <c r="HD624" s="27" t="s">
        <v>7</v>
      </c>
      <c r="HQ624" s="27" t="s">
        <v>8</v>
      </c>
      <c r="HR624" s="27" t="s">
        <v>7</v>
      </c>
      <c r="HS624" s="27" t="s">
        <v>8</v>
      </c>
      <c r="JL624" s="27" t="s">
        <v>7</v>
      </c>
      <c r="JM624" s="27" t="s">
        <v>8</v>
      </c>
      <c r="OJ624" s="27" t="s">
        <v>7</v>
      </c>
      <c r="ON624" s="27" t="s">
        <v>7</v>
      </c>
    </row>
    <row r="625" spans="1:407" x14ac:dyDescent="0.25">
      <c r="A625" s="7">
        <v>0.47118718795871994</v>
      </c>
      <c r="B625"/>
      <c r="C625"/>
      <c r="D625"/>
      <c r="E625"/>
      <c r="F625" s="27" t="s">
        <v>7</v>
      </c>
      <c r="AE625" s="27" t="s">
        <v>8</v>
      </c>
      <c r="AF625" s="27" t="s">
        <v>7</v>
      </c>
      <c r="AG625" s="27" t="s">
        <v>8</v>
      </c>
      <c r="AH625" s="27" t="s">
        <v>7</v>
      </c>
      <c r="CE625" s="27" t="s">
        <v>8</v>
      </c>
      <c r="CF625" s="27" t="s">
        <v>7</v>
      </c>
      <c r="DE625" s="27" t="s">
        <v>8</v>
      </c>
      <c r="DF625" s="27" t="s">
        <v>7</v>
      </c>
      <c r="DG625" s="27" t="s">
        <v>8</v>
      </c>
      <c r="DH625" s="27" t="s">
        <v>7</v>
      </c>
      <c r="DI625" s="27" t="s">
        <v>8</v>
      </c>
      <c r="DQ625" s="27" t="s">
        <v>8</v>
      </c>
      <c r="DR625" s="27" t="s">
        <v>7</v>
      </c>
      <c r="HC625" s="27" t="s">
        <v>8</v>
      </c>
      <c r="HD625" s="27" t="s">
        <v>7</v>
      </c>
      <c r="HK625" s="27" t="s">
        <v>8</v>
      </c>
      <c r="HQ625" s="27" t="s">
        <v>8</v>
      </c>
      <c r="HR625" s="27" t="s">
        <v>7</v>
      </c>
      <c r="HS625" s="27" t="s">
        <v>8</v>
      </c>
      <c r="JL625" s="27" t="s">
        <v>7</v>
      </c>
      <c r="JM625" s="27" t="s">
        <v>8</v>
      </c>
      <c r="ON625" s="27" t="s">
        <v>7</v>
      </c>
    </row>
    <row r="626" spans="1:407" x14ac:dyDescent="0.25">
      <c r="A626" s="7">
        <v>0.46194822348894116</v>
      </c>
      <c r="B626"/>
      <c r="C626"/>
      <c r="D626"/>
      <c r="E626"/>
      <c r="F626" s="27" t="s">
        <v>7</v>
      </c>
      <c r="AE626" s="27" t="s">
        <v>8</v>
      </c>
      <c r="AF626" s="27" t="s">
        <v>7</v>
      </c>
      <c r="AG626" s="27" t="s">
        <v>8</v>
      </c>
      <c r="AH626" s="27" t="s">
        <v>7</v>
      </c>
      <c r="CE626" s="27" t="s">
        <v>8</v>
      </c>
      <c r="CF626" s="27" t="s">
        <v>7</v>
      </c>
      <c r="DE626" s="27" t="s">
        <v>8</v>
      </c>
      <c r="DF626" s="27" t="s">
        <v>7</v>
      </c>
      <c r="DH626" s="27" t="s">
        <v>7</v>
      </c>
      <c r="DI626" s="27" t="s">
        <v>8</v>
      </c>
      <c r="DJ626" s="27" t="s">
        <v>7</v>
      </c>
      <c r="DQ626" s="27" t="s">
        <v>8</v>
      </c>
      <c r="DR626" s="27" t="s">
        <v>7</v>
      </c>
      <c r="HC626" s="27" t="s">
        <v>8</v>
      </c>
      <c r="HD626" s="27" t="s">
        <v>7</v>
      </c>
      <c r="HK626" s="27" t="s">
        <v>8</v>
      </c>
      <c r="HL626" s="27" t="s">
        <v>7</v>
      </c>
      <c r="HQ626" s="27" t="s">
        <v>8</v>
      </c>
      <c r="HR626" s="27" t="s">
        <v>7</v>
      </c>
      <c r="HS626" s="27" t="s">
        <v>8</v>
      </c>
      <c r="JL626" s="27" t="s">
        <v>7</v>
      </c>
      <c r="ON626" s="27" t="s">
        <v>7</v>
      </c>
    </row>
    <row r="627" spans="1:407" x14ac:dyDescent="0.25">
      <c r="A627" s="7">
        <v>0.45289041518523643</v>
      </c>
      <c r="B627"/>
      <c r="C627"/>
      <c r="D627"/>
      <c r="E627"/>
      <c r="F627" s="27" t="s">
        <v>7</v>
      </c>
      <c r="Q627" s="27" t="s">
        <v>8</v>
      </c>
      <c r="AE627" s="27" t="s">
        <v>8</v>
      </c>
      <c r="AF627" s="27" t="s">
        <v>7</v>
      </c>
      <c r="AG627" s="27" t="s">
        <v>8</v>
      </c>
      <c r="AH627" s="27" t="s">
        <v>7</v>
      </c>
      <c r="CE627" s="27" t="s">
        <v>8</v>
      </c>
      <c r="CF627" s="27" t="s">
        <v>7</v>
      </c>
      <c r="DE627" s="27" t="s">
        <v>8</v>
      </c>
      <c r="DH627" s="27" t="s">
        <v>7</v>
      </c>
      <c r="DI627" s="27" t="s">
        <v>8</v>
      </c>
      <c r="DJ627" s="27" t="s">
        <v>7</v>
      </c>
      <c r="DQ627" s="27" t="s">
        <v>8</v>
      </c>
      <c r="DR627" s="27" t="s">
        <v>7</v>
      </c>
      <c r="HC627" s="27" t="s">
        <v>8</v>
      </c>
      <c r="HD627" s="27" t="s">
        <v>7</v>
      </c>
      <c r="HK627" s="27" t="s">
        <v>8</v>
      </c>
      <c r="HL627" s="27" t="s">
        <v>7</v>
      </c>
      <c r="HQ627" s="27" t="s">
        <v>8</v>
      </c>
      <c r="HR627" s="27" t="s">
        <v>7</v>
      </c>
      <c r="HS627" s="27" t="s">
        <v>8</v>
      </c>
      <c r="ON627" s="27" t="s">
        <v>7</v>
      </c>
    </row>
    <row r="628" spans="1:407" x14ac:dyDescent="0.25">
      <c r="A628" s="7">
        <v>0.44401021096591808</v>
      </c>
      <c r="B628"/>
      <c r="C628"/>
      <c r="D628"/>
      <c r="E628"/>
      <c r="F628" s="27" t="s">
        <v>7</v>
      </c>
      <c r="Q628" s="27" t="s">
        <v>8</v>
      </c>
      <c r="R628" s="27" t="s">
        <v>7</v>
      </c>
      <c r="AE628" s="27" t="s">
        <v>8</v>
      </c>
      <c r="AF628" s="27" t="s">
        <v>7</v>
      </c>
      <c r="AG628" s="27" t="s">
        <v>8</v>
      </c>
      <c r="AH628" s="27" t="s">
        <v>7</v>
      </c>
      <c r="CE628" s="27" t="s">
        <v>8</v>
      </c>
      <c r="CF628" s="27" t="s">
        <v>7</v>
      </c>
      <c r="DE628" s="27" t="s">
        <v>8</v>
      </c>
      <c r="DH628" s="27" t="s">
        <v>7</v>
      </c>
      <c r="DI628" s="27" t="s">
        <v>8</v>
      </c>
      <c r="DJ628" s="27" t="s">
        <v>7</v>
      </c>
      <c r="DK628" s="27" t="s">
        <v>8</v>
      </c>
      <c r="DQ628" s="27" t="s">
        <v>8</v>
      </c>
      <c r="DR628" s="27" t="s">
        <v>7</v>
      </c>
      <c r="HC628" s="27" t="s">
        <v>8</v>
      </c>
      <c r="HD628" s="27" t="s">
        <v>7</v>
      </c>
      <c r="HK628" s="27" t="s">
        <v>8</v>
      </c>
      <c r="HL628" s="27" t="s">
        <v>7</v>
      </c>
      <c r="HQ628" s="27" t="s">
        <v>8</v>
      </c>
      <c r="HR628" s="27" t="s">
        <v>7</v>
      </c>
      <c r="HS628" s="27" t="s">
        <v>8</v>
      </c>
      <c r="ON628" s="27" t="s">
        <v>7</v>
      </c>
    </row>
    <row r="629" spans="1:407" x14ac:dyDescent="0.25">
      <c r="A629" s="7">
        <v>0.4353041283979589</v>
      </c>
      <c r="B629"/>
      <c r="C629"/>
      <c r="D629"/>
      <c r="E629"/>
      <c r="F629" s="27" t="s">
        <v>7</v>
      </c>
      <c r="Q629" s="27" t="s">
        <v>8</v>
      </c>
      <c r="R629" s="27" t="s">
        <v>7</v>
      </c>
      <c r="AE629" s="27" t="s">
        <v>8</v>
      </c>
      <c r="AF629" s="27" t="s">
        <v>7</v>
      </c>
      <c r="AG629" s="27" t="s">
        <v>8</v>
      </c>
      <c r="AH629" s="27" t="s">
        <v>7</v>
      </c>
      <c r="CE629" s="27" t="s">
        <v>8</v>
      </c>
      <c r="CF629" s="27" t="s">
        <v>7</v>
      </c>
      <c r="CW629" s="27" t="s">
        <v>8</v>
      </c>
      <c r="DE629" s="27" t="s">
        <v>8</v>
      </c>
      <c r="DH629" s="27" t="s">
        <v>7</v>
      </c>
      <c r="DI629" s="27" t="s">
        <v>8</v>
      </c>
      <c r="DJ629" s="27" t="s">
        <v>7</v>
      </c>
      <c r="DK629" s="27" t="s">
        <v>8</v>
      </c>
      <c r="DL629" s="27" t="s">
        <v>7</v>
      </c>
      <c r="DQ629" s="27" t="s">
        <v>8</v>
      </c>
      <c r="DR629" s="27" t="s">
        <v>7</v>
      </c>
      <c r="HC629" s="27" t="s">
        <v>8</v>
      </c>
      <c r="HD629" s="27" t="s">
        <v>7</v>
      </c>
      <c r="HE629" s="27" t="s">
        <v>8</v>
      </c>
      <c r="HK629" s="27" t="s">
        <v>8</v>
      </c>
      <c r="HL629" s="27" t="s">
        <v>7</v>
      </c>
      <c r="HQ629" s="27" t="s">
        <v>8</v>
      </c>
      <c r="HR629" s="27" t="s">
        <v>7</v>
      </c>
      <c r="HS629" s="27" t="s">
        <v>8</v>
      </c>
      <c r="ON629" s="27" t="s">
        <v>7</v>
      </c>
    </row>
    <row r="630" spans="1:407" x14ac:dyDescent="0.25">
      <c r="A630" s="7">
        <v>0.4267687533313323</v>
      </c>
      <c r="B630"/>
      <c r="C630"/>
      <c r="D630"/>
      <c r="E630"/>
      <c r="F630" s="27" t="s">
        <v>7</v>
      </c>
      <c r="Q630" s="27" t="s">
        <v>8</v>
      </c>
      <c r="R630" s="27" t="s">
        <v>7</v>
      </c>
      <c r="AE630" s="27" t="s">
        <v>8</v>
      </c>
      <c r="AF630" s="27" t="s">
        <v>7</v>
      </c>
      <c r="AG630" s="27" t="s">
        <v>8</v>
      </c>
      <c r="AH630" s="27" t="s">
        <v>7</v>
      </c>
      <c r="CE630" s="27" t="s">
        <v>8</v>
      </c>
      <c r="CF630" s="27" t="s">
        <v>7</v>
      </c>
      <c r="CW630" s="27" t="s">
        <v>8</v>
      </c>
      <c r="CX630" s="27" t="s">
        <v>7</v>
      </c>
      <c r="DE630" s="27" t="s">
        <v>8</v>
      </c>
      <c r="DH630" s="27" t="s">
        <v>7</v>
      </c>
      <c r="DI630" s="27" t="s">
        <v>8</v>
      </c>
      <c r="DJ630" s="27" t="s">
        <v>7</v>
      </c>
      <c r="DK630" s="27" t="s">
        <v>8</v>
      </c>
      <c r="DL630" s="27" t="s">
        <v>7</v>
      </c>
      <c r="DQ630" s="27" t="s">
        <v>8</v>
      </c>
      <c r="DR630" s="27" t="s">
        <v>7</v>
      </c>
      <c r="HC630" s="27" t="s">
        <v>8</v>
      </c>
      <c r="HD630" s="27" t="s">
        <v>7</v>
      </c>
      <c r="HE630" s="27" t="s">
        <v>8</v>
      </c>
      <c r="HF630" s="27" t="s">
        <v>7</v>
      </c>
      <c r="HI630" s="27" t="s">
        <v>8</v>
      </c>
      <c r="HK630" s="27" t="s">
        <v>8</v>
      </c>
      <c r="HL630" s="27" t="s">
        <v>7</v>
      </c>
      <c r="HQ630" s="27" t="s">
        <v>8</v>
      </c>
      <c r="HR630" s="27" t="s">
        <v>7</v>
      </c>
      <c r="ON630" s="27" t="s">
        <v>7</v>
      </c>
    </row>
    <row r="631" spans="1:407" x14ac:dyDescent="0.25">
      <c r="A631" s="7">
        <v>0.41840073856012971</v>
      </c>
      <c r="B631"/>
      <c r="C631"/>
      <c r="D631"/>
      <c r="E631"/>
      <c r="F631" s="27" t="s">
        <v>7</v>
      </c>
      <c r="Q631" s="27" t="s">
        <v>8</v>
      </c>
      <c r="R631" s="27" t="s">
        <v>7</v>
      </c>
      <c r="AE631" s="27" t="s">
        <v>8</v>
      </c>
      <c r="AF631" s="27" t="s">
        <v>7</v>
      </c>
      <c r="AG631" s="27" t="s">
        <v>8</v>
      </c>
      <c r="AH631" s="27" t="s">
        <v>7</v>
      </c>
      <c r="CE631" s="27" t="s">
        <v>8</v>
      </c>
      <c r="CF631" s="27" t="s">
        <v>7</v>
      </c>
      <c r="CW631" s="27" t="s">
        <v>8</v>
      </c>
      <c r="CX631" s="27" t="s">
        <v>7</v>
      </c>
      <c r="DE631" s="27" t="s">
        <v>8</v>
      </c>
      <c r="DH631" s="27" t="s">
        <v>7</v>
      </c>
      <c r="DI631" s="27" t="s">
        <v>8</v>
      </c>
      <c r="DJ631" s="27" t="s">
        <v>7</v>
      </c>
      <c r="DK631" s="27" t="s">
        <v>8</v>
      </c>
      <c r="DL631" s="27" t="s">
        <v>7</v>
      </c>
      <c r="DM631" s="27" t="s">
        <v>8</v>
      </c>
      <c r="DQ631" s="27" t="s">
        <v>8</v>
      </c>
      <c r="DR631" s="27" t="s">
        <v>7</v>
      </c>
      <c r="HC631" s="27" t="s">
        <v>8</v>
      </c>
      <c r="HD631" s="27" t="s">
        <v>7</v>
      </c>
      <c r="HE631" s="27" t="s">
        <v>8</v>
      </c>
      <c r="HF631" s="27" t="s">
        <v>7</v>
      </c>
      <c r="HI631" s="27" t="s">
        <v>8</v>
      </c>
      <c r="HJ631" s="27" t="s">
        <v>7</v>
      </c>
      <c r="HK631" s="27" t="s">
        <v>8</v>
      </c>
      <c r="HL631" s="27" t="s">
        <v>7</v>
      </c>
      <c r="HO631" s="27" t="s">
        <v>8</v>
      </c>
      <c r="HQ631" s="27" t="s">
        <v>8</v>
      </c>
      <c r="ON631" s="27" t="s">
        <v>7</v>
      </c>
    </row>
    <row r="632" spans="1:407" x14ac:dyDescent="0.25">
      <c r="A632" s="7">
        <v>0.41019680250993112</v>
      </c>
      <c r="B632"/>
      <c r="C632"/>
      <c r="D632"/>
      <c r="E632"/>
      <c r="F632" s="27" t="s">
        <v>7</v>
      </c>
      <c r="Q632" s="27" t="s">
        <v>8</v>
      </c>
      <c r="R632" s="27" t="s">
        <v>7</v>
      </c>
      <c r="AE632" s="27" t="s">
        <v>8</v>
      </c>
      <c r="AF632" s="27" t="s">
        <v>7</v>
      </c>
      <c r="AG632" s="27" t="s">
        <v>8</v>
      </c>
      <c r="AH632" s="27" t="s">
        <v>7</v>
      </c>
      <c r="CE632" s="27" t="s">
        <v>8</v>
      </c>
      <c r="CF632" s="27" t="s">
        <v>7</v>
      </c>
      <c r="CW632" s="27" t="s">
        <v>8</v>
      </c>
      <c r="CX632" s="27" t="s">
        <v>7</v>
      </c>
      <c r="DE632" s="27" t="s">
        <v>8</v>
      </c>
      <c r="DH632" s="27" t="s">
        <v>7</v>
      </c>
      <c r="DI632" s="27" t="s">
        <v>8</v>
      </c>
      <c r="DJ632" s="27" t="s">
        <v>7</v>
      </c>
      <c r="DK632" s="27" t="s">
        <v>8</v>
      </c>
      <c r="DL632" s="27" t="s">
        <v>7</v>
      </c>
      <c r="DM632" s="27" t="s">
        <v>8</v>
      </c>
      <c r="DN632" s="27" t="s">
        <v>7</v>
      </c>
      <c r="DO632" s="27" t="s">
        <v>8</v>
      </c>
      <c r="DQ632" s="27" t="s">
        <v>8</v>
      </c>
      <c r="DR632" s="27" t="s">
        <v>7</v>
      </c>
      <c r="HC632" s="27" t="s">
        <v>8</v>
      </c>
      <c r="HD632" s="27" t="s">
        <v>7</v>
      </c>
      <c r="HE632" s="27" t="s">
        <v>8</v>
      </c>
      <c r="HF632" s="27" t="s">
        <v>7</v>
      </c>
      <c r="HI632" s="27" t="s">
        <v>8</v>
      </c>
      <c r="HJ632" s="27" t="s">
        <v>7</v>
      </c>
      <c r="HK632" s="27" t="s">
        <v>8</v>
      </c>
      <c r="HL632" s="27" t="s">
        <v>7</v>
      </c>
      <c r="HO632" s="27" t="s">
        <v>8</v>
      </c>
      <c r="HP632" s="27" t="s">
        <v>7</v>
      </c>
      <c r="HQ632" s="27" t="s">
        <v>8</v>
      </c>
      <c r="ON632" s="27" t="s">
        <v>7</v>
      </c>
    </row>
    <row r="633" spans="1:407" x14ac:dyDescent="0.25">
      <c r="A633" s="7">
        <v>0.40215372795091286</v>
      </c>
      <c r="B633"/>
      <c r="C633"/>
      <c r="D633"/>
      <c r="E633"/>
      <c r="F633" s="27" t="s">
        <v>7</v>
      </c>
      <c r="Q633" s="27" t="s">
        <v>8</v>
      </c>
      <c r="R633" s="27" t="s">
        <v>7</v>
      </c>
      <c r="AE633" s="27" t="s">
        <v>8</v>
      </c>
      <c r="AF633" s="27" t="s">
        <v>7</v>
      </c>
      <c r="AH633" s="27" t="s">
        <v>7</v>
      </c>
      <c r="CE633" s="27" t="s">
        <v>8</v>
      </c>
      <c r="CF633" s="27" t="s">
        <v>7</v>
      </c>
      <c r="CW633" s="27" t="s">
        <v>8</v>
      </c>
      <c r="CX633" s="27" t="s">
        <v>7</v>
      </c>
      <c r="DE633" s="27" t="s">
        <v>8</v>
      </c>
      <c r="DH633" s="27" t="s">
        <v>7</v>
      </c>
      <c r="DI633" s="27" t="s">
        <v>8</v>
      </c>
      <c r="DJ633" s="27" t="s">
        <v>7</v>
      </c>
      <c r="DK633" s="27" t="s">
        <v>8</v>
      </c>
      <c r="DL633" s="27" t="s">
        <v>7</v>
      </c>
      <c r="DM633" s="27" t="s">
        <v>8</v>
      </c>
      <c r="DN633" s="27" t="s">
        <v>7</v>
      </c>
      <c r="DO633" s="27" t="s">
        <v>8</v>
      </c>
      <c r="DP633" s="27" t="s">
        <v>7</v>
      </c>
      <c r="DQ633" s="27" t="s">
        <v>8</v>
      </c>
      <c r="DR633" s="27" t="s">
        <v>7</v>
      </c>
      <c r="HC633" s="27" t="s">
        <v>8</v>
      </c>
      <c r="HD633" s="27" t="s">
        <v>7</v>
      </c>
      <c r="HE633" s="27" t="s">
        <v>8</v>
      </c>
      <c r="HF633" s="27" t="s">
        <v>7</v>
      </c>
      <c r="HG633" s="27" t="s">
        <v>8</v>
      </c>
      <c r="HI633" s="27" t="s">
        <v>8</v>
      </c>
      <c r="HJ633" s="27" t="s">
        <v>7</v>
      </c>
      <c r="HK633" s="27" t="s">
        <v>8</v>
      </c>
      <c r="HL633" s="27" t="s">
        <v>7</v>
      </c>
      <c r="HO633" s="27" t="s">
        <v>8</v>
      </c>
      <c r="HP633" s="27" t="s">
        <v>7</v>
      </c>
      <c r="HQ633" s="27" t="s">
        <v>8</v>
      </c>
      <c r="ON633" s="27" t="s">
        <v>7</v>
      </c>
    </row>
    <row r="634" spans="1:407" x14ac:dyDescent="0.25">
      <c r="A634" s="7">
        <v>0.39426836073618904</v>
      </c>
      <c r="B634"/>
      <c r="C634"/>
      <c r="D634"/>
      <c r="E634"/>
      <c r="F634" s="27" t="s">
        <v>7</v>
      </c>
      <c r="Q634" s="27" t="s">
        <v>8</v>
      </c>
      <c r="R634" s="27" t="s">
        <v>7</v>
      </c>
      <c r="AE634" s="27" t="s">
        <v>8</v>
      </c>
      <c r="AH634" s="27" t="s">
        <v>7</v>
      </c>
      <c r="CE634" s="27" t="s">
        <v>8</v>
      </c>
      <c r="CF634" s="27" t="s">
        <v>7</v>
      </c>
      <c r="CW634" s="27" t="s">
        <v>8</v>
      </c>
      <c r="CX634" s="27" t="s">
        <v>7</v>
      </c>
      <c r="DE634" s="27" t="s">
        <v>8</v>
      </c>
      <c r="DH634" s="27" t="s">
        <v>7</v>
      </c>
      <c r="DI634" s="27" t="s">
        <v>8</v>
      </c>
      <c r="DJ634" s="27" t="s">
        <v>7</v>
      </c>
      <c r="DK634" s="27" t="s">
        <v>8</v>
      </c>
      <c r="DL634" s="27" t="s">
        <v>7</v>
      </c>
      <c r="DM634" s="27" t="s">
        <v>8</v>
      </c>
      <c r="DN634" s="27" t="s">
        <v>7</v>
      </c>
      <c r="DO634" s="27" t="s">
        <v>8</v>
      </c>
      <c r="DP634" s="27" t="s">
        <v>7</v>
      </c>
      <c r="DQ634" s="27" t="s">
        <v>8</v>
      </c>
      <c r="DR634" s="27" t="s">
        <v>7</v>
      </c>
      <c r="HC634" s="27" t="s">
        <v>8</v>
      </c>
      <c r="HD634" s="27" t="s">
        <v>7</v>
      </c>
      <c r="HE634" s="27" t="s">
        <v>8</v>
      </c>
      <c r="HF634" s="27" t="s">
        <v>7</v>
      </c>
      <c r="HG634" s="27" t="s">
        <v>8</v>
      </c>
      <c r="HH634" s="27" t="s">
        <v>7</v>
      </c>
      <c r="HI634" s="27" t="s">
        <v>8</v>
      </c>
      <c r="HJ634" s="27" t="s">
        <v>7</v>
      </c>
      <c r="HK634" s="27" t="s">
        <v>8</v>
      </c>
      <c r="HL634" s="27" t="s">
        <v>7</v>
      </c>
      <c r="HO634" s="27" t="s">
        <v>8</v>
      </c>
      <c r="HP634" s="27" t="s">
        <v>7</v>
      </c>
      <c r="HQ634" s="27" t="s">
        <v>8</v>
      </c>
      <c r="ON634" s="27" t="s">
        <v>7</v>
      </c>
    </row>
    <row r="635" spans="1:407" x14ac:dyDescent="0.25">
      <c r="A635" s="7">
        <v>0.38653760856489122</v>
      </c>
      <c r="B635"/>
      <c r="C635"/>
      <c r="D635"/>
      <c r="E635"/>
      <c r="F635" s="27" t="s">
        <v>7</v>
      </c>
      <c r="Q635" s="27" t="s">
        <v>8</v>
      </c>
      <c r="R635" s="27" t="s">
        <v>7</v>
      </c>
      <c r="AE635" s="27" t="s">
        <v>8</v>
      </c>
      <c r="AH635" s="27" t="s">
        <v>7</v>
      </c>
      <c r="CE635" s="27" t="s">
        <v>8</v>
      </c>
      <c r="CF635" s="27" t="s">
        <v>7</v>
      </c>
      <c r="CW635" s="27" t="s">
        <v>8</v>
      </c>
      <c r="CX635" s="27" t="s">
        <v>7</v>
      </c>
      <c r="CY635" s="27" t="s">
        <v>8</v>
      </c>
      <c r="DE635" s="27" t="s">
        <v>8</v>
      </c>
      <c r="DH635" s="27" t="s">
        <v>7</v>
      </c>
      <c r="DI635" s="27" t="s">
        <v>8</v>
      </c>
      <c r="DJ635" s="27" t="s">
        <v>7</v>
      </c>
      <c r="DK635" s="27" t="s">
        <v>8</v>
      </c>
      <c r="DL635" s="27" t="s">
        <v>7</v>
      </c>
      <c r="DM635" s="27" t="s">
        <v>8</v>
      </c>
      <c r="DN635" s="27" t="s">
        <v>7</v>
      </c>
      <c r="DO635" s="27" t="s">
        <v>8</v>
      </c>
      <c r="DP635" s="27" t="s">
        <v>7</v>
      </c>
      <c r="DR635" s="27" t="s">
        <v>7</v>
      </c>
      <c r="HC635" s="27" t="s">
        <v>8</v>
      </c>
      <c r="HD635" s="27" t="s">
        <v>7</v>
      </c>
      <c r="HE635" s="27" t="s">
        <v>8</v>
      </c>
      <c r="HF635" s="27" t="s">
        <v>7</v>
      </c>
      <c r="HG635" s="27" t="s">
        <v>8</v>
      </c>
      <c r="HH635" s="27" t="s">
        <v>7</v>
      </c>
      <c r="HI635" s="27" t="s">
        <v>8</v>
      </c>
      <c r="HJ635" s="27" t="s">
        <v>7</v>
      </c>
      <c r="HK635" s="27" t="s">
        <v>8</v>
      </c>
      <c r="HL635" s="27" t="s">
        <v>7</v>
      </c>
      <c r="HO635" s="27" t="s">
        <v>8</v>
      </c>
      <c r="HP635" s="27" t="s">
        <v>7</v>
      </c>
      <c r="HQ635" s="27" t="s">
        <v>8</v>
      </c>
      <c r="ON635" s="27" t="s">
        <v>7</v>
      </c>
    </row>
    <row r="636" spans="1:407" x14ac:dyDescent="0.25">
      <c r="A636" s="7">
        <v>0.37895843976950117</v>
      </c>
      <c r="B636"/>
      <c r="C636"/>
      <c r="D636"/>
      <c r="E636"/>
      <c r="F636" s="27" t="s">
        <v>7</v>
      </c>
      <c r="Q636" s="27" t="s">
        <v>8</v>
      </c>
      <c r="R636" s="27" t="s">
        <v>7</v>
      </c>
      <c r="AE636" s="27" t="s">
        <v>8</v>
      </c>
      <c r="AH636" s="27" t="s">
        <v>7</v>
      </c>
      <c r="CE636" s="27" t="s">
        <v>8</v>
      </c>
      <c r="CF636" s="27" t="s">
        <v>7</v>
      </c>
      <c r="CW636" s="27" t="s">
        <v>8</v>
      </c>
      <c r="CX636" s="27" t="s">
        <v>7</v>
      </c>
      <c r="CY636" s="27" t="s">
        <v>8</v>
      </c>
      <c r="CZ636" s="27" t="s">
        <v>7</v>
      </c>
      <c r="DE636" s="27" t="s">
        <v>8</v>
      </c>
      <c r="DH636" s="27" t="s">
        <v>7</v>
      </c>
      <c r="DJ636" s="27" t="s">
        <v>7</v>
      </c>
      <c r="DK636" s="27" t="s">
        <v>8</v>
      </c>
      <c r="DL636" s="27" t="s">
        <v>7</v>
      </c>
      <c r="DM636" s="27" t="s">
        <v>8</v>
      </c>
      <c r="DN636" s="27" t="s">
        <v>7</v>
      </c>
      <c r="DO636" s="27" t="s">
        <v>8</v>
      </c>
      <c r="DR636" s="27" t="s">
        <v>7</v>
      </c>
      <c r="HC636" s="27" t="s">
        <v>8</v>
      </c>
      <c r="HD636" s="27" t="s">
        <v>7</v>
      </c>
      <c r="HE636" s="27" t="s">
        <v>8</v>
      </c>
      <c r="HF636" s="27" t="s">
        <v>7</v>
      </c>
      <c r="HG636" s="27" t="s">
        <v>8</v>
      </c>
      <c r="HH636" s="27" t="s">
        <v>7</v>
      </c>
      <c r="HI636" s="27" t="s">
        <v>8</v>
      </c>
      <c r="HJ636" s="27" t="s">
        <v>7</v>
      </c>
      <c r="HK636" s="27" t="s">
        <v>8</v>
      </c>
      <c r="HL636" s="27" t="s">
        <v>7</v>
      </c>
      <c r="HO636" s="27" t="s">
        <v>8</v>
      </c>
      <c r="HP636" s="27" t="s">
        <v>7</v>
      </c>
      <c r="HQ636" s="27" t="s">
        <v>8</v>
      </c>
      <c r="ON636" s="27" t="s">
        <v>7</v>
      </c>
    </row>
    <row r="637" spans="1:407" x14ac:dyDescent="0.25">
      <c r="A637" s="7">
        <v>0.37152788212696197</v>
      </c>
      <c r="B637"/>
      <c r="C637"/>
      <c r="D637"/>
      <c r="E637"/>
      <c r="F637" s="27" t="s">
        <v>7</v>
      </c>
      <c r="Q637" s="27" t="s">
        <v>8</v>
      </c>
      <c r="R637" s="27" t="s">
        <v>7</v>
      </c>
      <c r="AE637" s="27" t="s">
        <v>8</v>
      </c>
      <c r="AH637" s="27" t="s">
        <v>7</v>
      </c>
      <c r="CE637" s="27" t="s">
        <v>8</v>
      </c>
      <c r="CF637" s="27" t="s">
        <v>7</v>
      </c>
      <c r="CW637" s="27" t="s">
        <v>8</v>
      </c>
      <c r="CX637" s="27" t="s">
        <v>7</v>
      </c>
      <c r="CY637" s="27" t="s">
        <v>8</v>
      </c>
      <c r="CZ637" s="27" t="s">
        <v>7</v>
      </c>
      <c r="DE637" s="27" t="s">
        <v>8</v>
      </c>
      <c r="DJ637" s="27" t="s">
        <v>7</v>
      </c>
      <c r="DL637" s="27" t="s">
        <v>7</v>
      </c>
      <c r="DN637" s="27" t="s">
        <v>7</v>
      </c>
      <c r="DR637" s="27" t="s">
        <v>7</v>
      </c>
      <c r="HC637" s="27" t="s">
        <v>8</v>
      </c>
      <c r="HD637" s="27" t="s">
        <v>7</v>
      </c>
      <c r="HE637" s="27" t="s">
        <v>8</v>
      </c>
      <c r="HF637" s="27" t="s">
        <v>7</v>
      </c>
      <c r="HG637" s="27" t="s">
        <v>8</v>
      </c>
      <c r="HH637" s="27" t="s">
        <v>7</v>
      </c>
      <c r="HJ637" s="27" t="s">
        <v>7</v>
      </c>
      <c r="HK637" s="27" t="s">
        <v>8</v>
      </c>
      <c r="HL637" s="27" t="s">
        <v>7</v>
      </c>
      <c r="HO637" s="27" t="s">
        <v>8</v>
      </c>
      <c r="HP637" s="27" t="s">
        <v>7</v>
      </c>
      <c r="HQ637" s="27" t="s">
        <v>8</v>
      </c>
      <c r="ON637" s="27" t="s">
        <v>7</v>
      </c>
    </row>
    <row r="638" spans="1:407" x14ac:dyDescent="0.25">
      <c r="A638" s="7">
        <v>0.36424302169310002</v>
      </c>
      <c r="B638"/>
      <c r="C638"/>
      <c r="D638"/>
      <c r="E638"/>
      <c r="F638" s="27" t="s">
        <v>7</v>
      </c>
      <c r="Q638" s="27" t="s">
        <v>8</v>
      </c>
      <c r="R638" s="27" t="s">
        <v>7</v>
      </c>
      <c r="U638" s="27" t="s">
        <v>8</v>
      </c>
      <c r="AE638" s="27" t="s">
        <v>8</v>
      </c>
      <c r="AH638" s="27" t="s">
        <v>7</v>
      </c>
      <c r="CE638" s="27" t="s">
        <v>8</v>
      </c>
      <c r="CF638" s="27" t="s">
        <v>7</v>
      </c>
      <c r="CW638" s="27" t="s">
        <v>8</v>
      </c>
      <c r="CX638" s="27" t="s">
        <v>7</v>
      </c>
      <c r="CY638" s="27" t="s">
        <v>8</v>
      </c>
      <c r="CZ638" s="27" t="s">
        <v>7</v>
      </c>
      <c r="DE638" s="27" t="s">
        <v>8</v>
      </c>
      <c r="DR638" s="27" t="s">
        <v>7</v>
      </c>
      <c r="HC638" s="27" t="s">
        <v>8</v>
      </c>
      <c r="HD638" s="27" t="s">
        <v>7</v>
      </c>
      <c r="HE638" s="27" t="s">
        <v>8</v>
      </c>
      <c r="HF638" s="27" t="s">
        <v>7</v>
      </c>
      <c r="HG638" s="27" t="s">
        <v>8</v>
      </c>
      <c r="HJ638" s="27" t="s">
        <v>7</v>
      </c>
      <c r="HL638" s="27" t="s">
        <v>7</v>
      </c>
      <c r="HO638" s="27" t="s">
        <v>8</v>
      </c>
      <c r="HP638" s="27" t="s">
        <v>7</v>
      </c>
      <c r="HQ638" s="27" t="s">
        <v>8</v>
      </c>
      <c r="ON638" s="27" t="s">
        <v>7</v>
      </c>
    </row>
    <row r="639" spans="1:407" x14ac:dyDescent="0.25">
      <c r="A639" s="7">
        <v>0.35710100165990194</v>
      </c>
      <c r="B639"/>
      <c r="C639"/>
      <c r="D639"/>
      <c r="E639"/>
      <c r="F639" s="27" t="s">
        <v>7</v>
      </c>
      <c r="Q639" s="27" t="s">
        <v>8</v>
      </c>
      <c r="R639" s="27" t="s">
        <v>7</v>
      </c>
      <c r="U639" s="27" t="s">
        <v>8</v>
      </c>
      <c r="V639" s="27" t="s">
        <v>7</v>
      </c>
      <c r="AE639" s="27" t="s">
        <v>8</v>
      </c>
      <c r="AH639" s="27" t="s">
        <v>7</v>
      </c>
      <c r="CE639" s="27" t="s">
        <v>8</v>
      </c>
      <c r="CF639" s="27" t="s">
        <v>7</v>
      </c>
      <c r="CI639" s="27" t="s">
        <v>8</v>
      </c>
      <c r="CW639" s="27" t="s">
        <v>8</v>
      </c>
      <c r="CX639" s="27" t="s">
        <v>7</v>
      </c>
      <c r="CY639" s="27" t="s">
        <v>8</v>
      </c>
      <c r="CZ639" s="27" t="s">
        <v>7</v>
      </c>
      <c r="DE639" s="27" t="s">
        <v>8</v>
      </c>
      <c r="DR639" s="27" t="s">
        <v>7</v>
      </c>
      <c r="HC639" s="27" t="s">
        <v>8</v>
      </c>
      <c r="HD639" s="27" t="s">
        <v>7</v>
      </c>
      <c r="HF639" s="27" t="s">
        <v>7</v>
      </c>
      <c r="HG639" s="27" t="s">
        <v>8</v>
      </c>
      <c r="HL639" s="27" t="s">
        <v>7</v>
      </c>
      <c r="HO639" s="27" t="s">
        <v>8</v>
      </c>
      <c r="HP639" s="27" t="s">
        <v>7</v>
      </c>
      <c r="HQ639" s="27" t="s">
        <v>8</v>
      </c>
      <c r="ON639" s="27" t="s">
        <v>7</v>
      </c>
    </row>
    <row r="640" spans="1:407" x14ac:dyDescent="0.25">
      <c r="A640" s="7">
        <v>0.35009902123519804</v>
      </c>
      <c r="B640"/>
      <c r="C640"/>
      <c r="D640"/>
      <c r="E640"/>
      <c r="F640" s="27" t="s">
        <v>7</v>
      </c>
      <c r="Q640" s="27" t="s">
        <v>8</v>
      </c>
      <c r="R640" s="27" t="s">
        <v>7</v>
      </c>
      <c r="U640" s="27" t="s">
        <v>8</v>
      </c>
      <c r="V640" s="27" t="s">
        <v>7</v>
      </c>
      <c r="AE640" s="27" t="s">
        <v>8</v>
      </c>
      <c r="AH640" s="27" t="s">
        <v>7</v>
      </c>
      <c r="CE640" s="27" t="s">
        <v>8</v>
      </c>
      <c r="CF640" s="27" t="s">
        <v>7</v>
      </c>
      <c r="CI640" s="27" t="s">
        <v>8</v>
      </c>
      <c r="CJ640" s="27" t="s">
        <v>7</v>
      </c>
      <c r="CW640" s="27" t="s">
        <v>8</v>
      </c>
      <c r="CX640" s="27" t="s">
        <v>7</v>
      </c>
      <c r="CY640" s="27" t="s">
        <v>8</v>
      </c>
      <c r="CZ640" s="27" t="s">
        <v>7</v>
      </c>
      <c r="DE640" s="27" t="s">
        <v>8</v>
      </c>
      <c r="DR640" s="27" t="s">
        <v>7</v>
      </c>
      <c r="HC640" s="27" t="s">
        <v>8</v>
      </c>
      <c r="HF640" s="27" t="s">
        <v>7</v>
      </c>
      <c r="HG640" s="27" t="s">
        <v>8</v>
      </c>
      <c r="HL640" s="27" t="s">
        <v>7</v>
      </c>
      <c r="HO640" s="27" t="s">
        <v>8</v>
      </c>
      <c r="HP640" s="27" t="s">
        <v>7</v>
      </c>
      <c r="HQ640" s="27" t="s">
        <v>8</v>
      </c>
      <c r="ON640" s="27" t="s">
        <v>7</v>
      </c>
      <c r="OQ640" s="27" t="s">
        <v>8</v>
      </c>
    </row>
    <row r="641" spans="1:408" x14ac:dyDescent="0.25">
      <c r="A641" s="7">
        <v>0.34323433454431179</v>
      </c>
      <c r="B641"/>
      <c r="C641"/>
      <c r="D641"/>
      <c r="E641"/>
      <c r="F641" s="27" t="s">
        <v>7</v>
      </c>
      <c r="Q641" s="27" t="s">
        <v>8</v>
      </c>
      <c r="R641" s="27" t="s">
        <v>7</v>
      </c>
      <c r="S641" s="27" t="s">
        <v>8</v>
      </c>
      <c r="U641" s="27" t="s">
        <v>8</v>
      </c>
      <c r="V641" s="27" t="s">
        <v>7</v>
      </c>
      <c r="AA641" s="27" t="s">
        <v>8</v>
      </c>
      <c r="AE641" s="27" t="s">
        <v>8</v>
      </c>
      <c r="AH641" s="27" t="s">
        <v>7</v>
      </c>
      <c r="CE641" s="27" t="s">
        <v>8</v>
      </c>
      <c r="CF641" s="27" t="s">
        <v>7</v>
      </c>
      <c r="CI641" s="27" t="s">
        <v>8</v>
      </c>
      <c r="CJ641" s="27" t="s">
        <v>7</v>
      </c>
      <c r="CO641" s="27" t="s">
        <v>8</v>
      </c>
      <c r="CW641" s="27" t="s">
        <v>8</v>
      </c>
      <c r="CX641" s="27" t="s">
        <v>7</v>
      </c>
      <c r="CZ641" s="27" t="s">
        <v>7</v>
      </c>
      <c r="DE641" s="27" t="s">
        <v>8</v>
      </c>
      <c r="DR641" s="27" t="s">
        <v>7</v>
      </c>
      <c r="HC641" s="27" t="s">
        <v>8</v>
      </c>
      <c r="HF641" s="27" t="s">
        <v>7</v>
      </c>
      <c r="HG641" s="27" t="s">
        <v>8</v>
      </c>
      <c r="HL641" s="27" t="s">
        <v>7</v>
      </c>
      <c r="HO641" s="27" t="s">
        <v>8</v>
      </c>
      <c r="HP641" s="27" t="s">
        <v>7</v>
      </c>
      <c r="HQ641" s="27" t="s">
        <v>8</v>
      </c>
      <c r="ON641" s="27" t="s">
        <v>7</v>
      </c>
      <c r="OO641" s="27" t="s">
        <v>8</v>
      </c>
      <c r="OQ641" s="27" t="s">
        <v>8</v>
      </c>
      <c r="OR641" s="27" t="s">
        <v>7</v>
      </c>
    </row>
    <row r="642" spans="1:408" x14ac:dyDescent="0.25">
      <c r="A642" s="7">
        <v>0.33650424955324681</v>
      </c>
      <c r="B642"/>
      <c r="C642"/>
      <c r="D642"/>
      <c r="E642"/>
      <c r="F642" s="27" t="s">
        <v>7</v>
      </c>
      <c r="Q642" s="27" t="s">
        <v>8</v>
      </c>
      <c r="R642" s="27" t="s">
        <v>7</v>
      </c>
      <c r="S642" s="27" t="s">
        <v>8</v>
      </c>
      <c r="T642" s="27" t="s">
        <v>7</v>
      </c>
      <c r="U642" s="27" t="s">
        <v>8</v>
      </c>
      <c r="V642" s="27" t="s">
        <v>7</v>
      </c>
      <c r="AA642" s="27" t="s">
        <v>8</v>
      </c>
      <c r="AB642" s="27" t="s">
        <v>7</v>
      </c>
      <c r="AC642" s="27" t="s">
        <v>8</v>
      </c>
      <c r="AE642" s="27" t="s">
        <v>8</v>
      </c>
      <c r="AH642" s="27" t="s">
        <v>7</v>
      </c>
      <c r="CE642" s="27" t="s">
        <v>8</v>
      </c>
      <c r="CF642" s="27" t="s">
        <v>7</v>
      </c>
      <c r="CI642" s="27" t="s">
        <v>8</v>
      </c>
      <c r="CJ642" s="27" t="s">
        <v>7</v>
      </c>
      <c r="CO642" s="27" t="s">
        <v>8</v>
      </c>
      <c r="CP642" s="27" t="s">
        <v>7</v>
      </c>
      <c r="CU642" s="27" t="s">
        <v>8</v>
      </c>
      <c r="CW642" s="27" t="s">
        <v>8</v>
      </c>
      <c r="CZ642" s="27" t="s">
        <v>7</v>
      </c>
      <c r="DA642" s="27" t="s">
        <v>8</v>
      </c>
      <c r="DE642" s="27" t="s">
        <v>8</v>
      </c>
      <c r="DR642" s="27" t="s">
        <v>7</v>
      </c>
      <c r="HC642" s="27" t="s">
        <v>8</v>
      </c>
      <c r="HF642" s="27" t="s">
        <v>7</v>
      </c>
      <c r="HG642" s="27" t="s">
        <v>8</v>
      </c>
      <c r="HL642" s="27" t="s">
        <v>7</v>
      </c>
      <c r="HO642" s="27" t="s">
        <v>8</v>
      </c>
      <c r="HP642" s="27" t="s">
        <v>7</v>
      </c>
      <c r="HQ642" s="27" t="s">
        <v>8</v>
      </c>
      <c r="ON642" s="27" t="s">
        <v>7</v>
      </c>
      <c r="OO642" s="27" t="s">
        <v>8</v>
      </c>
      <c r="OP642" s="27" t="s">
        <v>7</v>
      </c>
      <c r="OQ642" s="27" t="s">
        <v>8</v>
      </c>
      <c r="OR642" s="27" t="s">
        <v>7</v>
      </c>
    </row>
    <row r="643" spans="1:408" x14ac:dyDescent="0.25">
      <c r="A643" s="7">
        <v>0.3299061270129871</v>
      </c>
      <c r="B643"/>
      <c r="C643"/>
      <c r="D643"/>
      <c r="E643"/>
      <c r="F643" s="27" t="s">
        <v>7</v>
      </c>
      <c r="Q643" s="27" t="s">
        <v>8</v>
      </c>
      <c r="R643" s="27" t="s">
        <v>7</v>
      </c>
      <c r="S643" s="27" t="s">
        <v>8</v>
      </c>
      <c r="T643" s="27" t="s">
        <v>7</v>
      </c>
      <c r="U643" s="27" t="s">
        <v>8</v>
      </c>
      <c r="V643" s="27" t="s">
        <v>7</v>
      </c>
      <c r="AA643" s="27" t="s">
        <v>8</v>
      </c>
      <c r="AB643" s="27" t="s">
        <v>7</v>
      </c>
      <c r="AC643" s="27" t="s">
        <v>8</v>
      </c>
      <c r="AD643" s="27" t="s">
        <v>7</v>
      </c>
      <c r="AE643" s="27" t="s">
        <v>8</v>
      </c>
      <c r="AH643" s="27" t="s">
        <v>7</v>
      </c>
      <c r="CE643" s="27" t="s">
        <v>8</v>
      </c>
      <c r="CF643" s="27" t="s">
        <v>7</v>
      </c>
      <c r="CI643" s="27" t="s">
        <v>8</v>
      </c>
      <c r="CJ643" s="27" t="s">
        <v>7</v>
      </c>
      <c r="CO643" s="27" t="s">
        <v>8</v>
      </c>
      <c r="CP643" s="27" t="s">
        <v>7</v>
      </c>
      <c r="CU643" s="27" t="s">
        <v>8</v>
      </c>
      <c r="CV643" s="27" t="s">
        <v>7</v>
      </c>
      <c r="CW643" s="27" t="s">
        <v>8</v>
      </c>
      <c r="CZ643" s="27" t="s">
        <v>7</v>
      </c>
      <c r="DA643" s="27" t="s">
        <v>8</v>
      </c>
      <c r="DB643" s="27" t="s">
        <v>7</v>
      </c>
      <c r="DE643" s="27" t="s">
        <v>8</v>
      </c>
      <c r="DR643" s="27" t="s">
        <v>7</v>
      </c>
      <c r="HC643" s="27" t="s">
        <v>8</v>
      </c>
      <c r="HF643" s="27" t="s">
        <v>7</v>
      </c>
      <c r="HG643" s="27" t="s">
        <v>8</v>
      </c>
      <c r="HL643" s="27" t="s">
        <v>7</v>
      </c>
      <c r="HM643" s="27" t="s">
        <v>8</v>
      </c>
      <c r="HO643" s="27" t="s">
        <v>8</v>
      </c>
      <c r="HP643" s="27" t="s">
        <v>7</v>
      </c>
      <c r="HQ643" s="27" t="s">
        <v>8</v>
      </c>
      <c r="ON643" s="27" t="s">
        <v>7</v>
      </c>
      <c r="OO643" s="27" t="s">
        <v>8</v>
      </c>
      <c r="OP643" s="27" t="s">
        <v>7</v>
      </c>
      <c r="OQ643" s="27" t="s">
        <v>8</v>
      </c>
      <c r="OR643" s="27" t="s">
        <v>7</v>
      </c>
    </row>
    <row r="644" spans="1:408" x14ac:dyDescent="0.25">
      <c r="A644" s="7">
        <v>0.32343737942449713</v>
      </c>
      <c r="B644"/>
      <c r="C644"/>
      <c r="D644"/>
      <c r="E644"/>
      <c r="F644" s="27" t="s">
        <v>7</v>
      </c>
      <c r="Q644" s="27" t="s">
        <v>8</v>
      </c>
      <c r="R644" s="27" t="s">
        <v>7</v>
      </c>
      <c r="S644" s="27" t="s">
        <v>8</v>
      </c>
      <c r="T644" s="27" t="s">
        <v>7</v>
      </c>
      <c r="U644" s="27" t="s">
        <v>8</v>
      </c>
      <c r="V644" s="27" t="s">
        <v>7</v>
      </c>
      <c r="Y644" s="27" t="s">
        <v>8</v>
      </c>
      <c r="AA644" s="27" t="s">
        <v>8</v>
      </c>
      <c r="AB644" s="27" t="s">
        <v>7</v>
      </c>
      <c r="AC644" s="27" t="s">
        <v>8</v>
      </c>
      <c r="AD644" s="27" t="s">
        <v>7</v>
      </c>
      <c r="AE644" s="27" t="s">
        <v>8</v>
      </c>
      <c r="AH644" s="27" t="s">
        <v>7</v>
      </c>
      <c r="CE644" s="27" t="s">
        <v>8</v>
      </c>
      <c r="CF644" s="27" t="s">
        <v>7</v>
      </c>
      <c r="CG644" s="27" t="s">
        <v>8</v>
      </c>
      <c r="CI644" s="27" t="s">
        <v>8</v>
      </c>
      <c r="CJ644" s="27" t="s">
        <v>7</v>
      </c>
      <c r="CO644" s="27" t="s">
        <v>8</v>
      </c>
      <c r="CP644" s="27" t="s">
        <v>7</v>
      </c>
      <c r="CQ644" s="27" t="s">
        <v>8</v>
      </c>
      <c r="CU644" s="27" t="s">
        <v>8</v>
      </c>
      <c r="CV644" s="27" t="s">
        <v>7</v>
      </c>
      <c r="CW644" s="27" t="s">
        <v>8</v>
      </c>
      <c r="CZ644" s="27" t="s">
        <v>7</v>
      </c>
      <c r="DA644" s="27" t="s">
        <v>8</v>
      </c>
      <c r="DB644" s="27" t="s">
        <v>7</v>
      </c>
      <c r="DE644" s="27" t="s">
        <v>8</v>
      </c>
      <c r="DR644" s="27" t="s">
        <v>7</v>
      </c>
      <c r="HC644" s="27" t="s">
        <v>8</v>
      </c>
      <c r="HF644" s="27" t="s">
        <v>7</v>
      </c>
      <c r="HG644" s="27" t="s">
        <v>8</v>
      </c>
      <c r="HL644" s="27" t="s">
        <v>7</v>
      </c>
      <c r="HM644" s="27" t="s">
        <v>8</v>
      </c>
      <c r="HN644" s="27" t="s">
        <v>7</v>
      </c>
      <c r="HO644" s="27" t="s">
        <v>8</v>
      </c>
      <c r="HP644" s="27" t="s">
        <v>7</v>
      </c>
      <c r="HQ644" s="27" t="s">
        <v>8</v>
      </c>
      <c r="ON644" s="27" t="s">
        <v>7</v>
      </c>
      <c r="OO644" s="27" t="s">
        <v>8</v>
      </c>
      <c r="OP644" s="27" t="s">
        <v>7</v>
      </c>
      <c r="OQ644" s="27" t="s">
        <v>8</v>
      </c>
      <c r="OR644" s="27" t="s">
        <v>7</v>
      </c>
    </row>
    <row r="645" spans="1:408" x14ac:dyDescent="0.25">
      <c r="A645" s="7">
        <v>0.31709547002401678</v>
      </c>
      <c r="B645"/>
      <c r="C645"/>
      <c r="D645"/>
      <c r="E645"/>
      <c r="F645" s="27" t="s">
        <v>7</v>
      </c>
      <c r="Q645" s="27" t="s">
        <v>8</v>
      </c>
      <c r="R645" s="27" t="s">
        <v>7</v>
      </c>
      <c r="S645" s="27" t="s">
        <v>8</v>
      </c>
      <c r="T645" s="27" t="s">
        <v>7</v>
      </c>
      <c r="U645" s="27" t="s">
        <v>8</v>
      </c>
      <c r="V645" s="27" t="s">
        <v>7</v>
      </c>
      <c r="Y645" s="27" t="s">
        <v>8</v>
      </c>
      <c r="Z645" s="27" t="s">
        <v>7</v>
      </c>
      <c r="AA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  <c r="AH645" s="27" t="s">
        <v>7</v>
      </c>
      <c r="CE645" s="27" t="s">
        <v>8</v>
      </c>
      <c r="CF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O645" s="27" t="s">
        <v>8</v>
      </c>
      <c r="CP645" s="27" t="s">
        <v>7</v>
      </c>
      <c r="CQ645" s="27" t="s">
        <v>8</v>
      </c>
      <c r="CR645" s="27" t="s">
        <v>7</v>
      </c>
      <c r="CU645" s="27" t="s">
        <v>8</v>
      </c>
      <c r="CV645" s="27" t="s">
        <v>7</v>
      </c>
      <c r="CZ645" s="27" t="s">
        <v>7</v>
      </c>
      <c r="DA645" s="27" t="s">
        <v>8</v>
      </c>
      <c r="DB645" s="27" t="s">
        <v>7</v>
      </c>
      <c r="DC645" s="27" t="s">
        <v>8</v>
      </c>
      <c r="DE645" s="27" t="s">
        <v>8</v>
      </c>
      <c r="DR645" s="27" t="s">
        <v>7</v>
      </c>
      <c r="HC645" s="27" t="s">
        <v>8</v>
      </c>
      <c r="HF645" s="27" t="s">
        <v>7</v>
      </c>
      <c r="HG645" s="27" t="s">
        <v>8</v>
      </c>
      <c r="HL645" s="27" t="s">
        <v>7</v>
      </c>
      <c r="HM645" s="27" t="s">
        <v>8</v>
      </c>
      <c r="HN645" s="27" t="s">
        <v>7</v>
      </c>
      <c r="HO645" s="27" t="s">
        <v>8</v>
      </c>
      <c r="HP645" s="27" t="s">
        <v>7</v>
      </c>
      <c r="HQ645" s="27" t="s">
        <v>8</v>
      </c>
      <c r="ON645" s="27" t="s">
        <v>7</v>
      </c>
      <c r="OO645" s="27" t="s">
        <v>8</v>
      </c>
      <c r="OP645" s="27" t="s">
        <v>7</v>
      </c>
      <c r="OQ645" s="27" t="s">
        <v>8</v>
      </c>
      <c r="OR645" s="27" t="s">
        <v>7</v>
      </c>
    </row>
    <row r="646" spans="1:408" x14ac:dyDescent="0.25">
      <c r="A646" s="7">
        <v>0.31087791178825175</v>
      </c>
      <c r="B646"/>
      <c r="C646"/>
      <c r="D646"/>
      <c r="E646"/>
      <c r="F646" s="27" t="s">
        <v>7</v>
      </c>
      <c r="Q646" s="27" t="s">
        <v>8</v>
      </c>
      <c r="R646" s="27" t="s">
        <v>7</v>
      </c>
      <c r="S646" s="27" t="s">
        <v>8</v>
      </c>
      <c r="T646" s="27" t="s">
        <v>7</v>
      </c>
      <c r="U646" s="27" t="s">
        <v>8</v>
      </c>
      <c r="V646" s="27" t="s">
        <v>7</v>
      </c>
      <c r="Y646" s="27" t="s">
        <v>8</v>
      </c>
      <c r="Z646" s="27" t="s">
        <v>7</v>
      </c>
      <c r="AA646" s="27" t="s">
        <v>8</v>
      </c>
      <c r="AB646" s="27" t="s">
        <v>7</v>
      </c>
      <c r="AD646" s="27" t="s">
        <v>7</v>
      </c>
      <c r="AE646" s="27" t="s">
        <v>8</v>
      </c>
      <c r="AH646" s="27" t="s">
        <v>7</v>
      </c>
      <c r="CE646" s="27" t="s">
        <v>8</v>
      </c>
      <c r="CF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O646" s="27" t="s">
        <v>8</v>
      </c>
      <c r="CP646" s="27" t="s">
        <v>7</v>
      </c>
      <c r="CQ646" s="27" t="s">
        <v>8</v>
      </c>
      <c r="CR646" s="27" t="s">
        <v>7</v>
      </c>
      <c r="CS646" s="27" t="s">
        <v>8</v>
      </c>
      <c r="CU646" s="27" t="s">
        <v>8</v>
      </c>
      <c r="CZ646" s="27" t="s">
        <v>7</v>
      </c>
      <c r="DA646" s="27" t="s">
        <v>8</v>
      </c>
      <c r="DB646" s="27" t="s">
        <v>7</v>
      </c>
      <c r="DC646" s="27" t="s">
        <v>8</v>
      </c>
      <c r="DD646" s="27" t="s">
        <v>7</v>
      </c>
      <c r="DE646" s="27" t="s">
        <v>8</v>
      </c>
      <c r="DR646" s="27" t="s">
        <v>7</v>
      </c>
      <c r="HC646" s="27" t="s">
        <v>8</v>
      </c>
      <c r="HF646" s="27" t="s">
        <v>7</v>
      </c>
      <c r="HL646" s="27" t="s">
        <v>7</v>
      </c>
      <c r="HM646" s="27" t="s">
        <v>8</v>
      </c>
      <c r="HN646" s="27" t="s">
        <v>7</v>
      </c>
      <c r="HO646" s="27" t="s">
        <v>8</v>
      </c>
      <c r="HP646" s="27" t="s">
        <v>7</v>
      </c>
      <c r="ON646" s="27" t="s">
        <v>7</v>
      </c>
      <c r="OO646" s="27" t="s">
        <v>8</v>
      </c>
      <c r="OP646" s="27" t="s">
        <v>7</v>
      </c>
      <c r="OQ646" s="27" t="s">
        <v>8</v>
      </c>
    </row>
    <row r="647" spans="1:408" x14ac:dyDescent="0.25">
      <c r="A647" s="7">
        <v>0.30478226645907036</v>
      </c>
      <c r="B647"/>
      <c r="C647"/>
      <c r="D647"/>
      <c r="E647"/>
      <c r="F647" s="27" t="s">
        <v>7</v>
      </c>
      <c r="Q647" s="27" t="s">
        <v>8</v>
      </c>
      <c r="R647" s="27" t="s">
        <v>7</v>
      </c>
      <c r="T647" s="27" t="s">
        <v>7</v>
      </c>
      <c r="U647" s="27" t="s">
        <v>8</v>
      </c>
      <c r="V647" s="27" t="s">
        <v>7</v>
      </c>
      <c r="W647" s="27" t="s">
        <v>8</v>
      </c>
      <c r="Y647" s="27" t="s">
        <v>8</v>
      </c>
      <c r="Z647" s="27" t="s">
        <v>7</v>
      </c>
      <c r="AA647" s="27" t="s">
        <v>8</v>
      </c>
      <c r="AD647" s="27" t="s">
        <v>7</v>
      </c>
      <c r="AH647" s="27" t="s">
        <v>7</v>
      </c>
      <c r="CE647" s="27" t="s">
        <v>8</v>
      </c>
      <c r="CF647" s="27" t="s">
        <v>7</v>
      </c>
      <c r="CG647" s="27" t="s">
        <v>8</v>
      </c>
      <c r="CH647" s="27" t="s">
        <v>7</v>
      </c>
      <c r="CJ647" s="27" t="s">
        <v>7</v>
      </c>
      <c r="CO647" s="27" t="s">
        <v>8</v>
      </c>
      <c r="CP647" s="27" t="s">
        <v>7</v>
      </c>
      <c r="CR647" s="27" t="s">
        <v>7</v>
      </c>
      <c r="CS647" s="27" t="s">
        <v>8</v>
      </c>
      <c r="CT647" s="27" t="s">
        <v>7</v>
      </c>
      <c r="CU647" s="27" t="s">
        <v>8</v>
      </c>
      <c r="CZ647" s="27" t="s">
        <v>7</v>
      </c>
      <c r="DA647" s="27" t="s">
        <v>8</v>
      </c>
      <c r="DB647" s="27" t="s">
        <v>7</v>
      </c>
      <c r="DC647" s="27" t="s">
        <v>8</v>
      </c>
      <c r="DD647" s="27" t="s">
        <v>7</v>
      </c>
      <c r="DE647" s="27" t="s">
        <v>8</v>
      </c>
      <c r="DR647" s="27" t="s">
        <v>7</v>
      </c>
      <c r="HC647" s="27" t="s">
        <v>8</v>
      </c>
      <c r="HL647" s="27" t="s">
        <v>7</v>
      </c>
      <c r="HM647" s="27" t="s">
        <v>8</v>
      </c>
      <c r="HN647" s="27" t="s">
        <v>7</v>
      </c>
      <c r="HO647" s="27" t="s">
        <v>8</v>
      </c>
      <c r="ON647" s="27" t="s">
        <v>7</v>
      </c>
      <c r="OO647" s="27" t="s">
        <v>8</v>
      </c>
      <c r="OP647" s="27" t="s">
        <v>7</v>
      </c>
      <c r="OQ647" s="27" t="s">
        <v>8</v>
      </c>
    </row>
    <row r="648" spans="1:408" x14ac:dyDescent="0.25">
      <c r="A648" s="7">
        <v>0.29880614358732388</v>
      </c>
      <c r="B648"/>
      <c r="C648"/>
      <c r="D648"/>
      <c r="E648"/>
      <c r="F648" s="27" t="s">
        <v>7</v>
      </c>
      <c r="Q648" s="27" t="s">
        <v>8</v>
      </c>
      <c r="T648" s="27" t="s">
        <v>7</v>
      </c>
      <c r="U648" s="27" t="s">
        <v>8</v>
      </c>
      <c r="V648" s="27" t="s">
        <v>7</v>
      </c>
      <c r="W648" s="27" t="s">
        <v>8</v>
      </c>
      <c r="X648" s="27" t="s">
        <v>7</v>
      </c>
      <c r="Y648" s="27" t="s">
        <v>8</v>
      </c>
      <c r="Z648" s="27" t="s">
        <v>7</v>
      </c>
      <c r="AA648" s="27" t="s">
        <v>8</v>
      </c>
      <c r="AH648" s="27" t="s">
        <v>7</v>
      </c>
      <c r="CE648" s="27" t="s">
        <v>8</v>
      </c>
      <c r="CF648" s="27" t="s">
        <v>7</v>
      </c>
      <c r="CJ648" s="27" t="s">
        <v>7</v>
      </c>
      <c r="CK648" s="27" t="s">
        <v>8</v>
      </c>
      <c r="CO648" s="27" t="s">
        <v>8</v>
      </c>
      <c r="CR648" s="27" t="s">
        <v>7</v>
      </c>
      <c r="CS648" s="27" t="s">
        <v>8</v>
      </c>
      <c r="CT648" s="27" t="s">
        <v>7</v>
      </c>
      <c r="CU648" s="27" t="s">
        <v>8</v>
      </c>
      <c r="CZ648" s="27" t="s">
        <v>7</v>
      </c>
      <c r="DA648" s="27" t="s">
        <v>8</v>
      </c>
      <c r="DB648" s="27" t="s">
        <v>7</v>
      </c>
      <c r="DC648" s="27" t="s">
        <v>8</v>
      </c>
      <c r="DD648" s="27" t="s">
        <v>7</v>
      </c>
      <c r="DR648" s="27" t="s">
        <v>7</v>
      </c>
      <c r="HC648" s="27" t="s">
        <v>8</v>
      </c>
      <c r="HL648" s="27" t="s">
        <v>7</v>
      </c>
      <c r="HM648" s="27" t="s">
        <v>8</v>
      </c>
      <c r="HN648" s="27" t="s">
        <v>7</v>
      </c>
      <c r="HO648" s="27" t="s">
        <v>8</v>
      </c>
      <c r="ON648" s="27" t="s">
        <v>7</v>
      </c>
      <c r="OO648" s="27" t="s">
        <v>8</v>
      </c>
      <c r="OP648" s="27" t="s">
        <v>7</v>
      </c>
      <c r="OQ648" s="27" t="s">
        <v>8</v>
      </c>
    </row>
    <row r="649" spans="1:408" x14ac:dyDescent="0.25">
      <c r="A649" s="7">
        <v>0.2929471995954156</v>
      </c>
      <c r="B649"/>
      <c r="C649"/>
      <c r="D649"/>
      <c r="E649"/>
      <c r="F649" s="27" t="s">
        <v>7</v>
      </c>
      <c r="Q649" s="27" t="s">
        <v>8</v>
      </c>
      <c r="T649" s="27" t="s">
        <v>7</v>
      </c>
      <c r="U649" s="27" t="s">
        <v>8</v>
      </c>
      <c r="V649" s="27" t="s">
        <v>7</v>
      </c>
      <c r="W649" s="27" t="s">
        <v>8</v>
      </c>
      <c r="X649" s="27" t="s">
        <v>7</v>
      </c>
      <c r="Y649" s="27" t="s">
        <v>8</v>
      </c>
      <c r="Z649" s="27" t="s">
        <v>7</v>
      </c>
      <c r="AA649" s="27" t="s">
        <v>8</v>
      </c>
      <c r="AH649" s="27" t="s">
        <v>7</v>
      </c>
      <c r="CE649" s="27" t="s">
        <v>8</v>
      </c>
      <c r="CJ649" s="27" t="s">
        <v>7</v>
      </c>
      <c r="CK649" s="27" t="s">
        <v>8</v>
      </c>
      <c r="CL649" s="27" t="s">
        <v>7</v>
      </c>
      <c r="CO649" s="27" t="s">
        <v>8</v>
      </c>
      <c r="CR649" s="27" t="s">
        <v>7</v>
      </c>
      <c r="CS649" s="27" t="s">
        <v>8</v>
      </c>
      <c r="CT649" s="27" t="s">
        <v>7</v>
      </c>
      <c r="CU649" s="27" t="s">
        <v>8</v>
      </c>
      <c r="CZ649" s="27" t="s">
        <v>7</v>
      </c>
      <c r="DB649" s="27" t="s">
        <v>7</v>
      </c>
      <c r="DC649" s="27" t="s">
        <v>8</v>
      </c>
      <c r="DR649" s="27" t="s">
        <v>7</v>
      </c>
      <c r="HC649" s="27" t="s">
        <v>8</v>
      </c>
      <c r="HL649" s="27" t="s">
        <v>7</v>
      </c>
      <c r="HM649" s="27" t="s">
        <v>8</v>
      </c>
      <c r="HN649" s="27" t="s">
        <v>7</v>
      </c>
      <c r="HO649" s="27" t="s">
        <v>8</v>
      </c>
      <c r="ON649" s="27" t="s">
        <v>7</v>
      </c>
      <c r="OP649" s="27" t="s">
        <v>7</v>
      </c>
      <c r="OQ649" s="27" t="s">
        <v>8</v>
      </c>
    </row>
    <row r="650" spans="1:408" x14ac:dyDescent="0.25">
      <c r="A650" s="7">
        <v>0.28720313685825055</v>
      </c>
      <c r="B650"/>
      <c r="C650"/>
      <c r="D650"/>
      <c r="E650"/>
      <c r="F650" s="27" t="s">
        <v>7</v>
      </c>
      <c r="Q650" s="27" t="s">
        <v>8</v>
      </c>
      <c r="T650" s="27" t="s">
        <v>7</v>
      </c>
      <c r="U650" s="27" t="s">
        <v>8</v>
      </c>
      <c r="V650" s="27" t="s">
        <v>7</v>
      </c>
      <c r="W650" s="27" t="s">
        <v>8</v>
      </c>
      <c r="X650" s="27" t="s">
        <v>7</v>
      </c>
      <c r="Y650" s="27" t="s">
        <v>8</v>
      </c>
      <c r="Z650" s="27" t="s">
        <v>7</v>
      </c>
      <c r="AA650" s="27" t="s">
        <v>8</v>
      </c>
      <c r="AH650" s="27" t="s">
        <v>7</v>
      </c>
      <c r="AU650" s="27" t="s">
        <v>8</v>
      </c>
      <c r="CE650" s="27" t="s">
        <v>8</v>
      </c>
      <c r="CJ650" s="27" t="s">
        <v>7</v>
      </c>
      <c r="CK650" s="27" t="s">
        <v>8</v>
      </c>
      <c r="CL650" s="27" t="s">
        <v>7</v>
      </c>
      <c r="CM650" s="27" t="s">
        <v>8</v>
      </c>
      <c r="CO650" s="27" t="s">
        <v>8</v>
      </c>
      <c r="CR650" s="27" t="s">
        <v>7</v>
      </c>
      <c r="CS650" s="27" t="s">
        <v>8</v>
      </c>
      <c r="CT650" s="27" t="s">
        <v>7</v>
      </c>
      <c r="CU650" s="27" t="s">
        <v>8</v>
      </c>
      <c r="DB650" s="27" t="s">
        <v>7</v>
      </c>
      <c r="DC650" s="27" t="s">
        <v>8</v>
      </c>
      <c r="DR650" s="27" t="s">
        <v>7</v>
      </c>
      <c r="HC650" s="27" t="s">
        <v>8</v>
      </c>
      <c r="HL650" s="27" t="s">
        <v>7</v>
      </c>
      <c r="HM650" s="27" t="s">
        <v>8</v>
      </c>
      <c r="HN650" s="27" t="s">
        <v>7</v>
      </c>
      <c r="HO650" s="27" t="s">
        <v>8</v>
      </c>
      <c r="OP650" s="27" t="s">
        <v>7</v>
      </c>
      <c r="OQ650" s="27" t="s">
        <v>8</v>
      </c>
    </row>
    <row r="651" spans="1:408" x14ac:dyDescent="0.25">
      <c r="A651" s="7">
        <v>0.28157170280220645</v>
      </c>
      <c r="B651"/>
      <c r="C651"/>
      <c r="D651"/>
      <c r="E651"/>
      <c r="F651" s="27" t="s">
        <v>7</v>
      </c>
      <c r="Q651" s="27" t="s">
        <v>8</v>
      </c>
      <c r="T651" s="27" t="s">
        <v>7</v>
      </c>
      <c r="U651" s="27" t="s">
        <v>8</v>
      </c>
      <c r="V651" s="27" t="s">
        <v>7</v>
      </c>
      <c r="W651" s="27" t="s">
        <v>8</v>
      </c>
      <c r="X651" s="27" t="s">
        <v>7</v>
      </c>
      <c r="Y651" s="27" t="s">
        <v>8</v>
      </c>
      <c r="Z651" s="27" t="s">
        <v>7</v>
      </c>
      <c r="AA651" s="27" t="s">
        <v>8</v>
      </c>
      <c r="AH651" s="27" t="s">
        <v>7</v>
      </c>
      <c r="AS651" s="27" t="s">
        <v>8</v>
      </c>
      <c r="AU651" s="27" t="s">
        <v>8</v>
      </c>
      <c r="AV651" s="27" t="s">
        <v>7</v>
      </c>
      <c r="CE651" s="27" t="s">
        <v>8</v>
      </c>
      <c r="CJ651" s="27" t="s">
        <v>7</v>
      </c>
      <c r="CK651" s="27" t="s">
        <v>8</v>
      </c>
      <c r="CL651" s="27" t="s">
        <v>7</v>
      </c>
      <c r="CM651" s="27" t="s">
        <v>8</v>
      </c>
      <c r="CN651" s="27" t="s">
        <v>7</v>
      </c>
      <c r="CO651" s="27" t="s">
        <v>8</v>
      </c>
      <c r="CR651" s="27" t="s">
        <v>7</v>
      </c>
      <c r="CT651" s="27" t="s">
        <v>7</v>
      </c>
      <c r="CU651" s="27" t="s">
        <v>8</v>
      </c>
      <c r="DB651" s="27" t="s">
        <v>7</v>
      </c>
      <c r="DC651" s="27" t="s">
        <v>8</v>
      </c>
      <c r="DR651" s="27" t="s">
        <v>7</v>
      </c>
      <c r="HC651" s="27" t="s">
        <v>8</v>
      </c>
      <c r="HL651" s="27" t="s">
        <v>7</v>
      </c>
      <c r="HM651" s="27" t="s">
        <v>8</v>
      </c>
      <c r="HN651" s="27" t="s">
        <v>7</v>
      </c>
      <c r="HO651" s="27" t="s">
        <v>8</v>
      </c>
      <c r="OP651" s="27" t="s">
        <v>7</v>
      </c>
      <c r="OQ651" s="27" t="s">
        <v>8</v>
      </c>
    </row>
    <row r="652" spans="1:408" x14ac:dyDescent="0.25">
      <c r="A652" s="7">
        <v>0.27605068902177105</v>
      </c>
      <c r="B652"/>
      <c r="C652"/>
      <c r="D652"/>
      <c r="E652"/>
      <c r="F652" s="27" t="s">
        <v>7</v>
      </c>
      <c r="Q652" s="27" t="s">
        <v>8</v>
      </c>
      <c r="T652" s="27" t="s">
        <v>7</v>
      </c>
      <c r="U652" s="27" t="s">
        <v>8</v>
      </c>
      <c r="V652" s="27" t="s">
        <v>7</v>
      </c>
      <c r="X652" s="27" t="s">
        <v>7</v>
      </c>
      <c r="Y652" s="27" t="s">
        <v>8</v>
      </c>
      <c r="Z652" s="27" t="s">
        <v>7</v>
      </c>
      <c r="AA652" s="27" t="s">
        <v>8</v>
      </c>
      <c r="AH652" s="27" t="s">
        <v>7</v>
      </c>
      <c r="AS652" s="27" t="s">
        <v>8</v>
      </c>
      <c r="AT652" s="27" t="s">
        <v>7</v>
      </c>
      <c r="AU652" s="27" t="s">
        <v>8</v>
      </c>
      <c r="AV652" s="27" t="s">
        <v>7</v>
      </c>
      <c r="AY652" s="27" t="s">
        <v>8</v>
      </c>
      <c r="CE652" s="27" t="s">
        <v>8</v>
      </c>
      <c r="CJ652" s="27" t="s">
        <v>7</v>
      </c>
      <c r="CK652" s="27" t="s">
        <v>8</v>
      </c>
      <c r="CL652" s="27" t="s">
        <v>7</v>
      </c>
      <c r="CM652" s="27" t="s">
        <v>8</v>
      </c>
      <c r="CN652" s="27" t="s">
        <v>7</v>
      </c>
      <c r="CO652" s="27" t="s">
        <v>8</v>
      </c>
      <c r="CT652" s="27" t="s">
        <v>7</v>
      </c>
      <c r="DB652" s="27" t="s">
        <v>7</v>
      </c>
      <c r="DC652" s="27" t="s">
        <v>8</v>
      </c>
      <c r="DR652" s="27" t="s">
        <v>7</v>
      </c>
      <c r="DS652" s="27" t="s">
        <v>8</v>
      </c>
      <c r="HC652" s="27" t="s">
        <v>8</v>
      </c>
      <c r="HL652" s="27" t="s">
        <v>7</v>
      </c>
      <c r="HM652" s="27" t="s">
        <v>8</v>
      </c>
      <c r="HN652" s="27" t="s">
        <v>7</v>
      </c>
      <c r="HO652" s="27" t="s">
        <v>8</v>
      </c>
      <c r="OP652" s="27" t="s">
        <v>7</v>
      </c>
    </row>
    <row r="653" spans="1:408" x14ac:dyDescent="0.25">
      <c r="A653" s="7">
        <v>0.27063793041350104</v>
      </c>
      <c r="B653"/>
      <c r="C653"/>
      <c r="D653"/>
      <c r="E653"/>
      <c r="F653" s="27" t="s">
        <v>7</v>
      </c>
      <c r="Q653" s="27" t="s">
        <v>8</v>
      </c>
      <c r="T653" s="27" t="s">
        <v>7</v>
      </c>
      <c r="U653" s="27" t="s">
        <v>8</v>
      </c>
      <c r="X653" s="27" t="s">
        <v>7</v>
      </c>
      <c r="Z653" s="27" t="s">
        <v>7</v>
      </c>
      <c r="AA653" s="27" t="s">
        <v>8</v>
      </c>
      <c r="AH653" s="27" t="s">
        <v>7</v>
      </c>
      <c r="AS653" s="27" t="s">
        <v>8</v>
      </c>
      <c r="AT653" s="27" t="s">
        <v>7</v>
      </c>
      <c r="AU653" s="27" t="s">
        <v>8</v>
      </c>
      <c r="AV653" s="27" t="s">
        <v>7</v>
      </c>
      <c r="AY653" s="27" t="s">
        <v>8</v>
      </c>
      <c r="AZ653" s="27" t="s">
        <v>7</v>
      </c>
      <c r="BY653" s="27" t="s">
        <v>8</v>
      </c>
      <c r="CE653" s="27" t="s">
        <v>8</v>
      </c>
      <c r="CJ653" s="27" t="s">
        <v>7</v>
      </c>
      <c r="CK653" s="27" t="s">
        <v>8</v>
      </c>
      <c r="CL653" s="27" t="s">
        <v>7</v>
      </c>
      <c r="CM653" s="27" t="s">
        <v>8</v>
      </c>
      <c r="CN653" s="27" t="s">
        <v>7</v>
      </c>
      <c r="CO653" s="27" t="s">
        <v>8</v>
      </c>
      <c r="DB653" s="27" t="s">
        <v>7</v>
      </c>
      <c r="DC653" s="27" t="s">
        <v>8</v>
      </c>
      <c r="DR653" s="27" t="s">
        <v>7</v>
      </c>
      <c r="DS653" s="27" t="s">
        <v>8</v>
      </c>
      <c r="DT653" s="27" t="s">
        <v>7</v>
      </c>
      <c r="DW653" s="27" t="s">
        <v>8</v>
      </c>
      <c r="HC653" s="27" t="s">
        <v>8</v>
      </c>
      <c r="HL653" s="27" t="s">
        <v>7</v>
      </c>
      <c r="HM653" s="27" t="s">
        <v>8</v>
      </c>
      <c r="HN653" s="27" t="s">
        <v>7</v>
      </c>
      <c r="HO653" s="27" t="s">
        <v>8</v>
      </c>
    </row>
    <row r="654" spans="1:408" x14ac:dyDescent="0.25">
      <c r="A654" s="7">
        <v>0.26533130432696184</v>
      </c>
      <c r="B654"/>
      <c r="C654"/>
      <c r="D654"/>
      <c r="E654"/>
      <c r="F654" s="27" t="s">
        <v>7</v>
      </c>
      <c r="Q654" s="27" t="s">
        <v>8</v>
      </c>
      <c r="T654" s="27" t="s">
        <v>7</v>
      </c>
      <c r="U654" s="27" t="s">
        <v>8</v>
      </c>
      <c r="Z654" s="27" t="s">
        <v>7</v>
      </c>
      <c r="AA654" s="27" t="s">
        <v>8</v>
      </c>
      <c r="AH654" s="27" t="s">
        <v>7</v>
      </c>
      <c r="AI654" s="27" t="s">
        <v>8</v>
      </c>
      <c r="AS654" s="27" t="s">
        <v>8</v>
      </c>
      <c r="AT654" s="27" t="s">
        <v>7</v>
      </c>
      <c r="AU654" s="27" t="s">
        <v>8</v>
      </c>
      <c r="AV654" s="27" t="s">
        <v>7</v>
      </c>
      <c r="AY654" s="27" t="s">
        <v>8</v>
      </c>
      <c r="AZ654" s="27" t="s">
        <v>7</v>
      </c>
      <c r="BY654" s="27" t="s">
        <v>8</v>
      </c>
      <c r="BZ654" s="27" t="s">
        <v>7</v>
      </c>
      <c r="CA654" s="27" t="s">
        <v>8</v>
      </c>
      <c r="CE654" s="27" t="s">
        <v>8</v>
      </c>
      <c r="CJ654" s="27" t="s">
        <v>7</v>
      </c>
      <c r="CK654" s="27" t="s">
        <v>8</v>
      </c>
      <c r="CL654" s="27" t="s">
        <v>7</v>
      </c>
      <c r="CM654" s="27" t="s">
        <v>8</v>
      </c>
      <c r="CN654" s="27" t="s">
        <v>7</v>
      </c>
      <c r="CO654" s="27" t="s">
        <v>8</v>
      </c>
      <c r="DB654" s="27" t="s">
        <v>7</v>
      </c>
      <c r="DC654" s="27" t="s">
        <v>8</v>
      </c>
      <c r="DR654" s="27" t="s">
        <v>7</v>
      </c>
      <c r="DS654" s="27" t="s">
        <v>8</v>
      </c>
      <c r="DT654" s="27" t="s">
        <v>7</v>
      </c>
      <c r="DW654" s="27" t="s">
        <v>8</v>
      </c>
      <c r="DX654" s="27" t="s">
        <v>7</v>
      </c>
      <c r="DY654" s="27" t="s">
        <v>8</v>
      </c>
      <c r="HC654" s="27" t="s">
        <v>8</v>
      </c>
      <c r="HL654" s="27" t="s">
        <v>7</v>
      </c>
      <c r="HM654" s="27" t="s">
        <v>8</v>
      </c>
      <c r="HN654" s="27" t="s">
        <v>7</v>
      </c>
      <c r="HO654" s="27" t="s">
        <v>8</v>
      </c>
    </row>
    <row r="655" spans="1:408" x14ac:dyDescent="0.25">
      <c r="A655" s="7">
        <v>0.26012872973231554</v>
      </c>
      <c r="B655"/>
      <c r="C655"/>
      <c r="D655"/>
      <c r="E655"/>
      <c r="F655" s="27" t="s">
        <v>7</v>
      </c>
      <c r="Q655" s="27" t="s">
        <v>8</v>
      </c>
      <c r="T655" s="27" t="s">
        <v>7</v>
      </c>
      <c r="U655" s="27" t="s">
        <v>8</v>
      </c>
      <c r="Z655" s="27" t="s">
        <v>7</v>
      </c>
      <c r="AA655" s="27" t="s">
        <v>8</v>
      </c>
      <c r="AH655" s="27" t="s">
        <v>7</v>
      </c>
      <c r="AI655" s="27" t="s">
        <v>8</v>
      </c>
      <c r="AJ655" s="27" t="s">
        <v>7</v>
      </c>
      <c r="AS655" s="27" t="s">
        <v>8</v>
      </c>
      <c r="AT655" s="27" t="s">
        <v>7</v>
      </c>
      <c r="AU655" s="27" t="s">
        <v>8</v>
      </c>
      <c r="AV655" s="27" t="s">
        <v>7</v>
      </c>
      <c r="AY655" s="27" t="s">
        <v>8</v>
      </c>
      <c r="AZ655" s="27" t="s">
        <v>7</v>
      </c>
      <c r="BY655" s="27" t="s">
        <v>8</v>
      </c>
      <c r="BZ655" s="27" t="s">
        <v>7</v>
      </c>
      <c r="CA655" s="27" t="s">
        <v>8</v>
      </c>
      <c r="CB655" s="27" t="s">
        <v>7</v>
      </c>
      <c r="CE655" s="27" t="s">
        <v>8</v>
      </c>
      <c r="CJ655" s="27" t="s">
        <v>7</v>
      </c>
      <c r="CK655" s="27" t="s">
        <v>8</v>
      </c>
      <c r="CL655" s="27" t="s">
        <v>7</v>
      </c>
      <c r="CM655" s="27" t="s">
        <v>8</v>
      </c>
      <c r="CN655" s="27" t="s">
        <v>7</v>
      </c>
      <c r="DB655" s="27" t="s">
        <v>7</v>
      </c>
      <c r="DC655" s="27" t="s">
        <v>8</v>
      </c>
      <c r="DR655" s="27" t="s">
        <v>7</v>
      </c>
      <c r="DS655" s="27" t="s">
        <v>8</v>
      </c>
      <c r="DT655" s="27" t="s">
        <v>7</v>
      </c>
      <c r="DU655" s="27" t="s">
        <v>8</v>
      </c>
      <c r="DW655" s="27" t="s">
        <v>8</v>
      </c>
      <c r="DX655" s="27" t="s">
        <v>7</v>
      </c>
      <c r="DY655" s="27" t="s">
        <v>8</v>
      </c>
      <c r="DZ655" s="27" t="s">
        <v>7</v>
      </c>
      <c r="HC655" s="27" t="s">
        <v>8</v>
      </c>
      <c r="HL655" s="27" t="s">
        <v>7</v>
      </c>
      <c r="HM655" s="27" t="s">
        <v>8</v>
      </c>
      <c r="HN655" s="27" t="s">
        <v>7</v>
      </c>
      <c r="HO655" s="27" t="s">
        <v>8</v>
      </c>
    </row>
    <row r="656" spans="1:408" x14ac:dyDescent="0.25">
      <c r="A656" s="7">
        <v>0.25502816640423093</v>
      </c>
      <c r="B656"/>
      <c r="C656"/>
      <c r="D656"/>
      <c r="E656"/>
      <c r="F656" s="27" t="s">
        <v>7</v>
      </c>
      <c r="Q656" s="27" t="s">
        <v>8</v>
      </c>
      <c r="T656" s="27" t="s">
        <v>7</v>
      </c>
      <c r="Z656" s="27" t="s">
        <v>7</v>
      </c>
      <c r="AA656" s="27" t="s">
        <v>8</v>
      </c>
      <c r="AH656" s="27" t="s">
        <v>7</v>
      </c>
      <c r="AI656" s="27" t="s">
        <v>8</v>
      </c>
      <c r="AJ656" s="27" t="s">
        <v>7</v>
      </c>
      <c r="AM656" s="27" t="s">
        <v>8</v>
      </c>
      <c r="AS656" s="27" t="s">
        <v>8</v>
      </c>
      <c r="AT656" s="27" t="s">
        <v>7</v>
      </c>
      <c r="AU656" s="27" t="s">
        <v>8</v>
      </c>
      <c r="AV656" s="27" t="s">
        <v>7</v>
      </c>
      <c r="AY656" s="27" t="s">
        <v>8</v>
      </c>
      <c r="AZ656" s="27" t="s">
        <v>7</v>
      </c>
      <c r="BY656" s="27" t="s">
        <v>8</v>
      </c>
      <c r="BZ656" s="27" t="s">
        <v>7</v>
      </c>
      <c r="CA656" s="27" t="s">
        <v>8</v>
      </c>
      <c r="CB656" s="27" t="s">
        <v>7</v>
      </c>
      <c r="CE656" s="27" t="s">
        <v>8</v>
      </c>
      <c r="CJ656" s="27" t="s">
        <v>7</v>
      </c>
      <c r="CK656" s="27" t="s">
        <v>8</v>
      </c>
      <c r="CL656" s="27" t="s">
        <v>7</v>
      </c>
      <c r="CM656" s="27" t="s">
        <v>8</v>
      </c>
      <c r="DB656" s="27" t="s">
        <v>7</v>
      </c>
      <c r="DR656" s="27" t="s">
        <v>7</v>
      </c>
      <c r="DS656" s="27" t="s">
        <v>8</v>
      </c>
      <c r="DT656" s="27" t="s">
        <v>7</v>
      </c>
      <c r="DU656" s="27" t="s">
        <v>8</v>
      </c>
      <c r="DV656" s="27" t="s">
        <v>7</v>
      </c>
      <c r="DW656" s="27" t="s">
        <v>8</v>
      </c>
      <c r="DX656" s="27" t="s">
        <v>7</v>
      </c>
      <c r="DY656" s="27" t="s">
        <v>8</v>
      </c>
      <c r="DZ656" s="27" t="s">
        <v>7</v>
      </c>
      <c r="EA656" s="27" t="s">
        <v>8</v>
      </c>
      <c r="HC656" s="27" t="s">
        <v>8</v>
      </c>
      <c r="HL656" s="27" t="s">
        <v>7</v>
      </c>
      <c r="HM656" s="27" t="s">
        <v>8</v>
      </c>
      <c r="HN656" s="27" t="s">
        <v>7</v>
      </c>
    </row>
    <row r="657" spans="1:221" x14ac:dyDescent="0.25">
      <c r="A657" s="7">
        <v>0.25002761412179503</v>
      </c>
      <c r="B657"/>
      <c r="C657"/>
      <c r="D657"/>
      <c r="E657"/>
      <c r="F657" s="27" t="s">
        <v>7</v>
      </c>
      <c r="Q657" s="27" t="s">
        <v>8</v>
      </c>
      <c r="Z657" s="27" t="s">
        <v>7</v>
      </c>
      <c r="AA657" s="27" t="s">
        <v>8</v>
      </c>
      <c r="AH657" s="27" t="s">
        <v>7</v>
      </c>
      <c r="AI657" s="27" t="s">
        <v>8</v>
      </c>
      <c r="AJ657" s="27" t="s">
        <v>7</v>
      </c>
      <c r="AM657" s="27" t="s">
        <v>8</v>
      </c>
      <c r="AN657" s="27" t="s">
        <v>7</v>
      </c>
      <c r="AS657" s="27" t="s">
        <v>8</v>
      </c>
      <c r="AT657" s="27" t="s">
        <v>7</v>
      </c>
      <c r="AU657" s="27" t="s">
        <v>8</v>
      </c>
      <c r="AV657" s="27" t="s">
        <v>7</v>
      </c>
      <c r="AY657" s="27" t="s">
        <v>8</v>
      </c>
      <c r="AZ657" s="27" t="s">
        <v>7</v>
      </c>
      <c r="BG657" s="27" t="s">
        <v>8</v>
      </c>
      <c r="BY657" s="27" t="s">
        <v>8</v>
      </c>
      <c r="BZ657" s="27" t="s">
        <v>7</v>
      </c>
      <c r="CA657" s="27" t="s">
        <v>8</v>
      </c>
      <c r="CB657" s="27" t="s">
        <v>7</v>
      </c>
      <c r="CC657" s="27" t="s">
        <v>8</v>
      </c>
      <c r="CE657" s="27" t="s">
        <v>8</v>
      </c>
      <c r="CJ657" s="27" t="s">
        <v>7</v>
      </c>
      <c r="CK657" s="27" t="s">
        <v>8</v>
      </c>
      <c r="CL657" s="27" t="s">
        <v>7</v>
      </c>
      <c r="CM657" s="27" t="s">
        <v>8</v>
      </c>
      <c r="DR657" s="27" t="s">
        <v>7</v>
      </c>
      <c r="DS657" s="27" t="s">
        <v>8</v>
      </c>
      <c r="DT657" s="27" t="s">
        <v>7</v>
      </c>
      <c r="DU657" s="27" t="s">
        <v>8</v>
      </c>
      <c r="DV657" s="27" t="s">
        <v>7</v>
      </c>
      <c r="DW657" s="27" t="s">
        <v>8</v>
      </c>
      <c r="DX657" s="27" t="s">
        <v>7</v>
      </c>
      <c r="DY657" s="27" t="s">
        <v>8</v>
      </c>
      <c r="DZ657" s="27" t="s">
        <v>7</v>
      </c>
      <c r="EA657" s="27" t="s">
        <v>8</v>
      </c>
      <c r="EB657" s="27" t="s">
        <v>7</v>
      </c>
      <c r="HA657" s="27" t="s">
        <v>8</v>
      </c>
      <c r="HC657" s="27" t="s">
        <v>8</v>
      </c>
      <c r="HL657" s="27" t="s">
        <v>7</v>
      </c>
      <c r="HM657" s="27" t="s">
        <v>8</v>
      </c>
    </row>
    <row r="658" spans="1:221" x14ac:dyDescent="0.25">
      <c r="A658" s="7">
        <v>0.24512511188411276</v>
      </c>
      <c r="B658"/>
      <c r="C658"/>
      <c r="D658"/>
      <c r="E658"/>
      <c r="F658" s="27" t="s">
        <v>7</v>
      </c>
      <c r="Q658" s="27" t="s">
        <v>8</v>
      </c>
      <c r="Z658" s="27" t="s">
        <v>7</v>
      </c>
      <c r="AA658" s="27" t="s">
        <v>8</v>
      </c>
      <c r="AH658" s="27" t="s">
        <v>7</v>
      </c>
      <c r="AI658" s="27" t="s">
        <v>8</v>
      </c>
      <c r="AJ658" s="27" t="s">
        <v>7</v>
      </c>
      <c r="AM658" s="27" t="s">
        <v>8</v>
      </c>
      <c r="AN658" s="27" t="s">
        <v>7</v>
      </c>
      <c r="AS658" s="27" t="s">
        <v>8</v>
      </c>
      <c r="AT658" s="27" t="s">
        <v>7</v>
      </c>
      <c r="AU658" s="27" t="s">
        <v>8</v>
      </c>
      <c r="AV658" s="27" t="s">
        <v>7</v>
      </c>
      <c r="AY658" s="27" t="s">
        <v>8</v>
      </c>
      <c r="AZ658" s="27" t="s">
        <v>7</v>
      </c>
      <c r="BE658" s="27" t="s">
        <v>8</v>
      </c>
      <c r="BG658" s="27" t="s">
        <v>8</v>
      </c>
      <c r="BH658" s="27" t="s">
        <v>7</v>
      </c>
      <c r="BY658" s="27" t="s">
        <v>8</v>
      </c>
      <c r="BZ658" s="27" t="s">
        <v>7</v>
      </c>
      <c r="CA658" s="27" t="s">
        <v>8</v>
      </c>
      <c r="CB658" s="27" t="s">
        <v>7</v>
      </c>
      <c r="CC658" s="27" t="s">
        <v>8</v>
      </c>
      <c r="CD658" s="27" t="s">
        <v>7</v>
      </c>
      <c r="CE658" s="27" t="s">
        <v>8</v>
      </c>
      <c r="CJ658" s="27" t="s">
        <v>7</v>
      </c>
      <c r="CK658" s="27" t="s">
        <v>8</v>
      </c>
      <c r="CL658" s="27" t="s">
        <v>7</v>
      </c>
      <c r="DR658" s="27" t="s">
        <v>7</v>
      </c>
      <c r="DS658" s="27" t="s">
        <v>8</v>
      </c>
      <c r="DT658" s="27" t="s">
        <v>7</v>
      </c>
      <c r="DU658" s="27" t="s">
        <v>8</v>
      </c>
      <c r="DV658" s="27" t="s">
        <v>7</v>
      </c>
      <c r="DW658" s="27" t="s">
        <v>8</v>
      </c>
      <c r="DX658" s="27" t="s">
        <v>7</v>
      </c>
      <c r="DY658" s="27" t="s">
        <v>8</v>
      </c>
      <c r="DZ658" s="27" t="s">
        <v>7</v>
      </c>
      <c r="EA658" s="27" t="s">
        <v>8</v>
      </c>
      <c r="EB658" s="27" t="s">
        <v>7</v>
      </c>
      <c r="HA658" s="27" t="s">
        <v>8</v>
      </c>
      <c r="HB658" s="27" t="s">
        <v>7</v>
      </c>
      <c r="HC658" s="27" t="s">
        <v>8</v>
      </c>
      <c r="HL658" s="27" t="s">
        <v>7</v>
      </c>
      <c r="HM658" s="27" t="s">
        <v>8</v>
      </c>
    </row>
    <row r="659" spans="1:221" x14ac:dyDescent="0.25">
      <c r="A659" s="7">
        <v>0.24031873714128701</v>
      </c>
      <c r="B659"/>
      <c r="C659"/>
      <c r="D659"/>
      <c r="E659"/>
      <c r="F659" s="27" t="s">
        <v>7</v>
      </c>
      <c r="Q659" s="27" t="s">
        <v>8</v>
      </c>
      <c r="Z659" s="27" t="s">
        <v>7</v>
      </c>
      <c r="AA659" s="27" t="s">
        <v>8</v>
      </c>
      <c r="AH659" s="27" t="s">
        <v>7</v>
      </c>
      <c r="AI659" s="27" t="s">
        <v>8</v>
      </c>
      <c r="AJ659" s="27" t="s">
        <v>7</v>
      </c>
      <c r="AM659" s="27" t="s">
        <v>8</v>
      </c>
      <c r="AN659" s="27" t="s">
        <v>7</v>
      </c>
      <c r="AS659" s="27" t="s">
        <v>8</v>
      </c>
      <c r="AT659" s="27" t="s">
        <v>7</v>
      </c>
      <c r="AU659" s="27" t="s">
        <v>8</v>
      </c>
      <c r="AV659" s="27" t="s">
        <v>7</v>
      </c>
      <c r="AY659" s="27" t="s">
        <v>8</v>
      </c>
      <c r="AZ659" s="27" t="s">
        <v>7</v>
      </c>
      <c r="BA659" s="27" t="s">
        <v>8</v>
      </c>
      <c r="BE659" s="27" t="s">
        <v>8</v>
      </c>
      <c r="BF659" s="27" t="s">
        <v>7</v>
      </c>
      <c r="BG659" s="27" t="s">
        <v>8</v>
      </c>
      <c r="BH659" s="27" t="s">
        <v>7</v>
      </c>
      <c r="BW659" s="27" t="s">
        <v>8</v>
      </c>
      <c r="BY659" s="27" t="s">
        <v>8</v>
      </c>
      <c r="BZ659" s="27" t="s">
        <v>7</v>
      </c>
      <c r="CA659" s="27" t="s">
        <v>8</v>
      </c>
      <c r="CB659" s="27" t="s">
        <v>7</v>
      </c>
      <c r="CC659" s="27" t="s">
        <v>8</v>
      </c>
      <c r="CD659" s="27" t="s">
        <v>7</v>
      </c>
      <c r="CE659" s="27" t="s">
        <v>8</v>
      </c>
      <c r="CJ659" s="27" t="s">
        <v>7</v>
      </c>
      <c r="DR659" s="27" t="s">
        <v>7</v>
      </c>
      <c r="DS659" s="27" t="s">
        <v>8</v>
      </c>
      <c r="DT659" s="27" t="s">
        <v>7</v>
      </c>
      <c r="DU659" s="27" t="s">
        <v>8</v>
      </c>
      <c r="DV659" s="27" t="s">
        <v>7</v>
      </c>
      <c r="DW659" s="27" t="s">
        <v>8</v>
      </c>
      <c r="DX659" s="27" t="s">
        <v>7</v>
      </c>
      <c r="DZ659" s="27" t="s">
        <v>7</v>
      </c>
      <c r="EA659" s="27" t="s">
        <v>8</v>
      </c>
      <c r="EB659" s="27" t="s">
        <v>7</v>
      </c>
      <c r="EE659" s="27" t="s">
        <v>8</v>
      </c>
      <c r="EK659" s="27" t="s">
        <v>8</v>
      </c>
      <c r="GY659" s="27" t="s">
        <v>8</v>
      </c>
      <c r="HA659" s="27" t="s">
        <v>8</v>
      </c>
      <c r="HB659" s="27" t="s">
        <v>7</v>
      </c>
      <c r="HC659" s="27" t="s">
        <v>8</v>
      </c>
      <c r="HL659" s="27" t="s">
        <v>7</v>
      </c>
      <c r="HM659" s="27" t="s">
        <v>8</v>
      </c>
    </row>
    <row r="660" spans="1:221" x14ac:dyDescent="0.25">
      <c r="A660" s="7">
        <v>0.23560660504047748</v>
      </c>
      <c r="B660"/>
      <c r="C660"/>
      <c r="D660"/>
      <c r="E660"/>
      <c r="F660" s="27" t="s">
        <v>7</v>
      </c>
      <c r="Q660" s="27" t="s">
        <v>8</v>
      </c>
      <c r="Z660" s="27" t="s">
        <v>7</v>
      </c>
      <c r="AA660" s="27" t="s">
        <v>8</v>
      </c>
      <c r="AH660" s="27" t="s">
        <v>7</v>
      </c>
      <c r="AI660" s="27" t="s">
        <v>8</v>
      </c>
      <c r="AJ660" s="27" t="s">
        <v>7</v>
      </c>
      <c r="AM660" s="27" t="s">
        <v>8</v>
      </c>
      <c r="AN660" s="27" t="s">
        <v>7</v>
      </c>
      <c r="AO660" s="27" t="s">
        <v>8</v>
      </c>
      <c r="AS660" s="27" t="s">
        <v>8</v>
      </c>
      <c r="AT660" s="27" t="s">
        <v>7</v>
      </c>
      <c r="AU660" s="27" t="s">
        <v>8</v>
      </c>
      <c r="AV660" s="27" t="s">
        <v>7</v>
      </c>
      <c r="AW660" s="27" t="s">
        <v>8</v>
      </c>
      <c r="AY660" s="27" t="s">
        <v>8</v>
      </c>
      <c r="AZ660" s="27" t="s">
        <v>7</v>
      </c>
      <c r="BA660" s="27" t="s">
        <v>8</v>
      </c>
      <c r="BB660" s="27" t="s">
        <v>7</v>
      </c>
      <c r="BC660" s="27" t="s">
        <v>8</v>
      </c>
      <c r="BE660" s="27" t="s">
        <v>8</v>
      </c>
      <c r="BF660" s="27" t="s">
        <v>7</v>
      </c>
      <c r="BG660" s="27" t="s">
        <v>8</v>
      </c>
      <c r="BH660" s="27" t="s">
        <v>7</v>
      </c>
      <c r="BW660" s="27" t="s">
        <v>8</v>
      </c>
      <c r="BX660" s="27" t="s">
        <v>7</v>
      </c>
      <c r="BY660" s="27" t="s">
        <v>8</v>
      </c>
      <c r="BZ660" s="27" t="s">
        <v>7</v>
      </c>
      <c r="CA660" s="27" t="s">
        <v>8</v>
      </c>
      <c r="CB660" s="27" t="s">
        <v>7</v>
      </c>
      <c r="CC660" s="27" t="s">
        <v>8</v>
      </c>
      <c r="CD660" s="27" t="s">
        <v>7</v>
      </c>
      <c r="CE660" s="27" t="s">
        <v>8</v>
      </c>
      <c r="DR660" s="27" t="s">
        <v>7</v>
      </c>
      <c r="DS660" s="27" t="s">
        <v>8</v>
      </c>
      <c r="DT660" s="27" t="s">
        <v>7</v>
      </c>
      <c r="DU660" s="27" t="s">
        <v>8</v>
      </c>
      <c r="DV660" s="27" t="s">
        <v>7</v>
      </c>
      <c r="DW660" s="27" t="s">
        <v>8</v>
      </c>
      <c r="DZ660" s="27" t="s">
        <v>7</v>
      </c>
      <c r="EA660" s="27" t="s">
        <v>8</v>
      </c>
      <c r="EB660" s="27" t="s">
        <v>7</v>
      </c>
      <c r="EE660" s="27" t="s">
        <v>8</v>
      </c>
      <c r="EF660" s="27" t="s">
        <v>7</v>
      </c>
      <c r="EG660" s="27" t="s">
        <v>8</v>
      </c>
      <c r="EI660" s="27" t="s">
        <v>8</v>
      </c>
      <c r="EK660" s="27" t="s">
        <v>8</v>
      </c>
      <c r="EL660" s="27" t="s">
        <v>7</v>
      </c>
      <c r="GY660" s="27" t="s">
        <v>8</v>
      </c>
      <c r="GZ660" s="27" t="s">
        <v>7</v>
      </c>
      <c r="HA660" s="27" t="s">
        <v>8</v>
      </c>
      <c r="HB660" s="27" t="s">
        <v>7</v>
      </c>
      <c r="HC660" s="27" t="s">
        <v>8</v>
      </c>
      <c r="HL660" s="27" t="s">
        <v>7</v>
      </c>
    </row>
    <row r="661" spans="1:221" x14ac:dyDescent="0.25">
      <c r="A661" s="7">
        <v>0.23098686768674265</v>
      </c>
      <c r="B661"/>
      <c r="C661"/>
      <c r="D661"/>
      <c r="E661"/>
      <c r="F661" s="27" t="s">
        <v>7</v>
      </c>
      <c r="Q661" s="27" t="s">
        <v>8</v>
      </c>
      <c r="Z661" s="27" t="s">
        <v>7</v>
      </c>
      <c r="AA661" s="27" t="s">
        <v>8</v>
      </c>
      <c r="AH661" s="27" t="s">
        <v>7</v>
      </c>
      <c r="AI661" s="27" t="s">
        <v>8</v>
      </c>
      <c r="AJ661" s="27" t="s">
        <v>7</v>
      </c>
      <c r="AK661" s="27" t="s">
        <v>8</v>
      </c>
      <c r="AM661" s="27" t="s">
        <v>8</v>
      </c>
      <c r="AN661" s="27" t="s">
        <v>7</v>
      </c>
      <c r="AO661" s="27" t="s">
        <v>8</v>
      </c>
      <c r="AP661" s="27" t="s">
        <v>7</v>
      </c>
      <c r="AS661" s="27" t="s">
        <v>8</v>
      </c>
      <c r="AT661" s="27" t="s">
        <v>7</v>
      </c>
      <c r="AV661" s="27" t="s">
        <v>7</v>
      </c>
      <c r="AW661" s="27" t="s">
        <v>8</v>
      </c>
      <c r="AX661" s="27" t="s">
        <v>7</v>
      </c>
      <c r="AY661" s="27" t="s">
        <v>8</v>
      </c>
      <c r="AZ661" s="27" t="s">
        <v>7</v>
      </c>
      <c r="BA661" s="27" t="s">
        <v>8</v>
      </c>
      <c r="BB661" s="27" t="s">
        <v>7</v>
      </c>
      <c r="BC661" s="27" t="s">
        <v>8</v>
      </c>
      <c r="BD661" s="27" t="s">
        <v>7</v>
      </c>
      <c r="BE661" s="27" t="s">
        <v>8</v>
      </c>
      <c r="BF661" s="27" t="s">
        <v>7</v>
      </c>
      <c r="BG661" s="27" t="s">
        <v>8</v>
      </c>
      <c r="BH661" s="27" t="s">
        <v>7</v>
      </c>
      <c r="BW661" s="27" t="s">
        <v>8</v>
      </c>
      <c r="BX661" s="27" t="s">
        <v>7</v>
      </c>
      <c r="BY661" s="27" t="s">
        <v>8</v>
      </c>
      <c r="BZ661" s="27" t="s">
        <v>7</v>
      </c>
      <c r="CB661" s="27" t="s">
        <v>7</v>
      </c>
      <c r="CC661" s="27" t="s">
        <v>8</v>
      </c>
      <c r="CD661" s="27" t="s">
        <v>7</v>
      </c>
      <c r="CE661" s="27" t="s">
        <v>8</v>
      </c>
      <c r="DR661" s="27" t="s">
        <v>7</v>
      </c>
      <c r="DS661" s="27" t="s">
        <v>8</v>
      </c>
      <c r="DT661" s="27" t="s">
        <v>7</v>
      </c>
      <c r="DU661" s="27" t="s">
        <v>8</v>
      </c>
      <c r="DV661" s="27" t="s">
        <v>7</v>
      </c>
      <c r="DZ661" s="27" t="s">
        <v>7</v>
      </c>
      <c r="EA661" s="27" t="s">
        <v>8</v>
      </c>
      <c r="EB661" s="27" t="s">
        <v>7</v>
      </c>
      <c r="EC661" s="27" t="s">
        <v>8</v>
      </c>
      <c r="EE661" s="27" t="s">
        <v>8</v>
      </c>
      <c r="EF661" s="27" t="s">
        <v>7</v>
      </c>
      <c r="EG661" s="27" t="s">
        <v>8</v>
      </c>
      <c r="EH661" s="27" t="s">
        <v>7</v>
      </c>
      <c r="EI661" s="27" t="s">
        <v>8</v>
      </c>
      <c r="EJ661" s="27" t="s">
        <v>7</v>
      </c>
      <c r="EK661" s="27" t="s">
        <v>8</v>
      </c>
      <c r="EL661" s="27" t="s">
        <v>7</v>
      </c>
      <c r="GY661" s="27" t="s">
        <v>8</v>
      </c>
      <c r="GZ661" s="27" t="s">
        <v>7</v>
      </c>
      <c r="HA661" s="27" t="s">
        <v>8</v>
      </c>
      <c r="HB661" s="27" t="s">
        <v>7</v>
      </c>
      <c r="HC661" s="27" t="s">
        <v>8</v>
      </c>
    </row>
    <row r="662" spans="1:221" x14ac:dyDescent="0.25">
      <c r="A662" s="7">
        <v>0.22645771341837515</v>
      </c>
      <c r="B662"/>
      <c r="C662"/>
      <c r="D662"/>
      <c r="E662"/>
      <c r="F662" s="27" t="s">
        <v>7</v>
      </c>
      <c r="Q662" s="27" t="s">
        <v>8</v>
      </c>
      <c r="Z662" s="27" t="s">
        <v>7</v>
      </c>
      <c r="AA662" s="27" t="s">
        <v>8</v>
      </c>
      <c r="AH662" s="27" t="s">
        <v>7</v>
      </c>
      <c r="AI662" s="27" t="s">
        <v>8</v>
      </c>
      <c r="AJ662" s="27" t="s">
        <v>7</v>
      </c>
      <c r="AK662" s="27" t="s">
        <v>8</v>
      </c>
      <c r="AL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AS662" s="27" t="s">
        <v>8</v>
      </c>
      <c r="AV662" s="27" t="s">
        <v>7</v>
      </c>
      <c r="AW662" s="27" t="s">
        <v>8</v>
      </c>
      <c r="AX662" s="27" t="s">
        <v>7</v>
      </c>
      <c r="AY662" s="27" t="s">
        <v>8</v>
      </c>
      <c r="AZ662" s="27" t="s">
        <v>7</v>
      </c>
      <c r="BA662" s="27" t="s">
        <v>8</v>
      </c>
      <c r="BB662" s="27" t="s">
        <v>7</v>
      </c>
      <c r="BC662" s="27" t="s">
        <v>8</v>
      </c>
      <c r="BD662" s="27" t="s">
        <v>7</v>
      </c>
      <c r="BE662" s="27" t="s">
        <v>8</v>
      </c>
      <c r="BF662" s="27" t="s">
        <v>7</v>
      </c>
      <c r="BG662" s="27" t="s">
        <v>8</v>
      </c>
      <c r="BH662" s="27" t="s">
        <v>7</v>
      </c>
      <c r="BU662" s="27" t="s">
        <v>8</v>
      </c>
      <c r="BW662" s="27" t="s">
        <v>8</v>
      </c>
      <c r="BX662" s="27" t="s">
        <v>7</v>
      </c>
      <c r="BY662" s="27" t="s">
        <v>8</v>
      </c>
      <c r="CB662" s="27" t="s">
        <v>7</v>
      </c>
      <c r="CC662" s="27" t="s">
        <v>8</v>
      </c>
      <c r="CD662" s="27" t="s">
        <v>7</v>
      </c>
      <c r="DR662" s="27" t="s">
        <v>7</v>
      </c>
      <c r="DS662" s="27" t="s">
        <v>8</v>
      </c>
      <c r="DT662" s="27" t="s">
        <v>7</v>
      </c>
      <c r="DU662" s="27" t="s">
        <v>8</v>
      </c>
      <c r="DZ662" s="27" t="s">
        <v>7</v>
      </c>
      <c r="EB662" s="27" t="s">
        <v>7</v>
      </c>
      <c r="EC662" s="27" t="s">
        <v>8</v>
      </c>
      <c r="ED662" s="27" t="s">
        <v>7</v>
      </c>
      <c r="EE662" s="27" t="s">
        <v>8</v>
      </c>
      <c r="EF662" s="27" t="s">
        <v>7</v>
      </c>
      <c r="EG662" s="27" t="s">
        <v>8</v>
      </c>
      <c r="EH662" s="27" t="s">
        <v>7</v>
      </c>
      <c r="EI662" s="27" t="s">
        <v>8</v>
      </c>
      <c r="EJ662" s="27" t="s">
        <v>7</v>
      </c>
      <c r="EK662" s="27" t="s">
        <v>8</v>
      </c>
      <c r="EL662" s="27" t="s">
        <v>7</v>
      </c>
      <c r="GY662" s="27" t="s">
        <v>8</v>
      </c>
      <c r="GZ662" s="27" t="s">
        <v>7</v>
      </c>
      <c r="HA662" s="27" t="s">
        <v>8</v>
      </c>
      <c r="HB662" s="27" t="s">
        <v>7</v>
      </c>
      <c r="HC662" s="27" t="s">
        <v>8</v>
      </c>
    </row>
    <row r="663" spans="1:221" x14ac:dyDescent="0.25">
      <c r="A663" s="7">
        <v>0.22201736609644623</v>
      </c>
      <c r="B663"/>
      <c r="C663"/>
      <c r="D663"/>
      <c r="E663"/>
      <c r="F663" s="27" t="s">
        <v>7</v>
      </c>
      <c r="Q663" s="27" t="s">
        <v>8</v>
      </c>
      <c r="Z663" s="27" t="s">
        <v>7</v>
      </c>
      <c r="AA663" s="27" t="s">
        <v>8</v>
      </c>
      <c r="AH663" s="27" t="s">
        <v>7</v>
      </c>
      <c r="AI663" s="27" t="s">
        <v>8</v>
      </c>
      <c r="AJ663" s="27" t="s">
        <v>7</v>
      </c>
      <c r="AK663" s="27" t="s">
        <v>8</v>
      </c>
      <c r="AL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AS663" s="27" t="s">
        <v>8</v>
      </c>
      <c r="AV663" s="27" t="s">
        <v>7</v>
      </c>
      <c r="AW663" s="27" t="s">
        <v>8</v>
      </c>
      <c r="AX663" s="27" t="s">
        <v>7</v>
      </c>
      <c r="AY663" s="27" t="s">
        <v>8</v>
      </c>
      <c r="AZ663" s="27" t="s">
        <v>7</v>
      </c>
      <c r="BA663" s="27" t="s">
        <v>8</v>
      </c>
      <c r="BB663" s="27" t="s">
        <v>7</v>
      </c>
      <c r="BC663" s="27" t="s">
        <v>8</v>
      </c>
      <c r="BD663" s="27" t="s">
        <v>7</v>
      </c>
      <c r="BF663" s="27" t="s">
        <v>7</v>
      </c>
      <c r="BH663" s="27" t="s">
        <v>7</v>
      </c>
      <c r="BU663" s="27" t="s">
        <v>8</v>
      </c>
      <c r="BV663" s="27" t="s">
        <v>7</v>
      </c>
      <c r="BW663" s="27" t="s">
        <v>8</v>
      </c>
      <c r="BX663" s="27" t="s">
        <v>7</v>
      </c>
      <c r="BY663" s="27" t="s">
        <v>8</v>
      </c>
      <c r="CB663" s="27" t="s">
        <v>7</v>
      </c>
      <c r="CC663" s="27" t="s">
        <v>8</v>
      </c>
      <c r="DR663" s="27" t="s">
        <v>7</v>
      </c>
      <c r="DS663" s="27" t="s">
        <v>8</v>
      </c>
      <c r="DT663" s="27" t="s">
        <v>7</v>
      </c>
      <c r="EB663" s="27" t="s">
        <v>7</v>
      </c>
      <c r="EC663" s="27" t="s">
        <v>8</v>
      </c>
      <c r="ED663" s="27" t="s">
        <v>7</v>
      </c>
      <c r="EE663" s="27" t="s">
        <v>8</v>
      </c>
      <c r="EF663" s="27" t="s">
        <v>7</v>
      </c>
      <c r="EG663" s="27" t="s">
        <v>8</v>
      </c>
      <c r="EH663" s="27" t="s">
        <v>7</v>
      </c>
      <c r="EI663" s="27" t="s">
        <v>8</v>
      </c>
      <c r="EJ663" s="27" t="s">
        <v>7</v>
      </c>
      <c r="EK663" s="27" t="s">
        <v>8</v>
      </c>
      <c r="EL663" s="27" t="s">
        <v>7</v>
      </c>
      <c r="GY663" s="27" t="s">
        <v>8</v>
      </c>
      <c r="GZ663" s="27" t="s">
        <v>7</v>
      </c>
      <c r="HA663" s="27" t="s">
        <v>8</v>
      </c>
      <c r="HB663" s="27" t="s">
        <v>7</v>
      </c>
      <c r="HC663" s="27" t="s">
        <v>8</v>
      </c>
    </row>
    <row r="664" spans="1:221" x14ac:dyDescent="0.25">
      <c r="A664" s="7">
        <v>0.21766408440828061</v>
      </c>
      <c r="B664"/>
      <c r="C664"/>
      <c r="D664"/>
      <c r="E664"/>
      <c r="F664" s="27" t="s">
        <v>7</v>
      </c>
      <c r="Q664" s="27" t="s">
        <v>8</v>
      </c>
      <c r="Z664" s="27" t="s">
        <v>7</v>
      </c>
      <c r="AH664" s="27" t="s">
        <v>7</v>
      </c>
      <c r="AI664" s="27" t="s">
        <v>8</v>
      </c>
      <c r="AJ664" s="27" t="s">
        <v>7</v>
      </c>
      <c r="AK664" s="27" t="s">
        <v>8</v>
      </c>
      <c r="AL664" s="27" t="s">
        <v>7</v>
      </c>
      <c r="AM664" s="27" t="s">
        <v>8</v>
      </c>
      <c r="AN664" s="27" t="s">
        <v>7</v>
      </c>
      <c r="AO664" s="27" t="s">
        <v>8</v>
      </c>
      <c r="AP664" s="27" t="s">
        <v>7</v>
      </c>
      <c r="AS664" s="27" t="s">
        <v>8</v>
      </c>
      <c r="AV664" s="27" t="s">
        <v>7</v>
      </c>
      <c r="AW664" s="27" t="s">
        <v>8</v>
      </c>
      <c r="AX664" s="27" t="s">
        <v>7</v>
      </c>
      <c r="AY664" s="27" t="s">
        <v>8</v>
      </c>
      <c r="AZ664" s="27" t="s">
        <v>7</v>
      </c>
      <c r="BA664" s="27" t="s">
        <v>8</v>
      </c>
      <c r="BB664" s="27" t="s">
        <v>7</v>
      </c>
      <c r="BC664" s="27" t="s">
        <v>8</v>
      </c>
      <c r="BH664" s="27" t="s">
        <v>7</v>
      </c>
      <c r="BU664" s="27" t="s">
        <v>8</v>
      </c>
      <c r="BV664" s="27" t="s">
        <v>7</v>
      </c>
      <c r="BW664" s="27" t="s">
        <v>8</v>
      </c>
      <c r="BX664" s="27" t="s">
        <v>7</v>
      </c>
      <c r="BY664" s="27" t="s">
        <v>8</v>
      </c>
      <c r="CB664" s="27" t="s">
        <v>7</v>
      </c>
      <c r="CC664" s="27" t="s">
        <v>8</v>
      </c>
      <c r="DR664" s="27" t="s">
        <v>7</v>
      </c>
      <c r="DS664" s="27" t="s">
        <v>8</v>
      </c>
      <c r="EB664" s="27" t="s">
        <v>7</v>
      </c>
      <c r="EC664" s="27" t="s">
        <v>8</v>
      </c>
      <c r="ED664" s="27" t="s">
        <v>7</v>
      </c>
      <c r="EE664" s="27" t="s">
        <v>8</v>
      </c>
      <c r="EF664" s="27" t="s">
        <v>7</v>
      </c>
      <c r="EG664" s="27" t="s">
        <v>8</v>
      </c>
      <c r="EH664" s="27" t="s">
        <v>7</v>
      </c>
      <c r="EI664" s="27" t="s">
        <v>8</v>
      </c>
      <c r="EJ664" s="27" t="s">
        <v>7</v>
      </c>
      <c r="EK664" s="27" t="s">
        <v>8</v>
      </c>
      <c r="EL664" s="27" t="s">
        <v>7</v>
      </c>
      <c r="GY664" s="27" t="s">
        <v>8</v>
      </c>
      <c r="GZ664" s="27" t="s">
        <v>7</v>
      </c>
      <c r="HA664" s="27" t="s">
        <v>8</v>
      </c>
      <c r="HB664" s="27" t="s">
        <v>7</v>
      </c>
    </row>
    <row r="665" spans="1:221" x14ac:dyDescent="0.25">
      <c r="A665" s="7">
        <v>0.21339616118458882</v>
      </c>
      <c r="B665"/>
      <c r="C665"/>
      <c r="D665"/>
      <c r="E665"/>
      <c r="F665" s="27" t="s">
        <v>7</v>
      </c>
      <c r="Q665" s="27" t="s">
        <v>8</v>
      </c>
      <c r="AH665" s="27" t="s">
        <v>7</v>
      </c>
      <c r="AI665" s="27" t="s">
        <v>8</v>
      </c>
      <c r="AJ665" s="27" t="s">
        <v>7</v>
      </c>
      <c r="AK665" s="27" t="s">
        <v>8</v>
      </c>
      <c r="AL665" s="27" t="s">
        <v>7</v>
      </c>
      <c r="AM665" s="27" t="s">
        <v>8</v>
      </c>
      <c r="AN665" s="27" t="s">
        <v>7</v>
      </c>
      <c r="AO665" s="27" t="s">
        <v>8</v>
      </c>
      <c r="AP665" s="27" t="s">
        <v>7</v>
      </c>
      <c r="AQ665" s="27" t="s">
        <v>8</v>
      </c>
      <c r="AS665" s="27" t="s">
        <v>8</v>
      </c>
      <c r="AV665" s="27" t="s">
        <v>7</v>
      </c>
      <c r="AX665" s="27" t="s">
        <v>7</v>
      </c>
      <c r="AZ665" s="27" t="s">
        <v>7</v>
      </c>
      <c r="BA665" s="27" t="s">
        <v>8</v>
      </c>
      <c r="BB665" s="27" t="s">
        <v>7</v>
      </c>
      <c r="BC665" s="27" t="s">
        <v>8</v>
      </c>
      <c r="BH665" s="27" t="s">
        <v>7</v>
      </c>
      <c r="BU665" s="27" t="s">
        <v>8</v>
      </c>
      <c r="BV665" s="27" t="s">
        <v>7</v>
      </c>
      <c r="BW665" s="27" t="s">
        <v>8</v>
      </c>
      <c r="BX665" s="27" t="s">
        <v>7</v>
      </c>
      <c r="CB665" s="27" t="s">
        <v>7</v>
      </c>
      <c r="DR665" s="27" t="s">
        <v>7</v>
      </c>
      <c r="EB665" s="27" t="s">
        <v>7</v>
      </c>
      <c r="EC665" s="27" t="s">
        <v>8</v>
      </c>
      <c r="ED665" s="27" t="s">
        <v>7</v>
      </c>
      <c r="EE665" s="27" t="s">
        <v>8</v>
      </c>
      <c r="EF665" s="27" t="s">
        <v>7</v>
      </c>
      <c r="EG665" s="27" t="s">
        <v>8</v>
      </c>
      <c r="EH665" s="27" t="s">
        <v>7</v>
      </c>
      <c r="EI665" s="27" t="s">
        <v>8</v>
      </c>
      <c r="EJ665" s="27" t="s">
        <v>7</v>
      </c>
      <c r="EK665" s="27" t="s">
        <v>8</v>
      </c>
      <c r="EL665" s="27" t="s">
        <v>7</v>
      </c>
      <c r="GQ665" s="27" t="s">
        <v>8</v>
      </c>
      <c r="GU665" s="27" t="s">
        <v>8</v>
      </c>
      <c r="GY665" s="27" t="s">
        <v>8</v>
      </c>
      <c r="GZ665" s="27" t="s">
        <v>7</v>
      </c>
    </row>
    <row r="666" spans="1:221" x14ac:dyDescent="0.25">
      <c r="A666" s="7">
        <v>0.20921192272998904</v>
      </c>
      <c r="B666"/>
      <c r="C666"/>
      <c r="D666"/>
      <c r="E666"/>
      <c r="F666" s="27" t="s">
        <v>7</v>
      </c>
      <c r="Q666" s="27" t="s">
        <v>8</v>
      </c>
      <c r="AH666" s="27" t="s">
        <v>7</v>
      </c>
      <c r="AI666" s="27" t="s">
        <v>8</v>
      </c>
      <c r="AJ666" s="27" t="s">
        <v>7</v>
      </c>
      <c r="AK666" s="27" t="s">
        <v>8</v>
      </c>
      <c r="AL666" s="27" t="s">
        <v>7</v>
      </c>
      <c r="AM666" s="27" t="s">
        <v>8</v>
      </c>
      <c r="AN666" s="27" t="s">
        <v>7</v>
      </c>
      <c r="AO666" s="27" t="s">
        <v>8</v>
      </c>
      <c r="AP666" s="27" t="s">
        <v>7</v>
      </c>
      <c r="AQ666" s="27" t="s">
        <v>8</v>
      </c>
      <c r="AR666" s="27" t="s">
        <v>7</v>
      </c>
      <c r="AS666" s="27" t="s">
        <v>8</v>
      </c>
      <c r="AZ666" s="27" t="s">
        <v>7</v>
      </c>
      <c r="BB666" s="27" t="s">
        <v>7</v>
      </c>
      <c r="BH666" s="27" t="s">
        <v>7</v>
      </c>
      <c r="BO666" s="27" t="s">
        <v>8</v>
      </c>
      <c r="BU666" s="27" t="s">
        <v>8</v>
      </c>
      <c r="BV666" s="27" t="s">
        <v>7</v>
      </c>
      <c r="EB666" s="27" t="s">
        <v>7</v>
      </c>
      <c r="ED666" s="27" t="s">
        <v>7</v>
      </c>
      <c r="EF666" s="27" t="s">
        <v>7</v>
      </c>
      <c r="EG666" s="27" t="s">
        <v>8</v>
      </c>
      <c r="EH666" s="27" t="s">
        <v>7</v>
      </c>
      <c r="EI666" s="27" t="s">
        <v>8</v>
      </c>
      <c r="EJ666" s="27" t="s">
        <v>7</v>
      </c>
      <c r="EL666" s="27" t="s">
        <v>7</v>
      </c>
      <c r="EO666" s="27" t="s">
        <v>8</v>
      </c>
      <c r="GQ666" s="27" t="s">
        <v>8</v>
      </c>
      <c r="GR666" s="27" t="s">
        <v>7</v>
      </c>
      <c r="GU666" s="27" t="s">
        <v>8</v>
      </c>
      <c r="GV666" s="27" t="s">
        <v>7</v>
      </c>
      <c r="GY666" s="27" t="s">
        <v>8</v>
      </c>
    </row>
    <row r="667" spans="1:221" x14ac:dyDescent="0.25">
      <c r="A667" s="7">
        <v>0.20510972816665593</v>
      </c>
      <c r="B667"/>
      <c r="C667"/>
      <c r="D667"/>
      <c r="E667"/>
      <c r="F667" s="27" t="s">
        <v>7</v>
      </c>
      <c r="Q667" s="27" t="s">
        <v>8</v>
      </c>
      <c r="AH667" s="27" t="s">
        <v>7</v>
      </c>
      <c r="AI667" s="27" t="s">
        <v>8</v>
      </c>
      <c r="AJ667" s="27" t="s">
        <v>7</v>
      </c>
      <c r="AK667" s="27" t="s">
        <v>8</v>
      </c>
      <c r="AL667" s="27" t="s">
        <v>7</v>
      </c>
      <c r="AM667" s="27" t="s">
        <v>8</v>
      </c>
      <c r="AN667" s="27" t="s">
        <v>7</v>
      </c>
      <c r="AO667" s="27" t="s">
        <v>8</v>
      </c>
      <c r="AP667" s="27" t="s">
        <v>7</v>
      </c>
      <c r="AQ667" s="27" t="s">
        <v>8</v>
      </c>
      <c r="AR667" s="27" t="s">
        <v>7</v>
      </c>
      <c r="AS667" s="27" t="s">
        <v>8</v>
      </c>
      <c r="BH667" s="27" t="s">
        <v>7</v>
      </c>
      <c r="BM667" s="27" t="s">
        <v>8</v>
      </c>
      <c r="BO667" s="27" t="s">
        <v>8</v>
      </c>
      <c r="BP667" s="27" t="s">
        <v>7</v>
      </c>
      <c r="BS667" s="27" t="s">
        <v>8</v>
      </c>
      <c r="BU667" s="27" t="s">
        <v>8</v>
      </c>
      <c r="EF667" s="27" t="s">
        <v>7</v>
      </c>
      <c r="EG667" s="27" t="s">
        <v>8</v>
      </c>
      <c r="EH667" s="27" t="s">
        <v>7</v>
      </c>
      <c r="EI667" s="27" t="s">
        <v>8</v>
      </c>
      <c r="EL667" s="27" t="s">
        <v>7</v>
      </c>
      <c r="EM667" s="27" t="s">
        <v>8</v>
      </c>
      <c r="EO667" s="27" t="s">
        <v>8</v>
      </c>
      <c r="EP667" s="27" t="s">
        <v>7</v>
      </c>
      <c r="FE667" s="27" t="s">
        <v>8</v>
      </c>
      <c r="GQ667" s="27" t="s">
        <v>8</v>
      </c>
      <c r="GR667" s="27" t="s">
        <v>7</v>
      </c>
      <c r="GU667" s="27" t="s">
        <v>8</v>
      </c>
      <c r="GV667" s="27" t="s">
        <v>7</v>
      </c>
      <c r="GY667" s="27" t="s">
        <v>8</v>
      </c>
    </row>
    <row r="668" spans="1:221" x14ac:dyDescent="0.25">
      <c r="A668" s="7">
        <v>0.20108796879083912</v>
      </c>
      <c r="B668"/>
      <c r="C668"/>
      <c r="D668"/>
      <c r="E668"/>
      <c r="F668" s="27" t="s">
        <v>7</v>
      </c>
      <c r="Q668" s="27" t="s">
        <v>8</v>
      </c>
      <c r="AH668" s="27" t="s">
        <v>7</v>
      </c>
      <c r="AI668" s="27" t="s">
        <v>8</v>
      </c>
      <c r="AJ668" s="27" t="s">
        <v>7</v>
      </c>
      <c r="AK668" s="27" t="s">
        <v>8</v>
      </c>
      <c r="AL668" s="27" t="s">
        <v>7</v>
      </c>
      <c r="AM668" s="27" t="s">
        <v>8</v>
      </c>
      <c r="AN668" s="27" t="s">
        <v>7</v>
      </c>
      <c r="AO668" s="27" t="s">
        <v>8</v>
      </c>
      <c r="AP668" s="27" t="s">
        <v>7</v>
      </c>
      <c r="AQ668" s="27" t="s">
        <v>8</v>
      </c>
      <c r="AR668" s="27" t="s">
        <v>7</v>
      </c>
      <c r="BH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BS668" s="27" t="s">
        <v>8</v>
      </c>
      <c r="BT668" s="27" t="s">
        <v>7</v>
      </c>
      <c r="BU668" s="27" t="s">
        <v>8</v>
      </c>
      <c r="EF668" s="27" t="s">
        <v>7</v>
      </c>
      <c r="EG668" s="27" t="s">
        <v>8</v>
      </c>
      <c r="EH668" s="27" t="s">
        <v>7</v>
      </c>
      <c r="EI668" s="27" t="s">
        <v>8</v>
      </c>
      <c r="EL668" s="27" t="s">
        <v>7</v>
      </c>
      <c r="EM668" s="27" t="s">
        <v>8</v>
      </c>
      <c r="EN668" s="27" t="s">
        <v>7</v>
      </c>
      <c r="EO668" s="27" t="s">
        <v>8</v>
      </c>
      <c r="EP668" s="27" t="s">
        <v>7</v>
      </c>
      <c r="FE668" s="27" t="s">
        <v>8</v>
      </c>
      <c r="FF668" s="27" t="s">
        <v>7</v>
      </c>
      <c r="GQ668" s="27" t="s">
        <v>8</v>
      </c>
      <c r="GR668" s="27" t="s">
        <v>7</v>
      </c>
      <c r="GU668" s="27" t="s">
        <v>8</v>
      </c>
      <c r="GV668" s="27" t="s">
        <v>7</v>
      </c>
      <c r="GY668" s="27" t="s">
        <v>8</v>
      </c>
    </row>
    <row r="669" spans="1:221" x14ac:dyDescent="0.25">
      <c r="A669" s="7">
        <v>0.19714506744199917</v>
      </c>
      <c r="B669"/>
      <c r="C669"/>
      <c r="D669"/>
      <c r="E669"/>
      <c r="F669" s="27" t="s">
        <v>7</v>
      </c>
      <c r="Q669" s="27" t="s">
        <v>8</v>
      </c>
      <c r="AH669" s="27" t="s">
        <v>7</v>
      </c>
      <c r="AI669" s="27" t="s">
        <v>8</v>
      </c>
      <c r="AJ669" s="27" t="s">
        <v>7</v>
      </c>
      <c r="AK669" s="27" t="s">
        <v>8</v>
      </c>
      <c r="AL669" s="27" t="s">
        <v>7</v>
      </c>
      <c r="AM669" s="27" t="s">
        <v>8</v>
      </c>
      <c r="AN669" s="27" t="s">
        <v>7</v>
      </c>
      <c r="AO669" s="27" t="s">
        <v>8</v>
      </c>
      <c r="AP669" s="27" t="s">
        <v>7</v>
      </c>
      <c r="AQ669" s="27" t="s">
        <v>8</v>
      </c>
      <c r="BH669" s="27" t="s">
        <v>7</v>
      </c>
      <c r="BM669" s="27" t="s">
        <v>8</v>
      </c>
      <c r="BN669" s="27" t="s">
        <v>7</v>
      </c>
      <c r="BO669" s="27" t="s">
        <v>8</v>
      </c>
      <c r="BP669" s="27" t="s">
        <v>7</v>
      </c>
      <c r="BQ669" s="27" t="s">
        <v>8</v>
      </c>
      <c r="BS669" s="27" t="s">
        <v>8</v>
      </c>
      <c r="BT669" s="27" t="s">
        <v>7</v>
      </c>
      <c r="BU669" s="27" t="s">
        <v>8</v>
      </c>
      <c r="EF669" s="27" t="s">
        <v>7</v>
      </c>
      <c r="EG669" s="27" t="s">
        <v>8</v>
      </c>
      <c r="EH669" s="27" t="s">
        <v>7</v>
      </c>
      <c r="EI669" s="27" t="s">
        <v>8</v>
      </c>
      <c r="EL669" s="27" t="s">
        <v>7</v>
      </c>
      <c r="EM669" s="27" t="s">
        <v>8</v>
      </c>
      <c r="EN669" s="27" t="s">
        <v>7</v>
      </c>
      <c r="EO669" s="27" t="s">
        <v>8</v>
      </c>
      <c r="EP669" s="27" t="s">
        <v>7</v>
      </c>
      <c r="EQ669" s="27" t="s">
        <v>8</v>
      </c>
      <c r="FE669" s="27" t="s">
        <v>8</v>
      </c>
      <c r="FF669" s="27" t="s">
        <v>7</v>
      </c>
      <c r="GQ669" s="27" t="s">
        <v>8</v>
      </c>
      <c r="GR669" s="27" t="s">
        <v>7</v>
      </c>
      <c r="GS669" s="27" t="s">
        <v>8</v>
      </c>
      <c r="GU669" s="27" t="s">
        <v>8</v>
      </c>
      <c r="GV669" s="27" t="s">
        <v>7</v>
      </c>
      <c r="GY669" s="27" t="s">
        <v>8</v>
      </c>
    </row>
    <row r="670" spans="1:221" x14ac:dyDescent="0.25">
      <c r="A670" s="7">
        <v>0.19327947788431293</v>
      </c>
      <c r="B670"/>
      <c r="C670"/>
      <c r="D670"/>
      <c r="E670"/>
      <c r="F670" s="27" t="s">
        <v>7</v>
      </c>
      <c r="Q670" s="27" t="s">
        <v>8</v>
      </c>
      <c r="AH670" s="27" t="s">
        <v>7</v>
      </c>
      <c r="AI670" s="27" t="s">
        <v>8</v>
      </c>
      <c r="AJ670" s="27" t="s">
        <v>7</v>
      </c>
      <c r="AK670" s="27" t="s">
        <v>8</v>
      </c>
      <c r="AL670" s="27" t="s">
        <v>7</v>
      </c>
      <c r="AM670" s="27" t="s">
        <v>8</v>
      </c>
      <c r="AN670" s="27" t="s">
        <v>7</v>
      </c>
      <c r="AO670" s="27" t="s">
        <v>8</v>
      </c>
      <c r="AP670" s="27" t="s">
        <v>7</v>
      </c>
      <c r="AQ670" s="27" t="s">
        <v>8</v>
      </c>
      <c r="BH670" s="27" t="s">
        <v>7</v>
      </c>
      <c r="BM670" s="27" t="s">
        <v>8</v>
      </c>
      <c r="BN670" s="27" t="s">
        <v>7</v>
      </c>
      <c r="BO670" s="27" t="s">
        <v>8</v>
      </c>
      <c r="BP670" s="27" t="s">
        <v>7</v>
      </c>
      <c r="BQ670" s="27" t="s">
        <v>8</v>
      </c>
      <c r="BR670" s="27" t="s">
        <v>7</v>
      </c>
      <c r="BS670" s="27" t="s">
        <v>8</v>
      </c>
      <c r="BT670" s="27" t="s">
        <v>7</v>
      </c>
      <c r="BU670" s="27" t="s">
        <v>8</v>
      </c>
      <c r="EF670" s="27" t="s">
        <v>7</v>
      </c>
      <c r="EG670" s="27" t="s">
        <v>8</v>
      </c>
      <c r="EH670" s="27" t="s">
        <v>7</v>
      </c>
      <c r="EL670" s="27" t="s">
        <v>7</v>
      </c>
      <c r="EN670" s="27" t="s">
        <v>7</v>
      </c>
      <c r="EP670" s="27" t="s">
        <v>7</v>
      </c>
      <c r="EQ670" s="27" t="s">
        <v>8</v>
      </c>
      <c r="ER670" s="27" t="s">
        <v>7</v>
      </c>
      <c r="FE670" s="27" t="s">
        <v>8</v>
      </c>
      <c r="FF670" s="27" t="s">
        <v>7</v>
      </c>
      <c r="GQ670" s="27" t="s">
        <v>8</v>
      </c>
      <c r="GR670" s="27" t="s">
        <v>7</v>
      </c>
      <c r="GS670" s="27" t="s">
        <v>8</v>
      </c>
      <c r="GT670" s="27" t="s">
        <v>7</v>
      </c>
      <c r="GU670" s="27" t="s">
        <v>8</v>
      </c>
      <c r="GV670" s="27" t="s">
        <v>7</v>
      </c>
      <c r="GY670" s="27" t="s">
        <v>8</v>
      </c>
    </row>
    <row r="671" spans="1:221" x14ac:dyDescent="0.25">
      <c r="A671" s="7">
        <v>0.18948968420030682</v>
      </c>
      <c r="B671"/>
      <c r="C671"/>
      <c r="D671"/>
      <c r="E671"/>
      <c r="F671" s="27" t="s">
        <v>7</v>
      </c>
      <c r="Q671" s="27" t="s">
        <v>8</v>
      </c>
      <c r="AH671" s="27" t="s">
        <v>7</v>
      </c>
      <c r="AI671" s="27" t="s">
        <v>8</v>
      </c>
      <c r="AJ671" s="27" t="s">
        <v>7</v>
      </c>
      <c r="AK671" s="27" t="s">
        <v>8</v>
      </c>
      <c r="AL671" s="27" t="s">
        <v>7</v>
      </c>
      <c r="AM671" s="27" t="s">
        <v>8</v>
      </c>
      <c r="AN671" s="27" t="s">
        <v>7</v>
      </c>
      <c r="AO671" s="27" t="s">
        <v>8</v>
      </c>
      <c r="AP671" s="27" t="s">
        <v>7</v>
      </c>
      <c r="AQ671" s="27" t="s">
        <v>8</v>
      </c>
      <c r="BH671" s="27" t="s">
        <v>7</v>
      </c>
      <c r="BM671" s="27" t="s">
        <v>8</v>
      </c>
      <c r="BN671" s="27" t="s">
        <v>7</v>
      </c>
      <c r="BO671" s="27" t="s">
        <v>8</v>
      </c>
      <c r="BP671" s="27" t="s">
        <v>7</v>
      </c>
      <c r="BQ671" s="27" t="s">
        <v>8</v>
      </c>
      <c r="BR671" s="27" t="s">
        <v>7</v>
      </c>
      <c r="BS671" s="27" t="s">
        <v>8</v>
      </c>
      <c r="BT671" s="27" t="s">
        <v>7</v>
      </c>
      <c r="BU671" s="27" t="s">
        <v>8</v>
      </c>
      <c r="EF671" s="27" t="s">
        <v>7</v>
      </c>
      <c r="EG671" s="27" t="s">
        <v>8</v>
      </c>
      <c r="EP671" s="27" t="s">
        <v>7</v>
      </c>
      <c r="EQ671" s="27" t="s">
        <v>8</v>
      </c>
      <c r="ER671" s="27" t="s">
        <v>7</v>
      </c>
      <c r="EU671" s="27" t="s">
        <v>8</v>
      </c>
      <c r="FE671" s="27" t="s">
        <v>8</v>
      </c>
      <c r="FF671" s="27" t="s">
        <v>7</v>
      </c>
      <c r="FG671" s="27" t="s">
        <v>8</v>
      </c>
      <c r="FM671" s="27" t="s">
        <v>8</v>
      </c>
      <c r="GQ671" s="27" t="s">
        <v>8</v>
      </c>
      <c r="GR671" s="27" t="s">
        <v>7</v>
      </c>
      <c r="GS671" s="27" t="s">
        <v>8</v>
      </c>
      <c r="GT671" s="27" t="s">
        <v>7</v>
      </c>
      <c r="GU671" s="27" t="s">
        <v>8</v>
      </c>
      <c r="GV671" s="27" t="s">
        <v>7</v>
      </c>
      <c r="GW671" s="27" t="s">
        <v>8</v>
      </c>
      <c r="GY671" s="27" t="s">
        <v>8</v>
      </c>
    </row>
    <row r="672" spans="1:221" x14ac:dyDescent="0.25">
      <c r="A672" s="7">
        <v>0.18577420019637925</v>
      </c>
      <c r="B672"/>
      <c r="C672"/>
      <c r="D672"/>
      <c r="E672"/>
      <c r="F672" s="27" t="s">
        <v>7</v>
      </c>
      <c r="Q672" s="27" t="s">
        <v>8</v>
      </c>
      <c r="AH672" s="27" t="s">
        <v>7</v>
      </c>
      <c r="AI672" s="27" t="s">
        <v>8</v>
      </c>
      <c r="AJ672" s="27" t="s">
        <v>7</v>
      </c>
      <c r="AK672" s="27" t="s">
        <v>8</v>
      </c>
      <c r="AL672" s="27" t="s">
        <v>7</v>
      </c>
      <c r="AN672" s="27" t="s">
        <v>7</v>
      </c>
      <c r="AO672" s="27" t="s">
        <v>8</v>
      </c>
      <c r="AP672" s="27" t="s">
        <v>7</v>
      </c>
      <c r="BH672" s="27" t="s">
        <v>7</v>
      </c>
      <c r="BI672" s="27" t="s">
        <v>8</v>
      </c>
      <c r="BK672" s="27" t="s">
        <v>8</v>
      </c>
      <c r="BM672" s="27" t="s">
        <v>8</v>
      </c>
      <c r="BN672" s="27" t="s">
        <v>7</v>
      </c>
      <c r="BO672" s="27" t="s">
        <v>8</v>
      </c>
      <c r="BP672" s="27" t="s">
        <v>7</v>
      </c>
      <c r="BQ672" s="27" t="s">
        <v>8</v>
      </c>
      <c r="BR672" s="27" t="s">
        <v>7</v>
      </c>
      <c r="BT672" s="27" t="s">
        <v>7</v>
      </c>
      <c r="EF672" s="27" t="s">
        <v>7</v>
      </c>
      <c r="EG672" s="27" t="s">
        <v>8</v>
      </c>
      <c r="EP672" s="27" t="s">
        <v>7</v>
      </c>
      <c r="EQ672" s="27" t="s">
        <v>8</v>
      </c>
      <c r="ER672" s="27" t="s">
        <v>7</v>
      </c>
      <c r="EU672" s="27" t="s">
        <v>8</v>
      </c>
      <c r="EV672" s="27" t="s">
        <v>7</v>
      </c>
      <c r="FE672" s="27" t="s">
        <v>8</v>
      </c>
      <c r="FF672" s="27" t="s">
        <v>7</v>
      </c>
      <c r="FG672" s="27" t="s">
        <v>8</v>
      </c>
      <c r="FH672" s="27" t="s">
        <v>7</v>
      </c>
      <c r="FI672" s="27" t="s">
        <v>8</v>
      </c>
      <c r="FM672" s="27" t="s">
        <v>8</v>
      </c>
      <c r="FN672" s="27" t="s">
        <v>7</v>
      </c>
      <c r="GQ672" s="27" t="s">
        <v>8</v>
      </c>
      <c r="GR672" s="27" t="s">
        <v>7</v>
      </c>
      <c r="GS672" s="27" t="s">
        <v>8</v>
      </c>
      <c r="GT672" s="27" t="s">
        <v>7</v>
      </c>
      <c r="GU672" s="27" t="s">
        <v>8</v>
      </c>
      <c r="GV672" s="27" t="s">
        <v>7</v>
      </c>
      <c r="GW672" s="27" t="s">
        <v>8</v>
      </c>
      <c r="GX672" s="27" t="s">
        <v>7</v>
      </c>
      <c r="GY672" s="27" t="s">
        <v>8</v>
      </c>
    </row>
    <row r="673" spans="1:207" x14ac:dyDescent="0.25">
      <c r="A673" s="7">
        <v>0.18213156881997963</v>
      </c>
      <c r="B673"/>
      <c r="C673"/>
      <c r="D673"/>
      <c r="E673"/>
      <c r="F673" s="27" t="s">
        <v>7</v>
      </c>
      <c r="Q673" s="27" t="s">
        <v>8</v>
      </c>
      <c r="AH673" s="27" t="s">
        <v>7</v>
      </c>
      <c r="AI673" s="27" t="s">
        <v>8</v>
      </c>
      <c r="AJ673" s="27" t="s">
        <v>7</v>
      </c>
      <c r="AK673" s="27" t="s">
        <v>8</v>
      </c>
      <c r="AN673" s="27" t="s">
        <v>7</v>
      </c>
      <c r="AO673" s="27" t="s">
        <v>8</v>
      </c>
      <c r="BH673" s="27" t="s">
        <v>7</v>
      </c>
      <c r="BI673" s="27" t="s">
        <v>8</v>
      </c>
      <c r="BJ673" s="27" t="s">
        <v>7</v>
      </c>
      <c r="BK673" s="27" t="s">
        <v>8</v>
      </c>
      <c r="BL673" s="27" t="s">
        <v>7</v>
      </c>
      <c r="BM673" s="27" t="s">
        <v>8</v>
      </c>
      <c r="BN673" s="27" t="s">
        <v>7</v>
      </c>
      <c r="BO673" s="27" t="s">
        <v>8</v>
      </c>
      <c r="BP673" s="27" t="s">
        <v>7</v>
      </c>
      <c r="BQ673" s="27" t="s">
        <v>8</v>
      </c>
      <c r="EF673" s="27" t="s">
        <v>7</v>
      </c>
      <c r="EP673" s="27" t="s">
        <v>7</v>
      </c>
      <c r="EQ673" s="27" t="s">
        <v>8</v>
      </c>
      <c r="ER673" s="27" t="s">
        <v>7</v>
      </c>
      <c r="EU673" s="27" t="s">
        <v>8</v>
      </c>
      <c r="EV673" s="27" t="s">
        <v>7</v>
      </c>
      <c r="FE673" s="27" t="s">
        <v>8</v>
      </c>
      <c r="FF673" s="27" t="s">
        <v>7</v>
      </c>
      <c r="FG673" s="27" t="s">
        <v>8</v>
      </c>
      <c r="FH673" s="27" t="s">
        <v>7</v>
      </c>
      <c r="FI673" s="27" t="s">
        <v>8</v>
      </c>
      <c r="FJ673" s="27" t="s">
        <v>7</v>
      </c>
      <c r="FM673" s="27" t="s">
        <v>8</v>
      </c>
      <c r="FN673" s="27" t="s">
        <v>7</v>
      </c>
      <c r="GO673" s="27" t="s">
        <v>8</v>
      </c>
      <c r="GQ673" s="27" t="s">
        <v>8</v>
      </c>
      <c r="GR673" s="27" t="s">
        <v>7</v>
      </c>
      <c r="GS673" s="27" t="s">
        <v>8</v>
      </c>
      <c r="GT673" s="27" t="s">
        <v>7</v>
      </c>
      <c r="GV673" s="27" t="s">
        <v>7</v>
      </c>
      <c r="GW673" s="27" t="s">
        <v>8</v>
      </c>
      <c r="GX673" s="27" t="s">
        <v>7</v>
      </c>
      <c r="GY673" s="27" t="s">
        <v>8</v>
      </c>
    </row>
    <row r="674" spans="1:207" x14ac:dyDescent="0.25">
      <c r="A674" s="7">
        <v>0.17856036158821534</v>
      </c>
      <c r="B674"/>
      <c r="C674"/>
      <c r="D674"/>
      <c r="E674"/>
      <c r="F674" s="27" t="s">
        <v>7</v>
      </c>
      <c r="Q674" s="27" t="s">
        <v>8</v>
      </c>
      <c r="AH674" s="27" t="s">
        <v>7</v>
      </c>
      <c r="AI674" s="27" t="s">
        <v>8</v>
      </c>
      <c r="AJ674" s="27" t="s">
        <v>7</v>
      </c>
      <c r="AK674" s="27" t="s">
        <v>8</v>
      </c>
      <c r="AN674" s="27" t="s">
        <v>7</v>
      </c>
      <c r="AO674" s="27" t="s">
        <v>8</v>
      </c>
      <c r="BH674" s="27" t="s">
        <v>7</v>
      </c>
      <c r="BI674" s="27" t="s">
        <v>8</v>
      </c>
      <c r="BJ674" s="27" t="s">
        <v>7</v>
      </c>
      <c r="BK674" s="27" t="s">
        <v>8</v>
      </c>
      <c r="BL674" s="27" t="s">
        <v>7</v>
      </c>
      <c r="BM674" s="27" t="s">
        <v>8</v>
      </c>
      <c r="BN674" s="27" t="s">
        <v>7</v>
      </c>
      <c r="BO674" s="27" t="s">
        <v>8</v>
      </c>
      <c r="BP674" s="27" t="s">
        <v>7</v>
      </c>
      <c r="BQ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EU674" s="27" t="s">
        <v>8</v>
      </c>
      <c r="EV674" s="27" t="s">
        <v>7</v>
      </c>
      <c r="FE674" s="27" t="s">
        <v>8</v>
      </c>
      <c r="FF674" s="27" t="s">
        <v>7</v>
      </c>
      <c r="FG674" s="27" t="s">
        <v>8</v>
      </c>
      <c r="FH674" s="27" t="s">
        <v>7</v>
      </c>
      <c r="FI674" s="27" t="s">
        <v>8</v>
      </c>
      <c r="FJ674" s="27" t="s">
        <v>7</v>
      </c>
      <c r="FM674" s="27" t="s">
        <v>8</v>
      </c>
      <c r="FN674" s="27" t="s">
        <v>7</v>
      </c>
      <c r="GI674" s="27" t="s">
        <v>8</v>
      </c>
      <c r="GK674" s="27" t="s">
        <v>8</v>
      </c>
      <c r="GO674" s="27" t="s">
        <v>8</v>
      </c>
      <c r="GP674" s="27" t="s">
        <v>7</v>
      </c>
      <c r="GQ674" s="27" t="s">
        <v>8</v>
      </c>
      <c r="GR674" s="27" t="s">
        <v>7</v>
      </c>
      <c r="GS674" s="27" t="s">
        <v>8</v>
      </c>
      <c r="GV674" s="27" t="s">
        <v>7</v>
      </c>
      <c r="GW674" s="27" t="s">
        <v>8</v>
      </c>
      <c r="GX674" s="27" t="s">
        <v>7</v>
      </c>
      <c r="GY674" s="27" t="s">
        <v>8</v>
      </c>
    </row>
    <row r="675" spans="1:207" x14ac:dyDescent="0.25">
      <c r="A675" s="7">
        <v>0.17505917802766208</v>
      </c>
      <c r="B675"/>
      <c r="C675"/>
      <c r="D675"/>
      <c r="E675"/>
      <c r="F675" s="27" t="s">
        <v>7</v>
      </c>
      <c r="Q675" s="27" t="s">
        <v>8</v>
      </c>
      <c r="AH675" s="27" t="s">
        <v>7</v>
      </c>
      <c r="AI675" s="27" t="s">
        <v>8</v>
      </c>
      <c r="AJ675" s="27" t="s">
        <v>7</v>
      </c>
      <c r="AK675" s="27" t="s">
        <v>8</v>
      </c>
      <c r="AN675" s="27" t="s">
        <v>7</v>
      </c>
      <c r="AO675" s="27" t="s">
        <v>8</v>
      </c>
      <c r="BH675" s="27" t="s">
        <v>7</v>
      </c>
      <c r="BI675" s="27" t="s">
        <v>8</v>
      </c>
      <c r="BJ675" s="27" t="s">
        <v>7</v>
      </c>
      <c r="BK675" s="27" t="s">
        <v>8</v>
      </c>
      <c r="BL675" s="27" t="s">
        <v>7</v>
      </c>
      <c r="BM675" s="27" t="s">
        <v>8</v>
      </c>
      <c r="BN675" s="27" t="s">
        <v>7</v>
      </c>
      <c r="BO675" s="27" t="s">
        <v>8</v>
      </c>
      <c r="BP675" s="27" t="s">
        <v>7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EU675" s="27" t="s">
        <v>8</v>
      </c>
      <c r="EV675" s="27" t="s">
        <v>7</v>
      </c>
      <c r="FE675" s="27" t="s">
        <v>8</v>
      </c>
      <c r="FF675" s="27" t="s">
        <v>7</v>
      </c>
      <c r="FG675" s="27" t="s">
        <v>8</v>
      </c>
      <c r="FH675" s="27" t="s">
        <v>7</v>
      </c>
      <c r="FI675" s="27" t="s">
        <v>8</v>
      </c>
      <c r="FJ675" s="27" t="s">
        <v>7</v>
      </c>
      <c r="FM675" s="27" t="s">
        <v>8</v>
      </c>
      <c r="FN675" s="27" t="s">
        <v>7</v>
      </c>
      <c r="GI675" s="27" t="s">
        <v>8</v>
      </c>
      <c r="GJ675" s="27" t="s">
        <v>7</v>
      </c>
      <c r="GK675" s="27" t="s">
        <v>8</v>
      </c>
      <c r="GL675" s="27" t="s">
        <v>7</v>
      </c>
      <c r="GO675" s="27" t="s">
        <v>8</v>
      </c>
      <c r="GP675" s="27" t="s">
        <v>7</v>
      </c>
      <c r="GQ675" s="27" t="s">
        <v>8</v>
      </c>
      <c r="GR675" s="27" t="s">
        <v>7</v>
      </c>
      <c r="GS675" s="27" t="s">
        <v>8</v>
      </c>
      <c r="GV675" s="27" t="s">
        <v>7</v>
      </c>
      <c r="GW675" s="27" t="s">
        <v>8</v>
      </c>
      <c r="GX675" s="27" t="s">
        <v>7</v>
      </c>
    </row>
    <row r="676" spans="1:207" x14ac:dyDescent="0.25">
      <c r="A676" s="7">
        <v>0.17162664512515888</v>
      </c>
      <c r="B676"/>
      <c r="C676"/>
      <c r="D676"/>
      <c r="E676"/>
      <c r="F676" s="27" t="s">
        <v>7</v>
      </c>
      <c r="Q676" s="27" t="s">
        <v>8</v>
      </c>
      <c r="AH676" s="27" t="s">
        <v>7</v>
      </c>
      <c r="AI676" s="27" t="s">
        <v>8</v>
      </c>
      <c r="AJ676" s="27" t="s">
        <v>7</v>
      </c>
      <c r="AK676" s="27" t="s">
        <v>8</v>
      </c>
      <c r="AN676" s="27" t="s">
        <v>7</v>
      </c>
      <c r="AO676" s="27" t="s">
        <v>8</v>
      </c>
      <c r="BH676" s="27" t="s">
        <v>7</v>
      </c>
      <c r="BI676" s="27" t="s">
        <v>8</v>
      </c>
      <c r="BJ676" s="27" t="s">
        <v>7</v>
      </c>
      <c r="BK676" s="27" t="s">
        <v>8</v>
      </c>
      <c r="BL676" s="27" t="s">
        <v>7</v>
      </c>
      <c r="BM676" s="27" t="s">
        <v>8</v>
      </c>
      <c r="BN676" s="27" t="s">
        <v>7</v>
      </c>
      <c r="BO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EU676" s="27" t="s">
        <v>8</v>
      </c>
      <c r="EV676" s="27" t="s">
        <v>7</v>
      </c>
      <c r="FE676" s="27" t="s">
        <v>8</v>
      </c>
      <c r="FF676" s="27" t="s">
        <v>7</v>
      </c>
      <c r="FG676" s="27" t="s">
        <v>8</v>
      </c>
      <c r="FH676" s="27" t="s">
        <v>7</v>
      </c>
      <c r="FI676" s="27" t="s">
        <v>8</v>
      </c>
      <c r="FJ676" s="27" t="s">
        <v>7</v>
      </c>
      <c r="FM676" s="27" t="s">
        <v>8</v>
      </c>
      <c r="FN676" s="27" t="s">
        <v>7</v>
      </c>
      <c r="GI676" s="27" t="s">
        <v>8</v>
      </c>
      <c r="GJ676" s="27" t="s">
        <v>7</v>
      </c>
      <c r="GK676" s="27" t="s">
        <v>8</v>
      </c>
      <c r="GL676" s="27" t="s">
        <v>7</v>
      </c>
      <c r="GO676" s="27" t="s">
        <v>8</v>
      </c>
      <c r="GP676" s="27" t="s">
        <v>7</v>
      </c>
      <c r="GQ676" s="27" t="s">
        <v>8</v>
      </c>
      <c r="GR676" s="27" t="s">
        <v>7</v>
      </c>
      <c r="GS676" s="27" t="s">
        <v>8</v>
      </c>
      <c r="GV676" s="27" t="s">
        <v>7</v>
      </c>
    </row>
    <row r="677" spans="1:207" x14ac:dyDescent="0.25">
      <c r="A677" s="7">
        <v>0.16826141678937145</v>
      </c>
      <c r="B677"/>
      <c r="C677"/>
      <c r="D677"/>
      <c r="E677"/>
      <c r="F677" s="27" t="s">
        <v>7</v>
      </c>
      <c r="Q677" s="27" t="s">
        <v>8</v>
      </c>
      <c r="AH677" s="27" t="s">
        <v>7</v>
      </c>
      <c r="AI677" s="27" t="s">
        <v>8</v>
      </c>
      <c r="AJ677" s="27" t="s">
        <v>7</v>
      </c>
      <c r="AK677" s="27" t="s">
        <v>8</v>
      </c>
      <c r="AN677" s="27" t="s">
        <v>7</v>
      </c>
      <c r="BH677" s="27" t="s">
        <v>7</v>
      </c>
      <c r="BI677" s="27" t="s">
        <v>8</v>
      </c>
      <c r="BJ677" s="27" t="s">
        <v>7</v>
      </c>
      <c r="BK677" s="27" t="s">
        <v>8</v>
      </c>
      <c r="BL677" s="27" t="s">
        <v>7</v>
      </c>
      <c r="BM677" s="27" t="s">
        <v>8</v>
      </c>
      <c r="BN677" s="27" t="s">
        <v>7</v>
      </c>
      <c r="EP677" s="27" t="s">
        <v>7</v>
      </c>
      <c r="EQ677" s="27" t="s">
        <v>8</v>
      </c>
      <c r="ER677" s="27" t="s">
        <v>7</v>
      </c>
      <c r="ES677" s="27" t="s">
        <v>8</v>
      </c>
      <c r="ET677" s="27" t="s">
        <v>7</v>
      </c>
      <c r="EU677" s="27" t="s">
        <v>8</v>
      </c>
      <c r="EV677" s="27" t="s">
        <v>7</v>
      </c>
      <c r="FE677" s="27" t="s">
        <v>8</v>
      </c>
      <c r="FF677" s="27" t="s">
        <v>7</v>
      </c>
      <c r="FG677" s="27" t="s">
        <v>8</v>
      </c>
      <c r="FH677" s="27" t="s">
        <v>7</v>
      </c>
      <c r="FI677" s="27" t="s">
        <v>8</v>
      </c>
      <c r="FJ677" s="27" t="s">
        <v>7</v>
      </c>
      <c r="FM677" s="27" t="s">
        <v>8</v>
      </c>
      <c r="FN677" s="27" t="s">
        <v>7</v>
      </c>
      <c r="FQ677" s="27" t="s">
        <v>8</v>
      </c>
      <c r="GI677" s="27" t="s">
        <v>8</v>
      </c>
      <c r="GJ677" s="27" t="s">
        <v>7</v>
      </c>
      <c r="GK677" s="27" t="s">
        <v>8</v>
      </c>
      <c r="GL677" s="27" t="s">
        <v>7</v>
      </c>
      <c r="GO677" s="27" t="s">
        <v>8</v>
      </c>
      <c r="GP677" s="27" t="s">
        <v>7</v>
      </c>
      <c r="GQ677" s="27" t="s">
        <v>8</v>
      </c>
      <c r="GR677" s="27" t="s">
        <v>7</v>
      </c>
      <c r="GS677" s="27" t="s">
        <v>8</v>
      </c>
    </row>
    <row r="678" spans="1:207" x14ac:dyDescent="0.25">
      <c r="A678" s="7">
        <v>0.16496217332291319</v>
      </c>
      <c r="B678"/>
      <c r="C678"/>
      <c r="D678"/>
      <c r="E678"/>
      <c r="F678" s="27" t="s">
        <v>7</v>
      </c>
      <c r="Q678" s="27" t="s">
        <v>8</v>
      </c>
      <c r="AH678" s="27" t="s">
        <v>7</v>
      </c>
      <c r="AI678" s="27" t="s">
        <v>8</v>
      </c>
      <c r="AJ678" s="27" t="s">
        <v>7</v>
      </c>
      <c r="AK678" s="27" t="s">
        <v>8</v>
      </c>
      <c r="BH678" s="27" t="s">
        <v>7</v>
      </c>
      <c r="BI678" s="27" t="s">
        <v>8</v>
      </c>
      <c r="BJ678" s="27" t="s">
        <v>7</v>
      </c>
      <c r="BK678" s="27" t="s">
        <v>8</v>
      </c>
      <c r="BL678" s="27" t="s">
        <v>7</v>
      </c>
      <c r="BM678" s="27" t="s">
        <v>8</v>
      </c>
      <c r="EP678" s="27" t="s">
        <v>7</v>
      </c>
      <c r="EQ678" s="27" t="s">
        <v>8</v>
      </c>
      <c r="ER678" s="27" t="s">
        <v>7</v>
      </c>
      <c r="ES678" s="27" t="s">
        <v>8</v>
      </c>
      <c r="ET678" s="27" t="s">
        <v>7</v>
      </c>
      <c r="EU678" s="27" t="s">
        <v>8</v>
      </c>
      <c r="EV678" s="27" t="s">
        <v>7</v>
      </c>
      <c r="FE678" s="27" t="s">
        <v>8</v>
      </c>
      <c r="FF678" s="27" t="s">
        <v>7</v>
      </c>
      <c r="FG678" s="27" t="s">
        <v>8</v>
      </c>
      <c r="FH678" s="27" t="s">
        <v>7</v>
      </c>
      <c r="FI678" s="27" t="s">
        <v>8</v>
      </c>
      <c r="FJ678" s="27" t="s">
        <v>7</v>
      </c>
      <c r="FM678" s="27" t="s">
        <v>8</v>
      </c>
      <c r="FN678" s="27" t="s">
        <v>7</v>
      </c>
      <c r="FQ678" s="27" t="s">
        <v>8</v>
      </c>
      <c r="FR678" s="27" t="s">
        <v>7</v>
      </c>
      <c r="FY678" s="27" t="s">
        <v>8</v>
      </c>
      <c r="GI678" s="27" t="s">
        <v>8</v>
      </c>
      <c r="GJ678" s="27" t="s">
        <v>7</v>
      </c>
      <c r="GK678" s="27" t="s">
        <v>8</v>
      </c>
      <c r="GL678" s="27" t="s">
        <v>7</v>
      </c>
      <c r="GO678" s="27" t="s">
        <v>8</v>
      </c>
      <c r="GP678" s="27" t="s">
        <v>7</v>
      </c>
      <c r="GQ678" s="27" t="s">
        <v>8</v>
      </c>
      <c r="GR678" s="27" t="s">
        <v>7</v>
      </c>
      <c r="GS678" s="27" t="s">
        <v>8</v>
      </c>
    </row>
    <row r="679" spans="1:207" x14ac:dyDescent="0.25">
      <c r="A679" s="7">
        <v>0.16172762090481685</v>
      </c>
      <c r="B679"/>
      <c r="C679"/>
      <c r="D679"/>
      <c r="E679"/>
      <c r="F679" s="27" t="s">
        <v>7</v>
      </c>
      <c r="Q679" s="27" t="s">
        <v>8</v>
      </c>
      <c r="AH679" s="27" t="s">
        <v>7</v>
      </c>
      <c r="AI679" s="27" t="s">
        <v>8</v>
      </c>
      <c r="AJ679" s="27" t="s">
        <v>7</v>
      </c>
      <c r="AK679" s="27" t="s">
        <v>8</v>
      </c>
      <c r="BH679" s="27" t="s">
        <v>7</v>
      </c>
      <c r="BI679" s="27" t="s">
        <v>8</v>
      </c>
      <c r="BJ679" s="27" t="s">
        <v>7</v>
      </c>
      <c r="BK679" s="27" t="s">
        <v>8</v>
      </c>
      <c r="BL679" s="27" t="s">
        <v>7</v>
      </c>
      <c r="BM679" s="27" t="s">
        <v>8</v>
      </c>
      <c r="EP679" s="27" t="s">
        <v>7</v>
      </c>
      <c r="EQ679" s="27" t="s">
        <v>8</v>
      </c>
      <c r="ER679" s="27" t="s">
        <v>7</v>
      </c>
      <c r="ET679" s="27" t="s">
        <v>7</v>
      </c>
      <c r="EU679" s="27" t="s">
        <v>8</v>
      </c>
      <c r="EV679" s="27" t="s">
        <v>7</v>
      </c>
      <c r="EW679" s="27" t="s">
        <v>8</v>
      </c>
      <c r="FE679" s="27" t="s">
        <v>8</v>
      </c>
      <c r="FF679" s="27" t="s">
        <v>7</v>
      </c>
      <c r="FG679" s="27" t="s">
        <v>8</v>
      </c>
      <c r="FH679" s="27" t="s">
        <v>7</v>
      </c>
      <c r="FJ679" s="27" t="s">
        <v>7</v>
      </c>
      <c r="FM679" s="27" t="s">
        <v>8</v>
      </c>
      <c r="FN679" s="27" t="s">
        <v>7</v>
      </c>
      <c r="FQ679" s="27" t="s">
        <v>8</v>
      </c>
      <c r="FR679" s="27" t="s">
        <v>7</v>
      </c>
      <c r="FS679" s="27" t="s">
        <v>8</v>
      </c>
      <c r="FY679" s="27" t="s">
        <v>8</v>
      </c>
      <c r="FZ679" s="27" t="s">
        <v>7</v>
      </c>
      <c r="GI679" s="27" t="s">
        <v>8</v>
      </c>
      <c r="GJ679" s="27" t="s">
        <v>7</v>
      </c>
      <c r="GK679" s="27" t="s">
        <v>8</v>
      </c>
      <c r="GL679" s="27" t="s">
        <v>7</v>
      </c>
      <c r="GO679" s="27" t="s">
        <v>8</v>
      </c>
      <c r="GP679" s="27" t="s">
        <v>7</v>
      </c>
      <c r="GQ679" s="27" t="s">
        <v>8</v>
      </c>
      <c r="GR679" s="27" t="s">
        <v>7</v>
      </c>
      <c r="GS679" s="27" t="s">
        <v>8</v>
      </c>
    </row>
    <row r="680" spans="1:207" x14ac:dyDescent="0.25">
      <c r="A680" s="7">
        <v>0.15855649108315376</v>
      </c>
      <c r="B680"/>
      <c r="C680"/>
      <c r="D680"/>
      <c r="E680"/>
      <c r="F680" s="27" t="s">
        <v>7</v>
      </c>
      <c r="Q680" s="27" t="s">
        <v>8</v>
      </c>
      <c r="AH680" s="27" t="s">
        <v>7</v>
      </c>
      <c r="AI680" s="27" t="s">
        <v>8</v>
      </c>
      <c r="AJ680" s="27" t="s">
        <v>7</v>
      </c>
      <c r="AK680" s="27" t="s">
        <v>8</v>
      </c>
      <c r="BH680" s="27" t="s">
        <v>7</v>
      </c>
      <c r="BJ680" s="27" t="s">
        <v>7</v>
      </c>
      <c r="BK680" s="27" t="s">
        <v>8</v>
      </c>
      <c r="BL680" s="27" t="s">
        <v>7</v>
      </c>
      <c r="BM680" s="27" t="s">
        <v>8</v>
      </c>
      <c r="EP680" s="27" t="s">
        <v>7</v>
      </c>
      <c r="ET680" s="27" t="s">
        <v>7</v>
      </c>
      <c r="EU680" s="27" t="s">
        <v>8</v>
      </c>
      <c r="EV680" s="27" t="s">
        <v>7</v>
      </c>
      <c r="EW680" s="27" t="s">
        <v>8</v>
      </c>
      <c r="EX680" s="27" t="s">
        <v>7</v>
      </c>
      <c r="FE680" s="27" t="s">
        <v>8</v>
      </c>
      <c r="FF680" s="27" t="s">
        <v>7</v>
      </c>
      <c r="FG680" s="27" t="s">
        <v>8</v>
      </c>
      <c r="FJ680" s="27" t="s">
        <v>7</v>
      </c>
      <c r="FK680" s="27" t="s">
        <v>8</v>
      </c>
      <c r="FM680" s="27" t="s">
        <v>8</v>
      </c>
      <c r="FN680" s="27" t="s">
        <v>7</v>
      </c>
      <c r="FQ680" s="27" t="s">
        <v>8</v>
      </c>
      <c r="FR680" s="27" t="s">
        <v>7</v>
      </c>
      <c r="FS680" s="27" t="s">
        <v>8</v>
      </c>
      <c r="FT680" s="27" t="s">
        <v>7</v>
      </c>
      <c r="FY680" s="27" t="s">
        <v>8</v>
      </c>
      <c r="FZ680" s="27" t="s">
        <v>7</v>
      </c>
      <c r="GI680" s="27" t="s">
        <v>8</v>
      </c>
      <c r="GJ680" s="27" t="s">
        <v>7</v>
      </c>
      <c r="GK680" s="27" t="s">
        <v>8</v>
      </c>
      <c r="GL680" s="27" t="s">
        <v>7</v>
      </c>
      <c r="GO680" s="27" t="s">
        <v>8</v>
      </c>
      <c r="GP680" s="27" t="s">
        <v>7</v>
      </c>
      <c r="GQ680" s="27" t="s">
        <v>8</v>
      </c>
      <c r="GR680" s="27" t="s">
        <v>7</v>
      </c>
      <c r="GS680" s="27" t="s">
        <v>8</v>
      </c>
    </row>
    <row r="681" spans="1:207" x14ac:dyDescent="0.25">
      <c r="A681" s="7">
        <v>0.15544754027760171</v>
      </c>
      <c r="B681"/>
      <c r="C681"/>
      <c r="D681"/>
      <c r="E681"/>
      <c r="F681" s="27" t="s">
        <v>7</v>
      </c>
      <c r="Q681" s="27" t="s">
        <v>8</v>
      </c>
      <c r="AH681" s="27" t="s">
        <v>7</v>
      </c>
      <c r="AI681" s="27" t="s">
        <v>8</v>
      </c>
      <c r="AJ681" s="27" t="s">
        <v>7</v>
      </c>
      <c r="AK681" s="27" t="s">
        <v>8</v>
      </c>
      <c r="BJ681" s="27" t="s">
        <v>7</v>
      </c>
      <c r="BK681" s="27" t="s">
        <v>8</v>
      </c>
      <c r="BL681" s="27" t="s">
        <v>7</v>
      </c>
      <c r="ET681" s="27" t="s">
        <v>7</v>
      </c>
      <c r="EV681" s="27" t="s">
        <v>7</v>
      </c>
      <c r="EW681" s="27" t="s">
        <v>8</v>
      </c>
      <c r="EX681" s="27" t="s">
        <v>7</v>
      </c>
      <c r="FE681" s="27" t="s">
        <v>8</v>
      </c>
      <c r="FF681" s="27" t="s">
        <v>7</v>
      </c>
      <c r="FG681" s="27" t="s">
        <v>8</v>
      </c>
      <c r="FJ681" s="27" t="s">
        <v>7</v>
      </c>
      <c r="FK681" s="27" t="s">
        <v>8</v>
      </c>
      <c r="FL681" s="27" t="s">
        <v>7</v>
      </c>
      <c r="FM681" s="27" t="s">
        <v>8</v>
      </c>
      <c r="FN681" s="27" t="s">
        <v>7</v>
      </c>
      <c r="FO681" s="27" t="s">
        <v>8</v>
      </c>
      <c r="FQ681" s="27" t="s">
        <v>8</v>
      </c>
      <c r="FR681" s="27" t="s">
        <v>7</v>
      </c>
      <c r="FS681" s="27" t="s">
        <v>8</v>
      </c>
      <c r="FT681" s="27" t="s">
        <v>7</v>
      </c>
      <c r="FY681" s="27" t="s">
        <v>8</v>
      </c>
      <c r="FZ681" s="27" t="s">
        <v>7</v>
      </c>
      <c r="GI681" s="27" t="s">
        <v>8</v>
      </c>
      <c r="GJ681" s="27" t="s">
        <v>7</v>
      </c>
      <c r="GK681" s="27" t="s">
        <v>8</v>
      </c>
      <c r="GL681" s="27" t="s">
        <v>7</v>
      </c>
      <c r="GO681" s="27" t="s">
        <v>8</v>
      </c>
      <c r="GP681" s="27" t="s">
        <v>7</v>
      </c>
      <c r="GR681" s="27" t="s">
        <v>7</v>
      </c>
      <c r="GS681" s="27" t="s">
        <v>8</v>
      </c>
    </row>
    <row r="682" spans="1:207" x14ac:dyDescent="0.25">
      <c r="A682" s="7">
        <v>0.15239954929176638</v>
      </c>
      <c r="B682"/>
      <c r="C682"/>
      <c r="D682"/>
      <c r="E682"/>
      <c r="F682" s="27" t="s">
        <v>7</v>
      </c>
      <c r="Q682" s="27" t="s">
        <v>8</v>
      </c>
      <c r="AH682" s="27" t="s">
        <v>7</v>
      </c>
      <c r="AI682" s="27" t="s">
        <v>8</v>
      </c>
      <c r="AJ682" s="27" t="s">
        <v>7</v>
      </c>
      <c r="AK682" s="27" t="s">
        <v>8</v>
      </c>
      <c r="BJ682" s="27" t="s">
        <v>7</v>
      </c>
      <c r="BK682" s="27" t="s">
        <v>8</v>
      </c>
      <c r="EV682" s="27" t="s">
        <v>7</v>
      </c>
      <c r="EW682" s="27" t="s">
        <v>8</v>
      </c>
      <c r="EX682" s="27" t="s">
        <v>7</v>
      </c>
      <c r="FE682" s="27" t="s">
        <v>8</v>
      </c>
      <c r="FF682" s="27" t="s">
        <v>7</v>
      </c>
      <c r="FJ682" s="27" t="s">
        <v>7</v>
      </c>
      <c r="FK682" s="27" t="s">
        <v>8</v>
      </c>
      <c r="FL682" s="27" t="s">
        <v>7</v>
      </c>
      <c r="FM682" s="27" t="s">
        <v>8</v>
      </c>
      <c r="FN682" s="27" t="s">
        <v>7</v>
      </c>
      <c r="FO682" s="27" t="s">
        <v>8</v>
      </c>
      <c r="FP682" s="27" t="s">
        <v>7</v>
      </c>
      <c r="FQ682" s="27" t="s">
        <v>8</v>
      </c>
      <c r="FR682" s="27" t="s">
        <v>7</v>
      </c>
      <c r="FS682" s="27" t="s">
        <v>8</v>
      </c>
      <c r="FT682" s="27" t="s">
        <v>7</v>
      </c>
      <c r="FY682" s="27" t="s">
        <v>8</v>
      </c>
      <c r="FZ682" s="27" t="s">
        <v>7</v>
      </c>
      <c r="GI682" s="27" t="s">
        <v>8</v>
      </c>
      <c r="GJ682" s="27" t="s">
        <v>7</v>
      </c>
      <c r="GL682" s="27" t="s">
        <v>7</v>
      </c>
      <c r="GO682" s="27" t="s">
        <v>8</v>
      </c>
      <c r="GR682" s="27" t="s">
        <v>7</v>
      </c>
    </row>
    <row r="683" spans="1:207" x14ac:dyDescent="0.25">
      <c r="A683" s="7">
        <v>0.14941132283506509</v>
      </c>
      <c r="B683"/>
      <c r="C683"/>
      <c r="D683"/>
      <c r="E683"/>
      <c r="F683" s="27" t="s">
        <v>7</v>
      </c>
      <c r="Q683" s="27" t="s">
        <v>8</v>
      </c>
      <c r="AH683" s="27" t="s">
        <v>7</v>
      </c>
      <c r="AI683" s="27" t="s">
        <v>8</v>
      </c>
      <c r="AJ683" s="27" t="s">
        <v>7</v>
      </c>
      <c r="AK683" s="27" t="s">
        <v>8</v>
      </c>
      <c r="BJ683" s="27" t="s">
        <v>7</v>
      </c>
      <c r="BK683" s="27" t="s">
        <v>8</v>
      </c>
      <c r="EV683" s="27" t="s">
        <v>7</v>
      </c>
      <c r="EX683" s="27" t="s">
        <v>7</v>
      </c>
      <c r="FE683" s="27" t="s">
        <v>8</v>
      </c>
      <c r="FJ683" s="27" t="s">
        <v>7</v>
      </c>
      <c r="FK683" s="27" t="s">
        <v>8</v>
      </c>
      <c r="FL683" s="27" t="s">
        <v>7</v>
      </c>
      <c r="FM683" s="27" t="s">
        <v>8</v>
      </c>
      <c r="FN683" s="27" t="s">
        <v>7</v>
      </c>
      <c r="FO683" s="27" t="s">
        <v>8</v>
      </c>
      <c r="FP683" s="27" t="s">
        <v>7</v>
      </c>
      <c r="FQ683" s="27" t="s">
        <v>8</v>
      </c>
      <c r="FR683" s="27" t="s">
        <v>7</v>
      </c>
      <c r="FT683" s="27" t="s">
        <v>7</v>
      </c>
      <c r="FU683" s="27" t="s">
        <v>8</v>
      </c>
      <c r="FW683" s="27" t="s">
        <v>8</v>
      </c>
      <c r="FY683" s="27" t="s">
        <v>8</v>
      </c>
      <c r="FZ683" s="27" t="s">
        <v>7</v>
      </c>
      <c r="GI683" s="27" t="s">
        <v>8</v>
      </c>
      <c r="GL683" s="27" t="s">
        <v>7</v>
      </c>
      <c r="GM683" s="27" t="s">
        <v>8</v>
      </c>
      <c r="GO683" s="27" t="s">
        <v>8</v>
      </c>
    </row>
    <row r="684" spans="1:207" x14ac:dyDescent="0.25">
      <c r="A684" s="7">
        <v>0.14648168905398537</v>
      </c>
      <c r="B684"/>
      <c r="C684"/>
      <c r="D684"/>
      <c r="E684"/>
      <c r="F684" s="27" t="s">
        <v>7</v>
      </c>
      <c r="I684" s="27" t="s">
        <v>8</v>
      </c>
      <c r="Q684" s="27" t="s">
        <v>8</v>
      </c>
      <c r="AH684" s="27" t="s">
        <v>7</v>
      </c>
      <c r="AI684" s="27" t="s">
        <v>8</v>
      </c>
      <c r="AJ684" s="27" t="s">
        <v>7</v>
      </c>
      <c r="AK684" s="27" t="s">
        <v>8</v>
      </c>
      <c r="BJ684" s="27" t="s">
        <v>7</v>
      </c>
      <c r="BK684" s="27" t="s">
        <v>8</v>
      </c>
      <c r="EX684" s="27" t="s">
        <v>7</v>
      </c>
      <c r="FE684" s="27" t="s">
        <v>8</v>
      </c>
      <c r="FJ684" s="27" t="s">
        <v>7</v>
      </c>
      <c r="FK684" s="27" t="s">
        <v>8</v>
      </c>
      <c r="FL684" s="27" t="s">
        <v>7</v>
      </c>
      <c r="FM684" s="27" t="s">
        <v>8</v>
      </c>
      <c r="FN684" s="27" t="s">
        <v>7</v>
      </c>
      <c r="FO684" s="27" t="s">
        <v>8</v>
      </c>
      <c r="FP684" s="27" t="s">
        <v>7</v>
      </c>
      <c r="FT684" s="27" t="s">
        <v>7</v>
      </c>
      <c r="FU684" s="27" t="s">
        <v>8</v>
      </c>
      <c r="FV684" s="27" t="s">
        <v>7</v>
      </c>
      <c r="FW684" s="27" t="s">
        <v>8</v>
      </c>
      <c r="FX684" s="27" t="s">
        <v>7</v>
      </c>
      <c r="FY684" s="27" t="s">
        <v>8</v>
      </c>
      <c r="FZ684" s="27" t="s">
        <v>7</v>
      </c>
      <c r="GI684" s="27" t="s">
        <v>8</v>
      </c>
      <c r="GL684" s="27" t="s">
        <v>7</v>
      </c>
      <c r="GM684" s="27" t="s">
        <v>8</v>
      </c>
      <c r="GN684" s="27" t="s">
        <v>7</v>
      </c>
      <c r="GO684" s="27" t="s">
        <v>8</v>
      </c>
    </row>
    <row r="685" spans="1:207" x14ac:dyDescent="0.25">
      <c r="A685" s="7">
        <v>0.14360949907253467</v>
      </c>
      <c r="B685"/>
      <c r="C685"/>
      <c r="D685"/>
      <c r="E685"/>
      <c r="F685" s="27" t="s">
        <v>7</v>
      </c>
      <c r="I685" s="27" t="s">
        <v>8</v>
      </c>
      <c r="J685" s="27" t="s">
        <v>7</v>
      </c>
      <c r="Q685" s="27" t="s">
        <v>8</v>
      </c>
      <c r="AH685" s="27" t="s">
        <v>7</v>
      </c>
      <c r="AI685" s="27" t="s">
        <v>8</v>
      </c>
      <c r="AJ685" s="27" t="s">
        <v>7</v>
      </c>
      <c r="BJ685" s="27" t="s">
        <v>7</v>
      </c>
      <c r="BK685" s="27" t="s">
        <v>8</v>
      </c>
      <c r="EX685" s="27" t="s">
        <v>7</v>
      </c>
      <c r="FA685" s="27" t="s">
        <v>8</v>
      </c>
      <c r="FE685" s="27" t="s">
        <v>8</v>
      </c>
      <c r="FJ685" s="27" t="s">
        <v>7</v>
      </c>
      <c r="FK685" s="27" t="s">
        <v>8</v>
      </c>
      <c r="FL685" s="27" t="s">
        <v>7</v>
      </c>
      <c r="FM685" s="27" t="s">
        <v>8</v>
      </c>
      <c r="FN685" s="27" t="s">
        <v>7</v>
      </c>
      <c r="FO685" s="27" t="s">
        <v>8</v>
      </c>
      <c r="FT685" s="27" t="s">
        <v>7</v>
      </c>
      <c r="FU685" s="27" t="s">
        <v>8</v>
      </c>
      <c r="FV685" s="27" t="s">
        <v>7</v>
      </c>
      <c r="FW685" s="27" t="s">
        <v>8</v>
      </c>
      <c r="FX685" s="27" t="s">
        <v>7</v>
      </c>
      <c r="FY685" s="27" t="s">
        <v>8</v>
      </c>
      <c r="FZ685" s="27" t="s">
        <v>7</v>
      </c>
      <c r="GI685" s="27" t="s">
        <v>8</v>
      </c>
      <c r="GL685" s="27" t="s">
        <v>7</v>
      </c>
      <c r="GM685" s="27" t="s">
        <v>8</v>
      </c>
      <c r="GN685" s="27" t="s">
        <v>7</v>
      </c>
      <c r="GO685" s="27" t="s">
        <v>8</v>
      </c>
    </row>
    <row r="686" spans="1:207" x14ac:dyDescent="0.25">
      <c r="A686" s="7">
        <v>0.14079362654170066</v>
      </c>
      <c r="B686"/>
      <c r="C686"/>
      <c r="D686"/>
      <c r="E686"/>
      <c r="F686" s="27" t="s">
        <v>7</v>
      </c>
      <c r="I686" s="27" t="s">
        <v>8</v>
      </c>
      <c r="J686" s="27" t="s">
        <v>7</v>
      </c>
      <c r="Q686" s="27" t="s">
        <v>8</v>
      </c>
      <c r="AH686" s="27" t="s">
        <v>7</v>
      </c>
      <c r="AI686" s="27" t="s">
        <v>8</v>
      </c>
      <c r="BJ686" s="27" t="s">
        <v>7</v>
      </c>
      <c r="EX686" s="27" t="s">
        <v>7</v>
      </c>
      <c r="EY686" s="27" t="s">
        <v>8</v>
      </c>
      <c r="FA686" s="27" t="s">
        <v>8</v>
      </c>
      <c r="FB686" s="27" t="s">
        <v>7</v>
      </c>
      <c r="FC686" s="27" t="s">
        <v>8</v>
      </c>
      <c r="FE686" s="27" t="s">
        <v>8</v>
      </c>
      <c r="FJ686" s="27" t="s">
        <v>7</v>
      </c>
      <c r="FK686" s="27" t="s">
        <v>8</v>
      </c>
      <c r="FL686" s="27" t="s">
        <v>7</v>
      </c>
      <c r="FM686" s="27" t="s">
        <v>8</v>
      </c>
      <c r="FN686" s="27" t="s">
        <v>7</v>
      </c>
      <c r="FT686" s="27" t="s">
        <v>7</v>
      </c>
      <c r="FU686" s="27" t="s">
        <v>8</v>
      </c>
      <c r="FV686" s="27" t="s">
        <v>7</v>
      </c>
      <c r="FW686" s="27" t="s">
        <v>8</v>
      </c>
      <c r="FX686" s="27" t="s">
        <v>7</v>
      </c>
      <c r="FY686" s="27" t="s">
        <v>8</v>
      </c>
      <c r="FZ686" s="27" t="s">
        <v>7</v>
      </c>
      <c r="GI686" s="27" t="s">
        <v>8</v>
      </c>
      <c r="GL686" s="27" t="s">
        <v>7</v>
      </c>
      <c r="GM686" s="27" t="s">
        <v>8</v>
      </c>
      <c r="GN686" s="27" t="s">
        <v>7</v>
      </c>
      <c r="GO686" s="27" t="s">
        <v>8</v>
      </c>
    </row>
    <row r="687" spans="1:207" x14ac:dyDescent="0.25">
      <c r="A687" s="7">
        <v>0.13803296719774574</v>
      </c>
      <c r="B687"/>
      <c r="C687"/>
      <c r="D687"/>
      <c r="E687"/>
      <c r="F687" s="27" t="s">
        <v>7</v>
      </c>
      <c r="I687" s="27" t="s">
        <v>8</v>
      </c>
      <c r="J687" s="27" t="s">
        <v>7</v>
      </c>
      <c r="Q687" s="27" t="s">
        <v>8</v>
      </c>
      <c r="AH687" s="27" t="s">
        <v>7</v>
      </c>
      <c r="AI687" s="27" t="s">
        <v>8</v>
      </c>
      <c r="EX687" s="27" t="s">
        <v>7</v>
      </c>
      <c r="EY687" s="27" t="s">
        <v>8</v>
      </c>
      <c r="EZ687" s="27" t="s">
        <v>7</v>
      </c>
      <c r="FA687" s="27" t="s">
        <v>8</v>
      </c>
      <c r="FB687" s="27" t="s">
        <v>7</v>
      </c>
      <c r="FC687" s="27" t="s">
        <v>8</v>
      </c>
      <c r="FD687" s="27" t="s">
        <v>7</v>
      </c>
      <c r="FE687" s="27" t="s">
        <v>8</v>
      </c>
      <c r="FJ687" s="27" t="s">
        <v>7</v>
      </c>
      <c r="FK687" s="27" t="s">
        <v>8</v>
      </c>
      <c r="FL687" s="27" t="s">
        <v>7</v>
      </c>
      <c r="FT687" s="27" t="s">
        <v>7</v>
      </c>
      <c r="FV687" s="27" t="s">
        <v>7</v>
      </c>
      <c r="FW687" s="27" t="s">
        <v>8</v>
      </c>
      <c r="FX687" s="27" t="s">
        <v>7</v>
      </c>
      <c r="FZ687" s="27" t="s">
        <v>7</v>
      </c>
      <c r="GG687" s="27" t="s">
        <v>8</v>
      </c>
      <c r="GI687" s="27" t="s">
        <v>8</v>
      </c>
      <c r="GL687" s="27" t="s">
        <v>7</v>
      </c>
      <c r="GM687" s="27" t="s">
        <v>8</v>
      </c>
      <c r="GN687" s="27" t="s">
        <v>7</v>
      </c>
      <c r="GO687" s="27" t="s">
        <v>8</v>
      </c>
    </row>
    <row r="688" spans="1:207" x14ac:dyDescent="0.25">
      <c r="A688" s="7">
        <v>0.1353264384291625</v>
      </c>
      <c r="B688"/>
      <c r="C688"/>
      <c r="D688"/>
      <c r="E688"/>
      <c r="F688" s="27" t="s">
        <v>7</v>
      </c>
      <c r="I688" s="27" t="s">
        <v>8</v>
      </c>
      <c r="J688" s="27" t="s">
        <v>7</v>
      </c>
      <c r="Q688" s="27" t="s">
        <v>8</v>
      </c>
      <c r="AH688" s="27" t="s">
        <v>7</v>
      </c>
      <c r="AI688" s="27" t="s">
        <v>8</v>
      </c>
      <c r="EX688" s="27" t="s">
        <v>7</v>
      </c>
      <c r="EY688" s="27" t="s">
        <v>8</v>
      </c>
      <c r="EZ688" s="27" t="s">
        <v>7</v>
      </c>
      <c r="FA688" s="27" t="s">
        <v>8</v>
      </c>
      <c r="FB688" s="27" t="s">
        <v>7</v>
      </c>
      <c r="FC688" s="27" t="s">
        <v>8</v>
      </c>
      <c r="FD688" s="27" t="s">
        <v>7</v>
      </c>
      <c r="FE688" s="27" t="s">
        <v>8</v>
      </c>
      <c r="FJ688" s="27" t="s">
        <v>7</v>
      </c>
      <c r="FV688" s="27" t="s">
        <v>7</v>
      </c>
      <c r="FW688" s="27" t="s">
        <v>8</v>
      </c>
      <c r="FZ688" s="27" t="s">
        <v>7</v>
      </c>
      <c r="GG688" s="27" t="s">
        <v>8</v>
      </c>
      <c r="GH688" s="27" t="s">
        <v>7</v>
      </c>
      <c r="GI688" s="27" t="s">
        <v>8</v>
      </c>
      <c r="GL688" s="27" t="s">
        <v>7</v>
      </c>
      <c r="GM688" s="27" t="s">
        <v>8</v>
      </c>
      <c r="GN688" s="27" t="s">
        <v>7</v>
      </c>
    </row>
    <row r="689" spans="1:194" x14ac:dyDescent="0.25">
      <c r="A689" s="7">
        <v>0.13267297885212009</v>
      </c>
      <c r="B689"/>
      <c r="C689"/>
      <c r="D689"/>
      <c r="E689"/>
      <c r="F689" s="27" t="s">
        <v>7</v>
      </c>
      <c r="I689" s="27" t="s">
        <v>8</v>
      </c>
      <c r="J689" s="27" t="s">
        <v>7</v>
      </c>
      <c r="Q689" s="27" t="s">
        <v>8</v>
      </c>
      <c r="AH689" s="27" t="s">
        <v>7</v>
      </c>
      <c r="AI689" s="27" t="s">
        <v>8</v>
      </c>
      <c r="EX689" s="27" t="s">
        <v>7</v>
      </c>
      <c r="EZ689" s="27" t="s">
        <v>7</v>
      </c>
      <c r="FB689" s="27" t="s">
        <v>7</v>
      </c>
      <c r="FC689" s="27" t="s">
        <v>8</v>
      </c>
      <c r="FD689" s="27" t="s">
        <v>7</v>
      </c>
      <c r="FE689" s="27" t="s">
        <v>8</v>
      </c>
      <c r="FV689" s="27" t="s">
        <v>7</v>
      </c>
      <c r="FW689" s="27" t="s">
        <v>8</v>
      </c>
      <c r="FZ689" s="27" t="s">
        <v>7</v>
      </c>
      <c r="GG689" s="27" t="s">
        <v>8</v>
      </c>
      <c r="GH689" s="27" t="s">
        <v>7</v>
      </c>
      <c r="GI689" s="27" t="s">
        <v>8</v>
      </c>
      <c r="GL689" s="27" t="s">
        <v>7</v>
      </c>
    </row>
    <row r="690" spans="1:194" x14ac:dyDescent="0.25">
      <c r="A690" s="7">
        <v>0.13007154789423539</v>
      </c>
      <c r="B690"/>
      <c r="C690"/>
      <c r="D690"/>
      <c r="E690"/>
      <c r="F690" s="27" t="s">
        <v>7</v>
      </c>
      <c r="I690" s="27" t="s">
        <v>8</v>
      </c>
      <c r="J690" s="27" t="s">
        <v>7</v>
      </c>
      <c r="Q690" s="27" t="s">
        <v>8</v>
      </c>
      <c r="AH690" s="27" t="s">
        <v>7</v>
      </c>
      <c r="AI690" s="27" t="s">
        <v>8</v>
      </c>
      <c r="FB690" s="27" t="s">
        <v>7</v>
      </c>
      <c r="FC690" s="27" t="s">
        <v>8</v>
      </c>
      <c r="FD690" s="27" t="s">
        <v>7</v>
      </c>
      <c r="FE690" s="27" t="s">
        <v>8</v>
      </c>
      <c r="FV690" s="27" t="s">
        <v>7</v>
      </c>
      <c r="FW690" s="27" t="s">
        <v>8</v>
      </c>
      <c r="FZ690" s="27" t="s">
        <v>7</v>
      </c>
      <c r="GA690" s="27" t="s">
        <v>8</v>
      </c>
      <c r="GG690" s="27" t="s">
        <v>8</v>
      </c>
      <c r="GH690" s="27" t="s">
        <v>7</v>
      </c>
      <c r="GI690" s="27" t="s">
        <v>8</v>
      </c>
    </row>
    <row r="691" spans="1:194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I691" s="27" t="s">
        <v>8</v>
      </c>
      <c r="J691" s="27" t="s">
        <v>7</v>
      </c>
      <c r="O691" s="27" t="s">
        <v>8</v>
      </c>
      <c r="Q691" s="27" t="s">
        <v>8</v>
      </c>
      <c r="AH691" s="27" t="s">
        <v>7</v>
      </c>
      <c r="AI691" s="27" t="s">
        <v>8</v>
      </c>
      <c r="FB691" s="27" t="s">
        <v>7</v>
      </c>
      <c r="FC691" s="27" t="s">
        <v>8</v>
      </c>
      <c r="FD691" s="27" t="s">
        <v>7</v>
      </c>
      <c r="FE691" s="27" t="s">
        <v>8</v>
      </c>
      <c r="FV691" s="27" t="s">
        <v>7</v>
      </c>
      <c r="FZ691" s="27" t="s">
        <v>7</v>
      </c>
      <c r="GA691" s="27" t="s">
        <v>8</v>
      </c>
      <c r="GB691" s="27" t="s">
        <v>7</v>
      </c>
      <c r="GG691" s="27" t="s">
        <v>8</v>
      </c>
      <c r="GH691" s="27" t="s">
        <v>7</v>
      </c>
      <c r="GI691" s="27" t="s">
        <v>8</v>
      </c>
    </row>
    <row r="692" spans="1:194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I692" s="27" t="s">
        <v>8</v>
      </c>
      <c r="J692" s="27" t="s">
        <v>7</v>
      </c>
      <c r="O692" s="27" t="s">
        <v>8</v>
      </c>
      <c r="P692" s="27" t="s">
        <v>7</v>
      </c>
      <c r="Q692" s="27" t="s">
        <v>8</v>
      </c>
      <c r="AH692" s="27" t="s">
        <v>7</v>
      </c>
      <c r="AI692" s="27" t="s">
        <v>8</v>
      </c>
      <c r="FB692" s="27" t="s">
        <v>7</v>
      </c>
      <c r="FC692" s="27" t="s">
        <v>8</v>
      </c>
      <c r="FD692" s="27" t="s">
        <v>7</v>
      </c>
      <c r="FE692" s="27" t="s">
        <v>8</v>
      </c>
      <c r="FZ692" s="27" t="s">
        <v>7</v>
      </c>
      <c r="GA692" s="27" t="s">
        <v>8</v>
      </c>
      <c r="GB692" s="27" t="s">
        <v>7</v>
      </c>
      <c r="GE692" s="27" t="s">
        <v>8</v>
      </c>
      <c r="GG692" s="27" t="s">
        <v>8</v>
      </c>
      <c r="GH692" s="27" t="s">
        <v>7</v>
      </c>
      <c r="GI692" s="27" t="s">
        <v>8</v>
      </c>
    </row>
    <row r="693" spans="1:194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I693" s="27" t="s">
        <v>8</v>
      </c>
      <c r="J693" s="27" t="s">
        <v>7</v>
      </c>
      <c r="K693" s="27" t="s">
        <v>8</v>
      </c>
      <c r="O693" s="27" t="s">
        <v>8</v>
      </c>
      <c r="P693" s="27" t="s">
        <v>7</v>
      </c>
      <c r="Q693" s="27" t="s">
        <v>8</v>
      </c>
      <c r="AH693" s="27" t="s">
        <v>7</v>
      </c>
      <c r="AI693" s="27" t="s">
        <v>8</v>
      </c>
      <c r="FB693" s="27" t="s">
        <v>7</v>
      </c>
      <c r="FC693" s="27" t="s">
        <v>8</v>
      </c>
      <c r="FD693" s="27" t="s">
        <v>7</v>
      </c>
      <c r="FE693" s="27" t="s">
        <v>8</v>
      </c>
      <c r="FZ693" s="27" t="s">
        <v>7</v>
      </c>
      <c r="GA693" s="27" t="s">
        <v>8</v>
      </c>
      <c r="GB693" s="27" t="s">
        <v>7</v>
      </c>
      <c r="GC693" s="27" t="s">
        <v>8</v>
      </c>
      <c r="GE693" s="27" t="s">
        <v>8</v>
      </c>
      <c r="GF693" s="27" t="s">
        <v>7</v>
      </c>
      <c r="GG693" s="27" t="s">
        <v>8</v>
      </c>
      <c r="GH693" s="27" t="s">
        <v>7</v>
      </c>
    </row>
    <row r="694" spans="1:194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I694" s="27" t="s">
        <v>8</v>
      </c>
      <c r="J694" s="27" t="s">
        <v>7</v>
      </c>
      <c r="K694" s="27" t="s">
        <v>8</v>
      </c>
      <c r="L694" s="27" t="s">
        <v>7</v>
      </c>
      <c r="O694" s="27" t="s">
        <v>8</v>
      </c>
      <c r="P694" s="27" t="s">
        <v>7</v>
      </c>
      <c r="Q694" s="27" t="s">
        <v>8</v>
      </c>
      <c r="AH694" s="27" t="s">
        <v>7</v>
      </c>
      <c r="FB694" s="27" t="s">
        <v>7</v>
      </c>
      <c r="FC694" s="27" t="s">
        <v>8</v>
      </c>
      <c r="FD694" s="27" t="s">
        <v>7</v>
      </c>
      <c r="FE694" s="27" t="s">
        <v>8</v>
      </c>
      <c r="FZ694" s="27" t="s">
        <v>7</v>
      </c>
      <c r="GA694" s="27" t="s">
        <v>8</v>
      </c>
      <c r="GB694" s="27" t="s">
        <v>7</v>
      </c>
      <c r="GC694" s="27" t="s">
        <v>8</v>
      </c>
      <c r="GD694" s="27" t="s">
        <v>7</v>
      </c>
      <c r="GE694" s="27" t="s">
        <v>8</v>
      </c>
      <c r="GF694" s="27" t="s">
        <v>7</v>
      </c>
      <c r="GG694" s="27" t="s">
        <v>8</v>
      </c>
    </row>
    <row r="695" spans="1:194" x14ac:dyDescent="0.25">
      <c r="A695" s="7">
        <v>0.1178098084100765</v>
      </c>
      <c r="B695"/>
      <c r="C695"/>
      <c r="D695"/>
      <c r="E695"/>
      <c r="F695" s="27" t="s">
        <v>7</v>
      </c>
      <c r="H695" s="27" t="s">
        <v>7</v>
      </c>
      <c r="I695" s="27" t="s">
        <v>8</v>
      </c>
      <c r="J695" s="27" t="s">
        <v>7</v>
      </c>
      <c r="K695" s="27" t="s">
        <v>8</v>
      </c>
      <c r="L695" s="27" t="s">
        <v>7</v>
      </c>
      <c r="O695" s="27" t="s">
        <v>8</v>
      </c>
      <c r="P695" s="27" t="s">
        <v>7</v>
      </c>
      <c r="Q695" s="27" t="s">
        <v>8</v>
      </c>
      <c r="FB695" s="27" t="s">
        <v>7</v>
      </c>
      <c r="FC695" s="27" t="s">
        <v>8</v>
      </c>
      <c r="FD695" s="27" t="s">
        <v>7</v>
      </c>
      <c r="FZ695" s="27" t="s">
        <v>7</v>
      </c>
      <c r="GA695" s="27" t="s">
        <v>8</v>
      </c>
      <c r="GB695" s="27" t="s">
        <v>7</v>
      </c>
      <c r="GC695" s="27" t="s">
        <v>8</v>
      </c>
      <c r="GD695" s="27" t="s">
        <v>7</v>
      </c>
      <c r="GE695" s="27" t="s">
        <v>8</v>
      </c>
      <c r="GF695" s="27" t="s">
        <v>7</v>
      </c>
    </row>
    <row r="696" spans="1:194" x14ac:dyDescent="0.25">
      <c r="A696" s="7">
        <v>0.11549981216674166</v>
      </c>
      <c r="B696"/>
      <c r="C696"/>
      <c r="D696"/>
      <c r="E696"/>
      <c r="H696" s="27" t="s">
        <v>7</v>
      </c>
      <c r="I696" s="27" t="s">
        <v>8</v>
      </c>
      <c r="J696" s="27" t="s">
        <v>7</v>
      </c>
      <c r="K696" s="27" t="s">
        <v>8</v>
      </c>
      <c r="L696" s="27" t="s">
        <v>7</v>
      </c>
      <c r="M696" s="27" t="s">
        <v>8</v>
      </c>
      <c r="O696" s="27" t="s">
        <v>8</v>
      </c>
      <c r="P696" s="27" t="s">
        <v>7</v>
      </c>
      <c r="Q696" s="27" t="s">
        <v>8</v>
      </c>
      <c r="FB696" s="27" t="s">
        <v>7</v>
      </c>
      <c r="FC696" s="27" t="s">
        <v>8</v>
      </c>
      <c r="FZ696" s="27" t="s">
        <v>7</v>
      </c>
      <c r="GA696" s="27" t="s">
        <v>8</v>
      </c>
      <c r="GB696" s="27" t="s">
        <v>7</v>
      </c>
      <c r="GC696" s="27" t="s">
        <v>8</v>
      </c>
      <c r="GD696" s="27" t="s">
        <v>7</v>
      </c>
      <c r="GE696" s="27" t="s">
        <v>8</v>
      </c>
    </row>
    <row r="697" spans="1:194" x14ac:dyDescent="0.25">
      <c r="A697" s="7">
        <v>0.11323510996739378</v>
      </c>
      <c r="B697"/>
      <c r="C697"/>
      <c r="D697"/>
      <c r="E697"/>
      <c r="H697" s="27" t="s">
        <v>7</v>
      </c>
      <c r="I697" s="27" t="s">
        <v>8</v>
      </c>
      <c r="J697" s="27" t="s">
        <v>7</v>
      </c>
      <c r="L697" s="27" t="s">
        <v>7</v>
      </c>
      <c r="M697" s="27" t="s">
        <v>8</v>
      </c>
      <c r="N697" s="27" t="s">
        <v>7</v>
      </c>
      <c r="O697" s="27" t="s">
        <v>8</v>
      </c>
      <c r="P697" s="27" t="s">
        <v>7</v>
      </c>
      <c r="Q697" s="27" t="s">
        <v>8</v>
      </c>
      <c r="FB697" s="27" t="s">
        <v>7</v>
      </c>
      <c r="FC697" s="27" t="s">
        <v>8</v>
      </c>
      <c r="FZ697" s="27" t="s">
        <v>7</v>
      </c>
      <c r="GB697" s="27" t="s">
        <v>7</v>
      </c>
      <c r="GD697" s="27" t="s">
        <v>7</v>
      </c>
      <c r="GE697" s="27" t="s">
        <v>8</v>
      </c>
    </row>
    <row r="698" spans="1:194" x14ac:dyDescent="0.25">
      <c r="A698" s="7">
        <v>0.11101481369352331</v>
      </c>
      <c r="B698"/>
      <c r="C698"/>
      <c r="D698"/>
      <c r="E698"/>
      <c r="H698" s="27" t="s">
        <v>7</v>
      </c>
      <c r="I698" s="27" t="s">
        <v>8</v>
      </c>
      <c r="L698" s="27" t="s">
        <v>7</v>
      </c>
      <c r="M698" s="27" t="s">
        <v>8</v>
      </c>
      <c r="N698" s="27" t="s">
        <v>7</v>
      </c>
      <c r="O698" s="27" t="s">
        <v>8</v>
      </c>
      <c r="P698" s="27" t="s">
        <v>7</v>
      </c>
      <c r="FB698" s="27" t="s">
        <v>7</v>
      </c>
      <c r="FC698" s="27" t="s">
        <v>8</v>
      </c>
      <c r="GD698" s="27" t="s">
        <v>7</v>
      </c>
    </row>
    <row r="699" spans="1:194" x14ac:dyDescent="0.25">
      <c r="A699" s="7">
        <v>0.10883805264070913</v>
      </c>
      <c r="B699"/>
      <c r="C699"/>
      <c r="D699"/>
      <c r="E699"/>
      <c r="H699" s="27" t="s">
        <v>7</v>
      </c>
      <c r="I699" s="27" t="s">
        <v>8</v>
      </c>
      <c r="L699" s="27" t="s">
        <v>7</v>
      </c>
      <c r="M699" s="27" t="s">
        <v>8</v>
      </c>
      <c r="N699" s="27" t="s">
        <v>7</v>
      </c>
      <c r="FB699" s="27" t="s">
        <v>7</v>
      </c>
    </row>
    <row r="700" spans="1:194" x14ac:dyDescent="0.25">
      <c r="A700" s="7">
        <v>0.10670397317716582</v>
      </c>
      <c r="B700"/>
      <c r="C700"/>
      <c r="D700"/>
      <c r="E700"/>
      <c r="H700" s="27" t="s">
        <v>7</v>
      </c>
      <c r="L700" s="27" t="s">
        <v>7</v>
      </c>
      <c r="M700" s="27" t="s">
        <v>8</v>
      </c>
    </row>
    <row r="701" spans="1:194" x14ac:dyDescent="0.25">
      <c r="A701" s="7">
        <v>0.1046117384089861</v>
      </c>
      <c r="B701"/>
      <c r="C701"/>
      <c r="D701"/>
      <c r="E701"/>
      <c r="L701" s="27" t="s">
        <v>7</v>
      </c>
    </row>
    <row r="702" spans="1:194" x14ac:dyDescent="0.25">
      <c r="A702" s="7">
        <v>0.10256052785194716</v>
      </c>
      <c r="B702"/>
      <c r="C702"/>
      <c r="D702"/>
      <c r="E702"/>
    </row>
    <row r="703" spans="1:194" x14ac:dyDescent="0.25">
      <c r="A703" s="7">
        <v>0.10054953710975212</v>
      </c>
      <c r="B703"/>
      <c r="C703"/>
      <c r="D703"/>
      <c r="E703"/>
    </row>
    <row r="704" spans="1:194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55" operator="equal">
      <formula>$U$1</formula>
    </cfRule>
    <cfRule type="cellIs" dxfId="89" priority="1156" operator="equal">
      <formula>$S$1</formula>
    </cfRule>
  </conditionalFormatting>
  <conditionalFormatting sqref="D27">
    <cfRule type="cellIs" dxfId="88" priority="1153" operator="equal">
      <formula>$S$1</formula>
    </cfRule>
    <cfRule type="cellIs" dxfId="87" priority="1154" operator="equal">
      <formula>$U$1</formula>
    </cfRule>
  </conditionalFormatting>
  <conditionalFormatting sqref="C164">
    <cfRule type="cellIs" dxfId="86" priority="1151" operator="equal">
      <formula>$U$1</formula>
    </cfRule>
    <cfRule type="cellIs" dxfId="85" priority="1152" operator="equal">
      <formula>$S$1</formula>
    </cfRule>
  </conditionalFormatting>
  <conditionalFormatting sqref="D164">
    <cfRule type="cellIs" dxfId="84" priority="1149" operator="equal">
      <formula>$S$1</formula>
    </cfRule>
    <cfRule type="cellIs" dxfId="83" priority="1150" operator="equal">
      <formula>$U$1</formula>
    </cfRule>
  </conditionalFormatting>
  <conditionalFormatting sqref="C55">
    <cfRule type="cellIs" dxfId="82" priority="1147" operator="equal">
      <formula>$U$1</formula>
    </cfRule>
    <cfRule type="cellIs" dxfId="81" priority="1148" operator="equal">
      <formula>$S$1</formula>
    </cfRule>
  </conditionalFormatting>
  <conditionalFormatting sqref="D55">
    <cfRule type="cellIs" dxfId="80" priority="1145" operator="equal">
      <formula>$S$1</formula>
    </cfRule>
    <cfRule type="cellIs" dxfId="79" priority="1146" operator="equal">
      <formula>$U$1</formula>
    </cfRule>
  </conditionalFormatting>
  <conditionalFormatting sqref="C89">
    <cfRule type="cellIs" dxfId="78" priority="1143" operator="equal">
      <formula>$U$1</formula>
    </cfRule>
    <cfRule type="cellIs" dxfId="77" priority="1144" operator="equal">
      <formula>$S$1</formula>
    </cfRule>
  </conditionalFormatting>
  <conditionalFormatting sqref="D89">
    <cfRule type="cellIs" dxfId="76" priority="1141" operator="equal">
      <formula>$S$1</formula>
    </cfRule>
    <cfRule type="cellIs" dxfId="75" priority="1142" operator="equal">
      <formula>$U$1</formula>
    </cfRule>
  </conditionalFormatting>
  <conditionalFormatting sqref="C136">
    <cfRule type="cellIs" dxfId="74" priority="1139" operator="equal">
      <formula>$U$1</formula>
    </cfRule>
    <cfRule type="cellIs" dxfId="73" priority="1140" operator="equal">
      <formula>$S$1</formula>
    </cfRule>
  </conditionalFormatting>
  <conditionalFormatting sqref="D136">
    <cfRule type="cellIs" dxfId="72" priority="1137" operator="equal">
      <formula>$S$1</formula>
    </cfRule>
    <cfRule type="cellIs" dxfId="71" priority="1138" operator="equal">
      <formula>$U$1</formula>
    </cfRule>
  </conditionalFormatting>
  <conditionalFormatting sqref="C1">
    <cfRule type="cellIs" dxfId="70" priority="113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1" zoomScale="90" zoomScaleNormal="90" workbookViewId="0">
      <pane xSplit="4" topLeftCell="EU1" activePane="topRight" state="frozen"/>
      <selection activeCell="A109" sqref="A109"/>
      <selection pane="topRight" activeCell="GS262" sqref="GS26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$A$261</v>
      </c>
      <c r="D111" s="1" t="str">
        <f>ADDRESS(C121-1,D121,1,1)</f>
        <v>$GS$261</v>
      </c>
      <c r="E111"/>
    </row>
    <row r="112" spans="1:5" x14ac:dyDescent="0.25">
      <c r="A112" s="30">
        <v>515.50191262726139</v>
      </c>
      <c r="C112" s="1" t="str">
        <f>ADDRESS(C121,1,1,1)</f>
        <v>$A$262</v>
      </c>
      <c r="D112" s="1" t="str">
        <f>ADDRESS(C121,D121-1,1,1)</f>
        <v>$GR$262</v>
      </c>
      <c r="E112"/>
    </row>
    <row r="113" spans="1:5" x14ac:dyDescent="0.25">
      <c r="A113" s="30">
        <v>490.95420250215363</v>
      </c>
      <c r="C113" s="1" t="str">
        <f>ADDRESS(C121+1,1,1,1)</f>
        <v>$A$263</v>
      </c>
      <c r="D113" s="1" t="str">
        <f>ADDRESS(C121-1,D121+1,1,1)</f>
        <v>$GT$261</v>
      </c>
    </row>
    <row r="114" spans="1:5" x14ac:dyDescent="0.25">
      <c r="A114" s="30">
        <v>467.57543095443202</v>
      </c>
      <c r="C114" s="1" t="str">
        <f>ADDRESS(C121,D121,1,1)</f>
        <v>$GS$262</v>
      </c>
      <c r="D114" s="1" t="str">
        <f>ADDRESS(C121+1,D121+1,1,1)</f>
        <v>$GT$263</v>
      </c>
    </row>
    <row r="115" spans="1:5" x14ac:dyDescent="0.25">
      <c r="A115" s="30">
        <v>445.30993424231622</v>
      </c>
      <c r="C115" s="1" t="str">
        <f>ADDRESS(C121+1,D121,1,1)</f>
        <v>$GS$263</v>
      </c>
    </row>
    <row r="116" spans="1:5" x14ac:dyDescent="0.25">
      <c r="A116" s="30">
        <v>424.10469927839637</v>
      </c>
      <c r="C116" s="1">
        <f>C117-1</f>
        <v>261</v>
      </c>
    </row>
    <row r="117" spans="1:5" x14ac:dyDescent="0.25">
      <c r="A117" s="30">
        <v>403.9092374079965</v>
      </c>
      <c r="C117" s="1">
        <f>C121</f>
        <v>262</v>
      </c>
      <c r="D117" s="1">
        <f>D121</f>
        <v>201</v>
      </c>
    </row>
    <row r="118" spans="1:5" x14ac:dyDescent="0.25">
      <c r="A118" s="30">
        <v>384.6754641980919</v>
      </c>
      <c r="C118" s="1">
        <f>C117+1</f>
        <v>263</v>
      </c>
      <c r="D118" s="1">
        <f>D117+1</f>
        <v>202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262</v>
      </c>
      <c r="D121" s="19">
        <v>201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R262</v>
      </c>
      <c r="D123" s="1" t="str">
        <f>"C"&amp;D121</f>
        <v>C201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0.34184987108661891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32" x14ac:dyDescent="0.25">
      <c r="A209" s="30">
        <v>4.5380394939082018</v>
      </c>
      <c r="E209"/>
    </row>
    <row r="210" spans="1:132" x14ac:dyDescent="0.25">
      <c r="A210" s="30">
        <v>4.3219423751506678</v>
      </c>
      <c r="C210"/>
      <c r="E210"/>
    </row>
    <row r="211" spans="1:132" x14ac:dyDescent="0.25">
      <c r="A211" s="30">
        <v>4.1161355953815884</v>
      </c>
      <c r="E211"/>
    </row>
    <row r="212" spans="1:132" x14ac:dyDescent="0.25">
      <c r="A212" s="30">
        <v>3.9201291384586554</v>
      </c>
      <c r="E212"/>
    </row>
    <row r="213" spans="1:132" x14ac:dyDescent="0.25">
      <c r="A213" s="30">
        <v>3.7334563223415764</v>
      </c>
      <c r="E213"/>
    </row>
    <row r="214" spans="1:132" x14ac:dyDescent="0.25">
      <c r="A214" s="30">
        <v>3.5556726879443583</v>
      </c>
      <c r="E214"/>
    </row>
    <row r="215" spans="1:132" x14ac:dyDescent="0.25">
      <c r="A215" s="30">
        <v>3.3863549408993889</v>
      </c>
      <c r="E215"/>
      <c r="DS215" s="31" t="s">
        <v>8</v>
      </c>
    </row>
    <row r="216" spans="1:132" x14ac:dyDescent="0.25">
      <c r="A216" s="30">
        <v>3.2250999437137038</v>
      </c>
      <c r="E216"/>
      <c r="DS216" s="27" t="s">
        <v>8</v>
      </c>
      <c r="DT216" s="31" t="s">
        <v>7</v>
      </c>
    </row>
    <row r="217" spans="1:132" x14ac:dyDescent="0.25">
      <c r="A217" s="30">
        <v>3.0715237559178128</v>
      </c>
      <c r="E217"/>
      <c r="DQ217" s="27" t="s">
        <v>8</v>
      </c>
      <c r="DS217" s="27" t="s">
        <v>8</v>
      </c>
      <c r="DT217" s="27" t="s">
        <v>7</v>
      </c>
      <c r="DU217" s="31"/>
    </row>
    <row r="218" spans="1:132" x14ac:dyDescent="0.25">
      <c r="A218" s="30">
        <v>2.9252607199217264</v>
      </c>
      <c r="E218"/>
      <c r="DQ218" s="27" t="s">
        <v>8</v>
      </c>
      <c r="DR218" s="27" t="s">
        <v>7</v>
      </c>
      <c r="DS218" s="27" t="s">
        <v>8</v>
      </c>
      <c r="DT218" s="27" t="s">
        <v>7</v>
      </c>
      <c r="DV218" s="31"/>
    </row>
    <row r="219" spans="1:132" x14ac:dyDescent="0.25">
      <c r="A219" s="30">
        <v>2.7859625904016441</v>
      </c>
      <c r="E219"/>
      <c r="DQ219" s="27" t="s">
        <v>8</v>
      </c>
      <c r="DR219" s="27" t="s">
        <v>7</v>
      </c>
      <c r="DS219" s="27" t="s">
        <v>8</v>
      </c>
      <c r="DT219" s="27" t="s">
        <v>7</v>
      </c>
      <c r="DU219" s="27" t="s">
        <v>8</v>
      </c>
      <c r="DW219" s="31"/>
    </row>
    <row r="220" spans="1:132" x14ac:dyDescent="0.25">
      <c r="A220" s="30">
        <v>2.6532977051444226</v>
      </c>
      <c r="E220"/>
      <c r="DQ220" s="27" t="s">
        <v>8</v>
      </c>
      <c r="DR220" s="27" t="s">
        <v>7</v>
      </c>
      <c r="DS220" s="27" t="s">
        <v>8</v>
      </c>
      <c r="DT220" s="27" t="s">
        <v>7</v>
      </c>
      <c r="DU220" s="27" t="s">
        <v>8</v>
      </c>
      <c r="DV220" s="27" t="s">
        <v>7</v>
      </c>
      <c r="DX220" s="31"/>
    </row>
    <row r="221" spans="1:132" x14ac:dyDescent="0.25">
      <c r="A221" s="30">
        <v>2.5269501953756404</v>
      </c>
      <c r="E221"/>
      <c r="DQ221" s="27" t="s">
        <v>8</v>
      </c>
      <c r="DR221" s="27" t="s">
        <v>7</v>
      </c>
      <c r="DS221" s="27" t="s">
        <v>8</v>
      </c>
      <c r="DT221" s="27" t="s">
        <v>7</v>
      </c>
      <c r="DU221" s="27" t="s">
        <v>8</v>
      </c>
      <c r="DV221" s="27" t="s">
        <v>7</v>
      </c>
      <c r="DW221" s="27" t="s">
        <v>8</v>
      </c>
      <c r="DY221" s="31"/>
    </row>
    <row r="222" spans="1:132" x14ac:dyDescent="0.25">
      <c r="A222" s="30">
        <v>2.4066192336910861</v>
      </c>
      <c r="E222"/>
      <c r="DQ222" s="27" t="s">
        <v>8</v>
      </c>
      <c r="DR222" s="27" t="s">
        <v>7</v>
      </c>
      <c r="DS222" s="27" t="s">
        <v>8</v>
      </c>
      <c r="DT222" s="27" t="s">
        <v>7</v>
      </c>
      <c r="DV222" s="27" t="s">
        <v>7</v>
      </c>
      <c r="DW222" s="27" t="s">
        <v>8</v>
      </c>
      <c r="DX222" s="27" t="s">
        <v>7</v>
      </c>
      <c r="DZ222" s="31"/>
    </row>
    <row r="223" spans="1:132" x14ac:dyDescent="0.25">
      <c r="A223" s="30">
        <v>2.2920183178010345</v>
      </c>
      <c r="E223"/>
      <c r="DO223" s="27" t="s">
        <v>8</v>
      </c>
      <c r="DQ223" s="27" t="s">
        <v>8</v>
      </c>
      <c r="DR223" s="27" t="s">
        <v>7</v>
      </c>
      <c r="DS223" s="27" t="s">
        <v>8</v>
      </c>
      <c r="DV223" s="33" t="s">
        <v>7</v>
      </c>
      <c r="DW223" s="27" t="s">
        <v>8</v>
      </c>
      <c r="DX223" s="27" t="s">
        <v>7</v>
      </c>
      <c r="EA223" s="31"/>
    </row>
    <row r="224" spans="1:132" x14ac:dyDescent="0.25">
      <c r="A224" s="30">
        <v>2.1828745883819374</v>
      </c>
      <c r="E224"/>
      <c r="DO224" s="27" t="s">
        <v>8</v>
      </c>
      <c r="DP224" s="27" t="s">
        <v>7</v>
      </c>
      <c r="DQ224" s="27" t="s">
        <v>8</v>
      </c>
      <c r="DR224" s="27" t="s">
        <v>7</v>
      </c>
      <c r="DS224" s="27" t="s">
        <v>8</v>
      </c>
      <c r="DV224" s="27" t="s">
        <v>7</v>
      </c>
      <c r="DX224" s="27" t="s">
        <v>7</v>
      </c>
      <c r="EA224" s="34" t="s">
        <v>8</v>
      </c>
      <c r="EB224" s="31"/>
    </row>
    <row r="225" spans="1:197" x14ac:dyDescent="0.25">
      <c r="A225" s="30">
        <v>2.0789281794113688</v>
      </c>
      <c r="E225"/>
      <c r="DO225" s="27" t="s">
        <v>8</v>
      </c>
      <c r="DP225" s="27" t="s">
        <v>7</v>
      </c>
      <c r="DQ225" s="27" t="s">
        <v>8</v>
      </c>
      <c r="DR225" s="27" t="s">
        <v>7</v>
      </c>
      <c r="DX225" s="27" t="s">
        <v>7</v>
      </c>
      <c r="DY225" s="27" t="s">
        <v>8</v>
      </c>
      <c r="EA225" s="27" t="s">
        <v>8</v>
      </c>
      <c r="EB225" s="27" t="s">
        <v>7</v>
      </c>
      <c r="EC225" s="31"/>
    </row>
    <row r="226" spans="1:197" x14ac:dyDescent="0.25">
      <c r="A226" s="30">
        <v>1.9799315994393987</v>
      </c>
      <c r="E226"/>
      <c r="DO226" s="27" t="s">
        <v>8</v>
      </c>
      <c r="DP226" s="27" t="s">
        <v>7</v>
      </c>
      <c r="DQ226" s="27" t="s">
        <v>8</v>
      </c>
      <c r="DX226" s="27" t="s">
        <v>7</v>
      </c>
      <c r="DY226" s="27" t="s">
        <v>8</v>
      </c>
      <c r="DZ226" s="27" t="s">
        <v>7</v>
      </c>
      <c r="EA226" s="27" t="s">
        <v>8</v>
      </c>
      <c r="EB226" s="27" t="s">
        <v>7</v>
      </c>
      <c r="ED226" s="31"/>
      <c r="EE226" s="27" t="s">
        <v>8</v>
      </c>
    </row>
    <row r="227" spans="1:197" x14ac:dyDescent="0.25">
      <c r="A227" s="30">
        <v>1.8856491423232367</v>
      </c>
      <c r="E227"/>
      <c r="DO227" s="27" t="s">
        <v>8</v>
      </c>
      <c r="DP227" s="27" t="s">
        <v>7</v>
      </c>
      <c r="DQ227" s="27" t="s">
        <v>8</v>
      </c>
      <c r="DX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  <c r="EE227" s="31" t="s">
        <v>8</v>
      </c>
      <c r="EF227" s="31" t="s">
        <v>7</v>
      </c>
    </row>
    <row r="228" spans="1:197" x14ac:dyDescent="0.25">
      <c r="A228" s="30">
        <v>1.7958563260221301</v>
      </c>
      <c r="C228" s="7"/>
      <c r="D228"/>
      <c r="E228"/>
      <c r="DO228" s="27" t="s">
        <v>8</v>
      </c>
      <c r="DP228" s="27" t="s">
        <v>7</v>
      </c>
      <c r="DQ228" s="27" t="s">
        <v>8</v>
      </c>
      <c r="DX228" s="27" t="s">
        <v>7</v>
      </c>
      <c r="DY228" s="27" t="s">
        <v>8</v>
      </c>
      <c r="DZ228" s="27" t="s">
        <v>7</v>
      </c>
      <c r="EA228" s="27" t="s">
        <v>8</v>
      </c>
      <c r="EB228" s="27" t="s">
        <v>7</v>
      </c>
      <c r="EE228" s="27" t="s">
        <v>8</v>
      </c>
      <c r="EF228" s="27" t="s">
        <v>7</v>
      </c>
      <c r="EG228" s="31" t="s">
        <v>8</v>
      </c>
    </row>
    <row r="229" spans="1:197" x14ac:dyDescent="0.25">
      <c r="A229" s="30">
        <v>1.7103393581163142</v>
      </c>
      <c r="E229"/>
      <c r="DO229" s="27" t="s">
        <v>8</v>
      </c>
      <c r="DP229" s="27" t="s">
        <v>7</v>
      </c>
      <c r="DX229" s="27" t="s">
        <v>7</v>
      </c>
      <c r="DY229" s="27" t="s">
        <v>8</v>
      </c>
      <c r="DZ229" s="27" t="s">
        <v>7</v>
      </c>
      <c r="EA229" s="27" t="s">
        <v>8</v>
      </c>
      <c r="EB229" s="27" t="s">
        <v>7</v>
      </c>
      <c r="EE229" s="34" t="s">
        <v>8</v>
      </c>
      <c r="EF229" s="27" t="s">
        <v>7</v>
      </c>
      <c r="EG229" s="27" t="s">
        <v>8</v>
      </c>
      <c r="EH229" s="31" t="s">
        <v>7</v>
      </c>
    </row>
    <row r="230" spans="1:197" x14ac:dyDescent="0.25">
      <c r="A230" s="30">
        <v>1.628894626777442</v>
      </c>
      <c r="E230"/>
      <c r="DO230" s="27" t="s">
        <v>8</v>
      </c>
      <c r="DX230" s="27" t="s">
        <v>7</v>
      </c>
      <c r="DZ230" s="27" t="s">
        <v>7</v>
      </c>
      <c r="EA230" s="27" t="s">
        <v>8</v>
      </c>
      <c r="EB230" s="27" t="s">
        <v>7</v>
      </c>
      <c r="EC230" s="27" t="s">
        <v>8</v>
      </c>
      <c r="EE230" s="27" t="s">
        <v>8</v>
      </c>
      <c r="EF230" s="27" t="s">
        <v>7</v>
      </c>
      <c r="EG230" s="27" t="s">
        <v>8</v>
      </c>
      <c r="EH230" s="27" t="s">
        <v>7</v>
      </c>
      <c r="EI230" s="31"/>
    </row>
    <row r="231" spans="1:197" x14ac:dyDescent="0.25">
      <c r="A231" s="30">
        <v>1.5513282159785162</v>
      </c>
      <c r="C231"/>
      <c r="D231"/>
      <c r="E231"/>
      <c r="DO231" s="27" t="s">
        <v>8</v>
      </c>
      <c r="DZ231" s="27" t="s">
        <v>7</v>
      </c>
      <c r="EB231" s="27" t="s">
        <v>7</v>
      </c>
      <c r="EC231" s="27" t="s">
        <v>8</v>
      </c>
      <c r="ED231" s="27" t="s">
        <v>7</v>
      </c>
      <c r="EE231" s="27" t="s">
        <v>8</v>
      </c>
      <c r="EF231" s="27" t="s">
        <v>7</v>
      </c>
      <c r="EH231" s="19" t="s">
        <v>7</v>
      </c>
      <c r="EJ231" s="31"/>
    </row>
    <row r="232" spans="1:197" x14ac:dyDescent="0.25">
      <c r="A232" s="30">
        <v>1.477455443789063</v>
      </c>
      <c r="E232"/>
      <c r="DO232" s="27" t="s">
        <v>8</v>
      </c>
      <c r="EB232" s="33" t="s">
        <v>7</v>
      </c>
      <c r="EC232" s="27" t="s">
        <v>8</v>
      </c>
      <c r="ED232" s="27" t="s">
        <v>7</v>
      </c>
      <c r="EE232" s="27" t="s">
        <v>8</v>
      </c>
      <c r="EH232" s="33" t="s">
        <v>7</v>
      </c>
      <c r="EK232" s="31"/>
      <c r="GG232" s="31" t="s">
        <v>8</v>
      </c>
    </row>
    <row r="233" spans="1:197" x14ac:dyDescent="0.25">
      <c r="A233" s="30">
        <v>1.4071004226562505</v>
      </c>
      <c r="E233"/>
      <c r="DO233" s="27" t="s">
        <v>8</v>
      </c>
      <c r="EB233" s="27" t="s">
        <v>7</v>
      </c>
      <c r="ED233" s="27" t="s">
        <v>7</v>
      </c>
      <c r="EH233" s="27" t="s">
        <v>7</v>
      </c>
      <c r="EI233" s="27" t="s">
        <v>8</v>
      </c>
      <c r="EL233" s="31"/>
      <c r="EO233" s="27" t="s">
        <v>8</v>
      </c>
      <c r="FQ233" s="27" t="s">
        <v>8</v>
      </c>
      <c r="GG233" s="27" t="s">
        <v>8</v>
      </c>
      <c r="GH233" s="31" t="s">
        <v>7</v>
      </c>
    </row>
    <row r="234" spans="1:197" x14ac:dyDescent="0.25">
      <c r="A234" s="30">
        <v>1.3400956406250004</v>
      </c>
      <c r="E234"/>
      <c r="DK234" s="27" t="s">
        <v>8</v>
      </c>
      <c r="DO234" s="27" t="s">
        <v>8</v>
      </c>
      <c r="EH234" s="27" t="s">
        <v>7</v>
      </c>
      <c r="EI234" s="27" t="s">
        <v>8</v>
      </c>
      <c r="EJ234" s="27" t="s">
        <v>7</v>
      </c>
      <c r="EM234" s="31"/>
      <c r="EO234" s="27" t="s">
        <v>8</v>
      </c>
      <c r="EP234" s="31" t="s">
        <v>7</v>
      </c>
      <c r="FQ234" s="27" t="s">
        <v>8</v>
      </c>
      <c r="FR234" s="27" t="s">
        <v>7</v>
      </c>
      <c r="GG234" s="27" t="s">
        <v>8</v>
      </c>
      <c r="GH234" s="27" t="s">
        <v>7</v>
      </c>
      <c r="GI234" s="31"/>
    </row>
    <row r="235" spans="1:197" x14ac:dyDescent="0.25">
      <c r="A235" s="30">
        <v>1.2762815625000004</v>
      </c>
      <c r="C235"/>
      <c r="E235"/>
      <c r="DK235" s="27" t="s">
        <v>8</v>
      </c>
      <c r="DL235" s="27" t="s">
        <v>7</v>
      </c>
      <c r="DO235" s="27" t="s">
        <v>8</v>
      </c>
      <c r="EH235" s="27" t="s">
        <v>7</v>
      </c>
      <c r="EI235" s="27" t="s">
        <v>8</v>
      </c>
      <c r="EJ235" s="27" t="s">
        <v>7</v>
      </c>
      <c r="EN235" s="31"/>
      <c r="EO235" s="27" t="s">
        <v>8</v>
      </c>
      <c r="EP235" s="27" t="s">
        <v>7</v>
      </c>
      <c r="EQ235" s="31"/>
      <c r="FO235" s="27" t="s">
        <v>8</v>
      </c>
      <c r="FQ235" s="27" t="s">
        <v>8</v>
      </c>
      <c r="FR235" s="27" t="s">
        <v>7</v>
      </c>
      <c r="GG235" s="27" t="s">
        <v>8</v>
      </c>
      <c r="GH235" s="27" t="s">
        <v>7</v>
      </c>
      <c r="GJ235" s="31"/>
    </row>
    <row r="236" spans="1:197" x14ac:dyDescent="0.25">
      <c r="A236" s="30">
        <v>1.2155062500000002</v>
      </c>
      <c r="E236"/>
      <c r="DK236" s="27" t="s">
        <v>8</v>
      </c>
      <c r="DL236" s="27" t="s">
        <v>7</v>
      </c>
      <c r="DO236" s="27" t="s">
        <v>8</v>
      </c>
      <c r="EH236" s="27" t="s">
        <v>7</v>
      </c>
      <c r="EI236" s="27" t="s">
        <v>8</v>
      </c>
      <c r="EJ236" s="27" t="s">
        <v>7</v>
      </c>
      <c r="EK236" s="27" t="s">
        <v>8</v>
      </c>
      <c r="EO236" s="31" t="s">
        <v>8</v>
      </c>
      <c r="EP236" s="27" t="s">
        <v>7</v>
      </c>
      <c r="ER236" s="31"/>
      <c r="FO236" s="27" t="s">
        <v>8</v>
      </c>
      <c r="FP236" s="27" t="s">
        <v>7</v>
      </c>
      <c r="FQ236" s="27" t="s">
        <v>8</v>
      </c>
      <c r="FR236" s="27" t="s">
        <v>7</v>
      </c>
      <c r="FU236" s="27" t="s">
        <v>8</v>
      </c>
      <c r="GC236" s="32" t="s">
        <v>8</v>
      </c>
      <c r="GE236" s="32" t="s">
        <v>8</v>
      </c>
      <c r="GG236" s="27" t="s">
        <v>8</v>
      </c>
      <c r="GH236" s="27" t="s">
        <v>7</v>
      </c>
      <c r="GI236" s="32" t="s">
        <v>8</v>
      </c>
      <c r="GK236" s="32" t="s">
        <v>8</v>
      </c>
    </row>
    <row r="237" spans="1:19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K237" s="27" t="s">
        <v>8</v>
      </c>
      <c r="DL237" s="27" t="s">
        <v>7</v>
      </c>
      <c r="DO237" s="34" t="s">
        <v>8</v>
      </c>
      <c r="EH237" s="27" t="s">
        <v>7</v>
      </c>
      <c r="EJ237" s="27" t="s">
        <v>7</v>
      </c>
      <c r="EK237" s="27" t="s">
        <v>8</v>
      </c>
      <c r="EL237" s="27" t="s">
        <v>7</v>
      </c>
      <c r="EO237" s="27" t="s">
        <v>8</v>
      </c>
      <c r="EP237" s="27" t="s">
        <v>7</v>
      </c>
      <c r="EQ237" s="27" t="s">
        <v>8</v>
      </c>
      <c r="ES237" s="31"/>
      <c r="FK237" s="32" t="s">
        <v>8</v>
      </c>
      <c r="FM237" s="32" t="s">
        <v>8</v>
      </c>
      <c r="FO237" s="27" t="s">
        <v>8</v>
      </c>
      <c r="FP237" s="27" t="s">
        <v>7</v>
      </c>
      <c r="FQ237" s="27" t="s">
        <v>8</v>
      </c>
      <c r="FR237" s="27" t="s">
        <v>7</v>
      </c>
      <c r="FU237" s="27" t="s">
        <v>8</v>
      </c>
      <c r="FV237" s="27" t="s">
        <v>7</v>
      </c>
      <c r="GC237" s="27" t="s">
        <v>8</v>
      </c>
      <c r="GD237" s="27" t="s">
        <v>7</v>
      </c>
      <c r="GE237" s="27" t="s">
        <v>8</v>
      </c>
      <c r="GF237" s="27" t="s">
        <v>7</v>
      </c>
      <c r="GG237" s="27" t="s">
        <v>8</v>
      </c>
      <c r="GH237" s="27" t="s">
        <v>7</v>
      </c>
      <c r="GI237" s="27" t="s">
        <v>8</v>
      </c>
      <c r="GJ237" s="27" t="s">
        <v>7</v>
      </c>
      <c r="GK237" s="27" t="s">
        <v>8</v>
      </c>
      <c r="GL237" s="31" t="s">
        <v>7</v>
      </c>
    </row>
    <row r="238" spans="1:197" x14ac:dyDescent="0.25">
      <c r="A238" s="30">
        <v>1.1025</v>
      </c>
      <c r="E238"/>
      <c r="DK238" s="27" t="s">
        <v>8</v>
      </c>
      <c r="DL238" s="27" t="s">
        <v>7</v>
      </c>
      <c r="DM238" s="27" t="s">
        <v>8</v>
      </c>
      <c r="DO238" s="27" t="s">
        <v>8</v>
      </c>
      <c r="EJ238" s="27" t="s">
        <v>7</v>
      </c>
      <c r="EK238" s="27" t="s">
        <v>8</v>
      </c>
      <c r="EL238" s="27" t="s">
        <v>7</v>
      </c>
      <c r="EO238" s="27" t="s">
        <v>8</v>
      </c>
      <c r="EP238" s="27" t="s">
        <v>7</v>
      </c>
      <c r="EQ238" s="27" t="s">
        <v>8</v>
      </c>
      <c r="ER238" s="27" t="s">
        <v>7</v>
      </c>
      <c r="ET238" s="31"/>
      <c r="FK238" s="27" t="s">
        <v>8</v>
      </c>
      <c r="FL238" s="27" t="s">
        <v>7</v>
      </c>
      <c r="FM238" s="27" t="s">
        <v>8</v>
      </c>
      <c r="FN238" s="27" t="s">
        <v>7</v>
      </c>
      <c r="FO238" s="27" t="s">
        <v>8</v>
      </c>
      <c r="FP238" s="27" t="s">
        <v>7</v>
      </c>
      <c r="FR238" s="27" t="s">
        <v>7</v>
      </c>
      <c r="FU238" s="27" t="s">
        <v>8</v>
      </c>
      <c r="FV238" s="27" t="s">
        <v>7</v>
      </c>
      <c r="GC238" s="27" t="s">
        <v>8</v>
      </c>
      <c r="GD238" s="27" t="s">
        <v>7</v>
      </c>
      <c r="GE238" s="27" t="s">
        <v>8</v>
      </c>
      <c r="GF238" s="27" t="s">
        <v>7</v>
      </c>
      <c r="GG238" s="27" t="s">
        <v>8</v>
      </c>
      <c r="GH238" s="27" t="s">
        <v>7</v>
      </c>
      <c r="GI238" s="27" t="s">
        <v>8</v>
      </c>
      <c r="GJ238" s="27" t="s">
        <v>7</v>
      </c>
      <c r="GK238" s="27" t="s">
        <v>8</v>
      </c>
      <c r="GL238" s="27" t="s">
        <v>7</v>
      </c>
      <c r="GM238" s="31"/>
    </row>
    <row r="239" spans="1:197" x14ac:dyDescent="0.25">
      <c r="A239" s="30">
        <v>1.05</v>
      </c>
      <c r="E239"/>
      <c r="DK239" s="27" t="s">
        <v>8</v>
      </c>
      <c r="DL239" s="27" t="s">
        <v>7</v>
      </c>
      <c r="DM239" s="27" t="s">
        <v>8</v>
      </c>
      <c r="DN239" s="27" t="s">
        <v>7</v>
      </c>
      <c r="DO239" s="27" t="s">
        <v>8</v>
      </c>
      <c r="EJ239" s="27" t="s">
        <v>7</v>
      </c>
      <c r="EL239" s="27" t="s">
        <v>7</v>
      </c>
      <c r="EO239" s="27" t="s">
        <v>8</v>
      </c>
      <c r="EP239" s="27" t="s">
        <v>7</v>
      </c>
      <c r="EQ239" s="27" t="s">
        <v>8</v>
      </c>
      <c r="ER239" s="27" t="s">
        <v>7</v>
      </c>
      <c r="EU239" s="31" t="s">
        <v>8</v>
      </c>
      <c r="FK239" s="27" t="s">
        <v>8</v>
      </c>
      <c r="FL239" s="27" t="s">
        <v>7</v>
      </c>
      <c r="FM239" s="27" t="s">
        <v>8</v>
      </c>
      <c r="FN239" s="27" t="s">
        <v>7</v>
      </c>
      <c r="FO239" s="27" t="s">
        <v>8</v>
      </c>
      <c r="FR239" s="31" t="s">
        <v>7</v>
      </c>
      <c r="FS239" s="27" t="s">
        <v>8</v>
      </c>
      <c r="FU239" s="27" t="s">
        <v>8</v>
      </c>
      <c r="FV239" s="27" t="s">
        <v>7</v>
      </c>
      <c r="GC239" s="27" t="s">
        <v>8</v>
      </c>
      <c r="GD239" s="27" t="s">
        <v>7</v>
      </c>
      <c r="GE239" s="27" t="s">
        <v>8</v>
      </c>
      <c r="GF239" s="27" t="s">
        <v>7</v>
      </c>
      <c r="GG239" s="27" t="s">
        <v>8</v>
      </c>
      <c r="GH239" s="27" t="s">
        <v>7</v>
      </c>
      <c r="GI239" s="27" t="s">
        <v>8</v>
      </c>
      <c r="GJ239" s="27" t="s">
        <v>7</v>
      </c>
      <c r="GK239" s="27" t="s">
        <v>8</v>
      </c>
      <c r="GL239" s="27" t="s">
        <v>7</v>
      </c>
      <c r="GN239" s="31"/>
    </row>
    <row r="240" spans="1:197" x14ac:dyDescent="0.25">
      <c r="A240" s="30">
        <v>1</v>
      </c>
      <c r="E240" s="29" t="s">
        <v>8</v>
      </c>
      <c r="DK240" s="27" t="s">
        <v>8</v>
      </c>
      <c r="DL240" s="27" t="s">
        <v>7</v>
      </c>
      <c r="DM240" s="27" t="s">
        <v>8</v>
      </c>
      <c r="DN240" s="27" t="s">
        <v>7</v>
      </c>
      <c r="DO240" s="27" t="s">
        <v>8</v>
      </c>
      <c r="EL240" s="27" t="s">
        <v>7</v>
      </c>
      <c r="EO240" s="34" t="s">
        <v>8</v>
      </c>
      <c r="EP240" s="27" t="s">
        <v>7</v>
      </c>
      <c r="EQ240" s="27" t="s">
        <v>8</v>
      </c>
      <c r="ER240" s="27" t="s">
        <v>7</v>
      </c>
      <c r="EU240" s="27" t="s">
        <v>8</v>
      </c>
      <c r="EV240" s="31" t="s">
        <v>7</v>
      </c>
      <c r="FI240" s="27" t="s">
        <v>8</v>
      </c>
      <c r="FK240" s="27" t="s">
        <v>8</v>
      </c>
      <c r="FL240" s="27" t="s">
        <v>7</v>
      </c>
      <c r="FM240" s="27" t="s">
        <v>8</v>
      </c>
      <c r="FN240" s="27" t="s">
        <v>7</v>
      </c>
      <c r="FQ240" s="31"/>
      <c r="FR240" s="27" t="s">
        <v>7</v>
      </c>
      <c r="FS240" s="27" t="s">
        <v>8</v>
      </c>
      <c r="FT240" s="27" t="s">
        <v>7</v>
      </c>
      <c r="FU240" s="27" t="s">
        <v>8</v>
      </c>
      <c r="FV240" s="27" t="s">
        <v>7</v>
      </c>
      <c r="GC240" s="27" t="s">
        <v>8</v>
      </c>
      <c r="GD240" s="27" t="s">
        <v>7</v>
      </c>
      <c r="GE240" s="27" t="s">
        <v>8</v>
      </c>
      <c r="GF240" s="27" t="s">
        <v>7</v>
      </c>
      <c r="GG240" s="27" t="s">
        <v>8</v>
      </c>
      <c r="GH240" s="31" t="s">
        <v>7</v>
      </c>
      <c r="GI240" s="27" t="s">
        <v>8</v>
      </c>
      <c r="GJ240" s="27" t="s">
        <v>7</v>
      </c>
      <c r="GL240" s="27" t="s">
        <v>7</v>
      </c>
      <c r="GO240" s="31"/>
    </row>
    <row r="241" spans="1:198" x14ac:dyDescent="0.25">
      <c r="A241" s="30">
        <v>0.952380952380952</v>
      </c>
      <c r="B241"/>
      <c r="C241"/>
      <c r="D241"/>
      <c r="E241"/>
      <c r="F241" s="27" t="s">
        <v>7</v>
      </c>
      <c r="DG241" s="32" t="s">
        <v>8</v>
      </c>
      <c r="DI241" s="32" t="s">
        <v>8</v>
      </c>
      <c r="DK241" s="27" t="s">
        <v>8</v>
      </c>
      <c r="DL241" s="27" t="s">
        <v>7</v>
      </c>
      <c r="DN241" s="27" t="s">
        <v>7</v>
      </c>
      <c r="DO241" s="27" t="s">
        <v>8</v>
      </c>
      <c r="EL241" s="27" t="s">
        <v>7</v>
      </c>
      <c r="EM241" s="27" t="s">
        <v>8</v>
      </c>
      <c r="EO241" s="27" t="s">
        <v>8</v>
      </c>
      <c r="EP241" s="27" t="s">
        <v>7</v>
      </c>
      <c r="EQ241" s="27" t="s">
        <v>8</v>
      </c>
      <c r="ER241" s="27" t="s">
        <v>7</v>
      </c>
      <c r="EU241" s="34" t="s">
        <v>8</v>
      </c>
      <c r="EV241" s="27" t="s">
        <v>7</v>
      </c>
      <c r="EW241" s="31"/>
      <c r="FE241" s="27" t="s">
        <v>8</v>
      </c>
      <c r="FI241" s="34" t="s">
        <v>8</v>
      </c>
      <c r="FJ241" s="27" t="s">
        <v>7</v>
      </c>
      <c r="FK241" s="27" t="s">
        <v>8</v>
      </c>
      <c r="FL241" s="27" t="s">
        <v>7</v>
      </c>
      <c r="FM241" s="27" t="s">
        <v>8</v>
      </c>
      <c r="FP241" s="31"/>
      <c r="FR241" s="27" t="s">
        <v>7</v>
      </c>
      <c r="FS241" s="27" t="s">
        <v>8</v>
      </c>
      <c r="FT241" s="27" t="s">
        <v>7</v>
      </c>
      <c r="FU241" s="27" t="s">
        <v>8</v>
      </c>
      <c r="FV241" s="27" t="s">
        <v>7</v>
      </c>
      <c r="FY241" s="27" t="s">
        <v>8</v>
      </c>
      <c r="GC241" s="27" t="s">
        <v>8</v>
      </c>
      <c r="GD241" s="32" t="s">
        <v>7</v>
      </c>
      <c r="GF241" s="32" t="s">
        <v>7</v>
      </c>
      <c r="GG241" s="31"/>
      <c r="GH241" s="27" t="s">
        <v>7</v>
      </c>
      <c r="GI241" s="27" t="s">
        <v>8</v>
      </c>
      <c r="GL241" s="27" t="s">
        <v>7</v>
      </c>
    </row>
    <row r="242" spans="1:198" x14ac:dyDescent="0.25">
      <c r="A242" s="30">
        <v>0.90702947845804915</v>
      </c>
      <c r="B242"/>
      <c r="C242"/>
      <c r="D242"/>
      <c r="E242"/>
      <c r="F242" s="27" t="s">
        <v>7</v>
      </c>
      <c r="DG242" s="27" t="s">
        <v>8</v>
      </c>
      <c r="DH242" s="27" t="s">
        <v>7</v>
      </c>
      <c r="DI242" s="27" t="s">
        <v>8</v>
      </c>
      <c r="DJ242" s="27" t="s">
        <v>7</v>
      </c>
      <c r="DK242" s="27" t="s">
        <v>8</v>
      </c>
      <c r="DN242" s="33" t="s">
        <v>7</v>
      </c>
      <c r="DO242" s="27" t="s">
        <v>8</v>
      </c>
      <c r="EL242" s="27" t="s">
        <v>7</v>
      </c>
      <c r="EM242" s="27" t="s">
        <v>8</v>
      </c>
      <c r="EN242" s="27" t="s">
        <v>7</v>
      </c>
      <c r="EO242" s="27" t="s">
        <v>8</v>
      </c>
      <c r="EP242" s="27" t="s">
        <v>7</v>
      </c>
      <c r="EQ242" s="27" t="s">
        <v>8</v>
      </c>
      <c r="ER242" s="27" t="s">
        <v>7</v>
      </c>
      <c r="ES242" s="27" t="s">
        <v>8</v>
      </c>
      <c r="EU242" s="27" t="s">
        <v>8</v>
      </c>
      <c r="EV242" s="27" t="s">
        <v>7</v>
      </c>
      <c r="EX242" s="31"/>
      <c r="FE242" s="27" t="s">
        <v>8</v>
      </c>
      <c r="FF242" s="27" t="s">
        <v>7</v>
      </c>
      <c r="FG242" s="27" t="s">
        <v>8</v>
      </c>
      <c r="FI242" s="27" t="s">
        <v>8</v>
      </c>
      <c r="FJ242" s="27" t="s">
        <v>7</v>
      </c>
      <c r="FK242" s="27" t="s">
        <v>8</v>
      </c>
      <c r="FL242" s="27" t="s">
        <v>7</v>
      </c>
      <c r="FO242" s="31"/>
      <c r="FR242" s="27" t="s">
        <v>7</v>
      </c>
      <c r="FS242" s="27" t="s">
        <v>8</v>
      </c>
      <c r="FT242" s="27" t="s">
        <v>7</v>
      </c>
      <c r="FV242" s="27" t="s">
        <v>7</v>
      </c>
      <c r="FY242" s="27" t="s">
        <v>8</v>
      </c>
      <c r="FZ242" s="27" t="s">
        <v>7</v>
      </c>
      <c r="GA242" s="27" t="s">
        <v>8</v>
      </c>
      <c r="GC242" s="27" t="s">
        <v>8</v>
      </c>
      <c r="GF242" s="31"/>
      <c r="GH242" s="33" t="s">
        <v>7</v>
      </c>
      <c r="GL242" s="27" t="s">
        <v>7</v>
      </c>
    </row>
    <row r="243" spans="1:198" x14ac:dyDescent="0.25">
      <c r="A243" s="30">
        <v>0.86383759853147501</v>
      </c>
      <c r="B243"/>
      <c r="C243"/>
      <c r="D243"/>
      <c r="E243"/>
      <c r="F243" s="27" t="s">
        <v>7</v>
      </c>
      <c r="DG243" s="27" t="s">
        <v>8</v>
      </c>
      <c r="DH243" s="27" t="s">
        <v>7</v>
      </c>
      <c r="DI243" s="27" t="s">
        <v>8</v>
      </c>
      <c r="DJ243" s="27" t="s">
        <v>7</v>
      </c>
      <c r="DK243" s="27" t="s">
        <v>8</v>
      </c>
      <c r="DN243" s="27" t="s">
        <v>7</v>
      </c>
      <c r="DO243" s="27" t="s">
        <v>8</v>
      </c>
      <c r="EL243" s="27" t="s">
        <v>7</v>
      </c>
      <c r="EM243" s="27" t="s">
        <v>8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EU243" s="27" t="s">
        <v>8</v>
      </c>
      <c r="EV243" s="27" t="s">
        <v>7</v>
      </c>
      <c r="EY243" s="31"/>
      <c r="FE243" s="27" t="s">
        <v>8</v>
      </c>
      <c r="FF243" s="27" t="s">
        <v>7</v>
      </c>
      <c r="FG243" s="27" t="s">
        <v>8</v>
      </c>
      <c r="FH243" s="27" t="s">
        <v>7</v>
      </c>
      <c r="FI243" s="27" t="s">
        <v>8</v>
      </c>
      <c r="FJ243" s="27" t="s">
        <v>7</v>
      </c>
      <c r="FN243" s="31"/>
      <c r="FR243" s="27" t="s">
        <v>7</v>
      </c>
      <c r="FV243" s="27" t="s">
        <v>7</v>
      </c>
      <c r="FW243" s="27" t="s">
        <v>8</v>
      </c>
      <c r="FY243" s="27" t="s">
        <v>8</v>
      </c>
      <c r="FZ243" s="27" t="s">
        <v>7</v>
      </c>
      <c r="GA243" s="27" t="s">
        <v>8</v>
      </c>
      <c r="GB243" s="27" t="s">
        <v>7</v>
      </c>
      <c r="GC243" s="27" t="s">
        <v>8</v>
      </c>
      <c r="GE243" s="31"/>
      <c r="GL243" s="27" t="s">
        <v>7</v>
      </c>
    </row>
    <row r="244" spans="1:198" x14ac:dyDescent="0.25">
      <c r="A244" s="30">
        <v>0.82270247479188063</v>
      </c>
      <c r="B244"/>
      <c r="C244"/>
      <c r="D244"/>
      <c r="E244"/>
      <c r="F244" s="27" t="s">
        <v>7</v>
      </c>
      <c r="DG244" s="27" t="s">
        <v>8</v>
      </c>
      <c r="DH244" s="27" t="s">
        <v>7</v>
      </c>
      <c r="DI244" s="27" t="s">
        <v>8</v>
      </c>
      <c r="DJ244" s="27" t="s">
        <v>7</v>
      </c>
      <c r="DK244" s="27" t="s">
        <v>8</v>
      </c>
      <c r="DN244" s="27" t="s">
        <v>7</v>
      </c>
      <c r="DO244" s="27" t="s">
        <v>8</v>
      </c>
      <c r="EL244" s="27" t="s">
        <v>7</v>
      </c>
      <c r="EM244" s="27" t="s">
        <v>8</v>
      </c>
      <c r="EN244" s="27" t="s">
        <v>7</v>
      </c>
      <c r="EO244" s="27" t="s">
        <v>8</v>
      </c>
      <c r="EP244" s="27" t="s">
        <v>7</v>
      </c>
      <c r="ER244" s="27" t="s">
        <v>7</v>
      </c>
      <c r="ES244" s="27" t="s">
        <v>8</v>
      </c>
      <c r="ET244" s="27" t="s">
        <v>7</v>
      </c>
      <c r="EU244" s="27" t="s">
        <v>8</v>
      </c>
      <c r="EV244" s="27" t="s">
        <v>7</v>
      </c>
      <c r="EZ244" s="31"/>
      <c r="FE244" s="34" t="s">
        <v>8</v>
      </c>
      <c r="FF244" s="27" t="s">
        <v>7</v>
      </c>
      <c r="FG244" s="27" t="s">
        <v>8</v>
      </c>
      <c r="FH244" s="27" t="s">
        <v>7</v>
      </c>
      <c r="FI244" s="27" t="s">
        <v>8</v>
      </c>
      <c r="FM244" s="31"/>
      <c r="FV244" s="27" t="s">
        <v>7</v>
      </c>
      <c r="FW244" s="27" t="s">
        <v>8</v>
      </c>
      <c r="FX244" s="27" t="s">
        <v>7</v>
      </c>
      <c r="FY244" s="27" t="s">
        <v>8</v>
      </c>
      <c r="FZ244" s="27" t="s">
        <v>7</v>
      </c>
      <c r="GA244" s="27" t="s">
        <v>8</v>
      </c>
      <c r="GB244" s="27" t="s">
        <v>7</v>
      </c>
      <c r="GC244" s="27" t="s">
        <v>8</v>
      </c>
      <c r="GD244" s="31"/>
      <c r="GL244" s="27" t="s">
        <v>7</v>
      </c>
    </row>
    <row r="245" spans="1:198" x14ac:dyDescent="0.25">
      <c r="A245" s="30">
        <v>0.78352616646845741</v>
      </c>
      <c r="B245"/>
      <c r="C245"/>
      <c r="D245"/>
      <c r="E245"/>
      <c r="F245" s="27" t="s">
        <v>7</v>
      </c>
      <c r="DG245" s="27" t="s">
        <v>8</v>
      </c>
      <c r="DH245" s="27" t="s">
        <v>7</v>
      </c>
      <c r="DI245" s="27" t="s">
        <v>8</v>
      </c>
      <c r="DJ245" s="27" t="s">
        <v>7</v>
      </c>
      <c r="DK245" s="27" t="s">
        <v>8</v>
      </c>
      <c r="DN245" s="27" t="s">
        <v>7</v>
      </c>
      <c r="EL245" s="27" t="s">
        <v>7</v>
      </c>
      <c r="EM245" s="27" t="s">
        <v>8</v>
      </c>
      <c r="EN245" s="27" t="s">
        <v>7</v>
      </c>
      <c r="EO245" s="27" t="s">
        <v>8</v>
      </c>
      <c r="ER245" s="33" t="s">
        <v>7</v>
      </c>
      <c r="ES245" s="27" t="s">
        <v>8</v>
      </c>
      <c r="ET245" s="27" t="s">
        <v>7</v>
      </c>
      <c r="EU245" s="27" t="s">
        <v>8</v>
      </c>
      <c r="EV245" s="27" t="s">
        <v>7</v>
      </c>
      <c r="FA245" s="32" t="s">
        <v>8</v>
      </c>
      <c r="FC245" s="32" t="s">
        <v>8</v>
      </c>
      <c r="FE245" s="27" t="s">
        <v>8</v>
      </c>
      <c r="FF245" s="27" t="s">
        <v>7</v>
      </c>
      <c r="FG245" s="27" t="s">
        <v>8</v>
      </c>
      <c r="FH245" s="27" t="s">
        <v>7</v>
      </c>
      <c r="FL245" s="31"/>
      <c r="FV245" s="27" t="s">
        <v>7</v>
      </c>
      <c r="FW245" s="27" t="s">
        <v>8</v>
      </c>
      <c r="FX245" s="27" t="s">
        <v>7</v>
      </c>
      <c r="FY245" s="27" t="s">
        <v>8</v>
      </c>
      <c r="FZ245" s="27" t="s">
        <v>7</v>
      </c>
      <c r="GA245" s="27" t="s">
        <v>8</v>
      </c>
      <c r="GB245" s="27" t="s">
        <v>7</v>
      </c>
      <c r="GC245" s="31" t="s">
        <v>8</v>
      </c>
      <c r="GL245" s="27" t="s">
        <v>7</v>
      </c>
      <c r="GM245" s="27" t="s">
        <v>8</v>
      </c>
    </row>
    <row r="246" spans="1:198" x14ac:dyDescent="0.25">
      <c r="A246" s="30">
        <v>0.74621539663662584</v>
      </c>
      <c r="B246"/>
      <c r="C246"/>
      <c r="D246"/>
      <c r="E246"/>
      <c r="F246" s="27" t="s">
        <v>7</v>
      </c>
      <c r="DG246" s="27" t="s">
        <v>8</v>
      </c>
      <c r="DH246" s="27" t="s">
        <v>7</v>
      </c>
      <c r="DI246" s="27" t="s">
        <v>8</v>
      </c>
      <c r="DJ246" s="27" t="s">
        <v>7</v>
      </c>
      <c r="EL246" s="27" t="s">
        <v>7</v>
      </c>
      <c r="EM246" s="27" t="s">
        <v>8</v>
      </c>
      <c r="EN246" s="27" t="s">
        <v>7</v>
      </c>
      <c r="EO246" s="27" t="s">
        <v>8</v>
      </c>
      <c r="ER246" s="27" t="s">
        <v>7</v>
      </c>
      <c r="ET246" s="27" t="s">
        <v>7</v>
      </c>
      <c r="EU246" s="27" t="s">
        <v>8</v>
      </c>
      <c r="EV246" s="27" t="s">
        <v>7</v>
      </c>
      <c r="FA246" s="27" t="s">
        <v>8</v>
      </c>
      <c r="FB246" s="31" t="s">
        <v>7</v>
      </c>
      <c r="FC246" s="27" t="s">
        <v>8</v>
      </c>
      <c r="FD246" s="27" t="s">
        <v>7</v>
      </c>
      <c r="FE246" s="27" t="s">
        <v>8</v>
      </c>
      <c r="FF246" s="27" t="s">
        <v>7</v>
      </c>
      <c r="FG246" s="27" t="s">
        <v>8</v>
      </c>
      <c r="FK246" s="31"/>
      <c r="FV246" s="27" t="s">
        <v>7</v>
      </c>
      <c r="FW246" s="27" t="s">
        <v>8</v>
      </c>
      <c r="FX246" s="27" t="s">
        <v>7</v>
      </c>
      <c r="FY246" s="27" t="s">
        <v>8</v>
      </c>
      <c r="FZ246" s="27" t="s">
        <v>7</v>
      </c>
      <c r="GB246" s="31" t="s">
        <v>7</v>
      </c>
      <c r="GL246" s="27" t="s">
        <v>7</v>
      </c>
      <c r="GM246" s="27" t="s">
        <v>8</v>
      </c>
      <c r="GN246" s="27" t="s">
        <v>7</v>
      </c>
      <c r="GO246" s="27" t="s">
        <v>8</v>
      </c>
    </row>
    <row r="247" spans="1:198" x14ac:dyDescent="0.25">
      <c r="A247" s="30">
        <v>0.71068133013011958</v>
      </c>
      <c r="B247"/>
      <c r="C247"/>
      <c r="D247"/>
      <c r="E247"/>
      <c r="F247" s="27" t="s">
        <v>7</v>
      </c>
      <c r="DG247" s="27" t="s">
        <v>8</v>
      </c>
      <c r="DH247" s="27" t="s">
        <v>7</v>
      </c>
      <c r="EL247" s="27" t="s">
        <v>7</v>
      </c>
      <c r="EM247" s="27" t="s">
        <v>8</v>
      </c>
      <c r="EN247" s="27" t="s">
        <v>7</v>
      </c>
      <c r="EO247" s="27" t="s">
        <v>8</v>
      </c>
      <c r="ET247" s="27" t="s">
        <v>7</v>
      </c>
      <c r="EV247" s="27" t="s">
        <v>7</v>
      </c>
      <c r="EW247" s="32" t="s">
        <v>8</v>
      </c>
      <c r="EY247" s="32" t="s">
        <v>8</v>
      </c>
      <c r="FA247" s="27" t="s">
        <v>8</v>
      </c>
      <c r="FB247" s="27" t="s">
        <v>7</v>
      </c>
      <c r="FC247" s="27" t="s">
        <v>8</v>
      </c>
      <c r="FD247" s="27" t="s">
        <v>7</v>
      </c>
      <c r="FE247" s="27" t="s">
        <v>8</v>
      </c>
      <c r="FF247" s="27" t="s">
        <v>7</v>
      </c>
      <c r="FG247" s="27" t="s">
        <v>8</v>
      </c>
      <c r="FJ247" s="31"/>
      <c r="FV247" s="32" t="s">
        <v>7</v>
      </c>
      <c r="FX247" s="32" t="s">
        <v>7</v>
      </c>
      <c r="GL247" s="27" t="s">
        <v>7</v>
      </c>
      <c r="GM247" s="27" t="s">
        <v>8</v>
      </c>
      <c r="GN247" s="27" t="s">
        <v>7</v>
      </c>
      <c r="GO247" s="27" t="s">
        <v>8</v>
      </c>
      <c r="GP247" s="27" t="s">
        <v>7</v>
      </c>
    </row>
    <row r="248" spans="1:198" x14ac:dyDescent="0.25">
      <c r="A248" s="30">
        <v>0.676839362028685</v>
      </c>
      <c r="B248"/>
      <c r="C248"/>
      <c r="D248"/>
      <c r="E248"/>
      <c r="F248" s="27" t="s">
        <v>7</v>
      </c>
      <c r="DG248" s="27" t="s">
        <v>8</v>
      </c>
      <c r="EL248" s="27" t="s">
        <v>7</v>
      </c>
      <c r="EM248" s="27" t="s">
        <v>8</v>
      </c>
      <c r="EN248" s="27" t="s">
        <v>7</v>
      </c>
      <c r="EO248" s="27" t="s">
        <v>8</v>
      </c>
      <c r="EV248" s="33" t="s">
        <v>7</v>
      </c>
      <c r="EW248" s="27" t="s">
        <v>8</v>
      </c>
      <c r="EX248" s="27" t="s">
        <v>7</v>
      </c>
      <c r="EY248" s="27" t="s">
        <v>8</v>
      </c>
      <c r="EZ248" s="27" t="s">
        <v>7</v>
      </c>
      <c r="FA248" s="27" t="s">
        <v>8</v>
      </c>
      <c r="FB248" s="27" t="s">
        <v>7</v>
      </c>
      <c r="FC248" s="27" t="s">
        <v>8</v>
      </c>
      <c r="FD248" s="27" t="s">
        <v>7</v>
      </c>
      <c r="FF248" s="27" t="s">
        <v>7</v>
      </c>
      <c r="FG248" s="27" t="s">
        <v>8</v>
      </c>
      <c r="FI248" s="31"/>
      <c r="GL248" s="27" t="s">
        <v>7</v>
      </c>
      <c r="GM248" s="27" t="s">
        <v>8</v>
      </c>
      <c r="GN248" s="27" t="s">
        <v>7</v>
      </c>
      <c r="GO248" s="27" t="s">
        <v>8</v>
      </c>
      <c r="GP248" s="27" t="s">
        <v>7</v>
      </c>
    </row>
    <row r="249" spans="1:198" x14ac:dyDescent="0.25">
      <c r="A249" s="30">
        <v>0.64460891621779492</v>
      </c>
      <c r="B249"/>
      <c r="C249"/>
      <c r="D249"/>
      <c r="E249"/>
      <c r="F249" s="27" t="s">
        <v>7</v>
      </c>
      <c r="DG249" s="27" t="s">
        <v>8</v>
      </c>
      <c r="EL249" s="27" t="s">
        <v>7</v>
      </c>
      <c r="EM249" s="27" t="s">
        <v>8</v>
      </c>
      <c r="EN249" s="27" t="s">
        <v>7</v>
      </c>
      <c r="EO249" s="27" t="s">
        <v>8</v>
      </c>
      <c r="EU249" s="31"/>
      <c r="EV249" s="27" t="s">
        <v>7</v>
      </c>
      <c r="EW249" s="27" t="s">
        <v>8</v>
      </c>
      <c r="EX249" s="27" t="s">
        <v>7</v>
      </c>
      <c r="EY249" s="27" t="s">
        <v>8</v>
      </c>
      <c r="EZ249" s="27" t="s">
        <v>7</v>
      </c>
      <c r="FA249" s="27" t="s">
        <v>8</v>
      </c>
      <c r="FB249" s="27" t="s">
        <v>7</v>
      </c>
      <c r="FC249" s="27" t="s">
        <v>8</v>
      </c>
      <c r="FF249" s="33" t="s">
        <v>7</v>
      </c>
      <c r="FG249" s="27" t="s">
        <v>8</v>
      </c>
      <c r="FH249" s="31"/>
      <c r="GL249" s="27" t="s">
        <v>7</v>
      </c>
      <c r="GM249" s="27" t="s">
        <v>8</v>
      </c>
      <c r="GN249" s="27" t="s">
        <v>7</v>
      </c>
      <c r="GO249" s="27" t="s">
        <v>8</v>
      </c>
      <c r="GP249" s="27" t="s">
        <v>7</v>
      </c>
    </row>
    <row r="250" spans="1:198" x14ac:dyDescent="0.25">
      <c r="A250" s="30">
        <v>0.61391325354075688</v>
      </c>
      <c r="B250"/>
      <c r="C250"/>
      <c r="D250"/>
      <c r="E250"/>
      <c r="F250" s="27" t="s">
        <v>7</v>
      </c>
      <c r="BE250" s="27" t="s">
        <v>8</v>
      </c>
      <c r="DG250" s="27" t="s">
        <v>8</v>
      </c>
      <c r="EL250" s="27" t="s">
        <v>7</v>
      </c>
      <c r="EM250" s="27" t="s">
        <v>8</v>
      </c>
      <c r="EN250" s="27" t="s">
        <v>7</v>
      </c>
      <c r="EO250" s="27" t="s">
        <v>8</v>
      </c>
      <c r="ET250" s="31"/>
      <c r="EV250" s="27" t="s">
        <v>7</v>
      </c>
      <c r="EW250" s="27" t="s">
        <v>8</v>
      </c>
      <c r="EX250" s="27" t="s">
        <v>7</v>
      </c>
      <c r="EY250" s="27" t="s">
        <v>8</v>
      </c>
      <c r="EZ250" s="32" t="s">
        <v>7</v>
      </c>
      <c r="FB250" s="32" t="s">
        <v>7</v>
      </c>
      <c r="FF250" s="27" t="s">
        <v>7</v>
      </c>
      <c r="FG250" s="31" t="s">
        <v>8</v>
      </c>
      <c r="GL250" s="27" t="s">
        <v>7</v>
      </c>
      <c r="GM250" s="27" t="s">
        <v>8</v>
      </c>
      <c r="GN250" s="27" t="s">
        <v>7</v>
      </c>
      <c r="GO250" s="27" t="s">
        <v>8</v>
      </c>
      <c r="GP250" s="27" t="s">
        <v>7</v>
      </c>
    </row>
    <row r="251" spans="1:198" x14ac:dyDescent="0.25">
      <c r="A251" s="30">
        <v>0.58467928908643485</v>
      </c>
      <c r="B251"/>
      <c r="C251"/>
      <c r="D251"/>
      <c r="E251"/>
      <c r="F251" s="27" t="s">
        <v>7</v>
      </c>
      <c r="BE251" s="27" t="s">
        <v>8</v>
      </c>
      <c r="BF251" s="27" t="s">
        <v>7</v>
      </c>
      <c r="DG251" s="27" t="s">
        <v>8</v>
      </c>
      <c r="EL251" s="27" t="s">
        <v>7</v>
      </c>
      <c r="EM251" s="27" t="s">
        <v>8</v>
      </c>
      <c r="EN251" s="27" t="s">
        <v>7</v>
      </c>
      <c r="EO251" s="27" t="s">
        <v>8</v>
      </c>
      <c r="ES251" s="31"/>
      <c r="EV251" s="27" t="s">
        <v>7</v>
      </c>
      <c r="EW251" s="27" t="s">
        <v>8</v>
      </c>
      <c r="EX251" s="27" t="s">
        <v>7</v>
      </c>
      <c r="FF251" s="31" t="s">
        <v>7</v>
      </c>
      <c r="GL251" s="27" t="s">
        <v>7</v>
      </c>
      <c r="GN251" s="27" t="s">
        <v>7</v>
      </c>
      <c r="GP251" s="27" t="s">
        <v>7</v>
      </c>
    </row>
    <row r="252" spans="1:198" x14ac:dyDescent="0.25">
      <c r="A252" s="30">
        <v>0.55683741817755672</v>
      </c>
      <c r="B252"/>
      <c r="C252"/>
      <c r="D252"/>
      <c r="E252"/>
      <c r="F252" s="27" t="s">
        <v>7</v>
      </c>
      <c r="BE252" s="27" t="s">
        <v>8</v>
      </c>
      <c r="BF252" s="27" t="s">
        <v>7</v>
      </c>
      <c r="CS252" s="27" t="s">
        <v>8</v>
      </c>
      <c r="DE252" s="27" t="s">
        <v>8</v>
      </c>
      <c r="DG252" s="27" t="s">
        <v>8</v>
      </c>
      <c r="EL252" s="27" t="s">
        <v>7</v>
      </c>
      <c r="EM252" s="27" t="s">
        <v>8</v>
      </c>
      <c r="EN252" s="27" t="s">
        <v>7</v>
      </c>
      <c r="EO252" s="27" t="s">
        <v>8</v>
      </c>
      <c r="ER252" s="31"/>
      <c r="EV252" s="27" t="s">
        <v>7</v>
      </c>
      <c r="GP252" s="27" t="s">
        <v>7</v>
      </c>
    </row>
    <row r="253" spans="1:198" x14ac:dyDescent="0.25">
      <c r="A253" s="30">
        <v>0.53032135064529184</v>
      </c>
      <c r="B253"/>
      <c r="C253"/>
      <c r="D253"/>
      <c r="E253"/>
      <c r="F253" s="27" t="s">
        <v>7</v>
      </c>
      <c r="S253" s="27" t="s">
        <v>8</v>
      </c>
      <c r="BE253" s="27" t="s">
        <v>8</v>
      </c>
      <c r="BF253" s="27" t="s">
        <v>7</v>
      </c>
      <c r="CS253" s="27" t="s">
        <v>8</v>
      </c>
      <c r="CT253" s="27" t="s">
        <v>7</v>
      </c>
      <c r="DE253" s="27" t="s">
        <v>8</v>
      </c>
      <c r="DF253" s="27" t="s">
        <v>7</v>
      </c>
      <c r="DG253" s="27" t="s">
        <v>8</v>
      </c>
      <c r="EL253" s="27" t="s">
        <v>7</v>
      </c>
      <c r="EM253" s="27" t="s">
        <v>8</v>
      </c>
      <c r="EN253" s="27" t="s">
        <v>7</v>
      </c>
      <c r="EO253" s="27" t="s">
        <v>8</v>
      </c>
      <c r="EQ253" s="31"/>
      <c r="GP253" s="27" t="s">
        <v>7</v>
      </c>
    </row>
    <row r="254" spans="1:198" x14ac:dyDescent="0.25">
      <c r="A254" s="30">
        <v>0.50506795299551588</v>
      </c>
      <c r="B254"/>
      <c r="C254"/>
      <c r="D254"/>
      <c r="E254"/>
      <c r="F254" s="27" t="s">
        <v>7</v>
      </c>
      <c r="S254" s="27" t="s">
        <v>8</v>
      </c>
      <c r="T254" s="27" t="s">
        <v>7</v>
      </c>
      <c r="U254" s="27" t="s">
        <v>8</v>
      </c>
      <c r="BE254" s="27" t="s">
        <v>8</v>
      </c>
      <c r="BF254" s="27" t="s">
        <v>7</v>
      </c>
      <c r="BK254" s="27" t="s">
        <v>8</v>
      </c>
      <c r="CS254" s="27" t="s">
        <v>8</v>
      </c>
      <c r="CT254" s="27" t="s">
        <v>7</v>
      </c>
      <c r="DE254" s="27" t="s">
        <v>8</v>
      </c>
      <c r="DF254" s="27" t="s">
        <v>7</v>
      </c>
      <c r="DG254" s="27" t="s">
        <v>8</v>
      </c>
      <c r="EL254" s="27" t="s">
        <v>7</v>
      </c>
      <c r="EN254" s="27" t="s">
        <v>7</v>
      </c>
      <c r="EO254" s="27" t="s">
        <v>8</v>
      </c>
      <c r="EP254" s="31"/>
      <c r="GP254" s="27" t="s">
        <v>7</v>
      </c>
    </row>
    <row r="255" spans="1:198" x14ac:dyDescent="0.25">
      <c r="A255" s="30">
        <v>0.48101709809096732</v>
      </c>
      <c r="E255"/>
      <c r="F255" s="27" t="s">
        <v>7</v>
      </c>
      <c r="S255" s="27" t="s">
        <v>8</v>
      </c>
      <c r="T255" s="27" t="s">
        <v>7</v>
      </c>
      <c r="U255" s="27" t="s">
        <v>8</v>
      </c>
      <c r="V255" s="27" t="s">
        <v>7</v>
      </c>
      <c r="AU255" s="27" t="s">
        <v>8</v>
      </c>
      <c r="BE255" s="27" t="s">
        <v>8</v>
      </c>
      <c r="BF255" s="27" t="s">
        <v>7</v>
      </c>
      <c r="BK255" s="27" t="s">
        <v>8</v>
      </c>
      <c r="BL255" s="27" t="s">
        <v>7</v>
      </c>
      <c r="CS255" s="27" t="s">
        <v>8</v>
      </c>
      <c r="CT255" s="27" t="s">
        <v>7</v>
      </c>
      <c r="DE255" s="27" t="s">
        <v>8</v>
      </c>
      <c r="DF255" s="27" t="s">
        <v>7</v>
      </c>
      <c r="DG255" s="27" t="s">
        <v>8</v>
      </c>
      <c r="EN255" s="27" t="s">
        <v>7</v>
      </c>
      <c r="EO255" s="31" t="s">
        <v>8</v>
      </c>
      <c r="GP255" s="27" t="s">
        <v>7</v>
      </c>
    </row>
    <row r="256" spans="1:198" x14ac:dyDescent="0.25">
      <c r="A256" s="30">
        <v>0.45811152199139726</v>
      </c>
      <c r="E256"/>
      <c r="F256" s="27" t="s">
        <v>7</v>
      </c>
      <c r="I256" s="27" t="s">
        <v>8</v>
      </c>
      <c r="S256" s="27" t="s">
        <v>8</v>
      </c>
      <c r="T256" s="27" t="s">
        <v>7</v>
      </c>
      <c r="U256" s="27" t="s">
        <v>8</v>
      </c>
      <c r="V256" s="27" t="s">
        <v>7</v>
      </c>
      <c r="AU256" s="27" t="s">
        <v>8</v>
      </c>
      <c r="AV256" s="27" t="s">
        <v>7</v>
      </c>
      <c r="BE256" s="27" t="s">
        <v>8</v>
      </c>
      <c r="BF256" s="27" t="s">
        <v>7</v>
      </c>
      <c r="BG256" s="27" t="s">
        <v>8</v>
      </c>
      <c r="BK256" s="27" t="s">
        <v>8</v>
      </c>
      <c r="BL256" s="27" t="s">
        <v>7</v>
      </c>
      <c r="CS256" s="27" t="s">
        <v>8</v>
      </c>
      <c r="CT256" s="27" t="s">
        <v>7</v>
      </c>
      <c r="CY256" s="27" t="s">
        <v>8</v>
      </c>
      <c r="DE256" s="27" t="s">
        <v>8</v>
      </c>
      <c r="DF256" s="27" t="s">
        <v>7</v>
      </c>
      <c r="DG256" s="27" t="s">
        <v>8</v>
      </c>
      <c r="EN256" s="31" t="s">
        <v>7</v>
      </c>
      <c r="GP256" s="27" t="s">
        <v>7</v>
      </c>
    </row>
    <row r="257" spans="1:201" x14ac:dyDescent="0.25">
      <c r="A257" s="30">
        <v>0.43629668761085438</v>
      </c>
      <c r="B257"/>
      <c r="C257"/>
      <c r="D257"/>
      <c r="E257"/>
      <c r="F257" s="27" t="s">
        <v>7</v>
      </c>
      <c r="I257" s="27" t="s">
        <v>8</v>
      </c>
      <c r="J257" s="27" t="s">
        <v>7</v>
      </c>
      <c r="S257" s="27" t="s">
        <v>8</v>
      </c>
      <c r="T257" s="27" t="s">
        <v>7</v>
      </c>
      <c r="U257" s="27" t="s">
        <v>8</v>
      </c>
      <c r="V257" s="27" t="s">
        <v>7</v>
      </c>
      <c r="AU257" s="27" t="s">
        <v>8</v>
      </c>
      <c r="AV257" s="27" t="s">
        <v>7</v>
      </c>
      <c r="BC257" s="27" t="s">
        <v>8</v>
      </c>
      <c r="BE257" s="27" t="s">
        <v>8</v>
      </c>
      <c r="BF257" s="27" t="s">
        <v>7</v>
      </c>
      <c r="BG257" s="27" t="s">
        <v>8</v>
      </c>
      <c r="BH257" s="27" t="s">
        <v>7</v>
      </c>
      <c r="BI257" s="27" t="s">
        <v>8</v>
      </c>
      <c r="BK257" s="27" t="s">
        <v>8</v>
      </c>
      <c r="BL257" s="27" t="s">
        <v>7</v>
      </c>
      <c r="CS257" s="27" t="s">
        <v>8</v>
      </c>
      <c r="CT257" s="27" t="s">
        <v>7</v>
      </c>
      <c r="CU257" s="27" t="s">
        <v>8</v>
      </c>
      <c r="CW257" s="27" t="s">
        <v>8</v>
      </c>
      <c r="CY257" s="27" t="s">
        <v>8</v>
      </c>
      <c r="CZ257" s="27" t="s">
        <v>7</v>
      </c>
      <c r="DE257" s="27" t="s">
        <v>8</v>
      </c>
      <c r="DF257" s="27" t="s">
        <v>7</v>
      </c>
      <c r="GP257" s="27" t="s">
        <v>7</v>
      </c>
    </row>
    <row r="258" spans="1:201" x14ac:dyDescent="0.25">
      <c r="A258" s="30">
        <v>0.41552065486748019</v>
      </c>
      <c r="B258"/>
      <c r="C258"/>
      <c r="D258"/>
      <c r="E258"/>
      <c r="F258" s="27" t="s">
        <v>7</v>
      </c>
      <c r="I258" s="27" t="s">
        <v>8</v>
      </c>
      <c r="J258" s="27" t="s">
        <v>7</v>
      </c>
      <c r="S258" s="27" t="s">
        <v>8</v>
      </c>
      <c r="T258" s="27" t="s">
        <v>7</v>
      </c>
      <c r="V258" s="27" t="s">
        <v>7</v>
      </c>
      <c r="AU258" s="27" t="s">
        <v>8</v>
      </c>
      <c r="AV258" s="27" t="s">
        <v>7</v>
      </c>
      <c r="BC258" s="27" t="s">
        <v>8</v>
      </c>
      <c r="BD258" s="27" t="s">
        <v>7</v>
      </c>
      <c r="BE258" s="27" t="s">
        <v>8</v>
      </c>
      <c r="BF258" s="27" t="s">
        <v>7</v>
      </c>
      <c r="BG258" s="27" t="s">
        <v>8</v>
      </c>
      <c r="BH258" s="27" t="s">
        <v>7</v>
      </c>
      <c r="BI258" s="27" t="s">
        <v>8</v>
      </c>
      <c r="BJ258" s="27" t="s">
        <v>7</v>
      </c>
      <c r="BK258" s="27" t="s">
        <v>8</v>
      </c>
      <c r="BL258" s="27" t="s">
        <v>7</v>
      </c>
      <c r="CS258" s="27" t="s">
        <v>8</v>
      </c>
      <c r="CT258" s="27" t="s">
        <v>7</v>
      </c>
      <c r="CU258" s="27" t="s">
        <v>8</v>
      </c>
      <c r="CV258" s="27" t="s">
        <v>7</v>
      </c>
      <c r="CW258" s="27" t="s">
        <v>8</v>
      </c>
      <c r="CX258" s="27" t="s">
        <v>7</v>
      </c>
      <c r="CY258" s="27" t="s">
        <v>8</v>
      </c>
      <c r="CZ258" s="27" t="s">
        <v>7</v>
      </c>
      <c r="DC258" s="27" t="s">
        <v>8</v>
      </c>
      <c r="DE258" s="27" t="s">
        <v>8</v>
      </c>
      <c r="GP258" s="27" t="s">
        <v>7</v>
      </c>
    </row>
    <row r="259" spans="1:201" x14ac:dyDescent="0.25">
      <c r="A259" s="30">
        <v>0.39573395701664765</v>
      </c>
      <c r="B259"/>
      <c r="C259"/>
      <c r="D259"/>
      <c r="E259"/>
      <c r="F259" s="27" t="s">
        <v>7</v>
      </c>
      <c r="I259" s="27" t="s">
        <v>8</v>
      </c>
      <c r="J259" s="27" t="s">
        <v>7</v>
      </c>
      <c r="S259" s="27" t="s">
        <v>8</v>
      </c>
      <c r="V259" s="27" t="s">
        <v>7</v>
      </c>
      <c r="AU259" s="27" t="s">
        <v>8</v>
      </c>
      <c r="AV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H259" s="27" t="s">
        <v>7</v>
      </c>
      <c r="BI259" s="27" t="s">
        <v>8</v>
      </c>
      <c r="BJ259" s="27" t="s">
        <v>7</v>
      </c>
      <c r="BK259" s="27" t="s">
        <v>8</v>
      </c>
      <c r="BL259" s="27" t="s">
        <v>7</v>
      </c>
      <c r="CS259" s="27" t="s">
        <v>8</v>
      </c>
      <c r="CT259" s="27" t="s">
        <v>7</v>
      </c>
      <c r="CU259" s="27" t="s">
        <v>8</v>
      </c>
      <c r="CV259" s="27" t="s">
        <v>7</v>
      </c>
      <c r="CW259" s="27" t="s">
        <v>8</v>
      </c>
      <c r="CX259" s="27" t="s">
        <v>7</v>
      </c>
      <c r="CY259" s="27" t="s">
        <v>8</v>
      </c>
      <c r="CZ259" s="27" t="s">
        <v>7</v>
      </c>
      <c r="DC259" s="27" t="s">
        <v>8</v>
      </c>
      <c r="DD259" s="27" t="s">
        <v>7</v>
      </c>
      <c r="DE259" s="27" t="s">
        <v>8</v>
      </c>
      <c r="GP259" s="27" t="s">
        <v>7</v>
      </c>
    </row>
    <row r="260" spans="1:201" x14ac:dyDescent="0.25">
      <c r="A260" s="30">
        <v>0.37688948287299762</v>
      </c>
      <c r="B260"/>
      <c r="C260"/>
      <c r="D260"/>
      <c r="E260"/>
      <c r="F260" s="27" t="s">
        <v>7</v>
      </c>
      <c r="I260" s="27" t="s">
        <v>8</v>
      </c>
      <c r="J260" s="27" t="s">
        <v>7</v>
      </c>
      <c r="S260" s="27" t="s">
        <v>8</v>
      </c>
      <c r="V260" s="27" t="s">
        <v>7</v>
      </c>
      <c r="AU260" s="27" t="s">
        <v>8</v>
      </c>
      <c r="AV260" s="27" t="s">
        <v>7</v>
      </c>
      <c r="BC260" s="27" t="s">
        <v>8</v>
      </c>
      <c r="BD260" s="27" t="s">
        <v>7</v>
      </c>
      <c r="BE260" s="27" t="s">
        <v>8</v>
      </c>
      <c r="BH260" s="27" t="s">
        <v>7</v>
      </c>
      <c r="BJ260" s="27" t="s">
        <v>7</v>
      </c>
      <c r="BL260" s="27" t="s">
        <v>7</v>
      </c>
      <c r="CS260" s="27" t="s">
        <v>8</v>
      </c>
      <c r="CT260" s="27" t="s">
        <v>7</v>
      </c>
      <c r="CU260" s="27" t="s">
        <v>8</v>
      </c>
      <c r="CV260" s="27" t="s">
        <v>7</v>
      </c>
      <c r="CX260" s="27" t="s">
        <v>7</v>
      </c>
      <c r="CY260" s="27" t="s">
        <v>8</v>
      </c>
      <c r="CZ260" s="27" t="s">
        <v>7</v>
      </c>
      <c r="DC260" s="27" t="s">
        <v>8</v>
      </c>
      <c r="DD260" s="27" t="s">
        <v>7</v>
      </c>
      <c r="DE260" s="27" t="s">
        <v>8</v>
      </c>
      <c r="GP260" s="27" t="s">
        <v>7</v>
      </c>
    </row>
    <row r="261" spans="1:201" x14ac:dyDescent="0.25">
      <c r="A261" s="30">
        <v>0.35894236464094997</v>
      </c>
      <c r="B261"/>
      <c r="C261"/>
      <c r="D261"/>
      <c r="E261"/>
      <c r="F261" s="27" t="s">
        <v>7</v>
      </c>
      <c r="I261" s="27" t="s">
        <v>8</v>
      </c>
      <c r="J261" s="27" t="s">
        <v>7</v>
      </c>
      <c r="K261" s="27" t="s">
        <v>8</v>
      </c>
      <c r="M261" s="27" t="s">
        <v>8</v>
      </c>
      <c r="S261" s="27" t="s">
        <v>8</v>
      </c>
      <c r="V261" s="27" t="s">
        <v>7</v>
      </c>
      <c r="AU261" s="27" t="s">
        <v>8</v>
      </c>
      <c r="AV261" s="27" t="s">
        <v>7</v>
      </c>
      <c r="AW261" s="27" t="s">
        <v>8</v>
      </c>
      <c r="BC261" s="27" t="s">
        <v>8</v>
      </c>
      <c r="BD261" s="27" t="s">
        <v>7</v>
      </c>
      <c r="BE261" s="27" t="s">
        <v>8</v>
      </c>
      <c r="BL261" s="27" t="s">
        <v>7</v>
      </c>
      <c r="CS261" s="27" t="s">
        <v>8</v>
      </c>
      <c r="CT261" s="27" t="s">
        <v>7</v>
      </c>
      <c r="CX261" s="27" t="s">
        <v>7</v>
      </c>
      <c r="CY261" s="27" t="s">
        <v>8</v>
      </c>
      <c r="CZ261" s="27" t="s">
        <v>7</v>
      </c>
      <c r="DC261" s="27" t="s">
        <v>8</v>
      </c>
      <c r="DD261" s="27" t="s">
        <v>7</v>
      </c>
      <c r="DE261" s="27" t="s">
        <v>8</v>
      </c>
      <c r="GP261" s="27" t="s">
        <v>7</v>
      </c>
    </row>
    <row r="262" spans="1:201" x14ac:dyDescent="0.25">
      <c r="A262" s="30">
        <v>0.34184987108661891</v>
      </c>
      <c r="B262"/>
      <c r="C262"/>
      <c r="D262"/>
      <c r="E262"/>
      <c r="F262" s="27" t="s">
        <v>7</v>
      </c>
      <c r="I262" s="27" t="s">
        <v>8</v>
      </c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S262" s="27" t="s">
        <v>8</v>
      </c>
      <c r="V262" s="27" t="s">
        <v>7</v>
      </c>
      <c r="AU262" s="27" t="s">
        <v>8</v>
      </c>
      <c r="AV262" s="27" t="s">
        <v>7</v>
      </c>
      <c r="AW262" s="27" t="s">
        <v>8</v>
      </c>
      <c r="AX262" s="27" t="s">
        <v>7</v>
      </c>
      <c r="BA262" s="27" t="s">
        <v>8</v>
      </c>
      <c r="BC262" s="27" t="s">
        <v>8</v>
      </c>
      <c r="BD262" s="27" t="s">
        <v>7</v>
      </c>
      <c r="BE262" s="27" t="s">
        <v>8</v>
      </c>
      <c r="BL262" s="27" t="s">
        <v>7</v>
      </c>
      <c r="CS262" s="27" t="s">
        <v>8</v>
      </c>
      <c r="CX262" s="27" t="s">
        <v>7</v>
      </c>
      <c r="CY262" s="27" t="s">
        <v>8</v>
      </c>
      <c r="CZ262" s="27" t="s">
        <v>7</v>
      </c>
      <c r="DC262" s="27" t="s">
        <v>8</v>
      </c>
      <c r="DD262" s="27" t="s">
        <v>7</v>
      </c>
      <c r="DE262" s="27" t="s">
        <v>8</v>
      </c>
      <c r="GP262" s="27" t="s">
        <v>7</v>
      </c>
      <c r="GQ262" s="27" t="s">
        <v>8</v>
      </c>
      <c r="GS262" s="27" t="s">
        <v>8</v>
      </c>
    </row>
    <row r="263" spans="1:201" x14ac:dyDescent="0.25">
      <c r="A263" s="30">
        <v>0.32557130579677979</v>
      </c>
      <c r="B263"/>
      <c r="C263"/>
      <c r="D263"/>
      <c r="E263"/>
      <c r="F263" s="27" t="s">
        <v>7</v>
      </c>
      <c r="I263" s="27" t="s">
        <v>8</v>
      </c>
      <c r="J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S263" s="27" t="s">
        <v>8</v>
      </c>
      <c r="V263" s="27" t="s">
        <v>7</v>
      </c>
      <c r="AU263" s="27" t="s">
        <v>8</v>
      </c>
      <c r="AV263" s="27" t="s">
        <v>7</v>
      </c>
      <c r="AW263" s="27" t="s">
        <v>8</v>
      </c>
      <c r="AX263" s="27" t="s">
        <v>7</v>
      </c>
      <c r="BA263" s="27" t="s">
        <v>8</v>
      </c>
      <c r="BB263" s="27" t="s">
        <v>7</v>
      </c>
      <c r="BC263" s="27" t="s">
        <v>8</v>
      </c>
      <c r="BD263" s="27" t="s">
        <v>7</v>
      </c>
      <c r="BE263" s="27" t="s">
        <v>8</v>
      </c>
      <c r="BL263" s="27" t="s">
        <v>7</v>
      </c>
      <c r="CS263" s="27" t="s">
        <v>8</v>
      </c>
      <c r="CX263" s="27" t="s">
        <v>7</v>
      </c>
      <c r="CY263" s="27" t="s">
        <v>8</v>
      </c>
      <c r="CZ263" s="27" t="s">
        <v>7</v>
      </c>
      <c r="DA263" s="27" t="s">
        <v>8</v>
      </c>
      <c r="DC263" s="27" t="s">
        <v>8</v>
      </c>
      <c r="DD263" s="27" t="s">
        <v>7</v>
      </c>
      <c r="GP263" s="27" t="s">
        <v>7</v>
      </c>
      <c r="GQ263" s="27" t="s">
        <v>8</v>
      </c>
      <c r="GR263" s="27" t="s">
        <v>7</v>
      </c>
      <c r="GS263" s="27" t="s">
        <v>8</v>
      </c>
    </row>
    <row r="264" spans="1:201" x14ac:dyDescent="0.25">
      <c r="A264" s="30">
        <v>0.3100679102826473</v>
      </c>
      <c r="B264"/>
      <c r="C264"/>
      <c r="D264"/>
      <c r="E264"/>
      <c r="F264" s="27" t="s">
        <v>7</v>
      </c>
      <c r="I264" s="27" t="s">
        <v>8</v>
      </c>
      <c r="J264" s="27" t="s">
        <v>7</v>
      </c>
      <c r="K264" s="27" t="s">
        <v>8</v>
      </c>
      <c r="L264" s="27" t="s">
        <v>7</v>
      </c>
      <c r="M264" s="27" t="s">
        <v>8</v>
      </c>
      <c r="N264" s="27" t="s">
        <v>7</v>
      </c>
      <c r="O264" s="27" t="s">
        <v>8</v>
      </c>
      <c r="Q264" s="27" t="s">
        <v>8</v>
      </c>
      <c r="S264" s="27" t="s">
        <v>8</v>
      </c>
      <c r="V264" s="27" t="s">
        <v>7</v>
      </c>
      <c r="AU264" s="27" t="s">
        <v>8</v>
      </c>
      <c r="AV264" s="27" t="s">
        <v>7</v>
      </c>
      <c r="AW264" s="27" t="s">
        <v>8</v>
      </c>
      <c r="AX264" s="27" t="s">
        <v>7</v>
      </c>
      <c r="BA264" s="27" t="s">
        <v>8</v>
      </c>
      <c r="BB264" s="27" t="s">
        <v>7</v>
      </c>
      <c r="BC264" s="27" t="s">
        <v>8</v>
      </c>
      <c r="BD264" s="27" t="s">
        <v>7</v>
      </c>
      <c r="BE264" s="27" t="s">
        <v>8</v>
      </c>
      <c r="BL264" s="27" t="s">
        <v>7</v>
      </c>
      <c r="CS264" s="27" t="s">
        <v>8</v>
      </c>
      <c r="CX264" s="27" t="s">
        <v>7</v>
      </c>
      <c r="CZ264" s="27" t="s">
        <v>7</v>
      </c>
      <c r="DA264" s="27" t="s">
        <v>8</v>
      </c>
      <c r="DB264" s="27" t="s">
        <v>7</v>
      </c>
      <c r="DC264" s="27" t="s">
        <v>8</v>
      </c>
      <c r="GP264" s="27" t="s">
        <v>7</v>
      </c>
      <c r="GQ264" s="27" t="s">
        <v>8</v>
      </c>
      <c r="GR264" s="27" t="s">
        <v>7</v>
      </c>
      <c r="GS264" s="27" t="s">
        <v>8</v>
      </c>
    </row>
    <row r="265" spans="1:201" x14ac:dyDescent="0.25">
      <c r="A265" s="30">
        <v>0.2953027716977592</v>
      </c>
      <c r="B265"/>
      <c r="C265"/>
      <c r="D265"/>
      <c r="E265"/>
      <c r="F265" s="27" t="s">
        <v>7</v>
      </c>
      <c r="I265" s="27" t="s">
        <v>8</v>
      </c>
      <c r="J265" s="27" t="s">
        <v>7</v>
      </c>
      <c r="K265" s="27" t="s">
        <v>8</v>
      </c>
      <c r="L265" s="27" t="s">
        <v>7</v>
      </c>
      <c r="M265" s="27" t="s">
        <v>8</v>
      </c>
      <c r="N265" s="27" t="s">
        <v>7</v>
      </c>
      <c r="O265" s="27" t="s">
        <v>8</v>
      </c>
      <c r="P265" s="27" t="s">
        <v>7</v>
      </c>
      <c r="Q265" s="27" t="s">
        <v>8</v>
      </c>
      <c r="R265" s="27" t="s">
        <v>7</v>
      </c>
      <c r="S265" s="27" t="s">
        <v>8</v>
      </c>
      <c r="V265" s="27" t="s">
        <v>7</v>
      </c>
      <c r="AU265" s="27" t="s">
        <v>8</v>
      </c>
      <c r="AV265" s="27" t="s">
        <v>7</v>
      </c>
      <c r="AX265" s="27" t="s">
        <v>7</v>
      </c>
      <c r="AY265" s="27" t="s">
        <v>8</v>
      </c>
      <c r="BA265" s="27" t="s">
        <v>8</v>
      </c>
      <c r="BB265" s="27" t="s">
        <v>7</v>
      </c>
      <c r="BC265" s="27" t="s">
        <v>8</v>
      </c>
      <c r="BD265" s="27" t="s">
        <v>7</v>
      </c>
      <c r="BE265" s="27" t="s">
        <v>8</v>
      </c>
      <c r="BL265" s="27" t="s">
        <v>7</v>
      </c>
      <c r="CS265" s="27" t="s">
        <v>8</v>
      </c>
      <c r="CZ265" s="27" t="s">
        <v>7</v>
      </c>
      <c r="DA265" s="27" t="s">
        <v>8</v>
      </c>
      <c r="DB265" s="27" t="s">
        <v>7</v>
      </c>
      <c r="DC265" s="27" t="s">
        <v>8</v>
      </c>
      <c r="GP265" s="27" t="s">
        <v>7</v>
      </c>
      <c r="GR265" s="27" t="s">
        <v>7</v>
      </c>
      <c r="GS265" s="27" t="s">
        <v>8</v>
      </c>
    </row>
    <row r="266" spans="1:201" x14ac:dyDescent="0.25">
      <c r="A266" s="30">
        <v>0.28124073495024676</v>
      </c>
      <c r="B266"/>
      <c r="C266"/>
      <c r="D266"/>
      <c r="E266"/>
      <c r="F266" s="27" t="s">
        <v>7</v>
      </c>
      <c r="I266" s="27" t="s">
        <v>8</v>
      </c>
      <c r="J266" s="27" t="s">
        <v>7</v>
      </c>
      <c r="L266" s="27" t="s">
        <v>7</v>
      </c>
      <c r="M266" s="27" t="s">
        <v>8</v>
      </c>
      <c r="N266" s="27" t="s">
        <v>7</v>
      </c>
      <c r="O266" s="27" t="s">
        <v>8</v>
      </c>
      <c r="P266" s="27" t="s">
        <v>7</v>
      </c>
      <c r="Q266" s="27" t="s">
        <v>8</v>
      </c>
      <c r="R266" s="27" t="s">
        <v>7</v>
      </c>
      <c r="S266" s="27" t="s">
        <v>8</v>
      </c>
      <c r="V266" s="27" t="s">
        <v>7</v>
      </c>
      <c r="AE266" s="27" t="s">
        <v>8</v>
      </c>
      <c r="AG266" s="27" t="s">
        <v>8</v>
      </c>
      <c r="AS266" s="27" t="s">
        <v>8</v>
      </c>
      <c r="AU266" s="27" t="s">
        <v>8</v>
      </c>
      <c r="AX266" s="27" t="s">
        <v>7</v>
      </c>
      <c r="AY266" s="27" t="s">
        <v>8</v>
      </c>
      <c r="AZ266" s="27" t="s">
        <v>7</v>
      </c>
      <c r="BA266" s="27" t="s">
        <v>8</v>
      </c>
      <c r="BB266" s="27" t="s">
        <v>7</v>
      </c>
      <c r="BD266" s="27" t="s">
        <v>7</v>
      </c>
      <c r="BE266" s="27" t="s">
        <v>8</v>
      </c>
      <c r="BL266" s="27" t="s">
        <v>7</v>
      </c>
      <c r="CS266" s="27" t="s">
        <v>8</v>
      </c>
      <c r="CZ266" s="27" t="s">
        <v>7</v>
      </c>
      <c r="DA266" s="27" t="s">
        <v>8</v>
      </c>
      <c r="DB266" s="27" t="s">
        <v>7</v>
      </c>
      <c r="DC266" s="27" t="s">
        <v>8</v>
      </c>
      <c r="GR266" s="27" t="s">
        <v>7</v>
      </c>
    </row>
    <row r="267" spans="1:201" x14ac:dyDescent="0.25">
      <c r="A267" s="30">
        <v>0.26784831900023492</v>
      </c>
      <c r="B267"/>
      <c r="C267"/>
      <c r="D267"/>
      <c r="E267"/>
      <c r="F267" s="27" t="s">
        <v>7</v>
      </c>
      <c r="I267" s="27" t="s">
        <v>8</v>
      </c>
      <c r="L267" s="27" t="s">
        <v>7</v>
      </c>
      <c r="M267" s="27" t="s">
        <v>8</v>
      </c>
      <c r="N267" s="27" t="s">
        <v>7</v>
      </c>
      <c r="P267" s="27" t="s">
        <v>7</v>
      </c>
      <c r="Q267" s="27" t="s">
        <v>8</v>
      </c>
      <c r="R267" s="27" t="s">
        <v>7</v>
      </c>
      <c r="V267" s="27" t="s">
        <v>7</v>
      </c>
      <c r="W267" s="27" t="s">
        <v>8</v>
      </c>
      <c r="AE267" s="27" t="s">
        <v>8</v>
      </c>
      <c r="AF267" s="27" t="s">
        <v>7</v>
      </c>
      <c r="AG267" s="27" t="s">
        <v>8</v>
      </c>
      <c r="AH267" s="27" t="s">
        <v>7</v>
      </c>
      <c r="AI267" s="27" t="s">
        <v>8</v>
      </c>
      <c r="AS267" s="27" t="s">
        <v>8</v>
      </c>
      <c r="AT267" s="27" t="s">
        <v>7</v>
      </c>
      <c r="AU267" s="27" t="s">
        <v>8</v>
      </c>
      <c r="AX267" s="27" t="s">
        <v>7</v>
      </c>
      <c r="AY267" s="27" t="s">
        <v>8</v>
      </c>
      <c r="AZ267" s="27" t="s">
        <v>7</v>
      </c>
      <c r="BA267" s="27" t="s">
        <v>8</v>
      </c>
      <c r="BD267" s="27" t="s">
        <v>7</v>
      </c>
      <c r="BE267" s="27" t="s">
        <v>8</v>
      </c>
      <c r="BL267" s="27" t="s">
        <v>7</v>
      </c>
      <c r="BM267" s="27" t="s">
        <v>8</v>
      </c>
      <c r="BO267" s="27" t="s">
        <v>8</v>
      </c>
      <c r="CS267" s="27" t="s">
        <v>8</v>
      </c>
      <c r="CZ267" s="27" t="s">
        <v>7</v>
      </c>
      <c r="DA267" s="27" t="s">
        <v>8</v>
      </c>
      <c r="DB267" s="27" t="s">
        <v>7</v>
      </c>
      <c r="DC267" s="27" t="s">
        <v>8</v>
      </c>
    </row>
    <row r="268" spans="1:201" x14ac:dyDescent="0.25">
      <c r="A268" s="30">
        <v>0.25509363714308075</v>
      </c>
      <c r="B268"/>
      <c r="C268"/>
      <c r="D268"/>
      <c r="E268"/>
      <c r="F268" s="27" t="s">
        <v>7</v>
      </c>
      <c r="I268" s="27" t="s">
        <v>8</v>
      </c>
      <c r="L268" s="27" t="s">
        <v>7</v>
      </c>
      <c r="P268" s="27" t="s">
        <v>7</v>
      </c>
      <c r="Q268" s="27" t="s">
        <v>8</v>
      </c>
      <c r="V268" s="27" t="s">
        <v>7</v>
      </c>
      <c r="W268" s="27" t="s">
        <v>8</v>
      </c>
      <c r="X268" s="27" t="s">
        <v>7</v>
      </c>
      <c r="AA268" s="27" t="s">
        <v>8</v>
      </c>
      <c r="AE268" s="27" t="s">
        <v>8</v>
      </c>
      <c r="AF268" s="27" t="s">
        <v>7</v>
      </c>
      <c r="AG268" s="27" t="s">
        <v>8</v>
      </c>
      <c r="AH268" s="27" t="s">
        <v>7</v>
      </c>
      <c r="AI268" s="27" t="s">
        <v>8</v>
      </c>
      <c r="AJ268" s="27" t="s">
        <v>7</v>
      </c>
      <c r="AS268" s="27" t="s">
        <v>8</v>
      </c>
      <c r="AT268" s="27" t="s">
        <v>7</v>
      </c>
      <c r="AU268" s="27" t="s">
        <v>8</v>
      </c>
      <c r="AX268" s="27" t="s">
        <v>7</v>
      </c>
      <c r="AY268" s="27" t="s">
        <v>8</v>
      </c>
      <c r="AZ268" s="27" t="s">
        <v>7</v>
      </c>
      <c r="BD268" s="27" t="s">
        <v>7</v>
      </c>
      <c r="BL268" s="27" t="s">
        <v>7</v>
      </c>
      <c r="BM268" s="27" t="s">
        <v>8</v>
      </c>
      <c r="BN268" s="27" t="s">
        <v>7</v>
      </c>
      <c r="BO268" s="27" t="s">
        <v>8</v>
      </c>
      <c r="BP268" s="27" t="s">
        <v>7</v>
      </c>
      <c r="CS268" s="27" t="s">
        <v>8</v>
      </c>
      <c r="CZ268" s="27" t="s">
        <v>7</v>
      </c>
      <c r="DA268" s="27" t="s">
        <v>8</v>
      </c>
      <c r="DB268" s="27" t="s">
        <v>7</v>
      </c>
    </row>
    <row r="269" spans="1:201" x14ac:dyDescent="0.25">
      <c r="A269" s="30">
        <v>0.24294632108864825</v>
      </c>
      <c r="B269"/>
      <c r="C269"/>
      <c r="D269"/>
      <c r="E269"/>
      <c r="F269" s="27" t="s">
        <v>7</v>
      </c>
      <c r="I269" s="27" t="s">
        <v>8</v>
      </c>
      <c r="P269" s="27" t="s">
        <v>7</v>
      </c>
      <c r="Q269" s="27" t="s">
        <v>8</v>
      </c>
      <c r="V269" s="27" t="s">
        <v>7</v>
      </c>
      <c r="W269" s="27" t="s">
        <v>8</v>
      </c>
      <c r="X269" s="27" t="s">
        <v>7</v>
      </c>
      <c r="AA269" s="27" t="s">
        <v>8</v>
      </c>
      <c r="AB269" s="27" t="s">
        <v>7</v>
      </c>
      <c r="AE269" s="27" t="s">
        <v>8</v>
      </c>
      <c r="AF269" s="27" t="s">
        <v>7</v>
      </c>
      <c r="AG269" s="27" t="s">
        <v>8</v>
      </c>
      <c r="AH269" s="27" t="s">
        <v>7</v>
      </c>
      <c r="AI269" s="27" t="s">
        <v>8</v>
      </c>
      <c r="AJ269" s="27" t="s">
        <v>7</v>
      </c>
      <c r="AK269" s="27" t="s">
        <v>8</v>
      </c>
      <c r="AS269" s="27" t="s">
        <v>8</v>
      </c>
      <c r="AT269" s="27" t="s">
        <v>7</v>
      </c>
      <c r="AU269" s="27" t="s">
        <v>8</v>
      </c>
      <c r="AX269" s="27" t="s">
        <v>7</v>
      </c>
      <c r="BL269" s="27" t="s">
        <v>7</v>
      </c>
      <c r="BM269" s="27" t="s">
        <v>8</v>
      </c>
      <c r="BN269" s="27" t="s">
        <v>7</v>
      </c>
      <c r="BO269" s="27" t="s">
        <v>8</v>
      </c>
      <c r="BP269" s="27" t="s">
        <v>7</v>
      </c>
      <c r="BS269" s="27" t="s">
        <v>8</v>
      </c>
      <c r="CS269" s="27" t="s">
        <v>8</v>
      </c>
      <c r="CZ269" s="27" t="s">
        <v>7</v>
      </c>
      <c r="DA269" s="27" t="s">
        <v>8</v>
      </c>
    </row>
    <row r="270" spans="1:201" x14ac:dyDescent="0.25">
      <c r="A270" s="30">
        <v>0.23137744865585538</v>
      </c>
      <c r="B270"/>
      <c r="C270"/>
      <c r="D270"/>
      <c r="E270"/>
      <c r="F270" s="27" t="s">
        <v>7</v>
      </c>
      <c r="I270" s="27" t="s">
        <v>8</v>
      </c>
      <c r="P270" s="27" t="s">
        <v>7</v>
      </c>
      <c r="Q270" s="27" t="s">
        <v>8</v>
      </c>
      <c r="V270" s="27" t="s">
        <v>7</v>
      </c>
      <c r="W270" s="27" t="s">
        <v>8</v>
      </c>
      <c r="X270" s="27" t="s">
        <v>7</v>
      </c>
      <c r="Y270" s="27" t="s">
        <v>8</v>
      </c>
      <c r="AA270" s="27" t="s">
        <v>8</v>
      </c>
      <c r="AB270" s="27" t="s">
        <v>7</v>
      </c>
      <c r="AC270" s="27" t="s">
        <v>8</v>
      </c>
      <c r="AE270" s="27" t="s">
        <v>8</v>
      </c>
      <c r="AF270" s="27" t="s">
        <v>7</v>
      </c>
      <c r="AH270" s="27" t="s">
        <v>7</v>
      </c>
      <c r="AI270" s="27" t="s">
        <v>8</v>
      </c>
      <c r="AJ270" s="27" t="s">
        <v>7</v>
      </c>
      <c r="AK270" s="27" t="s">
        <v>8</v>
      </c>
      <c r="AL270" s="27" t="s">
        <v>7</v>
      </c>
      <c r="AS270" s="27" t="s">
        <v>8</v>
      </c>
      <c r="AT270" s="27" t="s">
        <v>7</v>
      </c>
      <c r="AU270" s="27" t="s">
        <v>8</v>
      </c>
      <c r="BL270" s="27" t="s">
        <v>7</v>
      </c>
      <c r="BM270" s="27" t="s">
        <v>8</v>
      </c>
      <c r="BN270" s="27" t="s">
        <v>7</v>
      </c>
      <c r="BO270" s="27" t="s">
        <v>8</v>
      </c>
      <c r="BP270" s="27" t="s">
        <v>7</v>
      </c>
      <c r="BQ270" s="27" t="s">
        <v>8</v>
      </c>
      <c r="BS270" s="27" t="s">
        <v>8</v>
      </c>
      <c r="BT270" s="27" t="s">
        <v>7</v>
      </c>
      <c r="CS270" s="27" t="s">
        <v>8</v>
      </c>
      <c r="CZ270" s="27" t="s">
        <v>7</v>
      </c>
    </row>
    <row r="271" spans="1:201" x14ac:dyDescent="0.25">
      <c r="A271" s="30">
        <v>0.22035947491033836</v>
      </c>
      <c r="B271"/>
      <c r="C271"/>
      <c r="D271"/>
      <c r="E271"/>
      <c r="F271" s="27" t="s">
        <v>7</v>
      </c>
      <c r="I271" s="27" t="s">
        <v>8</v>
      </c>
      <c r="P271" s="27" t="s">
        <v>7</v>
      </c>
      <c r="V271" s="27" t="s">
        <v>7</v>
      </c>
      <c r="W271" s="27" t="s">
        <v>8</v>
      </c>
      <c r="X271" s="27" t="s">
        <v>7</v>
      </c>
      <c r="Y271" s="27" t="s">
        <v>8</v>
      </c>
      <c r="Z271" s="27" t="s">
        <v>7</v>
      </c>
      <c r="AA271" s="27" t="s">
        <v>8</v>
      </c>
      <c r="AB271" s="27" t="s">
        <v>7</v>
      </c>
      <c r="AC271" s="27" t="s">
        <v>8</v>
      </c>
      <c r="AD271" s="27" t="s">
        <v>7</v>
      </c>
      <c r="AE271" s="27" t="s">
        <v>8</v>
      </c>
      <c r="AH271" s="27" t="s">
        <v>7</v>
      </c>
      <c r="AJ271" s="27" t="s">
        <v>7</v>
      </c>
      <c r="AK271" s="27" t="s">
        <v>8</v>
      </c>
      <c r="AL271" s="27" t="s">
        <v>7</v>
      </c>
      <c r="AS271" s="27" t="s">
        <v>8</v>
      </c>
      <c r="AT271" s="27" t="s">
        <v>7</v>
      </c>
      <c r="BL271" s="27" t="s">
        <v>7</v>
      </c>
      <c r="BN271" s="27" t="s">
        <v>7</v>
      </c>
      <c r="BP271" s="27" t="s">
        <v>7</v>
      </c>
      <c r="BQ271" s="27" t="s">
        <v>8</v>
      </c>
      <c r="BR271" s="27" t="s">
        <v>7</v>
      </c>
      <c r="BS271" s="27" t="s">
        <v>8</v>
      </c>
      <c r="BT271" s="27" t="s">
        <v>7</v>
      </c>
      <c r="CS271" s="27" t="s">
        <v>8</v>
      </c>
    </row>
    <row r="272" spans="1:201" x14ac:dyDescent="0.25">
      <c r="A272" s="30">
        <v>0.20986616658127455</v>
      </c>
      <c r="B272"/>
      <c r="C272"/>
      <c r="D272"/>
      <c r="E272"/>
      <c r="F272" s="27" t="s">
        <v>7</v>
      </c>
      <c r="I272" s="27" t="s">
        <v>8</v>
      </c>
      <c r="V272" s="27" t="s">
        <v>7</v>
      </c>
      <c r="W272" s="27" t="s">
        <v>8</v>
      </c>
      <c r="X272" s="27" t="s">
        <v>7</v>
      </c>
      <c r="Y272" s="27" t="s">
        <v>8</v>
      </c>
      <c r="Z272" s="27" t="s">
        <v>7</v>
      </c>
      <c r="AA272" s="27" t="s">
        <v>8</v>
      </c>
      <c r="AB272" s="27" t="s">
        <v>7</v>
      </c>
      <c r="AC272" s="27" t="s">
        <v>8</v>
      </c>
      <c r="AD272" s="27" t="s">
        <v>7</v>
      </c>
      <c r="AE272" s="27" t="s">
        <v>8</v>
      </c>
      <c r="AJ272" s="27" t="s">
        <v>7</v>
      </c>
      <c r="AL272" s="27" t="s">
        <v>7</v>
      </c>
      <c r="AS272" s="27" t="s">
        <v>8</v>
      </c>
      <c r="BP272" s="27" t="s">
        <v>7</v>
      </c>
      <c r="BQ272" s="27" t="s">
        <v>8</v>
      </c>
      <c r="BR272" s="27" t="s">
        <v>7</v>
      </c>
      <c r="BS272" s="27" t="s">
        <v>8</v>
      </c>
      <c r="BT272" s="27" t="s">
        <v>7</v>
      </c>
      <c r="CO272" s="27" t="s">
        <v>8</v>
      </c>
      <c r="CQ272" s="27" t="s">
        <v>8</v>
      </c>
      <c r="CS272" s="27" t="s">
        <v>8</v>
      </c>
    </row>
    <row r="273" spans="1:97" x14ac:dyDescent="0.25">
      <c r="A273" s="30">
        <v>0.19987253960121379</v>
      </c>
      <c r="B273"/>
      <c r="C273"/>
      <c r="D273"/>
      <c r="E273"/>
      <c r="F273" s="27" t="s">
        <v>7</v>
      </c>
      <c r="I273" s="27" t="s">
        <v>8</v>
      </c>
      <c r="V273" s="27" t="s">
        <v>7</v>
      </c>
      <c r="W273" s="27" t="s">
        <v>8</v>
      </c>
      <c r="X273" s="27" t="s">
        <v>7</v>
      </c>
      <c r="Y273" s="27" t="s">
        <v>8</v>
      </c>
      <c r="Z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AE273" s="27" t="s">
        <v>8</v>
      </c>
      <c r="AL273" s="27" t="s">
        <v>7</v>
      </c>
      <c r="AO273" s="27" t="s">
        <v>8</v>
      </c>
      <c r="AQ273" s="27" t="s">
        <v>8</v>
      </c>
      <c r="AS273" s="27" t="s">
        <v>8</v>
      </c>
      <c r="BP273" s="27" t="s">
        <v>7</v>
      </c>
      <c r="BQ273" s="27" t="s">
        <v>8</v>
      </c>
      <c r="BR273" s="27" t="s">
        <v>7</v>
      </c>
      <c r="BT273" s="27" t="s">
        <v>7</v>
      </c>
      <c r="BU273" s="27" t="s">
        <v>8</v>
      </c>
      <c r="CA273" s="27" t="s">
        <v>8</v>
      </c>
      <c r="CO273" s="27" t="s">
        <v>8</v>
      </c>
      <c r="CP273" s="27" t="s">
        <v>7</v>
      </c>
      <c r="CQ273" s="27" t="s">
        <v>8</v>
      </c>
      <c r="CR273" s="27" t="s">
        <v>7</v>
      </c>
      <c r="CS273" s="27" t="s">
        <v>8</v>
      </c>
    </row>
    <row r="274" spans="1:97" x14ac:dyDescent="0.25">
      <c r="A274" s="30">
        <v>0.19035479962020352</v>
      </c>
      <c r="B274"/>
      <c r="C274"/>
      <c r="D274"/>
      <c r="E274"/>
      <c r="F274" s="27" t="s">
        <v>7</v>
      </c>
      <c r="I274" s="27" t="s">
        <v>8</v>
      </c>
      <c r="V274" s="27" t="s">
        <v>7</v>
      </c>
      <c r="W274" s="27" t="s">
        <v>8</v>
      </c>
      <c r="X274" s="27" t="s">
        <v>7</v>
      </c>
      <c r="Y274" s="27" t="s">
        <v>8</v>
      </c>
      <c r="Z274" s="27" t="s">
        <v>7</v>
      </c>
      <c r="AB274" s="27" t="s">
        <v>7</v>
      </c>
      <c r="AC274" s="27" t="s">
        <v>8</v>
      </c>
      <c r="AD274" s="27" t="s">
        <v>7</v>
      </c>
      <c r="AL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AS274" s="27" t="s">
        <v>8</v>
      </c>
      <c r="BP274" s="27" t="s">
        <v>7</v>
      </c>
      <c r="BQ274" s="27" t="s">
        <v>8</v>
      </c>
      <c r="BT274" s="27" t="s">
        <v>7</v>
      </c>
      <c r="BU274" s="27" t="s">
        <v>8</v>
      </c>
      <c r="BV274" s="27" t="s">
        <v>7</v>
      </c>
      <c r="BW274" s="27" t="s">
        <v>8</v>
      </c>
      <c r="CA274" s="27" t="s">
        <v>8</v>
      </c>
      <c r="CB274" s="27" t="s">
        <v>7</v>
      </c>
      <c r="CE274" s="27" t="s">
        <v>8</v>
      </c>
      <c r="CO274" s="27" t="s">
        <v>8</v>
      </c>
      <c r="CP274" s="27" t="s">
        <v>7</v>
      </c>
      <c r="CQ274" s="27" t="s">
        <v>8</v>
      </c>
      <c r="CR274" s="27" t="s">
        <v>7</v>
      </c>
      <c r="CS274" s="27" t="s">
        <v>8</v>
      </c>
    </row>
    <row r="275" spans="1:97" x14ac:dyDescent="0.25">
      <c r="A275" s="30">
        <v>0.18129028535257471</v>
      </c>
      <c r="B275"/>
      <c r="C275"/>
      <c r="D275"/>
      <c r="E275"/>
      <c r="F275" s="27" t="s">
        <v>7</v>
      </c>
      <c r="I275" s="27" t="s">
        <v>8</v>
      </c>
      <c r="V275" s="27" t="s">
        <v>7</v>
      </c>
      <c r="W275" s="27" t="s">
        <v>8</v>
      </c>
      <c r="X275" s="27" t="s">
        <v>7</v>
      </c>
      <c r="Y275" s="27" t="s">
        <v>8</v>
      </c>
      <c r="AB275" s="27" t="s">
        <v>7</v>
      </c>
      <c r="AC275" s="27" t="s">
        <v>8</v>
      </c>
      <c r="AL275" s="27" t="s">
        <v>7</v>
      </c>
      <c r="AM275" s="27" t="s">
        <v>8</v>
      </c>
      <c r="AO275" s="27" t="s">
        <v>8</v>
      </c>
      <c r="AP275" s="27" t="s">
        <v>7</v>
      </c>
      <c r="AQ275" s="27" t="s">
        <v>8</v>
      </c>
      <c r="AR275" s="27" t="s">
        <v>7</v>
      </c>
      <c r="AS275" s="27" t="s">
        <v>8</v>
      </c>
      <c r="BP275" s="27" t="s">
        <v>7</v>
      </c>
      <c r="BT275" s="27" t="s">
        <v>7</v>
      </c>
      <c r="BU275" s="27" t="s">
        <v>8</v>
      </c>
      <c r="BV275" s="27" t="s">
        <v>7</v>
      </c>
      <c r="BW275" s="27" t="s">
        <v>8</v>
      </c>
      <c r="BX275" s="27" t="s">
        <v>7</v>
      </c>
      <c r="CA275" s="27" t="s">
        <v>8</v>
      </c>
      <c r="CB275" s="27" t="s">
        <v>7</v>
      </c>
      <c r="CC275" s="27" t="s">
        <v>8</v>
      </c>
      <c r="CE275" s="27" t="s">
        <v>8</v>
      </c>
      <c r="CF275" s="27" t="s">
        <v>7</v>
      </c>
      <c r="CK275" s="27" t="s">
        <v>8</v>
      </c>
      <c r="CM275" s="27" t="s">
        <v>8</v>
      </c>
      <c r="CO275" s="27" t="s">
        <v>8</v>
      </c>
      <c r="CP275" s="27" t="s">
        <v>7</v>
      </c>
      <c r="CQ275" s="27" t="s">
        <v>8</v>
      </c>
      <c r="CR275" s="27" t="s">
        <v>7</v>
      </c>
      <c r="CS275" s="27" t="s">
        <v>8</v>
      </c>
    </row>
    <row r="276" spans="1:97" x14ac:dyDescent="0.25">
      <c r="A276" s="30">
        <v>0.17265741462149967</v>
      </c>
      <c r="B276"/>
      <c r="C276"/>
      <c r="D276"/>
      <c r="E276"/>
      <c r="F276" s="27" t="s">
        <v>7</v>
      </c>
      <c r="I276" s="27" t="s">
        <v>8</v>
      </c>
      <c r="V276" s="27" t="s">
        <v>7</v>
      </c>
      <c r="W276" s="27" t="s">
        <v>8</v>
      </c>
      <c r="X276" s="27" t="s">
        <v>7</v>
      </c>
      <c r="Y276" s="27" t="s">
        <v>8</v>
      </c>
      <c r="AB276" s="27" t="s">
        <v>7</v>
      </c>
      <c r="AL276" s="27" t="s">
        <v>7</v>
      </c>
      <c r="AM276" s="27" t="s">
        <v>8</v>
      </c>
      <c r="AN276" s="27" t="s">
        <v>7</v>
      </c>
      <c r="AO276" s="27" t="s">
        <v>8</v>
      </c>
      <c r="AP276" s="27" t="s">
        <v>7</v>
      </c>
      <c r="AR276" s="27" t="s">
        <v>7</v>
      </c>
      <c r="BT276" s="27" t="s">
        <v>7</v>
      </c>
      <c r="BU276" s="27" t="s">
        <v>8</v>
      </c>
      <c r="BV276" s="27" t="s">
        <v>7</v>
      </c>
      <c r="BW276" s="27" t="s">
        <v>8</v>
      </c>
      <c r="BX276" s="27" t="s">
        <v>7</v>
      </c>
      <c r="CA276" s="27" t="s">
        <v>8</v>
      </c>
      <c r="CB276" s="27" t="s">
        <v>7</v>
      </c>
      <c r="CC276" s="27" t="s">
        <v>8</v>
      </c>
      <c r="CD276" s="27" t="s">
        <v>7</v>
      </c>
      <c r="CE276" s="27" t="s">
        <v>8</v>
      </c>
      <c r="CF276" s="27" t="s">
        <v>7</v>
      </c>
      <c r="CK276" s="27" t="s">
        <v>8</v>
      </c>
      <c r="CL276" s="27" t="s">
        <v>7</v>
      </c>
      <c r="CM276" s="27" t="s">
        <v>8</v>
      </c>
      <c r="CN276" s="27" t="s">
        <v>7</v>
      </c>
      <c r="CO276" s="27" t="s">
        <v>8</v>
      </c>
      <c r="CP276" s="27" t="s">
        <v>7</v>
      </c>
      <c r="CQ276" s="27" t="s">
        <v>8</v>
      </c>
      <c r="CR276" s="27" t="s">
        <v>7</v>
      </c>
    </row>
    <row r="277" spans="1:97" x14ac:dyDescent="0.25">
      <c r="A277" s="30">
        <v>0.16443563297285677</v>
      </c>
      <c r="B277"/>
      <c r="C277"/>
      <c r="D277"/>
      <c r="E277"/>
      <c r="F277" s="27" t="s">
        <v>7</v>
      </c>
      <c r="I277" s="27" t="s">
        <v>8</v>
      </c>
      <c r="V277" s="27" t="s">
        <v>7</v>
      </c>
      <c r="W277" s="27" t="s">
        <v>8</v>
      </c>
      <c r="X277" s="27" t="s">
        <v>7</v>
      </c>
      <c r="Y277" s="27" t="s">
        <v>8</v>
      </c>
      <c r="AL277" s="27" t="s">
        <v>7</v>
      </c>
      <c r="AM277" s="27" t="s">
        <v>8</v>
      </c>
      <c r="AN277" s="27" t="s">
        <v>7</v>
      </c>
      <c r="AO277" s="27" t="s">
        <v>8</v>
      </c>
      <c r="BT277" s="27" t="s">
        <v>7</v>
      </c>
      <c r="BV277" s="27" t="s">
        <v>7</v>
      </c>
      <c r="BW277" s="27" t="s">
        <v>8</v>
      </c>
      <c r="BX277" s="27" t="s">
        <v>7</v>
      </c>
      <c r="CA277" s="27" t="s">
        <v>8</v>
      </c>
      <c r="CB277" s="27" t="s">
        <v>7</v>
      </c>
      <c r="CC277" s="27" t="s">
        <v>8</v>
      </c>
      <c r="CD277" s="27" t="s">
        <v>7</v>
      </c>
      <c r="CE277" s="27" t="s">
        <v>8</v>
      </c>
      <c r="CF277" s="27" t="s">
        <v>7</v>
      </c>
      <c r="CG277" s="27" t="s">
        <v>8</v>
      </c>
      <c r="CI277" s="27" t="s">
        <v>8</v>
      </c>
      <c r="CK277" s="27" t="s">
        <v>8</v>
      </c>
      <c r="CL277" s="27" t="s">
        <v>7</v>
      </c>
      <c r="CM277" s="27" t="s">
        <v>8</v>
      </c>
      <c r="CN277" s="27" t="s">
        <v>7</v>
      </c>
      <c r="CO277" s="27" t="s">
        <v>8</v>
      </c>
      <c r="CP277" s="27" t="s">
        <v>7</v>
      </c>
      <c r="CQ277" s="27" t="s">
        <v>8</v>
      </c>
    </row>
    <row r="278" spans="1:97" x14ac:dyDescent="0.25">
      <c r="A278" s="30">
        <v>0.15660536473605399</v>
      </c>
      <c r="B278"/>
      <c r="C278"/>
      <c r="D278"/>
      <c r="E278"/>
      <c r="F278" s="27" t="s">
        <v>7</v>
      </c>
      <c r="I278" s="27" t="s">
        <v>8</v>
      </c>
      <c r="V278" s="27" t="s">
        <v>7</v>
      </c>
      <c r="W278" s="27" t="s">
        <v>8</v>
      </c>
      <c r="X278" s="27" t="s">
        <v>7</v>
      </c>
      <c r="Y278" s="27" t="s">
        <v>8</v>
      </c>
      <c r="AL278" s="27" t="s">
        <v>7</v>
      </c>
      <c r="AM278" s="27" t="s">
        <v>8</v>
      </c>
      <c r="AN278" s="27" t="s">
        <v>7</v>
      </c>
      <c r="BV278" s="27" t="s">
        <v>7</v>
      </c>
      <c r="BX278" s="27" t="s">
        <v>7</v>
      </c>
      <c r="CA278" s="27" t="s">
        <v>8</v>
      </c>
      <c r="CB278" s="27" t="s">
        <v>7</v>
      </c>
      <c r="CD278" s="27" t="s">
        <v>7</v>
      </c>
      <c r="CE278" s="27" t="s">
        <v>8</v>
      </c>
      <c r="CF278" s="27" t="s">
        <v>7</v>
      </c>
      <c r="CG278" s="27" t="s">
        <v>8</v>
      </c>
      <c r="CH278" s="27" t="s">
        <v>7</v>
      </c>
      <c r="CI278" s="27" t="s">
        <v>8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P278" s="27" t="s">
        <v>7</v>
      </c>
    </row>
    <row r="279" spans="1:97" x14ac:dyDescent="0.25">
      <c r="A279" s="30">
        <v>0.14914796641528946</v>
      </c>
      <c r="B279"/>
      <c r="C279"/>
      <c r="D279"/>
      <c r="E279"/>
      <c r="F279" s="27" t="s">
        <v>7</v>
      </c>
      <c r="I279" s="27" t="s">
        <v>8</v>
      </c>
      <c r="V279" s="27" t="s">
        <v>7</v>
      </c>
      <c r="W279" s="27" t="s">
        <v>8</v>
      </c>
      <c r="X279" s="27" t="s">
        <v>7</v>
      </c>
      <c r="Y279" s="27" t="s">
        <v>8</v>
      </c>
      <c r="AL279" s="27" t="s">
        <v>7</v>
      </c>
      <c r="AM279" s="27" t="s">
        <v>8</v>
      </c>
      <c r="BX279" s="27" t="s">
        <v>7</v>
      </c>
      <c r="CA279" s="27" t="s">
        <v>8</v>
      </c>
      <c r="CD279" s="27" t="s">
        <v>7</v>
      </c>
      <c r="CE279" s="27" t="s">
        <v>8</v>
      </c>
      <c r="CF279" s="27" t="s">
        <v>7</v>
      </c>
      <c r="CG279" s="27" t="s">
        <v>8</v>
      </c>
      <c r="CH279" s="27" t="s">
        <v>7</v>
      </c>
      <c r="CI279" s="27" t="s">
        <v>8</v>
      </c>
      <c r="CJ279" s="27" t="s">
        <v>7</v>
      </c>
      <c r="CK279" s="27" t="s">
        <v>8</v>
      </c>
      <c r="CL279" s="27" t="s">
        <v>7</v>
      </c>
      <c r="CM279" s="27" t="s">
        <v>8</v>
      </c>
    </row>
    <row r="280" spans="1:97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I280" s="27" t="s">
        <v>8</v>
      </c>
      <c r="V280" s="27" t="s">
        <v>7</v>
      </c>
      <c r="W280" s="27" t="s">
        <v>8</v>
      </c>
      <c r="X280" s="27" t="s">
        <v>7</v>
      </c>
      <c r="AL280" s="27" t="s">
        <v>7</v>
      </c>
      <c r="BX280" s="27" t="s">
        <v>7</v>
      </c>
      <c r="BY280" s="27" t="s">
        <v>8</v>
      </c>
      <c r="CA280" s="27" t="s">
        <v>8</v>
      </c>
      <c r="CD280" s="27" t="s">
        <v>7</v>
      </c>
      <c r="CE280" s="27" t="s">
        <v>8</v>
      </c>
      <c r="CF280" s="27" t="s">
        <v>7</v>
      </c>
      <c r="CH280" s="27" t="s">
        <v>7</v>
      </c>
      <c r="CI280" s="27" t="s">
        <v>8</v>
      </c>
      <c r="CJ280" s="27" t="s">
        <v>7</v>
      </c>
      <c r="CK280" s="27" t="s">
        <v>8</v>
      </c>
      <c r="CL280" s="27" t="s">
        <v>7</v>
      </c>
      <c r="CM280" s="27" t="s">
        <v>8</v>
      </c>
    </row>
    <row r="281" spans="1:97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I281" s="27" t="s">
        <v>8</v>
      </c>
      <c r="V281" s="27" t="s">
        <v>7</v>
      </c>
      <c r="W281" s="27" t="s">
        <v>8</v>
      </c>
      <c r="BX281" s="27" t="s">
        <v>7</v>
      </c>
      <c r="BY281" s="27" t="s">
        <v>8</v>
      </c>
      <c r="BZ281" s="27" t="s">
        <v>7</v>
      </c>
      <c r="CA281" s="27" t="s">
        <v>8</v>
      </c>
      <c r="CD281" s="27" t="s">
        <v>7</v>
      </c>
      <c r="CH281" s="27" t="s">
        <v>7</v>
      </c>
      <c r="CI281" s="27" t="s">
        <v>8</v>
      </c>
      <c r="CJ281" s="27" t="s">
        <v>7</v>
      </c>
      <c r="CK281" s="27" t="s">
        <v>8</v>
      </c>
      <c r="CL281" s="27" t="s">
        <v>7</v>
      </c>
    </row>
    <row r="282" spans="1:97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I282" s="27" t="s">
        <v>8</v>
      </c>
      <c r="V282" s="27" t="s">
        <v>7</v>
      </c>
      <c r="W282" s="27" t="s">
        <v>8</v>
      </c>
      <c r="BX282" s="27" t="s">
        <v>7</v>
      </c>
      <c r="BY282" s="27" t="s">
        <v>8</v>
      </c>
      <c r="BZ282" s="27" t="s">
        <v>7</v>
      </c>
      <c r="CA282" s="27" t="s">
        <v>8</v>
      </c>
      <c r="CH282" s="27" t="s">
        <v>7</v>
      </c>
      <c r="CJ282" s="27" t="s">
        <v>7</v>
      </c>
      <c r="CK282" s="27" t="s">
        <v>8</v>
      </c>
    </row>
    <row r="283" spans="1:97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I283" s="27" t="s">
        <v>8</v>
      </c>
      <c r="V283" s="27" t="s">
        <v>7</v>
      </c>
      <c r="BX283" s="27" t="s">
        <v>7</v>
      </c>
      <c r="BY283" s="27" t="s">
        <v>8</v>
      </c>
      <c r="BZ283" s="27" t="s">
        <v>7</v>
      </c>
      <c r="CJ283" s="27" t="s">
        <v>7</v>
      </c>
      <c r="CK283" s="27" t="s">
        <v>8</v>
      </c>
    </row>
    <row r="284" spans="1:97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I284" s="27" t="s">
        <v>8</v>
      </c>
      <c r="BX284" s="27" t="s">
        <v>7</v>
      </c>
      <c r="BY284" s="27" t="s">
        <v>8</v>
      </c>
      <c r="CJ284" s="27" t="s">
        <v>7</v>
      </c>
      <c r="CK284" s="27" t="s">
        <v>8</v>
      </c>
    </row>
    <row r="285" spans="1:97" x14ac:dyDescent="0.25">
      <c r="A285" s="30">
        <v>0.11129650891613138</v>
      </c>
      <c r="B285"/>
      <c r="C285"/>
      <c r="D285"/>
      <c r="E285"/>
      <c r="F285" s="27" t="s">
        <v>7</v>
      </c>
      <c r="H285" s="27" t="s">
        <v>7</v>
      </c>
      <c r="I285" s="27" t="s">
        <v>8</v>
      </c>
      <c r="BX285" s="27" t="s">
        <v>7</v>
      </c>
      <c r="CJ285" s="27" t="s">
        <v>7</v>
      </c>
    </row>
    <row r="286" spans="1:97" x14ac:dyDescent="0.25">
      <c r="A286" s="30">
        <v>0.10599667515822032</v>
      </c>
      <c r="B286"/>
      <c r="C286"/>
      <c r="D286"/>
      <c r="E286"/>
      <c r="H286" s="27" t="s">
        <v>7</v>
      </c>
    </row>
    <row r="287" spans="1:97" x14ac:dyDescent="0.25">
      <c r="A287" s="30">
        <v>0.10094921443640027</v>
      </c>
      <c r="B287"/>
      <c r="C287"/>
      <c r="D287"/>
      <c r="E287"/>
    </row>
    <row r="288" spans="1:97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0" operator="equal">
      <formula>$U$1</formula>
    </cfRule>
    <cfRule type="cellIs" dxfId="67" priority="1171" operator="equal">
      <formula>$S$1</formula>
    </cfRule>
  </conditionalFormatting>
  <conditionalFormatting sqref="D136">
    <cfRule type="cellIs" dxfId="66" priority="1168" operator="equal">
      <formula>$S$1</formula>
    </cfRule>
    <cfRule type="cellIs" dxfId="65" priority="1169" operator="equal">
      <formula>$U$1</formula>
    </cfRule>
  </conditionalFormatting>
  <conditionalFormatting sqref="C162">
    <cfRule type="cellIs" dxfId="64" priority="1166" operator="equal">
      <formula>$U$1</formula>
    </cfRule>
    <cfRule type="cellIs" dxfId="63" priority="1167" operator="equal">
      <formula>$S$1</formula>
    </cfRule>
  </conditionalFormatting>
  <conditionalFormatting sqref="D162">
    <cfRule type="cellIs" dxfId="62" priority="1164" operator="equal">
      <formula>$S$1</formula>
    </cfRule>
    <cfRule type="cellIs" dxfId="61" priority="1165" operator="equal">
      <formula>$U$1</formula>
    </cfRule>
  </conditionalFormatting>
  <conditionalFormatting sqref="C187">
    <cfRule type="cellIs" dxfId="60" priority="1162" operator="equal">
      <formula>$U$1</formula>
    </cfRule>
    <cfRule type="cellIs" dxfId="59" priority="1163" operator="equal">
      <formula>$S$1</formula>
    </cfRule>
  </conditionalFormatting>
  <conditionalFormatting sqref="D187">
    <cfRule type="cellIs" dxfId="58" priority="1160" operator="equal">
      <formula>$S$1</formula>
    </cfRule>
    <cfRule type="cellIs" dxfId="57" priority="1161" operator="equal">
      <formula>$U$1</formula>
    </cfRule>
  </conditionalFormatting>
  <conditionalFormatting sqref="C212">
    <cfRule type="cellIs" dxfId="56" priority="1158" operator="equal">
      <formula>$U$1</formula>
    </cfRule>
    <cfRule type="cellIs" dxfId="55" priority="1159" operator="equal">
      <formula>$S$1</formula>
    </cfRule>
  </conditionalFormatting>
  <conditionalFormatting sqref="D212">
    <cfRule type="cellIs" dxfId="54" priority="1156" operator="equal">
      <formula>$S$1</formula>
    </cfRule>
    <cfRule type="cellIs" dxfId="53" priority="1157" operator="equal">
      <formula>$U$1</formula>
    </cfRule>
  </conditionalFormatting>
  <conditionalFormatting sqref="C237">
    <cfRule type="cellIs" dxfId="52" priority="1154" operator="equal">
      <formula>$U$1</formula>
    </cfRule>
    <cfRule type="cellIs" dxfId="51" priority="1155" operator="equal">
      <formula>$S$1</formula>
    </cfRule>
  </conditionalFormatting>
  <conditionalFormatting sqref="D237">
    <cfRule type="cellIs" dxfId="50" priority="1152" operator="equal">
      <formula>$S$1</formula>
    </cfRule>
    <cfRule type="cellIs" dxfId="49" priority="1153" operator="equal">
      <formula>$U$1</formula>
    </cfRule>
  </conditionalFormatting>
  <conditionalFormatting sqref="C106">
    <cfRule type="cellIs" dxfId="48" priority="1150" operator="equal">
      <formula>$U$1</formula>
    </cfRule>
    <cfRule type="cellIs" dxfId="47" priority="1151" operator="equal">
      <formula>$S$1</formula>
    </cfRule>
  </conditionalFormatting>
  <conditionalFormatting sqref="D106">
    <cfRule type="cellIs" dxfId="46" priority="1148" operator="equal">
      <formula>$S$1</formula>
    </cfRule>
    <cfRule type="cellIs" dxfId="45" priority="1149" operator="equal">
      <formula>$U$1</formula>
    </cfRule>
  </conditionalFormatting>
  <conditionalFormatting sqref="C81">
    <cfRule type="cellIs" dxfId="44" priority="1146" operator="equal">
      <formula>$U$1</formula>
    </cfRule>
    <cfRule type="cellIs" dxfId="43" priority="1147" operator="equal">
      <formula>$S$1</formula>
    </cfRule>
  </conditionalFormatting>
  <conditionalFormatting sqref="D81">
    <cfRule type="cellIs" dxfId="42" priority="1144" operator="equal">
      <formula>$S$1</formula>
    </cfRule>
    <cfRule type="cellIs" dxfId="41" priority="1145" operator="equal">
      <formula>$U$1</formula>
    </cfRule>
  </conditionalFormatting>
  <conditionalFormatting sqref="C56">
    <cfRule type="cellIs" dxfId="40" priority="1142" operator="equal">
      <formula>$U$1</formula>
    </cfRule>
    <cfRule type="cellIs" dxfId="39" priority="1143" operator="equal">
      <formula>$S$1</formula>
    </cfRule>
  </conditionalFormatting>
  <conditionalFormatting sqref="D56">
    <cfRule type="cellIs" dxfId="38" priority="1140" operator="equal">
      <formula>$S$1</formula>
    </cfRule>
    <cfRule type="cellIs" dxfId="37" priority="1141" operator="equal">
      <formula>$U$1</formula>
    </cfRule>
  </conditionalFormatting>
  <conditionalFormatting sqref="C31">
    <cfRule type="cellIs" dxfId="36" priority="1138" operator="equal">
      <formula>$U$1</formula>
    </cfRule>
    <cfRule type="cellIs" dxfId="35" priority="1139" operator="equal">
      <formula>$S$1</formula>
    </cfRule>
  </conditionalFormatting>
  <conditionalFormatting sqref="D31">
    <cfRule type="cellIs" dxfId="34" priority="1136" operator="equal">
      <formula>$S$1</formula>
    </cfRule>
    <cfRule type="cellIs" dxfId="33" priority="113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9" zoomScale="90" zoomScaleNormal="90" workbookViewId="0">
      <pane xSplit="4" topLeftCell="AD1" activePane="topRight" state="frozen"/>
      <selection activeCell="A109" sqref="A109"/>
      <selection pane="topRight" activeCell="BP134" sqref="BP13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8" x14ac:dyDescent="0.25">
      <c r="A97" s="30">
        <v>9.849732675807628</v>
      </c>
      <c r="E97"/>
    </row>
    <row r="98" spans="1:48" x14ac:dyDescent="0.25">
      <c r="A98" s="30">
        <v>8.9543024325523888</v>
      </c>
      <c r="C98" s="1" t="s">
        <v>13</v>
      </c>
      <c r="E98"/>
    </row>
    <row r="99" spans="1:48" x14ac:dyDescent="0.25">
      <c r="A99" s="30">
        <v>8.140274938683989</v>
      </c>
      <c r="C99" s="1">
        <f>C88</f>
        <v>0</v>
      </c>
      <c r="E99"/>
    </row>
    <row r="100" spans="1:48" x14ac:dyDescent="0.25">
      <c r="A100" s="30">
        <v>7.4002499442581717</v>
      </c>
      <c r="C100"/>
      <c r="D100"/>
      <c r="E100"/>
    </row>
    <row r="101" spans="1:48" x14ac:dyDescent="0.25">
      <c r="A101" s="30">
        <v>6.72749994932561</v>
      </c>
      <c r="C101" s="1" t="s">
        <v>14</v>
      </c>
      <c r="E101"/>
    </row>
    <row r="102" spans="1:4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8" x14ac:dyDescent="0.25">
      <c r="A103" s="30">
        <v>5.5599173134922388</v>
      </c>
      <c r="E103"/>
    </row>
    <row r="104" spans="1:48" x14ac:dyDescent="0.25">
      <c r="A104" s="30">
        <v>5.0544702849929442</v>
      </c>
      <c r="E104"/>
    </row>
    <row r="105" spans="1:48" x14ac:dyDescent="0.25">
      <c r="A105" s="30">
        <v>4.594972986357222</v>
      </c>
      <c r="E105"/>
    </row>
    <row r="106" spans="1:48" x14ac:dyDescent="0.25">
      <c r="A106" s="30">
        <v>4.1772481694156562</v>
      </c>
      <c r="E106"/>
    </row>
    <row r="107" spans="1:48" x14ac:dyDescent="0.25">
      <c r="A107" s="30">
        <v>3.7974983358324148</v>
      </c>
      <c r="E107"/>
    </row>
    <row r="108" spans="1:48" x14ac:dyDescent="0.25">
      <c r="A108" s="30">
        <v>3.4522712143931042</v>
      </c>
      <c r="E108"/>
    </row>
    <row r="109" spans="1:48" x14ac:dyDescent="0.25">
      <c r="A109" s="30">
        <v>3.1384283767210035</v>
      </c>
      <c r="E109"/>
      <c r="AQ109" s="32" t="s">
        <v>8</v>
      </c>
      <c r="AS109" s="32" t="s">
        <v>8</v>
      </c>
    </row>
    <row r="110" spans="1:48" x14ac:dyDescent="0.25">
      <c r="A110" s="30">
        <v>2.8531167061100029</v>
      </c>
      <c r="E110"/>
      <c r="AQ110" s="27" t="s">
        <v>8</v>
      </c>
      <c r="AR110" s="27" t="s">
        <v>7</v>
      </c>
      <c r="AS110" s="27" t="s">
        <v>8</v>
      </c>
      <c r="AT110" s="31" t="s">
        <v>7</v>
      </c>
    </row>
    <row r="111" spans="1:48" x14ac:dyDescent="0.25">
      <c r="A111" s="30">
        <v>2.5937424601000023</v>
      </c>
      <c r="C111" s="1" t="str">
        <f>ADDRESS(C121-1,1,1,1)</f>
        <v>$A$133</v>
      </c>
      <c r="D111" s="1" t="str">
        <f>ADDRESS(C121-1,D121,1,1)</f>
        <v>$BP$133</v>
      </c>
      <c r="E111"/>
      <c r="AQ111" s="27" t="s">
        <v>8</v>
      </c>
      <c r="AR111" s="27" t="s">
        <v>7</v>
      </c>
      <c r="AS111" s="27" t="s">
        <v>8</v>
      </c>
      <c r="AT111" s="27" t="s">
        <v>7</v>
      </c>
      <c r="AU111" s="31"/>
    </row>
    <row r="112" spans="1:48" x14ac:dyDescent="0.25">
      <c r="A112" s="30">
        <v>2.3579476910000019</v>
      </c>
      <c r="C112" s="1" t="str">
        <f>ADDRESS(C121,1,1,1)</f>
        <v>$A$134</v>
      </c>
      <c r="D112" s="1" t="str">
        <f>ADDRESS(C121,D121-1,1,1)</f>
        <v>$BO$134</v>
      </c>
      <c r="E112"/>
      <c r="AO112" s="27" t="s">
        <v>8</v>
      </c>
      <c r="AQ112" s="27" t="s">
        <v>8</v>
      </c>
      <c r="AR112" s="27" t="s">
        <v>7</v>
      </c>
      <c r="AS112" s="27" t="s">
        <v>8</v>
      </c>
      <c r="AT112" s="27" t="s">
        <v>7</v>
      </c>
      <c r="AV112" s="31"/>
    </row>
    <row r="113" spans="1:68" x14ac:dyDescent="0.25">
      <c r="A113" s="30">
        <v>2.1435888100000016</v>
      </c>
      <c r="C113" s="1" t="str">
        <f>ADDRESS(C121+1,1,1,1)</f>
        <v>$A$135</v>
      </c>
      <c r="D113" s="1" t="str">
        <f>ADDRESS(C121-1,D121+1,1,1)</f>
        <v>$BQ$133</v>
      </c>
      <c r="AO113" s="27" t="s">
        <v>8</v>
      </c>
      <c r="AP113" s="27" t="s">
        <v>7</v>
      </c>
      <c r="AQ113" s="27" t="s">
        <v>8</v>
      </c>
      <c r="AR113" s="27" t="s">
        <v>7</v>
      </c>
      <c r="AT113" s="27" t="s">
        <v>7</v>
      </c>
      <c r="AU113" s="27" t="s">
        <v>8</v>
      </c>
      <c r="AW113" s="31"/>
    </row>
    <row r="114" spans="1:68" x14ac:dyDescent="0.25">
      <c r="A114" s="30">
        <v>1.9487171000000014</v>
      </c>
      <c r="C114" s="1" t="str">
        <f>ADDRESS(C121,D121,1,1)</f>
        <v>$BP$134</v>
      </c>
      <c r="D114" s="1" t="str">
        <f>ADDRESS(C121+1,D121+1,1,1)</f>
        <v>$BQ$135</v>
      </c>
      <c r="AO114" s="27" t="s">
        <v>8</v>
      </c>
      <c r="AP114" s="27" t="s">
        <v>7</v>
      </c>
      <c r="AQ114" s="27" t="s">
        <v>8</v>
      </c>
      <c r="AT114" s="33" t="s">
        <v>7</v>
      </c>
      <c r="AU114" s="27" t="s">
        <v>8</v>
      </c>
      <c r="AV114" s="27" t="s">
        <v>7</v>
      </c>
      <c r="AW114" s="27" t="s">
        <v>8</v>
      </c>
      <c r="AX114" s="31"/>
    </row>
    <row r="115" spans="1:68" x14ac:dyDescent="0.25">
      <c r="A115" s="30">
        <v>1.7715610000000011</v>
      </c>
      <c r="C115" s="1" t="str">
        <f>ADDRESS(C121+1,D121,1,1)</f>
        <v>$BP$135</v>
      </c>
      <c r="AO115" s="27" t="s">
        <v>8</v>
      </c>
      <c r="AP115" s="27" t="s">
        <v>7</v>
      </c>
      <c r="AT115" s="27" t="s">
        <v>7</v>
      </c>
      <c r="AU115" s="27" t="s">
        <v>8</v>
      </c>
      <c r="AV115" s="27" t="s">
        <v>7</v>
      </c>
      <c r="AW115" s="27" t="s">
        <v>8</v>
      </c>
      <c r="AX115" s="27" t="s">
        <v>7</v>
      </c>
      <c r="AY115" s="31"/>
    </row>
    <row r="116" spans="1:68" x14ac:dyDescent="0.25">
      <c r="A116" s="30">
        <v>1.6105100000000008</v>
      </c>
      <c r="C116" s="1">
        <f>C117-1</f>
        <v>133</v>
      </c>
      <c r="AO116" s="27" t="s">
        <v>8</v>
      </c>
      <c r="AT116" s="27" t="s">
        <v>7</v>
      </c>
      <c r="AV116" s="27" t="s">
        <v>7</v>
      </c>
      <c r="AW116" s="27" t="s">
        <v>8</v>
      </c>
      <c r="AX116" s="27" t="s">
        <v>7</v>
      </c>
      <c r="AZ116" s="31"/>
    </row>
    <row r="117" spans="1:68" x14ac:dyDescent="0.25">
      <c r="A117" s="30">
        <v>1.4641000000000006</v>
      </c>
      <c r="C117" s="1">
        <f>C121</f>
        <v>134</v>
      </c>
      <c r="D117" s="1">
        <f>D121</f>
        <v>68</v>
      </c>
      <c r="AO117" s="27" t="s">
        <v>8</v>
      </c>
      <c r="AV117" s="27" t="s">
        <v>7</v>
      </c>
      <c r="AX117" s="27" t="s">
        <v>7</v>
      </c>
      <c r="BA117" s="31"/>
      <c r="BM117" s="27" t="s">
        <v>8</v>
      </c>
    </row>
    <row r="118" spans="1:68" x14ac:dyDescent="0.25">
      <c r="A118" s="30">
        <v>1.3310000000000004</v>
      </c>
      <c r="C118" s="1">
        <f>C117+1</f>
        <v>135</v>
      </c>
      <c r="D118" s="1">
        <f>D117+1</f>
        <v>69</v>
      </c>
      <c r="AM118" s="27" t="s">
        <v>8</v>
      </c>
      <c r="AO118" s="27" t="s">
        <v>8</v>
      </c>
      <c r="AX118" s="27" t="s">
        <v>7</v>
      </c>
      <c r="BA118" s="27" t="s">
        <v>8</v>
      </c>
      <c r="BB118" s="31"/>
      <c r="BI118" s="27" t="s">
        <v>8</v>
      </c>
      <c r="BM118" s="27" t="s">
        <v>8</v>
      </c>
      <c r="BN118" s="27" t="s">
        <v>7</v>
      </c>
    </row>
    <row r="119" spans="1:68" x14ac:dyDescent="0.25">
      <c r="A119" s="30">
        <v>1.2100000000000002</v>
      </c>
      <c r="AM119" s="27" t="s">
        <v>8</v>
      </c>
      <c r="AN119" s="27" t="s">
        <v>7</v>
      </c>
      <c r="AO119" s="27" t="s">
        <v>8</v>
      </c>
      <c r="AX119" s="27" t="s">
        <v>7</v>
      </c>
      <c r="BA119" s="27" t="s">
        <v>8</v>
      </c>
      <c r="BB119" s="27" t="s">
        <v>7</v>
      </c>
      <c r="BC119" s="31"/>
      <c r="BI119" s="27" t="s">
        <v>8</v>
      </c>
      <c r="BJ119" s="27" t="s">
        <v>7</v>
      </c>
      <c r="BK119" s="27" t="s">
        <v>8</v>
      </c>
      <c r="BM119" s="27" t="s">
        <v>8</v>
      </c>
      <c r="BN119" s="27" t="s">
        <v>7</v>
      </c>
      <c r="BO119" s="27" t="s">
        <v>8</v>
      </c>
    </row>
    <row r="120" spans="1:68" x14ac:dyDescent="0.25">
      <c r="A120" s="30">
        <v>1.1000000000000001</v>
      </c>
      <c r="C120" s="1" t="s">
        <v>9</v>
      </c>
      <c r="AM120" s="27" t="s">
        <v>8</v>
      </c>
      <c r="AN120" s="27" t="s">
        <v>7</v>
      </c>
      <c r="AO120" s="27" t="s">
        <v>8</v>
      </c>
      <c r="AX120" s="27" t="s">
        <v>7</v>
      </c>
      <c r="BA120" s="27" t="s">
        <v>8</v>
      </c>
      <c r="BB120" s="27" t="s">
        <v>7</v>
      </c>
      <c r="BC120" s="27" t="s">
        <v>8</v>
      </c>
      <c r="BD120" s="31"/>
      <c r="BI120" s="27" t="s">
        <v>8</v>
      </c>
      <c r="BJ120" s="27" t="s">
        <v>7</v>
      </c>
      <c r="BK120" s="27" t="s">
        <v>8</v>
      </c>
      <c r="BL120" s="27" t="s">
        <v>7</v>
      </c>
      <c r="BM120" s="27" t="s">
        <v>8</v>
      </c>
      <c r="BN120" s="27" t="s">
        <v>7</v>
      </c>
      <c r="BO120" s="27" t="s">
        <v>8</v>
      </c>
      <c r="BP120" s="27" t="s">
        <v>7</v>
      </c>
    </row>
    <row r="121" spans="1:68" x14ac:dyDescent="0.25">
      <c r="A121" s="30">
        <v>1</v>
      </c>
      <c r="C121" s="18">
        <v>134</v>
      </c>
      <c r="D121" s="19">
        <v>68</v>
      </c>
      <c r="E121" s="18" t="s">
        <v>8</v>
      </c>
      <c r="AM121" s="27" t="s">
        <v>8</v>
      </c>
      <c r="AN121" s="27" t="s">
        <v>7</v>
      </c>
      <c r="AO121" s="27" t="s">
        <v>8</v>
      </c>
      <c r="AX121" s="27" t="s">
        <v>7</v>
      </c>
      <c r="BA121" s="34" t="s">
        <v>8</v>
      </c>
      <c r="BB121" s="27" t="s">
        <v>7</v>
      </c>
      <c r="BC121" s="27" t="s">
        <v>8</v>
      </c>
      <c r="BD121" s="27" t="s">
        <v>7</v>
      </c>
      <c r="BE121" s="31" t="s">
        <v>8</v>
      </c>
      <c r="BI121" s="27" t="s">
        <v>8</v>
      </c>
      <c r="BJ121" s="27" t="s">
        <v>7</v>
      </c>
      <c r="BK121" s="27" t="s">
        <v>8</v>
      </c>
      <c r="BL121" s="27" t="s">
        <v>7</v>
      </c>
      <c r="BM121" s="27" t="s">
        <v>8</v>
      </c>
      <c r="BN121" s="27" t="s">
        <v>7</v>
      </c>
      <c r="BO121" s="27" t="s">
        <v>8</v>
      </c>
      <c r="BP121" s="27" t="s">
        <v>7</v>
      </c>
    </row>
    <row r="122" spans="1:68" x14ac:dyDescent="0.25">
      <c r="A122" s="30">
        <v>0.90909090909090895</v>
      </c>
      <c r="C122" s="1" t="str">
        <f>INDEX(1:1048576,C117,D117)</f>
        <v>O</v>
      </c>
      <c r="F122" s="27" t="s">
        <v>7</v>
      </c>
      <c r="AM122" s="27" t="s">
        <v>8</v>
      </c>
      <c r="AN122" s="27" t="s">
        <v>7</v>
      </c>
      <c r="AO122" s="27" t="s">
        <v>8</v>
      </c>
      <c r="AX122" s="27" t="s">
        <v>7</v>
      </c>
      <c r="AY122" s="27" t="s">
        <v>8</v>
      </c>
      <c r="BA122" s="27" t="s">
        <v>8</v>
      </c>
      <c r="BB122" s="27" t="s">
        <v>7</v>
      </c>
      <c r="BC122" s="27" t="s">
        <v>8</v>
      </c>
      <c r="BD122" s="27" t="s">
        <v>7</v>
      </c>
      <c r="BE122" s="27" t="s">
        <v>8</v>
      </c>
      <c r="BF122" s="31" t="s">
        <v>7</v>
      </c>
      <c r="BG122" s="27" t="s">
        <v>8</v>
      </c>
      <c r="BI122" s="27" t="s">
        <v>8</v>
      </c>
      <c r="BJ122" s="27" t="s">
        <v>7</v>
      </c>
      <c r="BL122" s="27" t="s">
        <v>7</v>
      </c>
      <c r="BM122" s="27" t="s">
        <v>8</v>
      </c>
      <c r="BN122" s="27" t="s">
        <v>7</v>
      </c>
      <c r="BO122" s="31"/>
      <c r="BP122" s="27" t="s">
        <v>7</v>
      </c>
    </row>
    <row r="123" spans="1:68" x14ac:dyDescent="0.25">
      <c r="A123" s="30">
        <v>0.82644628099173523</v>
      </c>
      <c r="C123" s="1" t="str">
        <f>"R"&amp;C121</f>
        <v>R134</v>
      </c>
      <c r="D123" s="1" t="str">
        <f>"C"&amp;D121</f>
        <v>C68</v>
      </c>
      <c r="F123" s="27" t="s">
        <v>7</v>
      </c>
      <c r="AM123" s="27" t="s">
        <v>8</v>
      </c>
      <c r="AN123" s="27" t="s">
        <v>7</v>
      </c>
      <c r="AO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B123" s="27" t="s">
        <v>7</v>
      </c>
      <c r="BD123" s="27" t="s">
        <v>7</v>
      </c>
      <c r="BE123" s="27" t="s">
        <v>8</v>
      </c>
      <c r="BF123" s="27" t="s">
        <v>7</v>
      </c>
      <c r="BG123" s="31" t="s">
        <v>8</v>
      </c>
      <c r="BH123" s="27" t="s">
        <v>7</v>
      </c>
      <c r="BI123" s="27" t="s">
        <v>8</v>
      </c>
      <c r="BL123" s="31" t="s">
        <v>7</v>
      </c>
      <c r="BM123" s="27" t="s">
        <v>8</v>
      </c>
      <c r="BN123" s="31"/>
      <c r="BP123" s="27" t="s">
        <v>7</v>
      </c>
    </row>
    <row r="124" spans="1:6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M124" s="27" t="s">
        <v>8</v>
      </c>
      <c r="AN124" s="27" t="s">
        <v>7</v>
      </c>
      <c r="AX124" s="27" t="s">
        <v>7</v>
      </c>
      <c r="AY124" s="27" t="s">
        <v>8</v>
      </c>
      <c r="AZ124" s="27" t="s">
        <v>7</v>
      </c>
      <c r="BA124" s="27" t="s">
        <v>8</v>
      </c>
      <c r="BD124" s="33" t="s">
        <v>7</v>
      </c>
      <c r="BE124" s="27" t="s">
        <v>8</v>
      </c>
      <c r="BF124" s="27" t="s">
        <v>7</v>
      </c>
      <c r="BG124" s="27" t="s">
        <v>8</v>
      </c>
      <c r="BH124" s="27" t="s">
        <v>7</v>
      </c>
      <c r="BI124" s="27" t="s">
        <v>8</v>
      </c>
      <c r="BK124" s="31"/>
      <c r="BL124" s="27" t="s">
        <v>7</v>
      </c>
      <c r="BM124" s="31" t="s">
        <v>8</v>
      </c>
      <c r="BP124" s="27" t="s">
        <v>7</v>
      </c>
    </row>
    <row r="125" spans="1:68" x14ac:dyDescent="0.25">
      <c r="A125" s="30">
        <v>0.68301345536507019</v>
      </c>
      <c r="F125" s="27" t="s">
        <v>7</v>
      </c>
      <c r="AM125" s="27" t="s">
        <v>8</v>
      </c>
      <c r="AX125" s="27" t="s">
        <v>7</v>
      </c>
      <c r="AY125" s="27" t="s">
        <v>8</v>
      </c>
      <c r="AZ125" s="27" t="s">
        <v>7</v>
      </c>
      <c r="BA125" s="27" t="s">
        <v>8</v>
      </c>
      <c r="BD125" s="27" t="s">
        <v>7</v>
      </c>
      <c r="BF125" s="27" t="s">
        <v>7</v>
      </c>
      <c r="BG125" s="27" t="s">
        <v>8</v>
      </c>
      <c r="BH125" s="18" t="s">
        <v>7</v>
      </c>
      <c r="BI125" s="27" t="s">
        <v>8</v>
      </c>
      <c r="BJ125" s="31"/>
      <c r="BL125" s="31" t="s">
        <v>7</v>
      </c>
      <c r="BP125" s="27" t="s">
        <v>7</v>
      </c>
    </row>
    <row r="126" spans="1:68" x14ac:dyDescent="0.25">
      <c r="A126" s="30">
        <v>0.6209213230591546</v>
      </c>
      <c r="C126" s="1" t="s">
        <v>10</v>
      </c>
      <c r="F126" s="27" t="s">
        <v>7</v>
      </c>
      <c r="Y126" s="27" t="s">
        <v>8</v>
      </c>
      <c r="AM126" s="27" t="s">
        <v>8</v>
      </c>
      <c r="AX126" s="27" t="s">
        <v>7</v>
      </c>
      <c r="AY126" s="27" t="s">
        <v>8</v>
      </c>
      <c r="AZ126" s="27" t="s">
        <v>7</v>
      </c>
      <c r="BA126" s="27" t="s">
        <v>8</v>
      </c>
      <c r="BF126" s="27" t="s">
        <v>7</v>
      </c>
      <c r="BG126" s="27" t="s">
        <v>8</v>
      </c>
      <c r="BH126" s="27" t="s">
        <v>7</v>
      </c>
      <c r="BI126" s="31" t="s">
        <v>8</v>
      </c>
      <c r="BP126" s="27" t="s">
        <v>7</v>
      </c>
    </row>
    <row r="127" spans="1:68" x14ac:dyDescent="0.25">
      <c r="A127" s="30">
        <v>0.56447393005377677</v>
      </c>
      <c r="C127" s="30">
        <v>0.28966437973668741</v>
      </c>
      <c r="D127"/>
      <c r="F127" s="27" t="s">
        <v>7</v>
      </c>
      <c r="Y127" s="27" t="s">
        <v>8</v>
      </c>
      <c r="Z127" s="27" t="s">
        <v>7</v>
      </c>
      <c r="AG127" s="27" t="s">
        <v>8</v>
      </c>
      <c r="AK127" s="27" t="s">
        <v>8</v>
      </c>
      <c r="AM127" s="27" t="s">
        <v>8</v>
      </c>
      <c r="AX127" s="27" t="s">
        <v>7</v>
      </c>
      <c r="AY127" s="27" t="s">
        <v>8</v>
      </c>
      <c r="AZ127" s="27" t="s">
        <v>7</v>
      </c>
      <c r="BA127" s="27" t="s">
        <v>8</v>
      </c>
      <c r="BF127" s="32" t="s">
        <v>7</v>
      </c>
      <c r="BH127" s="32" t="s">
        <v>7</v>
      </c>
      <c r="BP127" s="27" t="s">
        <v>7</v>
      </c>
    </row>
    <row r="128" spans="1:68" x14ac:dyDescent="0.25">
      <c r="A128" s="30">
        <v>0.51315811823070612</v>
      </c>
      <c r="F128" s="27" t="s">
        <v>7</v>
      </c>
      <c r="M128" s="27" t="s">
        <v>8</v>
      </c>
      <c r="Y128" s="27" t="s">
        <v>8</v>
      </c>
      <c r="Z128" s="27" t="s">
        <v>7</v>
      </c>
      <c r="AG128" s="27" t="s">
        <v>8</v>
      </c>
      <c r="AH128" s="27" t="s">
        <v>7</v>
      </c>
      <c r="AK128" s="34" t="s">
        <v>8</v>
      </c>
      <c r="AL128" s="27" t="s">
        <v>7</v>
      </c>
      <c r="AM128" s="27" t="s">
        <v>8</v>
      </c>
      <c r="AX128" s="27" t="s">
        <v>7</v>
      </c>
      <c r="AZ128" s="27" t="s">
        <v>7</v>
      </c>
      <c r="BA128" s="27" t="s">
        <v>8</v>
      </c>
      <c r="BP128" s="27" t="s">
        <v>7</v>
      </c>
    </row>
    <row r="129" spans="1:6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M129" s="27" t="s">
        <v>8</v>
      </c>
      <c r="N129" s="27" t="s">
        <v>7</v>
      </c>
      <c r="U129" s="27" t="s">
        <v>8</v>
      </c>
      <c r="Y129" s="27" t="s">
        <v>8</v>
      </c>
      <c r="Z129" s="27" t="s">
        <v>7</v>
      </c>
      <c r="AG129" s="27" t="s">
        <v>8</v>
      </c>
      <c r="AH129" s="27" t="s">
        <v>7</v>
      </c>
      <c r="AI129" s="27" t="s">
        <v>8</v>
      </c>
      <c r="AK129" s="27" t="s">
        <v>8</v>
      </c>
      <c r="AL129" s="27" t="s">
        <v>7</v>
      </c>
      <c r="AM129" s="27" t="s">
        <v>8</v>
      </c>
      <c r="AZ129" s="27" t="s">
        <v>7</v>
      </c>
      <c r="BP129" s="27" t="s">
        <v>7</v>
      </c>
    </row>
    <row r="130" spans="1:68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M130" s="27" t="s">
        <v>8</v>
      </c>
      <c r="N130" s="27" t="s">
        <v>7</v>
      </c>
      <c r="U130" s="27" t="s">
        <v>8</v>
      </c>
      <c r="V130" s="27" t="s">
        <v>7</v>
      </c>
      <c r="W130" s="27" t="s">
        <v>8</v>
      </c>
      <c r="Y130" s="27" t="s">
        <v>8</v>
      </c>
      <c r="Z130" s="27" t="s">
        <v>7</v>
      </c>
      <c r="AG130" s="27" t="s">
        <v>8</v>
      </c>
      <c r="AH130" s="27" t="s">
        <v>7</v>
      </c>
      <c r="AI130" s="27" t="s">
        <v>8</v>
      </c>
      <c r="AJ130" s="27" t="s">
        <v>7</v>
      </c>
      <c r="AK130" s="27" t="s">
        <v>8</v>
      </c>
      <c r="AL130" s="27" t="s">
        <v>7</v>
      </c>
      <c r="BP130" s="27" t="s">
        <v>7</v>
      </c>
    </row>
    <row r="131" spans="1:68" x14ac:dyDescent="0.25">
      <c r="A131" s="30">
        <v>0.38554328942953109</v>
      </c>
      <c r="E131"/>
      <c r="F131" s="27" t="s">
        <v>7</v>
      </c>
      <c r="I131" s="27" t="s">
        <v>8</v>
      </c>
      <c r="J131" s="27" t="s">
        <v>7</v>
      </c>
      <c r="M131" s="27" t="s">
        <v>8</v>
      </c>
      <c r="N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  <c r="Z131" s="27" t="s">
        <v>7</v>
      </c>
      <c r="AG131" s="27" t="s">
        <v>8</v>
      </c>
      <c r="AH131" s="27" t="s">
        <v>7</v>
      </c>
      <c r="AI131" s="27" t="s">
        <v>8</v>
      </c>
      <c r="AJ131" s="27" t="s">
        <v>7</v>
      </c>
      <c r="AK131" s="27" t="s">
        <v>8</v>
      </c>
      <c r="BP131" s="27" t="s">
        <v>7</v>
      </c>
    </row>
    <row r="132" spans="1:68" x14ac:dyDescent="0.25">
      <c r="A132" s="30">
        <v>0.35049389948139187</v>
      </c>
      <c r="C132" s="1" t="s">
        <v>13</v>
      </c>
      <c r="E132"/>
      <c r="F132" s="27" t="s">
        <v>7</v>
      </c>
      <c r="I132" s="27" t="s">
        <v>8</v>
      </c>
      <c r="J132" s="27" t="s">
        <v>7</v>
      </c>
      <c r="K132" s="27" t="s">
        <v>8</v>
      </c>
      <c r="M132" s="27" t="s">
        <v>8</v>
      </c>
      <c r="N132" s="27" t="s">
        <v>7</v>
      </c>
      <c r="U132" s="27" t="s">
        <v>8</v>
      </c>
      <c r="V132" s="27" t="s">
        <v>7</v>
      </c>
      <c r="W132" s="27" t="s">
        <v>8</v>
      </c>
      <c r="X132" s="27" t="s">
        <v>7</v>
      </c>
      <c r="Y132" s="27" t="s">
        <v>8</v>
      </c>
      <c r="Z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BP132" s="27" t="s">
        <v>7</v>
      </c>
    </row>
    <row r="133" spans="1:68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I133" s="27" t="s">
        <v>8</v>
      </c>
      <c r="J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U133" s="27" t="s">
        <v>8</v>
      </c>
      <c r="V133" s="27" t="s">
        <v>7</v>
      </c>
      <c r="W133" s="27" t="s">
        <v>8</v>
      </c>
      <c r="X133" s="27" t="s">
        <v>7</v>
      </c>
      <c r="Y133" s="27" t="s">
        <v>8</v>
      </c>
      <c r="Z133" s="27" t="s">
        <v>7</v>
      </c>
      <c r="AG133" s="27" t="s">
        <v>8</v>
      </c>
      <c r="AH133" s="27" t="s">
        <v>7</v>
      </c>
      <c r="AJ133" s="27" t="s">
        <v>7</v>
      </c>
      <c r="AK133" s="27" t="s">
        <v>8</v>
      </c>
      <c r="BP133" s="27" t="s">
        <v>7</v>
      </c>
    </row>
    <row r="134" spans="1:68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K134" s="27" t="s">
        <v>8</v>
      </c>
      <c r="L134" s="27" t="s">
        <v>7</v>
      </c>
      <c r="M134" s="27" t="s">
        <v>8</v>
      </c>
      <c r="N134" s="27" t="s">
        <v>7</v>
      </c>
      <c r="S134" s="27" t="s">
        <v>8</v>
      </c>
      <c r="U134" s="27" t="s">
        <v>8</v>
      </c>
      <c r="V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G134" s="27" t="s">
        <v>8</v>
      </c>
      <c r="AJ134" s="33" t="s">
        <v>7</v>
      </c>
      <c r="AK134" s="27" t="s">
        <v>8</v>
      </c>
      <c r="BP134" s="27" t="s">
        <v>7</v>
      </c>
    </row>
    <row r="135" spans="1:68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I135" s="27" t="s">
        <v>8</v>
      </c>
      <c r="J135" s="27" t="s">
        <v>7</v>
      </c>
      <c r="L135" s="27" t="s">
        <v>7</v>
      </c>
      <c r="M135" s="27" t="s">
        <v>8</v>
      </c>
      <c r="N135" s="27" t="s">
        <v>7</v>
      </c>
      <c r="O135" s="27" t="s">
        <v>8</v>
      </c>
      <c r="S135" s="27" t="s">
        <v>8</v>
      </c>
      <c r="T135" s="27" t="s">
        <v>7</v>
      </c>
      <c r="U135" s="27" t="s">
        <v>8</v>
      </c>
      <c r="V135" s="27" t="s">
        <v>7</v>
      </c>
      <c r="W135" s="27" t="s">
        <v>8</v>
      </c>
      <c r="X135" s="27" t="s">
        <v>7</v>
      </c>
      <c r="Z135" s="27" t="s">
        <v>7</v>
      </c>
      <c r="AG135" s="27" t="s">
        <v>8</v>
      </c>
      <c r="AJ135" s="27" t="s">
        <v>7</v>
      </c>
      <c r="AK135" s="27" t="s">
        <v>8</v>
      </c>
    </row>
    <row r="136" spans="1:6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I136" s="27" t="s">
        <v>8</v>
      </c>
      <c r="L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  <c r="Q136" s="27" t="s">
        <v>8</v>
      </c>
      <c r="S136" s="27" t="s">
        <v>8</v>
      </c>
      <c r="T136" s="27" t="s">
        <v>7</v>
      </c>
      <c r="U136" s="27" t="s">
        <v>8</v>
      </c>
      <c r="V136" s="27" t="s">
        <v>7</v>
      </c>
      <c r="Z136" s="27" t="s">
        <v>7</v>
      </c>
      <c r="AG136" s="27" t="s">
        <v>8</v>
      </c>
      <c r="AJ136" s="27" t="s">
        <v>7</v>
      </c>
    </row>
    <row r="137" spans="1:68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L137" s="27" t="s">
        <v>7</v>
      </c>
      <c r="N137" s="27" t="s">
        <v>7</v>
      </c>
      <c r="O137" s="27" t="s">
        <v>8</v>
      </c>
      <c r="P137" s="27" t="s">
        <v>7</v>
      </c>
      <c r="Q137" s="27" t="s">
        <v>8</v>
      </c>
      <c r="R137" s="27" t="s">
        <v>7</v>
      </c>
      <c r="S137" s="27" t="s">
        <v>8</v>
      </c>
      <c r="T137" s="27" t="s">
        <v>7</v>
      </c>
      <c r="U137" s="27" t="s">
        <v>8</v>
      </c>
      <c r="Z137" s="27" t="s">
        <v>7</v>
      </c>
      <c r="AG137" s="27" t="s">
        <v>8</v>
      </c>
    </row>
    <row r="138" spans="1:6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N138" s="27" t="s">
        <v>7</v>
      </c>
      <c r="O138" s="27" t="s">
        <v>8</v>
      </c>
      <c r="P138" s="27" t="s">
        <v>7</v>
      </c>
      <c r="Q138" s="27" t="s">
        <v>8</v>
      </c>
      <c r="R138" s="27" t="s">
        <v>7</v>
      </c>
      <c r="S138" s="27" t="s">
        <v>8</v>
      </c>
      <c r="T138" s="27" t="s">
        <v>7</v>
      </c>
      <c r="U138" s="27" t="s">
        <v>8</v>
      </c>
      <c r="Z138" s="27" t="s">
        <v>7</v>
      </c>
      <c r="AA138" s="27" t="s">
        <v>8</v>
      </c>
      <c r="AG138" s="34" t="s">
        <v>8</v>
      </c>
    </row>
    <row r="139" spans="1:68" x14ac:dyDescent="0.25">
      <c r="A139" s="30">
        <v>0.17985878990921333</v>
      </c>
      <c r="E139"/>
      <c r="F139" s="27" t="s">
        <v>7</v>
      </c>
      <c r="G139" s="27" t="s">
        <v>8</v>
      </c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T139" s="27" t="s">
        <v>7</v>
      </c>
      <c r="U139" s="27" t="s">
        <v>8</v>
      </c>
      <c r="Z139" s="27" t="s">
        <v>7</v>
      </c>
      <c r="AA139" s="27" t="s">
        <v>8</v>
      </c>
      <c r="AB139" s="27" t="s">
        <v>7</v>
      </c>
      <c r="AC139" s="32" t="s">
        <v>8</v>
      </c>
      <c r="AE139" s="32" t="s">
        <v>8</v>
      </c>
      <c r="AG139" s="27" t="s">
        <v>8</v>
      </c>
    </row>
    <row r="140" spans="1:68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N140" s="27" t="s">
        <v>7</v>
      </c>
      <c r="O140" s="27" t="s">
        <v>8</v>
      </c>
      <c r="P140" s="27" t="s">
        <v>7</v>
      </c>
      <c r="Q140" s="27" t="s">
        <v>8</v>
      </c>
      <c r="T140" s="27" t="s">
        <v>7</v>
      </c>
      <c r="U140" s="27" t="s">
        <v>8</v>
      </c>
      <c r="Z140" s="27" t="s">
        <v>7</v>
      </c>
      <c r="AA140" s="27" t="s">
        <v>8</v>
      </c>
      <c r="AB140" s="27" t="s">
        <v>7</v>
      </c>
      <c r="AC140" s="27" t="s">
        <v>8</v>
      </c>
      <c r="AD140" s="27" t="s">
        <v>7</v>
      </c>
      <c r="AE140" s="27" t="s">
        <v>8</v>
      </c>
      <c r="AF140" s="27" t="s">
        <v>7</v>
      </c>
      <c r="AG140" s="27" t="s">
        <v>8</v>
      </c>
    </row>
    <row r="141" spans="1:68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N141" s="27" t="s">
        <v>7</v>
      </c>
      <c r="O141" s="27" t="s">
        <v>8</v>
      </c>
      <c r="P141" s="27" t="s">
        <v>7</v>
      </c>
      <c r="T141" s="27" t="s">
        <v>7</v>
      </c>
      <c r="Z141" s="27" t="s">
        <v>7</v>
      </c>
      <c r="AA141" s="27" t="s">
        <v>8</v>
      </c>
      <c r="AB141" s="27" t="s">
        <v>7</v>
      </c>
      <c r="AC141" s="27" t="s">
        <v>8</v>
      </c>
      <c r="AD141" s="27" t="s">
        <v>7</v>
      </c>
      <c r="AE141" s="27" t="s">
        <v>8</v>
      </c>
      <c r="AF141" s="27" t="s">
        <v>7</v>
      </c>
      <c r="AG141" s="27" t="s">
        <v>8</v>
      </c>
    </row>
    <row r="142" spans="1:68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N142" s="27" t="s">
        <v>7</v>
      </c>
      <c r="O142" s="27" t="s">
        <v>8</v>
      </c>
      <c r="Z142" s="27" t="s">
        <v>7</v>
      </c>
      <c r="AA142" s="27" t="s">
        <v>8</v>
      </c>
      <c r="AB142" s="27" t="s">
        <v>7</v>
      </c>
      <c r="AD142" s="27" t="s">
        <v>7</v>
      </c>
      <c r="AE142" s="27" t="s">
        <v>8</v>
      </c>
      <c r="AF142" s="27" t="s">
        <v>7</v>
      </c>
    </row>
    <row r="143" spans="1:68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N143" s="27" t="s">
        <v>7</v>
      </c>
      <c r="Z143" s="27" t="s">
        <v>7</v>
      </c>
      <c r="AA143" s="27" t="s">
        <v>8</v>
      </c>
      <c r="AD143" s="27" t="s">
        <v>7</v>
      </c>
      <c r="AE143" s="27" t="s">
        <v>8</v>
      </c>
    </row>
    <row r="144" spans="1:68" x14ac:dyDescent="0.25">
      <c r="A144" s="30">
        <v>0.11167815779424731</v>
      </c>
      <c r="C144" s="1">
        <v>4</v>
      </c>
      <c r="E144"/>
      <c r="F144" s="27" t="s">
        <v>7</v>
      </c>
      <c r="Z144" s="27" t="s">
        <v>7</v>
      </c>
      <c r="AD144" s="27" t="s">
        <v>7</v>
      </c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54" operator="equal">
      <formula>$U$1</formula>
    </cfRule>
    <cfRule type="cellIs" dxfId="30" priority="1155" operator="equal">
      <formula>$S$1</formula>
    </cfRule>
  </conditionalFormatting>
  <conditionalFormatting sqref="D136">
    <cfRule type="cellIs" dxfId="29" priority="1152" operator="equal">
      <formula>$S$1</formula>
    </cfRule>
    <cfRule type="cellIs" dxfId="28" priority="1153" operator="equal">
      <formula>$U$1</formula>
    </cfRule>
  </conditionalFormatting>
  <conditionalFormatting sqref="C102">
    <cfRule type="cellIs" dxfId="27" priority="1150" operator="equal">
      <formula>$U$1</formula>
    </cfRule>
    <cfRule type="cellIs" dxfId="26" priority="1151" operator="equal">
      <formula>$S$1</formula>
    </cfRule>
  </conditionalFormatting>
  <conditionalFormatting sqref="D102">
    <cfRule type="cellIs" dxfId="25" priority="1148" operator="equal">
      <formula>$S$1</formula>
    </cfRule>
    <cfRule type="cellIs" dxfId="24" priority="1149" operator="equal">
      <formula>$U$1</formula>
    </cfRule>
  </conditionalFormatting>
  <conditionalFormatting sqref="C77">
    <cfRule type="cellIs" dxfId="23" priority="1146" operator="equal">
      <formula>$U$1</formula>
    </cfRule>
    <cfRule type="cellIs" dxfId="22" priority="1147" operator="equal">
      <formula>$S$1</formula>
    </cfRule>
  </conditionalFormatting>
  <conditionalFormatting sqref="D77">
    <cfRule type="cellIs" dxfId="21" priority="1144" operator="equal">
      <formula>$S$1</formula>
    </cfRule>
    <cfRule type="cellIs" dxfId="20" priority="1145" operator="equal">
      <formula>$U$1</formula>
    </cfRule>
  </conditionalFormatting>
  <conditionalFormatting sqref="C52">
    <cfRule type="cellIs" dxfId="19" priority="1142" operator="equal">
      <formula>$U$1</formula>
    </cfRule>
    <cfRule type="cellIs" dxfId="18" priority="1143" operator="equal">
      <formula>$S$1</formula>
    </cfRule>
  </conditionalFormatting>
  <conditionalFormatting sqref="D52">
    <cfRule type="cellIs" dxfId="17" priority="1140" operator="equal">
      <formula>$S$1</formula>
    </cfRule>
    <cfRule type="cellIs" dxfId="16" priority="1141" operator="equal">
      <formula>$U$1</formula>
    </cfRule>
  </conditionalFormatting>
  <conditionalFormatting sqref="C26">
    <cfRule type="cellIs" dxfId="15" priority="1138" operator="equal">
      <formula>$U$1</formula>
    </cfRule>
    <cfRule type="cellIs" dxfId="14" priority="1139" operator="equal">
      <formula>$S$1</formula>
    </cfRule>
  </conditionalFormatting>
  <conditionalFormatting sqref="D26">
    <cfRule type="cellIs" dxfId="13" priority="1136" operator="equal">
      <formula>$S$1</formula>
    </cfRule>
    <cfRule type="cellIs" dxfId="12" priority="113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0.61391325354075688</v>
      </c>
      <c r="F3" s="30">
        <v>0.71068133013011958</v>
      </c>
      <c r="G3" s="30">
        <v>0.952380952380952</v>
      </c>
      <c r="H3" s="25">
        <f>IF(G3="","",(3*(G3-F3))+E3)</f>
        <v>1.3390121202932541</v>
      </c>
      <c r="I3" s="7"/>
      <c r="J3" s="7">
        <f>(E3+G3)/2</f>
        <v>0.78314710296085444</v>
      </c>
      <c r="K3" s="7">
        <f>H3/2</f>
        <v>0.66950606014662706</v>
      </c>
      <c r="M3" s="26">
        <f>IF(OR(J3="",H3=""),"",H3/J3)</f>
        <v>1.7097836603504419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0.58467928908643485</v>
      </c>
      <c r="F4" s="30">
        <v>0.82270247479188063</v>
      </c>
      <c r="G4" s="30">
        <v>1</v>
      </c>
      <c r="H4" s="25">
        <f t="shared" ref="H4:H25" si="0">IF(G4="","",(3*(G4-F4))+E4)</f>
        <v>1.1165718647107929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2022-01-28T01:19:37Z</dcterms:modified>
</cp:coreProperties>
</file>