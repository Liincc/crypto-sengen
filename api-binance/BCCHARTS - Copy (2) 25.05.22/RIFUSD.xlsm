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A8A578F-829F-4D53-89D8-A98CDE1BDCC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18" i="4"/>
  <c r="C116" i="3"/>
  <c r="C122" i="3"/>
  <c r="C133" i="3" s="1"/>
  <c r="C136" i="3" s="1"/>
  <c r="R765" i="1"/>
  <c r="S765" i="1" s="1"/>
  <c r="T765" i="1" s="1"/>
  <c r="S766" i="1"/>
  <c r="T766" i="1" s="1"/>
  <c r="D136" i="5"/>
  <c r="C136" i="5"/>
  <c r="D136" i="4"/>
  <c r="C136" i="4"/>
  <c r="R764" i="1"/>
  <c r="C138" i="5" l="1"/>
  <c r="C138" i="4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<sst xmlns="http://schemas.openxmlformats.org/spreadsheetml/2006/main" count="3206" uniqueCount="34">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</sst>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0.1139</c:v>
                </c:pt>
                <c:pt idx="1">
                  <c:v>0.115</c:v>
                </c:pt>
                <c:pt idx="2">
                  <c:v>0.1273</c:v>
                </c:pt>
                <c:pt idx="3">
                  <c:v>0.1426</c:v>
                </c:pt>
                <c:pt idx="4">
                  <c:v>0.1477</c:v>
                </c:pt>
                <c:pt idx="5">
                  <c:v>0.1394</c:v>
                </c:pt>
                <c:pt idx="6">
                  <c:v>0.1474</c:v>
                </c:pt>
                <c:pt idx="7">
                  <c:v>0.1666</c:v>
                </c:pt>
                <c:pt idx="8">
                  <c:v>0.17119999999999999</c:v>
                </c:pt>
                <c:pt idx="9">
                  <c:v>0.1749</c:v>
                </c:pt>
                <c:pt idx="10">
                  <c:v>0.17549999999999999</c:v>
                </c:pt>
                <c:pt idx="11">
                  <c:v>0.1804</c:v>
                </c:pt>
                <c:pt idx="12">
                  <c:v>0.18060000000000001</c:v>
                </c:pt>
                <c:pt idx="13">
                  <c:v>0.17979999999999999</c:v>
                </c:pt>
                <c:pt idx="14">
                  <c:v>0.17899999999999999</c:v>
                </c:pt>
                <c:pt idx="15">
                  <c:v>0.18260000000000001</c:v>
                </c:pt>
                <c:pt idx="16">
                  <c:v>0.17780000000000001</c:v>
                </c:pt>
                <c:pt idx="17">
                  <c:v>0.1739</c:v>
                </c:pt>
                <c:pt idx="18">
                  <c:v>0.1759</c:v>
                </c:pt>
                <c:pt idx="19">
                  <c:v>0.17469999999999999</c:v>
                </c:pt>
                <c:pt idx="20">
                  <c:v>0.17630000000000001</c:v>
                </c:pt>
                <c:pt idx="21">
                  <c:v>0.1812</c:v>
                </c:pt>
                <c:pt idx="22">
                  <c:v>0.1832</c:v>
                </c:pt>
                <c:pt idx="23">
                  <c:v>0.19570000000000001</c:v>
                </c:pt>
                <c:pt idx="24">
                  <c:v>0.19839999999999999</c:v>
                </c:pt>
                <c:pt idx="25">
                  <c:v>0.20549999999999999</c:v>
                </c:pt>
                <c:pt idx="26">
                  <c:v>0.20610000000000001</c:v>
                </c:pt>
                <c:pt idx="27">
                  <c:v>0.19839999999999999</c:v>
                </c:pt>
                <c:pt idx="28">
                  <c:v>0.20069999999999999</c:v>
                </c:pt>
                <c:pt idx="29">
                  <c:v>0.19650000000000001</c:v>
                </c:pt>
                <c:pt idx="30">
                  <c:v>0.19980000000000001</c:v>
                </c:pt>
                <c:pt idx="31">
                  <c:v>0.21940000000000001</c:v>
                </c:pt>
                <c:pt idx="32">
                  <c:v>0.219</c:v>
                </c:pt>
                <c:pt idx="33">
                  <c:v>0.21740000000000001</c:v>
                </c:pt>
                <c:pt idx="34">
                  <c:v>0.2162</c:v>
                </c:pt>
                <c:pt idx="35">
                  <c:v>0.214</c:v>
                </c:pt>
                <c:pt idx="36">
                  <c:v>0.20780000000000001</c:v>
                </c:pt>
                <c:pt idx="37">
                  <c:v>0.2099</c:v>
                </c:pt>
                <c:pt idx="38">
                  <c:v>0.20369999999999999</c:v>
                </c:pt>
                <c:pt idx="39">
                  <c:v>0.20119999999999999</c:v>
                </c:pt>
                <c:pt idx="40">
                  <c:v>0.20050000000000001</c:v>
                </c:pt>
                <c:pt idx="41">
                  <c:v>0.19919999999999999</c:v>
                </c:pt>
                <c:pt idx="42">
                  <c:v>0.20699999999999999</c:v>
                </c:pt>
                <c:pt idx="43">
                  <c:v>0.20330000000000001</c:v>
                </c:pt>
                <c:pt idx="44">
                  <c:v>0.20599999999999999</c:v>
                </c:pt>
                <c:pt idx="45">
                  <c:v>0.1976</c:v>
                </c:pt>
                <c:pt idx="46">
                  <c:v>0.2157</c:v>
                </c:pt>
                <c:pt idx="47">
                  <c:v>0.20960000000000001</c:v>
                </c:pt>
                <c:pt idx="48">
                  <c:v>0.2049</c:v>
                </c:pt>
                <c:pt idx="49">
                  <c:v>0.2044</c:v>
                </c:pt>
                <c:pt idx="50">
                  <c:v>0.218</c:v>
                </c:pt>
                <c:pt idx="51">
                  <c:v>0.21629999999999999</c:v>
                </c:pt>
                <c:pt idx="52">
                  <c:v>0.218</c:v>
                </c:pt>
                <c:pt idx="53">
                  <c:v>0.21329999999999999</c:v>
                </c:pt>
                <c:pt idx="54">
                  <c:v>0.21709999999999999</c:v>
                </c:pt>
                <c:pt idx="55">
                  <c:v>0.23669999999999999</c:v>
                </c:pt>
                <c:pt idx="56">
                  <c:v>0.24510000000000001</c:v>
                </c:pt>
                <c:pt idx="57">
                  <c:v>0.24510000000000001</c:v>
                </c:pt>
                <c:pt idx="58">
                  <c:v>0.24690000000000001</c:v>
                </c:pt>
                <c:pt idx="59">
                  <c:v>0.252</c:v>
                </c:pt>
                <c:pt idx="60">
                  <c:v>0.24479999999999999</c:v>
                </c:pt>
                <c:pt idx="61">
                  <c:v>0.2412</c:v>
                </c:pt>
                <c:pt idx="62">
                  <c:v>0.23880000000000001</c:v>
                </c:pt>
                <c:pt idx="63">
                  <c:v>0.25319999999999998</c:v>
                </c:pt>
                <c:pt idx="64">
                  <c:v>0.24510000000000001</c:v>
                </c:pt>
                <c:pt idx="65">
                  <c:v>0.25640000000000002</c:v>
                </c:pt>
                <c:pt idx="66">
                  <c:v>0.25</c:v>
                </c:pt>
                <c:pt idx="67">
                  <c:v>0.26290000000000002</c:v>
                </c:pt>
                <c:pt idx="68">
                  <c:v>0.26950000000000002</c:v>
                </c:pt>
                <c:pt idx="69">
                  <c:v>0.25659999999999999</c:v>
                </c:pt>
                <c:pt idx="70">
                  <c:v>0.24440000000000001</c:v>
                </c:pt>
                <c:pt idx="71">
                  <c:v>0.2555</c:v>
                </c:pt>
                <c:pt idx="72">
                  <c:v>0.25950000000000001</c:v>
                </c:pt>
                <c:pt idx="73">
                  <c:v>0.2833</c:v>
                </c:pt>
                <c:pt idx="74">
                  <c:v>0.2883</c:v>
                </c:pt>
                <c:pt idx="75">
                  <c:v>0.28510000000000002</c:v>
                </c:pt>
                <c:pt idx="76">
                  <c:v>0.2828</c:v>
                </c:pt>
                <c:pt idx="77">
                  <c:v>0.29409999999999997</c:v>
                </c:pt>
                <c:pt idx="78">
                  <c:v>0.28989999999999999</c:v>
                </c:pt>
                <c:pt idx="79">
                  <c:v>0.2918</c:v>
                </c:pt>
                <c:pt idx="80">
                  <c:v>0.29089999999999999</c:v>
                </c:pt>
                <c:pt idx="81">
                  <c:v>0.27350000000000002</c:v>
                </c:pt>
                <c:pt idx="82">
                  <c:v>0.26540000000000002</c:v>
                </c:pt>
                <c:pt idx="83">
                  <c:v>0.2656</c:v>
                </c:pt>
                <c:pt idx="84">
                  <c:v>0.2717</c:v>
                </c:pt>
                <c:pt idx="85">
                  <c:v>0.27250000000000002</c:v>
                </c:pt>
                <c:pt idx="86">
                  <c:v>0.2666</c:v>
                </c:pt>
                <c:pt idx="87">
                  <c:v>0.26279999999999998</c:v>
                </c:pt>
                <c:pt idx="88">
                  <c:v>0.26829999999999998</c:v>
                </c:pt>
                <c:pt idx="89">
                  <c:v>0.26939999999999997</c:v>
                </c:pt>
                <c:pt idx="90">
                  <c:v>0.27089999999999997</c:v>
                </c:pt>
                <c:pt idx="91">
                  <c:v>0.26569999999999999</c:v>
                </c:pt>
                <c:pt idx="92">
                  <c:v>0.25829999999999997</c:v>
                </c:pt>
                <c:pt idx="93">
                  <c:v>0.2646</c:v>
                </c:pt>
                <c:pt idx="94">
                  <c:v>0.27250000000000002</c:v>
                </c:pt>
                <c:pt idx="95">
                  <c:v>0.26889999999999997</c:v>
                </c:pt>
                <c:pt idx="96">
                  <c:v>0.27</c:v>
                </c:pt>
                <c:pt idx="97">
                  <c:v>0.2707</c:v>
                </c:pt>
                <c:pt idx="98">
                  <c:v>0.27739999999999998</c:v>
                </c:pt>
                <c:pt idx="99">
                  <c:v>0.28449999999999998</c:v>
                </c:pt>
                <c:pt idx="100">
                  <c:v>0.2782</c:v>
                </c:pt>
                <c:pt idx="101">
                  <c:v>0.28139999999999998</c:v>
                </c:pt>
                <c:pt idx="102">
                  <c:v>0.28239999999999998</c:v>
                </c:pt>
                <c:pt idx="103">
                  <c:v>0.25969999999999999</c:v>
                </c:pt>
                <c:pt idx="104">
                  <c:v>0.26590000000000003</c:v>
                </c:pt>
                <c:pt idx="105">
                  <c:v>0.25280000000000002</c:v>
                </c:pt>
                <c:pt idx="106">
                  <c:v>0.25979999999999998</c:v>
                </c:pt>
                <c:pt idx="107">
                  <c:v>0.25950000000000001</c:v>
                </c:pt>
                <c:pt idx="108">
                  <c:v>0.26540000000000002</c:v>
                </c:pt>
                <c:pt idx="109">
                  <c:v>0.25469999999999998</c:v>
                </c:pt>
                <c:pt idx="110">
                  <c:v>0.25490000000000002</c:v>
                </c:pt>
                <c:pt idx="111">
                  <c:v>0.25090000000000001</c:v>
                </c:pt>
                <c:pt idx="112">
                  <c:v>0.25679999999999997</c:v>
                </c:pt>
                <c:pt idx="113">
                  <c:v>0.26269999999999999</c:v>
                </c:pt>
                <c:pt idx="114">
                  <c:v>0.23430000000000001</c:v>
                </c:pt>
                <c:pt idx="115">
                  <c:v>0.22450000000000001</c:v>
                </c:pt>
                <c:pt idx="116">
                  <c:v>0.2235</c:v>
                </c:pt>
                <c:pt idx="117">
                  <c:v>0.22489999999999999</c:v>
                </c:pt>
                <c:pt idx="118">
                  <c:v>0.2291</c:v>
                </c:pt>
                <c:pt idx="119">
                  <c:v>0.20780000000000001</c:v>
                </c:pt>
                <c:pt idx="120">
                  <c:v>0.19939999999999999</c:v>
                </c:pt>
                <c:pt idx="121">
                  <c:v>0.1961</c:v>
                </c:pt>
                <c:pt idx="122">
                  <c:v>0.20549999999999999</c:v>
                </c:pt>
                <c:pt idx="123">
                  <c:v>0.2051</c:v>
                </c:pt>
                <c:pt idx="124">
                  <c:v>0.20499999999999999</c:v>
                </c:pt>
                <c:pt idx="125">
                  <c:v>0.2069</c:v>
                </c:pt>
                <c:pt idx="126">
                  <c:v>0.21940000000000001</c:v>
                </c:pt>
                <c:pt idx="127">
                  <c:v>0.21440000000000001</c:v>
                </c:pt>
                <c:pt idx="128">
                  <c:v>0.19550000000000001</c:v>
                </c:pt>
                <c:pt idx="129">
                  <c:v>0.22919999999999999</c:v>
                </c:pt>
                <c:pt idx="130">
                  <c:v>0.24329999999999999</c:v>
                </c:pt>
                <c:pt idx="131">
                  <c:v>0.24540000000000001</c:v>
                </c:pt>
                <c:pt idx="132">
                  <c:v>0.2379</c:v>
                </c:pt>
                <c:pt idx="133">
                  <c:v>0.2346</c:v>
                </c:pt>
                <c:pt idx="134">
                  <c:v>0.2369</c:v>
                </c:pt>
                <c:pt idx="135">
                  <c:v>0.2329</c:v>
                </c:pt>
                <c:pt idx="136">
                  <c:v>0.22539999999999999</c:v>
                </c:pt>
                <c:pt idx="137">
                  <c:v>0.23300000000000001</c:v>
                </c:pt>
                <c:pt idx="138">
                  <c:v>0.2283</c:v>
                </c:pt>
                <c:pt idx="139">
                  <c:v>0.22700000000000001</c:v>
                </c:pt>
                <c:pt idx="140">
                  <c:v>0.2331</c:v>
                </c:pt>
                <c:pt idx="141">
                  <c:v>0.23319999999999999</c:v>
                </c:pt>
                <c:pt idx="142">
                  <c:v>0.23710000000000001</c:v>
                </c:pt>
                <c:pt idx="143">
                  <c:v>0.26279999999999998</c:v>
                </c:pt>
                <c:pt idx="144">
                  <c:v>0.2697</c:v>
                </c:pt>
                <c:pt idx="145">
                  <c:v>0.26329999999999998</c:v>
                </c:pt>
                <c:pt idx="146">
                  <c:v>0.2611</c:v>
                </c:pt>
                <c:pt idx="147">
                  <c:v>0.2596</c:v>
                </c:pt>
                <c:pt idx="148">
                  <c:v>0.25240000000000001</c:v>
                </c:pt>
                <c:pt idx="149">
                  <c:v>0.24299999999999999</c:v>
                </c:pt>
                <c:pt idx="150">
                  <c:v>0.2412</c:v>
                </c:pt>
                <c:pt idx="151">
                  <c:v>0.2467</c:v>
                </c:pt>
                <c:pt idx="152">
                  <c:v>0.24579999999999999</c:v>
                </c:pt>
                <c:pt idx="153">
                  <c:v>0.249</c:v>
                </c:pt>
                <c:pt idx="154">
                  <c:v>0.2379</c:v>
                </c:pt>
                <c:pt idx="155">
                  <c:v>0.24790000000000001</c:v>
                </c:pt>
                <c:pt idx="156">
                  <c:v>0.24060000000000001</c:v>
                </c:pt>
                <c:pt idx="157">
                  <c:v>0.25230000000000002</c:v>
                </c:pt>
                <c:pt idx="158">
                  <c:v>0.25</c:v>
                </c:pt>
                <c:pt idx="159">
                  <c:v>0.24390000000000001</c:v>
                </c:pt>
                <c:pt idx="160">
                  <c:v>0.24399999999999999</c:v>
                </c:pt>
                <c:pt idx="161">
                  <c:v>0.22989999999999999</c:v>
                </c:pt>
                <c:pt idx="162">
                  <c:v>0.2286</c:v>
                </c:pt>
                <c:pt idx="163">
                  <c:v>0.22700000000000001</c:v>
                </c:pt>
                <c:pt idx="164">
                  <c:v>0.2351</c:v>
                </c:pt>
                <c:pt idx="165">
                  <c:v>0.23730000000000001</c:v>
                </c:pt>
                <c:pt idx="166">
                  <c:v>0.2349</c:v>
                </c:pt>
                <c:pt idx="167">
                  <c:v>0.23430000000000001</c:v>
                </c:pt>
                <c:pt idx="168">
                  <c:v>0.21990000000000001</c:v>
                </c:pt>
                <c:pt idx="169">
                  <c:v>0.22639999999999999</c:v>
                </c:pt>
                <c:pt idx="170">
                  <c:v>0.2195</c:v>
                </c:pt>
                <c:pt idx="171">
                  <c:v>0.22370000000000001</c:v>
                </c:pt>
                <c:pt idx="172">
                  <c:v>0.21279999999999999</c:v>
                </c:pt>
                <c:pt idx="173">
                  <c:v>0.21390000000000001</c:v>
                </c:pt>
                <c:pt idx="174">
                  <c:v>0.20300000000000001</c:v>
                </c:pt>
                <c:pt idx="175">
                  <c:v>0.19070000000000001</c:v>
                </c:pt>
                <c:pt idx="176">
                  <c:v>0.19070000000000001</c:v>
                </c:pt>
                <c:pt idx="177">
                  <c:v>0.18260000000000001</c:v>
                </c:pt>
                <c:pt idx="178">
                  <c:v>0.1867</c:v>
                </c:pt>
                <c:pt idx="179">
                  <c:v>0.19089999999999999</c:v>
                </c:pt>
                <c:pt idx="180">
                  <c:v>0.1968</c:v>
                </c:pt>
                <c:pt idx="181">
                  <c:v>0.19420000000000001</c:v>
                </c:pt>
                <c:pt idx="182">
                  <c:v>0.18859999999999999</c:v>
                </c:pt>
                <c:pt idx="183">
                  <c:v>0.18809999999999999</c:v>
                </c:pt>
                <c:pt idx="184">
                  <c:v>0.18099999999999999</c:v>
                </c:pt>
                <c:pt idx="185">
                  <c:v>0.185</c:v>
                </c:pt>
                <c:pt idx="186">
                  <c:v>0.17150000000000001</c:v>
                </c:pt>
                <c:pt idx="187">
                  <c:v>0.1673</c:v>
                </c:pt>
                <c:pt idx="188">
                  <c:v>0.15959999999999999</c:v>
                </c:pt>
                <c:pt idx="189">
                  <c:v>0.15870000000000001</c:v>
                </c:pt>
                <c:pt idx="190">
                  <c:v>0.15210000000000001</c:v>
                </c:pt>
                <c:pt idx="191">
                  <c:v>0.14599999999999999</c:v>
                </c:pt>
                <c:pt idx="192">
                  <c:v>0.14960000000000001</c:v>
                </c:pt>
                <c:pt idx="193">
                  <c:v>0.1547</c:v>
                </c:pt>
                <c:pt idx="194">
                  <c:v>0.16170000000000001</c:v>
                </c:pt>
                <c:pt idx="195">
                  <c:v>0.1598</c:v>
                </c:pt>
                <c:pt idx="196">
                  <c:v>0.1575</c:v>
                </c:pt>
                <c:pt idx="197">
                  <c:v>0.15540000000000001</c:v>
                </c:pt>
                <c:pt idx="198">
                  <c:v>0.15540000000000001</c:v>
                </c:pt>
                <c:pt idx="199">
                  <c:v>0.15870000000000001</c:v>
                </c:pt>
                <c:pt idx="200">
                  <c:v>0.1643</c:v>
                </c:pt>
                <c:pt idx="201">
                  <c:v>0.1636</c:v>
                </c:pt>
                <c:pt idx="202">
                  <c:v>0.16139999999999999</c:v>
                </c:pt>
                <c:pt idx="203">
                  <c:v>0.16189999999999999</c:v>
                </c:pt>
                <c:pt idx="204">
                  <c:v>0.1666</c:v>
                </c:pt>
                <c:pt idx="205">
                  <c:v>0.1656</c:v>
                </c:pt>
                <c:pt idx="206">
                  <c:v>0.1552</c:v>
                </c:pt>
                <c:pt idx="207">
                  <c:v>0.1608</c:v>
                </c:pt>
                <c:pt idx="208">
                  <c:v>0.158</c:v>
                </c:pt>
                <c:pt idx="209">
                  <c:v>0.15559999999999999</c:v>
                </c:pt>
                <c:pt idx="210">
                  <c:v>0.15340000000000001</c:v>
                </c:pt>
                <c:pt idx="211">
                  <c:v>0.15970000000000001</c:v>
                </c:pt>
                <c:pt idx="212">
                  <c:v>0.1545</c:v>
                </c:pt>
                <c:pt idx="213">
                  <c:v>0.15129999999999999</c:v>
                </c:pt>
                <c:pt idx="214">
                  <c:v>0.151</c:v>
                </c:pt>
                <c:pt idx="215">
                  <c:v>0.14280000000000001</c:v>
                </c:pt>
                <c:pt idx="216">
                  <c:v>0.14330000000000001</c:v>
                </c:pt>
                <c:pt idx="217">
                  <c:v>0.15359999999999999</c:v>
                </c:pt>
                <c:pt idx="218">
                  <c:v>0.15629999999999999</c:v>
                </c:pt>
                <c:pt idx="219">
                  <c:v>0.1426</c:v>
                </c:pt>
                <c:pt idx="220">
                  <c:v>0.1464</c:v>
                </c:pt>
                <c:pt idx="221">
                  <c:v>0.1588</c:v>
                </c:pt>
                <c:pt idx="222">
                  <c:v>0.16209999999999999</c:v>
                </c:pt>
                <c:pt idx="223">
                  <c:v>0.16039999999999999</c:v>
                </c:pt>
                <c:pt idx="224">
                  <c:v>0.1686</c:v>
                </c:pt>
                <c:pt idx="225">
                  <c:v>0.17369999999999999</c:v>
                </c:pt>
                <c:pt idx="226">
                  <c:v>0.18790000000000001</c:v>
                </c:pt>
                <c:pt idx="227">
                  <c:v>0.19739999999999999</c:v>
                </c:pt>
                <c:pt idx="228">
                  <c:v>0.186</c:v>
                </c:pt>
                <c:pt idx="229">
                  <c:v>0.17949999999999999</c:v>
                </c:pt>
                <c:pt idx="230">
                  <c:v>0.18410000000000001</c:v>
                </c:pt>
                <c:pt idx="231">
                  <c:v>0.186</c:v>
                </c:pt>
                <c:pt idx="232">
                  <c:v>0.1943</c:v>
                </c:pt>
                <c:pt idx="233">
                  <c:v>0.17649999999999999</c:v>
                </c:pt>
                <c:pt idx="234">
                  <c:v>0.17910000000000001</c:v>
                </c:pt>
                <c:pt idx="235">
                  <c:v>0.18990000000000001</c:v>
                </c:pt>
                <c:pt idx="236">
                  <c:v>0.18809999999999999</c:v>
                </c:pt>
                <c:pt idx="237">
                  <c:v>0.1925</c:v>
                </c:pt>
                <c:pt idx="238">
                  <c:v>0.20799999999999999</c:v>
                </c:pt>
                <c:pt idx="239">
                  <c:v>0.2</c:v>
                </c:pt>
                <c:pt idx="240">
                  <c:v>0.19689999999999999</c:v>
                </c:pt>
                <c:pt idx="241">
                  <c:v>0.20200000000000001</c:v>
                </c:pt>
                <c:pt idx="242">
                  <c:v>0.19489999999999999</c:v>
                </c:pt>
                <c:pt idx="243">
                  <c:v>0.19189999999999999</c:v>
                </c:pt>
                <c:pt idx="244">
                  <c:v>0.19900000000000001</c:v>
                </c:pt>
                <c:pt idx="245">
                  <c:v>0.2094</c:v>
                </c:pt>
                <c:pt idx="246">
                  <c:v>0.2172</c:v>
                </c:pt>
                <c:pt idx="247">
                  <c:v>0.2084</c:v>
                </c:pt>
                <c:pt idx="248">
                  <c:v>0.2077</c:v>
                </c:pt>
                <c:pt idx="249">
                  <c:v>0.18859999999999999</c:v>
                </c:pt>
                <c:pt idx="250">
                  <c:v>0.20100000000000001</c:v>
                </c:pt>
                <c:pt idx="251">
                  <c:v>0.19989999999999999</c:v>
                </c:pt>
                <c:pt idx="252">
                  <c:v>0.21779999999999999</c:v>
                </c:pt>
                <c:pt idx="253">
                  <c:v>0.1862</c:v>
                </c:pt>
                <c:pt idx="254">
                  <c:v>0.23130000000000001</c:v>
                </c:pt>
                <c:pt idx="255">
                  <c:v>0.2306</c:v>
                </c:pt>
                <c:pt idx="256">
                  <c:v>0.2452</c:v>
                </c:pt>
                <c:pt idx="257">
                  <c:v>0.2462</c:v>
                </c:pt>
                <c:pt idx="258">
                  <c:v>0.26369999999999999</c:v>
                </c:pt>
                <c:pt idx="259">
                  <c:v>0.26140000000000002</c:v>
                </c:pt>
                <c:pt idx="260">
                  <c:v>0.26569999999999999</c:v>
                </c:pt>
                <c:pt idx="261">
                  <c:v>0.317</c:v>
                </c:pt>
                <c:pt idx="262">
                  <c:v>0.31840000000000002</c:v>
                </c:pt>
                <c:pt idx="263">
                  <c:v>0.3352</c:v>
                </c:pt>
                <c:pt idx="264">
                  <c:v>0.32550000000000001</c:v>
                </c:pt>
                <c:pt idx="265">
                  <c:v>0.31659999999999999</c:v>
                </c:pt>
                <c:pt idx="266">
                  <c:v>0.33069999999999999</c:v>
                </c:pt>
                <c:pt idx="267">
                  <c:v>0.33129999999999998</c:v>
                </c:pt>
                <c:pt idx="268">
                  <c:v>0.29670000000000002</c:v>
                </c:pt>
                <c:pt idx="269">
                  <c:v>0.32750000000000001</c:v>
                </c:pt>
                <c:pt idx="270">
                  <c:v>0.34620000000000001</c:v>
                </c:pt>
                <c:pt idx="271">
                  <c:v>0.34739999999999999</c:v>
                </c:pt>
                <c:pt idx="272">
                  <c:v>0.33029999999999998</c:v>
                </c:pt>
                <c:pt idx="273">
                  <c:v>0.31769999999999998</c:v>
                </c:pt>
                <c:pt idx="274">
                  <c:v>0.31990000000000002</c:v>
                </c:pt>
                <c:pt idx="275">
                  <c:v>0.32279999999999998</c:v>
                </c:pt>
                <c:pt idx="276">
                  <c:v>0.3024</c:v>
                </c:pt>
                <c:pt idx="277">
                  <c:v>0.26679999999999998</c:v>
                </c:pt>
                <c:pt idx="278">
                  <c:v>0.26790000000000003</c:v>
                </c:pt>
                <c:pt idx="279">
                  <c:v>0.28520000000000001</c:v>
                </c:pt>
                <c:pt idx="280">
                  <c:v>0.29249999999999998</c:v>
                </c:pt>
                <c:pt idx="281">
                  <c:v>0.29239999999999999</c:v>
                </c:pt>
                <c:pt idx="282">
                  <c:v>0.32179999999999997</c:v>
                </c:pt>
                <c:pt idx="283">
                  <c:v>0.29139999999999999</c:v>
                </c:pt>
                <c:pt idx="284">
                  <c:v>0.32900000000000001</c:v>
                </c:pt>
                <c:pt idx="285">
                  <c:v>0.36649999999999999</c:v>
                </c:pt>
                <c:pt idx="286">
                  <c:v>0.35699999999999998</c:v>
                </c:pt>
                <c:pt idx="287">
                  <c:v>0.38819999999999999</c:v>
                </c:pt>
                <c:pt idx="288">
                  <c:v>0.37869999999999998</c:v>
                </c:pt>
                <c:pt idx="289">
                  <c:v>0.40529999999999999</c:v>
                </c:pt>
                <c:pt idx="290">
                  <c:v>0.443</c:v>
                </c:pt>
                <c:pt idx="291">
                  <c:v>0.3911</c:v>
                </c:pt>
                <c:pt idx="292">
                  <c:v>0.35799999999999998</c:v>
                </c:pt>
                <c:pt idx="293">
                  <c:v>0.3458</c:v>
                </c:pt>
                <c:pt idx="294">
                  <c:v>0.35399999999999998</c:v>
                </c:pt>
                <c:pt idx="295">
                  <c:v>0.33</c:v>
                </c:pt>
                <c:pt idx="296">
                  <c:v>0.37880000000000003</c:v>
                </c:pt>
                <c:pt idx="297">
                  <c:v>0.35210000000000002</c:v>
                </c:pt>
                <c:pt idx="298">
                  <c:v>0.35320000000000001</c:v>
                </c:pt>
                <c:pt idx="299">
                  <c:v>0.33889999999999998</c:v>
                </c:pt>
                <c:pt idx="300">
                  <c:v>0.34620000000000001</c:v>
                </c:pt>
                <c:pt idx="301">
                  <c:v>0.34889999999999999</c:v>
                </c:pt>
                <c:pt idx="302">
                  <c:v>0.35099999999999998</c:v>
                </c:pt>
                <c:pt idx="303">
                  <c:v>0.3503</c:v>
                </c:pt>
                <c:pt idx="304">
                  <c:v>0.34449999999999997</c:v>
                </c:pt>
                <c:pt idx="305">
                  <c:v>0.3281</c:v>
                </c:pt>
                <c:pt idx="306">
                  <c:v>0.33579999999999999</c:v>
                </c:pt>
                <c:pt idx="307">
                  <c:v>0.3261</c:v>
                </c:pt>
                <c:pt idx="308">
                  <c:v>0.30120000000000002</c:v>
                </c:pt>
                <c:pt idx="309">
                  <c:v>0.309</c:v>
                </c:pt>
                <c:pt idx="310">
                  <c:v>0.31390000000000001</c:v>
                </c:pt>
                <c:pt idx="311">
                  <c:v>0.31259999999999999</c:v>
                </c:pt>
                <c:pt idx="312">
                  <c:v>0.32150000000000001</c:v>
                </c:pt>
                <c:pt idx="313">
                  <c:v>0.33650000000000002</c:v>
                </c:pt>
                <c:pt idx="314">
                  <c:v>0.33550000000000002</c:v>
                </c:pt>
                <c:pt idx="315">
                  <c:v>0.34200000000000003</c:v>
                </c:pt>
                <c:pt idx="316">
                  <c:v>0.3332</c:v>
                </c:pt>
                <c:pt idx="317">
                  <c:v>0.31869999999999998</c:v>
                </c:pt>
                <c:pt idx="318">
                  <c:v>0.31730000000000003</c:v>
                </c:pt>
                <c:pt idx="319">
                  <c:v>0.33679999999999999</c:v>
                </c:pt>
                <c:pt idx="320">
                  <c:v>0.3448</c:v>
                </c:pt>
                <c:pt idx="321">
                  <c:v>0.31979999999999997</c:v>
                </c:pt>
                <c:pt idx="322">
                  <c:v>0.32729999999999998</c:v>
                </c:pt>
                <c:pt idx="323">
                  <c:v>0.317</c:v>
                </c:pt>
                <c:pt idx="324">
                  <c:v>0.31090000000000001</c:v>
                </c:pt>
                <c:pt idx="325">
                  <c:v>0.2989</c:v>
                </c:pt>
                <c:pt idx="326">
                  <c:v>0.28399999999999997</c:v>
                </c:pt>
                <c:pt idx="327">
                  <c:v>0.27729999999999999</c:v>
                </c:pt>
                <c:pt idx="328">
                  <c:v>0.2661</c:v>
                </c:pt>
                <c:pt idx="329">
                  <c:v>0.2591</c:v>
                </c:pt>
                <c:pt idx="330">
                  <c:v>0.2702</c:v>
                </c:pt>
                <c:pt idx="331">
                  <c:v>0.25219999999999998</c:v>
                </c:pt>
                <c:pt idx="332">
                  <c:v>0.26479999999999998</c:v>
                </c:pt>
                <c:pt idx="333">
                  <c:v>0.2402</c:v>
                </c:pt>
                <c:pt idx="334">
                  <c:v>0.2437</c:v>
                </c:pt>
                <c:pt idx="335">
                  <c:v>0.23760000000000001</c:v>
                </c:pt>
                <c:pt idx="336">
                  <c:v>0.23749999999999999</c:v>
                </c:pt>
                <c:pt idx="337">
                  <c:v>0.25019999999999998</c:v>
                </c:pt>
                <c:pt idx="338">
                  <c:v>0.2288</c:v>
                </c:pt>
                <c:pt idx="339">
                  <c:v>0.27500000000000002</c:v>
                </c:pt>
                <c:pt idx="340">
                  <c:v>0.31209999999999999</c:v>
                </c:pt>
                <c:pt idx="341">
                  <c:v>0.30759999999999998</c:v>
                </c:pt>
                <c:pt idx="342">
                  <c:v>0.3548</c:v>
                </c:pt>
                <c:pt idx="343">
                  <c:v>0.32800000000000001</c:v>
                </c:pt>
                <c:pt idx="344">
                  <c:v>0.30649999999999999</c:v>
                </c:pt>
                <c:pt idx="345">
                  <c:v>0.28889999999999999</c:v>
                </c:pt>
                <c:pt idx="346">
                  <c:v>0.28370000000000001</c:v>
                </c:pt>
                <c:pt idx="347">
                  <c:v>0.28399999999999997</c:v>
                </c:pt>
                <c:pt idx="348">
                  <c:v>0.32700000000000001</c:v>
                </c:pt>
                <c:pt idx="349">
                  <c:v>0.31940000000000002</c:v>
                </c:pt>
                <c:pt idx="350">
                  <c:v>0.30170000000000002</c:v>
                </c:pt>
                <c:pt idx="351">
                  <c:v>0.26590000000000003</c:v>
                </c:pt>
                <c:pt idx="352">
                  <c:v>0.25869999999999999</c:v>
                </c:pt>
                <c:pt idx="353">
                  <c:v>0.251</c:v>
                </c:pt>
                <c:pt idx="354">
                  <c:v>0.215</c:v>
                </c:pt>
                <c:pt idx="355">
                  <c:v>0.23710000000000001</c:v>
                </c:pt>
                <c:pt idx="356">
                  <c:v>0.19209999999999999</c:v>
                </c:pt>
                <c:pt idx="357">
                  <c:v>0.18360000000000001</c:v>
                </c:pt>
                <c:pt idx="358">
                  <c:v>0.184</c:v>
                </c:pt>
                <c:pt idx="359">
                  <c:v>0.1701</c:v>
                </c:pt>
                <c:pt idx="360">
                  <c:v>0.16350000000000001</c:v>
                </c:pt>
                <c:pt idx="361">
                  <c:v>0.16109999999999999</c:v>
                </c:pt>
                <c:pt idx="362">
                  <c:v>0.16669999999999999</c:v>
                </c:pt>
                <c:pt idx="363">
                  <c:v>0.1636</c:v>
                </c:pt>
                <c:pt idx="364">
                  <c:v>0.17169999999999999</c:v>
                </c:pt>
                <c:pt idx="365">
                  <c:v>0.15079999999999999</c:v>
                </c:pt>
                <c:pt idx="366">
                  <c:v>0.16009999999999999</c:v>
                </c:pt>
                <c:pt idx="367">
                  <c:v>0.16400000000000001</c:v>
                </c:pt>
                <c:pt idx="368">
                  <c:v>0.1636</c:v>
                </c:pt>
                <c:pt idx="369">
                  <c:v>0.16750000000000001</c:v>
                </c:pt>
                <c:pt idx="370">
                  <c:v>0.1658</c:v>
                </c:pt>
                <c:pt idx="371">
                  <c:v>0.15939999999999999</c:v>
                </c:pt>
                <c:pt idx="372">
                  <c:v>0.18099999999999999</c:v>
                </c:pt>
                <c:pt idx="373">
                  <c:v>0.182</c:v>
                </c:pt>
                <c:pt idx="374">
                  <c:v>0.1966</c:v>
                </c:pt>
                <c:pt idx="375">
                  <c:v>0.18410000000000001</c:v>
                </c:pt>
                <c:pt idx="376">
                  <c:v>0.19550000000000001</c:v>
                </c:pt>
                <c:pt idx="377">
                  <c:v>0.20119999999999999</c:v>
                </c:pt>
                <c:pt idx="378">
                  <c:v>0.23330000000000001</c:v>
                </c:pt>
                <c:pt idx="379">
                  <c:v>0.1772</c:v>
                </c:pt>
                <c:pt idx="380">
                  <c:v>0.1648</c:v>
                </c:pt>
                <c:pt idx="381">
                  <c:v>0.15509999999999999</c:v>
                </c:pt>
                <c:pt idx="382">
                  <c:v>0.18940000000000001</c:v>
                </c:pt>
                <c:pt idx="383">
                  <c:v>0.18909999999999999</c:v>
                </c:pt>
                <c:pt idx="384">
                  <c:v>0.18440000000000001</c:v>
                </c:pt>
                <c:pt idx="385">
                  <c:v>0.20050000000000001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8-4530-9CAD-AAF4FC79076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-2.2578884730912505</c:v>
                </c:pt>
                <c:pt idx="1">
                  <c:v>-2.2549308030912503</c:v>
                </c:pt>
                <c:pt idx="2">
                  <c:v>-2.1368289408217471</c:v>
                </c:pt>
                <c:pt idx="3">
                  <c:v>-2.0431108727469995</c:v>
                </c:pt>
                <c:pt idx="4">
                  <c:v>-2.0527084901383037</c:v>
                </c:pt>
                <c:pt idx="5">
                  <c:v>-2.0652384711273144</c:v>
                </c:pt>
                <c:pt idx="6">
                  <c:v>-2.0495066884407476</c:v>
                </c:pt>
                <c:pt idx="7">
                  <c:v>-2.0172578162421968</c:v>
                </c:pt>
                <c:pt idx="8">
                  <c:v>-2.0083970562421967</c:v>
                </c:pt>
                <c:pt idx="9">
                  <c:v>-2.0021296300657263</c:v>
                </c:pt>
                <c:pt idx="10">
                  <c:v>-2.0096454263990595</c:v>
                </c:pt>
                <c:pt idx="11">
                  <c:v>-1.9995025356910952</c:v>
                </c:pt>
                <c:pt idx="12">
                  <c:v>-1.9963076791693559</c:v>
                </c:pt>
                <c:pt idx="13">
                  <c:v>-1.9985000610212078</c:v>
                </c:pt>
                <c:pt idx="14">
                  <c:v>-2.0056429172116839</c:v>
                </c:pt>
                <c:pt idx="15">
                  <c:v>-1.9964765776464666</c:v>
                </c:pt>
                <c:pt idx="16">
                  <c:v>-2.0120011267373759</c:v>
                </c:pt>
                <c:pt idx="17">
                  <c:v>-2.0209300754259001</c:v>
                </c:pt>
                <c:pt idx="18">
                  <c:v>-2.0240399798161439</c:v>
                </c:pt>
                <c:pt idx="19">
                  <c:v>-2.0235166260848008</c:v>
                </c:pt>
                <c:pt idx="20">
                  <c:v>-2.0235166260848008</c:v>
                </c:pt>
                <c:pt idx="21">
                  <c:v>-2.0227247760848011</c:v>
                </c:pt>
                <c:pt idx="22">
                  <c:v>-2.0169099368956118</c:v>
                </c:pt>
                <c:pt idx="23">
                  <c:v>-1.9982922718058822</c:v>
                </c:pt>
                <c:pt idx="24">
                  <c:v>-1.9840159865117646</c:v>
                </c:pt>
                <c:pt idx="25">
                  <c:v>-1.9659413828754007</c:v>
                </c:pt>
                <c:pt idx="26">
                  <c:v>-1.9666414756413584</c:v>
                </c:pt>
                <c:pt idx="27">
                  <c:v>-1.9787465343160571</c:v>
                </c:pt>
                <c:pt idx="28">
                  <c:v>-1.9623257833344616</c:v>
                </c:pt>
                <c:pt idx="29">
                  <c:v>-1.9583578430890629</c:v>
                </c:pt>
                <c:pt idx="30">
                  <c:v>-1.9261267430890627</c:v>
                </c:pt>
                <c:pt idx="31">
                  <c:v>-1.9043376665190146</c:v>
                </c:pt>
                <c:pt idx="32">
                  <c:v>-1.9014963489103189</c:v>
                </c:pt>
                <c:pt idx="33">
                  <c:v>-1.9157555445103189</c:v>
                </c:pt>
                <c:pt idx="34">
                  <c:v>-1.8961483634165688</c:v>
                </c:pt>
                <c:pt idx="35">
                  <c:v>-1.8631898657354096</c:v>
                </c:pt>
                <c:pt idx="36">
                  <c:v>-1.8780084401421893</c:v>
                </c:pt>
                <c:pt idx="37">
                  <c:v>-1.8626919590462989</c:v>
                </c:pt>
                <c:pt idx="38">
                  <c:v>-1.8777631290462988</c:v>
                </c:pt>
                <c:pt idx="39">
                  <c:v>-1.8890045095726142</c:v>
                </c:pt>
                <c:pt idx="40">
                  <c:v>-1.8391060015430578</c:v>
                </c:pt>
                <c:pt idx="41">
                  <c:v>-1.8398450708763912</c:v>
                </c:pt>
                <c:pt idx="42">
                  <c:v>-1.8252631468223373</c:v>
                </c:pt>
                <c:pt idx="43">
                  <c:v>-1.8055499448021353</c:v>
                </c:pt>
                <c:pt idx="44">
                  <c:v>-1.8102087075758579</c:v>
                </c:pt>
                <c:pt idx="45">
                  <c:v>-1.8359310618895834</c:v>
                </c:pt>
                <c:pt idx="46">
                  <c:v>-1.8130417564028578</c:v>
                </c:pt>
                <c:pt idx="47">
                  <c:v>-1.8248523146329465</c:v>
                </c:pt>
                <c:pt idx="48">
                  <c:v>-1.8254301246329465</c:v>
                </c:pt>
                <c:pt idx="49">
                  <c:v>-1.805456377911635</c:v>
                </c:pt>
                <c:pt idx="50">
                  <c:v>-1.7862892047409034</c:v>
                </c:pt>
                <c:pt idx="51">
                  <c:v>-1.7981619820993939</c:v>
                </c:pt>
                <c:pt idx="52">
                  <c:v>-1.775429862369664</c:v>
                </c:pt>
                <c:pt idx="53">
                  <c:v>-1.8136458815836378</c:v>
                </c:pt>
                <c:pt idx="54">
                  <c:v>-1.8179418894407806</c:v>
                </c:pt>
                <c:pt idx="55">
                  <c:v>-1.8266354949963362</c:v>
                </c:pt>
                <c:pt idx="56">
                  <c:v>-1.8012379126610067</c:v>
                </c:pt>
                <c:pt idx="57">
                  <c:v>-1.7693269734368691</c:v>
                </c:pt>
                <c:pt idx="58">
                  <c:v>-1.7481321054368693</c:v>
                </c:pt>
                <c:pt idx="59">
                  <c:v>-1.7181326718884822</c:v>
                </c:pt>
                <c:pt idx="60">
                  <c:v>-1.7136422264339368</c:v>
                </c:pt>
                <c:pt idx="61">
                  <c:v>-1.7348088764339371</c:v>
                </c:pt>
                <c:pt idx="62">
                  <c:v>-1.715403188933937</c:v>
                </c:pt>
                <c:pt idx="63">
                  <c:v>-1.6996063292506789</c:v>
                </c:pt>
                <c:pt idx="64">
                  <c:v>-1.6941637372870428</c:v>
                </c:pt>
                <c:pt idx="65">
                  <c:v>-1.6843150878133586</c:v>
                </c:pt>
                <c:pt idx="66">
                  <c:v>-1.6947687686296853</c:v>
                </c:pt>
                <c:pt idx="67">
                  <c:v>-1.6733201534945503</c:v>
                </c:pt>
                <c:pt idx="68">
                  <c:v>-1.6575780461261294</c:v>
                </c:pt>
                <c:pt idx="69">
                  <c:v>-1.6907473913261295</c:v>
                </c:pt>
                <c:pt idx="70">
                  <c:v>-1.7159126946594627</c:v>
                </c:pt>
                <c:pt idx="71">
                  <c:v>-1.6952669627941774</c:v>
                </c:pt>
                <c:pt idx="72">
                  <c:v>-1.6914463931863342</c:v>
                </c:pt>
                <c:pt idx="73">
                  <c:v>-1.6725337238333933</c:v>
                </c:pt>
                <c:pt idx="74">
                  <c:v>-1.6606300393095836</c:v>
                </c:pt>
                <c:pt idx="75">
                  <c:v>-1.663245070738155</c:v>
                </c:pt>
                <c:pt idx="76">
                  <c:v>-1.6889833449317033</c:v>
                </c:pt>
                <c:pt idx="77">
                  <c:v>-1.6752773590559971</c:v>
                </c:pt>
                <c:pt idx="78">
                  <c:v>-1.6986967327226636</c:v>
                </c:pt>
                <c:pt idx="79">
                  <c:v>-1.6797664912233934</c:v>
                </c:pt>
                <c:pt idx="80">
                  <c:v>-1.6829900778305364</c:v>
                </c:pt>
                <c:pt idx="81">
                  <c:v>-1.7172001244407058</c:v>
                </c:pt>
                <c:pt idx="82">
                  <c:v>-1.7479223344407058</c:v>
                </c:pt>
                <c:pt idx="83">
                  <c:v>-1.7520339304407058</c:v>
                </c:pt>
                <c:pt idx="84">
                  <c:v>-1.7383830586225237</c:v>
                </c:pt>
                <c:pt idx="85">
                  <c:v>-1.7318967519558572</c:v>
                </c:pt>
                <c:pt idx="86">
                  <c:v>-1.7483767041780798</c:v>
                </c:pt>
                <c:pt idx="87">
                  <c:v>-1.7364825508913666</c:v>
                </c:pt>
                <c:pt idx="88">
                  <c:v>-1.721638170758033</c:v>
                </c:pt>
                <c:pt idx="89">
                  <c:v>-1.7331694795080332</c:v>
                </c:pt>
                <c:pt idx="90">
                  <c:v>-1.7230804333541871</c:v>
                </c:pt>
                <c:pt idx="91">
                  <c:v>-1.7332247154818468</c:v>
                </c:pt>
                <c:pt idx="92">
                  <c:v>-1.7421941478559473</c:v>
                </c:pt>
                <c:pt idx="93">
                  <c:v>-1.7322777845648079</c:v>
                </c:pt>
                <c:pt idx="94">
                  <c:v>-1.7171444261334357</c:v>
                </c:pt>
                <c:pt idx="95">
                  <c:v>-1.7178376434919265</c:v>
                </c:pt>
                <c:pt idx="96">
                  <c:v>-1.7385396668252597</c:v>
                </c:pt>
                <c:pt idx="97">
                  <c:v>-1.7429693593833993</c:v>
                </c:pt>
                <c:pt idx="98">
                  <c:v>-1.6927334148000657</c:v>
                </c:pt>
                <c:pt idx="99">
                  <c:v>-1.5921679616276516</c:v>
                </c:pt>
                <c:pt idx="100">
                  <c:v>-1.5973855164377784</c:v>
                </c:pt>
                <c:pt idx="101">
                  <c:v>-1.5851654845509857</c:v>
                </c:pt>
                <c:pt idx="102">
                  <c:v>-1.5641733563943037</c:v>
                </c:pt>
                <c:pt idx="103">
                  <c:v>-1.638237953037547</c:v>
                </c:pt>
                <c:pt idx="104">
                  <c:v>-1.6146347444388207</c:v>
                </c:pt>
                <c:pt idx="105">
                  <c:v>-1.6575474628411877</c:v>
                </c:pt>
                <c:pt idx="106">
                  <c:v>-1.6331127033411879</c:v>
                </c:pt>
                <c:pt idx="107">
                  <c:v>-1.6612761112801191</c:v>
                </c:pt>
                <c:pt idx="108">
                  <c:v>-1.6425530471208272</c:v>
                </c:pt>
                <c:pt idx="109">
                  <c:v>-1.6452897345103854</c:v>
                </c:pt>
                <c:pt idx="110">
                  <c:v>-1.6305815458972466</c:v>
                </c:pt>
                <c:pt idx="111">
                  <c:v>-1.6416199189480942</c:v>
                </c:pt>
                <c:pt idx="112">
                  <c:v>-1.6197629860667384</c:v>
                </c:pt>
                <c:pt idx="113">
                  <c:v>-1.5743493843646104</c:v>
                </c:pt>
                <c:pt idx="114">
                  <c:v>-1.6958206034703014</c:v>
                </c:pt>
                <c:pt idx="115">
                  <c:v>-1.7194571039354176</c:v>
                </c:pt>
                <c:pt idx="116">
                  <c:v>-1.7298866742802455</c:v>
                </c:pt>
                <c:pt idx="117">
                  <c:v>-1.7229181179310389</c:v>
                </c:pt>
                <c:pt idx="118">
                  <c:v>-1.672889083991645</c:v>
                </c:pt>
                <c:pt idx="119">
                  <c:v>-1.7246932463445861</c:v>
                </c:pt>
                <c:pt idx="120">
                  <c:v>-1.7391248380687239</c:v>
                </c:pt>
                <c:pt idx="121">
                  <c:v>-1.7375891619902928</c:v>
                </c:pt>
                <c:pt idx="122">
                  <c:v>-1.7105599526682587</c:v>
                </c:pt>
                <c:pt idx="123">
                  <c:v>-1.6790625341082583</c:v>
                </c:pt>
                <c:pt idx="124">
                  <c:v>-1.6935614652193693</c:v>
                </c:pt>
                <c:pt idx="125">
                  <c:v>-1.6984641113732157</c:v>
                </c:pt>
                <c:pt idx="126">
                  <c:v>-1.6905372375550338</c:v>
                </c:pt>
                <c:pt idx="127">
                  <c:v>-1.7274503418407483</c:v>
                </c:pt>
                <c:pt idx="128">
                  <c:v>-1.7641379351883877</c:v>
                </c:pt>
                <c:pt idx="129">
                  <c:v>-1.7053025796409425</c:v>
                </c:pt>
                <c:pt idx="130">
                  <c:v>-1.67262851243887</c:v>
                </c:pt>
                <c:pt idx="131">
                  <c:v>-1.6375183357081007</c:v>
                </c:pt>
                <c:pt idx="132">
                  <c:v>-1.6339190488995903</c:v>
                </c:pt>
                <c:pt idx="133">
                  <c:v>-1.6262215658888379</c:v>
                </c:pt>
                <c:pt idx="134">
                  <c:v>-1.6149329825555043</c:v>
                </c:pt>
                <c:pt idx="135">
                  <c:v>-1.6260270772777266</c:v>
                </c:pt>
                <c:pt idx="136">
                  <c:v>-1.6374696380841782</c:v>
                </c:pt>
                <c:pt idx="137">
                  <c:v>-1.6490491212435667</c:v>
                </c:pt>
                <c:pt idx="138">
                  <c:v>-1.6622950382315187</c:v>
                </c:pt>
                <c:pt idx="139">
                  <c:v>-1.6676436135561938</c:v>
                </c:pt>
                <c:pt idx="140">
                  <c:v>-1.6456635492704796</c:v>
                </c:pt>
                <c:pt idx="141">
                  <c:v>-1.6267926691835235</c:v>
                </c:pt>
                <c:pt idx="142">
                  <c:v>-1.6187132918862259</c:v>
                </c:pt>
                <c:pt idx="143">
                  <c:v>-1.5753147145669055</c:v>
                </c:pt>
                <c:pt idx="144">
                  <c:v>-1.5412157867891276</c:v>
                </c:pt>
                <c:pt idx="145">
                  <c:v>-1.5675227921361865</c:v>
                </c:pt>
                <c:pt idx="146">
                  <c:v>-1.5580960117564395</c:v>
                </c:pt>
                <c:pt idx="147">
                  <c:v>-1.556709404710221</c:v>
                </c:pt>
                <c:pt idx="148">
                  <c:v>-1.5847530377065846</c:v>
                </c:pt>
                <c:pt idx="149">
                  <c:v>-1.6247174885540667</c:v>
                </c:pt>
                <c:pt idx="150">
                  <c:v>-1.6233128057182458</c:v>
                </c:pt>
                <c:pt idx="151">
                  <c:v>-1.6036978698486806</c:v>
                </c:pt>
                <c:pt idx="152">
                  <c:v>-1.621423567666862</c:v>
                </c:pt>
                <c:pt idx="153">
                  <c:v>-1.6032991077724958</c:v>
                </c:pt>
                <c:pt idx="154">
                  <c:v>-1.6447940826077476</c:v>
                </c:pt>
                <c:pt idx="155">
                  <c:v>-1.628023003373132</c:v>
                </c:pt>
                <c:pt idx="156">
                  <c:v>-1.6512770302518931</c:v>
                </c:pt>
                <c:pt idx="157">
                  <c:v>-1.6227861829131334</c:v>
                </c:pt>
                <c:pt idx="158">
                  <c:v>-1.6177355916195166</c:v>
                </c:pt>
                <c:pt idx="159">
                  <c:v>-1.6264024624145983</c:v>
                </c:pt>
                <c:pt idx="160">
                  <c:v>-1.6352724659807001</c:v>
                </c:pt>
                <c:pt idx="161">
                  <c:v>-1.7324367402825871</c:v>
                </c:pt>
                <c:pt idx="162">
                  <c:v>-1.7709783533122163</c:v>
                </c:pt>
                <c:pt idx="163">
                  <c:v>-1.7443421289991732</c:v>
                </c:pt>
                <c:pt idx="164">
                  <c:v>-1.7086657051347662</c:v>
                </c:pt>
                <c:pt idx="165">
                  <c:v>-1.6284617702113093</c:v>
                </c:pt>
                <c:pt idx="166">
                  <c:v>-1.6581893520393098</c:v>
                </c:pt>
                <c:pt idx="167">
                  <c:v>-1.6375538961162328</c:v>
                </c:pt>
                <c:pt idx="168">
                  <c:v>-1.7059536475557537</c:v>
                </c:pt>
                <c:pt idx="169">
                  <c:v>-1.6714012647557539</c:v>
                </c:pt>
                <c:pt idx="170">
                  <c:v>-1.6760698432300394</c:v>
                </c:pt>
                <c:pt idx="171">
                  <c:v>-1.6523028038847765</c:v>
                </c:pt>
                <c:pt idx="172">
                  <c:v>-1.7137477024067018</c:v>
                </c:pt>
                <c:pt idx="173">
                  <c:v>-1.6936470980267015</c:v>
                </c:pt>
                <c:pt idx="174">
                  <c:v>-1.7331868794841727</c:v>
                </c:pt>
                <c:pt idx="175">
                  <c:v>-1.8431813746998598</c:v>
                </c:pt>
                <c:pt idx="176">
                  <c:v>-1.889534505671405</c:v>
                </c:pt>
                <c:pt idx="177">
                  <c:v>-1.9273070847537577</c:v>
                </c:pt>
                <c:pt idx="178">
                  <c:v>-1.9169132093613526</c:v>
                </c:pt>
                <c:pt idx="179">
                  <c:v>-1.9076449397120989</c:v>
                </c:pt>
                <c:pt idx="180">
                  <c:v>-1.890335610606543</c:v>
                </c:pt>
                <c:pt idx="181">
                  <c:v>-1.8952749902217607</c:v>
                </c:pt>
                <c:pt idx="182">
                  <c:v>-1.9670089039039693</c:v>
                </c:pt>
                <c:pt idx="183">
                  <c:v>-1.9610554568548166</c:v>
                </c:pt>
                <c:pt idx="184">
                  <c:v>-1.9736729734122878</c:v>
                </c:pt>
                <c:pt idx="185">
                  <c:v>-1.9373260441206992</c:v>
                </c:pt>
                <c:pt idx="186">
                  <c:v>-1.953737401520699</c:v>
                </c:pt>
                <c:pt idx="187">
                  <c:v>-1.976261568320699</c:v>
                </c:pt>
                <c:pt idx="188">
                  <c:v>-1.9820664606382172</c:v>
                </c:pt>
                <c:pt idx="189">
                  <c:v>-2.0010761784292619</c:v>
                </c:pt>
                <c:pt idx="190">
                  <c:v>-2.018851215227623</c:v>
                </c:pt>
                <c:pt idx="191">
                  <c:v>-2.0410780207945951</c:v>
                </c:pt>
                <c:pt idx="192">
                  <c:v>-2.0331486723725609</c:v>
                </c:pt>
                <c:pt idx="193">
                  <c:v>-1.9896383714387949</c:v>
                </c:pt>
                <c:pt idx="194">
                  <c:v>-1.9409333388028975</c:v>
                </c:pt>
                <c:pt idx="195">
                  <c:v>-1.9548279677583191</c:v>
                </c:pt>
                <c:pt idx="196">
                  <c:v>-1.960279535596851</c:v>
                </c:pt>
                <c:pt idx="197">
                  <c:v>-1.9729240967301842</c:v>
                </c:pt>
                <c:pt idx="198">
                  <c:v>-1.9733598716442196</c:v>
                </c:pt>
                <c:pt idx="199">
                  <c:v>-1.9610035153442196</c:v>
                </c:pt>
                <c:pt idx="200">
                  <c:v>-1.9375283950783968</c:v>
                </c:pt>
                <c:pt idx="201">
                  <c:v>-1.9242947858865935</c:v>
                </c:pt>
                <c:pt idx="202">
                  <c:v>-1.9278830852912445</c:v>
                </c:pt>
                <c:pt idx="203">
                  <c:v>-1.9302568025645774</c:v>
                </c:pt>
                <c:pt idx="204">
                  <c:v>-1.919668510004112</c:v>
                </c:pt>
                <c:pt idx="205">
                  <c:v>-1.8811891589867893</c:v>
                </c:pt>
                <c:pt idx="206">
                  <c:v>-1.9405039159679214</c:v>
                </c:pt>
                <c:pt idx="207">
                  <c:v>-1.9229283922179212</c:v>
                </c:pt>
                <c:pt idx="208">
                  <c:v>-1.9320632733355683</c:v>
                </c:pt>
                <c:pt idx="209">
                  <c:v>-1.9429772980650764</c:v>
                </c:pt>
                <c:pt idx="210">
                  <c:v>-1.9605718914900763</c:v>
                </c:pt>
                <c:pt idx="211">
                  <c:v>-1.9513878500819954</c:v>
                </c:pt>
                <c:pt idx="212">
                  <c:v>-1.9464970719459009</c:v>
                </c:pt>
                <c:pt idx="213">
                  <c:v>-1.952287440345901</c:v>
                </c:pt>
                <c:pt idx="214">
                  <c:v>-1.9317365923587448</c:v>
                </c:pt>
                <c:pt idx="215">
                  <c:v>-1.9822265267358281</c:v>
                </c:pt>
                <c:pt idx="216">
                  <c:v>-2.0159979771695635</c:v>
                </c:pt>
                <c:pt idx="217">
                  <c:v>-1.9208103132998666</c:v>
                </c:pt>
                <c:pt idx="218">
                  <c:v>-1.9756587248370092</c:v>
                </c:pt>
                <c:pt idx="219">
                  <c:v>-2.0594687458755634</c:v>
                </c:pt>
                <c:pt idx="220">
                  <c:v>-2.1068989910018256</c:v>
                </c:pt>
                <c:pt idx="221">
                  <c:v>-1.9671836459438548</c:v>
                </c:pt>
                <c:pt idx="222">
                  <c:v>-1.992942346333102</c:v>
                </c:pt>
                <c:pt idx="223">
                  <c:v>-2.0136292260447299</c:v>
                </c:pt>
                <c:pt idx="224">
                  <c:v>-1.9474099720347298</c:v>
                </c:pt>
                <c:pt idx="225">
                  <c:v>-1.8307217608726609</c:v>
                </c:pt>
                <c:pt idx="226">
                  <c:v>-1.6680724491036465</c:v>
                </c:pt>
                <c:pt idx="227">
                  <c:v>-1.5537017154112658</c:v>
                </c:pt>
                <c:pt idx="228">
                  <c:v>-1.6979801504112659</c:v>
                </c:pt>
                <c:pt idx="229">
                  <c:v>-1.763915453511266</c:v>
                </c:pt>
                <c:pt idx="230">
                  <c:v>-1.7195455811112657</c:v>
                </c:pt>
                <c:pt idx="231">
                  <c:v>-1.6330552634112665</c:v>
                </c:pt>
                <c:pt idx="232">
                  <c:v>-1.494539961718959</c:v>
                </c:pt>
                <c:pt idx="233">
                  <c:v>-1.6537656276778065</c:v>
                </c:pt>
                <c:pt idx="234">
                  <c:v>-1.5962816338889176</c:v>
                </c:pt>
                <c:pt idx="235">
                  <c:v>-1.5477626915437563</c:v>
                </c:pt>
                <c:pt idx="236">
                  <c:v>-1.5399256243378741</c:v>
                </c:pt>
                <c:pt idx="237">
                  <c:v>-1.5163552797930979</c:v>
                </c:pt>
                <c:pt idx="238">
                  <c:v>-1.473384870270241</c:v>
                </c:pt>
                <c:pt idx="239">
                  <c:v>-1.4938429132628335</c:v>
                </c:pt>
                <c:pt idx="240">
                  <c:v>-1.4989647433428335</c:v>
                </c:pt>
                <c:pt idx="241">
                  <c:v>-1.4821058299428334</c:v>
                </c:pt>
                <c:pt idx="242">
                  <c:v>-1.5065121897222149</c:v>
                </c:pt>
                <c:pt idx="243">
                  <c:v>-1.5197524053023472</c:v>
                </c:pt>
                <c:pt idx="244">
                  <c:v>-1.5069912360079651</c:v>
                </c:pt>
                <c:pt idx="245">
                  <c:v>-1.4846523480494747</c:v>
                </c:pt>
                <c:pt idx="246">
                  <c:v>-1.4672215796894748</c:v>
                </c:pt>
                <c:pt idx="247">
                  <c:v>-1.4849736588592424</c:v>
                </c:pt>
                <c:pt idx="248">
                  <c:v>-1.4815867966558522</c:v>
                </c:pt>
                <c:pt idx="249">
                  <c:v>-1.5357640400717367</c:v>
                </c:pt>
                <c:pt idx="250">
                  <c:v>-1.5049651179086596</c:v>
                </c:pt>
                <c:pt idx="251">
                  <c:v>-1.4538672490099929</c:v>
                </c:pt>
                <c:pt idx="252">
                  <c:v>-1.4176778612385645</c:v>
                </c:pt>
                <c:pt idx="253">
                  <c:v>-1.447006013482433</c:v>
                </c:pt>
                <c:pt idx="254">
                  <c:v>-1.3389372684734542</c:v>
                </c:pt>
                <c:pt idx="255">
                  <c:v>-1.3320501003821499</c:v>
                </c:pt>
                <c:pt idx="256">
                  <c:v>-1.3193026366528815</c:v>
                </c:pt>
                <c:pt idx="257">
                  <c:v>-1.2885801146297289</c:v>
                </c:pt>
                <c:pt idx="258">
                  <c:v>-1.1617155918349575</c:v>
                </c:pt>
                <c:pt idx="259">
                  <c:v>-1.1524672375487508</c:v>
                </c:pt>
                <c:pt idx="260">
                  <c:v>-1.1342697531524204</c:v>
                </c:pt>
                <c:pt idx="261">
                  <c:v>-1.0455278075777881</c:v>
                </c:pt>
                <c:pt idx="262">
                  <c:v>-1.0618431394909957</c:v>
                </c:pt>
                <c:pt idx="263">
                  <c:v>-1.0235222920529348</c:v>
                </c:pt>
                <c:pt idx="264">
                  <c:v>-1.0308902038420438</c:v>
                </c:pt>
                <c:pt idx="265">
                  <c:v>-0.99910022402476817</c:v>
                </c:pt>
                <c:pt idx="266">
                  <c:v>-0.97129334931496425</c:v>
                </c:pt>
                <c:pt idx="267">
                  <c:v>-0.92668184778067864</c:v>
                </c:pt>
                <c:pt idx="268">
                  <c:v>-1.1090306207241372</c:v>
                </c:pt>
                <c:pt idx="269">
                  <c:v>-0.76707830692566059</c:v>
                </c:pt>
                <c:pt idx="270">
                  <c:v>-0.52060382660903315</c:v>
                </c:pt>
                <c:pt idx="271">
                  <c:v>-0.71293528247692672</c:v>
                </c:pt>
                <c:pt idx="272">
                  <c:v>-0.61518519241644376</c:v>
                </c:pt>
                <c:pt idx="273">
                  <c:v>-0.69620916030373148</c:v>
                </c:pt>
                <c:pt idx="274">
                  <c:v>-0.71090272604620242</c:v>
                </c:pt>
                <c:pt idx="275">
                  <c:v>-0.70967147008395337</c:v>
                </c:pt>
                <c:pt idx="276">
                  <c:v>-0.74368679352133615</c:v>
                </c:pt>
                <c:pt idx="277">
                  <c:v>-0.75036186924788217</c:v>
                </c:pt>
                <c:pt idx="278">
                  <c:v>-0.74912796721258801</c:v>
                </c:pt>
                <c:pt idx="279">
                  <c:v>-0.7398088916866622</c:v>
                </c:pt>
                <c:pt idx="280">
                  <c:v>-0.75786109257929368</c:v>
                </c:pt>
                <c:pt idx="281">
                  <c:v>-0.74007446055737935</c:v>
                </c:pt>
                <c:pt idx="282">
                  <c:v>-0.70718210909869672</c:v>
                </c:pt>
                <c:pt idx="283">
                  <c:v>-0.74924570614306629</c:v>
                </c:pt>
                <c:pt idx="284">
                  <c:v>-0.69451565288973294</c:v>
                </c:pt>
                <c:pt idx="285">
                  <c:v>-0.67596859419774979</c:v>
                </c:pt>
                <c:pt idx="286">
                  <c:v>-0.65246105465985238</c:v>
                </c:pt>
                <c:pt idx="287">
                  <c:v>-0.57202263559650401</c:v>
                </c:pt>
                <c:pt idx="288">
                  <c:v>-0.58787187748269643</c:v>
                </c:pt>
                <c:pt idx="289">
                  <c:v>-0.57981158107051067</c:v>
                </c:pt>
                <c:pt idx="290">
                  <c:v>-0.51008710132659441</c:v>
                </c:pt>
                <c:pt idx="291">
                  <c:v>-0.68636190323388613</c:v>
                </c:pt>
                <c:pt idx="292">
                  <c:v>-0.78241999331750667</c:v>
                </c:pt>
                <c:pt idx="293">
                  <c:v>-0.76876698830642476</c:v>
                </c:pt>
                <c:pt idx="294">
                  <c:v>-0.73869074290472991</c:v>
                </c:pt>
                <c:pt idx="295">
                  <c:v>-0.78336965888404009</c:v>
                </c:pt>
                <c:pt idx="296">
                  <c:v>-0.70195475822193965</c:v>
                </c:pt>
                <c:pt idx="297">
                  <c:v>-0.64640787402321387</c:v>
                </c:pt>
                <c:pt idx="298">
                  <c:v>-0.66127430155483813</c:v>
                </c:pt>
                <c:pt idx="299">
                  <c:v>-0.68432369903228174</c:v>
                </c:pt>
                <c:pt idx="300">
                  <c:v>-0.63651039696020972</c:v>
                </c:pt>
                <c:pt idx="301">
                  <c:v>-0.6101505229204307</c:v>
                </c:pt>
                <c:pt idx="302">
                  <c:v>-0.60186177808406682</c:v>
                </c:pt>
                <c:pt idx="303">
                  <c:v>-0.58969643848072417</c:v>
                </c:pt>
                <c:pt idx="304">
                  <c:v>-0.59954355954023331</c:v>
                </c:pt>
                <c:pt idx="305">
                  <c:v>-0.61445443887481976</c:v>
                </c:pt>
                <c:pt idx="306">
                  <c:v>-0.60228727665366588</c:v>
                </c:pt>
                <c:pt idx="307">
                  <c:v>-0.62397419240103424</c:v>
                </c:pt>
                <c:pt idx="308">
                  <c:v>-0.64081875855551929</c:v>
                </c:pt>
                <c:pt idx="309">
                  <c:v>-0.63352493275977473</c:v>
                </c:pt>
                <c:pt idx="310">
                  <c:v>-0.61063954800286868</c:v>
                </c:pt>
                <c:pt idx="311">
                  <c:v>-0.6129619983278688</c:v>
                </c:pt>
                <c:pt idx="312">
                  <c:v>-0.59044482466297199</c:v>
                </c:pt>
                <c:pt idx="313">
                  <c:v>-0.5576721913094006</c:v>
                </c:pt>
                <c:pt idx="314">
                  <c:v>-0.52372806030085362</c:v>
                </c:pt>
                <c:pt idx="315">
                  <c:v>-0.49629397140165676</c:v>
                </c:pt>
                <c:pt idx="316">
                  <c:v>-0.46988164838942459</c:v>
                </c:pt>
                <c:pt idx="317">
                  <c:v>-0.49013577978659051</c:v>
                </c:pt>
                <c:pt idx="318">
                  <c:v>-0.52231929461159043</c:v>
                </c:pt>
                <c:pt idx="319">
                  <c:v>-0.5067061816470283</c:v>
                </c:pt>
                <c:pt idx="320">
                  <c:v>-0.44504936043279603</c:v>
                </c:pt>
                <c:pt idx="321">
                  <c:v>-0.50201964060736248</c:v>
                </c:pt>
                <c:pt idx="322">
                  <c:v>-0.5027444066001423</c:v>
                </c:pt>
                <c:pt idx="323">
                  <c:v>-0.54616960692757577</c:v>
                </c:pt>
                <c:pt idx="324">
                  <c:v>-0.55218152870976756</c:v>
                </c:pt>
                <c:pt idx="325">
                  <c:v>-0.55354773454538397</c:v>
                </c:pt>
                <c:pt idx="326">
                  <c:v>-0.58110513482864756</c:v>
                </c:pt>
                <c:pt idx="327">
                  <c:v>-0.57414908797357511</c:v>
                </c:pt>
                <c:pt idx="328">
                  <c:v>-0.59210973428014435</c:v>
                </c:pt>
                <c:pt idx="329">
                  <c:v>-0.60673902764416876</c:v>
                </c:pt>
                <c:pt idx="330">
                  <c:v>-0.58387222022112728</c:v>
                </c:pt>
                <c:pt idx="331">
                  <c:v>-0.58775436677927428</c:v>
                </c:pt>
                <c:pt idx="332">
                  <c:v>-0.57926868976687118</c:v>
                </c:pt>
                <c:pt idx="333">
                  <c:v>-0.59868780220020434</c:v>
                </c:pt>
                <c:pt idx="334">
                  <c:v>-0.60323662392192379</c:v>
                </c:pt>
                <c:pt idx="335">
                  <c:v>-0.59936139029450441</c:v>
                </c:pt>
                <c:pt idx="336">
                  <c:v>-0.57369411263301384</c:v>
                </c:pt>
                <c:pt idx="337">
                  <c:v>-0.52531537975496501</c:v>
                </c:pt>
                <c:pt idx="338">
                  <c:v>-0.54355500228708631</c:v>
                </c:pt>
                <c:pt idx="339">
                  <c:v>-0.53921558511509449</c:v>
                </c:pt>
                <c:pt idx="340">
                  <c:v>-0.53334701969201759</c:v>
                </c:pt>
                <c:pt idx="341">
                  <c:v>-0.51819555285113372</c:v>
                </c:pt>
                <c:pt idx="342">
                  <c:v>-0.43896983401005929</c:v>
                </c:pt>
                <c:pt idx="343">
                  <c:v>-0.46709187465603874</c:v>
                </c:pt>
                <c:pt idx="344">
                  <c:v>-0.49429900572786972</c:v>
                </c:pt>
                <c:pt idx="345">
                  <c:v>-0.49802820948822485</c:v>
                </c:pt>
                <c:pt idx="346">
                  <c:v>-0.48315711388177313</c:v>
                </c:pt>
                <c:pt idx="347">
                  <c:v>-0.44922304352020292</c:v>
                </c:pt>
                <c:pt idx="348">
                  <c:v>-0.36064368274974434</c:v>
                </c:pt>
                <c:pt idx="349">
                  <c:v>-0.38877495086403008</c:v>
                </c:pt>
                <c:pt idx="350">
                  <c:v>-0.42320805446403009</c:v>
                </c:pt>
                <c:pt idx="351">
                  <c:v>-0.53368561783941482</c:v>
                </c:pt>
                <c:pt idx="352">
                  <c:v>-0.52659975074015586</c:v>
                </c:pt>
                <c:pt idx="353">
                  <c:v>-0.48720568743348908</c:v>
                </c:pt>
                <c:pt idx="354">
                  <c:v>-0.59539089210592722</c:v>
                </c:pt>
                <c:pt idx="355">
                  <c:v>-0.17574749879518548</c:v>
                </c:pt>
                <c:pt idx="356">
                  <c:v>-0.27427291260289749</c:v>
                </c:pt>
                <c:pt idx="357">
                  <c:v>-0.2915825636194655</c:v>
                </c:pt>
                <c:pt idx="358">
                  <c:v>-0.29064694815863612</c:v>
                </c:pt>
                <c:pt idx="359">
                  <c:v>-0.32135378557331501</c:v>
                </c:pt>
                <c:pt idx="360">
                  <c:v>-0.32251098149417828</c:v>
                </c:pt>
                <c:pt idx="361">
                  <c:v>-0.32650132691687334</c:v>
                </c:pt>
                <c:pt idx="362">
                  <c:v>-0.3154809466642417</c:v>
                </c:pt>
                <c:pt idx="363">
                  <c:v>-0.32332017465090829</c:v>
                </c:pt>
                <c:pt idx="364">
                  <c:v>-0.30262797362392418</c:v>
                </c:pt>
                <c:pt idx="365">
                  <c:v>-0.3272236539019569</c:v>
                </c:pt>
                <c:pt idx="366">
                  <c:v>-0.31895435487219498</c:v>
                </c:pt>
                <c:pt idx="367">
                  <c:v>-0.32401234206543816</c:v>
                </c:pt>
                <c:pt idx="368">
                  <c:v>-0.29751772920022085</c:v>
                </c:pt>
                <c:pt idx="369">
                  <c:v>-0.3173773764512276</c:v>
                </c:pt>
                <c:pt idx="370">
                  <c:v>-0.31174707064687979</c:v>
                </c:pt>
                <c:pt idx="371">
                  <c:v>-0.32695582401709261</c:v>
                </c:pt>
                <c:pt idx="372">
                  <c:v>-0.29464829657733349</c:v>
                </c:pt>
                <c:pt idx="373">
                  <c:v>-0.29527159960844457</c:v>
                </c:pt>
                <c:pt idx="374">
                  <c:v>-0.25437760079886368</c:v>
                </c:pt>
                <c:pt idx="375">
                  <c:v>-0.27375296287334644</c:v>
                </c:pt>
                <c:pt idx="376">
                  <c:v>-0.27556271332028531</c:v>
                </c:pt>
                <c:pt idx="377">
                  <c:v>-0.23940807770809022</c:v>
                </c:pt>
                <c:pt idx="378">
                  <c:v>-0.1375212597068097</c:v>
                </c:pt>
                <c:pt idx="379">
                  <c:v>-0.28291006759060094</c:v>
                </c:pt>
                <c:pt idx="380">
                  <c:v>-0.30174323862354208</c:v>
                </c:pt>
                <c:pt idx="381">
                  <c:v>-0.3091948415281473</c:v>
                </c:pt>
                <c:pt idx="382">
                  <c:v>-0.29874969017646191</c:v>
                </c:pt>
                <c:pt idx="383">
                  <c:v>-0.35668885579090048</c:v>
                </c:pt>
                <c:pt idx="384">
                  <c:v>-0.34604838781799724</c:v>
                </c:pt>
                <c:pt idx="385">
                  <c:v>-0.29498227777462899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8-4530-9CAD-AAF4FC790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728320"/>
        <c:axId val="175730816"/>
      </c:lineChart>
      <c:dateAx>
        <c:axId val="17572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30816"/>
        <c:crosses val="autoZero"/>
        <c:auto val="1"/>
        <c:lblOffset val="100"/>
        <c:baseTimeUnit val="days"/>
      </c:dateAx>
      <c:valAx>
        <c:axId val="1757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AD5C34-129D-48F7-B63C-8B9447B83535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F13EC4-DDE1-410C-B2A6-20CEA21E6F2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0.5</v>
      </c>
      <c r="D2" s="4">
        <f>MIN(D3:D1912)</f>
        <v>0.1139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0.11509999999999999</v>
      </c>
      <c r="C5">
        <v>0.1163</v>
      </c>
      <c r="D5">
        <v>0.1139</v>
      </c>
      <c r="E5">
        <v>0.1139</v>
      </c>
      <c r="F5">
        <v>295767</v>
      </c>
      <c r="G5">
        <v>0.1139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-295767</v>
      </c>
      <c r="R5">
        <f t="shared" ref="R5" si="2">R6+Q5</f>
        <v>-225788847.30912504</v>
      </c>
      <c r="S5">
        <f t="shared" ref="S5" si="3">R5/100000</f>
        <v>-2257.8884730912505</v>
      </c>
      <c r="T5">
        <f t="shared" ref="T5" si="4">S5/1000</f>
        <v>-2.2578884730912505</v>
      </c>
    </row>
    <row r="6" spans="1:20" x14ac:dyDescent="0.25">
      <c r="A6" s="5">
        <v>44587</v>
      </c>
      <c r="B6">
        <v>0.12770000000000001</v>
      </c>
      <c r="C6">
        <v>0.128</v>
      </c>
      <c r="D6">
        <v>0.1139</v>
      </c>
      <c r="E6">
        <v>0.115</v>
      </c>
      <c r="F6">
        <v>13993582</v>
      </c>
      <c r="G6">
        <v>0.115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-0.8439716312056732</v>
      </c>
      <c r="Q6">
        <f t="shared" ref="Q6" si="6">F6*P6</f>
        <v>-11810186.226950347</v>
      </c>
      <c r="R6">
        <f t="shared" ref="R6" si="7">R7+Q6</f>
        <v>-225493080.30912504</v>
      </c>
      <c r="S6">
        <f t="shared" ref="S6" si="8">R6/100000</f>
        <v>-2254.9308030912503</v>
      </c>
      <c r="T6">
        <f t="shared" ref="T6" si="9">S6/1000</f>
        <v>-2.2549308030912503</v>
      </c>
    </row>
    <row r="7" spans="1:20" x14ac:dyDescent="0.25">
      <c r="A7" s="5">
        <v>44586</v>
      </c>
      <c r="B7">
        <v>0.14330000000000001</v>
      </c>
      <c r="C7">
        <v>0.14330000000000001</v>
      </c>
      <c r="D7">
        <v>0.1235</v>
      </c>
      <c r="E7">
        <v>0.1273</v>
      </c>
      <c r="F7">
        <v>15209981.539999999</v>
      </c>
      <c r="G7">
        <v>0.1273</v>
      </c>
      <c r="L7" t="s">
        <v>7</v>
      </c>
      <c r="M7" t="s">
        <v>7</v>
      </c>
      <c r="N7" t="s">
        <v>7</v>
      </c>
      <c r="P7">
        <f t="shared" ref="P7" si="10">IF(C7=D7,0,((E7-D7)-(C7-E7))/(C7-D7))</f>
        <v>-0.61616161616161658</v>
      </c>
      <c r="Q7">
        <f t="shared" ref="Q7" si="11">F7*P7</f>
        <v>-9371806.8074747529</v>
      </c>
      <c r="R7">
        <f t="shared" ref="R7" si="12">R8+Q7</f>
        <v>-213682894.08217469</v>
      </c>
      <c r="S7">
        <f t="shared" ref="S7" si="13">R7/100000</f>
        <v>-2136.828940821747</v>
      </c>
      <c r="T7">
        <f t="shared" ref="T7" si="14">S7/1000</f>
        <v>-2.1368289408217471</v>
      </c>
    </row>
    <row r="8" spans="1:20" x14ac:dyDescent="0.25">
      <c r="A8" s="5">
        <v>44585</v>
      </c>
      <c r="B8">
        <v>0.1474</v>
      </c>
      <c r="C8">
        <v>0.1474</v>
      </c>
      <c r="D8">
        <v>0.1313</v>
      </c>
      <c r="E8">
        <v>0.1426</v>
      </c>
      <c r="F8">
        <v>2377256</v>
      </c>
      <c r="G8">
        <v>0.1426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0.40372670807453442</v>
      </c>
      <c r="Q8">
        <f t="shared" ref="Q8" si="16">F8*P8</f>
        <v>959761.7391304354</v>
      </c>
      <c r="R8">
        <f t="shared" ref="R8" si="17">R9+Q8</f>
        <v>-204311087.27469993</v>
      </c>
      <c r="S8">
        <f t="shared" ref="S8" si="18">R8/100000</f>
        <v>-2043.1108727469993</v>
      </c>
      <c r="T8">
        <f t="shared" ref="T8" si="19">S8/1000</f>
        <v>-2.0431108727469995</v>
      </c>
    </row>
    <row r="9" spans="1:20" x14ac:dyDescent="0.25">
      <c r="A9" s="5">
        <v>44584</v>
      </c>
      <c r="B9">
        <v>0.1399</v>
      </c>
      <c r="C9">
        <v>0.14810000000000001</v>
      </c>
      <c r="D9">
        <v>0.13900000000000001</v>
      </c>
      <c r="E9">
        <v>0.1477</v>
      </c>
      <c r="F9">
        <v>1373769</v>
      </c>
      <c r="G9">
        <v>0.1477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0.91208791208790951</v>
      </c>
      <c r="Q9">
        <f t="shared" ref="Q9" si="21">F9*P9</f>
        <v>1252998.0989010953</v>
      </c>
      <c r="R9">
        <f t="shared" ref="R9" si="22">R10+Q9</f>
        <v>-205270849.01383036</v>
      </c>
      <c r="S9">
        <f t="shared" ref="S9" si="23">R9/100000</f>
        <v>-2052.7084901383037</v>
      </c>
      <c r="T9">
        <f t="shared" ref="T9" si="24">S9/1000</f>
        <v>-2.0527084901383037</v>
      </c>
    </row>
    <row r="10" spans="1:20" x14ac:dyDescent="0.25">
      <c r="A10" s="5">
        <v>44583</v>
      </c>
      <c r="B10">
        <v>0.14849999999999999</v>
      </c>
      <c r="C10">
        <v>0.14929999999999999</v>
      </c>
      <c r="D10">
        <v>0.13589999999999999</v>
      </c>
      <c r="E10">
        <v>0.1394</v>
      </c>
      <c r="F10">
        <v>3293842</v>
      </c>
      <c r="G10">
        <v>0.1394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-0.47761194029850679</v>
      </c>
      <c r="Q10">
        <f t="shared" ref="Q10" si="26">F10*P10</f>
        <v>-1573178.2686567141</v>
      </c>
      <c r="R10">
        <f t="shared" ref="R10" si="27">R11+Q10</f>
        <v>-206523847.11273146</v>
      </c>
      <c r="S10">
        <f t="shared" ref="S10" si="28">R10/100000</f>
        <v>-2065.2384711273144</v>
      </c>
      <c r="T10">
        <f t="shared" ref="T10" si="29">S10/1000</f>
        <v>-2.0652384711273144</v>
      </c>
    </row>
    <row r="11" spans="1:20" x14ac:dyDescent="0.25">
      <c r="A11" s="5">
        <v>44582</v>
      </c>
      <c r="B11">
        <v>0.1666</v>
      </c>
      <c r="C11">
        <v>0.1678</v>
      </c>
      <c r="D11">
        <v>0.14710000000000001</v>
      </c>
      <c r="E11">
        <v>0.1474</v>
      </c>
      <c r="F11">
        <v>3321152.51</v>
      </c>
      <c r="G11">
        <v>0.1474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-0.97101449275362373</v>
      </c>
      <c r="Q11">
        <f t="shared" ref="Q11" si="31">F11*P11</f>
        <v>-3224887.2198550738</v>
      </c>
      <c r="R11">
        <f t="shared" ref="R11" si="32">R12+Q11</f>
        <v>-204950668.84407476</v>
      </c>
      <c r="S11">
        <f t="shared" ref="S11" si="33">R11/100000</f>
        <v>-2049.5066884407474</v>
      </c>
      <c r="T11">
        <f t="shared" ref="T11" si="34">S11/1000</f>
        <v>-2.0495066884407476</v>
      </c>
    </row>
    <row r="12" spans="1:20" x14ac:dyDescent="0.25">
      <c r="A12" s="5">
        <v>44581</v>
      </c>
      <c r="B12">
        <v>0.17019999999999999</v>
      </c>
      <c r="C12">
        <v>0.17660000000000001</v>
      </c>
      <c r="D12">
        <v>0.1666</v>
      </c>
      <c r="E12">
        <v>0.1666</v>
      </c>
      <c r="F12">
        <v>886076</v>
      </c>
      <c r="G12">
        <v>0.1666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-886076</v>
      </c>
      <c r="R12">
        <f t="shared" ref="R12" si="37">R13+Q12</f>
        <v>-201725781.62421969</v>
      </c>
      <c r="S12">
        <f t="shared" ref="S12" si="38">R12/100000</f>
        <v>-2017.2578162421969</v>
      </c>
      <c r="T12">
        <f t="shared" ref="T12" si="39">S12/1000</f>
        <v>-2.0172578162421968</v>
      </c>
    </row>
    <row r="13" spans="1:20" x14ac:dyDescent="0.25">
      <c r="A13" s="5">
        <v>44580</v>
      </c>
      <c r="B13">
        <v>0.17499999999999999</v>
      </c>
      <c r="C13">
        <v>0.1759</v>
      </c>
      <c r="D13">
        <v>0.1691</v>
      </c>
      <c r="E13">
        <v>0.17119999999999999</v>
      </c>
      <c r="F13">
        <v>1639173</v>
      </c>
      <c r="G13">
        <v>0.17119999999999999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-0.38235294117647334</v>
      </c>
      <c r="Q13">
        <f t="shared" ref="Q13" si="41">F13*P13</f>
        <v>-626742.61764706334</v>
      </c>
      <c r="R13">
        <f t="shared" ref="R13" si="42">R14+Q13</f>
        <v>-200839705.62421969</v>
      </c>
      <c r="S13">
        <f t="shared" ref="S13" si="43">R13/100000</f>
        <v>-2008.3970562421969</v>
      </c>
      <c r="T13">
        <f t="shared" ref="T13" si="44">S13/1000</f>
        <v>-2.0083970562421967</v>
      </c>
    </row>
    <row r="14" spans="1:20" x14ac:dyDescent="0.25">
      <c r="A14" s="5">
        <v>44579</v>
      </c>
      <c r="B14">
        <v>0.1754</v>
      </c>
      <c r="C14">
        <v>0.1762</v>
      </c>
      <c r="D14">
        <v>0.17019999999999999</v>
      </c>
      <c r="E14">
        <v>0.1749</v>
      </c>
      <c r="F14">
        <v>1326317</v>
      </c>
      <c r="G14">
        <v>0.1749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0.56666666666666854</v>
      </c>
      <c r="Q14">
        <f t="shared" ref="Q14" si="46">F14*P14</f>
        <v>751579.63333333586</v>
      </c>
      <c r="R14">
        <f t="shared" ref="R14" si="47">R15+Q14</f>
        <v>-200212963.00657263</v>
      </c>
      <c r="S14">
        <f t="shared" ref="S14" si="48">R14/100000</f>
        <v>-2002.1296300657264</v>
      </c>
      <c r="T14">
        <f t="shared" ref="T14" si="49">S14/1000</f>
        <v>-2.0021296300657263</v>
      </c>
    </row>
    <row r="15" spans="1:20" x14ac:dyDescent="0.25">
      <c r="A15" s="5">
        <v>44578</v>
      </c>
      <c r="B15">
        <v>0.18</v>
      </c>
      <c r="C15">
        <v>0.18390000000000001</v>
      </c>
      <c r="D15">
        <v>0.1726</v>
      </c>
      <c r="E15">
        <v>0.17549999999999999</v>
      </c>
      <c r="F15">
        <v>2083903</v>
      </c>
      <c r="G15">
        <v>0.17549999999999999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-0.48672566371681686</v>
      </c>
      <c r="Q15">
        <f t="shared" ref="Q15" si="51">F15*P15</f>
        <v>-1014289.0707964659</v>
      </c>
      <c r="R15">
        <f t="shared" ref="R15" si="52">R16+Q15</f>
        <v>-200964542.63990596</v>
      </c>
      <c r="S15">
        <f t="shared" ref="S15" si="53">R15/100000</f>
        <v>-2009.6454263990595</v>
      </c>
      <c r="T15">
        <f t="shared" ref="T15" si="54">S15/1000</f>
        <v>-2.0096454263990595</v>
      </c>
    </row>
    <row r="16" spans="1:20" x14ac:dyDescent="0.25">
      <c r="A16" s="5">
        <v>44577</v>
      </c>
      <c r="B16">
        <v>0.18</v>
      </c>
      <c r="C16">
        <v>0.186</v>
      </c>
      <c r="D16">
        <v>0.17680000000000001</v>
      </c>
      <c r="E16">
        <v>0.1804</v>
      </c>
      <c r="F16">
        <v>1469634</v>
      </c>
      <c r="G16">
        <v>0.1804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-0.21739130434782661</v>
      </c>
      <c r="Q16">
        <f t="shared" ref="Q16" si="56">F16*P16</f>
        <v>-319485.65217391378</v>
      </c>
      <c r="R16">
        <f t="shared" ref="R16" si="57">R17+Q16</f>
        <v>-199950253.5691095</v>
      </c>
      <c r="S16">
        <f t="shared" ref="S16" si="58">R16/100000</f>
        <v>-1999.5025356910951</v>
      </c>
      <c r="T16">
        <f t="shared" ref="T16" si="59">S16/1000</f>
        <v>-1.9995025356910952</v>
      </c>
    </row>
    <row r="17" spans="1:20" x14ac:dyDescent="0.25">
      <c r="A17" s="5">
        <v>44576</v>
      </c>
      <c r="B17">
        <v>0.1797</v>
      </c>
      <c r="C17">
        <v>0.18260000000000001</v>
      </c>
      <c r="D17">
        <v>0.1772</v>
      </c>
      <c r="E17">
        <v>0.18060000000000001</v>
      </c>
      <c r="F17">
        <v>845633</v>
      </c>
      <c r="G17">
        <v>0.18060000000000001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0.2592592592592608</v>
      </c>
      <c r="Q17">
        <f t="shared" ref="Q17" si="61">F17*P17</f>
        <v>219238.18518518648</v>
      </c>
      <c r="R17">
        <f t="shared" ref="R17" si="62">R18+Q17</f>
        <v>-199630767.91693559</v>
      </c>
      <c r="S17">
        <f t="shared" ref="S17" si="63">R17/100000</f>
        <v>-1996.3076791693559</v>
      </c>
      <c r="T17">
        <f t="shared" ref="T17" si="64">S17/1000</f>
        <v>-1.9963076791693559</v>
      </c>
    </row>
    <row r="18" spans="1:20" x14ac:dyDescent="0.25">
      <c r="A18" s="5">
        <v>44575</v>
      </c>
      <c r="B18">
        <v>0.17899999999999999</v>
      </c>
      <c r="C18">
        <v>0.18099999999999999</v>
      </c>
      <c r="D18">
        <v>0.17469999999999999</v>
      </c>
      <c r="E18">
        <v>0.17979999999999999</v>
      </c>
      <c r="F18">
        <v>1153846</v>
      </c>
      <c r="G18">
        <v>0.17979999999999999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0.61904761904761696</v>
      </c>
      <c r="Q18">
        <f t="shared" ref="Q18" si="66">F18*P18</f>
        <v>714285.61904761661</v>
      </c>
      <c r="R18">
        <f t="shared" ref="R18" si="67">R19+Q18</f>
        <v>-199850006.10212079</v>
      </c>
      <c r="S18">
        <f t="shared" ref="S18" si="68">R18/100000</f>
        <v>-1998.5000610212078</v>
      </c>
      <c r="T18">
        <f t="shared" ref="T18" si="69">S18/1000</f>
        <v>-1.9985000610212078</v>
      </c>
    </row>
    <row r="19" spans="1:20" x14ac:dyDescent="0.25">
      <c r="A19" s="5">
        <v>44574</v>
      </c>
      <c r="B19">
        <v>0.18210000000000001</v>
      </c>
      <c r="C19">
        <v>0.1862</v>
      </c>
      <c r="D19">
        <v>0.17699999999999999</v>
      </c>
      <c r="E19">
        <v>0.17899999999999999</v>
      </c>
      <c r="F19">
        <v>1621737</v>
      </c>
      <c r="G19">
        <v>0.17899999999999999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-0.56521739130434812</v>
      </c>
      <c r="Q19">
        <f t="shared" ref="Q19" si="71">F19*P19</f>
        <v>-916633.9565217396</v>
      </c>
      <c r="R19">
        <f t="shared" ref="R19" si="72">R20+Q19</f>
        <v>-200564291.7211684</v>
      </c>
      <c r="S19">
        <f t="shared" ref="S19" si="73">R19/100000</f>
        <v>-2005.6429172116839</v>
      </c>
      <c r="T19">
        <f t="shared" ref="T19" si="74">S19/1000</f>
        <v>-2.0056429172116839</v>
      </c>
    </row>
    <row r="20" spans="1:20" x14ac:dyDescent="0.25">
      <c r="A20" s="5">
        <v>44573</v>
      </c>
      <c r="B20">
        <v>0.17780000000000001</v>
      </c>
      <c r="C20">
        <v>0.18310000000000001</v>
      </c>
      <c r="D20">
        <v>0.17649999999999999</v>
      </c>
      <c r="E20">
        <v>0.18260000000000001</v>
      </c>
      <c r="F20">
        <v>1829679</v>
      </c>
      <c r="G20">
        <v>0.18260000000000001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0.84848484848484884</v>
      </c>
      <c r="Q20">
        <f t="shared" ref="Q20" si="76">F20*P20</f>
        <v>1552454.9090909096</v>
      </c>
      <c r="R20">
        <f t="shared" ref="R20" si="77">R21+Q20</f>
        <v>-199647657.76464665</v>
      </c>
      <c r="S20">
        <f t="shared" ref="S20" si="78">R20/100000</f>
        <v>-1996.4765776464665</v>
      </c>
      <c r="T20">
        <f t="shared" ref="T20" si="79">S20/1000</f>
        <v>-1.9964765776464666</v>
      </c>
    </row>
    <row r="21" spans="1:20" x14ac:dyDescent="0.25">
      <c r="A21" s="5">
        <v>44572</v>
      </c>
      <c r="B21">
        <v>0.17399999999999999</v>
      </c>
      <c r="C21">
        <v>0.17949999999999999</v>
      </c>
      <c r="D21">
        <v>0.1734</v>
      </c>
      <c r="E21">
        <v>0.17780000000000001</v>
      </c>
      <c r="F21">
        <v>2017281</v>
      </c>
      <c r="G21">
        <v>0.17780000000000001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0.4426229508196784</v>
      </c>
      <c r="Q21">
        <f t="shared" ref="Q21" si="81">F21*P21</f>
        <v>892894.8688524717</v>
      </c>
      <c r="R21">
        <f t="shared" ref="R21" si="82">R22+Q21</f>
        <v>-201200112.67373756</v>
      </c>
      <c r="S21">
        <f t="shared" ref="S21" si="83">R21/100000</f>
        <v>-2012.0011267373757</v>
      </c>
      <c r="T21">
        <f t="shared" ref="T21" si="84">S21/1000</f>
        <v>-2.0120011267373759</v>
      </c>
    </row>
    <row r="22" spans="1:20" x14ac:dyDescent="0.25">
      <c r="A22" s="5">
        <v>44571</v>
      </c>
      <c r="B22">
        <v>0.17549999999999999</v>
      </c>
      <c r="C22">
        <v>0.1772</v>
      </c>
      <c r="D22">
        <v>0.16900000000000001</v>
      </c>
      <c r="E22">
        <v>0.1739</v>
      </c>
      <c r="F22">
        <v>1593826</v>
      </c>
      <c r="G22">
        <v>0.1739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0.19512195121951137</v>
      </c>
      <c r="Q22">
        <f t="shared" ref="Q22" si="86">F22*P22</f>
        <v>310990.43902438891</v>
      </c>
      <c r="R22">
        <f t="shared" ref="R22" si="87">R23+Q22</f>
        <v>-202093007.54259002</v>
      </c>
      <c r="S22">
        <f t="shared" ref="S22" si="88">R22/100000</f>
        <v>-2020.9300754259002</v>
      </c>
      <c r="T22">
        <f t="shared" ref="T22" si="89">S22/1000</f>
        <v>-2.0209300754259001</v>
      </c>
    </row>
    <row r="23" spans="1:20" x14ac:dyDescent="0.25">
      <c r="A23" s="5">
        <v>44570</v>
      </c>
      <c r="B23">
        <v>0.17499999999999999</v>
      </c>
      <c r="C23">
        <v>0.17949999999999999</v>
      </c>
      <c r="D23">
        <v>0.17280000000000001</v>
      </c>
      <c r="E23">
        <v>0.1759</v>
      </c>
      <c r="F23">
        <v>701294</v>
      </c>
      <c r="G23">
        <v>0.1759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-7.4626865671642034E-2</v>
      </c>
      <c r="Q23">
        <f t="shared" ref="Q23" si="91">F23*P23</f>
        <v>-52335.373134328525</v>
      </c>
      <c r="R23">
        <f t="shared" ref="R23" si="92">R24+Q23</f>
        <v>-202403997.98161441</v>
      </c>
      <c r="S23">
        <f t="shared" ref="S23" si="93">R23/100000</f>
        <v>-2024.0399798161441</v>
      </c>
      <c r="T23">
        <f t="shared" ref="T23" si="94">S23/1000</f>
        <v>-2.0240399798161439</v>
      </c>
    </row>
    <row r="24" spans="1:20" x14ac:dyDescent="0.25">
      <c r="A24" s="5">
        <v>44569</v>
      </c>
      <c r="B24">
        <v>0.17610000000000001</v>
      </c>
      <c r="C24">
        <v>0.1792</v>
      </c>
      <c r="D24">
        <v>0.17019999999999999</v>
      </c>
      <c r="E24">
        <v>0.17469999999999999</v>
      </c>
      <c r="F24">
        <v>1355472</v>
      </c>
      <c r="G24">
        <v>0.17469999999999999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</v>
      </c>
      <c r="Q24">
        <f t="shared" ref="Q24" si="96">F24*P24</f>
        <v>0</v>
      </c>
      <c r="R24">
        <f t="shared" ref="R24" si="97">R25+Q24</f>
        <v>-202351662.6084801</v>
      </c>
      <c r="S24">
        <f t="shared" ref="S24" si="98">R24/100000</f>
        <v>-2023.5166260848009</v>
      </c>
      <c r="T24">
        <f t="shared" ref="T24" si="99">S24/1000</f>
        <v>-2.0235166260848008</v>
      </c>
    </row>
    <row r="25" spans="1:20" x14ac:dyDescent="0.25">
      <c r="A25" s="5">
        <v>44568</v>
      </c>
      <c r="B25">
        <v>0.1812</v>
      </c>
      <c r="C25">
        <v>0.18229999999999999</v>
      </c>
      <c r="D25">
        <v>0.17069999999999999</v>
      </c>
      <c r="E25">
        <v>0.17630000000000001</v>
      </c>
      <c r="F25">
        <v>2296365</v>
      </c>
      <c r="G25">
        <v>0.17630000000000001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-3.4482758620685859E-2</v>
      </c>
      <c r="Q25">
        <f t="shared" ref="Q25" si="101">F25*P25</f>
        <v>-79184.999999991283</v>
      </c>
      <c r="R25">
        <f t="shared" ref="R25" si="102">R26+Q25</f>
        <v>-202351662.6084801</v>
      </c>
      <c r="S25">
        <f t="shared" ref="S25" si="103">R25/100000</f>
        <v>-2023.5166260848009</v>
      </c>
      <c r="T25">
        <f t="shared" ref="T25" si="104">S25/1000</f>
        <v>-2.0235166260848008</v>
      </c>
    </row>
    <row r="26" spans="1:20" x14ac:dyDescent="0.25">
      <c r="A26" s="5">
        <v>44567</v>
      </c>
      <c r="B26">
        <v>0.182</v>
      </c>
      <c r="C26">
        <v>0.18809999999999999</v>
      </c>
      <c r="D26">
        <v>0.17699999999999999</v>
      </c>
      <c r="E26">
        <v>0.1812</v>
      </c>
      <c r="F26">
        <v>2390545</v>
      </c>
      <c r="G26">
        <v>0.1812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-0.24324324324324148</v>
      </c>
      <c r="Q26">
        <f t="shared" ref="Q26" si="106">F26*P26</f>
        <v>-581483.91891891474</v>
      </c>
      <c r="R26">
        <f t="shared" ref="R26" si="107">R27+Q26</f>
        <v>-202272477.6084801</v>
      </c>
      <c r="S26">
        <f t="shared" ref="S26" si="108">R26/100000</f>
        <v>-2022.7247760848009</v>
      </c>
      <c r="T26">
        <f t="shared" ref="T26" si="109">S26/1000</f>
        <v>-2.0227247760848011</v>
      </c>
    </row>
    <row r="27" spans="1:20" x14ac:dyDescent="0.25">
      <c r="A27" s="5">
        <v>44566</v>
      </c>
      <c r="B27">
        <v>0.19570000000000001</v>
      </c>
      <c r="C27">
        <v>0.1986</v>
      </c>
      <c r="D27">
        <v>0.18010000000000001</v>
      </c>
      <c r="E27">
        <v>0.1832</v>
      </c>
      <c r="F27">
        <v>2800217.92</v>
      </c>
      <c r="G27">
        <v>0.1832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-0.66486486486486551</v>
      </c>
      <c r="Q27">
        <f t="shared" ref="Q27" si="111">F27*P27</f>
        <v>-1861766.5089729747</v>
      </c>
      <c r="R27">
        <f t="shared" ref="R27" si="112">R28+Q27</f>
        <v>-201690993.68956119</v>
      </c>
      <c r="S27">
        <f t="shared" ref="S27" si="113">R27/100000</f>
        <v>-2016.909936895612</v>
      </c>
      <c r="T27">
        <f t="shared" ref="T27" si="114">S27/1000</f>
        <v>-2.0169099368956118</v>
      </c>
    </row>
    <row r="28" spans="1:20" x14ac:dyDescent="0.25">
      <c r="A28" s="5">
        <v>44565</v>
      </c>
      <c r="B28">
        <v>0.19850000000000001</v>
      </c>
      <c r="C28">
        <v>0.20269999999999999</v>
      </c>
      <c r="D28">
        <v>0.19420000000000001</v>
      </c>
      <c r="E28">
        <v>0.19570000000000001</v>
      </c>
      <c r="F28">
        <v>2206335</v>
      </c>
      <c r="G28">
        <v>0.19570000000000001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-0.64705882352941058</v>
      </c>
      <c r="Q28">
        <f t="shared" ref="Q28" si="116">F28*P28</f>
        <v>-1427628.529411762</v>
      </c>
      <c r="R28">
        <f t="shared" ref="R28" si="117">R29+Q28</f>
        <v>-199829227.18058822</v>
      </c>
      <c r="S28">
        <f t="shared" ref="S28" si="118">R28/100000</f>
        <v>-1998.2922718058821</v>
      </c>
      <c r="T28">
        <f t="shared" ref="T28" si="119">S28/1000</f>
        <v>-1.9982922718058822</v>
      </c>
    </row>
    <row r="29" spans="1:20" x14ac:dyDescent="0.25">
      <c r="A29" s="5">
        <v>44564</v>
      </c>
      <c r="B29">
        <v>0.20419999999999999</v>
      </c>
      <c r="C29">
        <v>0.2117</v>
      </c>
      <c r="D29">
        <v>0.1963</v>
      </c>
      <c r="E29">
        <v>0.19839999999999999</v>
      </c>
      <c r="F29">
        <v>2485258</v>
      </c>
      <c r="G29">
        <v>0.19839999999999999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-0.7272727272727284</v>
      </c>
      <c r="Q29">
        <f t="shared" ref="Q29" si="121">F29*P29</f>
        <v>-1807460.3636363666</v>
      </c>
      <c r="R29">
        <f t="shared" ref="R29" si="122">R30+Q29</f>
        <v>-198401598.65117645</v>
      </c>
      <c r="S29">
        <f t="shared" ref="S29" si="123">R29/100000</f>
        <v>-1984.0159865117646</v>
      </c>
      <c r="T29">
        <f t="shared" ref="T29" si="124">S29/1000</f>
        <v>-1.9840159865117646</v>
      </c>
    </row>
    <row r="30" spans="1:20" x14ac:dyDescent="0.25">
      <c r="A30" s="5">
        <v>44563</v>
      </c>
      <c r="B30">
        <v>0.20599999999999999</v>
      </c>
      <c r="C30">
        <v>0.2077</v>
      </c>
      <c r="D30">
        <v>0.20300000000000001</v>
      </c>
      <c r="E30">
        <v>0.20549999999999999</v>
      </c>
      <c r="F30">
        <v>1096812</v>
      </c>
      <c r="G30">
        <v>0.20549999999999999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6.3829787234035762E-2</v>
      </c>
      <c r="Q30">
        <f t="shared" ref="Q30" si="126">F30*P30</f>
        <v>70009.276595737232</v>
      </c>
      <c r="R30">
        <f t="shared" ref="R30" si="127">R31+Q30</f>
        <v>-196594138.28754008</v>
      </c>
      <c r="S30">
        <f t="shared" ref="S30" si="128">R30/100000</f>
        <v>-1965.9413828754007</v>
      </c>
      <c r="T30">
        <f t="shared" ref="T30" si="129">S30/1000</f>
        <v>-1.9659413828754007</v>
      </c>
    </row>
    <row r="31" spans="1:20" x14ac:dyDescent="0.25">
      <c r="A31" s="5">
        <v>44562</v>
      </c>
      <c r="B31">
        <v>0.1981</v>
      </c>
      <c r="C31">
        <v>0.2064</v>
      </c>
      <c r="D31">
        <v>0.1981</v>
      </c>
      <c r="E31">
        <v>0.20610000000000001</v>
      </c>
      <c r="F31">
        <v>1304831</v>
      </c>
      <c r="G31">
        <v>0.20610000000000001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0.9277108433734953</v>
      </c>
      <c r="Q31">
        <f t="shared" ref="Q31" si="131">F31*P31</f>
        <v>1210505.8674698812</v>
      </c>
      <c r="R31">
        <f t="shared" ref="R31" si="132">R32+Q31</f>
        <v>-196664147.56413582</v>
      </c>
      <c r="S31">
        <f t="shared" ref="S31" si="133">R31/100000</f>
        <v>-1966.6414756413583</v>
      </c>
      <c r="T31">
        <f t="shared" ref="T31" si="134">S31/1000</f>
        <v>-1.9666414756413584</v>
      </c>
    </row>
    <row r="32" spans="1:20" x14ac:dyDescent="0.25">
      <c r="A32" s="5">
        <v>44561</v>
      </c>
      <c r="B32">
        <v>0.2006</v>
      </c>
      <c r="C32">
        <v>0.2122</v>
      </c>
      <c r="D32">
        <v>0.19589999999999999</v>
      </c>
      <c r="E32">
        <v>0.19839999999999999</v>
      </c>
      <c r="F32">
        <v>2368657</v>
      </c>
      <c r="G32">
        <v>0.19839999999999999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-0.69325153374233117</v>
      </c>
      <c r="Q32">
        <f t="shared" ref="Q32" si="136">F32*P32</f>
        <v>-1642075.098159509</v>
      </c>
      <c r="R32">
        <f t="shared" ref="R32" si="137">R33+Q32</f>
        <v>-197874653.4316057</v>
      </c>
      <c r="S32">
        <f t="shared" ref="S32" si="138">R32/100000</f>
        <v>-1978.746534316057</v>
      </c>
      <c r="T32">
        <f t="shared" ref="T32" si="139">S32/1000</f>
        <v>-1.9787465343160571</v>
      </c>
    </row>
    <row r="33" spans="1:20" x14ac:dyDescent="0.25">
      <c r="A33" s="5">
        <v>44560</v>
      </c>
      <c r="B33">
        <v>0.19650000000000001</v>
      </c>
      <c r="C33">
        <v>0.21049999999999999</v>
      </c>
      <c r="D33">
        <v>0.19420000000000001</v>
      </c>
      <c r="E33">
        <v>0.20069999999999999</v>
      </c>
      <c r="F33">
        <v>1959922</v>
      </c>
      <c r="G33">
        <v>0.20069999999999999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-0.20245398773006312</v>
      </c>
      <c r="Q33">
        <f t="shared" ref="Q33" si="141">F33*P33</f>
        <v>-396794.0245398808</v>
      </c>
      <c r="R33">
        <f t="shared" ref="R33" si="142">R34+Q33</f>
        <v>-196232578.33344617</v>
      </c>
      <c r="S33">
        <f t="shared" ref="S33" si="143">R33/100000</f>
        <v>-1962.3257833344617</v>
      </c>
      <c r="T33">
        <f t="shared" ref="T33" si="144">S33/1000</f>
        <v>-1.9623257833344616</v>
      </c>
    </row>
    <row r="34" spans="1:20" x14ac:dyDescent="0.25">
      <c r="A34" s="5">
        <v>44559</v>
      </c>
      <c r="B34">
        <v>0.19969999999999999</v>
      </c>
      <c r="C34">
        <v>0.2077</v>
      </c>
      <c r="D34">
        <v>0.1958</v>
      </c>
      <c r="E34">
        <v>0.19650000000000001</v>
      </c>
      <c r="F34">
        <v>3652858</v>
      </c>
      <c r="G34">
        <v>0.19650000000000001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-0.88235294117646945</v>
      </c>
      <c r="Q34">
        <f t="shared" ref="Q34" si="146">F34*P34</f>
        <v>-3223109.9999999958</v>
      </c>
      <c r="R34">
        <f t="shared" ref="R34" si="147">R35+Q34</f>
        <v>-195835784.30890629</v>
      </c>
      <c r="S34">
        <f t="shared" ref="S34" si="148">R34/100000</f>
        <v>-1958.357843089063</v>
      </c>
      <c r="T34">
        <f t="shared" ref="T34" si="149">S34/1000</f>
        <v>-1.9583578430890629</v>
      </c>
    </row>
    <row r="35" spans="1:20" x14ac:dyDescent="0.25">
      <c r="A35" s="5">
        <v>44558</v>
      </c>
      <c r="B35">
        <v>0.21920000000000001</v>
      </c>
      <c r="C35">
        <v>0.21940000000000001</v>
      </c>
      <c r="D35">
        <v>0.19869999999999999</v>
      </c>
      <c r="E35">
        <v>0.19980000000000001</v>
      </c>
      <c r="F35">
        <v>2438021</v>
      </c>
      <c r="G35">
        <v>0.19980000000000001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-0.89371980676328344</v>
      </c>
      <c r="Q35">
        <f t="shared" ref="Q35" si="151">F35*P35</f>
        <v>-2178907.6570048272</v>
      </c>
      <c r="R35">
        <f t="shared" ref="R35" si="152">R36+Q35</f>
        <v>-192612674.30890629</v>
      </c>
      <c r="S35">
        <f t="shared" ref="S35" si="153">R35/100000</f>
        <v>-1926.1267430890628</v>
      </c>
      <c r="T35">
        <f t="shared" ref="T35" si="154">S35/1000</f>
        <v>-1.9261267430890627</v>
      </c>
    </row>
    <row r="36" spans="1:20" x14ac:dyDescent="0.25">
      <c r="A36" s="5">
        <v>44557</v>
      </c>
      <c r="B36">
        <v>0.219</v>
      </c>
      <c r="C36">
        <v>0.22489999999999999</v>
      </c>
      <c r="D36">
        <v>0.2157</v>
      </c>
      <c r="E36">
        <v>0.21940000000000001</v>
      </c>
      <c r="F36">
        <v>1452229</v>
      </c>
      <c r="G36">
        <v>0.21940000000000001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-0.19565217391304032</v>
      </c>
      <c r="Q36">
        <f t="shared" ref="Q36" si="156">F36*P36</f>
        <v>-284131.76086956065</v>
      </c>
      <c r="R36">
        <f t="shared" ref="R36" si="157">R37+Q36</f>
        <v>-190433766.65190145</v>
      </c>
      <c r="S36">
        <f t="shared" ref="S36" si="158">R36/100000</f>
        <v>-1904.3376665190146</v>
      </c>
      <c r="T36">
        <f t="shared" ref="T36" si="159">S36/1000</f>
        <v>-1.9043376665190146</v>
      </c>
    </row>
    <row r="37" spans="1:20" x14ac:dyDescent="0.25">
      <c r="A37" s="5">
        <v>44556</v>
      </c>
      <c r="B37">
        <v>0.21729999999999999</v>
      </c>
      <c r="C37">
        <v>0.22009999999999999</v>
      </c>
      <c r="D37">
        <v>0.21010000000000001</v>
      </c>
      <c r="E37">
        <v>0.219</v>
      </c>
      <c r="F37">
        <v>1828102</v>
      </c>
      <c r="G37">
        <v>0.219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0.78000000000000158</v>
      </c>
      <c r="Q37">
        <f t="shared" ref="Q37" si="161">F37*P37</f>
        <v>1425919.5600000028</v>
      </c>
      <c r="R37">
        <f t="shared" ref="R37" si="162">R38+Q37</f>
        <v>-190149634.89103189</v>
      </c>
      <c r="S37">
        <f t="shared" ref="S37" si="163">R37/100000</f>
        <v>-1901.4963489103188</v>
      </c>
      <c r="T37">
        <f t="shared" ref="T37" si="164">S37/1000</f>
        <v>-1.9014963489103189</v>
      </c>
    </row>
    <row r="38" spans="1:20" x14ac:dyDescent="0.25">
      <c r="A38" s="5">
        <v>44555</v>
      </c>
      <c r="B38">
        <v>0.2162</v>
      </c>
      <c r="C38">
        <v>0.22889999999999999</v>
      </c>
      <c r="D38">
        <v>0.21609999999999999</v>
      </c>
      <c r="E38">
        <v>0.21740000000000001</v>
      </c>
      <c r="F38">
        <v>2460509</v>
      </c>
      <c r="G38">
        <v>0.21740000000000001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-0.79687499999999645</v>
      </c>
      <c r="Q38">
        <f t="shared" ref="Q38" si="166">F38*P38</f>
        <v>-1960718.1093749912</v>
      </c>
      <c r="R38">
        <f t="shared" ref="R38" si="167">R39+Q38</f>
        <v>-191575554.45103189</v>
      </c>
      <c r="S38">
        <f t="shared" ref="S38" si="168">R38/100000</f>
        <v>-1915.7555445103189</v>
      </c>
      <c r="T38">
        <f t="shared" ref="T38" si="169">S38/1000</f>
        <v>-1.9157555445103189</v>
      </c>
    </row>
    <row r="39" spans="1:20" x14ac:dyDescent="0.25">
      <c r="A39" s="5">
        <v>44554</v>
      </c>
      <c r="B39">
        <v>0.21440000000000001</v>
      </c>
      <c r="C39">
        <v>0.23269999999999999</v>
      </c>
      <c r="D39">
        <v>0.21199999999999999</v>
      </c>
      <c r="E39">
        <v>0.2162</v>
      </c>
      <c r="F39">
        <v>5546674</v>
      </c>
      <c r="G39">
        <v>0.2162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-0.59420289855072361</v>
      </c>
      <c r="Q39">
        <f t="shared" ref="Q39" si="171">F39*P39</f>
        <v>-3295849.7681159363</v>
      </c>
      <c r="R39">
        <f t="shared" ref="R39" si="172">R40+Q39</f>
        <v>-189614836.34165689</v>
      </c>
      <c r="S39">
        <f t="shared" ref="S39" si="173">R39/100000</f>
        <v>-1896.1483634165688</v>
      </c>
      <c r="T39">
        <f t="shared" ref="T39" si="174">S39/1000</f>
        <v>-1.8961483634165688</v>
      </c>
    </row>
    <row r="40" spans="1:20" x14ac:dyDescent="0.25">
      <c r="A40" s="5">
        <v>44553</v>
      </c>
      <c r="B40">
        <v>0.20760000000000001</v>
      </c>
      <c r="C40">
        <v>0.21579999999999999</v>
      </c>
      <c r="D40">
        <v>0.20399999999999999</v>
      </c>
      <c r="E40">
        <v>0.214</v>
      </c>
      <c r="F40">
        <v>2132429</v>
      </c>
      <c r="G40">
        <v>0.214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0.69491525423728895</v>
      </c>
      <c r="Q40">
        <f t="shared" ref="Q40" si="176">F40*P40</f>
        <v>1481857.4406779679</v>
      </c>
      <c r="R40">
        <f t="shared" ref="R40" si="177">R41+Q40</f>
        <v>-186318986.57354096</v>
      </c>
      <c r="S40">
        <f t="shared" ref="S40" si="178">R40/100000</f>
        <v>-1863.1898657354095</v>
      </c>
      <c r="T40">
        <f t="shared" ref="T40" si="179">S40/1000</f>
        <v>-1.8631898657354096</v>
      </c>
    </row>
    <row r="41" spans="1:20" x14ac:dyDescent="0.25">
      <c r="A41" s="5">
        <v>44552</v>
      </c>
      <c r="B41">
        <v>0.2099</v>
      </c>
      <c r="C41">
        <v>0.218</v>
      </c>
      <c r="D41">
        <v>0.2034</v>
      </c>
      <c r="E41">
        <v>0.20780000000000001</v>
      </c>
      <c r="F41">
        <v>3855528</v>
      </c>
      <c r="G41">
        <v>0.20780000000000001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-0.39726027397260077</v>
      </c>
      <c r="Q41">
        <f t="shared" ref="Q41" si="181">F41*P41</f>
        <v>-1531648.1095890335</v>
      </c>
      <c r="R41">
        <f t="shared" ref="R41" si="182">R42+Q41</f>
        <v>-187800844.01421893</v>
      </c>
      <c r="S41">
        <f t="shared" ref="S41" si="183">R41/100000</f>
        <v>-1878.0084401421893</v>
      </c>
      <c r="T41">
        <f t="shared" ref="T41" si="184">S41/1000</f>
        <v>-1.8780084401421893</v>
      </c>
    </row>
    <row r="42" spans="1:20" x14ac:dyDescent="0.25">
      <c r="A42" s="5">
        <v>44551</v>
      </c>
      <c r="B42">
        <v>0.20369999999999999</v>
      </c>
      <c r="C42">
        <v>0.21099999999999999</v>
      </c>
      <c r="D42">
        <v>0.20169999999999999</v>
      </c>
      <c r="E42">
        <v>0.2099</v>
      </c>
      <c r="F42">
        <v>1974111</v>
      </c>
      <c r="G42">
        <v>0.2099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0.76344086021505597</v>
      </c>
      <c r="Q42">
        <f t="shared" ref="Q42" si="186">F42*P42</f>
        <v>1507117.0000000044</v>
      </c>
      <c r="R42">
        <f t="shared" ref="R42" si="187">R43+Q42</f>
        <v>-186269195.90462989</v>
      </c>
      <c r="S42">
        <f t="shared" ref="S42" si="188">R42/100000</f>
        <v>-1862.691959046299</v>
      </c>
      <c r="T42">
        <f t="shared" ref="T42" si="189">S42/1000</f>
        <v>-1.8626919590462989</v>
      </c>
    </row>
    <row r="43" spans="1:20" x14ac:dyDescent="0.25">
      <c r="A43" s="5">
        <v>44550</v>
      </c>
      <c r="B43">
        <v>0.20119999999999999</v>
      </c>
      <c r="C43">
        <v>0.20680000000000001</v>
      </c>
      <c r="D43">
        <v>0.1973</v>
      </c>
      <c r="E43">
        <v>0.20369999999999999</v>
      </c>
      <c r="F43">
        <v>3236155</v>
      </c>
      <c r="G43">
        <v>0.20369999999999999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0.34736842105262805</v>
      </c>
      <c r="Q43">
        <f t="shared" ref="Q43" si="191">F43*P43</f>
        <v>1124138.0526315675</v>
      </c>
      <c r="R43">
        <f t="shared" ref="R43" si="192">R44+Q43</f>
        <v>-187776312.90462989</v>
      </c>
      <c r="S43">
        <f t="shared" ref="S43" si="193">R43/100000</f>
        <v>-1877.7631290462989</v>
      </c>
      <c r="T43">
        <f t="shared" ref="T43" si="194">S43/1000</f>
        <v>-1.8777631290462988</v>
      </c>
    </row>
    <row r="44" spans="1:20" x14ac:dyDescent="0.25">
      <c r="A44" s="5">
        <v>44549</v>
      </c>
      <c r="B44">
        <v>0.20050000000000001</v>
      </c>
      <c r="C44">
        <v>0.219</v>
      </c>
      <c r="D44">
        <v>0.19869999999999999</v>
      </c>
      <c r="E44">
        <v>0.20119999999999999</v>
      </c>
      <c r="F44">
        <v>6620521</v>
      </c>
      <c r="G44">
        <v>0.20119999999999999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-0.75369458128078815</v>
      </c>
      <c r="Q44">
        <f t="shared" ref="Q44" si="196">F44*P44</f>
        <v>-4989850.8029556647</v>
      </c>
      <c r="R44">
        <f t="shared" ref="R44" si="197">R45+Q44</f>
        <v>-188900450.95726144</v>
      </c>
      <c r="S44">
        <f t="shared" ref="S44" si="198">R44/100000</f>
        <v>-1889.0045095726143</v>
      </c>
      <c r="T44">
        <f t="shared" ref="T44" si="199">S44/1000</f>
        <v>-1.8890045095726142</v>
      </c>
    </row>
    <row r="45" spans="1:20" x14ac:dyDescent="0.25">
      <c r="A45" s="5">
        <v>44548</v>
      </c>
      <c r="B45">
        <v>0.19919999999999999</v>
      </c>
      <c r="C45">
        <v>0.20630000000000001</v>
      </c>
      <c r="D45">
        <v>0.1943</v>
      </c>
      <c r="E45">
        <v>0.20050000000000001</v>
      </c>
      <c r="F45">
        <v>2217208</v>
      </c>
      <c r="G45">
        <v>0.20050000000000001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3.3333333333334256E-2</v>
      </c>
      <c r="Q45">
        <f t="shared" ref="Q45" si="201">F45*P45</f>
        <v>73906.933333335372</v>
      </c>
      <c r="R45">
        <f t="shared" ref="R45" si="202">R46+Q45</f>
        <v>-183910600.15430579</v>
      </c>
      <c r="S45">
        <f t="shared" ref="S45" si="203">R45/100000</f>
        <v>-1839.1060015430578</v>
      </c>
      <c r="T45">
        <f t="shared" ref="T45" si="204">S45/1000</f>
        <v>-1.8391060015430578</v>
      </c>
    </row>
    <row r="46" spans="1:20" x14ac:dyDescent="0.25">
      <c r="A46" s="5">
        <v>44547</v>
      </c>
      <c r="B46">
        <v>0.20649999999999999</v>
      </c>
      <c r="C46">
        <v>0.2099</v>
      </c>
      <c r="D46">
        <v>0.1951</v>
      </c>
      <c r="E46">
        <v>0.19919999999999999</v>
      </c>
      <c r="F46">
        <v>3269886</v>
      </c>
      <c r="G46">
        <v>0.19919999999999999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-0.44594594594594722</v>
      </c>
      <c r="Q46">
        <f t="shared" ref="Q46" si="206">F46*P46</f>
        <v>-1458192.4054054096</v>
      </c>
      <c r="R46">
        <f t="shared" ref="R46" si="207">R47+Q46</f>
        <v>-183984507.08763912</v>
      </c>
      <c r="S46">
        <f t="shared" ref="S46" si="208">R46/100000</f>
        <v>-1839.8450708763912</v>
      </c>
      <c r="T46">
        <f t="shared" ref="T46" si="209">S46/1000</f>
        <v>-1.8398450708763912</v>
      </c>
    </row>
    <row r="47" spans="1:20" x14ac:dyDescent="0.25">
      <c r="A47" s="5">
        <v>44546</v>
      </c>
      <c r="B47">
        <v>0.2036</v>
      </c>
      <c r="C47">
        <v>0.22040000000000001</v>
      </c>
      <c r="D47">
        <v>0.2006</v>
      </c>
      <c r="E47">
        <v>0.20699999999999999</v>
      </c>
      <c r="F47">
        <v>5576020</v>
      </c>
      <c r="G47">
        <v>0.20699999999999999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-0.35353535353535503</v>
      </c>
      <c r="Q47">
        <f t="shared" ref="Q47" si="211">F47*P47</f>
        <v>-1971320.2020202104</v>
      </c>
      <c r="R47">
        <f t="shared" ref="R47" si="212">R48+Q47</f>
        <v>-182526314.68223372</v>
      </c>
      <c r="S47">
        <f t="shared" ref="S47" si="213">R47/100000</f>
        <v>-1825.2631468223371</v>
      </c>
      <c r="T47">
        <f t="shared" ref="T47" si="214">S47/1000</f>
        <v>-1.8252631468223373</v>
      </c>
    </row>
    <row r="48" spans="1:20" x14ac:dyDescent="0.25">
      <c r="A48" s="5">
        <v>44545</v>
      </c>
      <c r="B48">
        <v>0.20569999999999999</v>
      </c>
      <c r="C48">
        <v>0.2089</v>
      </c>
      <c r="D48">
        <v>0.19520000000000001</v>
      </c>
      <c r="E48">
        <v>0.20330000000000001</v>
      </c>
      <c r="F48">
        <v>2553002</v>
      </c>
      <c r="G48">
        <v>0.20330000000000001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0.18248175182481782</v>
      </c>
      <c r="Q48">
        <f t="shared" ref="Q48" si="216">F48*P48</f>
        <v>465876.27737226355</v>
      </c>
      <c r="R48">
        <f t="shared" ref="R48" si="217">R49+Q48</f>
        <v>-180554994.48021352</v>
      </c>
      <c r="S48">
        <f t="shared" ref="S48" si="218">R48/100000</f>
        <v>-1805.5499448021353</v>
      </c>
      <c r="T48">
        <f t="shared" ref="T48" si="219">S48/1000</f>
        <v>-1.8055499448021353</v>
      </c>
    </row>
    <row r="49" spans="1:20" x14ac:dyDescent="0.25">
      <c r="A49" s="5">
        <v>44544</v>
      </c>
      <c r="B49">
        <v>0.19739999999999999</v>
      </c>
      <c r="C49">
        <v>0.2082</v>
      </c>
      <c r="D49">
        <v>0.19289999999999999</v>
      </c>
      <c r="E49">
        <v>0.20599999999999999</v>
      </c>
      <c r="F49">
        <v>3610569</v>
      </c>
      <c r="G49">
        <v>0.20599999999999999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0.71241830065359391</v>
      </c>
      <c r="Q49">
        <f t="shared" ref="Q49" si="221">F49*P49</f>
        <v>2572235.4313725461</v>
      </c>
      <c r="R49">
        <f t="shared" ref="R49" si="222">R50+Q49</f>
        <v>-181020870.75758579</v>
      </c>
      <c r="S49">
        <f t="shared" ref="S49" si="223">R49/100000</f>
        <v>-1810.2087075758579</v>
      </c>
      <c r="T49">
        <f t="shared" ref="T49" si="224">S49/1000</f>
        <v>-1.8102087075758579</v>
      </c>
    </row>
    <row r="50" spans="1:20" x14ac:dyDescent="0.25">
      <c r="A50" s="5">
        <v>44543</v>
      </c>
      <c r="B50">
        <v>0.2157</v>
      </c>
      <c r="C50">
        <v>0.2157</v>
      </c>
      <c r="D50">
        <v>0.19309999999999999</v>
      </c>
      <c r="E50">
        <v>0.1976</v>
      </c>
      <c r="F50">
        <v>3803664</v>
      </c>
      <c r="G50">
        <v>0.1976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-0.6017699115044246</v>
      </c>
      <c r="Q50">
        <f t="shared" ref="Q50" si="226">F50*P50</f>
        <v>-2288930.5486725657</v>
      </c>
      <c r="R50">
        <f t="shared" ref="R50" si="227">R51+Q50</f>
        <v>-183593106.18895835</v>
      </c>
      <c r="S50">
        <f t="shared" ref="S50" si="228">R50/100000</f>
        <v>-1835.9310618895834</v>
      </c>
      <c r="T50">
        <f t="shared" ref="T50" si="229">S50/1000</f>
        <v>-1.8359310618895834</v>
      </c>
    </row>
    <row r="51" spans="1:20" x14ac:dyDescent="0.25">
      <c r="A51" s="5">
        <v>44542</v>
      </c>
      <c r="B51">
        <v>0.2099</v>
      </c>
      <c r="C51">
        <v>0.22339999999999999</v>
      </c>
      <c r="D51">
        <v>0.20080000000000001</v>
      </c>
      <c r="E51">
        <v>0.2157</v>
      </c>
      <c r="F51">
        <v>3707203</v>
      </c>
      <c r="G51">
        <v>0.2157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0.31858407079646095</v>
      </c>
      <c r="Q51">
        <f t="shared" ref="Q51" si="231">F51*P51</f>
        <v>1181055.8230088523</v>
      </c>
      <c r="R51">
        <f t="shared" ref="R51" si="232">R52+Q51</f>
        <v>-181304175.64028579</v>
      </c>
      <c r="S51">
        <f t="shared" ref="S51" si="233">R51/100000</f>
        <v>-1813.0417564028578</v>
      </c>
      <c r="T51">
        <f t="shared" ref="T51" si="234">S51/1000</f>
        <v>-1.8130417564028578</v>
      </c>
    </row>
    <row r="52" spans="1:20" x14ac:dyDescent="0.25">
      <c r="A52" s="5">
        <v>44541</v>
      </c>
      <c r="B52">
        <v>0.20610000000000001</v>
      </c>
      <c r="C52">
        <v>0.20960000000000001</v>
      </c>
      <c r="D52">
        <v>0.20300000000000001</v>
      </c>
      <c r="E52">
        <v>0.20960000000000001</v>
      </c>
      <c r="F52">
        <v>57781</v>
      </c>
      <c r="G52">
        <v>0.20960000000000001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57781</v>
      </c>
      <c r="R52">
        <f t="shared" ref="R52" si="237">R53+Q52</f>
        <v>-182485231.46329466</v>
      </c>
      <c r="S52">
        <f t="shared" ref="S52" si="238">R52/100000</f>
        <v>-1824.8523146329464</v>
      </c>
      <c r="T52">
        <f t="shared" ref="T52" si="239">S52/1000</f>
        <v>-1.8248523146329465</v>
      </c>
    </row>
    <row r="53" spans="1:20" x14ac:dyDescent="0.25">
      <c r="A53" s="5">
        <v>44540</v>
      </c>
      <c r="B53">
        <v>0.2046</v>
      </c>
      <c r="C53">
        <v>0.21529999999999999</v>
      </c>
      <c r="D53">
        <v>0.2031</v>
      </c>
      <c r="E53">
        <v>0.2049</v>
      </c>
      <c r="F53">
        <v>2833485</v>
      </c>
      <c r="G53">
        <v>0.2049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-0.70491803278688558</v>
      </c>
      <c r="Q53">
        <f t="shared" ref="Q53" si="241">F53*P53</f>
        <v>-1997374.6721311484</v>
      </c>
      <c r="R53">
        <f t="shared" ref="R53" si="242">R54+Q53</f>
        <v>-182543012.46329466</v>
      </c>
      <c r="S53">
        <f t="shared" ref="S53" si="243">R53/100000</f>
        <v>-1825.4301246329464</v>
      </c>
      <c r="T53">
        <f t="shared" ref="T53" si="244">S53/1000</f>
        <v>-1.8254301246329465</v>
      </c>
    </row>
    <row r="54" spans="1:20" x14ac:dyDescent="0.25">
      <c r="A54" s="5">
        <v>44539</v>
      </c>
      <c r="B54">
        <v>0.218</v>
      </c>
      <c r="C54">
        <v>0.22</v>
      </c>
      <c r="D54">
        <v>0.2036</v>
      </c>
      <c r="E54">
        <v>0.2044</v>
      </c>
      <c r="F54">
        <v>2123930</v>
      </c>
      <c r="G54">
        <v>0.2044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-0.90243902439024448</v>
      </c>
      <c r="Q54">
        <f t="shared" ref="Q54" si="246">F54*P54</f>
        <v>-1916717.317073172</v>
      </c>
      <c r="R54">
        <f t="shared" ref="R54" si="247">R55+Q54</f>
        <v>-180545637.7911635</v>
      </c>
      <c r="S54">
        <f t="shared" ref="S54" si="248">R54/100000</f>
        <v>-1805.4563779116349</v>
      </c>
      <c r="T54">
        <f t="shared" ref="T54" si="249">S54/1000</f>
        <v>-1.805456377911635</v>
      </c>
    </row>
    <row r="55" spans="1:20" x14ac:dyDescent="0.25">
      <c r="A55" s="5">
        <v>44538</v>
      </c>
      <c r="B55">
        <v>0.2145</v>
      </c>
      <c r="C55">
        <v>0.22</v>
      </c>
      <c r="D55">
        <v>0.2094</v>
      </c>
      <c r="E55">
        <v>0.218</v>
      </c>
      <c r="F55">
        <v>1906840</v>
      </c>
      <c r="G55">
        <v>0.218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0.6226415094339619</v>
      </c>
      <c r="Q55">
        <f t="shared" ref="Q55" si="251">F55*P55</f>
        <v>1187277.7358490559</v>
      </c>
      <c r="R55">
        <f t="shared" ref="R55" si="252">R56+Q55</f>
        <v>-178628920.47409034</v>
      </c>
      <c r="S55">
        <f t="shared" ref="S55" si="253">R55/100000</f>
        <v>-1786.2892047409034</v>
      </c>
      <c r="T55">
        <f t="shared" ref="T55" si="254">S55/1000</f>
        <v>-1.7862892047409034</v>
      </c>
    </row>
    <row r="56" spans="1:20" x14ac:dyDescent="0.25">
      <c r="A56" s="5">
        <v>44537</v>
      </c>
      <c r="B56">
        <v>0.218</v>
      </c>
      <c r="C56">
        <v>0.22789999999999999</v>
      </c>
      <c r="D56">
        <v>0.21310000000000001</v>
      </c>
      <c r="E56">
        <v>0.21629999999999999</v>
      </c>
      <c r="F56">
        <v>4005183</v>
      </c>
      <c r="G56">
        <v>0.21629999999999999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-0.56756756756756954</v>
      </c>
      <c r="Q56">
        <f t="shared" ref="Q56" si="256">F56*P56</f>
        <v>-2273211.9729729807</v>
      </c>
      <c r="R56">
        <f t="shared" ref="R56" si="257">R57+Q56</f>
        <v>-179816198.20993939</v>
      </c>
      <c r="S56">
        <f t="shared" ref="S56" si="258">R56/100000</f>
        <v>-1798.161982099394</v>
      </c>
      <c r="T56">
        <f t="shared" ref="T56" si="259">S56/1000</f>
        <v>-1.7981619820993939</v>
      </c>
    </row>
    <row r="57" spans="1:20" x14ac:dyDescent="0.25">
      <c r="A57" s="5">
        <v>44536</v>
      </c>
      <c r="B57">
        <v>0.21329999999999999</v>
      </c>
      <c r="C57">
        <v>0.22309999999999999</v>
      </c>
      <c r="D57">
        <v>0.20019999999999999</v>
      </c>
      <c r="E57">
        <v>0.218</v>
      </c>
      <c r="F57">
        <v>6890920</v>
      </c>
      <c r="G57">
        <v>0.218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0.55458515283842857</v>
      </c>
      <c r="Q57">
        <f t="shared" ref="Q57" si="261">F57*P57</f>
        <v>3821601.9213973843</v>
      </c>
      <c r="R57">
        <f t="shared" ref="R57" si="262">R58+Q57</f>
        <v>-177542986.2369664</v>
      </c>
      <c r="S57">
        <f t="shared" ref="S57" si="263">R57/100000</f>
        <v>-1775.4298623696641</v>
      </c>
      <c r="T57">
        <f t="shared" ref="T57" si="264">S57/1000</f>
        <v>-1.775429862369664</v>
      </c>
    </row>
    <row r="58" spans="1:20" x14ac:dyDescent="0.25">
      <c r="A58" s="5">
        <v>44535</v>
      </c>
      <c r="B58">
        <v>0.21709999999999999</v>
      </c>
      <c r="C58">
        <v>0.22040000000000001</v>
      </c>
      <c r="D58">
        <v>0.2036</v>
      </c>
      <c r="E58">
        <v>0.21329999999999999</v>
      </c>
      <c r="F58">
        <v>2775882</v>
      </c>
      <c r="G58">
        <v>0.21329999999999999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0.15476190476190249</v>
      </c>
      <c r="Q58">
        <f t="shared" ref="Q58" si="266">F58*P58</f>
        <v>429600.78571427939</v>
      </c>
      <c r="R58">
        <f t="shared" ref="R58" si="267">R59+Q58</f>
        <v>-181364588.15836379</v>
      </c>
      <c r="S58">
        <f t="shared" ref="S58" si="268">R58/100000</f>
        <v>-1813.6458815836379</v>
      </c>
      <c r="T58">
        <f t="shared" ref="T58" si="269">S58/1000</f>
        <v>-1.8136458815836378</v>
      </c>
    </row>
    <row r="59" spans="1:20" x14ac:dyDescent="0.25">
      <c r="A59" s="5">
        <v>44534</v>
      </c>
      <c r="B59">
        <v>0.23669999999999999</v>
      </c>
      <c r="C59">
        <v>0.23710000000000001</v>
      </c>
      <c r="D59">
        <v>0.19209999999999999</v>
      </c>
      <c r="E59">
        <v>0.21709999999999999</v>
      </c>
      <c r="F59">
        <v>7824245</v>
      </c>
      <c r="G59">
        <v>0.21709999999999999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0.11111111111111056</v>
      </c>
      <c r="Q59">
        <f t="shared" ref="Q59" si="271">F59*P59</f>
        <v>869360.55555555131</v>
      </c>
      <c r="R59">
        <f t="shared" ref="R59" si="272">R60+Q59</f>
        <v>-181794188.94407806</v>
      </c>
      <c r="S59">
        <f t="shared" ref="S59" si="273">R59/100000</f>
        <v>-1817.9418894407806</v>
      </c>
      <c r="T59">
        <f t="shared" ref="T59" si="274">S59/1000</f>
        <v>-1.8179418894407806</v>
      </c>
    </row>
    <row r="60" spans="1:20" x14ac:dyDescent="0.25">
      <c r="A60" s="5">
        <v>44533</v>
      </c>
      <c r="B60">
        <v>0.245</v>
      </c>
      <c r="C60">
        <v>0.26090000000000002</v>
      </c>
      <c r="D60">
        <v>0.22750000000000001</v>
      </c>
      <c r="E60">
        <v>0.23669999999999999</v>
      </c>
      <c r="F60">
        <v>5655195</v>
      </c>
      <c r="G60">
        <v>0.23669999999999999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-0.44910179640718667</v>
      </c>
      <c r="Q60">
        <f t="shared" ref="Q60" si="276">F60*P60</f>
        <v>-2539758.23353294</v>
      </c>
      <c r="R60">
        <f t="shared" ref="R60" si="277">R61+Q60</f>
        <v>-182663549.49963361</v>
      </c>
      <c r="S60">
        <f t="shared" ref="S60" si="278">R60/100000</f>
        <v>-1826.6354949963361</v>
      </c>
      <c r="T60">
        <f t="shared" ref="T60" si="279">S60/1000</f>
        <v>-1.8266354949963362</v>
      </c>
    </row>
    <row r="61" spans="1:20" x14ac:dyDescent="0.25">
      <c r="A61" s="5">
        <v>44532</v>
      </c>
      <c r="B61">
        <v>0.24610000000000001</v>
      </c>
      <c r="C61">
        <v>0.26119999999999999</v>
      </c>
      <c r="D61">
        <v>0.23799999999999999</v>
      </c>
      <c r="E61">
        <v>0.24510000000000001</v>
      </c>
      <c r="F61">
        <v>8225931</v>
      </c>
      <c r="G61">
        <v>0.24510000000000001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-0.38793103448275662</v>
      </c>
      <c r="Q61">
        <f t="shared" ref="Q61" si="281">F61*P61</f>
        <v>-3191093.9224137766</v>
      </c>
      <c r="R61">
        <f t="shared" ref="R61" si="282">R62+Q61</f>
        <v>-180123791.26610067</v>
      </c>
      <c r="S61">
        <f t="shared" ref="S61" si="283">R61/100000</f>
        <v>-1801.2379126610067</v>
      </c>
      <c r="T61">
        <f t="shared" ref="T61" si="284">S61/1000</f>
        <v>-1.8012379126610067</v>
      </c>
    </row>
    <row r="62" spans="1:20" x14ac:dyDescent="0.25">
      <c r="A62" s="5">
        <v>44531</v>
      </c>
      <c r="B62">
        <v>0.24690000000000001</v>
      </c>
      <c r="C62">
        <v>0.25519999999999998</v>
      </c>
      <c r="D62">
        <v>0.2432</v>
      </c>
      <c r="E62">
        <v>0.24510000000000001</v>
      </c>
      <c r="F62">
        <v>3101688</v>
      </c>
      <c r="G62">
        <v>0.24510000000000001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-0.68333333333333079</v>
      </c>
      <c r="Q62">
        <f t="shared" ref="Q62" si="286">F62*P62</f>
        <v>-2119486.7999999919</v>
      </c>
      <c r="R62">
        <f t="shared" ref="R62" si="287">R63+Q62</f>
        <v>-176932697.34368691</v>
      </c>
      <c r="S62">
        <f t="shared" ref="S62" si="288">R62/100000</f>
        <v>-1769.3269734368691</v>
      </c>
      <c r="T62">
        <f t="shared" ref="T62" si="289">S62/1000</f>
        <v>-1.7693269734368691</v>
      </c>
    </row>
    <row r="63" spans="1:20" x14ac:dyDescent="0.25">
      <c r="A63" s="5">
        <v>44530</v>
      </c>
      <c r="B63">
        <v>0.25259999999999999</v>
      </c>
      <c r="C63">
        <v>0.26190000000000002</v>
      </c>
      <c r="D63">
        <v>0.24640000000000001</v>
      </c>
      <c r="E63">
        <v>0.24690000000000001</v>
      </c>
      <c r="F63">
        <v>3206836</v>
      </c>
      <c r="G63">
        <v>0.24690000000000001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-0.93548387096774188</v>
      </c>
      <c r="Q63">
        <f t="shared" ref="Q63" si="291">F63*P63</f>
        <v>-2999943.3548387093</v>
      </c>
      <c r="R63">
        <f t="shared" ref="R63" si="292">R64+Q63</f>
        <v>-174813210.54368693</v>
      </c>
      <c r="S63">
        <f t="shared" ref="S63" si="293">R63/100000</f>
        <v>-1748.1321054368693</v>
      </c>
      <c r="T63">
        <f t="shared" ref="T63" si="294">S63/1000</f>
        <v>-1.7481321054368693</v>
      </c>
    </row>
    <row r="64" spans="1:20" x14ac:dyDescent="0.25">
      <c r="A64" s="5">
        <v>44529</v>
      </c>
      <c r="B64">
        <v>0.24479999999999999</v>
      </c>
      <c r="C64">
        <v>0.26400000000000001</v>
      </c>
      <c r="D64">
        <v>0.24199999999999999</v>
      </c>
      <c r="E64">
        <v>0.252</v>
      </c>
      <c r="F64">
        <v>4939490</v>
      </c>
      <c r="G64">
        <v>0.252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-9.0909090909090912E-2</v>
      </c>
      <c r="Q64">
        <f t="shared" ref="Q64" si="296">F64*P64</f>
        <v>-449044.54545454547</v>
      </c>
      <c r="R64">
        <f t="shared" ref="R64" si="297">R65+Q64</f>
        <v>-171813267.18884823</v>
      </c>
      <c r="S64">
        <f t="shared" ref="S64" si="298">R64/100000</f>
        <v>-1718.1326718884823</v>
      </c>
      <c r="T64">
        <f t="shared" ref="T64" si="299">S64/1000</f>
        <v>-1.7181326718884822</v>
      </c>
    </row>
    <row r="65" spans="1:20" x14ac:dyDescent="0.25">
      <c r="A65" s="5">
        <v>44528</v>
      </c>
      <c r="B65">
        <v>0.24110000000000001</v>
      </c>
      <c r="C65">
        <v>0.24479999999999999</v>
      </c>
      <c r="D65">
        <v>0.23169999999999999</v>
      </c>
      <c r="E65">
        <v>0.24479999999999999</v>
      </c>
      <c r="F65">
        <v>2116665</v>
      </c>
      <c r="G65">
        <v>0.24479999999999999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1</v>
      </c>
      <c r="Q65">
        <f t="shared" ref="Q65" si="301">F65*P65</f>
        <v>2116665</v>
      </c>
      <c r="R65">
        <f t="shared" ref="R65" si="302">R66+Q65</f>
        <v>-171364222.6433937</v>
      </c>
      <c r="S65">
        <f t="shared" ref="S65" si="303">R65/100000</f>
        <v>-1713.6422264339369</v>
      </c>
      <c r="T65">
        <f t="shared" ref="T65" si="304">S65/1000</f>
        <v>-1.7136422264339368</v>
      </c>
    </row>
    <row r="66" spans="1:20" x14ac:dyDescent="0.25">
      <c r="A66" s="5">
        <v>44527</v>
      </c>
      <c r="B66">
        <v>0.23730000000000001</v>
      </c>
      <c r="C66">
        <v>0.25800000000000001</v>
      </c>
      <c r="D66">
        <v>0.2324</v>
      </c>
      <c r="E66">
        <v>0.2412</v>
      </c>
      <c r="F66">
        <v>6209820</v>
      </c>
      <c r="G66">
        <v>0.2412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-0.31250000000000011</v>
      </c>
      <c r="Q66">
        <f t="shared" ref="Q66" si="306">F66*P66</f>
        <v>-1940568.7500000007</v>
      </c>
      <c r="R66">
        <f t="shared" ref="R66" si="307">R67+Q66</f>
        <v>-173480887.6433937</v>
      </c>
      <c r="S66">
        <f t="shared" ref="S66" si="308">R66/100000</f>
        <v>-1734.808876433937</v>
      </c>
      <c r="T66">
        <f t="shared" ref="T66" si="309">S66/1000</f>
        <v>-1.7348088764339371</v>
      </c>
    </row>
    <row r="67" spans="1:20" x14ac:dyDescent="0.25">
      <c r="A67" s="5">
        <v>44526</v>
      </c>
      <c r="B67">
        <v>0.25419999999999998</v>
      </c>
      <c r="C67">
        <v>0.25430000000000003</v>
      </c>
      <c r="D67">
        <v>0.23219999999999999</v>
      </c>
      <c r="E67">
        <v>0.23880000000000001</v>
      </c>
      <c r="F67">
        <v>3922591</v>
      </c>
      <c r="G67">
        <v>0.23880000000000001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-0.40271493212669579</v>
      </c>
      <c r="Q67">
        <f t="shared" ref="Q67" si="311">F67*P67</f>
        <v>-1579685.9683257877</v>
      </c>
      <c r="R67">
        <f t="shared" ref="R67" si="312">R68+Q67</f>
        <v>-171540318.8933937</v>
      </c>
      <c r="S67">
        <f t="shared" ref="S67" si="313">R67/100000</f>
        <v>-1715.4031889339369</v>
      </c>
      <c r="T67">
        <f t="shared" ref="T67" si="314">S67/1000</f>
        <v>-1.715403188933937</v>
      </c>
    </row>
    <row r="68" spans="1:20" x14ac:dyDescent="0.25">
      <c r="A68" s="5">
        <v>44525</v>
      </c>
      <c r="B68">
        <v>0.24160000000000001</v>
      </c>
      <c r="C68">
        <v>0.26900000000000002</v>
      </c>
      <c r="D68">
        <v>0.24149999999999999</v>
      </c>
      <c r="E68">
        <v>0.25319999999999998</v>
      </c>
      <c r="F68">
        <v>3650519</v>
      </c>
      <c r="G68">
        <v>0.25319999999999998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-0.14909090909091072</v>
      </c>
      <c r="Q68">
        <f t="shared" ref="Q68" si="316">F68*P68</f>
        <v>-544259.19636364235</v>
      </c>
      <c r="R68">
        <f t="shared" ref="R68" si="317">R69+Q68</f>
        <v>-169960632.9250679</v>
      </c>
      <c r="S68">
        <f t="shared" ref="S68" si="318">R68/100000</f>
        <v>-1699.606329250679</v>
      </c>
      <c r="T68">
        <f t="shared" ref="T68" si="319">S68/1000</f>
        <v>-1.6996063292506789</v>
      </c>
    </row>
    <row r="69" spans="1:20" x14ac:dyDescent="0.25">
      <c r="A69" s="5">
        <v>44524</v>
      </c>
      <c r="B69">
        <v>0.25629999999999997</v>
      </c>
      <c r="C69">
        <v>0.25629999999999997</v>
      </c>
      <c r="D69">
        <v>0.24299999999999999</v>
      </c>
      <c r="E69">
        <v>0.24510000000000001</v>
      </c>
      <c r="F69">
        <v>1439418</v>
      </c>
      <c r="G69">
        <v>0.24510000000000001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-0.68421052631578616</v>
      </c>
      <c r="Q69">
        <f t="shared" ref="Q69" si="321">F69*P69</f>
        <v>-984864.94736841624</v>
      </c>
      <c r="R69">
        <f t="shared" ref="R69" si="322">R70+Q69</f>
        <v>-169416373.72870427</v>
      </c>
      <c r="S69">
        <f t="shared" ref="S69" si="323">R69/100000</f>
        <v>-1694.1637372870427</v>
      </c>
      <c r="T69">
        <f t="shared" ref="T69" si="324">S69/1000</f>
        <v>-1.6941637372870428</v>
      </c>
    </row>
    <row r="70" spans="1:20" x14ac:dyDescent="0.25">
      <c r="A70" s="5">
        <v>44523</v>
      </c>
      <c r="B70">
        <v>0.25080000000000002</v>
      </c>
      <c r="C70">
        <v>0.25819999999999999</v>
      </c>
      <c r="D70">
        <v>0.24840000000000001</v>
      </c>
      <c r="E70">
        <v>0.25640000000000002</v>
      </c>
      <c r="F70">
        <v>1652356</v>
      </c>
      <c r="G70">
        <v>0.25640000000000002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0.63265306122449538</v>
      </c>
      <c r="Q70">
        <f t="shared" ref="Q70" si="326">F70*P70</f>
        <v>1045368.0816326623</v>
      </c>
      <c r="R70">
        <f t="shared" ref="R70" si="327">R71+Q70</f>
        <v>-168431508.78133586</v>
      </c>
      <c r="S70">
        <f t="shared" ref="S70" si="328">R70/100000</f>
        <v>-1684.3150878133586</v>
      </c>
      <c r="T70">
        <f t="shared" ref="T70" si="329">S70/1000</f>
        <v>-1.6843150878133586</v>
      </c>
    </row>
    <row r="71" spans="1:20" x14ac:dyDescent="0.25">
      <c r="A71" s="5">
        <v>44522</v>
      </c>
      <c r="B71">
        <v>0.26250000000000001</v>
      </c>
      <c r="C71">
        <v>0.26419999999999999</v>
      </c>
      <c r="D71">
        <v>0.24940000000000001</v>
      </c>
      <c r="E71">
        <v>0.25</v>
      </c>
      <c r="F71">
        <v>2334114</v>
      </c>
      <c r="G71">
        <v>0.25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-0.91891891891892019</v>
      </c>
      <c r="Q71">
        <f t="shared" ref="Q71" si="331">F71*P71</f>
        <v>-2144861.5135135166</v>
      </c>
      <c r="R71">
        <f t="shared" ref="R71" si="332">R72+Q71</f>
        <v>-169476876.86296853</v>
      </c>
      <c r="S71">
        <f t="shared" ref="S71" si="333">R71/100000</f>
        <v>-1694.7687686296854</v>
      </c>
      <c r="T71">
        <f t="shared" ref="T71" si="334">S71/1000</f>
        <v>-1.6947687686296853</v>
      </c>
    </row>
    <row r="72" spans="1:20" x14ac:dyDescent="0.25">
      <c r="A72" s="5">
        <v>44521</v>
      </c>
      <c r="B72">
        <v>0.27010000000000001</v>
      </c>
      <c r="C72">
        <v>0.27010000000000001</v>
      </c>
      <c r="D72">
        <v>0.26250000000000001</v>
      </c>
      <c r="E72">
        <v>0.26290000000000002</v>
      </c>
      <c r="F72">
        <v>1759412</v>
      </c>
      <c r="G72">
        <v>0.26290000000000002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-0.89473684210526006</v>
      </c>
      <c r="Q72">
        <f t="shared" ref="Q72" si="336">F72*P72</f>
        <v>-1574210.7368420998</v>
      </c>
      <c r="R72">
        <f t="shared" ref="R72" si="337">R73+Q72</f>
        <v>-167332015.34945503</v>
      </c>
      <c r="S72">
        <f t="shared" ref="S72" si="338">R72/100000</f>
        <v>-1673.3201534945504</v>
      </c>
      <c r="T72">
        <f t="shared" ref="T72" si="339">S72/1000</f>
        <v>-1.6733201534945503</v>
      </c>
    </row>
    <row r="73" spans="1:20" x14ac:dyDescent="0.25">
      <c r="A73" s="5">
        <v>44520</v>
      </c>
      <c r="B73">
        <v>0.25640000000000002</v>
      </c>
      <c r="C73">
        <v>0.27750000000000002</v>
      </c>
      <c r="D73">
        <v>0.2525</v>
      </c>
      <c r="E73">
        <v>0.26950000000000002</v>
      </c>
      <c r="F73">
        <v>9213707</v>
      </c>
      <c r="G73">
        <v>0.26950000000000002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0.36</v>
      </c>
      <c r="Q73">
        <f t="shared" ref="Q73" si="341">F73*P73</f>
        <v>3316934.52</v>
      </c>
      <c r="R73">
        <f t="shared" ref="R73" si="342">R74+Q73</f>
        <v>-165757804.61261293</v>
      </c>
      <c r="S73">
        <f t="shared" ref="S73" si="343">R73/100000</f>
        <v>-1657.5780461261293</v>
      </c>
      <c r="T73">
        <f t="shared" ref="T73" si="344">S73/1000</f>
        <v>-1.6575780461261294</v>
      </c>
    </row>
    <row r="74" spans="1:20" x14ac:dyDescent="0.25">
      <c r="A74" s="5">
        <v>44519</v>
      </c>
      <c r="B74">
        <v>0.24440000000000001</v>
      </c>
      <c r="C74">
        <v>0.25890000000000002</v>
      </c>
      <c r="D74">
        <v>0.2382</v>
      </c>
      <c r="E74">
        <v>0.25659999999999999</v>
      </c>
      <c r="F74">
        <v>3235539</v>
      </c>
      <c r="G74">
        <v>0.25659999999999999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0.77777777777777568</v>
      </c>
      <c r="Q74">
        <f t="shared" ref="Q74" si="346">F74*P74</f>
        <v>2516530.3333333265</v>
      </c>
      <c r="R74">
        <f t="shared" ref="R74" si="347">R75+Q74</f>
        <v>-169074739.13261294</v>
      </c>
      <c r="S74">
        <f t="shared" ref="S74" si="348">R74/100000</f>
        <v>-1690.7473913261294</v>
      </c>
      <c r="T74">
        <f t="shared" ref="T74" si="349">S74/1000</f>
        <v>-1.6907473913261295</v>
      </c>
    </row>
    <row r="75" spans="1:20" x14ac:dyDescent="0.25">
      <c r="A75" s="5">
        <v>44518</v>
      </c>
      <c r="B75">
        <v>0.25480000000000003</v>
      </c>
      <c r="C75">
        <v>0.26029999999999998</v>
      </c>
      <c r="D75">
        <v>0.24099999999999999</v>
      </c>
      <c r="E75">
        <v>0.24440000000000001</v>
      </c>
      <c r="F75">
        <v>3187701</v>
      </c>
      <c r="G75">
        <v>0.24440000000000001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-0.64766839378238161</v>
      </c>
      <c r="Q75">
        <f t="shared" ref="Q75" si="351">F75*P75</f>
        <v>-2064573.1865284916</v>
      </c>
      <c r="R75">
        <f t="shared" ref="R75" si="352">R76+Q75</f>
        <v>-171591269.46594626</v>
      </c>
      <c r="S75">
        <f t="shared" ref="S75" si="353">R75/100000</f>
        <v>-1715.9126946594627</v>
      </c>
      <c r="T75">
        <f t="shared" ref="T75" si="354">S75/1000</f>
        <v>-1.7159126946594627</v>
      </c>
    </row>
    <row r="76" spans="1:20" x14ac:dyDescent="0.25">
      <c r="A76" s="5">
        <v>44517</v>
      </c>
      <c r="B76">
        <v>0.25919999999999999</v>
      </c>
      <c r="C76">
        <v>0.2611</v>
      </c>
      <c r="D76">
        <v>0.25090000000000001</v>
      </c>
      <c r="E76">
        <v>0.2555</v>
      </c>
      <c r="F76">
        <v>3896981</v>
      </c>
      <c r="G76">
        <v>0.2555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-9.8039215686274717E-2</v>
      </c>
      <c r="Q76">
        <f t="shared" ref="Q76" si="356">F76*P76</f>
        <v>-382056.96078431455</v>
      </c>
      <c r="R76">
        <f t="shared" ref="R76" si="357">R77+Q76</f>
        <v>-169526696.27941775</v>
      </c>
      <c r="S76">
        <f t="shared" ref="S76" si="358">R76/100000</f>
        <v>-1695.2669627941775</v>
      </c>
      <c r="T76">
        <f t="shared" ref="T76" si="359">S76/1000</f>
        <v>-1.6952669627941774</v>
      </c>
    </row>
    <row r="77" spans="1:20" x14ac:dyDescent="0.25">
      <c r="A77" s="5">
        <v>44516</v>
      </c>
      <c r="B77">
        <v>0.28320000000000001</v>
      </c>
      <c r="C77">
        <v>0.28320000000000001</v>
      </c>
      <c r="D77">
        <v>0.2492</v>
      </c>
      <c r="E77">
        <v>0.25950000000000001</v>
      </c>
      <c r="F77">
        <v>4798737</v>
      </c>
      <c r="G77">
        <v>0.25950000000000001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-0.39411764705882335</v>
      </c>
      <c r="Q77">
        <f t="shared" ref="Q77" si="361">F77*P77</f>
        <v>-1891266.9352941168</v>
      </c>
      <c r="R77">
        <f t="shared" ref="R77" si="362">R78+Q77</f>
        <v>-169144639.31863344</v>
      </c>
      <c r="S77">
        <f t="shared" ref="S77" si="363">R77/100000</f>
        <v>-1691.4463931863343</v>
      </c>
      <c r="T77">
        <f t="shared" ref="T77" si="364">S77/1000</f>
        <v>-1.6914463931863342</v>
      </c>
    </row>
    <row r="78" spans="1:20" x14ac:dyDescent="0.25">
      <c r="A78" s="5">
        <v>44515</v>
      </c>
      <c r="B78">
        <v>0.2883</v>
      </c>
      <c r="C78">
        <v>0.28999999999999998</v>
      </c>
      <c r="D78">
        <v>0.28160000000000002</v>
      </c>
      <c r="E78">
        <v>0.2833</v>
      </c>
      <c r="F78">
        <v>1999819</v>
      </c>
      <c r="G78">
        <v>0.2833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-0.59523809523809834</v>
      </c>
      <c r="Q78">
        <f t="shared" ref="Q78" si="366">F78*P78</f>
        <v>-1190368.4523809585</v>
      </c>
      <c r="R78">
        <f t="shared" ref="R78" si="367">R79+Q78</f>
        <v>-167253372.38333932</v>
      </c>
      <c r="S78">
        <f t="shared" ref="S78" si="368">R78/100000</f>
        <v>-1672.5337238333932</v>
      </c>
      <c r="T78">
        <f t="shared" ref="T78" si="369">S78/1000</f>
        <v>-1.6725337238333933</v>
      </c>
    </row>
    <row r="79" spans="1:20" x14ac:dyDescent="0.25">
      <c r="A79" s="5">
        <v>44514</v>
      </c>
      <c r="B79">
        <v>0.28470000000000001</v>
      </c>
      <c r="C79">
        <v>0.29480000000000001</v>
      </c>
      <c r="D79">
        <v>0.28079999999999999</v>
      </c>
      <c r="E79">
        <v>0.2883</v>
      </c>
      <c r="F79">
        <v>3661044</v>
      </c>
      <c r="G79">
        <v>0.2883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7.1428571428571425E-2</v>
      </c>
      <c r="Q79">
        <f t="shared" ref="Q79" si="371">F79*P79</f>
        <v>261503.14285714284</v>
      </c>
      <c r="R79">
        <f t="shared" ref="R79" si="372">R80+Q79</f>
        <v>-166063003.93095836</v>
      </c>
      <c r="S79">
        <f t="shared" ref="S79" si="373">R79/100000</f>
        <v>-1660.6300393095837</v>
      </c>
      <c r="T79">
        <f t="shared" ref="T79" si="374">S79/1000</f>
        <v>-1.6606300393095836</v>
      </c>
    </row>
    <row r="80" spans="1:20" x14ac:dyDescent="0.25">
      <c r="A80" s="5">
        <v>44513</v>
      </c>
      <c r="B80">
        <v>0.28370000000000001</v>
      </c>
      <c r="C80">
        <v>0.28549999999999998</v>
      </c>
      <c r="D80">
        <v>0.2762</v>
      </c>
      <c r="E80">
        <v>0.28510000000000002</v>
      </c>
      <c r="F80">
        <v>2816070</v>
      </c>
      <c r="G80">
        <v>0.28510000000000002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0.91397849462366521</v>
      </c>
      <c r="Q80">
        <f t="shared" ref="Q80" si="376">F80*P80</f>
        <v>2573827.4193548649</v>
      </c>
      <c r="R80">
        <f t="shared" ref="R80" si="377">R81+Q80</f>
        <v>-166324507.07381549</v>
      </c>
      <c r="S80">
        <f t="shared" ref="S80" si="378">R80/100000</f>
        <v>-1663.2450707381549</v>
      </c>
      <c r="T80">
        <f t="shared" ref="T80" si="379">S80/1000</f>
        <v>-1.663245070738155</v>
      </c>
    </row>
    <row r="81" spans="1:20" x14ac:dyDescent="0.25">
      <c r="A81" s="5">
        <v>44512</v>
      </c>
      <c r="B81">
        <v>0.29399999999999998</v>
      </c>
      <c r="C81">
        <v>0.2959</v>
      </c>
      <c r="D81">
        <v>0.2782</v>
      </c>
      <c r="E81">
        <v>0.2828</v>
      </c>
      <c r="F81">
        <v>2854070</v>
      </c>
      <c r="G81">
        <v>0.2828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-0.4802259887005656</v>
      </c>
      <c r="Q81">
        <f t="shared" ref="Q81" si="381">F81*P81</f>
        <v>-1370598.5875706233</v>
      </c>
      <c r="R81">
        <f t="shared" ref="R81" si="382">R82+Q81</f>
        <v>-168898334.49317035</v>
      </c>
      <c r="S81">
        <f t="shared" ref="S81" si="383">R81/100000</f>
        <v>-1688.9833449317034</v>
      </c>
      <c r="T81">
        <f t="shared" ref="T81" si="384">S81/1000</f>
        <v>-1.6889833449317033</v>
      </c>
    </row>
    <row r="82" spans="1:20" x14ac:dyDescent="0.25">
      <c r="A82" s="5">
        <v>44511</v>
      </c>
      <c r="B82">
        <v>0.28960000000000002</v>
      </c>
      <c r="C82">
        <v>0.29699999999999999</v>
      </c>
      <c r="D82">
        <v>0.28499999999999998</v>
      </c>
      <c r="E82">
        <v>0.29409999999999997</v>
      </c>
      <c r="F82">
        <v>4532782</v>
      </c>
      <c r="G82">
        <v>0.29409999999999997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0.51666666666666483</v>
      </c>
      <c r="Q82">
        <f t="shared" ref="Q82" si="386">F82*P82</f>
        <v>2341937.3666666583</v>
      </c>
      <c r="R82">
        <f t="shared" ref="R82" si="387">R83+Q82</f>
        <v>-167527735.90559971</v>
      </c>
      <c r="S82">
        <f t="shared" ref="S82" si="388">R82/100000</f>
        <v>-1675.2773590559971</v>
      </c>
      <c r="T82">
        <f t="shared" ref="T82" si="389">S82/1000</f>
        <v>-1.6752773590559971</v>
      </c>
    </row>
    <row r="83" spans="1:20" x14ac:dyDescent="0.25">
      <c r="A83" s="5">
        <v>44510</v>
      </c>
      <c r="B83">
        <v>0.2918</v>
      </c>
      <c r="C83">
        <v>0.30769999999999997</v>
      </c>
      <c r="D83">
        <v>0.28029999999999999</v>
      </c>
      <c r="E83">
        <v>0.28989999999999999</v>
      </c>
      <c r="F83">
        <v>6325470.9400000004</v>
      </c>
      <c r="G83">
        <v>0.28989999999999999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-0.29927007299270042</v>
      </c>
      <c r="Q83">
        <f t="shared" ref="Q83" si="391">F83*P83</f>
        <v>-1893024.1499270054</v>
      </c>
      <c r="R83">
        <f t="shared" ref="R83" si="392">R84+Q83</f>
        <v>-169869673.27226636</v>
      </c>
      <c r="S83">
        <f t="shared" ref="S83" si="393">R83/100000</f>
        <v>-1698.6967327226637</v>
      </c>
      <c r="T83">
        <f t="shared" ref="T83" si="394">S83/1000</f>
        <v>-1.6986967327226636</v>
      </c>
    </row>
    <row r="84" spans="1:20" x14ac:dyDescent="0.25">
      <c r="A84" s="5">
        <v>44509</v>
      </c>
      <c r="B84">
        <v>0.2908</v>
      </c>
      <c r="C84">
        <v>0.2969</v>
      </c>
      <c r="D84">
        <v>0.28570000000000001</v>
      </c>
      <c r="E84">
        <v>0.2918</v>
      </c>
      <c r="F84">
        <v>3610417</v>
      </c>
      <c r="G84">
        <v>0.2918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8.9285714285714468E-2</v>
      </c>
      <c r="Q84">
        <f t="shared" ref="Q84" si="396">F84*P84</f>
        <v>322358.66071428638</v>
      </c>
      <c r="R84">
        <f t="shared" ref="R84" si="397">R85+Q84</f>
        <v>-167976649.12233934</v>
      </c>
      <c r="S84">
        <f t="shared" ref="S84" si="398">R84/100000</f>
        <v>-1679.7664912233934</v>
      </c>
      <c r="T84">
        <f t="shared" ref="T84" si="399">S84/1000</f>
        <v>-1.6797664912233934</v>
      </c>
    </row>
    <row r="85" spans="1:20" x14ac:dyDescent="0.25">
      <c r="A85" s="5">
        <v>44508</v>
      </c>
      <c r="B85">
        <v>0.27350000000000002</v>
      </c>
      <c r="C85">
        <v>0.2969</v>
      </c>
      <c r="D85">
        <v>0.27329999999999999</v>
      </c>
      <c r="E85">
        <v>0.29089999999999999</v>
      </c>
      <c r="F85">
        <v>6959975</v>
      </c>
      <c r="G85">
        <v>0.29089999999999999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0.4915254237288133</v>
      </c>
      <c r="Q85">
        <f t="shared" ref="Q85" si="401">F85*P85</f>
        <v>3421004.6610169476</v>
      </c>
      <c r="R85">
        <f t="shared" ref="R85" si="402">R86+Q85</f>
        <v>-168299007.78305364</v>
      </c>
      <c r="S85">
        <f t="shared" ref="S85" si="403">R85/100000</f>
        <v>-1682.9900778305364</v>
      </c>
      <c r="T85">
        <f t="shared" ref="T85" si="404">S85/1000</f>
        <v>-1.6829900778305364</v>
      </c>
    </row>
    <row r="86" spans="1:20" x14ac:dyDescent="0.25">
      <c r="A86" s="5">
        <v>44507</v>
      </c>
      <c r="B86">
        <v>0.26569999999999999</v>
      </c>
      <c r="C86">
        <v>0.27350000000000002</v>
      </c>
      <c r="D86">
        <v>0.26500000000000001</v>
      </c>
      <c r="E86">
        <v>0.27350000000000002</v>
      </c>
      <c r="F86">
        <v>3072221</v>
      </c>
      <c r="G86">
        <v>0.27350000000000002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1</v>
      </c>
      <c r="Q86">
        <f t="shared" ref="Q86" si="406">F86*P86</f>
        <v>3072221</v>
      </c>
      <c r="R86">
        <f t="shared" ref="R86" si="407">R87+Q86</f>
        <v>-171720012.44407058</v>
      </c>
      <c r="S86">
        <f t="shared" ref="S86" si="408">R86/100000</f>
        <v>-1717.2001244407058</v>
      </c>
      <c r="T86">
        <f t="shared" ref="T86" si="409">S86/1000</f>
        <v>-1.7172001244407058</v>
      </c>
    </row>
    <row r="87" spans="1:20" x14ac:dyDescent="0.25">
      <c r="A87" s="5">
        <v>44506</v>
      </c>
      <c r="B87">
        <v>0.26540000000000002</v>
      </c>
      <c r="C87">
        <v>0.27060000000000001</v>
      </c>
      <c r="D87">
        <v>0.2576</v>
      </c>
      <c r="E87">
        <v>0.26540000000000002</v>
      </c>
      <c r="F87">
        <v>2055798</v>
      </c>
      <c r="G87">
        <v>0.26540000000000002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0.20000000000000343</v>
      </c>
      <c r="Q87">
        <f t="shared" ref="Q87" si="411">F87*P87</f>
        <v>411159.60000000702</v>
      </c>
      <c r="R87">
        <f t="shared" ref="R87" si="412">R88+Q87</f>
        <v>-174792233.44407058</v>
      </c>
      <c r="S87">
        <f t="shared" ref="S87" si="413">R87/100000</f>
        <v>-1747.9223344407058</v>
      </c>
      <c r="T87">
        <f t="shared" ref="T87" si="414">S87/1000</f>
        <v>-1.7479223344407058</v>
      </c>
    </row>
    <row r="88" spans="1:20" x14ac:dyDescent="0.25">
      <c r="A88" s="5">
        <v>44505</v>
      </c>
      <c r="B88">
        <v>0.2717</v>
      </c>
      <c r="C88">
        <v>0.27460000000000001</v>
      </c>
      <c r="D88">
        <v>0.2636</v>
      </c>
      <c r="E88">
        <v>0.2656</v>
      </c>
      <c r="F88">
        <v>2145137</v>
      </c>
      <c r="G88">
        <v>0.2656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-0.63636363636363635</v>
      </c>
      <c r="Q88">
        <f t="shared" ref="Q88" si="416">F88*P88</f>
        <v>-1365087.1818181819</v>
      </c>
      <c r="R88">
        <f t="shared" ref="R88" si="417">R89+Q88</f>
        <v>-175203393.04407057</v>
      </c>
      <c r="S88">
        <f t="shared" ref="S88" si="418">R88/100000</f>
        <v>-1752.0339304407057</v>
      </c>
      <c r="T88">
        <f t="shared" ref="T88" si="419">S88/1000</f>
        <v>-1.7520339304407058</v>
      </c>
    </row>
    <row r="89" spans="1:20" x14ac:dyDescent="0.25">
      <c r="A89" s="5">
        <v>44504</v>
      </c>
      <c r="B89">
        <v>0.27250000000000002</v>
      </c>
      <c r="C89">
        <v>0.27689999999999998</v>
      </c>
      <c r="D89">
        <v>0.26879999999999998</v>
      </c>
      <c r="E89">
        <v>0.2717</v>
      </c>
      <c r="F89">
        <v>2284308</v>
      </c>
      <c r="G89">
        <v>0.2717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-0.28395061728394688</v>
      </c>
      <c r="Q89">
        <f t="shared" ref="Q89" si="421">F89*P89</f>
        <v>-648630.66666665813</v>
      </c>
      <c r="R89">
        <f t="shared" ref="R89" si="422">R90+Q89</f>
        <v>-173838305.86225238</v>
      </c>
      <c r="S89">
        <f t="shared" ref="S89" si="423">R89/100000</f>
        <v>-1738.3830586225238</v>
      </c>
      <c r="T89">
        <f t="shared" ref="T89" si="424">S89/1000</f>
        <v>-1.7383830586225237</v>
      </c>
    </row>
    <row r="90" spans="1:20" x14ac:dyDescent="0.25">
      <c r="A90" s="5">
        <v>44503</v>
      </c>
      <c r="B90">
        <v>0.2656</v>
      </c>
      <c r="C90">
        <v>0.27679999999999999</v>
      </c>
      <c r="D90">
        <v>0.26329999999999998</v>
      </c>
      <c r="E90">
        <v>0.27250000000000002</v>
      </c>
      <c r="F90">
        <v>4540395</v>
      </c>
      <c r="G90">
        <v>0.27250000000000002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0.36296296296296787</v>
      </c>
      <c r="Q90">
        <f t="shared" ref="Q90" si="426">F90*P90</f>
        <v>1647995.2222222446</v>
      </c>
      <c r="R90">
        <f t="shared" ref="R90" si="427">R91+Q90</f>
        <v>-173189675.19558573</v>
      </c>
      <c r="S90">
        <f t="shared" ref="S90" si="428">R90/100000</f>
        <v>-1731.8967519558573</v>
      </c>
      <c r="T90">
        <f t="shared" ref="T90" si="429">S90/1000</f>
        <v>-1.7318967519558572</v>
      </c>
    </row>
    <row r="91" spans="1:20" x14ac:dyDescent="0.25">
      <c r="A91" s="5">
        <v>44502</v>
      </c>
      <c r="B91">
        <v>0.26319999999999999</v>
      </c>
      <c r="C91">
        <v>0.27510000000000001</v>
      </c>
      <c r="D91">
        <v>0.26079999999999998</v>
      </c>
      <c r="E91">
        <v>0.2666</v>
      </c>
      <c r="F91">
        <v>6299496</v>
      </c>
      <c r="G91">
        <v>0.2666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-0.18881118881118697</v>
      </c>
      <c r="Q91">
        <f t="shared" ref="Q91" si="431">F91*P91</f>
        <v>-1189415.3286713171</v>
      </c>
      <c r="R91">
        <f t="shared" ref="R91" si="432">R92+Q91</f>
        <v>-174837670.41780797</v>
      </c>
      <c r="S91">
        <f t="shared" ref="S91" si="433">R91/100000</f>
        <v>-1748.3767041780798</v>
      </c>
      <c r="T91">
        <f t="shared" ref="T91" si="434">S91/1000</f>
        <v>-1.7483767041780798</v>
      </c>
    </row>
    <row r="92" spans="1:20" x14ac:dyDescent="0.25">
      <c r="A92" s="5">
        <v>44501</v>
      </c>
      <c r="B92">
        <v>0.26819999999999999</v>
      </c>
      <c r="C92">
        <v>0.26900000000000002</v>
      </c>
      <c r="D92">
        <v>0.26150000000000001</v>
      </c>
      <c r="E92">
        <v>0.26279999999999998</v>
      </c>
      <c r="F92">
        <v>2272099</v>
      </c>
      <c r="G92">
        <v>0.26279999999999998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-0.6533333333333422</v>
      </c>
      <c r="Q92">
        <f t="shared" ref="Q92" si="436">F92*P92</f>
        <v>-1484438.0133333534</v>
      </c>
      <c r="R92">
        <f t="shared" ref="R92" si="437">R93+Q92</f>
        <v>-173648255.08913666</v>
      </c>
      <c r="S92">
        <f t="shared" ref="S92" si="438">R92/100000</f>
        <v>-1736.4825508913666</v>
      </c>
      <c r="T92">
        <f t="shared" ref="T92" si="439">S92/1000</f>
        <v>-1.7364825508913666</v>
      </c>
    </row>
    <row r="93" spans="1:20" x14ac:dyDescent="0.25">
      <c r="A93" s="5">
        <v>44500</v>
      </c>
      <c r="B93">
        <v>0.27010000000000001</v>
      </c>
      <c r="C93">
        <v>0.27160000000000001</v>
      </c>
      <c r="D93">
        <v>0.25719999999999998</v>
      </c>
      <c r="E93">
        <v>0.26829999999999998</v>
      </c>
      <c r="F93">
        <v>2128857</v>
      </c>
      <c r="G93">
        <v>0.26829999999999998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0.54166666666666397</v>
      </c>
      <c r="Q93">
        <f t="shared" ref="Q93" si="441">F93*P93</f>
        <v>1153130.8749999942</v>
      </c>
      <c r="R93">
        <f t="shared" ref="R93" si="442">R94+Q93</f>
        <v>-172163817.07580331</v>
      </c>
      <c r="S93">
        <f t="shared" ref="S93" si="443">R93/100000</f>
        <v>-1721.6381707580331</v>
      </c>
      <c r="T93">
        <f t="shared" ref="T93" si="444">S93/1000</f>
        <v>-1.721638170758033</v>
      </c>
    </row>
    <row r="94" spans="1:20" x14ac:dyDescent="0.25">
      <c r="A94" s="5">
        <v>44499</v>
      </c>
      <c r="B94">
        <v>0.27179999999999999</v>
      </c>
      <c r="C94">
        <v>0.27639999999999998</v>
      </c>
      <c r="D94">
        <v>0.26729999999999998</v>
      </c>
      <c r="E94">
        <v>0.26939999999999997</v>
      </c>
      <c r="F94">
        <v>1873680</v>
      </c>
      <c r="G94">
        <v>0.26939999999999997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-0.53846153846154032</v>
      </c>
      <c r="Q94">
        <f t="shared" ref="Q94" si="446">F94*P94</f>
        <v>-1008904.6153846189</v>
      </c>
      <c r="R94">
        <f t="shared" ref="R94" si="447">R95+Q94</f>
        <v>-173316947.95080331</v>
      </c>
      <c r="S94">
        <f t="shared" ref="S94" si="448">R94/100000</f>
        <v>-1733.1694795080332</v>
      </c>
      <c r="T94">
        <f t="shared" ref="T94" si="449">S94/1000</f>
        <v>-1.7331694795080332</v>
      </c>
    </row>
    <row r="95" spans="1:20" x14ac:dyDescent="0.25">
      <c r="A95" s="5">
        <v>44498</v>
      </c>
      <c r="B95">
        <v>0.26529999999999998</v>
      </c>
      <c r="C95">
        <v>0.27329999999999999</v>
      </c>
      <c r="D95">
        <v>0.26390000000000002</v>
      </c>
      <c r="E95">
        <v>0.27089999999999997</v>
      </c>
      <c r="F95">
        <v>2072962</v>
      </c>
      <c r="G95">
        <v>0.27089999999999997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0.48936170212765479</v>
      </c>
      <c r="Q95">
        <f t="shared" ref="Q95" si="451">F95*P95</f>
        <v>1014428.2127659476</v>
      </c>
      <c r="R95">
        <f t="shared" ref="R95" si="452">R96+Q95</f>
        <v>-172308043.3354187</v>
      </c>
      <c r="S95">
        <f t="shared" ref="S95" si="453">R95/100000</f>
        <v>-1723.0804333541871</v>
      </c>
      <c r="T95">
        <f t="shared" ref="T95" si="454">S95/1000</f>
        <v>-1.7230804333541871</v>
      </c>
    </row>
    <row r="96" spans="1:20" x14ac:dyDescent="0.25">
      <c r="A96" s="5">
        <v>44497</v>
      </c>
      <c r="B96">
        <v>0.25829999999999997</v>
      </c>
      <c r="C96">
        <v>0.27039999999999997</v>
      </c>
      <c r="D96">
        <v>0.25650000000000001</v>
      </c>
      <c r="E96">
        <v>0.26569999999999999</v>
      </c>
      <c r="F96">
        <v>2770558</v>
      </c>
      <c r="G96">
        <v>0.26569999999999999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0.32374100719424564</v>
      </c>
      <c r="Q96">
        <f t="shared" ref="Q96" si="456">F96*P96</f>
        <v>896943.2374100748</v>
      </c>
      <c r="R96">
        <f t="shared" ref="R96" si="457">R97+Q96</f>
        <v>-173322471.54818466</v>
      </c>
      <c r="S96">
        <f t="shared" ref="S96" si="458">R96/100000</f>
        <v>-1733.2247154818467</v>
      </c>
      <c r="T96">
        <f t="shared" ref="T96" si="459">S96/1000</f>
        <v>-1.7332247154818468</v>
      </c>
    </row>
    <row r="97" spans="1:20" x14ac:dyDescent="0.25">
      <c r="A97" s="5">
        <v>44496</v>
      </c>
      <c r="B97">
        <v>0.26519999999999999</v>
      </c>
      <c r="C97">
        <v>0.26919999999999999</v>
      </c>
      <c r="D97">
        <v>0.25340000000000001</v>
      </c>
      <c r="E97">
        <v>0.25829999999999997</v>
      </c>
      <c r="F97">
        <v>2611309</v>
      </c>
      <c r="G97">
        <v>0.25829999999999997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-0.37974683544304227</v>
      </c>
      <c r="Q97">
        <f t="shared" ref="Q97" si="461">F97*P97</f>
        <v>-991636.32911393524</v>
      </c>
      <c r="R97">
        <f t="shared" ref="R97" si="462">R98+Q97</f>
        <v>-174219414.78559473</v>
      </c>
      <c r="S97">
        <f t="shared" ref="S97" si="463">R97/100000</f>
        <v>-1742.1941478559472</v>
      </c>
      <c r="T97">
        <f t="shared" ref="T97" si="464">S97/1000</f>
        <v>-1.7421941478559473</v>
      </c>
    </row>
    <row r="98" spans="1:20" x14ac:dyDescent="0.25">
      <c r="A98" s="5">
        <v>44495</v>
      </c>
      <c r="B98">
        <v>0.27250000000000002</v>
      </c>
      <c r="C98">
        <v>0.27350000000000002</v>
      </c>
      <c r="D98">
        <v>0.26329999999999998</v>
      </c>
      <c r="E98">
        <v>0.2646</v>
      </c>
      <c r="F98">
        <v>2031056</v>
      </c>
      <c r="G98">
        <v>0.2646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-0.74509803921568274</v>
      </c>
      <c r="Q98">
        <f t="shared" ref="Q98" si="466">F98*P98</f>
        <v>-1513335.8431372477</v>
      </c>
      <c r="R98">
        <f t="shared" ref="R98" si="467">R99+Q98</f>
        <v>-173227778.4564808</v>
      </c>
      <c r="S98">
        <f t="shared" ref="S98" si="468">R98/100000</f>
        <v>-1732.2777845648079</v>
      </c>
      <c r="T98">
        <f t="shared" ref="T98" si="469">S98/1000</f>
        <v>-1.7322777845648079</v>
      </c>
    </row>
    <row r="99" spans="1:20" x14ac:dyDescent="0.25">
      <c r="A99" s="5">
        <v>44494</v>
      </c>
      <c r="B99">
        <v>0.27029999999999998</v>
      </c>
      <c r="C99">
        <v>0.2777</v>
      </c>
      <c r="D99">
        <v>0.2671</v>
      </c>
      <c r="E99">
        <v>0.27250000000000002</v>
      </c>
      <c r="F99">
        <v>3674052</v>
      </c>
      <c r="G99">
        <v>0.27250000000000002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1.886792452830505E-2</v>
      </c>
      <c r="Q99">
        <f t="shared" ref="Q99" si="471">F99*P99</f>
        <v>69321.735849068224</v>
      </c>
      <c r="R99">
        <f t="shared" ref="R99" si="472">R100+Q99</f>
        <v>-171714442.61334357</v>
      </c>
      <c r="S99">
        <f t="shared" ref="S99" si="473">R99/100000</f>
        <v>-1717.1444261334357</v>
      </c>
      <c r="T99">
        <f t="shared" ref="T99" si="474">S99/1000</f>
        <v>-1.7171444261334357</v>
      </c>
    </row>
    <row r="100" spans="1:20" x14ac:dyDescent="0.25">
      <c r="A100" s="5">
        <v>44493</v>
      </c>
      <c r="B100">
        <v>0.27060000000000001</v>
      </c>
      <c r="C100">
        <v>0.27410000000000001</v>
      </c>
      <c r="D100">
        <v>0.25850000000000001</v>
      </c>
      <c r="E100">
        <v>0.26889999999999997</v>
      </c>
      <c r="F100">
        <v>6210607</v>
      </c>
      <c r="G100">
        <v>0.26889999999999997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0.3333333333333286</v>
      </c>
      <c r="Q100">
        <f t="shared" ref="Q100" si="476">F100*P100</f>
        <v>2070202.3333333039</v>
      </c>
      <c r="R100">
        <f t="shared" ref="R100" si="477">R101+Q100</f>
        <v>-171783764.34919265</v>
      </c>
      <c r="S100">
        <f t="shared" ref="S100" si="478">R100/100000</f>
        <v>-1717.8376434919264</v>
      </c>
      <c r="T100">
        <f t="shared" ref="T100" si="479">S100/1000</f>
        <v>-1.7178376434919265</v>
      </c>
    </row>
    <row r="101" spans="1:20" x14ac:dyDescent="0.25">
      <c r="A101" s="5">
        <v>44492</v>
      </c>
      <c r="B101">
        <v>0.27150000000000002</v>
      </c>
      <c r="C101">
        <v>0.2737</v>
      </c>
      <c r="D101">
        <v>0.2651</v>
      </c>
      <c r="E101">
        <v>0.27</v>
      </c>
      <c r="F101">
        <v>3174613</v>
      </c>
      <c r="G101">
        <v>0.27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0.13953488372093428</v>
      </c>
      <c r="Q101">
        <f t="shared" ref="Q101" si="481">F101*P101</f>
        <v>442969.25581396633</v>
      </c>
      <c r="R101">
        <f t="shared" ref="R101" si="482">R102+Q101</f>
        <v>-173853966.68252596</v>
      </c>
      <c r="S101">
        <f t="shared" ref="S101" si="483">R101/100000</f>
        <v>-1738.5396668252597</v>
      </c>
      <c r="T101">
        <f t="shared" ref="T101" si="484">S101/1000</f>
        <v>-1.7385396668252597</v>
      </c>
    </row>
    <row r="102" spans="1:20" x14ac:dyDescent="0.25">
      <c r="A102" s="5">
        <v>44491</v>
      </c>
      <c r="B102">
        <v>0.2777</v>
      </c>
      <c r="C102">
        <v>0.28789999999999999</v>
      </c>
      <c r="D102">
        <v>0.26869999999999999</v>
      </c>
      <c r="E102">
        <v>0.2707</v>
      </c>
      <c r="F102">
        <v>6345593</v>
      </c>
      <c r="G102">
        <v>0.2707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-0.79166666666666641</v>
      </c>
      <c r="Q102">
        <f t="shared" ref="Q102" si="486">F102*P102</f>
        <v>-5023594.4583333321</v>
      </c>
      <c r="R102">
        <f t="shared" ref="R102" si="487">R103+Q102</f>
        <v>-174296935.93833992</v>
      </c>
      <c r="S102">
        <f t="shared" ref="S102" si="488">R102/100000</f>
        <v>-1742.9693593833993</v>
      </c>
      <c r="T102">
        <f t="shared" ref="T102" si="489">S102/1000</f>
        <v>-1.7429693593833993</v>
      </c>
    </row>
    <row r="103" spans="1:20" x14ac:dyDescent="0.25">
      <c r="A103" s="5">
        <v>44490</v>
      </c>
      <c r="B103">
        <v>0.28449999999999998</v>
      </c>
      <c r="C103">
        <v>0.30420000000000003</v>
      </c>
      <c r="D103">
        <v>0.2752</v>
      </c>
      <c r="E103">
        <v>0.27739999999999998</v>
      </c>
      <c r="F103">
        <v>11855277</v>
      </c>
      <c r="G103">
        <v>0.27739999999999998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-0.8482758620689671</v>
      </c>
      <c r="Q103">
        <f t="shared" ref="Q103" si="491">F103*P103</f>
        <v>-10056545.317241399</v>
      </c>
      <c r="R103">
        <f t="shared" ref="R103" si="492">R104+Q103</f>
        <v>-169273341.48000658</v>
      </c>
      <c r="S103">
        <f t="shared" ref="S103" si="493">R103/100000</f>
        <v>-1692.7334148000657</v>
      </c>
      <c r="T103">
        <f t="shared" ref="T103" si="494">S103/1000</f>
        <v>-1.6927334148000657</v>
      </c>
    </row>
    <row r="104" spans="1:20" x14ac:dyDescent="0.25">
      <c r="A104" s="5">
        <v>44489</v>
      </c>
      <c r="B104">
        <v>0.2782</v>
      </c>
      <c r="C104">
        <v>0.2913</v>
      </c>
      <c r="D104">
        <v>0.27550000000000002</v>
      </c>
      <c r="E104">
        <v>0.28449999999999998</v>
      </c>
      <c r="F104">
        <v>3747153</v>
      </c>
      <c r="G104">
        <v>0.28449999999999998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0.13924050632910931</v>
      </c>
      <c r="Q104">
        <f t="shared" ref="Q104" si="496">F104*P104</f>
        <v>521755.48101264093</v>
      </c>
      <c r="R104">
        <f t="shared" ref="R104" si="497">R105+Q104</f>
        <v>-159216796.16276518</v>
      </c>
      <c r="S104">
        <f t="shared" ref="S104" si="498">R104/100000</f>
        <v>-1592.1679616276517</v>
      </c>
      <c r="T104">
        <f t="shared" ref="T104" si="499">S104/1000</f>
        <v>-1.5921679616276516</v>
      </c>
    </row>
    <row r="105" spans="1:20" x14ac:dyDescent="0.25">
      <c r="A105" s="5">
        <v>44488</v>
      </c>
      <c r="B105">
        <v>0.28139999999999998</v>
      </c>
      <c r="C105">
        <v>0.28799999999999998</v>
      </c>
      <c r="D105">
        <v>0.27210000000000001</v>
      </c>
      <c r="E105">
        <v>0.2782</v>
      </c>
      <c r="F105">
        <v>5251311</v>
      </c>
      <c r="G105">
        <v>0.2782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-0.23270440251572252</v>
      </c>
      <c r="Q105">
        <f t="shared" ref="Q105" si="501">F105*P105</f>
        <v>-1222003.1886792413</v>
      </c>
      <c r="R105">
        <f t="shared" ref="R105" si="502">R106+Q105</f>
        <v>-159738551.64377782</v>
      </c>
      <c r="S105">
        <f t="shared" ref="S105" si="503">R105/100000</f>
        <v>-1597.3855164377783</v>
      </c>
      <c r="T105">
        <f t="shared" ref="T105" si="504">S105/1000</f>
        <v>-1.5973855164377784</v>
      </c>
    </row>
    <row r="106" spans="1:20" x14ac:dyDescent="0.25">
      <c r="A106" s="5">
        <v>44487</v>
      </c>
      <c r="B106">
        <v>0.28170000000000001</v>
      </c>
      <c r="C106">
        <v>0.29559999999999997</v>
      </c>
      <c r="D106">
        <v>0.27389999999999998</v>
      </c>
      <c r="E106">
        <v>0.28139999999999998</v>
      </c>
      <c r="F106">
        <v>6798943</v>
      </c>
      <c r="G106">
        <v>0.28139999999999998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-0.30875576036866287</v>
      </c>
      <c r="Q106">
        <f t="shared" ref="Q106" si="506">F106*P106</f>
        <v>-2099212.8156681978</v>
      </c>
      <c r="R106">
        <f t="shared" ref="R106" si="507">R107+Q106</f>
        <v>-158516548.45509857</v>
      </c>
      <c r="S106">
        <f t="shared" ref="S106" si="508">R106/100000</f>
        <v>-1585.1654845509856</v>
      </c>
      <c r="T106">
        <f t="shared" ref="T106" si="509">S106/1000</f>
        <v>-1.5851654845509857</v>
      </c>
    </row>
    <row r="107" spans="1:20" x14ac:dyDescent="0.25">
      <c r="A107" s="5">
        <v>44486</v>
      </c>
      <c r="B107">
        <v>0.25969999999999999</v>
      </c>
      <c r="C107">
        <v>0.3</v>
      </c>
      <c r="D107">
        <v>0.25559999999999999</v>
      </c>
      <c r="E107">
        <v>0.28239999999999998</v>
      </c>
      <c r="F107">
        <v>35744218.380000003</v>
      </c>
      <c r="G107">
        <v>0.28239999999999998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0.20720720720720692</v>
      </c>
      <c r="Q107">
        <f t="shared" ref="Q107" si="511">F107*P107</f>
        <v>7406459.6643243143</v>
      </c>
      <c r="R107">
        <f t="shared" ref="R107" si="512">R108+Q107</f>
        <v>-156417335.63943037</v>
      </c>
      <c r="S107">
        <f t="shared" ref="S107" si="513">R107/100000</f>
        <v>-1564.1733563943037</v>
      </c>
      <c r="T107">
        <f t="shared" ref="T107" si="514">S107/1000</f>
        <v>-1.5641733563943037</v>
      </c>
    </row>
    <row r="108" spans="1:20" x14ac:dyDescent="0.25">
      <c r="A108" s="5">
        <v>44485</v>
      </c>
      <c r="B108">
        <v>0.26600000000000001</v>
      </c>
      <c r="C108">
        <v>0.27379999999999999</v>
      </c>
      <c r="D108">
        <v>0.2581</v>
      </c>
      <c r="E108">
        <v>0.25969999999999999</v>
      </c>
      <c r="F108">
        <v>2964563</v>
      </c>
      <c r="G108">
        <v>0.25969999999999999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-0.79617834394904574</v>
      </c>
      <c r="Q108">
        <f t="shared" ref="Q108" si="516">F108*P108</f>
        <v>-2360320.859872615</v>
      </c>
      <c r="R108">
        <f t="shared" ref="R108" si="517">R109+Q108</f>
        <v>-163823795.30375469</v>
      </c>
      <c r="S108">
        <f t="shared" ref="S108" si="518">R108/100000</f>
        <v>-1638.237953037547</v>
      </c>
      <c r="T108">
        <f t="shared" ref="T108" si="519">S108/1000</f>
        <v>-1.638237953037547</v>
      </c>
    </row>
    <row r="109" spans="1:20" x14ac:dyDescent="0.25">
      <c r="A109" s="5">
        <v>44484</v>
      </c>
      <c r="B109">
        <v>0.2525</v>
      </c>
      <c r="C109">
        <v>0.26700000000000002</v>
      </c>
      <c r="D109">
        <v>0.25009999999999999</v>
      </c>
      <c r="E109">
        <v>0.26590000000000003</v>
      </c>
      <c r="F109">
        <v>4933503</v>
      </c>
      <c r="G109">
        <v>0.26590000000000003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0.86982248520710204</v>
      </c>
      <c r="Q109">
        <f t="shared" ref="Q109" si="521">F109*P109</f>
        <v>4291271.8402366936</v>
      </c>
      <c r="R109">
        <f t="shared" ref="R109" si="522">R110+Q109</f>
        <v>-161463474.44388208</v>
      </c>
      <c r="S109">
        <f t="shared" ref="S109" si="523">R109/100000</f>
        <v>-1614.6347444388207</v>
      </c>
      <c r="T109">
        <f t="shared" ref="T109" si="524">S109/1000</f>
        <v>-1.6146347444388207</v>
      </c>
    </row>
    <row r="110" spans="1:20" x14ac:dyDescent="0.25">
      <c r="A110" s="5">
        <v>44483</v>
      </c>
      <c r="B110">
        <v>0.2606</v>
      </c>
      <c r="C110">
        <v>0.26350000000000001</v>
      </c>
      <c r="D110">
        <v>0.2515</v>
      </c>
      <c r="E110">
        <v>0.25280000000000002</v>
      </c>
      <c r="F110">
        <v>3119331</v>
      </c>
      <c r="G110">
        <v>0.25280000000000002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-0.78333333333332966</v>
      </c>
      <c r="Q110">
        <f t="shared" ref="Q110" si="526">F110*P110</f>
        <v>-2443475.9499999885</v>
      </c>
      <c r="R110">
        <f t="shared" ref="R110" si="527">R111+Q110</f>
        <v>-165754746.28411877</v>
      </c>
      <c r="S110">
        <f t="shared" ref="S110" si="528">R110/100000</f>
        <v>-1657.5474628411878</v>
      </c>
      <c r="T110">
        <f t="shared" ref="T110" si="529">S110/1000</f>
        <v>-1.6575474628411877</v>
      </c>
    </row>
    <row r="111" spans="1:20" x14ac:dyDescent="0.25">
      <c r="A111" s="5">
        <v>44482</v>
      </c>
      <c r="B111">
        <v>0.25929999999999997</v>
      </c>
      <c r="C111">
        <v>0.26219999999999999</v>
      </c>
      <c r="D111">
        <v>0.24909999999999999</v>
      </c>
      <c r="E111">
        <v>0.25979999999999998</v>
      </c>
      <c r="F111">
        <v>4445068</v>
      </c>
      <c r="G111">
        <v>0.25979999999999998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0.63358778625953993</v>
      </c>
      <c r="Q111">
        <f t="shared" ref="Q111" si="531">F111*P111</f>
        <v>2816340.7938931207</v>
      </c>
      <c r="R111">
        <f t="shared" ref="R111" si="532">R112+Q111</f>
        <v>-163311270.33411878</v>
      </c>
      <c r="S111">
        <f t="shared" ref="S111" si="533">R111/100000</f>
        <v>-1633.1127033411879</v>
      </c>
      <c r="T111">
        <f t="shared" ref="T111" si="534">S111/1000</f>
        <v>-1.6331127033411879</v>
      </c>
    </row>
    <row r="112" spans="1:20" x14ac:dyDescent="0.25">
      <c r="A112" s="5">
        <v>44481</v>
      </c>
      <c r="B112">
        <v>0.26529999999999998</v>
      </c>
      <c r="C112">
        <v>0.26700000000000002</v>
      </c>
      <c r="D112">
        <v>0.25569999999999998</v>
      </c>
      <c r="E112">
        <v>0.25950000000000001</v>
      </c>
      <c r="F112">
        <v>5718125</v>
      </c>
      <c r="G112">
        <v>0.25950000000000001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-0.32743362831858147</v>
      </c>
      <c r="Q112">
        <f t="shared" ref="Q112" si="536">F112*P112</f>
        <v>-1872306.4159291887</v>
      </c>
      <c r="R112">
        <f t="shared" ref="R112" si="537">R113+Q112</f>
        <v>-166127611.12801191</v>
      </c>
      <c r="S112">
        <f t="shared" ref="S112" si="538">R112/100000</f>
        <v>-1661.276111280119</v>
      </c>
      <c r="T112">
        <f t="shared" ref="T112" si="539">S112/1000</f>
        <v>-1.6612761112801191</v>
      </c>
    </row>
    <row r="113" spans="1:20" x14ac:dyDescent="0.25">
      <c r="A113" s="5">
        <v>44480</v>
      </c>
      <c r="B113">
        <v>0.25430000000000003</v>
      </c>
      <c r="C113">
        <v>0.27750000000000002</v>
      </c>
      <c r="D113">
        <v>0.25259999999999999</v>
      </c>
      <c r="E113">
        <v>0.26540000000000002</v>
      </c>
      <c r="F113">
        <v>9734788</v>
      </c>
      <c r="G113">
        <v>0.26540000000000002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2.8112449799198112E-2</v>
      </c>
      <c r="Q113">
        <f t="shared" ref="Q113" si="541">F113*P113</f>
        <v>273668.73895583616</v>
      </c>
      <c r="R113">
        <f t="shared" ref="R113" si="542">R114+Q113</f>
        <v>-164255304.71208271</v>
      </c>
      <c r="S113">
        <f t="shared" ref="S113" si="543">R113/100000</f>
        <v>-1642.5530471208272</v>
      </c>
      <c r="T113">
        <f t="shared" ref="T113" si="544">S113/1000</f>
        <v>-1.6425530471208272</v>
      </c>
    </row>
    <row r="114" spans="1:20" x14ac:dyDescent="0.25">
      <c r="A114" s="5">
        <v>44479</v>
      </c>
      <c r="B114">
        <v>0.25509999999999999</v>
      </c>
      <c r="C114">
        <v>0.26419999999999999</v>
      </c>
      <c r="D114">
        <v>0.2505</v>
      </c>
      <c r="E114">
        <v>0.25469999999999998</v>
      </c>
      <c r="F114">
        <v>3801928</v>
      </c>
      <c r="G114">
        <v>0.25469999999999998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-0.38686131386861539</v>
      </c>
      <c r="Q114">
        <f t="shared" ref="Q114" si="546">F114*P114</f>
        <v>-1470818.8613138772</v>
      </c>
      <c r="R114">
        <f t="shared" ref="R114" si="547">R115+Q114</f>
        <v>-164528973.45103854</v>
      </c>
      <c r="S114">
        <f t="shared" ref="S114" si="548">R114/100000</f>
        <v>-1645.2897345103854</v>
      </c>
      <c r="T114">
        <f t="shared" ref="T114" si="549">S114/1000</f>
        <v>-1.6452897345103854</v>
      </c>
    </row>
    <row r="115" spans="1:20" x14ac:dyDescent="0.25">
      <c r="A115" s="5">
        <v>44478</v>
      </c>
      <c r="B115">
        <v>0.25090000000000001</v>
      </c>
      <c r="C115">
        <v>0.25600000000000001</v>
      </c>
      <c r="D115">
        <v>0.25009999999999999</v>
      </c>
      <c r="E115">
        <v>0.25490000000000002</v>
      </c>
      <c r="F115">
        <v>1760173</v>
      </c>
      <c r="G115">
        <v>0.25490000000000002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0.62711864406780105</v>
      </c>
      <c r="Q115">
        <f t="shared" ref="Q115" si="551">F115*P115</f>
        <v>1103837.3050847535</v>
      </c>
      <c r="R115">
        <f t="shared" ref="R115" si="552">R116+Q115</f>
        <v>-163058154.58972466</v>
      </c>
      <c r="S115">
        <f t="shared" ref="S115" si="553">R115/100000</f>
        <v>-1630.5815458972465</v>
      </c>
      <c r="T115">
        <f t="shared" ref="T115" si="554">S115/1000</f>
        <v>-1.6305815458972466</v>
      </c>
    </row>
    <row r="116" spans="1:20" x14ac:dyDescent="0.25">
      <c r="A116" s="5">
        <v>44477</v>
      </c>
      <c r="B116">
        <v>0.25659999999999999</v>
      </c>
      <c r="C116">
        <v>0.26119999999999999</v>
      </c>
      <c r="D116">
        <v>0.24940000000000001</v>
      </c>
      <c r="E116">
        <v>0.25090000000000001</v>
      </c>
      <c r="F116">
        <v>2930816</v>
      </c>
      <c r="G116">
        <v>0.25090000000000001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-0.74576271186440601</v>
      </c>
      <c r="Q116">
        <f t="shared" ref="Q116" si="556">F116*P116</f>
        <v>-2185693.288135591</v>
      </c>
      <c r="R116">
        <f t="shared" ref="R116" si="557">R117+Q116</f>
        <v>-164161991.89480942</v>
      </c>
      <c r="S116">
        <f t="shared" ref="S116" si="558">R116/100000</f>
        <v>-1641.6199189480942</v>
      </c>
      <c r="T116">
        <f t="shared" ref="T116" si="559">S116/1000</f>
        <v>-1.6416199189480942</v>
      </c>
    </row>
    <row r="117" spans="1:20" x14ac:dyDescent="0.25">
      <c r="A117" s="5">
        <v>44476</v>
      </c>
      <c r="B117">
        <v>0.26269999999999999</v>
      </c>
      <c r="C117">
        <v>0.26850000000000002</v>
      </c>
      <c r="D117">
        <v>0.25440000000000002</v>
      </c>
      <c r="E117">
        <v>0.25679999999999997</v>
      </c>
      <c r="F117">
        <v>6885288</v>
      </c>
      <c r="G117">
        <v>0.25679999999999997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-0.65957446808511244</v>
      </c>
      <c r="Q117">
        <f t="shared" ref="Q117" si="561">F117*P117</f>
        <v>-4541360.1702128081</v>
      </c>
      <c r="R117">
        <f t="shared" ref="R117" si="562">R118+Q117</f>
        <v>-161976298.60667384</v>
      </c>
      <c r="S117">
        <f t="shared" ref="S117" si="563">R117/100000</f>
        <v>-1619.7629860667384</v>
      </c>
      <c r="T117">
        <f t="shared" ref="T117" si="564">S117/1000</f>
        <v>-1.6197629860667384</v>
      </c>
    </row>
    <row r="118" spans="1:20" x14ac:dyDescent="0.25">
      <c r="A118" s="5">
        <v>44475</v>
      </c>
      <c r="B118">
        <v>0.23480000000000001</v>
      </c>
      <c r="C118">
        <v>0.26400000000000001</v>
      </c>
      <c r="D118">
        <v>0.2271</v>
      </c>
      <c r="E118">
        <v>0.26269999999999999</v>
      </c>
      <c r="F118">
        <v>13067895</v>
      </c>
      <c r="G118">
        <v>0.26269999999999999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0.92953929539295266</v>
      </c>
      <c r="Q118">
        <f t="shared" ref="Q118" si="566">F118*P118</f>
        <v>12147121.910569089</v>
      </c>
      <c r="R118">
        <f t="shared" ref="R118" si="567">R119+Q118</f>
        <v>-157434938.43646103</v>
      </c>
      <c r="S118">
        <f t="shared" ref="S118" si="568">R118/100000</f>
        <v>-1574.3493843646104</v>
      </c>
      <c r="T118">
        <f t="shared" ref="T118" si="569">S118/1000</f>
        <v>-1.5743493843646104</v>
      </c>
    </row>
    <row r="119" spans="1:20" x14ac:dyDescent="0.25">
      <c r="A119" s="5">
        <v>44474</v>
      </c>
      <c r="B119">
        <v>0.22459999999999999</v>
      </c>
      <c r="C119">
        <v>0.23810000000000001</v>
      </c>
      <c r="D119">
        <v>0.22090000000000001</v>
      </c>
      <c r="E119">
        <v>0.23430000000000001</v>
      </c>
      <c r="F119">
        <v>4234873</v>
      </c>
      <c r="G119">
        <v>0.23430000000000001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0.55813953488372103</v>
      </c>
      <c r="Q119">
        <f t="shared" ref="Q119" si="571">F119*P119</f>
        <v>2363650.0465116282</v>
      </c>
      <c r="R119">
        <f t="shared" ref="R119" si="572">R120+Q119</f>
        <v>-169582060.34703013</v>
      </c>
      <c r="S119">
        <f t="shared" ref="S119" si="573">R119/100000</f>
        <v>-1695.8206034703014</v>
      </c>
      <c r="T119">
        <f t="shared" ref="T119" si="574">S119/1000</f>
        <v>-1.6958206034703014</v>
      </c>
    </row>
    <row r="120" spans="1:20" x14ac:dyDescent="0.25">
      <c r="A120" s="5">
        <v>44473</v>
      </c>
      <c r="B120">
        <v>0.2235</v>
      </c>
      <c r="C120">
        <v>0.22819999999999999</v>
      </c>
      <c r="D120">
        <v>0.21659999999999999</v>
      </c>
      <c r="E120">
        <v>0.22450000000000001</v>
      </c>
      <c r="F120">
        <v>2880548</v>
      </c>
      <c r="G120">
        <v>0.22450000000000001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0.3620689655172446</v>
      </c>
      <c r="Q120">
        <f t="shared" ref="Q120" si="576">F120*P120</f>
        <v>1042957.0344827679</v>
      </c>
      <c r="R120">
        <f t="shared" ref="R120" si="577">R121+Q120</f>
        <v>-171945710.39354175</v>
      </c>
      <c r="S120">
        <f t="shared" ref="S120" si="578">R120/100000</f>
        <v>-1719.4571039354175</v>
      </c>
      <c r="T120">
        <f t="shared" ref="T120" si="579">S120/1000</f>
        <v>-1.7194571039354176</v>
      </c>
    </row>
    <row r="121" spans="1:20" x14ac:dyDescent="0.25">
      <c r="A121" s="5">
        <v>44472</v>
      </c>
      <c r="B121">
        <v>0.22489999999999999</v>
      </c>
      <c r="C121">
        <v>0.22750000000000001</v>
      </c>
      <c r="D121">
        <v>0.22120000000000001</v>
      </c>
      <c r="E121">
        <v>0.2235</v>
      </c>
      <c r="F121">
        <v>2582465</v>
      </c>
      <c r="G121">
        <v>0.2235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-0.26984126984127094</v>
      </c>
      <c r="Q121">
        <f t="shared" ref="Q121" si="581">F121*P121</f>
        <v>-696855.63492063771</v>
      </c>
      <c r="R121">
        <f t="shared" ref="R121" si="582">R122+Q121</f>
        <v>-172988667.42802453</v>
      </c>
      <c r="S121">
        <f t="shared" ref="S121" si="583">R121/100000</f>
        <v>-1729.8866742802454</v>
      </c>
      <c r="T121">
        <f t="shared" ref="T121" si="584">S121/1000</f>
        <v>-1.7298866742802455</v>
      </c>
    </row>
    <row r="122" spans="1:20" x14ac:dyDescent="0.25">
      <c r="A122" s="5">
        <v>44471</v>
      </c>
      <c r="B122">
        <v>0.22950000000000001</v>
      </c>
      <c r="C122">
        <v>0.23100000000000001</v>
      </c>
      <c r="D122">
        <v>0.22439999999999999</v>
      </c>
      <c r="E122">
        <v>0.22489999999999999</v>
      </c>
      <c r="F122">
        <v>5896279</v>
      </c>
      <c r="G122">
        <v>0.22489999999999999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-0.84848484848484884</v>
      </c>
      <c r="Q122">
        <f t="shared" ref="Q122" si="586">F122*P122</f>
        <v>-5002903.3939393964</v>
      </c>
      <c r="R122">
        <f t="shared" ref="R122" si="587">R123+Q122</f>
        <v>-172291811.7931039</v>
      </c>
      <c r="S122">
        <f t="shared" ref="S122" si="588">R122/100000</f>
        <v>-1722.918117931039</v>
      </c>
      <c r="T122">
        <f t="shared" ref="T122" si="589">S122/1000</f>
        <v>-1.7229181179310389</v>
      </c>
    </row>
    <row r="123" spans="1:20" x14ac:dyDescent="0.25">
      <c r="A123" s="5">
        <v>44470</v>
      </c>
      <c r="B123">
        <v>0.20830000000000001</v>
      </c>
      <c r="C123">
        <v>0.23300000000000001</v>
      </c>
      <c r="D123">
        <v>0.20580000000000001</v>
      </c>
      <c r="E123">
        <v>0.2291</v>
      </c>
      <c r="F123">
        <v>7263264</v>
      </c>
      <c r="G123">
        <v>0.2291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0.71323529411764597</v>
      </c>
      <c r="Q123">
        <f t="shared" ref="Q123" si="591">F123*P123</f>
        <v>5180416.2352941101</v>
      </c>
      <c r="R123">
        <f t="shared" ref="R123" si="592">R124+Q123</f>
        <v>-167288908.3991645</v>
      </c>
      <c r="S123">
        <f t="shared" ref="S123" si="593">R123/100000</f>
        <v>-1672.8890839916451</v>
      </c>
      <c r="T123">
        <f t="shared" ref="T123" si="594">S123/1000</f>
        <v>-1.672889083991645</v>
      </c>
    </row>
    <row r="124" spans="1:20" x14ac:dyDescent="0.25">
      <c r="A124" s="5">
        <v>44469</v>
      </c>
      <c r="B124">
        <v>0.1991</v>
      </c>
      <c r="C124">
        <v>0.2104</v>
      </c>
      <c r="D124">
        <v>0.1988</v>
      </c>
      <c r="E124">
        <v>0.20780000000000001</v>
      </c>
      <c r="F124">
        <v>2615726</v>
      </c>
      <c r="G124">
        <v>0.20780000000000001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0.55172413793103592</v>
      </c>
      <c r="Q124">
        <f t="shared" ref="Q124" si="596">F124*P124</f>
        <v>1443159.1724137969</v>
      </c>
      <c r="R124">
        <f t="shared" ref="R124" si="597">R125+Q124</f>
        <v>-172469324.6344586</v>
      </c>
      <c r="S124">
        <f t="shared" ref="S124" si="598">R124/100000</f>
        <v>-1724.693246344586</v>
      </c>
      <c r="T124">
        <f t="shared" ref="T124" si="599">S124/1000</f>
        <v>-1.7246932463445861</v>
      </c>
    </row>
    <row r="125" spans="1:20" x14ac:dyDescent="0.25">
      <c r="A125" s="5">
        <v>44468</v>
      </c>
      <c r="B125">
        <v>0.1963</v>
      </c>
      <c r="C125">
        <v>0.2049</v>
      </c>
      <c r="D125">
        <v>0.19470000000000001</v>
      </c>
      <c r="E125">
        <v>0.19939999999999999</v>
      </c>
      <c r="F125">
        <v>1957987</v>
      </c>
      <c r="G125">
        <v>0.19939999999999999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-7.8431372549021952E-2</v>
      </c>
      <c r="Q125">
        <f t="shared" ref="Q125" si="601">F125*P125</f>
        <v>-153567.60784314186</v>
      </c>
      <c r="R125">
        <f t="shared" ref="R125" si="602">R126+Q125</f>
        <v>-173912483.8068724</v>
      </c>
      <c r="S125">
        <f t="shared" ref="S125" si="603">R125/100000</f>
        <v>-1739.1248380687239</v>
      </c>
      <c r="T125">
        <f t="shared" ref="T125" si="604">S125/1000</f>
        <v>-1.7391248380687239</v>
      </c>
    </row>
    <row r="126" spans="1:20" x14ac:dyDescent="0.25">
      <c r="A126" s="5">
        <v>44467</v>
      </c>
      <c r="B126">
        <v>0.20530000000000001</v>
      </c>
      <c r="C126">
        <v>0.20749999999999999</v>
      </c>
      <c r="D126">
        <v>0.19570000000000001</v>
      </c>
      <c r="E126">
        <v>0.1961</v>
      </c>
      <c r="F126">
        <v>2899497</v>
      </c>
      <c r="G126">
        <v>0.1961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-0.9322033898305111</v>
      </c>
      <c r="Q126">
        <f t="shared" ref="Q126" si="606">F126*P126</f>
        <v>-2702920.9322033976</v>
      </c>
      <c r="R126">
        <f t="shared" ref="R126" si="607">R127+Q126</f>
        <v>-173758916.19902927</v>
      </c>
      <c r="S126">
        <f t="shared" ref="S126" si="608">R126/100000</f>
        <v>-1737.5891619902927</v>
      </c>
      <c r="T126">
        <f t="shared" ref="T126" si="609">S126/1000</f>
        <v>-1.7375891619902928</v>
      </c>
    </row>
    <row r="127" spans="1:20" x14ac:dyDescent="0.25">
      <c r="A127" s="5">
        <v>44466</v>
      </c>
      <c r="B127">
        <v>0.20499999999999999</v>
      </c>
      <c r="C127">
        <v>0.21640000000000001</v>
      </c>
      <c r="D127">
        <v>0.2039</v>
      </c>
      <c r="E127">
        <v>0.20549999999999999</v>
      </c>
      <c r="F127">
        <v>4233524</v>
      </c>
      <c r="G127">
        <v>0.20549999999999999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-0.74400000000000177</v>
      </c>
      <c r="Q127">
        <f t="shared" ref="Q127" si="611">F127*P127</f>
        <v>-3149741.8560000076</v>
      </c>
      <c r="R127">
        <f t="shared" ref="R127" si="612">R128+Q127</f>
        <v>-171055995.26682585</v>
      </c>
      <c r="S127">
        <f t="shared" ref="S127" si="613">R127/100000</f>
        <v>-1710.5599526682586</v>
      </c>
      <c r="T127">
        <f t="shared" ref="T127" si="614">S127/1000</f>
        <v>-1.7105599526682587</v>
      </c>
    </row>
    <row r="128" spans="1:20" x14ac:dyDescent="0.25">
      <c r="A128" s="5">
        <v>44465</v>
      </c>
      <c r="B128">
        <v>0.2049</v>
      </c>
      <c r="C128">
        <v>0.2097</v>
      </c>
      <c r="D128">
        <v>0.19620000000000001</v>
      </c>
      <c r="E128">
        <v>0.2051</v>
      </c>
      <c r="F128">
        <v>4551990</v>
      </c>
      <c r="G128">
        <v>0.2051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0.31851851851851876</v>
      </c>
      <c r="Q128">
        <f t="shared" ref="Q128" si="616">F128*P128</f>
        <v>1449893.1111111122</v>
      </c>
      <c r="R128">
        <f t="shared" ref="R128" si="617">R129+Q128</f>
        <v>-167906253.41082585</v>
      </c>
      <c r="S128">
        <f t="shared" ref="S128" si="618">R128/100000</f>
        <v>-1679.0625341082584</v>
      </c>
      <c r="T128">
        <f t="shared" ref="T128" si="619">S128/1000</f>
        <v>-1.6790625341082583</v>
      </c>
    </row>
    <row r="129" spans="1:20" x14ac:dyDescent="0.25">
      <c r="A129" s="5">
        <v>44464</v>
      </c>
      <c r="B129">
        <v>0.2072</v>
      </c>
      <c r="C129">
        <v>0.20799999999999999</v>
      </c>
      <c r="D129">
        <v>0.20019999999999999</v>
      </c>
      <c r="E129">
        <v>0.20499999999999999</v>
      </c>
      <c r="F129">
        <v>2124480</v>
      </c>
      <c r="G129">
        <v>0.20499999999999999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0.23076923076923023</v>
      </c>
      <c r="Q129">
        <f t="shared" ref="Q129" si="621">F129*P129</f>
        <v>490264.61538461421</v>
      </c>
      <c r="R129">
        <f t="shared" ref="R129" si="622">R130+Q129</f>
        <v>-169356146.52193695</v>
      </c>
      <c r="S129">
        <f t="shared" ref="S129" si="623">R129/100000</f>
        <v>-1693.5614652193694</v>
      </c>
      <c r="T129">
        <f t="shared" ref="T129" si="624">S129/1000</f>
        <v>-1.6935614652193693</v>
      </c>
    </row>
    <row r="130" spans="1:20" x14ac:dyDescent="0.25">
      <c r="A130" s="5">
        <v>44463</v>
      </c>
      <c r="B130">
        <v>0.21990000000000001</v>
      </c>
      <c r="C130">
        <v>0.22</v>
      </c>
      <c r="D130">
        <v>0.19800000000000001</v>
      </c>
      <c r="E130">
        <v>0.2069</v>
      </c>
      <c r="F130">
        <v>4152172</v>
      </c>
      <c r="G130">
        <v>0.2069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-0.19090909090909139</v>
      </c>
      <c r="Q130">
        <f t="shared" ref="Q130" si="626">F130*P130</f>
        <v>-792687.38181818381</v>
      </c>
      <c r="R130">
        <f t="shared" ref="R130" si="627">R131+Q130</f>
        <v>-169846411.13732156</v>
      </c>
      <c r="S130">
        <f t="shared" ref="S130" si="628">R130/100000</f>
        <v>-1698.4641113732157</v>
      </c>
      <c r="T130">
        <f t="shared" ref="T130" si="629">S130/1000</f>
        <v>-1.6984641113732157</v>
      </c>
    </row>
    <row r="131" spans="1:20" x14ac:dyDescent="0.25">
      <c r="A131" s="5">
        <v>44462</v>
      </c>
      <c r="B131">
        <v>0.21429999999999999</v>
      </c>
      <c r="C131">
        <v>0.22</v>
      </c>
      <c r="D131">
        <v>0.2102</v>
      </c>
      <c r="E131">
        <v>0.21940000000000001</v>
      </c>
      <c r="F131">
        <v>4206377</v>
      </c>
      <c r="G131">
        <v>0.21940000000000001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0.87755102040816546</v>
      </c>
      <c r="Q131">
        <f t="shared" ref="Q131" si="631">F131*P131</f>
        <v>3691310.428571438</v>
      </c>
      <c r="R131">
        <f t="shared" ref="R131" si="632">R132+Q131</f>
        <v>-169053723.75550339</v>
      </c>
      <c r="S131">
        <f t="shared" ref="S131" si="633">R131/100000</f>
        <v>-1690.5372375550339</v>
      </c>
      <c r="T131">
        <f t="shared" ref="T131" si="634">S131/1000</f>
        <v>-1.6905372375550338</v>
      </c>
    </row>
    <row r="132" spans="1:20" x14ac:dyDescent="0.25">
      <c r="A132" s="5">
        <v>44461</v>
      </c>
      <c r="B132">
        <v>0.19539999999999999</v>
      </c>
      <c r="C132">
        <v>0.21729999999999999</v>
      </c>
      <c r="D132">
        <v>0.19400000000000001</v>
      </c>
      <c r="E132">
        <v>0.21440000000000001</v>
      </c>
      <c r="F132">
        <v>4884691</v>
      </c>
      <c r="G132">
        <v>0.21440000000000001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0.75107296137339163</v>
      </c>
      <c r="Q132">
        <f t="shared" ref="Q132" si="636">F132*P132</f>
        <v>3668759.3347639539</v>
      </c>
      <c r="R132">
        <f t="shared" ref="R132" si="637">R133+Q132</f>
        <v>-172745034.18407482</v>
      </c>
      <c r="S132">
        <f t="shared" ref="S132" si="638">R132/100000</f>
        <v>-1727.4503418407483</v>
      </c>
      <c r="T132">
        <f t="shared" ref="T132" si="639">S132/1000</f>
        <v>-1.7274503418407483</v>
      </c>
    </row>
    <row r="133" spans="1:20" x14ac:dyDescent="0.25">
      <c r="A133" s="5">
        <v>44460</v>
      </c>
      <c r="B133">
        <v>0.21920000000000001</v>
      </c>
      <c r="C133">
        <v>0.2203</v>
      </c>
      <c r="D133">
        <v>0.19289999999999999</v>
      </c>
      <c r="E133">
        <v>0.19550000000000001</v>
      </c>
      <c r="F133">
        <v>7261661</v>
      </c>
      <c r="G133">
        <v>0.19550000000000001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-0.81021897810218846</v>
      </c>
      <c r="Q133">
        <f t="shared" ref="Q133" si="641">F133*P133</f>
        <v>-5883535.5547445156</v>
      </c>
      <c r="R133">
        <f t="shared" ref="R133" si="642">R134+Q133</f>
        <v>-176413793.51883876</v>
      </c>
      <c r="S133">
        <f t="shared" ref="S133" si="643">R133/100000</f>
        <v>-1764.1379351883877</v>
      </c>
      <c r="T133">
        <f t="shared" ref="T133" si="644">S133/1000</f>
        <v>-1.7641379351883877</v>
      </c>
    </row>
    <row r="134" spans="1:20" x14ac:dyDescent="0.25">
      <c r="A134" s="5">
        <v>44459</v>
      </c>
      <c r="B134">
        <v>0.24360000000000001</v>
      </c>
      <c r="C134">
        <v>0.2467</v>
      </c>
      <c r="D134">
        <v>0.22739999999999999</v>
      </c>
      <c r="E134">
        <v>0.22919999999999999</v>
      </c>
      <c r="F134">
        <v>4016621</v>
      </c>
      <c r="G134">
        <v>0.22919999999999999</v>
      </c>
      <c r="L134" t="s">
        <v>7</v>
      </c>
      <c r="M134" t="s">
        <v>8</v>
      </c>
      <c r="N134" t="s">
        <v>8</v>
      </c>
      <c r="P134">
        <f t="shared" ref="P134" si="645">IF(C134=D134,0,((E134-D134)-(C134-E134))/(C134-D134))</f>
        <v>-0.81347150259067413</v>
      </c>
      <c r="Q134">
        <f t="shared" ref="Q134" si="646">F134*P134</f>
        <v>-3267406.7202072563</v>
      </c>
      <c r="R134">
        <f t="shared" ref="R134" si="647">R135+Q134</f>
        <v>-170530257.96409425</v>
      </c>
      <c r="S134">
        <f t="shared" ref="S134" si="648">R134/100000</f>
        <v>-1705.3025796409424</v>
      </c>
      <c r="T134">
        <f t="shared" ref="T134" si="649">S134/1000</f>
        <v>-1.7053025796409425</v>
      </c>
    </row>
    <row r="135" spans="1:20" x14ac:dyDescent="0.25">
      <c r="A135" s="5">
        <v>44458</v>
      </c>
      <c r="B135">
        <v>0.24579999999999999</v>
      </c>
      <c r="C135">
        <v>0.25040000000000001</v>
      </c>
      <c r="D135">
        <v>0.24</v>
      </c>
      <c r="E135">
        <v>0.24329999999999999</v>
      </c>
      <c r="F135">
        <v>9609101</v>
      </c>
      <c r="G135">
        <v>0.24329999999999999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-0.36538461538461714</v>
      </c>
      <c r="Q135">
        <f t="shared" ref="Q135" si="651">F135*P135</f>
        <v>-3511017.6730769398</v>
      </c>
      <c r="R135">
        <f t="shared" ref="R135" si="652">R136+Q135</f>
        <v>-167262851.24388701</v>
      </c>
      <c r="S135">
        <f t="shared" ref="S135" si="653">R135/100000</f>
        <v>-1672.6285124388701</v>
      </c>
      <c r="T135">
        <f t="shared" ref="T135" si="654">S135/1000</f>
        <v>-1.67262851243887</v>
      </c>
    </row>
    <row r="136" spans="1:20" x14ac:dyDescent="0.25">
      <c r="A136" s="5">
        <v>44457</v>
      </c>
      <c r="B136">
        <v>0.23780000000000001</v>
      </c>
      <c r="C136">
        <v>0.25519999999999998</v>
      </c>
      <c r="D136">
        <v>0.2364</v>
      </c>
      <c r="E136">
        <v>0.24540000000000001</v>
      </c>
      <c r="F136">
        <v>8458324</v>
      </c>
      <c r="G136">
        <v>0.24540000000000001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-4.2553191489360008E-2</v>
      </c>
      <c r="Q136">
        <f t="shared" ref="Q136" si="656">F136*P136</f>
        <v>-359928.68085104949</v>
      </c>
      <c r="R136">
        <f t="shared" ref="R136" si="657">R137+Q136</f>
        <v>-163751833.57081008</v>
      </c>
      <c r="S136">
        <f t="shared" ref="S136" si="658">R136/100000</f>
        <v>-1637.5183357081007</v>
      </c>
      <c r="T136">
        <f t="shared" ref="T136" si="659">S136/1000</f>
        <v>-1.6375183357081007</v>
      </c>
    </row>
    <row r="137" spans="1:20" x14ac:dyDescent="0.25">
      <c r="A137" s="5">
        <v>44456</v>
      </c>
      <c r="B137">
        <v>0.2351</v>
      </c>
      <c r="C137">
        <v>0.248</v>
      </c>
      <c r="D137">
        <v>0.22939999999999999</v>
      </c>
      <c r="E137">
        <v>0.2379</v>
      </c>
      <c r="F137">
        <v>8948324</v>
      </c>
      <c r="G137">
        <v>0.2379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-8.6021505376343538E-2</v>
      </c>
      <c r="Q137">
        <f t="shared" ref="Q137" si="661">F137*P137</f>
        <v>-769748.30107526388</v>
      </c>
      <c r="R137">
        <f t="shared" ref="R137" si="662">R138+Q137</f>
        <v>-163391904.88995904</v>
      </c>
      <c r="S137">
        <f t="shared" ref="S137" si="663">R137/100000</f>
        <v>-1633.9190488995903</v>
      </c>
      <c r="T137">
        <f t="shared" ref="T137" si="664">S137/1000</f>
        <v>-1.6339190488995903</v>
      </c>
    </row>
    <row r="138" spans="1:20" x14ac:dyDescent="0.25">
      <c r="A138" s="5">
        <v>44455</v>
      </c>
      <c r="B138">
        <v>0.2369</v>
      </c>
      <c r="C138">
        <v>0.2397</v>
      </c>
      <c r="D138">
        <v>0.23250000000000001</v>
      </c>
      <c r="E138">
        <v>0.2346</v>
      </c>
      <c r="F138">
        <v>2709260</v>
      </c>
      <c r="G138">
        <v>0.2346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-0.41666666666666796</v>
      </c>
      <c r="Q138">
        <f t="shared" ref="Q138" si="666">F138*P138</f>
        <v>-1128858.3333333367</v>
      </c>
      <c r="R138">
        <f t="shared" ref="R138" si="667">R139+Q138</f>
        <v>-162622156.58888379</v>
      </c>
      <c r="S138">
        <f t="shared" ref="S138" si="668">R138/100000</f>
        <v>-1626.2215658888379</v>
      </c>
      <c r="T138">
        <f t="shared" ref="T138" si="669">S138/1000</f>
        <v>-1.6262215658888379</v>
      </c>
    </row>
    <row r="139" spans="1:20" x14ac:dyDescent="0.25">
      <c r="A139" s="5">
        <v>44454</v>
      </c>
      <c r="B139">
        <v>0.2331</v>
      </c>
      <c r="C139">
        <v>0.23860000000000001</v>
      </c>
      <c r="D139">
        <v>0.23139999999999999</v>
      </c>
      <c r="E139">
        <v>0.2369</v>
      </c>
      <c r="F139">
        <v>2102039</v>
      </c>
      <c r="G139">
        <v>0.2369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0.52777777777777657</v>
      </c>
      <c r="Q139">
        <f t="shared" ref="Q139" si="671">F139*P139</f>
        <v>1109409.4722222197</v>
      </c>
      <c r="R139">
        <f t="shared" ref="R139" si="672">R140+Q139</f>
        <v>-161493298.25555044</v>
      </c>
      <c r="S139">
        <f t="shared" ref="S139" si="673">R139/100000</f>
        <v>-1614.9329825555044</v>
      </c>
      <c r="T139">
        <f t="shared" ref="T139" si="674">S139/1000</f>
        <v>-1.6149329825555043</v>
      </c>
    </row>
    <row r="140" spans="1:20" x14ac:dyDescent="0.25">
      <c r="A140" s="5">
        <v>44453</v>
      </c>
      <c r="B140">
        <v>0.22539999999999999</v>
      </c>
      <c r="C140">
        <v>0.2364</v>
      </c>
      <c r="D140">
        <v>0.224</v>
      </c>
      <c r="E140">
        <v>0.2329</v>
      </c>
      <c r="F140">
        <v>2627551</v>
      </c>
      <c r="G140">
        <v>0.2329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0.43548387096774116</v>
      </c>
      <c r="Q140">
        <f t="shared" ref="Q140" si="676">F140*P140</f>
        <v>1144256.0806451594</v>
      </c>
      <c r="R140">
        <f t="shared" ref="R140" si="677">R141+Q140</f>
        <v>-162602707.72777265</v>
      </c>
      <c r="S140">
        <f t="shared" ref="S140" si="678">R140/100000</f>
        <v>-1626.0270772777264</v>
      </c>
      <c r="T140">
        <f t="shared" ref="T140" si="679">S140/1000</f>
        <v>-1.6260270772777266</v>
      </c>
    </row>
    <row r="141" spans="1:20" x14ac:dyDescent="0.25">
      <c r="A141" s="5">
        <v>44452</v>
      </c>
      <c r="B141">
        <v>0.2329</v>
      </c>
      <c r="C141">
        <v>0.2336</v>
      </c>
      <c r="D141">
        <v>0.2107</v>
      </c>
      <c r="E141">
        <v>0.22539999999999999</v>
      </c>
      <c r="F141">
        <v>4079540.99</v>
      </c>
      <c r="G141">
        <v>0.22539999999999999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0.28384279475982432</v>
      </c>
      <c r="Q141">
        <f t="shared" ref="Q141" si="681">F141*P141</f>
        <v>1157948.3159388606</v>
      </c>
      <c r="R141">
        <f t="shared" ref="R141" si="682">R142+Q141</f>
        <v>-163746963.80841783</v>
      </c>
      <c r="S141">
        <f t="shared" ref="S141" si="683">R141/100000</f>
        <v>-1637.4696380841783</v>
      </c>
      <c r="T141">
        <f t="shared" ref="T141" si="684">S141/1000</f>
        <v>-1.6374696380841782</v>
      </c>
    </row>
    <row r="142" spans="1:20" x14ac:dyDescent="0.25">
      <c r="A142" s="5">
        <v>44451</v>
      </c>
      <c r="B142">
        <v>0.2283</v>
      </c>
      <c r="C142">
        <v>0.23400000000000001</v>
      </c>
      <c r="D142">
        <v>0.22570000000000001</v>
      </c>
      <c r="E142">
        <v>0.23300000000000001</v>
      </c>
      <c r="F142">
        <v>1745097</v>
      </c>
      <c r="G142">
        <v>0.23300000000000001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0.75903614457831314</v>
      </c>
      <c r="Q142">
        <f t="shared" ref="Q142" si="686">F142*P142</f>
        <v>1324591.6987951805</v>
      </c>
      <c r="R142">
        <f t="shared" ref="R142" si="687">R143+Q142</f>
        <v>-164904912.12435669</v>
      </c>
      <c r="S142">
        <f t="shared" ref="S142" si="688">R142/100000</f>
        <v>-1649.0491212435668</v>
      </c>
      <c r="T142">
        <f t="shared" ref="T142" si="689">S142/1000</f>
        <v>-1.6490491212435667</v>
      </c>
    </row>
    <row r="143" spans="1:20" x14ac:dyDescent="0.25">
      <c r="A143" s="5">
        <v>44450</v>
      </c>
      <c r="B143">
        <v>0.2276</v>
      </c>
      <c r="C143">
        <v>0.23100000000000001</v>
      </c>
      <c r="D143">
        <v>0.2233</v>
      </c>
      <c r="E143">
        <v>0.2283</v>
      </c>
      <c r="F143">
        <v>1790610</v>
      </c>
      <c r="G143">
        <v>0.2283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0.29870129870129775</v>
      </c>
      <c r="Q143">
        <f t="shared" ref="Q143" si="691">F143*P143</f>
        <v>534857.53246753081</v>
      </c>
      <c r="R143">
        <f t="shared" ref="R143" si="692">R144+Q143</f>
        <v>-166229503.82315186</v>
      </c>
      <c r="S143">
        <f t="shared" ref="S143" si="693">R143/100000</f>
        <v>-1662.2950382315187</v>
      </c>
      <c r="T143">
        <f t="shared" ref="T143" si="694">S143/1000</f>
        <v>-1.6622950382315187</v>
      </c>
    </row>
    <row r="144" spans="1:20" x14ac:dyDescent="0.25">
      <c r="A144" s="5">
        <v>44449</v>
      </c>
      <c r="B144">
        <v>0.23380000000000001</v>
      </c>
      <c r="C144">
        <v>0.2397</v>
      </c>
      <c r="D144">
        <v>0.22289999999999999</v>
      </c>
      <c r="E144">
        <v>0.22700000000000001</v>
      </c>
      <c r="F144">
        <v>4293780</v>
      </c>
      <c r="G144">
        <v>0.22700000000000001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-0.51190476190475975</v>
      </c>
      <c r="Q144">
        <f t="shared" ref="Q144" si="696">F144*P144</f>
        <v>-2198006.4285714193</v>
      </c>
      <c r="R144">
        <f t="shared" ref="R144" si="697">R145+Q144</f>
        <v>-166764361.3556194</v>
      </c>
      <c r="S144">
        <f t="shared" ref="S144" si="698">R144/100000</f>
        <v>-1667.6436135561939</v>
      </c>
      <c r="T144">
        <f t="shared" ref="T144" si="699">S144/1000</f>
        <v>-1.6676436135561938</v>
      </c>
    </row>
    <row r="145" spans="1:20" x14ac:dyDescent="0.25">
      <c r="A145" s="5">
        <v>44448</v>
      </c>
      <c r="B145">
        <v>0.23319999999999999</v>
      </c>
      <c r="C145">
        <v>0.2412</v>
      </c>
      <c r="D145">
        <v>0.22969999999999999</v>
      </c>
      <c r="E145">
        <v>0.2331</v>
      </c>
      <c r="F145">
        <v>4617343</v>
      </c>
      <c r="G145">
        <v>0.2331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-0.40869565217391113</v>
      </c>
      <c r="Q145">
        <f t="shared" ref="Q145" si="701">F145*P145</f>
        <v>-1887088.0086956434</v>
      </c>
      <c r="R145">
        <f t="shared" ref="R145" si="702">R146+Q145</f>
        <v>-164566354.92704797</v>
      </c>
      <c r="S145">
        <f t="shared" ref="S145" si="703">R145/100000</f>
        <v>-1645.6635492704797</v>
      </c>
      <c r="T145">
        <f t="shared" ref="T145" si="704">S145/1000</f>
        <v>-1.6456635492704796</v>
      </c>
    </row>
    <row r="146" spans="1:20" x14ac:dyDescent="0.25">
      <c r="A146" s="5">
        <v>44447</v>
      </c>
      <c r="B146">
        <v>0.2384</v>
      </c>
      <c r="C146">
        <v>0.2422</v>
      </c>
      <c r="D146">
        <v>0.22739999999999999</v>
      </c>
      <c r="E146">
        <v>0.23319999999999999</v>
      </c>
      <c r="F146">
        <v>3736712</v>
      </c>
      <c r="G146">
        <v>0.23319999999999999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-0.21621621621621667</v>
      </c>
      <c r="Q146">
        <f t="shared" ref="Q146" si="706">F146*P146</f>
        <v>-807937.72972973145</v>
      </c>
      <c r="R146">
        <f t="shared" ref="R146" si="707">R147+Q146</f>
        <v>-162679266.91835234</v>
      </c>
      <c r="S146">
        <f t="shared" ref="S146" si="708">R146/100000</f>
        <v>-1626.7926691835235</v>
      </c>
      <c r="T146">
        <f t="shared" ref="T146" si="709">S146/1000</f>
        <v>-1.6267926691835235</v>
      </c>
    </row>
    <row r="147" spans="1:20" x14ac:dyDescent="0.25">
      <c r="A147" s="5">
        <v>44446</v>
      </c>
      <c r="B147">
        <v>0.2626</v>
      </c>
      <c r="C147">
        <v>0.26910000000000001</v>
      </c>
      <c r="D147">
        <v>0.222</v>
      </c>
      <c r="E147">
        <v>0.23710000000000001</v>
      </c>
      <c r="F147">
        <v>12095106.460000001</v>
      </c>
      <c r="G147">
        <v>0.23710000000000001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-0.35881104033970268</v>
      </c>
      <c r="Q147">
        <f t="shared" ref="Q147" si="711">F147*P147</f>
        <v>-4339857.7319320589</v>
      </c>
      <c r="R147">
        <f t="shared" ref="R147" si="712">R148+Q147</f>
        <v>-161871329.18862259</v>
      </c>
      <c r="S147">
        <f t="shared" ref="S147" si="713">R147/100000</f>
        <v>-1618.713291886226</v>
      </c>
      <c r="T147">
        <f t="shared" ref="T147" si="714">S147/1000</f>
        <v>-1.6187132918862259</v>
      </c>
    </row>
    <row r="148" spans="1:20" x14ac:dyDescent="0.25">
      <c r="A148" s="5">
        <v>44445</v>
      </c>
      <c r="B148">
        <v>0.26979999999999998</v>
      </c>
      <c r="C148">
        <v>0.27210000000000001</v>
      </c>
      <c r="D148">
        <v>0.26129999999999998</v>
      </c>
      <c r="E148">
        <v>0.26279999999999998</v>
      </c>
      <c r="F148">
        <v>4721390</v>
      </c>
      <c r="G148">
        <v>0.26279999999999998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-0.72222222222222276</v>
      </c>
      <c r="Q148">
        <f t="shared" ref="Q148" si="716">F148*P148</f>
        <v>-3409892.7777777803</v>
      </c>
      <c r="R148">
        <f t="shared" ref="R148" si="717">R149+Q148</f>
        <v>-157531471.45669055</v>
      </c>
      <c r="S148">
        <f t="shared" ref="S148" si="718">R148/100000</f>
        <v>-1575.3147145669054</v>
      </c>
      <c r="T148">
        <f t="shared" ref="T148" si="719">S148/1000</f>
        <v>-1.5753147145669055</v>
      </c>
    </row>
    <row r="149" spans="1:20" x14ac:dyDescent="0.25">
      <c r="A149" s="5">
        <v>44444</v>
      </c>
      <c r="B149">
        <v>0.26319999999999999</v>
      </c>
      <c r="C149">
        <v>0.27289999999999998</v>
      </c>
      <c r="D149">
        <v>0.25929999999999997</v>
      </c>
      <c r="E149">
        <v>0.2697</v>
      </c>
      <c r="F149">
        <v>4969101.01</v>
      </c>
      <c r="G149">
        <v>0.2697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0.52941176470588525</v>
      </c>
      <c r="Q149">
        <f t="shared" ref="Q149" si="721">F149*P149</f>
        <v>2630700.5347058964</v>
      </c>
      <c r="R149">
        <f t="shared" ref="R149" si="722">R150+Q149</f>
        <v>-154121578.67891276</v>
      </c>
      <c r="S149">
        <f t="shared" ref="S149" si="723">R149/100000</f>
        <v>-1541.2157867891276</v>
      </c>
      <c r="T149">
        <f t="shared" ref="T149" si="724">S149/1000</f>
        <v>-1.5412157867891276</v>
      </c>
    </row>
    <row r="150" spans="1:20" x14ac:dyDescent="0.25">
      <c r="A150" s="5">
        <v>44443</v>
      </c>
      <c r="B150">
        <v>0.2611</v>
      </c>
      <c r="C150">
        <v>0.26800000000000002</v>
      </c>
      <c r="D150">
        <v>0.2601</v>
      </c>
      <c r="E150">
        <v>0.26329999999999998</v>
      </c>
      <c r="F150">
        <v>4964771</v>
      </c>
      <c r="G150">
        <v>0.26329999999999998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-0.18987341772152574</v>
      </c>
      <c r="Q150">
        <f t="shared" ref="Q150" si="726">F150*P150</f>
        <v>-942678.0379747171</v>
      </c>
      <c r="R150">
        <f t="shared" ref="R150" si="727">R151+Q150</f>
        <v>-156752279.21361867</v>
      </c>
      <c r="S150">
        <f t="shared" ref="S150" si="728">R150/100000</f>
        <v>-1567.5227921361866</v>
      </c>
      <c r="T150">
        <f t="shared" ref="T150" si="729">S150/1000</f>
        <v>-1.5675227921361865</v>
      </c>
    </row>
    <row r="151" spans="1:20" x14ac:dyDescent="0.25">
      <c r="A151" s="5">
        <v>44442</v>
      </c>
      <c r="B151">
        <v>0.25950000000000001</v>
      </c>
      <c r="C151">
        <v>0.26719999999999999</v>
      </c>
      <c r="D151">
        <v>0.25530000000000003</v>
      </c>
      <c r="E151">
        <v>0.2611</v>
      </c>
      <c r="F151">
        <v>5500207.9500000002</v>
      </c>
      <c r="G151">
        <v>0.2611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-2.5210084033615406E-2</v>
      </c>
      <c r="Q151">
        <f t="shared" ref="Q151" si="731">F151*P151</f>
        <v>-138660.70462185954</v>
      </c>
      <c r="R151">
        <f t="shared" ref="R151" si="732">R152+Q151</f>
        <v>-155809601.17564395</v>
      </c>
      <c r="S151">
        <f t="shared" ref="S151" si="733">R151/100000</f>
        <v>-1558.0960117564396</v>
      </c>
      <c r="T151">
        <f t="shared" ref="T151" si="734">S151/1000</f>
        <v>-1.5580960117564395</v>
      </c>
    </row>
    <row r="152" spans="1:20" x14ac:dyDescent="0.25">
      <c r="A152" s="5">
        <v>44441</v>
      </c>
      <c r="B152">
        <v>0.25240000000000001</v>
      </c>
      <c r="C152">
        <v>0.26250000000000001</v>
      </c>
      <c r="D152">
        <v>0.2515</v>
      </c>
      <c r="E152">
        <v>0.2596</v>
      </c>
      <c r="F152">
        <v>5932306.9800000004</v>
      </c>
      <c r="G152">
        <v>0.2596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0.47272727272727072</v>
      </c>
      <c r="Q152">
        <f t="shared" ref="Q152" si="736">F152*P152</f>
        <v>2804363.2996363519</v>
      </c>
      <c r="R152">
        <f t="shared" ref="R152" si="737">R153+Q152</f>
        <v>-155670940.4710221</v>
      </c>
      <c r="S152">
        <f t="shared" ref="S152" si="738">R152/100000</f>
        <v>-1556.709404710221</v>
      </c>
      <c r="T152">
        <f t="shared" ref="T152" si="739">S152/1000</f>
        <v>-1.556709404710221</v>
      </c>
    </row>
    <row r="153" spans="1:20" x14ac:dyDescent="0.25">
      <c r="A153" s="5">
        <v>44440</v>
      </c>
      <c r="B153">
        <v>0.24249999999999999</v>
      </c>
      <c r="C153">
        <v>0.25319999999999998</v>
      </c>
      <c r="D153">
        <v>0.23930000000000001</v>
      </c>
      <c r="E153">
        <v>0.25240000000000001</v>
      </c>
      <c r="F153">
        <v>4516307.8600000003</v>
      </c>
      <c r="G153">
        <v>0.25240000000000001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0.88489208633093963</v>
      </c>
      <c r="Q153">
        <f t="shared" ref="Q153" si="741">F153*P153</f>
        <v>3996445.0847482216</v>
      </c>
      <c r="R153">
        <f t="shared" ref="R153" si="742">R154+Q153</f>
        <v>-158475303.77065846</v>
      </c>
      <c r="S153">
        <f t="shared" ref="S153" si="743">R153/100000</f>
        <v>-1584.7530377065846</v>
      </c>
      <c r="T153">
        <f t="shared" ref="T153" si="744">S153/1000</f>
        <v>-1.5847530377065846</v>
      </c>
    </row>
    <row r="154" spans="1:20" x14ac:dyDescent="0.25">
      <c r="A154" s="5">
        <v>44439</v>
      </c>
      <c r="B154">
        <v>0.2419</v>
      </c>
      <c r="C154">
        <v>0.2465</v>
      </c>
      <c r="D154">
        <v>0.23980000000000001</v>
      </c>
      <c r="E154">
        <v>0.24299999999999999</v>
      </c>
      <c r="F154">
        <v>3137125</v>
      </c>
      <c r="G154">
        <v>0.24299999999999999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-4.4776119402988535E-2</v>
      </c>
      <c r="Q154">
        <f t="shared" ref="Q154" si="746">F154*P154</f>
        <v>-140468.28358210041</v>
      </c>
      <c r="R154">
        <f t="shared" ref="R154" si="747">R155+Q154</f>
        <v>-162471748.85540667</v>
      </c>
      <c r="S154">
        <f t="shared" ref="S154" si="748">R154/100000</f>
        <v>-1624.7174885540667</v>
      </c>
      <c r="T154">
        <f t="shared" ref="T154" si="749">S154/1000</f>
        <v>-1.6247174885540667</v>
      </c>
    </row>
    <row r="155" spans="1:20" x14ac:dyDescent="0.25">
      <c r="A155" s="5">
        <v>44438</v>
      </c>
      <c r="B155">
        <v>0.24840000000000001</v>
      </c>
      <c r="C155">
        <v>0.24929999999999999</v>
      </c>
      <c r="D155">
        <v>0.24010000000000001</v>
      </c>
      <c r="E155">
        <v>0.2412</v>
      </c>
      <c r="F155">
        <v>2577963</v>
      </c>
      <c r="G155">
        <v>0.2412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-0.76086956521739313</v>
      </c>
      <c r="Q155">
        <f t="shared" ref="Q155" si="751">F155*P155</f>
        <v>-1961493.5869565264</v>
      </c>
      <c r="R155">
        <f t="shared" ref="R155" si="752">R156+Q155</f>
        <v>-162331280.57182458</v>
      </c>
      <c r="S155">
        <f t="shared" ref="S155" si="753">R155/100000</f>
        <v>-1623.3128057182457</v>
      </c>
      <c r="T155">
        <f t="shared" ref="T155" si="754">S155/1000</f>
        <v>-1.6233128057182458</v>
      </c>
    </row>
    <row r="156" spans="1:20" x14ac:dyDescent="0.25">
      <c r="A156" s="5">
        <v>44437</v>
      </c>
      <c r="B156">
        <v>0.2465</v>
      </c>
      <c r="C156">
        <v>0.25080000000000002</v>
      </c>
      <c r="D156">
        <v>0.23980000000000001</v>
      </c>
      <c r="E156">
        <v>0.2467</v>
      </c>
      <c r="F156">
        <v>6963667</v>
      </c>
      <c r="G156">
        <v>0.2467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0.25454545454545152</v>
      </c>
      <c r="Q156">
        <f t="shared" ref="Q156" si="756">F156*P156</f>
        <v>1772569.7818181608</v>
      </c>
      <c r="R156">
        <f t="shared" ref="R156" si="757">R157+Q156</f>
        <v>-160369786.98486805</v>
      </c>
      <c r="S156">
        <f t="shared" ref="S156" si="758">R156/100000</f>
        <v>-1603.6978698486805</v>
      </c>
      <c r="T156">
        <f t="shared" ref="T156" si="759">S156/1000</f>
        <v>-1.6036978698486806</v>
      </c>
    </row>
    <row r="157" spans="1:20" x14ac:dyDescent="0.25">
      <c r="A157" s="5">
        <v>44436</v>
      </c>
      <c r="B157">
        <v>0.24929999999999999</v>
      </c>
      <c r="C157">
        <v>0.25180000000000002</v>
      </c>
      <c r="D157">
        <v>0.2447</v>
      </c>
      <c r="E157">
        <v>0.24579999999999999</v>
      </c>
      <c r="F157">
        <v>2626197.25</v>
      </c>
      <c r="G157">
        <v>0.24579999999999999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-0.69014084507042639</v>
      </c>
      <c r="Q157">
        <f t="shared" ref="Q157" si="761">F157*P157</f>
        <v>-1812445.9894366299</v>
      </c>
      <c r="R157">
        <f t="shared" ref="R157" si="762">R158+Q157</f>
        <v>-162142356.7666862</v>
      </c>
      <c r="S157">
        <f t="shared" ref="S157" si="763">R157/100000</f>
        <v>-1621.423567666862</v>
      </c>
      <c r="T157">
        <f t="shared" ref="T157" si="764">S157/1000</f>
        <v>-1.621423567666862</v>
      </c>
    </row>
    <row r="158" spans="1:20" x14ac:dyDescent="0.25">
      <c r="A158" s="5">
        <v>44435</v>
      </c>
      <c r="B158">
        <v>0.2392</v>
      </c>
      <c r="C158">
        <v>0.24940000000000001</v>
      </c>
      <c r="D158">
        <v>0.23549999999999999</v>
      </c>
      <c r="E158">
        <v>0.249</v>
      </c>
      <c r="F158">
        <v>4402901.91</v>
      </c>
      <c r="G158">
        <v>0.249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0.9424460431654661</v>
      </c>
      <c r="Q158">
        <f t="shared" ref="Q158" si="766">F158*P158</f>
        <v>4149497.4835251733</v>
      </c>
      <c r="R158">
        <f t="shared" ref="R158" si="767">R159+Q158</f>
        <v>-160329910.77724957</v>
      </c>
      <c r="S158">
        <f t="shared" ref="S158" si="768">R158/100000</f>
        <v>-1603.2991077724957</v>
      </c>
      <c r="T158">
        <f t="shared" ref="T158" si="769">S158/1000</f>
        <v>-1.6032991077724958</v>
      </c>
    </row>
    <row r="159" spans="1:20" x14ac:dyDescent="0.25">
      <c r="A159" s="5">
        <v>44434</v>
      </c>
      <c r="B159">
        <v>0.24859999999999999</v>
      </c>
      <c r="C159">
        <v>0.25040000000000001</v>
      </c>
      <c r="D159">
        <v>0.23480000000000001</v>
      </c>
      <c r="E159">
        <v>0.2379</v>
      </c>
      <c r="F159">
        <v>2783285.49</v>
      </c>
      <c r="G159">
        <v>0.2379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-0.60256410256410375</v>
      </c>
      <c r="Q159">
        <f t="shared" ref="Q159" si="771">F159*P159</f>
        <v>-1677107.923461542</v>
      </c>
      <c r="R159">
        <f t="shared" ref="R159" si="772">R160+Q159</f>
        <v>-164479408.26077476</v>
      </c>
      <c r="S159">
        <f t="shared" ref="S159" si="773">R159/100000</f>
        <v>-1644.7940826077477</v>
      </c>
      <c r="T159">
        <f t="shared" ref="T159" si="774">S159/1000</f>
        <v>-1.6447940826077476</v>
      </c>
    </row>
    <row r="160" spans="1:20" x14ac:dyDescent="0.25">
      <c r="A160" s="5">
        <v>44433</v>
      </c>
      <c r="B160">
        <v>0.24060000000000001</v>
      </c>
      <c r="C160">
        <v>0.25009999999999999</v>
      </c>
      <c r="D160">
        <v>0.23880000000000001</v>
      </c>
      <c r="E160">
        <v>0.24790000000000001</v>
      </c>
      <c r="F160">
        <v>3808268.17</v>
      </c>
      <c r="G160">
        <v>0.24790000000000001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0.61061946902655151</v>
      </c>
      <c r="Q160">
        <f t="shared" ref="Q160" si="776">F160*P160</f>
        <v>2325402.687876117</v>
      </c>
      <c r="R160">
        <f t="shared" ref="R160" si="777">R161+Q160</f>
        <v>-162802300.33731321</v>
      </c>
      <c r="S160">
        <f t="shared" ref="S160" si="778">R160/100000</f>
        <v>-1628.023003373132</v>
      </c>
      <c r="T160">
        <f t="shared" ref="T160" si="779">S160/1000</f>
        <v>-1.628023003373132</v>
      </c>
    </row>
    <row r="161" spans="1:20" x14ac:dyDescent="0.25">
      <c r="A161" s="5">
        <v>44432</v>
      </c>
      <c r="B161">
        <v>0.25180000000000002</v>
      </c>
      <c r="C161">
        <v>0.25340000000000001</v>
      </c>
      <c r="D161">
        <v>0.24049999999999999</v>
      </c>
      <c r="E161">
        <v>0.24060000000000001</v>
      </c>
      <c r="F161">
        <v>2893952.21</v>
      </c>
      <c r="G161">
        <v>0.24060000000000001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-0.98449612403100517</v>
      </c>
      <c r="Q161">
        <f t="shared" ref="Q161" si="781">F161*P161</f>
        <v>-2849084.7338759615</v>
      </c>
      <c r="R161">
        <f t="shared" ref="R161" si="782">R162+Q161</f>
        <v>-165127703.02518931</v>
      </c>
      <c r="S161">
        <f t="shared" ref="S161" si="783">R161/100000</f>
        <v>-1651.2770302518932</v>
      </c>
      <c r="T161">
        <f t="shared" ref="T161" si="784">S161/1000</f>
        <v>-1.6512770302518931</v>
      </c>
    </row>
    <row r="162" spans="1:20" x14ac:dyDescent="0.25">
      <c r="A162" s="5">
        <v>44431</v>
      </c>
      <c r="B162">
        <v>0.25</v>
      </c>
      <c r="C162">
        <v>0.25740000000000002</v>
      </c>
      <c r="D162">
        <v>0.248</v>
      </c>
      <c r="E162">
        <v>0.25230000000000002</v>
      </c>
      <c r="F162">
        <v>5934444.7699999996</v>
      </c>
      <c r="G162">
        <v>0.25230000000000002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-8.5106382978719766E-2</v>
      </c>
      <c r="Q162">
        <f t="shared" ref="Q162" si="786">F162*P162</f>
        <v>-505059.12936168048</v>
      </c>
      <c r="R162">
        <f t="shared" ref="R162" si="787">R163+Q162</f>
        <v>-162278618.29131335</v>
      </c>
      <c r="S162">
        <f t="shared" ref="S162" si="788">R162/100000</f>
        <v>-1622.7861829131334</v>
      </c>
      <c r="T162">
        <f t="shared" ref="T162" si="789">S162/1000</f>
        <v>-1.6227861829131334</v>
      </c>
    </row>
    <row r="163" spans="1:20" x14ac:dyDescent="0.25">
      <c r="A163" s="5">
        <v>44430</v>
      </c>
      <c r="B163">
        <v>0.24390000000000001</v>
      </c>
      <c r="C163">
        <v>0.25480000000000003</v>
      </c>
      <c r="D163">
        <v>0.24260000000000001</v>
      </c>
      <c r="E163">
        <v>0.25</v>
      </c>
      <c r="F163">
        <v>4066762.45</v>
      </c>
      <c r="G163">
        <v>0.25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0.21311475409835737</v>
      </c>
      <c r="Q163">
        <f t="shared" ref="Q163" si="791">F163*P163</f>
        <v>866687.07950818341</v>
      </c>
      <c r="R163">
        <f t="shared" ref="R163" si="792">R164+Q163</f>
        <v>-161773559.16195166</v>
      </c>
      <c r="S163">
        <f t="shared" ref="S163" si="793">R163/100000</f>
        <v>-1617.7355916195165</v>
      </c>
      <c r="T163">
        <f t="shared" ref="T163" si="794">S163/1000</f>
        <v>-1.6177355916195166</v>
      </c>
    </row>
    <row r="164" spans="1:20" x14ac:dyDescent="0.25">
      <c r="A164" s="5">
        <v>44429</v>
      </c>
      <c r="B164">
        <v>0.24399999999999999</v>
      </c>
      <c r="C164">
        <v>0.249</v>
      </c>
      <c r="D164">
        <v>0.23719999999999999</v>
      </c>
      <c r="E164">
        <v>0.24390000000000001</v>
      </c>
      <c r="F164">
        <v>6541627.6299999999</v>
      </c>
      <c r="G164">
        <v>0.24390000000000001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0.13559322033898452</v>
      </c>
      <c r="Q164">
        <f t="shared" ref="Q164" si="796">F164*P164</f>
        <v>887000.35661017906</v>
      </c>
      <c r="R164">
        <f t="shared" ref="R164" si="797">R165+Q164</f>
        <v>-162640246.24145985</v>
      </c>
      <c r="S164">
        <f t="shared" ref="S164" si="798">R164/100000</f>
        <v>-1626.4024624145984</v>
      </c>
      <c r="T164">
        <f t="shared" ref="T164" si="799">S164/1000</f>
        <v>-1.6264024624145983</v>
      </c>
    </row>
    <row r="165" spans="1:20" x14ac:dyDescent="0.25">
      <c r="A165" s="5">
        <v>44428</v>
      </c>
      <c r="B165">
        <v>0.22969999999999999</v>
      </c>
      <c r="C165">
        <v>0.24429999999999999</v>
      </c>
      <c r="D165">
        <v>0.22839999999999999</v>
      </c>
      <c r="E165">
        <v>0.24399999999999999</v>
      </c>
      <c r="F165">
        <v>10097463.800000001</v>
      </c>
      <c r="G165">
        <v>0.24399999999999999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0.9622641509433969</v>
      </c>
      <c r="Q165">
        <f t="shared" ref="Q165" si="801">F165*P165</f>
        <v>9716427.4301886875</v>
      </c>
      <c r="R165">
        <f t="shared" ref="R165" si="802">R166+Q165</f>
        <v>-163527246.59807003</v>
      </c>
      <c r="S165">
        <f t="shared" ref="S165" si="803">R165/100000</f>
        <v>-1635.2724659807002</v>
      </c>
      <c r="T165">
        <f t="shared" ref="T165" si="804">S165/1000</f>
        <v>-1.6352724659807001</v>
      </c>
    </row>
    <row r="166" spans="1:20" x14ac:dyDescent="0.25">
      <c r="A166" s="5">
        <v>44427</v>
      </c>
      <c r="B166">
        <v>0.2286</v>
      </c>
      <c r="C166">
        <v>0.23250000000000001</v>
      </c>
      <c r="D166">
        <v>0.22170000000000001</v>
      </c>
      <c r="E166">
        <v>0.22989999999999999</v>
      </c>
      <c r="F166">
        <v>7433025.3700000001</v>
      </c>
      <c r="G166">
        <v>0.22989999999999999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0.51851851851851516</v>
      </c>
      <c r="Q166">
        <f t="shared" ref="Q166" si="806">F166*P166</f>
        <v>3854161.3029629379</v>
      </c>
      <c r="R166">
        <f t="shared" ref="R166" si="807">R167+Q166</f>
        <v>-173243674.02825871</v>
      </c>
      <c r="S166">
        <f t="shared" ref="S166" si="808">R166/100000</f>
        <v>-1732.4367402825872</v>
      </c>
      <c r="T166">
        <f t="shared" ref="T166" si="809">S166/1000</f>
        <v>-1.7324367402825871</v>
      </c>
    </row>
    <row r="167" spans="1:20" x14ac:dyDescent="0.25">
      <c r="A167" s="5">
        <v>44426</v>
      </c>
      <c r="B167">
        <v>0.2258</v>
      </c>
      <c r="C167">
        <v>0.2379</v>
      </c>
      <c r="D167">
        <v>0.22409999999999999</v>
      </c>
      <c r="E167">
        <v>0.2286</v>
      </c>
      <c r="F167">
        <v>7657914.4900000002</v>
      </c>
      <c r="G167">
        <v>0.2286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-0.34782608695652145</v>
      </c>
      <c r="Q167">
        <f t="shared" ref="Q167" si="811">F167*P167</f>
        <v>-2663622.4313043458</v>
      </c>
      <c r="R167">
        <f t="shared" ref="R167" si="812">R168+Q167</f>
        <v>-177097835.33122164</v>
      </c>
      <c r="S167">
        <f t="shared" ref="S167" si="813">R167/100000</f>
        <v>-1770.9783533122163</v>
      </c>
      <c r="T167">
        <f t="shared" ref="T167" si="814">S167/1000</f>
        <v>-1.7709783533122163</v>
      </c>
    </row>
    <row r="168" spans="1:20" x14ac:dyDescent="0.25">
      <c r="A168" s="5">
        <v>44425</v>
      </c>
      <c r="B168">
        <v>0.2351</v>
      </c>
      <c r="C168">
        <v>0.2369</v>
      </c>
      <c r="D168">
        <v>0.22509999999999999</v>
      </c>
      <c r="E168">
        <v>0.22700000000000001</v>
      </c>
      <c r="F168">
        <v>5262272.5199999996</v>
      </c>
      <c r="G168">
        <v>0.22700000000000001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-0.67796610169491323</v>
      </c>
      <c r="Q168">
        <f t="shared" ref="Q168" si="816">F168*P168</f>
        <v>-3567642.3864406669</v>
      </c>
      <c r="R168">
        <f t="shared" ref="R168" si="817">R169+Q168</f>
        <v>-174434212.8999173</v>
      </c>
      <c r="S168">
        <f t="shared" ref="S168" si="818">R168/100000</f>
        <v>-1744.3421289991732</v>
      </c>
      <c r="T168">
        <f t="shared" ref="T168" si="819">S168/1000</f>
        <v>-1.7443421289991732</v>
      </c>
    </row>
    <row r="169" spans="1:20" x14ac:dyDescent="0.25">
      <c r="A169" s="5">
        <v>44424</v>
      </c>
      <c r="B169">
        <v>0.23780000000000001</v>
      </c>
      <c r="C169">
        <v>0.249</v>
      </c>
      <c r="D169">
        <v>0.23280000000000001</v>
      </c>
      <c r="E169">
        <v>0.2351</v>
      </c>
      <c r="F169">
        <v>11200894.359999999</v>
      </c>
      <c r="G169">
        <v>0.2351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-0.71604938271604968</v>
      </c>
      <c r="Q169">
        <f t="shared" ref="Q169" si="821">F169*P169</f>
        <v>-8020393.4923456814</v>
      </c>
      <c r="R169">
        <f t="shared" ref="R169" si="822">R170+Q169</f>
        <v>-170866570.51347664</v>
      </c>
      <c r="S169">
        <f t="shared" ref="S169" si="823">R169/100000</f>
        <v>-1708.6657051347663</v>
      </c>
      <c r="T169">
        <f t="shared" ref="T169" si="824">S169/1000</f>
        <v>-1.7086657051347662</v>
      </c>
    </row>
    <row r="170" spans="1:20" x14ac:dyDescent="0.25">
      <c r="A170" s="5">
        <v>44423</v>
      </c>
      <c r="B170">
        <v>0.2349</v>
      </c>
      <c r="C170">
        <v>0.2409</v>
      </c>
      <c r="D170">
        <v>0.23089999999999999</v>
      </c>
      <c r="E170">
        <v>0.23730000000000001</v>
      </c>
      <c r="F170">
        <v>10616993.51</v>
      </c>
      <c r="G170">
        <v>0.23730000000000001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0.28000000000000225</v>
      </c>
      <c r="Q170">
        <f t="shared" ref="Q170" si="826">F170*P170</f>
        <v>2972758.1828000238</v>
      </c>
      <c r="R170">
        <f t="shared" ref="R170" si="827">R171+Q170</f>
        <v>-162846177.02113095</v>
      </c>
      <c r="S170">
        <f t="shared" ref="S170" si="828">R170/100000</f>
        <v>-1628.4617702113094</v>
      </c>
      <c r="T170">
        <f t="shared" ref="T170" si="829">S170/1000</f>
        <v>-1.6284617702113093</v>
      </c>
    </row>
    <row r="171" spans="1:20" x14ac:dyDescent="0.25">
      <c r="A171" s="5">
        <v>44422</v>
      </c>
      <c r="B171">
        <v>0.23430000000000001</v>
      </c>
      <c r="C171">
        <v>0.2412</v>
      </c>
      <c r="D171">
        <v>0.23080000000000001</v>
      </c>
      <c r="E171">
        <v>0.2349</v>
      </c>
      <c r="F171">
        <v>9754942.8000000007</v>
      </c>
      <c r="G171">
        <v>0.2349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-0.21153846153846242</v>
      </c>
      <c r="Q171">
        <f t="shared" ref="Q171" si="831">F171*P171</f>
        <v>-2063545.592307701</v>
      </c>
      <c r="R171">
        <f t="shared" ref="R171" si="832">R172+Q171</f>
        <v>-165818935.20393097</v>
      </c>
      <c r="S171">
        <f t="shared" ref="S171" si="833">R171/100000</f>
        <v>-1658.1893520393098</v>
      </c>
      <c r="T171">
        <f t="shared" ref="T171" si="834">S171/1000</f>
        <v>-1.6581893520393098</v>
      </c>
    </row>
    <row r="172" spans="1:20" x14ac:dyDescent="0.25">
      <c r="A172" s="5">
        <v>44421</v>
      </c>
      <c r="B172">
        <v>0.22</v>
      </c>
      <c r="C172">
        <v>0.23580000000000001</v>
      </c>
      <c r="D172">
        <v>0.21909999999999999</v>
      </c>
      <c r="E172">
        <v>0.23430000000000001</v>
      </c>
      <c r="F172">
        <v>8337779.9199999999</v>
      </c>
      <c r="G172">
        <v>0.23430000000000001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0.82035928143712578</v>
      </c>
      <c r="Q172">
        <f t="shared" ref="Q172" si="836">F172*P172</f>
        <v>6839975.1439520959</v>
      </c>
      <c r="R172">
        <f t="shared" ref="R172" si="837">R173+Q172</f>
        <v>-163755389.61162329</v>
      </c>
      <c r="S172">
        <f t="shared" ref="S172" si="838">R172/100000</f>
        <v>-1637.5538961162329</v>
      </c>
      <c r="T172">
        <f t="shared" ref="T172" si="839">S172/1000</f>
        <v>-1.6375538961162328</v>
      </c>
    </row>
    <row r="173" spans="1:20" x14ac:dyDescent="0.25">
      <c r="A173" s="5">
        <v>44420</v>
      </c>
      <c r="B173">
        <v>0.2258</v>
      </c>
      <c r="C173">
        <v>0.23069999999999999</v>
      </c>
      <c r="D173">
        <v>0.21690000000000001</v>
      </c>
      <c r="E173">
        <v>0.21990000000000001</v>
      </c>
      <c r="F173">
        <v>6113113.8799999999</v>
      </c>
      <c r="G173">
        <v>0.21990000000000001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-0.56521739130434678</v>
      </c>
      <c r="Q173">
        <f t="shared" ref="Q173" si="841">F173*P173</f>
        <v>-3455238.2799999937</v>
      </c>
      <c r="R173">
        <f t="shared" ref="R173" si="842">R174+Q173</f>
        <v>-170595364.75557539</v>
      </c>
      <c r="S173">
        <f t="shared" ref="S173" si="843">R173/100000</f>
        <v>-1705.9536475557538</v>
      </c>
      <c r="T173">
        <f t="shared" ref="T173" si="844">S173/1000</f>
        <v>-1.7059536475557537</v>
      </c>
    </row>
    <row r="174" spans="1:20" x14ac:dyDescent="0.25">
      <c r="A174" s="5">
        <v>44419</v>
      </c>
      <c r="B174">
        <v>0.2195</v>
      </c>
      <c r="C174">
        <v>0.23300000000000001</v>
      </c>
      <c r="D174">
        <v>0.219</v>
      </c>
      <c r="E174">
        <v>0.22639999999999999</v>
      </c>
      <c r="F174">
        <v>8170012.3300000001</v>
      </c>
      <c r="G174">
        <v>0.22639999999999999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5.7142857142854761E-2</v>
      </c>
      <c r="Q174">
        <f t="shared" ref="Q174" si="846">F174*P174</f>
        <v>466857.84742855199</v>
      </c>
      <c r="R174">
        <f t="shared" ref="R174" si="847">R175+Q174</f>
        <v>-167140126.47557539</v>
      </c>
      <c r="S174">
        <f t="shared" ref="S174" si="848">R174/100000</f>
        <v>-1671.4012647557538</v>
      </c>
      <c r="T174">
        <f t="shared" ref="T174" si="849">S174/1000</f>
        <v>-1.6714012647557539</v>
      </c>
    </row>
    <row r="175" spans="1:20" x14ac:dyDescent="0.25">
      <c r="A175" s="5">
        <v>44418</v>
      </c>
      <c r="B175">
        <v>0.2238</v>
      </c>
      <c r="C175">
        <v>0.2261</v>
      </c>
      <c r="D175">
        <v>0.21659999999999999</v>
      </c>
      <c r="E175">
        <v>0.2195</v>
      </c>
      <c r="F175">
        <v>6102347.9400000004</v>
      </c>
      <c r="G175">
        <v>0.2195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-0.38947368421052397</v>
      </c>
      <c r="Q175">
        <f t="shared" ref="Q175" si="851">F175*P175</f>
        <v>-2376703.9345263015</v>
      </c>
      <c r="R175">
        <f t="shared" ref="R175" si="852">R176+Q175</f>
        <v>-167606984.32300395</v>
      </c>
      <c r="S175">
        <f t="shared" ref="S175" si="853">R175/100000</f>
        <v>-1676.0698432300394</v>
      </c>
      <c r="T175">
        <f t="shared" ref="T175" si="854">S175/1000</f>
        <v>-1.6760698432300394</v>
      </c>
    </row>
    <row r="176" spans="1:20" x14ac:dyDescent="0.25">
      <c r="A176" s="5">
        <v>44417</v>
      </c>
      <c r="B176">
        <v>0.21340000000000001</v>
      </c>
      <c r="C176">
        <v>0.22570000000000001</v>
      </c>
      <c r="D176">
        <v>0.20699999999999999</v>
      </c>
      <c r="E176">
        <v>0.22370000000000001</v>
      </c>
      <c r="F176">
        <v>7816459.8799999999</v>
      </c>
      <c r="G176">
        <v>0.22370000000000001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0.78609625668449201</v>
      </c>
      <c r="Q176">
        <f t="shared" ref="Q176" si="856">F176*P176</f>
        <v>6144489.8521925136</v>
      </c>
      <c r="R176">
        <f t="shared" ref="R176" si="857">R177+Q176</f>
        <v>-165230280.38847765</v>
      </c>
      <c r="S176">
        <f t="shared" ref="S176" si="858">R176/100000</f>
        <v>-1652.3028038847765</v>
      </c>
      <c r="T176">
        <f t="shared" ref="T176" si="859">S176/1000</f>
        <v>-1.6523028038847765</v>
      </c>
    </row>
    <row r="177" spans="1:20" x14ac:dyDescent="0.25">
      <c r="A177" s="5">
        <v>44416</v>
      </c>
      <c r="B177">
        <v>0.2155</v>
      </c>
      <c r="C177">
        <v>0.22120000000000001</v>
      </c>
      <c r="D177">
        <v>0.2072</v>
      </c>
      <c r="E177">
        <v>0.21279999999999999</v>
      </c>
      <c r="F177">
        <v>10050302.189999999</v>
      </c>
      <c r="G177">
        <v>0.21279999999999999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-0.20000000000000159</v>
      </c>
      <c r="Q177">
        <f t="shared" ref="Q177" si="861">F177*P177</f>
        <v>-2010060.4380000159</v>
      </c>
      <c r="R177">
        <f t="shared" ref="R177" si="862">R178+Q177</f>
        <v>-171374770.24067017</v>
      </c>
      <c r="S177">
        <f t="shared" ref="S177" si="863">R177/100000</f>
        <v>-1713.7477024067018</v>
      </c>
      <c r="T177">
        <f t="shared" ref="T177" si="864">S177/1000</f>
        <v>-1.7137477024067018</v>
      </c>
    </row>
    <row r="178" spans="1:20" x14ac:dyDescent="0.25">
      <c r="A178" s="5">
        <v>44415</v>
      </c>
      <c r="B178">
        <v>0.2031</v>
      </c>
      <c r="C178">
        <v>0.22</v>
      </c>
      <c r="D178">
        <v>0.2026</v>
      </c>
      <c r="E178">
        <v>0.21390000000000001</v>
      </c>
      <c r="F178">
        <v>13230619.18</v>
      </c>
      <c r="G178">
        <v>0.21390000000000001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0.29885057471264426</v>
      </c>
      <c r="Q178">
        <f t="shared" ref="Q178" si="866">F178*P178</f>
        <v>3953978.145747134</v>
      </c>
      <c r="R178">
        <f t="shared" ref="R178" si="867">R179+Q178</f>
        <v>-169364709.80267015</v>
      </c>
      <c r="S178">
        <f t="shared" ref="S178" si="868">R178/100000</f>
        <v>-1693.6470980267015</v>
      </c>
      <c r="T178">
        <f t="shared" ref="T178" si="869">S178/1000</f>
        <v>-1.6936470980267015</v>
      </c>
    </row>
    <row r="179" spans="1:20" x14ac:dyDescent="0.25">
      <c r="A179" s="5">
        <v>44414</v>
      </c>
      <c r="B179">
        <v>0.19070000000000001</v>
      </c>
      <c r="C179">
        <v>0.21</v>
      </c>
      <c r="D179">
        <v>0.18959999999999999</v>
      </c>
      <c r="E179">
        <v>0.20300000000000001</v>
      </c>
      <c r="F179">
        <v>35060745.350000001</v>
      </c>
      <c r="G179">
        <v>0.20300000000000001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0.31372549019608059</v>
      </c>
      <c r="Q179">
        <f t="shared" ref="Q179" si="871">F179*P179</f>
        <v>10999449.521568704</v>
      </c>
      <c r="R179">
        <f t="shared" ref="R179" si="872">R180+Q179</f>
        <v>-173318687.94841728</v>
      </c>
      <c r="S179">
        <f t="shared" ref="S179" si="873">R179/100000</f>
        <v>-1733.1868794841728</v>
      </c>
      <c r="T179">
        <f t="shared" ref="T179" si="874">S179/1000</f>
        <v>-1.7331868794841727</v>
      </c>
    </row>
    <row r="180" spans="1:20" x14ac:dyDescent="0.25">
      <c r="A180" s="5">
        <v>44413</v>
      </c>
      <c r="B180">
        <v>0.19070000000000001</v>
      </c>
      <c r="C180">
        <v>0.19359999999999999</v>
      </c>
      <c r="D180">
        <v>0.18129999999999999</v>
      </c>
      <c r="E180">
        <v>0.19070000000000001</v>
      </c>
      <c r="F180">
        <v>8771438.6300000008</v>
      </c>
      <c r="G180">
        <v>0.19070000000000001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0.52845528455284807</v>
      </c>
      <c r="Q180">
        <f t="shared" ref="Q180" si="876">F180*P180</f>
        <v>4635313.0971544944</v>
      </c>
      <c r="R180">
        <f t="shared" ref="R180" si="877">R181+Q180</f>
        <v>-184318137.46998599</v>
      </c>
      <c r="S180">
        <f t="shared" ref="S180" si="878">R180/100000</f>
        <v>-1843.1813746998598</v>
      </c>
      <c r="T180">
        <f t="shared" ref="T180" si="879">S180/1000</f>
        <v>-1.8431813746998598</v>
      </c>
    </row>
    <row r="181" spans="1:20" x14ac:dyDescent="0.25">
      <c r="A181" s="5">
        <v>44412</v>
      </c>
      <c r="B181">
        <v>0.1825</v>
      </c>
      <c r="C181">
        <v>0.19120000000000001</v>
      </c>
      <c r="D181">
        <v>0.18099999999999999</v>
      </c>
      <c r="E181">
        <v>0.19070000000000001</v>
      </c>
      <c r="F181">
        <v>4187829.42</v>
      </c>
      <c r="G181">
        <v>0.19070000000000001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0.90196078431372551</v>
      </c>
      <c r="Q181">
        <f t="shared" ref="Q181" si="881">F181*P181</f>
        <v>3777257.9082352943</v>
      </c>
      <c r="R181">
        <f t="shared" ref="R181" si="882">R182+Q181</f>
        <v>-188953450.56714049</v>
      </c>
      <c r="S181">
        <f t="shared" ref="S181" si="883">R181/100000</f>
        <v>-1889.534505671405</v>
      </c>
      <c r="T181">
        <f t="shared" ref="T181" si="884">S181/1000</f>
        <v>-1.889534505671405</v>
      </c>
    </row>
    <row r="182" spans="1:20" x14ac:dyDescent="0.25">
      <c r="A182" s="5">
        <v>44411</v>
      </c>
      <c r="B182">
        <v>0.18690000000000001</v>
      </c>
      <c r="C182">
        <v>0.1883</v>
      </c>
      <c r="D182">
        <v>0.1804</v>
      </c>
      <c r="E182">
        <v>0.18260000000000001</v>
      </c>
      <c r="F182">
        <v>2346046.16</v>
      </c>
      <c r="G182">
        <v>0.18260000000000001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-0.44303797468354172</v>
      </c>
      <c r="Q182">
        <f t="shared" ref="Q182" si="886">F182*P182</f>
        <v>-1039387.5392405003</v>
      </c>
      <c r="R182">
        <f t="shared" ref="R182" si="887">R183+Q182</f>
        <v>-192730708.47537577</v>
      </c>
      <c r="S182">
        <f t="shared" ref="S182" si="888">R182/100000</f>
        <v>-1927.3070847537576</v>
      </c>
      <c r="T182">
        <f t="shared" ref="T182" si="889">S182/1000</f>
        <v>-1.9273070847537577</v>
      </c>
    </row>
    <row r="183" spans="1:20" x14ac:dyDescent="0.25">
      <c r="A183" s="5">
        <v>44410</v>
      </c>
      <c r="B183">
        <v>0.1903</v>
      </c>
      <c r="C183">
        <v>0.19159999999999999</v>
      </c>
      <c r="D183">
        <v>0.18490000000000001</v>
      </c>
      <c r="E183">
        <v>0.1867</v>
      </c>
      <c r="F183">
        <v>2003142.15</v>
      </c>
      <c r="G183">
        <v>0.1867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-0.462686567164179</v>
      </c>
      <c r="Q183">
        <f t="shared" ref="Q183" si="891">F183*P183</f>
        <v>-926826.96492537286</v>
      </c>
      <c r="R183">
        <f t="shared" ref="R183" si="892">R184+Q183</f>
        <v>-191691320.93613526</v>
      </c>
      <c r="S183">
        <f t="shared" ref="S183" si="893">R183/100000</f>
        <v>-1916.9132093613525</v>
      </c>
      <c r="T183">
        <f t="shared" ref="T183" si="894">S183/1000</f>
        <v>-1.9169132093613526</v>
      </c>
    </row>
    <row r="184" spans="1:20" x14ac:dyDescent="0.25">
      <c r="A184" s="5">
        <v>44409</v>
      </c>
      <c r="B184">
        <v>0.19700000000000001</v>
      </c>
      <c r="C184">
        <v>0.2</v>
      </c>
      <c r="D184">
        <v>0.18920000000000001</v>
      </c>
      <c r="E184">
        <v>0.19089999999999999</v>
      </c>
      <c r="F184">
        <v>2526226.41</v>
      </c>
      <c r="G184">
        <v>0.19089999999999999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-0.68518518518518912</v>
      </c>
      <c r="Q184">
        <f t="shared" ref="Q184" si="896">F184*P184</f>
        <v>-1730932.9105555655</v>
      </c>
      <c r="R184">
        <f t="shared" ref="R184" si="897">R185+Q184</f>
        <v>-190764493.97120988</v>
      </c>
      <c r="S184">
        <f t="shared" ref="S184" si="898">R184/100000</f>
        <v>-1907.6449397120989</v>
      </c>
      <c r="T184">
        <f t="shared" ref="T184" si="899">S184/1000</f>
        <v>-1.9076449397120989</v>
      </c>
    </row>
    <row r="185" spans="1:20" x14ac:dyDescent="0.25">
      <c r="A185" s="5">
        <v>44408</v>
      </c>
      <c r="B185">
        <v>0.19439999999999999</v>
      </c>
      <c r="C185">
        <v>0.2011</v>
      </c>
      <c r="D185">
        <v>0.19189999999999999</v>
      </c>
      <c r="E185">
        <v>0.1968</v>
      </c>
      <c r="F185">
        <v>7573715.4100000001</v>
      </c>
      <c r="G185">
        <v>0.1968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6.5217391304349601E-2</v>
      </c>
      <c r="Q185">
        <f t="shared" ref="Q185" si="901">F185*P185</f>
        <v>493937.96152175259</v>
      </c>
      <c r="R185">
        <f t="shared" ref="R185" si="902">R186+Q185</f>
        <v>-189033561.06065431</v>
      </c>
      <c r="S185">
        <f t="shared" ref="S185" si="903">R185/100000</f>
        <v>-1890.335610606543</v>
      </c>
      <c r="T185">
        <f t="shared" ref="T185" si="904">S185/1000</f>
        <v>-1.890335610606543</v>
      </c>
    </row>
    <row r="186" spans="1:20" x14ac:dyDescent="0.25">
      <c r="A186" s="5">
        <v>44407</v>
      </c>
      <c r="B186">
        <v>0.18859999999999999</v>
      </c>
      <c r="C186">
        <v>0.19500000000000001</v>
      </c>
      <c r="D186">
        <v>0.1787</v>
      </c>
      <c r="E186">
        <v>0.19420000000000001</v>
      </c>
      <c r="F186">
        <v>7954168.6600000001</v>
      </c>
      <c r="G186">
        <v>0.19420000000000001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0.90184049079754669</v>
      </c>
      <c r="Q186">
        <f t="shared" ref="Q186" si="906">F186*P186</f>
        <v>7173391.3682208648</v>
      </c>
      <c r="R186">
        <f t="shared" ref="R186" si="907">R187+Q186</f>
        <v>-189527499.02217606</v>
      </c>
      <c r="S186">
        <f t="shared" ref="S186" si="908">R186/100000</f>
        <v>-1895.2749902217606</v>
      </c>
      <c r="T186">
        <f t="shared" ref="T186" si="909">S186/1000</f>
        <v>-1.8952749902217607</v>
      </c>
    </row>
    <row r="187" spans="1:20" x14ac:dyDescent="0.25">
      <c r="A187" s="5">
        <v>44406</v>
      </c>
      <c r="B187">
        <v>0.18820000000000001</v>
      </c>
      <c r="C187">
        <v>0.19189999999999999</v>
      </c>
      <c r="D187">
        <v>0.186</v>
      </c>
      <c r="E187">
        <v>0.18859999999999999</v>
      </c>
      <c r="F187">
        <v>5017905.37</v>
      </c>
      <c r="G187">
        <v>0.18859999999999999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-0.11864406779661145</v>
      </c>
      <c r="Q187">
        <f t="shared" ref="Q187" si="911">F187*P187</f>
        <v>-595344.70491526066</v>
      </c>
      <c r="R187">
        <f t="shared" ref="R187" si="912">R188+Q187</f>
        <v>-196700890.39039692</v>
      </c>
      <c r="S187">
        <f t="shared" ref="S187" si="913">R187/100000</f>
        <v>-1967.0089039039692</v>
      </c>
      <c r="T187">
        <f t="shared" ref="T187" si="914">S187/1000</f>
        <v>-1.9670089039039693</v>
      </c>
    </row>
    <row r="188" spans="1:20" x14ac:dyDescent="0.25">
      <c r="A188" s="5">
        <v>44405</v>
      </c>
      <c r="B188">
        <v>0.18060000000000001</v>
      </c>
      <c r="C188">
        <v>0.19570000000000001</v>
      </c>
      <c r="D188">
        <v>0.17829999999999999</v>
      </c>
      <c r="E188">
        <v>0.18809999999999999</v>
      </c>
      <c r="F188">
        <v>9979308.5500000007</v>
      </c>
      <c r="G188">
        <v>0.18809999999999999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0.12643678160919405</v>
      </c>
      <c r="Q188">
        <f t="shared" ref="Q188" si="916">F188*P188</f>
        <v>1261751.6557471131</v>
      </c>
      <c r="R188">
        <f t="shared" ref="R188" si="917">R189+Q188</f>
        <v>-196105545.68548167</v>
      </c>
      <c r="S188">
        <f t="shared" ref="S188" si="918">R188/100000</f>
        <v>-1961.0554568548166</v>
      </c>
      <c r="T188">
        <f t="shared" ref="T188" si="919">S188/1000</f>
        <v>-1.9610554568548166</v>
      </c>
    </row>
    <row r="189" spans="1:20" x14ac:dyDescent="0.25">
      <c r="A189" s="5">
        <v>44404</v>
      </c>
      <c r="B189">
        <v>0.18490000000000001</v>
      </c>
      <c r="C189">
        <v>0.18920000000000001</v>
      </c>
      <c r="D189">
        <v>0.17849999999999999</v>
      </c>
      <c r="E189">
        <v>0.18099999999999999</v>
      </c>
      <c r="F189">
        <v>6823020.0599999996</v>
      </c>
      <c r="G189">
        <v>0.18099999999999999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-0.53271028037383206</v>
      </c>
      <c r="Q189">
        <f t="shared" ref="Q189" si="921">F189*P189</f>
        <v>-3634692.9291588804</v>
      </c>
      <c r="R189">
        <f t="shared" ref="R189" si="922">R190+Q189</f>
        <v>-197367297.34122878</v>
      </c>
      <c r="S189">
        <f t="shared" ref="S189" si="923">R189/100000</f>
        <v>-1973.6729734122878</v>
      </c>
      <c r="T189">
        <f t="shared" ref="T189" si="924">S189/1000</f>
        <v>-1.9736729734122878</v>
      </c>
    </row>
    <row r="190" spans="1:20" x14ac:dyDescent="0.25">
      <c r="A190" s="5">
        <v>44403</v>
      </c>
      <c r="B190">
        <v>0.17119999999999999</v>
      </c>
      <c r="C190">
        <v>0.19600000000000001</v>
      </c>
      <c r="D190">
        <v>0.17030000000000001</v>
      </c>
      <c r="E190">
        <v>0.185</v>
      </c>
      <c r="F190">
        <v>11399240.140000001</v>
      </c>
      <c r="G190">
        <v>0.185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0.14396887159533001</v>
      </c>
      <c r="Q190">
        <f t="shared" ref="Q190" si="926">F190*P190</f>
        <v>1641135.7399999916</v>
      </c>
      <c r="R190">
        <f t="shared" ref="R190" si="927">R191+Q190</f>
        <v>-193732604.41206992</v>
      </c>
      <c r="S190">
        <f t="shared" ref="S190" si="928">R190/100000</f>
        <v>-1937.3260441206992</v>
      </c>
      <c r="T190">
        <f t="shared" ref="T190" si="929">S190/1000</f>
        <v>-1.9373260441206992</v>
      </c>
    </row>
    <row r="191" spans="1:20" x14ac:dyDescent="0.25">
      <c r="A191" s="5">
        <v>44402</v>
      </c>
      <c r="B191">
        <v>0.1676</v>
      </c>
      <c r="C191">
        <v>0.17150000000000001</v>
      </c>
      <c r="D191">
        <v>0.1666</v>
      </c>
      <c r="E191">
        <v>0.17150000000000001</v>
      </c>
      <c r="F191">
        <v>2252416.6800000002</v>
      </c>
      <c r="G191">
        <v>0.17150000000000001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1</v>
      </c>
      <c r="Q191">
        <f t="shared" ref="Q191" si="931">F191*P191</f>
        <v>2252416.6800000002</v>
      </c>
      <c r="R191">
        <f t="shared" ref="R191" si="932">R192+Q191</f>
        <v>-195373740.1520699</v>
      </c>
      <c r="S191">
        <f t="shared" ref="S191" si="933">R191/100000</f>
        <v>-1953.737401520699</v>
      </c>
      <c r="T191">
        <f t="shared" ref="T191:T197" si="934">S191/1000</f>
        <v>-1.953737401520699</v>
      </c>
    </row>
    <row r="192" spans="1:20" x14ac:dyDescent="0.25">
      <c r="A192" s="5">
        <v>44401</v>
      </c>
      <c r="B192">
        <v>0.16009999999999999</v>
      </c>
      <c r="C192">
        <v>0.1734</v>
      </c>
      <c r="D192">
        <v>0.15970000000000001</v>
      </c>
      <c r="E192">
        <v>0.1673</v>
      </c>
      <c r="F192">
        <v>5301801.6500000004</v>
      </c>
      <c r="G192">
        <v>0.1673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0.10948905109489068</v>
      </c>
      <c r="Q192">
        <f t="shared" ref="Q192" si="936">F192*P192</f>
        <v>580489.23175182578</v>
      </c>
      <c r="R192">
        <f t="shared" ref="R192" si="937">R193+Q192</f>
        <v>-197626156.8320699</v>
      </c>
      <c r="S192">
        <f t="shared" ref="S192" si="938">R192/100000</f>
        <v>-1976.2615683206991</v>
      </c>
      <c r="T192">
        <f t="shared" si="934"/>
        <v>-1.976261568320699</v>
      </c>
    </row>
    <row r="193" spans="1:20" x14ac:dyDescent="0.25">
      <c r="A193" s="5">
        <v>44400</v>
      </c>
      <c r="B193">
        <v>0.1588</v>
      </c>
      <c r="C193">
        <v>0.1633</v>
      </c>
      <c r="D193">
        <v>0.14990000000000001</v>
      </c>
      <c r="E193">
        <v>0.15959999999999999</v>
      </c>
      <c r="F193">
        <v>4245503.6399999997</v>
      </c>
      <c r="G193">
        <v>0.15959999999999999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0.44776119402984921</v>
      </c>
      <c r="Q193">
        <f t="shared" ref="Q193" si="940">F193*P193</f>
        <v>1900971.779104471</v>
      </c>
      <c r="R193">
        <f t="shared" ref="R193" si="941">R194+Q193</f>
        <v>-198206646.06382173</v>
      </c>
      <c r="S193">
        <f t="shared" ref="S193" si="942">R193/100000</f>
        <v>-1982.0664606382172</v>
      </c>
      <c r="T193">
        <f t="shared" si="934"/>
        <v>-1.9820664606382172</v>
      </c>
    </row>
    <row r="194" spans="1:20" x14ac:dyDescent="0.25">
      <c r="A194" s="5">
        <v>44399</v>
      </c>
      <c r="B194">
        <v>0.152</v>
      </c>
      <c r="C194">
        <v>0.16350000000000001</v>
      </c>
      <c r="D194">
        <v>0.15129999999999999</v>
      </c>
      <c r="E194">
        <v>0.15870000000000001</v>
      </c>
      <c r="F194">
        <v>8340594.1900000004</v>
      </c>
      <c r="G194">
        <v>0.15870000000000001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0.21311475409836192</v>
      </c>
      <c r="Q194">
        <f t="shared" ref="Q194" si="944">F194*P194</f>
        <v>1777503.6798360762</v>
      </c>
      <c r="R194">
        <f t="shared" ref="R194" si="945">R195+Q194</f>
        <v>-200107617.8429262</v>
      </c>
      <c r="S194">
        <f t="shared" ref="S194" si="946">R194/100000</f>
        <v>-2001.076178429262</v>
      </c>
      <c r="T194">
        <f t="shared" si="934"/>
        <v>-2.0010761784292619</v>
      </c>
    </row>
    <row r="195" spans="1:20" x14ac:dyDescent="0.25">
      <c r="A195" s="5">
        <v>44398</v>
      </c>
      <c r="B195">
        <v>0.1462</v>
      </c>
      <c r="C195">
        <v>0.15540000000000001</v>
      </c>
      <c r="D195">
        <v>0.14449999999999999</v>
      </c>
      <c r="E195">
        <v>0.15210000000000001</v>
      </c>
      <c r="F195">
        <v>5634236.7599999998</v>
      </c>
      <c r="G195">
        <v>0.15210000000000001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0.39449541284403833</v>
      </c>
      <c r="Q195">
        <f t="shared" ref="Q195" si="948">F195*P195</f>
        <v>2222680.5566972569</v>
      </c>
      <c r="R195">
        <f t="shared" ref="R195" si="949">R196+Q195</f>
        <v>-201885121.52276227</v>
      </c>
      <c r="S195">
        <f t="shared" ref="S195" si="950">R195/100000</f>
        <v>-2018.8512152276228</v>
      </c>
      <c r="T195">
        <f t="shared" si="934"/>
        <v>-2.018851215227623</v>
      </c>
    </row>
    <row r="196" spans="1:20" x14ac:dyDescent="0.25">
      <c r="A196" s="5">
        <v>44397</v>
      </c>
      <c r="B196">
        <v>0.14960000000000001</v>
      </c>
      <c r="C196">
        <v>0.15029999999999999</v>
      </c>
      <c r="D196">
        <v>0.1444</v>
      </c>
      <c r="E196">
        <v>0.14599999999999999</v>
      </c>
      <c r="F196">
        <v>1732709.47</v>
      </c>
      <c r="G196">
        <v>0.14599999999999999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-0.45762711864407002</v>
      </c>
      <c r="Q196">
        <f t="shared" ref="Q196" si="952">F196*P196</f>
        <v>-792934.84220339369</v>
      </c>
      <c r="R196">
        <f t="shared" ref="R196" si="953">R197+Q196</f>
        <v>-204107802.07945952</v>
      </c>
      <c r="S196">
        <f t="shared" ref="S196" si="954">R196/100000</f>
        <v>-2041.0780207945952</v>
      </c>
      <c r="T196">
        <f t="shared" si="934"/>
        <v>-2.0410780207945951</v>
      </c>
    </row>
    <row r="197" spans="1:20" x14ac:dyDescent="0.25">
      <c r="A197" s="5">
        <v>44396</v>
      </c>
      <c r="B197">
        <v>0.1545</v>
      </c>
      <c r="C197">
        <v>0.15679999999999999</v>
      </c>
      <c r="D197">
        <v>0.14910000000000001</v>
      </c>
      <c r="E197">
        <v>0.14960000000000001</v>
      </c>
      <c r="F197">
        <v>5000437.57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-0.87012987012986975</v>
      </c>
      <c r="Q197">
        <f t="shared" ref="Q197" si="956">F197*P197</f>
        <v>-4351030.0933766216</v>
      </c>
      <c r="R197">
        <f t="shared" ref="R197" si="957">R198+Q197</f>
        <v>-203314867.23725611</v>
      </c>
      <c r="S197">
        <f t="shared" ref="S197" si="958">R197/100000</f>
        <v>-2033.1486723725611</v>
      </c>
      <c r="T197">
        <f t="shared" si="934"/>
        <v>-2.0331486723725609</v>
      </c>
    </row>
    <row r="198" spans="1:20" x14ac:dyDescent="0.25">
      <c r="A198" s="5">
        <v>44395</v>
      </c>
      <c r="B198">
        <v>0.16170000000000001</v>
      </c>
      <c r="C198">
        <v>0.1681</v>
      </c>
      <c r="D198">
        <v>0.1525</v>
      </c>
      <c r="E198">
        <v>0.1547</v>
      </c>
      <c r="F198">
        <v>6783915.2599999998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-0.71794871794871706</v>
      </c>
      <c r="Q198">
        <f t="shared" ref="Q198:Q261" si="960">F198*P198</f>
        <v>-4870503.263589737</v>
      </c>
      <c r="R198">
        <f t="shared" ref="R198:R261" si="961">R199+Q198</f>
        <v>-198963837.14387947</v>
      </c>
      <c r="S198">
        <f t="shared" ref="S198:S261" si="962">R198/100000</f>
        <v>-1989.6383714387948</v>
      </c>
      <c r="T198">
        <f t="shared" ref="T198:T261" si="963">S198/1000</f>
        <v>-1.9896383714387949</v>
      </c>
    </row>
    <row r="199" spans="1:20" x14ac:dyDescent="0.25">
      <c r="A199" s="5">
        <v>44394</v>
      </c>
      <c r="B199">
        <v>0.15939999999999999</v>
      </c>
      <c r="C199">
        <v>0.16470000000000001</v>
      </c>
      <c r="D199">
        <v>0.15640000000000001</v>
      </c>
      <c r="E199">
        <v>0.16170000000000001</v>
      </c>
      <c r="F199">
        <v>5014148.71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0.27710843373493926</v>
      </c>
      <c r="Q199">
        <f t="shared" si="960"/>
        <v>1389462.8955421662</v>
      </c>
      <c r="R199">
        <f t="shared" si="961"/>
        <v>-194093333.88028973</v>
      </c>
      <c r="S199">
        <f t="shared" si="962"/>
        <v>-1940.9333388028974</v>
      </c>
      <c r="T199">
        <f t="shared" si="963"/>
        <v>-1.9409333388028975</v>
      </c>
    </row>
    <row r="200" spans="1:20" x14ac:dyDescent="0.25">
      <c r="A200" s="5">
        <v>44393</v>
      </c>
      <c r="B200">
        <v>0.1578</v>
      </c>
      <c r="C200">
        <v>0.16489999999999999</v>
      </c>
      <c r="D200">
        <v>0.154</v>
      </c>
      <c r="E200">
        <v>0.1598</v>
      </c>
      <c r="F200">
        <v>8488869.9199999999</v>
      </c>
      <c r="G200">
        <v>0</v>
      </c>
      <c r="L200" t="s">
        <v>7</v>
      </c>
      <c r="M200" t="s">
        <v>8</v>
      </c>
      <c r="N200" t="s">
        <v>7</v>
      </c>
      <c r="P200">
        <f t="shared" si="959"/>
        <v>6.4220183486239146E-2</v>
      </c>
      <c r="Q200">
        <f t="shared" si="960"/>
        <v>545156.78385321621</v>
      </c>
      <c r="R200">
        <f t="shared" si="961"/>
        <v>-195482796.77583191</v>
      </c>
      <c r="S200">
        <f t="shared" si="962"/>
        <v>-1954.8279677583191</v>
      </c>
      <c r="T200">
        <f t="shared" si="963"/>
        <v>-1.9548279677583191</v>
      </c>
    </row>
    <row r="201" spans="1:20" x14ac:dyDescent="0.25">
      <c r="A201" s="5">
        <v>44392</v>
      </c>
      <c r="B201">
        <v>0.1552</v>
      </c>
      <c r="C201">
        <v>0.15970000000000001</v>
      </c>
      <c r="D201">
        <v>0.15310000000000001</v>
      </c>
      <c r="E201">
        <v>0.1575</v>
      </c>
      <c r="F201">
        <v>3793368.34</v>
      </c>
      <c r="G201">
        <v>0</v>
      </c>
      <c r="L201" t="s">
        <v>7</v>
      </c>
      <c r="M201" t="s">
        <v>8</v>
      </c>
      <c r="N201" t="s">
        <v>7</v>
      </c>
      <c r="P201">
        <f t="shared" si="959"/>
        <v>0.33333333333333054</v>
      </c>
      <c r="Q201">
        <f t="shared" si="960"/>
        <v>1264456.1133333226</v>
      </c>
      <c r="R201">
        <f t="shared" si="961"/>
        <v>-196027953.55968511</v>
      </c>
      <c r="S201">
        <f t="shared" si="962"/>
        <v>-1960.279535596851</v>
      </c>
      <c r="T201">
        <f t="shared" si="963"/>
        <v>-1.960279535596851</v>
      </c>
    </row>
    <row r="202" spans="1:20" x14ac:dyDescent="0.25">
      <c r="A202" s="5">
        <v>44391</v>
      </c>
      <c r="B202">
        <v>0.1555</v>
      </c>
      <c r="C202">
        <v>0.15820000000000001</v>
      </c>
      <c r="D202">
        <v>0.1525</v>
      </c>
      <c r="E202">
        <v>0.15540000000000001</v>
      </c>
      <c r="F202">
        <v>2483917.0099999998</v>
      </c>
      <c r="G202">
        <v>0</v>
      </c>
      <c r="L202" t="s">
        <v>7</v>
      </c>
      <c r="M202" t="s">
        <v>8</v>
      </c>
      <c r="N202" t="s">
        <v>7</v>
      </c>
      <c r="P202">
        <f t="shared" si="959"/>
        <v>1.754385964912571E-2</v>
      </c>
      <c r="Q202">
        <f t="shared" si="960"/>
        <v>43577.491403515982</v>
      </c>
      <c r="R202">
        <f t="shared" si="961"/>
        <v>-197292409.67301843</v>
      </c>
      <c r="S202">
        <f t="shared" si="962"/>
        <v>-1972.9240967301841</v>
      </c>
      <c r="T202">
        <f t="shared" si="963"/>
        <v>-1.9729240967301842</v>
      </c>
    </row>
    <row r="203" spans="1:20" x14ac:dyDescent="0.25">
      <c r="A203" s="5">
        <v>44390</v>
      </c>
      <c r="B203">
        <v>0.15840000000000001</v>
      </c>
      <c r="C203">
        <v>0.159</v>
      </c>
      <c r="D203">
        <v>0.1542</v>
      </c>
      <c r="E203">
        <v>0.15540000000000001</v>
      </c>
      <c r="F203">
        <v>2471271.2599999998</v>
      </c>
      <c r="G203">
        <v>0</v>
      </c>
      <c r="L203" t="s">
        <v>7</v>
      </c>
      <c r="M203" t="s">
        <v>8</v>
      </c>
      <c r="N203" t="s">
        <v>7</v>
      </c>
      <c r="P203">
        <f t="shared" si="959"/>
        <v>-0.49999999999999711</v>
      </c>
      <c r="Q203">
        <f t="shared" si="960"/>
        <v>-1235635.6299999927</v>
      </c>
      <c r="R203">
        <f t="shared" si="961"/>
        <v>-197335987.16442195</v>
      </c>
      <c r="S203">
        <f t="shared" si="962"/>
        <v>-1973.3598716442195</v>
      </c>
      <c r="T203">
        <f t="shared" si="963"/>
        <v>-1.9733598716442196</v>
      </c>
    </row>
    <row r="204" spans="1:20" x14ac:dyDescent="0.25">
      <c r="A204" s="5">
        <v>44389</v>
      </c>
      <c r="B204">
        <v>0.1643</v>
      </c>
      <c r="C204">
        <v>0.1653</v>
      </c>
      <c r="D204">
        <v>0.15740000000000001</v>
      </c>
      <c r="E204">
        <v>0.15870000000000001</v>
      </c>
      <c r="F204">
        <v>3499121.7</v>
      </c>
      <c r="G204">
        <v>0</v>
      </c>
      <c r="L204" t="s">
        <v>7</v>
      </c>
      <c r="M204" t="s">
        <v>8</v>
      </c>
      <c r="N204" t="s">
        <v>7</v>
      </c>
      <c r="P204">
        <f t="shared" si="959"/>
        <v>-0.67088607594936778</v>
      </c>
      <c r="Q204">
        <f t="shared" si="960"/>
        <v>-2347512.0265822811</v>
      </c>
      <c r="R204">
        <f t="shared" si="961"/>
        <v>-196100351.53442195</v>
      </c>
      <c r="S204">
        <f t="shared" si="962"/>
        <v>-1961.0035153442195</v>
      </c>
      <c r="T204">
        <f t="shared" si="963"/>
        <v>-1.9610035153442196</v>
      </c>
    </row>
    <row r="205" spans="1:20" x14ac:dyDescent="0.25">
      <c r="A205" s="5">
        <v>44388</v>
      </c>
      <c r="B205">
        <v>0.16420000000000001</v>
      </c>
      <c r="C205">
        <v>0.16869999999999999</v>
      </c>
      <c r="D205">
        <v>0.16259999999999999</v>
      </c>
      <c r="E205">
        <v>0.1643</v>
      </c>
      <c r="F205">
        <v>2989815.41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-0.44262295081966929</v>
      </c>
      <c r="Q205">
        <f t="shared" si="960"/>
        <v>-1323360.9191803194</v>
      </c>
      <c r="R205">
        <f t="shared" si="961"/>
        <v>-193752839.50783968</v>
      </c>
      <c r="S205">
        <f t="shared" si="962"/>
        <v>-1937.5283950783969</v>
      </c>
      <c r="T205">
        <f t="shared" si="963"/>
        <v>-1.9375283950783968</v>
      </c>
    </row>
    <row r="206" spans="1:20" x14ac:dyDescent="0.25">
      <c r="A206" s="5">
        <v>44387</v>
      </c>
      <c r="B206">
        <v>0.1615</v>
      </c>
      <c r="C206">
        <v>0.16750000000000001</v>
      </c>
      <c r="D206">
        <v>0.15890000000000001</v>
      </c>
      <c r="E206">
        <v>0.1636</v>
      </c>
      <c r="F206">
        <v>3857421.86</v>
      </c>
      <c r="G206">
        <v>0</v>
      </c>
      <c r="L206" t="s">
        <v>7</v>
      </c>
      <c r="M206" t="s">
        <v>8</v>
      </c>
      <c r="N206" t="s">
        <v>7</v>
      </c>
      <c r="P206">
        <f t="shared" si="959"/>
        <v>9.302325581394974E-2</v>
      </c>
      <c r="Q206">
        <f t="shared" si="960"/>
        <v>358829.9404651018</v>
      </c>
      <c r="R206">
        <f t="shared" si="961"/>
        <v>-192429478.58865935</v>
      </c>
      <c r="S206">
        <f t="shared" si="962"/>
        <v>-1924.2947858865934</v>
      </c>
      <c r="T206">
        <f t="shared" si="963"/>
        <v>-1.9242947858865935</v>
      </c>
    </row>
    <row r="207" spans="1:20" x14ac:dyDescent="0.25">
      <c r="A207" s="5">
        <v>44386</v>
      </c>
      <c r="B207">
        <v>0.1615</v>
      </c>
      <c r="C207">
        <v>0.16350000000000001</v>
      </c>
      <c r="D207">
        <v>0.159</v>
      </c>
      <c r="E207">
        <v>0.16139999999999999</v>
      </c>
      <c r="F207">
        <v>3560575.91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6.6666666666659269E-2</v>
      </c>
      <c r="Q207">
        <f t="shared" si="960"/>
        <v>237371.727333307</v>
      </c>
      <c r="R207">
        <f t="shared" si="961"/>
        <v>-192788308.52912444</v>
      </c>
      <c r="S207">
        <f t="shared" si="962"/>
        <v>-1927.8830852912445</v>
      </c>
      <c r="T207">
        <f t="shared" si="963"/>
        <v>-1.9278830852912445</v>
      </c>
    </row>
    <row r="208" spans="1:20" x14ac:dyDescent="0.25">
      <c r="A208" s="5">
        <v>44385</v>
      </c>
      <c r="B208">
        <v>0.1666</v>
      </c>
      <c r="C208">
        <v>0.1671</v>
      </c>
      <c r="D208">
        <v>0.1585</v>
      </c>
      <c r="E208">
        <v>0.16189999999999999</v>
      </c>
      <c r="F208">
        <v>5058850.8899999997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-0.20930232558139819</v>
      </c>
      <c r="Q208">
        <f t="shared" si="960"/>
        <v>-1058829.2560465259</v>
      </c>
      <c r="R208">
        <f t="shared" si="961"/>
        <v>-193025680.25645775</v>
      </c>
      <c r="S208">
        <f t="shared" si="962"/>
        <v>-1930.2568025645774</v>
      </c>
      <c r="T208">
        <f t="shared" si="963"/>
        <v>-1.9302568025645774</v>
      </c>
    </row>
    <row r="209" spans="1:20" x14ac:dyDescent="0.25">
      <c r="A209" s="5">
        <v>44384</v>
      </c>
      <c r="B209">
        <v>0.1646</v>
      </c>
      <c r="C209">
        <v>0.17599999999999999</v>
      </c>
      <c r="D209">
        <v>0.1633</v>
      </c>
      <c r="E209">
        <v>0.1666</v>
      </c>
      <c r="F209">
        <v>8011274.7199999997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-0.48031496062992124</v>
      </c>
      <c r="Q209">
        <f t="shared" si="960"/>
        <v>-3847935.1017322834</v>
      </c>
      <c r="R209">
        <f t="shared" si="961"/>
        <v>-191966851.00041121</v>
      </c>
      <c r="S209">
        <f t="shared" si="962"/>
        <v>-1919.668510004112</v>
      </c>
      <c r="T209">
        <f t="shared" si="963"/>
        <v>-1.919668510004112</v>
      </c>
    </row>
    <row r="210" spans="1:20" x14ac:dyDescent="0.25">
      <c r="A210" s="5">
        <v>44383</v>
      </c>
      <c r="B210">
        <v>0.15529999999999999</v>
      </c>
      <c r="C210">
        <v>0.16589999999999999</v>
      </c>
      <c r="D210">
        <v>0.15529999999999999</v>
      </c>
      <c r="E210">
        <v>0.1656</v>
      </c>
      <c r="F210">
        <v>6287364.2400000002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0.94339622641509535</v>
      </c>
      <c r="Q210">
        <f t="shared" si="960"/>
        <v>5931475.6981132142</v>
      </c>
      <c r="R210">
        <f t="shared" si="961"/>
        <v>-188118915.89867893</v>
      </c>
      <c r="S210">
        <f t="shared" si="962"/>
        <v>-1881.1891589867894</v>
      </c>
      <c r="T210">
        <f t="shared" si="963"/>
        <v>-1.8811891589867893</v>
      </c>
    </row>
    <row r="211" spans="1:20" x14ac:dyDescent="0.25">
      <c r="A211" s="5">
        <v>44382</v>
      </c>
      <c r="B211">
        <v>0.16039999999999999</v>
      </c>
      <c r="C211">
        <v>0.16039999999999999</v>
      </c>
      <c r="D211">
        <v>0.154</v>
      </c>
      <c r="E211">
        <v>0.1552</v>
      </c>
      <c r="F211">
        <v>2812083.8</v>
      </c>
      <c r="G211">
        <v>0</v>
      </c>
      <c r="L211" t="s">
        <v>8</v>
      </c>
      <c r="M211" t="s">
        <v>8</v>
      </c>
      <c r="N211" t="s">
        <v>7</v>
      </c>
      <c r="P211">
        <f t="shared" si="959"/>
        <v>-0.62499999999999734</v>
      </c>
      <c r="Q211">
        <f t="shared" si="960"/>
        <v>-1757552.3749999923</v>
      </c>
      <c r="R211">
        <f t="shared" si="961"/>
        <v>-194050391.59679213</v>
      </c>
      <c r="S211">
        <f t="shared" si="962"/>
        <v>-1940.5039159679213</v>
      </c>
      <c r="T211">
        <f t="shared" si="963"/>
        <v>-1.9405039159679214</v>
      </c>
    </row>
    <row r="212" spans="1:20" x14ac:dyDescent="0.25">
      <c r="A212" s="5">
        <v>44381</v>
      </c>
      <c r="B212">
        <v>0.1578</v>
      </c>
      <c r="C212">
        <v>0.1638</v>
      </c>
      <c r="D212">
        <v>0.15529999999999999</v>
      </c>
      <c r="E212">
        <v>0.1608</v>
      </c>
      <c r="F212">
        <v>3105859.58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0.29411764705882354</v>
      </c>
      <c r="Q212">
        <f t="shared" si="960"/>
        <v>913488.11176470597</v>
      </c>
      <c r="R212">
        <f t="shared" si="961"/>
        <v>-192292839.22179213</v>
      </c>
      <c r="S212">
        <f t="shared" si="962"/>
        <v>-1922.9283922179213</v>
      </c>
      <c r="T212">
        <f t="shared" si="963"/>
        <v>-1.9229283922179212</v>
      </c>
    </row>
    <row r="213" spans="1:20" x14ac:dyDescent="0.25">
      <c r="A213" s="5">
        <v>44380</v>
      </c>
      <c r="B213">
        <v>0.15570000000000001</v>
      </c>
      <c r="C213">
        <v>0.15959999999999999</v>
      </c>
      <c r="D213">
        <v>0.1535</v>
      </c>
      <c r="E213">
        <v>0.158</v>
      </c>
      <c r="F213">
        <v>2295708.65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0.47540983606557646</v>
      </c>
      <c r="Q213">
        <f t="shared" si="960"/>
        <v>1091402.4729508257</v>
      </c>
      <c r="R213">
        <f t="shared" si="961"/>
        <v>-193206327.33355683</v>
      </c>
      <c r="S213">
        <f t="shared" si="962"/>
        <v>-1932.0632733355683</v>
      </c>
      <c r="T213">
        <f t="shared" si="963"/>
        <v>-1.9320632733355683</v>
      </c>
    </row>
    <row r="214" spans="1:20" x14ac:dyDescent="0.25">
      <c r="A214" s="5">
        <v>44379</v>
      </c>
      <c r="B214">
        <v>0.15290000000000001</v>
      </c>
      <c r="C214">
        <v>0.15620000000000001</v>
      </c>
      <c r="D214">
        <v>0.15140000000000001</v>
      </c>
      <c r="E214">
        <v>0.15559999999999999</v>
      </c>
      <c r="F214">
        <v>2345945.79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0.74999999999999278</v>
      </c>
      <c r="Q214">
        <f t="shared" si="960"/>
        <v>1759459.342499983</v>
      </c>
      <c r="R214">
        <f t="shared" si="961"/>
        <v>-194297729.80650765</v>
      </c>
      <c r="S214">
        <f t="shared" si="962"/>
        <v>-1942.9772980650764</v>
      </c>
      <c r="T214">
        <f t="shared" si="963"/>
        <v>-1.9429772980650764</v>
      </c>
    </row>
    <row r="215" spans="1:20" x14ac:dyDescent="0.25">
      <c r="A215" s="5">
        <v>44378</v>
      </c>
      <c r="B215">
        <v>0.16020000000000001</v>
      </c>
      <c r="C215">
        <v>0.16020000000000001</v>
      </c>
      <c r="D215">
        <v>0.15029999999999999</v>
      </c>
      <c r="E215">
        <v>0.15340000000000001</v>
      </c>
      <c r="F215">
        <v>2457351.62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-0.37373737373737109</v>
      </c>
      <c r="Q215">
        <f t="shared" si="960"/>
        <v>-918404.14080807439</v>
      </c>
      <c r="R215">
        <f t="shared" si="961"/>
        <v>-196057189.14900762</v>
      </c>
      <c r="S215">
        <f t="shared" si="962"/>
        <v>-1960.5718914900763</v>
      </c>
      <c r="T215">
        <f t="shared" si="963"/>
        <v>-1.9605718914900763</v>
      </c>
    </row>
    <row r="216" spans="1:20" x14ac:dyDescent="0.25">
      <c r="A216" s="5">
        <v>44377</v>
      </c>
      <c r="B216">
        <v>0.15459999999999999</v>
      </c>
      <c r="C216">
        <v>0.16889999999999999</v>
      </c>
      <c r="D216">
        <v>0.152</v>
      </c>
      <c r="E216">
        <v>0.15970000000000001</v>
      </c>
      <c r="F216">
        <v>5510276.7000000002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-8.8757396449702583E-2</v>
      </c>
      <c r="Q216">
        <f t="shared" si="960"/>
        <v>-489077.81360945886</v>
      </c>
      <c r="R216">
        <f t="shared" si="961"/>
        <v>-195138785.00819954</v>
      </c>
      <c r="S216">
        <f t="shared" si="962"/>
        <v>-1951.3878500819953</v>
      </c>
      <c r="T216">
        <f t="shared" si="963"/>
        <v>-1.9513878500819954</v>
      </c>
    </row>
    <row r="217" spans="1:20" x14ac:dyDescent="0.25">
      <c r="A217" s="5">
        <v>44376</v>
      </c>
      <c r="B217">
        <v>0.15129999999999999</v>
      </c>
      <c r="C217">
        <v>0.15970000000000001</v>
      </c>
      <c r="D217">
        <v>0.14810000000000001</v>
      </c>
      <c r="E217">
        <v>0.1545</v>
      </c>
      <c r="F217">
        <v>5597356.1200000001</v>
      </c>
      <c r="G217">
        <v>0</v>
      </c>
      <c r="L217" t="s">
        <v>7</v>
      </c>
      <c r="M217" t="s">
        <v>8</v>
      </c>
      <c r="N217" t="s">
        <v>7</v>
      </c>
      <c r="P217">
        <f t="shared" si="959"/>
        <v>0.10344827586206715</v>
      </c>
      <c r="Q217">
        <f t="shared" si="960"/>
        <v>579036.83999998984</v>
      </c>
      <c r="R217">
        <f t="shared" si="961"/>
        <v>-194649707.19459009</v>
      </c>
      <c r="S217">
        <f t="shared" si="962"/>
        <v>-1946.4970719459009</v>
      </c>
      <c r="T217">
        <f t="shared" si="963"/>
        <v>-1.9464970719459009</v>
      </c>
    </row>
    <row r="218" spans="1:20" x14ac:dyDescent="0.25">
      <c r="A218" s="5">
        <v>44375</v>
      </c>
      <c r="B218">
        <v>0.15129999999999999</v>
      </c>
      <c r="C218">
        <v>0.15870000000000001</v>
      </c>
      <c r="D218">
        <v>0.14779999999999999</v>
      </c>
      <c r="E218">
        <v>0.15129999999999999</v>
      </c>
      <c r="F218">
        <v>5743698.54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-0.35779816513761531</v>
      </c>
      <c r="Q218">
        <f t="shared" si="960"/>
        <v>-2055084.7987156</v>
      </c>
      <c r="R218">
        <f t="shared" si="961"/>
        <v>-195228744.0345901</v>
      </c>
      <c r="S218">
        <f t="shared" si="962"/>
        <v>-1952.2874403459009</v>
      </c>
      <c r="T218">
        <f t="shared" si="963"/>
        <v>-1.952287440345901</v>
      </c>
    </row>
    <row r="219" spans="1:20" x14ac:dyDescent="0.25">
      <c r="A219" s="5">
        <v>44374</v>
      </c>
      <c r="B219">
        <v>0.1434</v>
      </c>
      <c r="C219">
        <v>0.15110000000000001</v>
      </c>
      <c r="D219">
        <v>0.14149999999999999</v>
      </c>
      <c r="E219">
        <v>0.151</v>
      </c>
      <c r="F219">
        <v>5156418.83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0.97916666666666319</v>
      </c>
      <c r="Q219">
        <f t="shared" si="960"/>
        <v>5048993.4377083154</v>
      </c>
      <c r="R219">
        <f t="shared" si="961"/>
        <v>-193173659.2358745</v>
      </c>
      <c r="S219">
        <f t="shared" si="962"/>
        <v>-1931.7365923587449</v>
      </c>
      <c r="T219">
        <f t="shared" si="963"/>
        <v>-1.9317365923587448</v>
      </c>
    </row>
    <row r="220" spans="1:20" x14ac:dyDescent="0.25">
      <c r="A220" s="5">
        <v>44373</v>
      </c>
      <c r="B220">
        <v>0.14280000000000001</v>
      </c>
      <c r="C220">
        <v>0.14499999999999999</v>
      </c>
      <c r="D220">
        <v>0.13669999999999999</v>
      </c>
      <c r="E220">
        <v>0.14280000000000001</v>
      </c>
      <c r="F220">
        <v>7187257.4000000004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0.46987951807229417</v>
      </c>
      <c r="Q220">
        <f t="shared" si="960"/>
        <v>3377145.0433735303</v>
      </c>
      <c r="R220">
        <f t="shared" si="961"/>
        <v>-198222652.67358282</v>
      </c>
      <c r="S220">
        <f t="shared" si="962"/>
        <v>-1982.2265267358282</v>
      </c>
      <c r="T220">
        <f t="shared" si="963"/>
        <v>-1.9822265267358281</v>
      </c>
    </row>
    <row r="221" spans="1:20" x14ac:dyDescent="0.25">
      <c r="A221" s="5">
        <v>44372</v>
      </c>
      <c r="B221">
        <v>0.154</v>
      </c>
      <c r="C221">
        <v>0.156</v>
      </c>
      <c r="D221">
        <v>0.14280000000000001</v>
      </c>
      <c r="E221">
        <v>0.14330000000000001</v>
      </c>
      <c r="F221">
        <v>10298993.140000001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-0.92424242424242409</v>
      </c>
      <c r="Q221">
        <f t="shared" si="960"/>
        <v>-9518766.3869696967</v>
      </c>
      <c r="R221">
        <f t="shared" si="961"/>
        <v>-201599797.71695635</v>
      </c>
      <c r="S221">
        <f t="shared" si="962"/>
        <v>-2015.9979771695635</v>
      </c>
      <c r="T221">
        <f t="shared" si="963"/>
        <v>-2.0159979771695635</v>
      </c>
    </row>
    <row r="222" spans="1:20" x14ac:dyDescent="0.25">
      <c r="A222" s="5">
        <v>44371</v>
      </c>
      <c r="B222">
        <v>0.15690000000000001</v>
      </c>
      <c r="C222">
        <v>0.157</v>
      </c>
      <c r="D222">
        <v>0.14299999999999999</v>
      </c>
      <c r="E222">
        <v>0.15359999999999999</v>
      </c>
      <c r="F222">
        <v>10664968.91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0.51428571428571268</v>
      </c>
      <c r="Q222">
        <f t="shared" si="960"/>
        <v>5484841.1537142685</v>
      </c>
      <c r="R222">
        <f t="shared" si="961"/>
        <v>-192081031.32998666</v>
      </c>
      <c r="S222">
        <f t="shared" si="962"/>
        <v>-1920.8103132998667</v>
      </c>
      <c r="T222">
        <f t="shared" si="963"/>
        <v>-1.9208103132998666</v>
      </c>
    </row>
    <row r="223" spans="1:20" x14ac:dyDescent="0.25">
      <c r="A223" s="5">
        <v>44370</v>
      </c>
      <c r="B223">
        <v>0.14269999999999999</v>
      </c>
      <c r="C223">
        <v>0.158</v>
      </c>
      <c r="D223">
        <v>0.1414</v>
      </c>
      <c r="E223">
        <v>0.15629999999999999</v>
      </c>
      <c r="F223">
        <v>10539745.07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0.79518072289156549</v>
      </c>
      <c r="Q223">
        <f t="shared" si="960"/>
        <v>8381002.1038554134</v>
      </c>
      <c r="R223">
        <f t="shared" si="961"/>
        <v>-197565872.48370093</v>
      </c>
      <c r="S223">
        <f t="shared" si="962"/>
        <v>-1975.6587248370092</v>
      </c>
      <c r="T223">
        <f t="shared" si="963"/>
        <v>-1.9756587248370092</v>
      </c>
    </row>
    <row r="224" spans="1:20" x14ac:dyDescent="0.25">
      <c r="A224" s="5">
        <v>44369</v>
      </c>
      <c r="B224">
        <v>0.1464</v>
      </c>
      <c r="C224">
        <v>0.1537</v>
      </c>
      <c r="D224">
        <v>0.124</v>
      </c>
      <c r="E224">
        <v>0.1426</v>
      </c>
      <c r="F224">
        <v>18782377.07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0.25252525252525271</v>
      </c>
      <c r="Q224">
        <f t="shared" si="960"/>
        <v>4743024.5126262661</v>
      </c>
      <c r="R224">
        <f t="shared" si="961"/>
        <v>-205946874.58755633</v>
      </c>
      <c r="S224">
        <f t="shared" si="962"/>
        <v>-2059.4687458755634</v>
      </c>
      <c r="T224">
        <f t="shared" si="963"/>
        <v>-2.0594687458755634</v>
      </c>
    </row>
    <row r="225" spans="1:20" x14ac:dyDescent="0.25">
      <c r="A225" s="5">
        <v>44368</v>
      </c>
      <c r="B225">
        <v>0.15870000000000001</v>
      </c>
      <c r="C225">
        <v>0.15939999999999999</v>
      </c>
      <c r="D225">
        <v>0.14560000000000001</v>
      </c>
      <c r="E225">
        <v>0.1464</v>
      </c>
      <c r="F225">
        <v>15803866.9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-0.88405797101449324</v>
      </c>
      <c r="Q225">
        <f t="shared" si="960"/>
        <v>-13971534.505797109</v>
      </c>
      <c r="R225">
        <f t="shared" si="961"/>
        <v>-210689899.10018259</v>
      </c>
      <c r="S225">
        <f t="shared" si="962"/>
        <v>-2106.8989910018258</v>
      </c>
      <c r="T225">
        <f t="shared" si="963"/>
        <v>-2.1068989910018256</v>
      </c>
    </row>
    <row r="226" spans="1:20" x14ac:dyDescent="0.25">
      <c r="A226" s="5">
        <v>44367</v>
      </c>
      <c r="B226">
        <v>0.16200000000000001</v>
      </c>
      <c r="C226">
        <v>0.16250000000000001</v>
      </c>
      <c r="D226">
        <v>0.1532</v>
      </c>
      <c r="E226">
        <v>0.1588</v>
      </c>
      <c r="F226">
        <v>12608205.98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0.20430107526881552</v>
      </c>
      <c r="Q226">
        <f t="shared" si="960"/>
        <v>2575870.0389247099</v>
      </c>
      <c r="R226">
        <f t="shared" si="961"/>
        <v>-196718364.59438547</v>
      </c>
      <c r="S226">
        <f t="shared" si="962"/>
        <v>-1967.1836459438548</v>
      </c>
      <c r="T226">
        <f t="shared" si="963"/>
        <v>-1.9671836459438548</v>
      </c>
    </row>
    <row r="227" spans="1:20" x14ac:dyDescent="0.25">
      <c r="A227" s="5">
        <v>44366</v>
      </c>
      <c r="B227">
        <v>0.16009999999999999</v>
      </c>
      <c r="C227">
        <v>0.16569999999999999</v>
      </c>
      <c r="D227">
        <v>0.15709999999999999</v>
      </c>
      <c r="E227">
        <v>0.16209999999999999</v>
      </c>
      <c r="F227">
        <v>12707654.68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0.16279069767442012</v>
      </c>
      <c r="Q227">
        <f t="shared" si="960"/>
        <v>2068687.9711628098</v>
      </c>
      <c r="R227">
        <f t="shared" si="961"/>
        <v>-199294234.6333102</v>
      </c>
      <c r="S227">
        <f t="shared" si="962"/>
        <v>-1992.942346333102</v>
      </c>
      <c r="T227">
        <f t="shared" si="963"/>
        <v>-1.992942346333102</v>
      </c>
    </row>
    <row r="228" spans="1:20" x14ac:dyDescent="0.25">
      <c r="A228" s="5">
        <v>44365</v>
      </c>
      <c r="B228">
        <v>0.16850000000000001</v>
      </c>
      <c r="C228">
        <v>0.17030000000000001</v>
      </c>
      <c r="D228">
        <v>0.1583</v>
      </c>
      <c r="E228">
        <v>0.16039999999999999</v>
      </c>
      <c r="F228">
        <v>10187577.539999999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-0.6500000000000018</v>
      </c>
      <c r="Q228">
        <f t="shared" si="960"/>
        <v>-6621925.4010000173</v>
      </c>
      <c r="R228">
        <f t="shared" si="961"/>
        <v>-201362922.60447299</v>
      </c>
      <c r="S228">
        <f t="shared" si="962"/>
        <v>-2013.6292260447299</v>
      </c>
      <c r="T228">
        <f t="shared" si="963"/>
        <v>-2.0136292260447299</v>
      </c>
    </row>
    <row r="229" spans="1:20" x14ac:dyDescent="0.25">
      <c r="A229" s="5">
        <v>44364</v>
      </c>
      <c r="B229">
        <v>0.1741</v>
      </c>
      <c r="C229">
        <v>0.185</v>
      </c>
      <c r="D229">
        <v>0.1676</v>
      </c>
      <c r="E229">
        <v>0.1686</v>
      </c>
      <c r="F229">
        <v>13184252.43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-0.88505747126436773</v>
      </c>
      <c r="Q229">
        <f t="shared" si="960"/>
        <v>-11668821.116206896</v>
      </c>
      <c r="R229">
        <f t="shared" si="961"/>
        <v>-194740997.20347297</v>
      </c>
      <c r="S229">
        <f t="shared" si="962"/>
        <v>-1947.4099720347297</v>
      </c>
      <c r="T229">
        <f t="shared" si="963"/>
        <v>-1.9474099720347298</v>
      </c>
    </row>
    <row r="230" spans="1:20" x14ac:dyDescent="0.25">
      <c r="A230" s="5">
        <v>44363</v>
      </c>
      <c r="B230">
        <v>0.1875</v>
      </c>
      <c r="C230">
        <v>0.18759999999999999</v>
      </c>
      <c r="D230">
        <v>0.1734</v>
      </c>
      <c r="E230">
        <v>0.17369999999999999</v>
      </c>
      <c r="F230">
        <v>16982501.670000002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-0.95774647887324016</v>
      </c>
      <c r="Q230">
        <f t="shared" si="960"/>
        <v>-16264931.176901422</v>
      </c>
      <c r="R230">
        <f t="shared" si="961"/>
        <v>-183072176.08726609</v>
      </c>
      <c r="S230">
        <f t="shared" si="962"/>
        <v>-1830.721760872661</v>
      </c>
      <c r="T230">
        <f t="shared" si="963"/>
        <v>-1.8307217608726609</v>
      </c>
    </row>
    <row r="231" spans="1:20" x14ac:dyDescent="0.25">
      <c r="A231" s="5">
        <v>44362</v>
      </c>
      <c r="B231">
        <v>0.19739999999999999</v>
      </c>
      <c r="C231">
        <v>0.19819999999999999</v>
      </c>
      <c r="D231">
        <v>0.18770000000000001</v>
      </c>
      <c r="E231">
        <v>0.18790000000000001</v>
      </c>
      <c r="F231">
        <v>11890026.77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-0.96190476190476071</v>
      </c>
      <c r="Q231">
        <f t="shared" si="960"/>
        <v>-11437073.36923808</v>
      </c>
      <c r="R231">
        <f t="shared" si="961"/>
        <v>-166807244.91036466</v>
      </c>
      <c r="S231">
        <f t="shared" si="962"/>
        <v>-1668.0724491036465</v>
      </c>
      <c r="T231">
        <f t="shared" si="963"/>
        <v>-1.6680724491036465</v>
      </c>
    </row>
    <row r="232" spans="1:20" x14ac:dyDescent="0.25">
      <c r="A232" s="5">
        <v>44361</v>
      </c>
      <c r="B232">
        <v>0.186</v>
      </c>
      <c r="C232">
        <v>0.19739999999999999</v>
      </c>
      <c r="D232">
        <v>0.18559999999999999</v>
      </c>
      <c r="E232">
        <v>0.19739999999999999</v>
      </c>
      <c r="F232">
        <v>14427843.5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1</v>
      </c>
      <c r="Q232">
        <f t="shared" si="960"/>
        <v>14427843.5</v>
      </c>
      <c r="R232">
        <f t="shared" si="961"/>
        <v>-155370171.54112658</v>
      </c>
      <c r="S232">
        <f t="shared" si="962"/>
        <v>-1553.7017154112657</v>
      </c>
      <c r="T232">
        <f t="shared" si="963"/>
        <v>-1.5537017154112658</v>
      </c>
    </row>
    <row r="233" spans="1:20" x14ac:dyDescent="0.25">
      <c r="A233" s="5">
        <v>44360</v>
      </c>
      <c r="B233">
        <v>0.17949999999999999</v>
      </c>
      <c r="C233">
        <v>0.186</v>
      </c>
      <c r="D233">
        <v>0.1762</v>
      </c>
      <c r="E233">
        <v>0.186</v>
      </c>
      <c r="F233">
        <v>6593530.3099999996</v>
      </c>
      <c r="G233">
        <v>0</v>
      </c>
      <c r="L233" t="s">
        <v>7</v>
      </c>
      <c r="M233" t="s">
        <v>8</v>
      </c>
      <c r="N233" t="s">
        <v>7</v>
      </c>
      <c r="P233">
        <f t="shared" si="959"/>
        <v>1</v>
      </c>
      <c r="Q233">
        <f t="shared" si="960"/>
        <v>6593530.3099999996</v>
      </c>
      <c r="R233">
        <f t="shared" si="961"/>
        <v>-169798015.04112658</v>
      </c>
      <c r="S233">
        <f t="shared" si="962"/>
        <v>-1697.9801504112659</v>
      </c>
      <c r="T233">
        <f t="shared" si="963"/>
        <v>-1.6979801504112659</v>
      </c>
    </row>
    <row r="234" spans="1:20" x14ac:dyDescent="0.25">
      <c r="A234" s="5">
        <v>44359</v>
      </c>
      <c r="B234">
        <v>0.184</v>
      </c>
      <c r="C234">
        <v>0.1845</v>
      </c>
      <c r="D234">
        <v>0.1774</v>
      </c>
      <c r="E234">
        <v>0.17949999999999999</v>
      </c>
      <c r="F234">
        <v>10862968.76</v>
      </c>
      <c r="G234">
        <v>0</v>
      </c>
      <c r="L234" t="s">
        <v>7</v>
      </c>
      <c r="M234" t="s">
        <v>8</v>
      </c>
      <c r="N234" t="s">
        <v>7</v>
      </c>
      <c r="P234">
        <f t="shared" si="959"/>
        <v>-0.40845070422535429</v>
      </c>
      <c r="Q234">
        <f t="shared" si="960"/>
        <v>-4436987.2400000235</v>
      </c>
      <c r="R234">
        <f t="shared" si="961"/>
        <v>-176391545.35112658</v>
      </c>
      <c r="S234">
        <f t="shared" si="962"/>
        <v>-1763.9154535112659</v>
      </c>
      <c r="T234">
        <f t="shared" si="963"/>
        <v>-1.763915453511266</v>
      </c>
    </row>
    <row r="235" spans="1:20" x14ac:dyDescent="0.25">
      <c r="A235" s="5">
        <v>44358</v>
      </c>
      <c r="B235">
        <v>0.18609999999999999</v>
      </c>
      <c r="C235">
        <v>0.1908</v>
      </c>
      <c r="D235">
        <v>0.18279999999999999</v>
      </c>
      <c r="E235">
        <v>0.18410000000000001</v>
      </c>
      <c r="F235">
        <v>12813380.4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-0.67499999999999449</v>
      </c>
      <c r="Q235">
        <f t="shared" si="960"/>
        <v>-8649031.7699999288</v>
      </c>
      <c r="R235">
        <f t="shared" si="961"/>
        <v>-171954558.11112657</v>
      </c>
      <c r="S235">
        <f t="shared" si="962"/>
        <v>-1719.5455811112656</v>
      </c>
      <c r="T235">
        <f t="shared" si="963"/>
        <v>-1.7195455811112657</v>
      </c>
    </row>
    <row r="236" spans="1:20" x14ac:dyDescent="0.25">
      <c r="A236" s="5">
        <v>44357</v>
      </c>
      <c r="B236">
        <v>0.19409999999999999</v>
      </c>
      <c r="C236">
        <v>0.19750000000000001</v>
      </c>
      <c r="D236">
        <v>0.1845</v>
      </c>
      <c r="E236">
        <v>0.186</v>
      </c>
      <c r="F236">
        <v>18006989.219999999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-0.76923076923076927</v>
      </c>
      <c r="Q236">
        <f t="shared" si="960"/>
        <v>-13851530.169230768</v>
      </c>
      <c r="R236">
        <f t="shared" si="961"/>
        <v>-163305526.34112665</v>
      </c>
      <c r="S236">
        <f t="shared" si="962"/>
        <v>-1633.0552634112664</v>
      </c>
      <c r="T236">
        <f t="shared" si="963"/>
        <v>-1.6330552634112665</v>
      </c>
    </row>
    <row r="237" spans="1:20" x14ac:dyDescent="0.25">
      <c r="A237" s="5">
        <v>44356</v>
      </c>
      <c r="B237">
        <v>0.1764</v>
      </c>
      <c r="C237">
        <v>0.1978</v>
      </c>
      <c r="D237">
        <v>0.17349999999999999</v>
      </c>
      <c r="E237">
        <v>0.1943</v>
      </c>
      <c r="F237">
        <v>22365223.600000001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0.7119341563786008</v>
      </c>
      <c r="Q237">
        <f t="shared" si="960"/>
        <v>15922566.595884774</v>
      </c>
      <c r="R237">
        <f t="shared" si="961"/>
        <v>-149453996.17189589</v>
      </c>
      <c r="S237">
        <f t="shared" si="962"/>
        <v>-1494.5399617189589</v>
      </c>
      <c r="T237">
        <f t="shared" si="963"/>
        <v>-1.494539961718959</v>
      </c>
    </row>
    <row r="238" spans="1:20" x14ac:dyDescent="0.25">
      <c r="A238" s="5">
        <v>44355</v>
      </c>
      <c r="B238">
        <v>0.17929999999999999</v>
      </c>
      <c r="C238">
        <v>0.20250000000000001</v>
      </c>
      <c r="D238">
        <v>0.16200000000000001</v>
      </c>
      <c r="E238">
        <v>0.17649999999999999</v>
      </c>
      <c r="F238">
        <v>20244363.030000001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-0.28395061728395149</v>
      </c>
      <c r="Q238">
        <f t="shared" si="960"/>
        <v>-5748399.3788889069</v>
      </c>
      <c r="R238">
        <f t="shared" si="961"/>
        <v>-165376562.76778066</v>
      </c>
      <c r="S238">
        <f t="shared" si="962"/>
        <v>-1653.7656276778066</v>
      </c>
      <c r="T238">
        <f t="shared" si="963"/>
        <v>-1.6537656276778065</v>
      </c>
    </row>
    <row r="239" spans="1:20" x14ac:dyDescent="0.25">
      <c r="A239" s="5">
        <v>44354</v>
      </c>
      <c r="B239">
        <v>0.18970000000000001</v>
      </c>
      <c r="C239">
        <v>0.19409999999999999</v>
      </c>
      <c r="D239">
        <v>0.17860000000000001</v>
      </c>
      <c r="E239">
        <v>0.17910000000000001</v>
      </c>
      <c r="F239">
        <v>5186507.63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-0.93548387096774177</v>
      </c>
      <c r="Q239">
        <f t="shared" si="960"/>
        <v>-4851894.234516128</v>
      </c>
      <c r="R239">
        <f t="shared" si="961"/>
        <v>-159628163.38889176</v>
      </c>
      <c r="S239">
        <f t="shared" si="962"/>
        <v>-1596.2816338889177</v>
      </c>
      <c r="T239">
        <f t="shared" si="963"/>
        <v>-1.5962816338889176</v>
      </c>
    </row>
    <row r="240" spans="1:20" x14ac:dyDescent="0.25">
      <c r="A240" s="5">
        <v>44353</v>
      </c>
      <c r="B240">
        <v>0.18809999999999999</v>
      </c>
      <c r="C240">
        <v>0.19400000000000001</v>
      </c>
      <c r="D240">
        <v>0.18720000000000001</v>
      </c>
      <c r="E240">
        <v>0.18990000000000001</v>
      </c>
      <c r="F240">
        <v>3806575.5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-0.20588235294117418</v>
      </c>
      <c r="Q240">
        <f t="shared" si="960"/>
        <v>-783706.72058822657</v>
      </c>
      <c r="R240">
        <f t="shared" si="961"/>
        <v>-154776269.15437564</v>
      </c>
      <c r="S240">
        <f t="shared" si="962"/>
        <v>-1547.7626915437563</v>
      </c>
      <c r="T240">
        <f t="shared" si="963"/>
        <v>-1.5477626915437563</v>
      </c>
    </row>
    <row r="241" spans="1:20" x14ac:dyDescent="0.25">
      <c r="A241" s="5">
        <v>44352</v>
      </c>
      <c r="B241">
        <v>0.19289999999999999</v>
      </c>
      <c r="C241">
        <v>0.1993</v>
      </c>
      <c r="D241">
        <v>0.18590000000000001</v>
      </c>
      <c r="E241">
        <v>0.18809999999999999</v>
      </c>
      <c r="F241">
        <v>3509362.41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-0.67164179104477906</v>
      </c>
      <c r="Q241">
        <f t="shared" si="960"/>
        <v>-2357034.4544776222</v>
      </c>
      <c r="R241">
        <f t="shared" si="961"/>
        <v>-153992562.43378741</v>
      </c>
      <c r="S241">
        <f t="shared" si="962"/>
        <v>-1539.9256243378741</v>
      </c>
      <c r="T241">
        <f t="shared" si="963"/>
        <v>-1.5399256243378741</v>
      </c>
    </row>
    <row r="242" spans="1:20" x14ac:dyDescent="0.25">
      <c r="A242" s="5">
        <v>44351</v>
      </c>
      <c r="B242">
        <v>0.2082</v>
      </c>
      <c r="C242">
        <v>0.2084</v>
      </c>
      <c r="D242">
        <v>0.19089999999999999</v>
      </c>
      <c r="E242">
        <v>0.1925</v>
      </c>
      <c r="F242">
        <v>5258616.55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-0.81714285714285528</v>
      </c>
      <c r="Q242">
        <f t="shared" si="960"/>
        <v>-4297040.9522857042</v>
      </c>
      <c r="R242">
        <f t="shared" si="961"/>
        <v>-151635527.9793098</v>
      </c>
      <c r="S242">
        <f t="shared" si="962"/>
        <v>-1516.3552797930979</v>
      </c>
      <c r="T242">
        <f t="shared" si="963"/>
        <v>-1.5163552797930979</v>
      </c>
    </row>
    <row r="243" spans="1:20" x14ac:dyDescent="0.25">
      <c r="A243" s="5">
        <v>44350</v>
      </c>
      <c r="B243">
        <v>0.2001</v>
      </c>
      <c r="C243">
        <v>0.21149999999999999</v>
      </c>
      <c r="D243">
        <v>0.19800000000000001</v>
      </c>
      <c r="E243">
        <v>0.20799999999999999</v>
      </c>
      <c r="F243">
        <v>4248978.16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0.4814814814814804</v>
      </c>
      <c r="Q243">
        <f t="shared" si="960"/>
        <v>2045804.2992592547</v>
      </c>
      <c r="R243">
        <f t="shared" si="961"/>
        <v>-147338487.02702409</v>
      </c>
      <c r="S243">
        <f t="shared" si="962"/>
        <v>-1473.384870270241</v>
      </c>
      <c r="T243">
        <f t="shared" si="963"/>
        <v>-1.473384870270241</v>
      </c>
    </row>
    <row r="244" spans="1:20" x14ac:dyDescent="0.25">
      <c r="A244" s="5">
        <v>44349</v>
      </c>
      <c r="B244">
        <v>0.1981</v>
      </c>
      <c r="C244">
        <v>0.2034</v>
      </c>
      <c r="D244">
        <v>0.19489999999999999</v>
      </c>
      <c r="E244">
        <v>0.2</v>
      </c>
      <c r="F244">
        <v>2560915.04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0.20000000000000392</v>
      </c>
      <c r="Q244">
        <f t="shared" si="960"/>
        <v>512183.00800001004</v>
      </c>
      <c r="R244">
        <f t="shared" si="961"/>
        <v>-149384291.32628334</v>
      </c>
      <c r="S244">
        <f t="shared" si="962"/>
        <v>-1493.8429132628335</v>
      </c>
      <c r="T244">
        <f t="shared" si="963"/>
        <v>-1.4938429132628335</v>
      </c>
    </row>
    <row r="245" spans="1:20" x14ac:dyDescent="0.25">
      <c r="A245" s="5">
        <v>44348</v>
      </c>
      <c r="B245">
        <v>0.20150000000000001</v>
      </c>
      <c r="C245">
        <v>0.20369999999999999</v>
      </c>
      <c r="D245">
        <v>0.19520000000000001</v>
      </c>
      <c r="E245">
        <v>0.19689999999999999</v>
      </c>
      <c r="F245">
        <v>2809818.9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-0.60000000000000386</v>
      </c>
      <c r="Q245">
        <f t="shared" si="960"/>
        <v>-1685891.3400000108</v>
      </c>
      <c r="R245">
        <f t="shared" si="961"/>
        <v>-149896474.33428335</v>
      </c>
      <c r="S245">
        <f t="shared" si="962"/>
        <v>-1498.9647433428336</v>
      </c>
      <c r="T245">
        <f t="shared" si="963"/>
        <v>-1.4989647433428335</v>
      </c>
    </row>
    <row r="246" spans="1:20" x14ac:dyDescent="0.25">
      <c r="A246" s="5">
        <v>44347</v>
      </c>
      <c r="B246">
        <v>0.1946</v>
      </c>
      <c r="C246">
        <v>0.20599999999999999</v>
      </c>
      <c r="D246">
        <v>0.18659999999999999</v>
      </c>
      <c r="E246">
        <v>0.20200000000000001</v>
      </c>
      <c r="F246">
        <v>4153362.98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0.58762886597938391</v>
      </c>
      <c r="Q246">
        <f t="shared" si="960"/>
        <v>2440635.9779381547</v>
      </c>
      <c r="R246">
        <f t="shared" si="961"/>
        <v>-148210582.99428335</v>
      </c>
      <c r="S246">
        <f t="shared" si="962"/>
        <v>-1482.1058299428335</v>
      </c>
      <c r="T246">
        <f t="shared" si="963"/>
        <v>-1.4821058299428334</v>
      </c>
    </row>
    <row r="247" spans="1:20" x14ac:dyDescent="0.25">
      <c r="A247" s="5">
        <v>44346</v>
      </c>
      <c r="B247">
        <v>0.19139999999999999</v>
      </c>
      <c r="C247">
        <v>0.19989999999999999</v>
      </c>
      <c r="D247">
        <v>0.18479999999999999</v>
      </c>
      <c r="E247">
        <v>0.19489999999999999</v>
      </c>
      <c r="F247">
        <v>3920142.26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0.33774834437086043</v>
      </c>
      <c r="Q247">
        <f t="shared" si="960"/>
        <v>1324021.5580132429</v>
      </c>
      <c r="R247">
        <f t="shared" si="961"/>
        <v>-150651218.97222149</v>
      </c>
      <c r="S247">
        <f t="shared" si="962"/>
        <v>-1506.512189722215</v>
      </c>
      <c r="T247">
        <f t="shared" si="963"/>
        <v>-1.5065121897222149</v>
      </c>
    </row>
    <row r="248" spans="1:20" x14ac:dyDescent="0.25">
      <c r="A248" s="5">
        <v>44345</v>
      </c>
      <c r="B248">
        <v>0.19980000000000001</v>
      </c>
      <c r="C248">
        <v>0.20399999999999999</v>
      </c>
      <c r="D248">
        <v>0.1862</v>
      </c>
      <c r="E248">
        <v>0.19189999999999999</v>
      </c>
      <c r="F248">
        <v>3549200.21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-0.35955056179775413</v>
      </c>
      <c r="Q248">
        <f t="shared" si="960"/>
        <v>-1276116.9294382068</v>
      </c>
      <c r="R248">
        <f t="shared" si="961"/>
        <v>-151975240.53023472</v>
      </c>
      <c r="S248">
        <f t="shared" si="962"/>
        <v>-1519.7524053023471</v>
      </c>
      <c r="T248">
        <f t="shared" si="963"/>
        <v>-1.5197524053023472</v>
      </c>
    </row>
    <row r="249" spans="1:20" x14ac:dyDescent="0.25">
      <c r="A249" s="5">
        <v>44344</v>
      </c>
      <c r="B249">
        <v>0.20960000000000001</v>
      </c>
      <c r="C249">
        <v>0.214</v>
      </c>
      <c r="D249">
        <v>0.1928</v>
      </c>
      <c r="E249">
        <v>0.19900000000000001</v>
      </c>
      <c r="F249">
        <v>5381641.1900000004</v>
      </c>
      <c r="G249">
        <v>0</v>
      </c>
      <c r="L249" t="s">
        <v>7</v>
      </c>
      <c r="M249" t="s">
        <v>8</v>
      </c>
      <c r="N249" t="s">
        <v>7</v>
      </c>
      <c r="P249">
        <f t="shared" si="959"/>
        <v>-0.41509433962264036</v>
      </c>
      <c r="Q249">
        <f t="shared" si="960"/>
        <v>-2233888.7958490504</v>
      </c>
      <c r="R249">
        <f t="shared" si="961"/>
        <v>-150699123.60079652</v>
      </c>
      <c r="S249">
        <f t="shared" si="962"/>
        <v>-1506.9912360079652</v>
      </c>
      <c r="T249">
        <f t="shared" si="963"/>
        <v>-1.5069912360079651</v>
      </c>
    </row>
    <row r="250" spans="1:20" x14ac:dyDescent="0.25">
      <c r="A250" s="5">
        <v>44343</v>
      </c>
      <c r="B250">
        <v>0.2172</v>
      </c>
      <c r="C250">
        <v>0.221</v>
      </c>
      <c r="D250">
        <v>0.20499999999999999</v>
      </c>
      <c r="E250">
        <v>0.2094</v>
      </c>
      <c r="F250">
        <v>3873504.08</v>
      </c>
      <c r="G250">
        <v>0</v>
      </c>
      <c r="L250" t="s">
        <v>7</v>
      </c>
      <c r="M250" t="s">
        <v>8</v>
      </c>
      <c r="N250" t="s">
        <v>7</v>
      </c>
      <c r="P250">
        <f t="shared" si="959"/>
        <v>-0.44999999999999862</v>
      </c>
      <c r="Q250">
        <f t="shared" si="960"/>
        <v>-1743076.8359999948</v>
      </c>
      <c r="R250">
        <f t="shared" si="961"/>
        <v>-148465234.80494747</v>
      </c>
      <c r="S250">
        <f t="shared" si="962"/>
        <v>-1484.6523480494748</v>
      </c>
      <c r="T250">
        <f t="shared" si="963"/>
        <v>-1.4846523480494747</v>
      </c>
    </row>
    <row r="251" spans="1:20" x14ac:dyDescent="0.25">
      <c r="A251" s="5">
        <v>44342</v>
      </c>
      <c r="B251">
        <v>0.20780000000000001</v>
      </c>
      <c r="C251">
        <v>0.22359999999999999</v>
      </c>
      <c r="D251">
        <v>0.2064</v>
      </c>
      <c r="E251">
        <v>0.2172</v>
      </c>
      <c r="F251">
        <v>6939449.1299999999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0.25581395348837305</v>
      </c>
      <c r="Q251">
        <f t="shared" si="960"/>
        <v>1775207.9169767508</v>
      </c>
      <c r="R251">
        <f t="shared" si="961"/>
        <v>-146722157.96894747</v>
      </c>
      <c r="S251">
        <f t="shared" si="962"/>
        <v>-1467.2215796894748</v>
      </c>
      <c r="T251">
        <f t="shared" si="963"/>
        <v>-1.4672215796894748</v>
      </c>
    </row>
    <row r="252" spans="1:20" x14ac:dyDescent="0.25">
      <c r="A252" s="5">
        <v>44341</v>
      </c>
      <c r="B252">
        <v>0.2077</v>
      </c>
      <c r="C252">
        <v>0.2177</v>
      </c>
      <c r="D252">
        <v>0.2</v>
      </c>
      <c r="E252">
        <v>0.2084</v>
      </c>
      <c r="F252">
        <v>6660829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-5.0847457627119334E-2</v>
      </c>
      <c r="Q252">
        <f t="shared" si="960"/>
        <v>-338686.22033898765</v>
      </c>
      <c r="R252">
        <f t="shared" si="961"/>
        <v>-148497365.88592422</v>
      </c>
      <c r="S252">
        <f t="shared" si="962"/>
        <v>-1484.9736588592423</v>
      </c>
      <c r="T252">
        <f t="shared" si="963"/>
        <v>-1.4849736588592424</v>
      </c>
    </row>
    <row r="253" spans="1:20" x14ac:dyDescent="0.25">
      <c r="A253" s="5">
        <v>44340</v>
      </c>
      <c r="B253">
        <v>0.18940000000000001</v>
      </c>
      <c r="C253">
        <v>0.21240000000000001</v>
      </c>
      <c r="D253">
        <v>0.1847</v>
      </c>
      <c r="E253">
        <v>0.2077</v>
      </c>
      <c r="F253">
        <v>8200599.1399999997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0.66064981949458412</v>
      </c>
      <c r="Q253">
        <f t="shared" si="960"/>
        <v>5417724.3415884413</v>
      </c>
      <c r="R253">
        <f t="shared" si="961"/>
        <v>-148158679.66558522</v>
      </c>
      <c r="S253">
        <f t="shared" si="962"/>
        <v>-1481.5867966558521</v>
      </c>
      <c r="T253">
        <f t="shared" si="963"/>
        <v>-1.4815867966558522</v>
      </c>
    </row>
    <row r="254" spans="1:20" x14ac:dyDescent="0.25">
      <c r="A254" s="5">
        <v>44339</v>
      </c>
      <c r="B254">
        <v>0.20150000000000001</v>
      </c>
      <c r="C254">
        <v>0.2127</v>
      </c>
      <c r="D254">
        <v>0.17369999999999999</v>
      </c>
      <c r="E254">
        <v>0.18859999999999999</v>
      </c>
      <c r="F254">
        <v>13056064.83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-0.2358974358974362</v>
      </c>
      <c r="Q254">
        <f t="shared" si="960"/>
        <v>-3079892.2163076964</v>
      </c>
      <c r="R254">
        <f t="shared" si="961"/>
        <v>-153576404.00717366</v>
      </c>
      <c r="S254">
        <f t="shared" si="962"/>
        <v>-1535.7640400717366</v>
      </c>
      <c r="T254">
        <f t="shared" si="963"/>
        <v>-1.5357640400717367</v>
      </c>
    </row>
    <row r="255" spans="1:20" x14ac:dyDescent="0.25">
      <c r="A255" s="5">
        <v>44338</v>
      </c>
      <c r="B255">
        <v>0.19989999999999999</v>
      </c>
      <c r="C255">
        <v>0.23</v>
      </c>
      <c r="D255">
        <v>0.1925</v>
      </c>
      <c r="E255">
        <v>0.20100000000000001</v>
      </c>
      <c r="F255">
        <v>9347171.1400000006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-0.5466666666666663</v>
      </c>
      <c r="Q255">
        <f t="shared" si="960"/>
        <v>-5109786.8898666631</v>
      </c>
      <c r="R255">
        <f t="shared" si="961"/>
        <v>-150496511.79086596</v>
      </c>
      <c r="S255">
        <f t="shared" si="962"/>
        <v>-1504.9651179086595</v>
      </c>
      <c r="T255">
        <f t="shared" si="963"/>
        <v>-1.5049651179086596</v>
      </c>
    </row>
    <row r="256" spans="1:20" x14ac:dyDescent="0.25">
      <c r="A256" s="5">
        <v>44337</v>
      </c>
      <c r="B256">
        <v>0.21820000000000001</v>
      </c>
      <c r="C256">
        <v>0.23369999999999999</v>
      </c>
      <c r="D256">
        <v>0.18049999999999999</v>
      </c>
      <c r="E256">
        <v>0.19989999999999999</v>
      </c>
      <c r="F256">
        <v>13369968.26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-0.27067669172932324</v>
      </c>
      <c r="Q256">
        <f t="shared" si="960"/>
        <v>-3618938.7771428563</v>
      </c>
      <c r="R256">
        <f t="shared" si="961"/>
        <v>-145386724.90099931</v>
      </c>
      <c r="S256">
        <f t="shared" si="962"/>
        <v>-1453.867249009993</v>
      </c>
      <c r="T256">
        <f t="shared" si="963"/>
        <v>-1.4538672490099929</v>
      </c>
    </row>
    <row r="257" spans="1:20" x14ac:dyDescent="0.25">
      <c r="A257" s="5">
        <v>44336</v>
      </c>
      <c r="B257">
        <v>0.1862</v>
      </c>
      <c r="C257">
        <v>0.252</v>
      </c>
      <c r="D257">
        <v>0.1729</v>
      </c>
      <c r="E257">
        <v>0.21779999999999999</v>
      </c>
      <c r="F257">
        <v>21680905.07</v>
      </c>
      <c r="G257">
        <v>0</v>
      </c>
      <c r="L257" t="s">
        <v>7</v>
      </c>
      <c r="M257" t="s">
        <v>8</v>
      </c>
      <c r="N257" t="s">
        <v>8</v>
      </c>
      <c r="P257">
        <f t="shared" si="959"/>
        <v>0.13527180783817935</v>
      </c>
      <c r="Q257">
        <f t="shared" si="960"/>
        <v>2932815.2243868485</v>
      </c>
      <c r="R257">
        <f t="shared" si="961"/>
        <v>-141767786.12385646</v>
      </c>
      <c r="S257">
        <f t="shared" si="962"/>
        <v>-1417.6778612385644</v>
      </c>
      <c r="T257">
        <f t="shared" si="963"/>
        <v>-1.4176778612385645</v>
      </c>
    </row>
    <row r="258" spans="1:20" x14ac:dyDescent="0.25">
      <c r="A258" s="5">
        <v>44335</v>
      </c>
      <c r="B258">
        <v>0.23200000000000001</v>
      </c>
      <c r="C258">
        <v>0.2601</v>
      </c>
      <c r="D258">
        <v>0.14649999999999999</v>
      </c>
      <c r="E258">
        <v>0.1862</v>
      </c>
      <c r="F258">
        <v>35896518.810000002</v>
      </c>
      <c r="G258">
        <v>0</v>
      </c>
      <c r="L258" t="s">
        <v>8</v>
      </c>
      <c r="M258" t="s">
        <v>7</v>
      </c>
      <c r="N258" t="s">
        <v>7</v>
      </c>
      <c r="P258">
        <f t="shared" si="959"/>
        <v>-0.30105633802816884</v>
      </c>
      <c r="Q258">
        <f t="shared" si="960"/>
        <v>-10806874.500897883</v>
      </c>
      <c r="R258">
        <f t="shared" si="961"/>
        <v>-144700601.3482433</v>
      </c>
      <c r="S258">
        <f t="shared" si="962"/>
        <v>-1447.006013482433</v>
      </c>
      <c r="T258">
        <f t="shared" si="963"/>
        <v>-1.447006013482433</v>
      </c>
    </row>
    <row r="259" spans="1:20" x14ac:dyDescent="0.25">
      <c r="A259" s="5">
        <v>44334</v>
      </c>
      <c r="B259">
        <v>0.23139999999999999</v>
      </c>
      <c r="C259">
        <v>0.2422</v>
      </c>
      <c r="D259">
        <v>0.2238</v>
      </c>
      <c r="E259">
        <v>0.23130000000000001</v>
      </c>
      <c r="F259">
        <v>3727173.32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-0.18478260869565144</v>
      </c>
      <c r="Q259">
        <f t="shared" si="960"/>
        <v>-688716.80913043197</v>
      </c>
      <c r="R259">
        <f t="shared" si="961"/>
        <v>-133893726.84734541</v>
      </c>
      <c r="S259">
        <f t="shared" si="962"/>
        <v>-1338.9372684734542</v>
      </c>
      <c r="T259">
        <f t="shared" si="963"/>
        <v>-1.3389372684734542</v>
      </c>
    </row>
    <row r="260" spans="1:20" x14ac:dyDescent="0.25">
      <c r="A260" s="5">
        <v>44333</v>
      </c>
      <c r="B260">
        <v>0.24590000000000001</v>
      </c>
      <c r="C260">
        <v>0.2462</v>
      </c>
      <c r="D260">
        <v>0.22159999999999999</v>
      </c>
      <c r="E260">
        <v>0.2306</v>
      </c>
      <c r="F260">
        <v>4751327.3899999997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-0.26829268292682895</v>
      </c>
      <c r="Q260">
        <f t="shared" si="960"/>
        <v>-1274746.3729268278</v>
      </c>
      <c r="R260">
        <f t="shared" si="961"/>
        <v>-133205010.03821498</v>
      </c>
      <c r="S260">
        <f t="shared" si="962"/>
        <v>-1332.0501003821498</v>
      </c>
      <c r="T260">
        <f t="shared" si="963"/>
        <v>-1.3320501003821499</v>
      </c>
    </row>
    <row r="261" spans="1:20" x14ac:dyDescent="0.25">
      <c r="A261" s="5">
        <v>44332</v>
      </c>
      <c r="B261">
        <v>0.2477</v>
      </c>
      <c r="C261">
        <v>0.27060000000000001</v>
      </c>
      <c r="D261">
        <v>0.23</v>
      </c>
      <c r="E261">
        <v>0.2452</v>
      </c>
      <c r="F261">
        <v>12228768.57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-0.25123152709359642</v>
      </c>
      <c r="Q261">
        <f t="shared" si="960"/>
        <v>-3072252.2023152756</v>
      </c>
      <c r="R261">
        <f t="shared" si="961"/>
        <v>-131930263.66528815</v>
      </c>
      <c r="S261">
        <f t="shared" si="962"/>
        <v>-1319.3026366528816</v>
      </c>
      <c r="T261">
        <f t="shared" si="963"/>
        <v>-1.3193026366528815</v>
      </c>
    </row>
    <row r="262" spans="1:20" x14ac:dyDescent="0.25">
      <c r="A262" s="5">
        <v>44331</v>
      </c>
      <c r="B262">
        <v>0.26369999999999999</v>
      </c>
      <c r="C262">
        <v>0.2918</v>
      </c>
      <c r="D262">
        <v>0.24590000000000001</v>
      </c>
      <c r="E262">
        <v>0.2462</v>
      </c>
      <c r="F262">
        <v>12854484.76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-0.98692810457516367</v>
      </c>
      <c r="Q262">
        <f t="shared" ref="Q262:Q325" si="965">F262*P262</f>
        <v>-12686452.279477127</v>
      </c>
      <c r="R262">
        <f t="shared" ref="R262:R325" si="966">R263+Q262</f>
        <v>-128858011.46297288</v>
      </c>
      <c r="S262">
        <f t="shared" ref="S262:S325" si="967">R262/100000</f>
        <v>-1288.5801146297288</v>
      </c>
      <c r="T262">
        <f t="shared" ref="T262:T325" si="968">S262/1000</f>
        <v>-1.2885801146297289</v>
      </c>
    </row>
    <row r="263" spans="1:20" x14ac:dyDescent="0.25">
      <c r="A263" s="5">
        <v>44330</v>
      </c>
      <c r="B263">
        <v>0.26219999999999999</v>
      </c>
      <c r="C263">
        <v>0.27329999999999999</v>
      </c>
      <c r="D263">
        <v>0.25590000000000002</v>
      </c>
      <c r="E263">
        <v>0.26369999999999999</v>
      </c>
      <c r="F263">
        <v>8940075.8100000005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-0.1034482758620705</v>
      </c>
      <c r="Q263">
        <f t="shared" si="965"/>
        <v>-924835.42862070352</v>
      </c>
      <c r="R263">
        <f t="shared" si="966"/>
        <v>-116171559.18349576</v>
      </c>
      <c r="S263">
        <f t="shared" si="967"/>
        <v>-1161.7155918349576</v>
      </c>
      <c r="T263">
        <f t="shared" si="968"/>
        <v>-1.1617155918349575</v>
      </c>
    </row>
    <row r="264" spans="1:20" x14ac:dyDescent="0.25">
      <c r="A264" s="5">
        <v>44329</v>
      </c>
      <c r="B264">
        <v>0.26590000000000003</v>
      </c>
      <c r="C264">
        <v>0.2747</v>
      </c>
      <c r="D264">
        <v>0.25290000000000001</v>
      </c>
      <c r="E264">
        <v>0.26140000000000002</v>
      </c>
      <c r="F264">
        <v>8264690.8300000001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-0.22018348623853093</v>
      </c>
      <c r="Q264">
        <f t="shared" si="965"/>
        <v>-1819748.4396330179</v>
      </c>
      <c r="R264">
        <f t="shared" si="966"/>
        <v>-115246723.75487506</v>
      </c>
      <c r="S264">
        <f t="shared" si="967"/>
        <v>-1152.4672375487507</v>
      </c>
      <c r="T264">
        <f t="shared" si="968"/>
        <v>-1.1524672375487508</v>
      </c>
    </row>
    <row r="265" spans="1:20" x14ac:dyDescent="0.25">
      <c r="A265" s="5">
        <v>44328</v>
      </c>
      <c r="B265">
        <v>0.318</v>
      </c>
      <c r="C265">
        <v>0.31979999999999997</v>
      </c>
      <c r="D265">
        <v>0.26540000000000002</v>
      </c>
      <c r="E265">
        <v>0.26569999999999999</v>
      </c>
      <c r="F265">
        <v>8973163.2699999996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-0.98897058823529527</v>
      </c>
      <c r="Q265">
        <f t="shared" si="965"/>
        <v>-8874194.5574632455</v>
      </c>
      <c r="R265">
        <f t="shared" si="966"/>
        <v>-113426975.31524205</v>
      </c>
      <c r="S265">
        <f t="shared" si="967"/>
        <v>-1134.2697531524204</v>
      </c>
      <c r="T265">
        <f t="shared" si="968"/>
        <v>-1.1342697531524204</v>
      </c>
    </row>
    <row r="266" spans="1:20" x14ac:dyDescent="0.25">
      <c r="A266" s="5">
        <v>44327</v>
      </c>
      <c r="B266">
        <v>0.31780000000000003</v>
      </c>
      <c r="C266">
        <v>0.32869999999999999</v>
      </c>
      <c r="D266">
        <v>0.2969</v>
      </c>
      <c r="E266">
        <v>0.317</v>
      </c>
      <c r="F266">
        <v>6176518.5099999998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0.26415094339622702</v>
      </c>
      <c r="Q266">
        <f t="shared" si="965"/>
        <v>1631533.1913207583</v>
      </c>
      <c r="R266">
        <f t="shared" si="966"/>
        <v>-104552780.75777881</v>
      </c>
      <c r="S266">
        <f t="shared" si="967"/>
        <v>-1045.5278075777881</v>
      </c>
      <c r="T266">
        <f t="shared" si="968"/>
        <v>-1.0455278075777881</v>
      </c>
    </row>
    <row r="267" spans="1:20" x14ac:dyDescent="0.25">
      <c r="A267" s="5">
        <v>44326</v>
      </c>
      <c r="B267">
        <v>0.33510000000000001</v>
      </c>
      <c r="C267">
        <v>0.35799999999999998</v>
      </c>
      <c r="D267">
        <v>0.30230000000000001</v>
      </c>
      <c r="E267">
        <v>0.31840000000000002</v>
      </c>
      <c r="F267">
        <v>9082856.1799999997</v>
      </c>
      <c r="G267">
        <v>0</v>
      </c>
      <c r="L267" t="s">
        <v>7</v>
      </c>
      <c r="M267" t="s">
        <v>8</v>
      </c>
      <c r="N267" t="s">
        <v>8</v>
      </c>
      <c r="P267">
        <f t="shared" si="964"/>
        <v>-0.42190305206463152</v>
      </c>
      <c r="Q267">
        <f t="shared" si="965"/>
        <v>-3832084.7438061</v>
      </c>
      <c r="R267">
        <f t="shared" si="966"/>
        <v>-106184313.94909957</v>
      </c>
      <c r="S267">
        <f t="shared" si="967"/>
        <v>-1061.8431394909958</v>
      </c>
      <c r="T267">
        <f t="shared" si="968"/>
        <v>-1.0618431394909957</v>
      </c>
    </row>
    <row r="268" spans="1:20" x14ac:dyDescent="0.25">
      <c r="A268" s="5">
        <v>44325</v>
      </c>
      <c r="B268">
        <v>0.32500000000000001</v>
      </c>
      <c r="C268">
        <v>0.34889999999999999</v>
      </c>
      <c r="D268">
        <v>0.31859999999999999</v>
      </c>
      <c r="E268">
        <v>0.3352</v>
      </c>
      <c r="F268">
        <v>7698197.4900000002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9.5709570957096188E-2</v>
      </c>
      <c r="Q268">
        <f t="shared" si="965"/>
        <v>736791.17891089479</v>
      </c>
      <c r="R268">
        <f t="shared" si="966"/>
        <v>-102352229.20529348</v>
      </c>
      <c r="S268">
        <f t="shared" si="967"/>
        <v>-1023.5222920529347</v>
      </c>
      <c r="T268">
        <f t="shared" si="968"/>
        <v>-1.0235222920529348</v>
      </c>
    </row>
    <row r="269" spans="1:20" x14ac:dyDescent="0.25">
      <c r="A269" s="5">
        <v>44324</v>
      </c>
      <c r="B269">
        <v>0.31769999999999998</v>
      </c>
      <c r="C269">
        <v>0.3468</v>
      </c>
      <c r="D269">
        <v>0.31669999999999998</v>
      </c>
      <c r="E269">
        <v>0.32550000000000001</v>
      </c>
      <c r="F269">
        <v>7655027.1399999997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-0.41528239202657641</v>
      </c>
      <c r="Q269">
        <f t="shared" si="965"/>
        <v>-3178997.9817275619</v>
      </c>
      <c r="R269">
        <f t="shared" si="966"/>
        <v>-103089020.38420437</v>
      </c>
      <c r="S269">
        <f t="shared" si="967"/>
        <v>-1030.8902038420438</v>
      </c>
      <c r="T269">
        <f t="shared" si="968"/>
        <v>-1.0308902038420438</v>
      </c>
    </row>
    <row r="270" spans="1:20" x14ac:dyDescent="0.25">
      <c r="A270" s="5">
        <v>44323</v>
      </c>
      <c r="B270">
        <v>0.33040000000000003</v>
      </c>
      <c r="C270">
        <v>0.33500000000000002</v>
      </c>
      <c r="D270">
        <v>0.3095</v>
      </c>
      <c r="E270">
        <v>0.31659999999999999</v>
      </c>
      <c r="F270">
        <v>6275002.7000000002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-0.44313725490196165</v>
      </c>
      <c r="Q270">
        <f t="shared" si="965"/>
        <v>-2780687.4709803979</v>
      </c>
      <c r="R270">
        <f t="shared" si="966"/>
        <v>-99910022.402476817</v>
      </c>
      <c r="S270">
        <f t="shared" si="967"/>
        <v>-999.10022402476818</v>
      </c>
      <c r="T270">
        <f t="shared" si="968"/>
        <v>-0.99910022402476817</v>
      </c>
    </row>
    <row r="271" spans="1:20" x14ac:dyDescent="0.25">
      <c r="A271" s="5">
        <v>44322</v>
      </c>
      <c r="B271">
        <v>0.33139999999999997</v>
      </c>
      <c r="C271">
        <v>0.35370000000000001</v>
      </c>
      <c r="D271">
        <v>0.31869999999999998</v>
      </c>
      <c r="E271">
        <v>0.33069999999999999</v>
      </c>
      <c r="F271">
        <v>14194568.67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-0.31428571428571428</v>
      </c>
      <c r="Q271">
        <f t="shared" si="965"/>
        <v>-4461150.1534285713</v>
      </c>
      <c r="R271">
        <f t="shared" si="966"/>
        <v>-97129334.931496426</v>
      </c>
      <c r="S271">
        <f t="shared" si="967"/>
        <v>-971.2933493149643</v>
      </c>
      <c r="T271">
        <f t="shared" si="968"/>
        <v>-0.97129334931496425</v>
      </c>
    </row>
    <row r="272" spans="1:20" x14ac:dyDescent="0.25">
      <c r="A272" s="5">
        <v>44321</v>
      </c>
      <c r="B272">
        <v>0.2964</v>
      </c>
      <c r="C272">
        <v>0.34</v>
      </c>
      <c r="D272">
        <v>0.2949</v>
      </c>
      <c r="E272">
        <v>0.33129999999999998</v>
      </c>
      <c r="F272">
        <v>29689276.75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0.61419068736141746</v>
      </c>
      <c r="Q272">
        <f t="shared" si="965"/>
        <v>18234877.294345852</v>
      </c>
      <c r="R272">
        <f t="shared" si="966"/>
        <v>-92668184.778067857</v>
      </c>
      <c r="S272">
        <f t="shared" si="967"/>
        <v>-926.68184778067859</v>
      </c>
      <c r="T272">
        <f t="shared" si="968"/>
        <v>-0.92668184778067864</v>
      </c>
    </row>
    <row r="273" spans="1:20" x14ac:dyDescent="0.25">
      <c r="A273" s="5">
        <v>44320</v>
      </c>
      <c r="B273">
        <v>0.32750000000000001</v>
      </c>
      <c r="C273">
        <v>0.33550000000000002</v>
      </c>
      <c r="D273">
        <v>0.29609999999999997</v>
      </c>
      <c r="E273">
        <v>0.29670000000000002</v>
      </c>
      <c r="F273">
        <v>35269427.130000003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-0.96954314720811963</v>
      </c>
      <c r="Q273">
        <f t="shared" si="965"/>
        <v>-34195231.379847638</v>
      </c>
      <c r="R273">
        <f t="shared" si="966"/>
        <v>-110903062.07241371</v>
      </c>
      <c r="S273">
        <f t="shared" si="967"/>
        <v>-1109.0306207241372</v>
      </c>
      <c r="T273">
        <f t="shared" si="968"/>
        <v>-1.1090306207241372</v>
      </c>
    </row>
    <row r="274" spans="1:20" x14ac:dyDescent="0.25">
      <c r="A274" s="5">
        <v>44319</v>
      </c>
      <c r="B274">
        <v>0.34620000000000001</v>
      </c>
      <c r="C274">
        <v>0.36330000000000001</v>
      </c>
      <c r="D274">
        <v>0.3206</v>
      </c>
      <c r="E274">
        <v>0.32750000000000001</v>
      </c>
      <c r="F274">
        <v>36416817.68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-0.67681498829039743</v>
      </c>
      <c r="Q274">
        <f t="shared" si="965"/>
        <v>-24647448.03166274</v>
      </c>
      <c r="R274">
        <f t="shared" si="966"/>
        <v>-76707830.692566067</v>
      </c>
      <c r="S274">
        <f t="shared" si="967"/>
        <v>-767.07830692566063</v>
      </c>
      <c r="T274">
        <f t="shared" si="968"/>
        <v>-0.76707830692566059</v>
      </c>
    </row>
    <row r="275" spans="1:20" x14ac:dyDescent="0.25">
      <c r="A275" s="5">
        <v>44318</v>
      </c>
      <c r="B275">
        <v>0.34739999999999999</v>
      </c>
      <c r="C275">
        <v>0.35499999999999998</v>
      </c>
      <c r="D275">
        <v>0.3251</v>
      </c>
      <c r="E275">
        <v>0.34620000000000001</v>
      </c>
      <c r="F275">
        <v>46753744.149999999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0.41137123745819532</v>
      </c>
      <c r="Q275">
        <f t="shared" si="965"/>
        <v>19233145.586789358</v>
      </c>
      <c r="R275">
        <f t="shared" si="966"/>
        <v>-52060382.66090332</v>
      </c>
      <c r="S275">
        <f t="shared" si="967"/>
        <v>-520.60382660903315</v>
      </c>
      <c r="T275">
        <f t="shared" si="968"/>
        <v>-0.52060382660903315</v>
      </c>
    </row>
    <row r="276" spans="1:20" x14ac:dyDescent="0.25">
      <c r="A276" s="5">
        <v>44317</v>
      </c>
      <c r="B276">
        <v>0.33029999999999998</v>
      </c>
      <c r="C276">
        <v>0.37980000000000003</v>
      </c>
      <c r="D276">
        <v>0.32590000000000002</v>
      </c>
      <c r="E276">
        <v>0.34739999999999999</v>
      </c>
      <c r="F276">
        <v>48336971.140000001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-0.20222634508348936</v>
      </c>
      <c r="Q276">
        <f t="shared" si="965"/>
        <v>-9775009.0060483068</v>
      </c>
      <c r="R276">
        <f t="shared" si="966"/>
        <v>-71293528.247692674</v>
      </c>
      <c r="S276">
        <f t="shared" si="967"/>
        <v>-712.93528247692677</v>
      </c>
      <c r="T276">
        <f t="shared" si="968"/>
        <v>-0.71293528247692672</v>
      </c>
    </row>
    <row r="277" spans="1:20" x14ac:dyDescent="0.25">
      <c r="A277" s="5">
        <v>44316</v>
      </c>
      <c r="B277">
        <v>0.31790000000000002</v>
      </c>
      <c r="C277">
        <v>0.33600000000000002</v>
      </c>
      <c r="D277">
        <v>0.31240000000000001</v>
      </c>
      <c r="E277">
        <v>0.33029999999999998</v>
      </c>
      <c r="F277">
        <v>15673488.869999999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0.51694915254236984</v>
      </c>
      <c r="Q277">
        <f t="shared" si="965"/>
        <v>8102396.7887287652</v>
      </c>
      <c r="R277">
        <f t="shared" si="966"/>
        <v>-61518519.241644375</v>
      </c>
      <c r="S277">
        <f t="shared" si="967"/>
        <v>-615.18519241644378</v>
      </c>
      <c r="T277">
        <f t="shared" si="968"/>
        <v>-0.61518519241644376</v>
      </c>
    </row>
    <row r="278" spans="1:20" x14ac:dyDescent="0.25">
      <c r="A278" s="5">
        <v>44315</v>
      </c>
      <c r="B278">
        <v>0.31990000000000002</v>
      </c>
      <c r="C278">
        <v>0.32900000000000001</v>
      </c>
      <c r="D278">
        <v>0.30309999999999998</v>
      </c>
      <c r="E278">
        <v>0.31769999999999998</v>
      </c>
      <c r="F278">
        <v>11532222.810000001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0.12741312741312608</v>
      </c>
      <c r="Q278">
        <f t="shared" si="965"/>
        <v>1469356.574247089</v>
      </c>
      <c r="R278">
        <f t="shared" si="966"/>
        <v>-69620916.030373141</v>
      </c>
      <c r="S278">
        <f t="shared" si="967"/>
        <v>-696.20916030373144</v>
      </c>
      <c r="T278">
        <f t="shared" si="968"/>
        <v>-0.69620916030373148</v>
      </c>
    </row>
    <row r="279" spans="1:20" x14ac:dyDescent="0.25">
      <c r="A279" s="5">
        <v>44314</v>
      </c>
      <c r="B279">
        <v>0.32269999999999999</v>
      </c>
      <c r="C279">
        <v>0.34499999999999997</v>
      </c>
      <c r="D279">
        <v>0.29520000000000002</v>
      </c>
      <c r="E279">
        <v>0.31990000000000002</v>
      </c>
      <c r="F279">
        <v>15329136.73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-8.0321285140553481E-3</v>
      </c>
      <c r="Q279">
        <f t="shared" si="965"/>
        <v>-123125.59622488616</v>
      </c>
      <c r="R279">
        <f t="shared" si="966"/>
        <v>-71090272.604620233</v>
      </c>
      <c r="S279">
        <f t="shared" si="967"/>
        <v>-710.90272604620236</v>
      </c>
      <c r="T279">
        <f t="shared" si="968"/>
        <v>-0.71090272604620242</v>
      </c>
    </row>
    <row r="280" spans="1:20" x14ac:dyDescent="0.25">
      <c r="A280" s="5">
        <v>44313</v>
      </c>
      <c r="B280">
        <v>0.30230000000000001</v>
      </c>
      <c r="C280">
        <v>0.34</v>
      </c>
      <c r="D280">
        <v>0.29720000000000002</v>
      </c>
      <c r="E280">
        <v>0.32279999999999998</v>
      </c>
      <c r="F280">
        <v>17331617.18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0.19626168224298848</v>
      </c>
      <c r="Q280">
        <f t="shared" si="965"/>
        <v>3401532.3437382802</v>
      </c>
      <c r="R280">
        <f t="shared" si="966"/>
        <v>-70967147.008395344</v>
      </c>
      <c r="S280">
        <f t="shared" si="967"/>
        <v>-709.67147008395341</v>
      </c>
      <c r="T280">
        <f t="shared" si="968"/>
        <v>-0.70967147008395337</v>
      </c>
    </row>
    <row r="281" spans="1:20" x14ac:dyDescent="0.25">
      <c r="A281" s="5">
        <v>44312</v>
      </c>
      <c r="B281">
        <v>0.26590000000000003</v>
      </c>
      <c r="C281">
        <v>0.33189999999999997</v>
      </c>
      <c r="D281">
        <v>0.2656</v>
      </c>
      <c r="E281">
        <v>0.3024</v>
      </c>
      <c r="F281">
        <v>6062431.79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0.11010558069381647</v>
      </c>
      <c r="Q281">
        <f t="shared" si="965"/>
        <v>667507.57265460328</v>
      </c>
      <c r="R281">
        <f t="shared" si="966"/>
        <v>-74368679.352133617</v>
      </c>
      <c r="S281">
        <f t="shared" si="967"/>
        <v>-743.6867935213362</v>
      </c>
      <c r="T281">
        <f t="shared" si="968"/>
        <v>-0.74368679352133615</v>
      </c>
    </row>
    <row r="282" spans="1:20" x14ac:dyDescent="0.25">
      <c r="A282" s="5">
        <v>44311</v>
      </c>
      <c r="B282">
        <v>0.2676</v>
      </c>
      <c r="C282">
        <v>0.28299999999999997</v>
      </c>
      <c r="D282">
        <v>0.25240000000000001</v>
      </c>
      <c r="E282">
        <v>0.26679999999999998</v>
      </c>
      <c r="F282">
        <v>2097633.46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-5.8823529411765559E-2</v>
      </c>
      <c r="Q282">
        <f t="shared" si="965"/>
        <v>-123390.20352941356</v>
      </c>
      <c r="R282">
        <f t="shared" si="966"/>
        <v>-75036186.924788222</v>
      </c>
      <c r="S282">
        <f t="shared" si="967"/>
        <v>-750.36186924788217</v>
      </c>
      <c r="T282">
        <f t="shared" si="968"/>
        <v>-0.75036186924788217</v>
      </c>
    </row>
    <row r="283" spans="1:20" x14ac:dyDescent="0.25">
      <c r="A283" s="5">
        <v>44310</v>
      </c>
      <c r="B283">
        <v>0.2863</v>
      </c>
      <c r="C283">
        <v>0.28699999999999998</v>
      </c>
      <c r="D283">
        <v>0.26</v>
      </c>
      <c r="E283">
        <v>0.26790000000000003</v>
      </c>
      <c r="F283">
        <v>2246562.85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-0.4148148148148128</v>
      </c>
      <c r="Q283">
        <f t="shared" si="965"/>
        <v>-931907.55259258812</v>
      </c>
      <c r="R283">
        <f t="shared" si="966"/>
        <v>-74912796.721258804</v>
      </c>
      <c r="S283">
        <f t="shared" si="967"/>
        <v>-749.12796721258803</v>
      </c>
      <c r="T283">
        <f t="shared" si="968"/>
        <v>-0.74912796721258801</v>
      </c>
    </row>
    <row r="284" spans="1:20" x14ac:dyDescent="0.25">
      <c r="A284" s="5">
        <v>44309</v>
      </c>
      <c r="B284">
        <v>0.29260000000000003</v>
      </c>
      <c r="C284">
        <v>0.29799999999999999</v>
      </c>
      <c r="D284">
        <v>0.26</v>
      </c>
      <c r="E284">
        <v>0.28520000000000001</v>
      </c>
      <c r="F284">
        <v>5532126.0800000001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0.326315789473685</v>
      </c>
      <c r="Q284">
        <f t="shared" si="965"/>
        <v>1805220.0892631623</v>
      </c>
      <c r="R284">
        <f t="shared" si="966"/>
        <v>-73980889.168666214</v>
      </c>
      <c r="S284">
        <f t="shared" si="967"/>
        <v>-739.80889168666215</v>
      </c>
      <c r="T284">
        <f t="shared" si="968"/>
        <v>-0.7398088916866622</v>
      </c>
    </row>
    <row r="285" spans="1:20" x14ac:dyDescent="0.25">
      <c r="A285" s="5">
        <v>44308</v>
      </c>
      <c r="B285">
        <v>0.29110000000000003</v>
      </c>
      <c r="C285">
        <v>0.32079999999999997</v>
      </c>
      <c r="D285">
        <v>0.28110000000000002</v>
      </c>
      <c r="E285">
        <v>0.29249999999999998</v>
      </c>
      <c r="F285">
        <v>4178279.83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-0.42569269521410691</v>
      </c>
      <c r="Q285">
        <f t="shared" si="965"/>
        <v>-1778663.2021914404</v>
      </c>
      <c r="R285">
        <f t="shared" si="966"/>
        <v>-75786109.25792937</v>
      </c>
      <c r="S285">
        <f t="shared" si="967"/>
        <v>-757.86109257929365</v>
      </c>
      <c r="T285">
        <f t="shared" si="968"/>
        <v>-0.75786109257929368</v>
      </c>
    </row>
    <row r="286" spans="1:20" x14ac:dyDescent="0.25">
      <c r="A286" s="5">
        <v>44307</v>
      </c>
      <c r="B286">
        <v>0.32179999999999997</v>
      </c>
      <c r="C286">
        <v>0.32390000000000002</v>
      </c>
      <c r="D286">
        <v>0.29049999999999998</v>
      </c>
      <c r="E286">
        <v>0.29239999999999999</v>
      </c>
      <c r="F286">
        <v>3711501.82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-0.88622754491017897</v>
      </c>
      <c r="Q286">
        <f t="shared" si="965"/>
        <v>-3289235.1458682609</v>
      </c>
      <c r="R286">
        <f t="shared" si="966"/>
        <v>-74007446.055737928</v>
      </c>
      <c r="S286">
        <f t="shared" si="967"/>
        <v>-740.07446055737933</v>
      </c>
      <c r="T286">
        <f t="shared" si="968"/>
        <v>-0.74007446055737935</v>
      </c>
    </row>
    <row r="287" spans="1:20" x14ac:dyDescent="0.25">
      <c r="A287" s="5">
        <v>44306</v>
      </c>
      <c r="B287">
        <v>0.29170000000000001</v>
      </c>
      <c r="C287">
        <v>0.33250000000000002</v>
      </c>
      <c r="D287">
        <v>0.27300000000000002</v>
      </c>
      <c r="E287">
        <v>0.32179999999999997</v>
      </c>
      <c r="F287">
        <v>6568986.9400000004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0.64033613445378001</v>
      </c>
      <c r="Q287">
        <f t="shared" si="965"/>
        <v>4206359.7044369653</v>
      </c>
      <c r="R287">
        <f t="shared" si="966"/>
        <v>-70718210.909869671</v>
      </c>
      <c r="S287">
        <f t="shared" si="967"/>
        <v>-707.18210909869674</v>
      </c>
      <c r="T287">
        <f t="shared" si="968"/>
        <v>-0.70718210909869672</v>
      </c>
    </row>
    <row r="288" spans="1:20" x14ac:dyDescent="0.25">
      <c r="A288" s="5">
        <v>44305</v>
      </c>
      <c r="B288">
        <v>0.32900000000000001</v>
      </c>
      <c r="C288">
        <v>0.3448</v>
      </c>
      <c r="D288">
        <v>0.2908</v>
      </c>
      <c r="E288">
        <v>0.29139999999999999</v>
      </c>
      <c r="F288">
        <v>5597391.8099999996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-0.97777777777777819</v>
      </c>
      <c r="Q288">
        <f t="shared" si="965"/>
        <v>-5473005.3253333354</v>
      </c>
      <c r="R288">
        <f t="shared" si="966"/>
        <v>-74924570.614306629</v>
      </c>
      <c r="S288">
        <f t="shared" si="967"/>
        <v>-749.24570614306629</v>
      </c>
      <c r="T288">
        <f t="shared" si="968"/>
        <v>-0.74924570614306629</v>
      </c>
    </row>
    <row r="289" spans="1:20" x14ac:dyDescent="0.25">
      <c r="A289" s="5">
        <v>44304</v>
      </c>
      <c r="B289">
        <v>0.36649999999999999</v>
      </c>
      <c r="C289">
        <v>0.37059999999999998</v>
      </c>
      <c r="D289">
        <v>0.29949999999999999</v>
      </c>
      <c r="E289">
        <v>0.32900000000000001</v>
      </c>
      <c r="F289">
        <v>10898313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-0.17018284106891624</v>
      </c>
      <c r="Q289">
        <f t="shared" si="965"/>
        <v>-1854705.8691983037</v>
      </c>
      <c r="R289">
        <f t="shared" si="966"/>
        <v>-69451565.288973287</v>
      </c>
      <c r="S289">
        <f t="shared" si="967"/>
        <v>-694.51565288973291</v>
      </c>
      <c r="T289">
        <f t="shared" si="968"/>
        <v>-0.69451565288973294</v>
      </c>
    </row>
    <row r="290" spans="1:20" x14ac:dyDescent="0.25">
      <c r="A290" s="5">
        <v>44303</v>
      </c>
      <c r="B290">
        <v>0.35699999999999998</v>
      </c>
      <c r="C290">
        <v>0.39500000000000002</v>
      </c>
      <c r="D290">
        <v>0.35410000000000003</v>
      </c>
      <c r="E290">
        <v>0.36649999999999999</v>
      </c>
      <c r="F290">
        <v>5971791.0999999996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-0.39364303178484261</v>
      </c>
      <c r="Q290">
        <f t="shared" si="965"/>
        <v>-2350753.9537897399</v>
      </c>
      <c r="R290">
        <f t="shared" si="966"/>
        <v>-67596859.419774979</v>
      </c>
      <c r="S290">
        <f t="shared" si="967"/>
        <v>-675.96859419774978</v>
      </c>
      <c r="T290">
        <f t="shared" si="968"/>
        <v>-0.67596859419774979</v>
      </c>
    </row>
    <row r="291" spans="1:20" x14ac:dyDescent="0.25">
      <c r="A291" s="5">
        <v>44302</v>
      </c>
      <c r="B291">
        <v>0.38800000000000001</v>
      </c>
      <c r="C291">
        <v>0.3997</v>
      </c>
      <c r="D291">
        <v>0.35549999999999998</v>
      </c>
      <c r="E291">
        <v>0.35699999999999998</v>
      </c>
      <c r="F291">
        <v>8629558.5500000007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-0.9321266968325792</v>
      </c>
      <c r="Q291">
        <f t="shared" si="965"/>
        <v>-8043841.9063348426</v>
      </c>
      <c r="R291">
        <f t="shared" si="966"/>
        <v>-65246105.465985239</v>
      </c>
      <c r="S291">
        <f t="shared" si="967"/>
        <v>-652.46105465985238</v>
      </c>
      <c r="T291">
        <f t="shared" si="968"/>
        <v>-0.65246105465985238</v>
      </c>
    </row>
    <row r="292" spans="1:20" x14ac:dyDescent="0.25">
      <c r="A292" s="5">
        <v>44301</v>
      </c>
      <c r="B292">
        <v>0.38</v>
      </c>
      <c r="C292">
        <v>0.3972</v>
      </c>
      <c r="D292">
        <v>0.37330000000000002</v>
      </c>
      <c r="E292">
        <v>0.38819999999999999</v>
      </c>
      <c r="F292">
        <v>6420286.1200000001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0.24686192468619106</v>
      </c>
      <c r="Q292">
        <f t="shared" si="965"/>
        <v>1584924.1886192379</v>
      </c>
      <c r="R292">
        <f t="shared" si="966"/>
        <v>-57202263.559650399</v>
      </c>
      <c r="S292">
        <f t="shared" si="967"/>
        <v>-572.02263559650396</v>
      </c>
      <c r="T292">
        <f t="shared" si="968"/>
        <v>-0.57202263559650401</v>
      </c>
    </row>
    <row r="293" spans="1:20" x14ac:dyDescent="0.25">
      <c r="A293" s="5">
        <v>44300</v>
      </c>
      <c r="B293">
        <v>0.40510000000000002</v>
      </c>
      <c r="C293">
        <v>0.40670000000000001</v>
      </c>
      <c r="D293">
        <v>0.35499999999999998</v>
      </c>
      <c r="E293">
        <v>0.37869999999999998</v>
      </c>
      <c r="F293">
        <v>9691100.5700000003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-8.3172147001934704E-2</v>
      </c>
      <c r="Q293">
        <f t="shared" si="965"/>
        <v>-806029.6412185732</v>
      </c>
      <c r="R293">
        <f t="shared" si="966"/>
        <v>-58787187.74826964</v>
      </c>
      <c r="S293">
        <f t="shared" si="967"/>
        <v>-587.87187748269639</v>
      </c>
      <c r="T293">
        <f t="shared" si="968"/>
        <v>-0.58787187748269643</v>
      </c>
    </row>
    <row r="294" spans="1:20" x14ac:dyDescent="0.25">
      <c r="A294" s="5">
        <v>44299</v>
      </c>
      <c r="B294">
        <v>0.44290000000000002</v>
      </c>
      <c r="C294">
        <v>0.45290000000000002</v>
      </c>
      <c r="D294">
        <v>0.38140000000000002</v>
      </c>
      <c r="E294">
        <v>0.40529999999999999</v>
      </c>
      <c r="F294">
        <v>21035022.370000001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-0.33146853146853217</v>
      </c>
      <c r="Q294">
        <f t="shared" si="965"/>
        <v>-6972447.9743916234</v>
      </c>
      <c r="R294">
        <f t="shared" si="966"/>
        <v>-57981158.107051067</v>
      </c>
      <c r="S294">
        <f t="shared" si="967"/>
        <v>-579.81158107051067</v>
      </c>
      <c r="T294">
        <f t="shared" si="968"/>
        <v>-0.57981158107051067</v>
      </c>
    </row>
    <row r="295" spans="1:20" x14ac:dyDescent="0.25">
      <c r="A295" s="5">
        <v>44298</v>
      </c>
      <c r="B295">
        <v>0.3911</v>
      </c>
      <c r="C295">
        <v>0.46</v>
      </c>
      <c r="D295">
        <v>0.38319999999999999</v>
      </c>
      <c r="E295">
        <v>0.443</v>
      </c>
      <c r="F295">
        <v>31630618.66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0.55729166666666652</v>
      </c>
      <c r="Q295">
        <f t="shared" si="965"/>
        <v>17627480.190729164</v>
      </c>
      <c r="R295">
        <f t="shared" si="966"/>
        <v>-51008710.132659443</v>
      </c>
      <c r="S295">
        <f t="shared" si="967"/>
        <v>-510.08710132659445</v>
      </c>
      <c r="T295">
        <f t="shared" si="968"/>
        <v>-0.51008710132659441</v>
      </c>
    </row>
    <row r="296" spans="1:20" x14ac:dyDescent="0.25">
      <c r="A296" s="5">
        <v>44297</v>
      </c>
      <c r="B296">
        <v>0.35870000000000002</v>
      </c>
      <c r="C296">
        <v>0.4</v>
      </c>
      <c r="D296">
        <v>0.35360000000000003</v>
      </c>
      <c r="E296">
        <v>0.3911</v>
      </c>
      <c r="F296">
        <v>15584249.58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0.61637931034482674</v>
      </c>
      <c r="Q296">
        <f t="shared" si="965"/>
        <v>9605809.0083620567</v>
      </c>
      <c r="R296">
        <f t="shared" si="966"/>
        <v>-68636190.323388606</v>
      </c>
      <c r="S296">
        <f t="shared" si="967"/>
        <v>-686.3619032338861</v>
      </c>
      <c r="T296">
        <f t="shared" si="968"/>
        <v>-0.68636190323388613</v>
      </c>
    </row>
    <row r="297" spans="1:20" x14ac:dyDescent="0.25">
      <c r="A297" s="5">
        <v>44296</v>
      </c>
      <c r="B297">
        <v>0.34589999999999999</v>
      </c>
      <c r="C297">
        <v>0.38030000000000003</v>
      </c>
      <c r="D297">
        <v>0.34239999999999998</v>
      </c>
      <c r="E297">
        <v>0.35799999999999998</v>
      </c>
      <c r="F297">
        <v>7723117.7599999998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-0.17678100263852325</v>
      </c>
      <c r="Q297">
        <f t="shared" si="965"/>
        <v>-1365300.5011081859</v>
      </c>
      <c r="R297">
        <f t="shared" si="966"/>
        <v>-78241999.331750661</v>
      </c>
      <c r="S297">
        <f t="shared" si="967"/>
        <v>-782.41999331750662</v>
      </c>
      <c r="T297">
        <f t="shared" si="968"/>
        <v>-0.78241999331750667</v>
      </c>
    </row>
    <row r="298" spans="1:20" x14ac:dyDescent="0.25">
      <c r="A298" s="5">
        <v>44295</v>
      </c>
      <c r="B298">
        <v>0.35399999999999998</v>
      </c>
      <c r="C298">
        <v>0.36580000000000001</v>
      </c>
      <c r="D298">
        <v>0.3422</v>
      </c>
      <c r="E298">
        <v>0.3458</v>
      </c>
      <c r="F298">
        <v>4328045.07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-0.69491525423728895</v>
      </c>
      <c r="Q298">
        <f t="shared" si="965"/>
        <v>-3007624.5401694952</v>
      </c>
      <c r="R298">
        <f t="shared" si="966"/>
        <v>-76876698.830642477</v>
      </c>
      <c r="S298">
        <f t="shared" si="967"/>
        <v>-768.76698830642476</v>
      </c>
      <c r="T298">
        <f t="shared" si="968"/>
        <v>-0.76876698830642476</v>
      </c>
    </row>
    <row r="299" spans="1:20" x14ac:dyDescent="0.25">
      <c r="A299" s="5">
        <v>44294</v>
      </c>
      <c r="B299">
        <v>0.33169999999999999</v>
      </c>
      <c r="C299">
        <v>0.35920000000000002</v>
      </c>
      <c r="D299">
        <v>0.32150000000000001</v>
      </c>
      <c r="E299">
        <v>0.35399999999999998</v>
      </c>
      <c r="F299">
        <v>6169945.54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0.72413793103448088</v>
      </c>
      <c r="Q299">
        <f t="shared" si="965"/>
        <v>4467891.5979310228</v>
      </c>
      <c r="R299">
        <f t="shared" si="966"/>
        <v>-73869074.290472984</v>
      </c>
      <c r="S299">
        <f t="shared" si="967"/>
        <v>-738.69074290472986</v>
      </c>
      <c r="T299">
        <f t="shared" si="968"/>
        <v>-0.73869074290472991</v>
      </c>
    </row>
    <row r="300" spans="1:20" x14ac:dyDescent="0.25">
      <c r="A300" s="5">
        <v>44293</v>
      </c>
      <c r="B300">
        <v>0.37559999999999999</v>
      </c>
      <c r="C300">
        <v>0.3841</v>
      </c>
      <c r="D300">
        <v>0.31840000000000002</v>
      </c>
      <c r="E300">
        <v>0.33</v>
      </c>
      <c r="F300">
        <v>12585785.82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-0.64687975646879747</v>
      </c>
      <c r="Q300">
        <f t="shared" si="965"/>
        <v>-8141490.0662100445</v>
      </c>
      <c r="R300">
        <f t="shared" si="966"/>
        <v>-78336965.888404012</v>
      </c>
      <c r="S300">
        <f t="shared" si="967"/>
        <v>-783.36965888404006</v>
      </c>
      <c r="T300">
        <f t="shared" si="968"/>
        <v>-0.78336965888404009</v>
      </c>
    </row>
    <row r="301" spans="1:20" x14ac:dyDescent="0.25">
      <c r="A301" s="5">
        <v>44292</v>
      </c>
      <c r="B301">
        <v>0.3523</v>
      </c>
      <c r="C301">
        <v>0.41499999999999998</v>
      </c>
      <c r="D301">
        <v>0.35220000000000001</v>
      </c>
      <c r="E301">
        <v>0.37880000000000003</v>
      </c>
      <c r="F301">
        <v>36336920.079999998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-0.15286624203821572</v>
      </c>
      <c r="Q301">
        <f t="shared" si="965"/>
        <v>-5554688.419872581</v>
      </c>
      <c r="R301">
        <f t="shared" si="966"/>
        <v>-70195475.822193965</v>
      </c>
      <c r="S301">
        <f t="shared" si="967"/>
        <v>-701.95475822193964</v>
      </c>
      <c r="T301">
        <f t="shared" si="968"/>
        <v>-0.70195475822193965</v>
      </c>
    </row>
    <row r="302" spans="1:20" x14ac:dyDescent="0.25">
      <c r="A302" s="5">
        <v>44291</v>
      </c>
      <c r="B302">
        <v>0.35349999999999998</v>
      </c>
      <c r="C302">
        <v>0.36159999999999998</v>
      </c>
      <c r="D302">
        <v>0.3382</v>
      </c>
      <c r="E302">
        <v>0.35210000000000002</v>
      </c>
      <c r="F302">
        <v>7906236.46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0.18803418803419122</v>
      </c>
      <c r="Q302">
        <f t="shared" si="965"/>
        <v>1486642.7531624185</v>
      </c>
      <c r="R302">
        <f t="shared" si="966"/>
        <v>-64640787.402321383</v>
      </c>
      <c r="S302">
        <f t="shared" si="967"/>
        <v>-646.40787402321382</v>
      </c>
      <c r="T302">
        <f t="shared" si="968"/>
        <v>-0.64640787402321387</v>
      </c>
    </row>
    <row r="303" spans="1:20" x14ac:dyDescent="0.25">
      <c r="A303" s="5">
        <v>44290</v>
      </c>
      <c r="B303">
        <v>0.33879999999999999</v>
      </c>
      <c r="C303">
        <v>0.36</v>
      </c>
      <c r="D303">
        <v>0.33339999999999997</v>
      </c>
      <c r="E303">
        <v>0.35320000000000001</v>
      </c>
      <c r="F303">
        <v>4716261.33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0.4887218045112805</v>
      </c>
      <c r="Q303">
        <f t="shared" si="965"/>
        <v>2304939.7477443716</v>
      </c>
      <c r="R303">
        <f t="shared" si="966"/>
        <v>-66127430.155483805</v>
      </c>
      <c r="S303">
        <f t="shared" si="967"/>
        <v>-661.27430155483808</v>
      </c>
      <c r="T303">
        <f t="shared" si="968"/>
        <v>-0.66127430155483813</v>
      </c>
    </row>
    <row r="304" spans="1:20" x14ac:dyDescent="0.25">
      <c r="A304" s="5">
        <v>44289</v>
      </c>
      <c r="B304">
        <v>0.34660000000000002</v>
      </c>
      <c r="C304">
        <v>0.36</v>
      </c>
      <c r="D304">
        <v>0.33779999999999999</v>
      </c>
      <c r="E304">
        <v>0.33889999999999998</v>
      </c>
      <c r="F304">
        <v>5307276.53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-0.9009009009009018</v>
      </c>
      <c r="Q304">
        <f t="shared" si="965"/>
        <v>-4781330.2072072122</v>
      </c>
      <c r="R304">
        <f t="shared" si="966"/>
        <v>-68432369.903228179</v>
      </c>
      <c r="S304">
        <f t="shared" si="967"/>
        <v>-684.32369903228175</v>
      </c>
      <c r="T304">
        <f t="shared" si="968"/>
        <v>-0.68432369903228174</v>
      </c>
    </row>
    <row r="305" spans="1:20" x14ac:dyDescent="0.25">
      <c r="A305" s="5">
        <v>44288</v>
      </c>
      <c r="B305">
        <v>0.3488</v>
      </c>
      <c r="C305">
        <v>0.3604</v>
      </c>
      <c r="D305">
        <v>0.34229999999999999</v>
      </c>
      <c r="E305">
        <v>0.34620000000000001</v>
      </c>
      <c r="F305">
        <v>4632172.04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-0.56906077348066153</v>
      </c>
      <c r="Q305">
        <f t="shared" si="965"/>
        <v>-2635987.4039778938</v>
      </c>
      <c r="R305">
        <f t="shared" si="966"/>
        <v>-63651039.696020968</v>
      </c>
      <c r="S305">
        <f t="shared" si="967"/>
        <v>-636.51039696020973</v>
      </c>
      <c r="T305">
        <f t="shared" si="968"/>
        <v>-0.63651039696020972</v>
      </c>
    </row>
    <row r="306" spans="1:20" x14ac:dyDescent="0.25">
      <c r="A306" s="5">
        <v>44287</v>
      </c>
      <c r="B306">
        <v>0.3513</v>
      </c>
      <c r="C306">
        <v>0.35670000000000002</v>
      </c>
      <c r="D306">
        <v>0.34350000000000003</v>
      </c>
      <c r="E306">
        <v>0.34889999999999999</v>
      </c>
      <c r="F306">
        <v>4558809.66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-0.18181818181818718</v>
      </c>
      <c r="Q306">
        <f t="shared" si="965"/>
        <v>-828874.48363638809</v>
      </c>
      <c r="R306">
        <f t="shared" si="966"/>
        <v>-61015052.292043075</v>
      </c>
      <c r="S306">
        <f t="shared" si="967"/>
        <v>-610.15052292043072</v>
      </c>
      <c r="T306">
        <f t="shared" si="968"/>
        <v>-0.6101505229204307</v>
      </c>
    </row>
    <row r="307" spans="1:20" x14ac:dyDescent="0.25">
      <c r="A307" s="5">
        <v>44286</v>
      </c>
      <c r="B307">
        <v>0.35039999999999999</v>
      </c>
      <c r="C307">
        <v>0.37180000000000002</v>
      </c>
      <c r="D307">
        <v>0.33589999999999998</v>
      </c>
      <c r="E307">
        <v>0.35099999999999998</v>
      </c>
      <c r="F307">
        <v>7662029.6799999997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-0.1587743732590538</v>
      </c>
      <c r="Q307">
        <f t="shared" si="965"/>
        <v>-1216533.9603342686</v>
      </c>
      <c r="R307">
        <f t="shared" si="966"/>
        <v>-60186177.808406688</v>
      </c>
      <c r="S307">
        <f t="shared" si="967"/>
        <v>-601.86177808406683</v>
      </c>
      <c r="T307">
        <f t="shared" si="968"/>
        <v>-0.60186177808406682</v>
      </c>
    </row>
    <row r="308" spans="1:20" x14ac:dyDescent="0.25">
      <c r="A308" s="5">
        <v>44285</v>
      </c>
      <c r="B308">
        <v>0.34620000000000001</v>
      </c>
      <c r="C308">
        <v>0.35630000000000001</v>
      </c>
      <c r="D308">
        <v>0.34</v>
      </c>
      <c r="E308">
        <v>0.3503</v>
      </c>
      <c r="F308">
        <v>3732745.89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0.26380368098159357</v>
      </c>
      <c r="Q308">
        <f t="shared" si="965"/>
        <v>984712.10595091456</v>
      </c>
      <c r="R308">
        <f t="shared" si="966"/>
        <v>-58969643.848072417</v>
      </c>
      <c r="S308">
        <f t="shared" si="967"/>
        <v>-589.69643848072417</v>
      </c>
      <c r="T308">
        <f t="shared" si="968"/>
        <v>-0.58969643848072417</v>
      </c>
    </row>
    <row r="309" spans="1:20" x14ac:dyDescent="0.25">
      <c r="A309" s="5">
        <v>44284</v>
      </c>
      <c r="B309">
        <v>0.32829999999999998</v>
      </c>
      <c r="C309">
        <v>0.3513</v>
      </c>
      <c r="D309">
        <v>0.32469999999999999</v>
      </c>
      <c r="E309">
        <v>0.34449999999999997</v>
      </c>
      <c r="F309">
        <v>3050995.31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0.48872180451127634</v>
      </c>
      <c r="Q309">
        <f t="shared" si="965"/>
        <v>1491087.9334586409</v>
      </c>
      <c r="R309">
        <f t="shared" si="966"/>
        <v>-59954355.954023331</v>
      </c>
      <c r="S309">
        <f t="shared" si="967"/>
        <v>-599.54355954023333</v>
      </c>
      <c r="T309">
        <f t="shared" si="968"/>
        <v>-0.59954355954023331</v>
      </c>
    </row>
    <row r="310" spans="1:20" x14ac:dyDescent="0.25">
      <c r="A310" s="5">
        <v>44283</v>
      </c>
      <c r="B310">
        <v>0.33460000000000001</v>
      </c>
      <c r="C310">
        <v>0.34300000000000003</v>
      </c>
      <c r="D310">
        <v>0.32219999999999999</v>
      </c>
      <c r="E310">
        <v>0.3281</v>
      </c>
      <c r="F310">
        <v>2811966.38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-0.43269230769230721</v>
      </c>
      <c r="Q310">
        <f t="shared" si="965"/>
        <v>-1216716.2221153833</v>
      </c>
      <c r="R310">
        <f t="shared" si="966"/>
        <v>-61445443.887481973</v>
      </c>
      <c r="S310">
        <f t="shared" si="967"/>
        <v>-614.45443887481974</v>
      </c>
      <c r="T310">
        <f t="shared" si="968"/>
        <v>-0.61445443887481976</v>
      </c>
    </row>
    <row r="311" spans="1:20" x14ac:dyDescent="0.25">
      <c r="A311" s="5">
        <v>44282</v>
      </c>
      <c r="B311">
        <v>0.32650000000000001</v>
      </c>
      <c r="C311">
        <v>0.33900000000000002</v>
      </c>
      <c r="D311">
        <v>0.32</v>
      </c>
      <c r="E311">
        <v>0.33579999999999999</v>
      </c>
      <c r="F311">
        <v>3270249.2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0.66315789473683862</v>
      </c>
      <c r="Q311">
        <f t="shared" si="965"/>
        <v>2168691.5747368308</v>
      </c>
      <c r="R311">
        <f t="shared" si="966"/>
        <v>-60228727.66536659</v>
      </c>
      <c r="S311">
        <f t="shared" si="967"/>
        <v>-602.28727665366591</v>
      </c>
      <c r="T311">
        <f t="shared" si="968"/>
        <v>-0.60228727665366588</v>
      </c>
    </row>
    <row r="312" spans="1:20" x14ac:dyDescent="0.25">
      <c r="A312" s="5">
        <v>44281</v>
      </c>
      <c r="B312">
        <v>0.30259999999999998</v>
      </c>
      <c r="C312">
        <v>0.33</v>
      </c>
      <c r="D312">
        <v>0.2999</v>
      </c>
      <c r="E312">
        <v>0.3261</v>
      </c>
      <c r="F312">
        <v>2273638.75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0.74086378737541447</v>
      </c>
      <c r="Q312">
        <f t="shared" si="965"/>
        <v>1684456.6154485031</v>
      </c>
      <c r="R312">
        <f t="shared" si="966"/>
        <v>-62397419.240103424</v>
      </c>
      <c r="S312">
        <f t="shared" si="967"/>
        <v>-623.9741924010342</v>
      </c>
      <c r="T312">
        <f t="shared" si="968"/>
        <v>-0.62397419240103424</v>
      </c>
    </row>
    <row r="313" spans="1:20" x14ac:dyDescent="0.25">
      <c r="A313" s="5">
        <v>44280</v>
      </c>
      <c r="B313">
        <v>0.31030000000000002</v>
      </c>
      <c r="C313">
        <v>0.31969999999999998</v>
      </c>
      <c r="D313">
        <v>0.29149999999999998</v>
      </c>
      <c r="E313">
        <v>0.30120000000000002</v>
      </c>
      <c r="F313">
        <v>2337339.63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-0.3120567375886496</v>
      </c>
      <c r="Q313">
        <f t="shared" si="965"/>
        <v>-729382.57957446133</v>
      </c>
      <c r="R313">
        <f t="shared" si="966"/>
        <v>-64081875.855551928</v>
      </c>
      <c r="S313">
        <f t="shared" si="967"/>
        <v>-640.81875855551925</v>
      </c>
      <c r="T313">
        <f t="shared" si="968"/>
        <v>-0.64081875855551929</v>
      </c>
    </row>
    <row r="314" spans="1:20" x14ac:dyDescent="0.25">
      <c r="A314" s="5">
        <v>44279</v>
      </c>
      <c r="B314">
        <v>0.31380000000000002</v>
      </c>
      <c r="C314">
        <v>0.34179999999999999</v>
      </c>
      <c r="D314">
        <v>0.30559999999999998</v>
      </c>
      <c r="E314">
        <v>0.309</v>
      </c>
      <c r="F314">
        <v>2817860.3</v>
      </c>
      <c r="G314">
        <v>0</v>
      </c>
      <c r="L314" t="s">
        <v>8</v>
      </c>
      <c r="M314" t="s">
        <v>7</v>
      </c>
      <c r="N314" t="s">
        <v>8</v>
      </c>
      <c r="P314">
        <f t="shared" si="964"/>
        <v>-0.81215469613259594</v>
      </c>
      <c r="Q314">
        <f t="shared" si="965"/>
        <v>-2288538.4756906056</v>
      </c>
      <c r="R314">
        <f t="shared" si="966"/>
        <v>-63352493.27597747</v>
      </c>
      <c r="S314">
        <f t="shared" si="967"/>
        <v>-633.52493275977474</v>
      </c>
      <c r="T314">
        <f t="shared" si="968"/>
        <v>-0.63352493275977473</v>
      </c>
    </row>
    <row r="315" spans="1:20" x14ac:dyDescent="0.25">
      <c r="A315" s="5">
        <v>44278</v>
      </c>
      <c r="B315">
        <v>0.31269999999999998</v>
      </c>
      <c r="C315">
        <v>0.32379999999999998</v>
      </c>
      <c r="D315">
        <v>0.3014</v>
      </c>
      <c r="E315">
        <v>0.31390000000000001</v>
      </c>
      <c r="F315">
        <v>2000880.28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0.11607142857143078</v>
      </c>
      <c r="Q315">
        <f t="shared" si="965"/>
        <v>232245.03250000442</v>
      </c>
      <c r="R315">
        <f t="shared" si="966"/>
        <v>-61063954.800286867</v>
      </c>
      <c r="S315">
        <f t="shared" si="967"/>
        <v>-610.63954800286865</v>
      </c>
      <c r="T315">
        <f t="shared" si="968"/>
        <v>-0.61063954800286868</v>
      </c>
    </row>
    <row r="316" spans="1:20" x14ac:dyDescent="0.25">
      <c r="A316" s="5">
        <v>44277</v>
      </c>
      <c r="B316">
        <v>0.32150000000000001</v>
      </c>
      <c r="C316">
        <v>0.3397</v>
      </c>
      <c r="D316">
        <v>0.30580000000000002</v>
      </c>
      <c r="E316">
        <v>0.31259999999999999</v>
      </c>
      <c r="F316">
        <v>3760257.08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-0.5988200589970516</v>
      </c>
      <c r="Q316">
        <f t="shared" si="965"/>
        <v>-2251717.3664896809</v>
      </c>
      <c r="R316">
        <f t="shared" si="966"/>
        <v>-61296199.832786873</v>
      </c>
      <c r="S316">
        <f t="shared" si="967"/>
        <v>-612.96199832786874</v>
      </c>
      <c r="T316">
        <f t="shared" si="968"/>
        <v>-0.6129619983278688</v>
      </c>
    </row>
    <row r="317" spans="1:20" x14ac:dyDescent="0.25">
      <c r="A317" s="5">
        <v>44276</v>
      </c>
      <c r="B317">
        <v>0.33650000000000002</v>
      </c>
      <c r="C317">
        <v>0.35</v>
      </c>
      <c r="D317">
        <v>0.31640000000000001</v>
      </c>
      <c r="E317">
        <v>0.32150000000000001</v>
      </c>
      <c r="F317">
        <v>4705814.0199999996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-0.69642857142857151</v>
      </c>
      <c r="Q317">
        <f t="shared" si="965"/>
        <v>-3277263.3353571431</v>
      </c>
      <c r="R317">
        <f t="shared" si="966"/>
        <v>-59044482.466297194</v>
      </c>
      <c r="S317">
        <f t="shared" si="967"/>
        <v>-590.444824662972</v>
      </c>
      <c r="T317">
        <f t="shared" si="968"/>
        <v>-0.59044482466297199</v>
      </c>
    </row>
    <row r="318" spans="1:20" x14ac:dyDescent="0.25">
      <c r="A318" s="5">
        <v>44275</v>
      </c>
      <c r="B318">
        <v>0.33560000000000001</v>
      </c>
      <c r="C318">
        <v>0.35799999999999998</v>
      </c>
      <c r="D318">
        <v>0.33460000000000001</v>
      </c>
      <c r="E318">
        <v>0.33650000000000002</v>
      </c>
      <c r="F318">
        <v>4052513.6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-0.8376068376068363</v>
      </c>
      <c r="Q318">
        <f t="shared" si="965"/>
        <v>-3394413.1008546958</v>
      </c>
      <c r="R318">
        <f t="shared" si="966"/>
        <v>-55767219.13094005</v>
      </c>
      <c r="S318">
        <f t="shared" si="967"/>
        <v>-557.67219130940055</v>
      </c>
      <c r="T318">
        <f t="shared" si="968"/>
        <v>-0.5576721913094006</v>
      </c>
    </row>
    <row r="319" spans="1:20" x14ac:dyDescent="0.25">
      <c r="A319" s="5">
        <v>44274</v>
      </c>
      <c r="B319">
        <v>0.34300000000000003</v>
      </c>
      <c r="C319">
        <v>0.35539999999999999</v>
      </c>
      <c r="D319">
        <v>0.33050000000000002</v>
      </c>
      <c r="E319">
        <v>0.33550000000000002</v>
      </c>
      <c r="F319">
        <v>4584622.91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-0.59839357429718809</v>
      </c>
      <c r="Q319">
        <f t="shared" si="965"/>
        <v>-2743408.8899196759</v>
      </c>
      <c r="R319">
        <f t="shared" si="966"/>
        <v>-52372806.030085355</v>
      </c>
      <c r="S319">
        <f t="shared" si="967"/>
        <v>-523.7280603008536</v>
      </c>
      <c r="T319">
        <f t="shared" si="968"/>
        <v>-0.52372806030085362</v>
      </c>
    </row>
    <row r="320" spans="1:20" x14ac:dyDescent="0.25">
      <c r="A320" s="5">
        <v>44273</v>
      </c>
      <c r="B320">
        <v>0.33350000000000002</v>
      </c>
      <c r="C320">
        <v>0.36459999999999998</v>
      </c>
      <c r="D320">
        <v>0.33189999999999997</v>
      </c>
      <c r="E320">
        <v>0.34200000000000003</v>
      </c>
      <c r="F320">
        <v>6909463.7000000002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-0.38226299694189286</v>
      </c>
      <c r="Q320">
        <f t="shared" si="965"/>
        <v>-2641232.3012232198</v>
      </c>
      <c r="R320">
        <f t="shared" si="966"/>
        <v>-49629397.140165679</v>
      </c>
      <c r="S320">
        <f t="shared" si="967"/>
        <v>-496.29397140165679</v>
      </c>
      <c r="T320">
        <f t="shared" si="968"/>
        <v>-0.49629397140165676</v>
      </c>
    </row>
    <row r="321" spans="1:20" x14ac:dyDescent="0.25">
      <c r="A321" s="5">
        <v>44272</v>
      </c>
      <c r="B321">
        <v>0.31879999999999997</v>
      </c>
      <c r="C321">
        <v>0.34</v>
      </c>
      <c r="D321">
        <v>0.31530000000000002</v>
      </c>
      <c r="E321">
        <v>0.3332</v>
      </c>
      <c r="F321">
        <v>4507000.41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0.44939271255060498</v>
      </c>
      <c r="Q321">
        <f t="shared" si="965"/>
        <v>2025413.1397165889</v>
      </c>
      <c r="R321">
        <f t="shared" si="966"/>
        <v>-46988164.838942461</v>
      </c>
      <c r="S321">
        <f t="shared" si="967"/>
        <v>-469.88164838942458</v>
      </c>
      <c r="T321">
        <f t="shared" si="968"/>
        <v>-0.46988164838942459</v>
      </c>
    </row>
    <row r="322" spans="1:20" x14ac:dyDescent="0.25">
      <c r="A322" s="5">
        <v>44271</v>
      </c>
      <c r="B322">
        <v>0.31740000000000002</v>
      </c>
      <c r="C322">
        <v>0.33379999999999999</v>
      </c>
      <c r="D322">
        <v>0.28820000000000001</v>
      </c>
      <c r="E322">
        <v>0.31869999999999998</v>
      </c>
      <c r="F322">
        <v>9529664.1300000008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0.33771929824561353</v>
      </c>
      <c r="Q322">
        <f t="shared" si="965"/>
        <v>3218351.4824999953</v>
      </c>
      <c r="R322">
        <f t="shared" si="966"/>
        <v>-49013577.978659049</v>
      </c>
      <c r="S322">
        <f t="shared" si="967"/>
        <v>-490.13577978659049</v>
      </c>
      <c r="T322">
        <f t="shared" si="968"/>
        <v>-0.49013577978659051</v>
      </c>
    </row>
    <row r="323" spans="1:20" x14ac:dyDescent="0.25">
      <c r="A323" s="5">
        <v>44270</v>
      </c>
      <c r="B323">
        <v>0.3367</v>
      </c>
      <c r="C323">
        <v>0.3498</v>
      </c>
      <c r="D323">
        <v>0.30070000000000002</v>
      </c>
      <c r="E323">
        <v>0.31730000000000003</v>
      </c>
      <c r="F323">
        <v>4821407.84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-0.3238289205702643</v>
      </c>
      <c r="Q323">
        <f t="shared" si="965"/>
        <v>-1561311.2964562096</v>
      </c>
      <c r="R323">
        <f t="shared" si="966"/>
        <v>-52231929.461159043</v>
      </c>
      <c r="S323">
        <f t="shared" si="967"/>
        <v>-522.31929461159041</v>
      </c>
      <c r="T323">
        <f t="shared" si="968"/>
        <v>-0.52231929461159043</v>
      </c>
    </row>
    <row r="324" spans="1:20" x14ac:dyDescent="0.25">
      <c r="A324" s="5">
        <v>44269</v>
      </c>
      <c r="B324">
        <v>0.34460000000000002</v>
      </c>
      <c r="C324">
        <v>0.35880000000000001</v>
      </c>
      <c r="D324">
        <v>0.33210000000000001</v>
      </c>
      <c r="E324">
        <v>0.33679999999999999</v>
      </c>
      <c r="F324">
        <v>9515821.5399999991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-0.6479400749063684</v>
      </c>
      <c r="Q324">
        <f t="shared" si="965"/>
        <v>-6165682.1214232333</v>
      </c>
      <c r="R324">
        <f t="shared" si="966"/>
        <v>-50670618.164702833</v>
      </c>
      <c r="S324">
        <f t="shared" si="967"/>
        <v>-506.7061816470283</v>
      </c>
      <c r="T324">
        <f t="shared" si="968"/>
        <v>-0.5067061816470283</v>
      </c>
    </row>
    <row r="325" spans="1:20" x14ac:dyDescent="0.25">
      <c r="A325" s="5">
        <v>44268</v>
      </c>
      <c r="B325">
        <v>0.31990000000000002</v>
      </c>
      <c r="C325">
        <v>0.34639999999999999</v>
      </c>
      <c r="D325">
        <v>0.31180000000000002</v>
      </c>
      <c r="E325">
        <v>0.3448</v>
      </c>
      <c r="F325">
        <v>6277616.8600000003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0.90751445086705251</v>
      </c>
      <c r="Q325">
        <f t="shared" si="965"/>
        <v>5697028.0174566507</v>
      </c>
      <c r="R325">
        <f t="shared" si="966"/>
        <v>-44504936.043279603</v>
      </c>
      <c r="S325">
        <f t="shared" si="967"/>
        <v>-445.04936043279605</v>
      </c>
      <c r="T325">
        <f t="shared" si="968"/>
        <v>-0.44504936043279603</v>
      </c>
    </row>
    <row r="326" spans="1:20" x14ac:dyDescent="0.25">
      <c r="A326" s="5">
        <v>44267</v>
      </c>
      <c r="B326">
        <v>0.32729999999999998</v>
      </c>
      <c r="C326">
        <v>0.33339999999999997</v>
      </c>
      <c r="D326">
        <v>0.30570000000000003</v>
      </c>
      <c r="E326">
        <v>0.31979999999999997</v>
      </c>
      <c r="F326">
        <v>4015203.6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1.8050541516243534E-2</v>
      </c>
      <c r="Q326">
        <f t="shared" ref="Q326:Q389" si="970">F326*P326</f>
        <v>72476.599277970497</v>
      </c>
      <c r="R326">
        <f t="shared" ref="R326:R389" si="971">R327+Q326</f>
        <v>-50201964.060736254</v>
      </c>
      <c r="S326">
        <f t="shared" ref="S326:S389" si="972">R326/100000</f>
        <v>-502.01964060736253</v>
      </c>
      <c r="T326">
        <f t="shared" ref="T326:T389" si="973">S326/1000</f>
        <v>-0.50201964060736248</v>
      </c>
    </row>
    <row r="327" spans="1:20" x14ac:dyDescent="0.25">
      <c r="A327" s="5">
        <v>44266</v>
      </c>
      <c r="B327">
        <v>0.31869999999999998</v>
      </c>
      <c r="C327">
        <v>0.33150000000000002</v>
      </c>
      <c r="D327">
        <v>0.29759999999999998</v>
      </c>
      <c r="E327">
        <v>0.32729999999999998</v>
      </c>
      <c r="F327">
        <v>5772997.2199999997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0.75221238938052915</v>
      </c>
      <c r="Q327">
        <f t="shared" si="970"/>
        <v>4342520.0327433525</v>
      </c>
      <c r="R327">
        <f t="shared" si="971"/>
        <v>-50274440.660014227</v>
      </c>
      <c r="S327">
        <f t="shared" si="972"/>
        <v>-502.74440660014227</v>
      </c>
      <c r="T327">
        <f t="shared" si="973"/>
        <v>-0.5027444066001423</v>
      </c>
    </row>
    <row r="328" spans="1:20" x14ac:dyDescent="0.25">
      <c r="A328" s="5">
        <v>44265</v>
      </c>
      <c r="B328">
        <v>0.31090000000000001</v>
      </c>
      <c r="C328">
        <v>0.33250000000000002</v>
      </c>
      <c r="D328">
        <v>0.29599999999999999</v>
      </c>
      <c r="E328">
        <v>0.317</v>
      </c>
      <c r="F328">
        <v>3989729.91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0.15068493150684931</v>
      </c>
      <c r="Q328">
        <f t="shared" si="970"/>
        <v>601192.17821917811</v>
      </c>
      <c r="R328">
        <f t="shared" si="971"/>
        <v>-54616960.692757577</v>
      </c>
      <c r="S328">
        <f t="shared" si="972"/>
        <v>-546.16960692757573</v>
      </c>
      <c r="T328">
        <f t="shared" si="973"/>
        <v>-0.54616960692757577</v>
      </c>
    </row>
    <row r="329" spans="1:20" x14ac:dyDescent="0.25">
      <c r="A329" s="5">
        <v>44264</v>
      </c>
      <c r="B329">
        <v>0.2989</v>
      </c>
      <c r="C329">
        <v>0.32500000000000001</v>
      </c>
      <c r="D329">
        <v>0.29580000000000001</v>
      </c>
      <c r="E329">
        <v>0.31090000000000001</v>
      </c>
      <c r="F329">
        <v>3989321.04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3.4246575342465779E-2</v>
      </c>
      <c r="Q329">
        <f t="shared" si="970"/>
        <v>136620.58356164393</v>
      </c>
      <c r="R329">
        <f t="shared" si="971"/>
        <v>-55218152.870976754</v>
      </c>
      <c r="S329">
        <f t="shared" si="972"/>
        <v>-552.18152870976758</v>
      </c>
      <c r="T329">
        <f t="shared" si="973"/>
        <v>-0.55218152870976756</v>
      </c>
    </row>
    <row r="330" spans="1:20" x14ac:dyDescent="0.25">
      <c r="A330" s="5">
        <v>44263</v>
      </c>
      <c r="B330">
        <v>0.28370000000000001</v>
      </c>
      <c r="C330">
        <v>0.3</v>
      </c>
      <c r="D330">
        <v>0.27610000000000001</v>
      </c>
      <c r="E330">
        <v>0.2989</v>
      </c>
      <c r="F330">
        <v>3035123.81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0.90794979079497984</v>
      </c>
      <c r="Q330">
        <f t="shared" si="970"/>
        <v>2755740.0283263624</v>
      </c>
      <c r="R330">
        <f t="shared" si="971"/>
        <v>-55354773.454538397</v>
      </c>
      <c r="S330">
        <f t="shared" si="972"/>
        <v>-553.54773454538395</v>
      </c>
      <c r="T330">
        <f t="shared" si="973"/>
        <v>-0.55354773454538397</v>
      </c>
    </row>
    <row r="331" spans="1:20" x14ac:dyDescent="0.25">
      <c r="A331" s="5">
        <v>44262</v>
      </c>
      <c r="B331">
        <v>0.27739999999999998</v>
      </c>
      <c r="C331">
        <v>0.29980000000000001</v>
      </c>
      <c r="D331">
        <v>0.2722</v>
      </c>
      <c r="E331">
        <v>0.28399999999999997</v>
      </c>
      <c r="F331">
        <v>4799672.33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-0.14492753623188612</v>
      </c>
      <c r="Q331">
        <f t="shared" si="970"/>
        <v>-695604.6855072563</v>
      </c>
      <c r="R331">
        <f t="shared" si="971"/>
        <v>-58110513.48286476</v>
      </c>
      <c r="S331">
        <f t="shared" si="972"/>
        <v>-581.10513482864758</v>
      </c>
      <c r="T331">
        <f t="shared" si="973"/>
        <v>-0.58110513482864756</v>
      </c>
    </row>
    <row r="332" spans="1:20" x14ac:dyDescent="0.25">
      <c r="A332" s="5">
        <v>44261</v>
      </c>
      <c r="B332">
        <v>0.2661</v>
      </c>
      <c r="C332">
        <v>0.28499999999999998</v>
      </c>
      <c r="D332">
        <v>0.2576</v>
      </c>
      <c r="E332">
        <v>0.27729999999999999</v>
      </c>
      <c r="F332">
        <v>4101014.24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0.43795620437956273</v>
      </c>
      <c r="Q332">
        <f t="shared" si="970"/>
        <v>1796064.6306569371</v>
      </c>
      <c r="R332">
        <f t="shared" si="971"/>
        <v>-57414908.797357507</v>
      </c>
      <c r="S332">
        <f t="shared" si="972"/>
        <v>-574.14908797357509</v>
      </c>
      <c r="T332">
        <f t="shared" si="973"/>
        <v>-0.57414908797357511</v>
      </c>
    </row>
    <row r="333" spans="1:20" x14ac:dyDescent="0.25">
      <c r="A333" s="5">
        <v>44260</v>
      </c>
      <c r="B333">
        <v>0.2586</v>
      </c>
      <c r="C333">
        <v>0.2792</v>
      </c>
      <c r="D333">
        <v>0.24640000000000001</v>
      </c>
      <c r="E333">
        <v>0.2661</v>
      </c>
      <c r="F333">
        <v>7270315.4900000002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0.20121951219512182</v>
      </c>
      <c r="Q333">
        <f t="shared" si="970"/>
        <v>1462929.3364024381</v>
      </c>
      <c r="R333">
        <f t="shared" si="971"/>
        <v>-59210973.428014442</v>
      </c>
      <c r="S333">
        <f t="shared" si="972"/>
        <v>-592.10973428014438</v>
      </c>
      <c r="T333">
        <f t="shared" si="973"/>
        <v>-0.59210973428014435</v>
      </c>
    </row>
    <row r="334" spans="1:20" x14ac:dyDescent="0.25">
      <c r="A334" s="5">
        <v>44259</v>
      </c>
      <c r="B334">
        <v>0.2702</v>
      </c>
      <c r="C334">
        <v>0.27700000000000002</v>
      </c>
      <c r="D334">
        <v>0.25530000000000003</v>
      </c>
      <c r="E334">
        <v>0.2591</v>
      </c>
      <c r="F334">
        <v>3519217.88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-0.64976958525345896</v>
      </c>
      <c r="Q334">
        <f t="shared" si="970"/>
        <v>-2286680.742304157</v>
      </c>
      <c r="R334">
        <f t="shared" si="971"/>
        <v>-60673902.764416881</v>
      </c>
      <c r="S334">
        <f t="shared" si="972"/>
        <v>-606.7390276441688</v>
      </c>
      <c r="T334">
        <f t="shared" si="973"/>
        <v>-0.60673902764416876</v>
      </c>
    </row>
    <row r="335" spans="1:20" x14ac:dyDescent="0.25">
      <c r="A335" s="5">
        <v>44258</v>
      </c>
      <c r="B335">
        <v>0.25319999999999998</v>
      </c>
      <c r="C335">
        <v>0.28349999999999997</v>
      </c>
      <c r="D335">
        <v>0.25219999999999998</v>
      </c>
      <c r="E335">
        <v>0.2702</v>
      </c>
      <c r="F335">
        <v>2585344.41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0.15015974440894692</v>
      </c>
      <c r="Q335">
        <f t="shared" si="970"/>
        <v>388214.65581469971</v>
      </c>
      <c r="R335">
        <f t="shared" si="971"/>
        <v>-58387222.022112727</v>
      </c>
      <c r="S335">
        <f t="shared" si="972"/>
        <v>-583.87222022112724</v>
      </c>
      <c r="T335">
        <f t="shared" si="973"/>
        <v>-0.58387222022112728</v>
      </c>
    </row>
    <row r="336" spans="1:20" x14ac:dyDescent="0.25">
      <c r="A336" s="5">
        <v>44257</v>
      </c>
      <c r="B336">
        <v>0.26469999999999999</v>
      </c>
      <c r="C336">
        <v>0.27100000000000002</v>
      </c>
      <c r="D336">
        <v>0.2452</v>
      </c>
      <c r="E336">
        <v>0.25219999999999998</v>
      </c>
      <c r="F336">
        <v>1855342.94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-0.45736434108527335</v>
      </c>
      <c r="Q336">
        <f t="shared" si="970"/>
        <v>-848567.70124031382</v>
      </c>
      <c r="R336">
        <f t="shared" si="971"/>
        <v>-58775436.677927427</v>
      </c>
      <c r="S336">
        <f t="shared" si="972"/>
        <v>-587.75436677927428</v>
      </c>
      <c r="T336">
        <f t="shared" si="973"/>
        <v>-0.58775436677927428</v>
      </c>
    </row>
    <row r="337" spans="1:20" x14ac:dyDescent="0.25">
      <c r="A337" s="5">
        <v>44256</v>
      </c>
      <c r="B337">
        <v>0.24030000000000001</v>
      </c>
      <c r="C337">
        <v>0.27</v>
      </c>
      <c r="D337">
        <v>0.2364</v>
      </c>
      <c r="E337">
        <v>0.26479999999999998</v>
      </c>
      <c r="F337">
        <v>2812423.18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0.69047619047618836</v>
      </c>
      <c r="Q337">
        <f t="shared" si="970"/>
        <v>1941911.2433333276</v>
      </c>
      <c r="R337">
        <f t="shared" si="971"/>
        <v>-57926868.976687111</v>
      </c>
      <c r="S337">
        <f t="shared" si="972"/>
        <v>-579.26868976687115</v>
      </c>
      <c r="T337">
        <f t="shared" si="973"/>
        <v>-0.57926868976687118</v>
      </c>
    </row>
    <row r="338" spans="1:20" x14ac:dyDescent="0.25">
      <c r="A338" s="5">
        <v>44255</v>
      </c>
      <c r="B338">
        <v>0.2437</v>
      </c>
      <c r="C338">
        <v>0.26</v>
      </c>
      <c r="D338">
        <v>0.21579999999999999</v>
      </c>
      <c r="E338">
        <v>0.2402</v>
      </c>
      <c r="F338">
        <v>4370824.3499999996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0.10407239819004505</v>
      </c>
      <c r="Q338">
        <f t="shared" si="970"/>
        <v>454882.17217194475</v>
      </c>
      <c r="R338">
        <f t="shared" si="971"/>
        <v>-59868780.220020436</v>
      </c>
      <c r="S338">
        <f t="shared" si="972"/>
        <v>-598.68780220020437</v>
      </c>
      <c r="T338">
        <f t="shared" si="973"/>
        <v>-0.59868780220020434</v>
      </c>
    </row>
    <row r="339" spans="1:20" x14ac:dyDescent="0.25">
      <c r="A339" s="5">
        <v>44254</v>
      </c>
      <c r="B339">
        <v>0.23760000000000001</v>
      </c>
      <c r="C339">
        <v>0.25829999999999997</v>
      </c>
      <c r="D339">
        <v>0.23350000000000001</v>
      </c>
      <c r="E339">
        <v>0.2437</v>
      </c>
      <c r="F339">
        <v>2184222.59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-0.17741935483870944</v>
      </c>
      <c r="Q339">
        <f t="shared" si="970"/>
        <v>-387523.36274193495</v>
      </c>
      <c r="R339">
        <f t="shared" si="971"/>
        <v>-60323662.392192379</v>
      </c>
      <c r="S339">
        <f t="shared" si="972"/>
        <v>-603.23662392192375</v>
      </c>
      <c r="T339">
        <f t="shared" si="973"/>
        <v>-0.60323662392192379</v>
      </c>
    </row>
    <row r="340" spans="1:20" x14ac:dyDescent="0.25">
      <c r="A340" s="5">
        <v>44253</v>
      </c>
      <c r="B340">
        <v>0.2392</v>
      </c>
      <c r="C340">
        <v>0.26300000000000001</v>
      </c>
      <c r="D340">
        <v>0.23080000000000001</v>
      </c>
      <c r="E340">
        <v>0.23760000000000001</v>
      </c>
      <c r="F340">
        <v>4443474.95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-0.57763975155279512</v>
      </c>
      <c r="Q340">
        <f t="shared" si="970"/>
        <v>-2566727.7661490687</v>
      </c>
      <c r="R340">
        <f t="shared" si="971"/>
        <v>-59936139.029450446</v>
      </c>
      <c r="S340">
        <f t="shared" si="972"/>
        <v>-599.36139029450442</v>
      </c>
      <c r="T340">
        <f t="shared" si="973"/>
        <v>-0.59936139029450441</v>
      </c>
    </row>
    <row r="341" spans="1:20" x14ac:dyDescent="0.25">
      <c r="A341" s="5">
        <v>44252</v>
      </c>
      <c r="B341">
        <v>0.25119999999999998</v>
      </c>
      <c r="C341">
        <v>0.28610000000000002</v>
      </c>
      <c r="D341">
        <v>0.2369</v>
      </c>
      <c r="E341">
        <v>0.23749999999999999</v>
      </c>
      <c r="F341">
        <v>4958820.12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-0.9756097560975614</v>
      </c>
      <c r="Q341">
        <f t="shared" si="970"/>
        <v>-4837873.2878048802</v>
      </c>
      <c r="R341">
        <f t="shared" si="971"/>
        <v>-57369411.26330138</v>
      </c>
      <c r="S341">
        <f t="shared" si="972"/>
        <v>-573.69411263301379</v>
      </c>
      <c r="T341">
        <f t="shared" si="973"/>
        <v>-0.57369411263301384</v>
      </c>
    </row>
    <row r="342" spans="1:20" x14ac:dyDescent="0.25">
      <c r="A342" s="5">
        <v>44251</v>
      </c>
      <c r="B342">
        <v>0.2288</v>
      </c>
      <c r="C342">
        <v>0.25729999999999997</v>
      </c>
      <c r="D342">
        <v>0.2243</v>
      </c>
      <c r="E342">
        <v>0.25019999999999998</v>
      </c>
      <c r="F342">
        <v>3201635.87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0.56969696969696959</v>
      </c>
      <c r="Q342">
        <f t="shared" si="970"/>
        <v>1823962.2532121208</v>
      </c>
      <c r="R342">
        <f t="shared" si="971"/>
        <v>-52531537.975496501</v>
      </c>
      <c r="S342">
        <f t="shared" si="972"/>
        <v>-525.31537975496497</v>
      </c>
      <c r="T342">
        <f t="shared" si="973"/>
        <v>-0.52531537975496501</v>
      </c>
    </row>
    <row r="343" spans="1:20" x14ac:dyDescent="0.25">
      <c r="A343" s="5">
        <v>44250</v>
      </c>
      <c r="B343">
        <v>0.27550000000000002</v>
      </c>
      <c r="C343">
        <v>0.27929999999999999</v>
      </c>
      <c r="D343">
        <v>0.18290000000000001</v>
      </c>
      <c r="E343">
        <v>0.2288</v>
      </c>
      <c r="F343">
        <v>9093909.0299999993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-4.7717842323651387E-2</v>
      </c>
      <c r="Q343">
        <f t="shared" si="970"/>
        <v>-433941.71719916951</v>
      </c>
      <c r="R343">
        <f t="shared" si="971"/>
        <v>-54355500.228708625</v>
      </c>
      <c r="S343">
        <f t="shared" si="972"/>
        <v>-543.55500228708627</v>
      </c>
      <c r="T343">
        <f t="shared" si="973"/>
        <v>-0.54355500228708631</v>
      </c>
    </row>
    <row r="344" spans="1:20" x14ac:dyDescent="0.25">
      <c r="A344" s="5">
        <v>44249</v>
      </c>
      <c r="B344">
        <v>0.312</v>
      </c>
      <c r="C344">
        <v>0.31490000000000001</v>
      </c>
      <c r="D344">
        <v>0.24079999999999999</v>
      </c>
      <c r="E344">
        <v>0.27500000000000002</v>
      </c>
      <c r="F344">
        <v>7629135.0499999998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-7.6923076923076289E-2</v>
      </c>
      <c r="Q344">
        <f t="shared" si="970"/>
        <v>-586856.54230768746</v>
      </c>
      <c r="R344">
        <f t="shared" si="971"/>
        <v>-53921558.511509456</v>
      </c>
      <c r="S344">
        <f t="shared" si="972"/>
        <v>-539.21558511509454</v>
      </c>
      <c r="T344">
        <f t="shared" si="973"/>
        <v>-0.53921558511509449</v>
      </c>
    </row>
    <row r="345" spans="1:20" x14ac:dyDescent="0.25">
      <c r="A345" s="5">
        <v>44248</v>
      </c>
      <c r="B345">
        <v>0.30769999999999997</v>
      </c>
      <c r="C345">
        <v>0.33689999999999998</v>
      </c>
      <c r="D345">
        <v>0.30070000000000002</v>
      </c>
      <c r="E345">
        <v>0.31209999999999999</v>
      </c>
      <c r="F345">
        <v>4093157.46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-0.3701657458563547</v>
      </c>
      <c r="Q345">
        <f t="shared" si="970"/>
        <v>-1515146.6840884024</v>
      </c>
      <c r="R345">
        <f t="shared" si="971"/>
        <v>-53334701.969201766</v>
      </c>
      <c r="S345">
        <f t="shared" si="972"/>
        <v>-533.34701969201762</v>
      </c>
      <c r="T345">
        <f t="shared" si="973"/>
        <v>-0.53334701969201759</v>
      </c>
    </row>
    <row r="346" spans="1:20" x14ac:dyDescent="0.25">
      <c r="A346" s="5">
        <v>44247</v>
      </c>
      <c r="B346">
        <v>0.35470000000000002</v>
      </c>
      <c r="C346">
        <v>0.36409999999999998</v>
      </c>
      <c r="D346">
        <v>0.30080000000000001</v>
      </c>
      <c r="E346">
        <v>0.30759999999999998</v>
      </c>
      <c r="F346">
        <v>10090519.119999999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-0.78515007898894229</v>
      </c>
      <c r="Q346">
        <f t="shared" si="970"/>
        <v>-7922571.8841074314</v>
      </c>
      <c r="R346">
        <f t="shared" si="971"/>
        <v>-51819555.285113364</v>
      </c>
      <c r="S346">
        <f t="shared" si="972"/>
        <v>-518.1955528511337</v>
      </c>
      <c r="T346">
        <f t="shared" si="973"/>
        <v>-0.51819555285113372</v>
      </c>
    </row>
    <row r="347" spans="1:20" x14ac:dyDescent="0.25">
      <c r="A347" s="5">
        <v>44246</v>
      </c>
      <c r="B347">
        <v>0.32800000000000001</v>
      </c>
      <c r="C347">
        <v>0.37</v>
      </c>
      <c r="D347">
        <v>0.32150000000000001</v>
      </c>
      <c r="E347">
        <v>0.3548</v>
      </c>
      <c r="F347">
        <v>7535463.9299999997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0.37319587628865997</v>
      </c>
      <c r="Q347">
        <f t="shared" si="970"/>
        <v>2812204.0645979391</v>
      </c>
      <c r="R347">
        <f t="shared" si="971"/>
        <v>-43896983.401005931</v>
      </c>
      <c r="S347">
        <f t="shared" si="972"/>
        <v>-438.96983401005929</v>
      </c>
      <c r="T347">
        <f t="shared" si="973"/>
        <v>-0.43896983401005929</v>
      </c>
    </row>
    <row r="348" spans="1:20" x14ac:dyDescent="0.25">
      <c r="A348" s="5">
        <v>44245</v>
      </c>
      <c r="B348">
        <v>0.30599999999999999</v>
      </c>
      <c r="C348">
        <v>0.34</v>
      </c>
      <c r="D348">
        <v>0.30449999999999999</v>
      </c>
      <c r="E348">
        <v>0.32800000000000001</v>
      </c>
      <c r="F348">
        <v>8398723.0700000003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0.323943661971831</v>
      </c>
      <c r="Q348">
        <f t="shared" si="970"/>
        <v>2720713.1071830988</v>
      </c>
      <c r="R348">
        <f t="shared" si="971"/>
        <v>-46709187.465603873</v>
      </c>
      <c r="S348">
        <f t="shared" si="972"/>
        <v>-467.09187465603873</v>
      </c>
      <c r="T348">
        <f t="shared" si="973"/>
        <v>-0.46709187465603874</v>
      </c>
    </row>
    <row r="349" spans="1:20" x14ac:dyDescent="0.25">
      <c r="A349" s="5">
        <v>44244</v>
      </c>
      <c r="B349">
        <v>0.28889999999999999</v>
      </c>
      <c r="C349">
        <v>0.32229999999999998</v>
      </c>
      <c r="D349">
        <v>0.28849999999999998</v>
      </c>
      <c r="E349">
        <v>0.30649999999999999</v>
      </c>
      <c r="F349">
        <v>5729413.0499999998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6.5088757396450758E-2</v>
      </c>
      <c r="Q349">
        <f t="shared" si="970"/>
        <v>372920.37603550899</v>
      </c>
      <c r="R349">
        <f t="shared" si="971"/>
        <v>-49429900.572786972</v>
      </c>
      <c r="S349">
        <f t="shared" si="972"/>
        <v>-494.29900572786971</v>
      </c>
      <c r="T349">
        <f t="shared" si="973"/>
        <v>-0.49429900572786972</v>
      </c>
    </row>
    <row r="350" spans="1:20" x14ac:dyDescent="0.25">
      <c r="A350" s="5">
        <v>44243</v>
      </c>
      <c r="B350">
        <v>0.28449999999999998</v>
      </c>
      <c r="C350">
        <v>0.309</v>
      </c>
      <c r="D350">
        <v>0.27800000000000002</v>
      </c>
      <c r="E350">
        <v>0.28889999999999999</v>
      </c>
      <c r="F350">
        <v>5010912.6500000004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-0.29677419354838869</v>
      </c>
      <c r="Q350">
        <f t="shared" si="970"/>
        <v>-1487109.5606451693</v>
      </c>
      <c r="R350">
        <f t="shared" si="971"/>
        <v>-49802820.948822483</v>
      </c>
      <c r="S350">
        <f t="shared" si="972"/>
        <v>-498.02820948822483</v>
      </c>
      <c r="T350">
        <f t="shared" si="973"/>
        <v>-0.49802820948822485</v>
      </c>
    </row>
    <row r="351" spans="1:20" x14ac:dyDescent="0.25">
      <c r="A351" s="5">
        <v>44242</v>
      </c>
      <c r="B351">
        <v>0.28399999999999997</v>
      </c>
      <c r="C351">
        <v>0.31819999999999998</v>
      </c>
      <c r="D351">
        <v>0.26979999999999998</v>
      </c>
      <c r="E351">
        <v>0.28370000000000001</v>
      </c>
      <c r="F351">
        <v>7972859.25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-0.42561983471074283</v>
      </c>
      <c r="Q351">
        <f t="shared" si="970"/>
        <v>-3393407.0361570171</v>
      </c>
      <c r="R351">
        <f t="shared" si="971"/>
        <v>-48315711.388177313</v>
      </c>
      <c r="S351">
        <f t="shared" si="972"/>
        <v>-483.15711388177311</v>
      </c>
      <c r="T351">
        <f t="shared" si="973"/>
        <v>-0.48315711388177313</v>
      </c>
    </row>
    <row r="352" spans="1:20" x14ac:dyDescent="0.25">
      <c r="A352" s="5">
        <v>44241</v>
      </c>
      <c r="B352">
        <v>0.32700000000000001</v>
      </c>
      <c r="C352">
        <v>0.33489999999999998</v>
      </c>
      <c r="D352">
        <v>0.27600000000000002</v>
      </c>
      <c r="E352">
        <v>0.28399999999999997</v>
      </c>
      <c r="F352">
        <v>12161595.220000001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-0.72835314091680958</v>
      </c>
      <c r="Q352">
        <f t="shared" si="970"/>
        <v>-8857936.0770458579</v>
      </c>
      <c r="R352">
        <f t="shared" si="971"/>
        <v>-44922304.352020293</v>
      </c>
      <c r="S352">
        <f t="shared" si="972"/>
        <v>-449.22304352020291</v>
      </c>
      <c r="T352">
        <f t="shared" si="973"/>
        <v>-0.44922304352020292</v>
      </c>
    </row>
    <row r="353" spans="1:20" x14ac:dyDescent="0.25">
      <c r="A353" s="5">
        <v>44240</v>
      </c>
      <c r="B353">
        <v>0.31969999999999998</v>
      </c>
      <c r="C353">
        <v>0.34</v>
      </c>
      <c r="D353">
        <v>0.30499999999999999</v>
      </c>
      <c r="E353">
        <v>0.32700000000000001</v>
      </c>
      <c r="F353">
        <v>10939937.6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0.25714285714285712</v>
      </c>
      <c r="Q353">
        <f t="shared" si="970"/>
        <v>2813126.8114285711</v>
      </c>
      <c r="R353">
        <f t="shared" si="971"/>
        <v>-36064368.274974436</v>
      </c>
      <c r="S353">
        <f t="shared" si="972"/>
        <v>-360.64368274974436</v>
      </c>
      <c r="T353">
        <f t="shared" si="973"/>
        <v>-0.36064368274974434</v>
      </c>
    </row>
    <row r="354" spans="1:20" x14ac:dyDescent="0.25">
      <c r="A354" s="5">
        <v>44239</v>
      </c>
      <c r="B354">
        <v>0.30170000000000002</v>
      </c>
      <c r="C354">
        <v>0.33500000000000002</v>
      </c>
      <c r="D354">
        <v>0.29299999999999998</v>
      </c>
      <c r="E354">
        <v>0.31940000000000002</v>
      </c>
      <c r="F354">
        <v>13390651.4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0.25714285714285767</v>
      </c>
      <c r="Q354">
        <f t="shared" si="970"/>
        <v>3443310.3600000073</v>
      </c>
      <c r="R354">
        <f t="shared" si="971"/>
        <v>-38877495.086403005</v>
      </c>
      <c r="S354">
        <f t="shared" si="972"/>
        <v>-388.77495086403007</v>
      </c>
      <c r="T354">
        <f t="shared" si="973"/>
        <v>-0.38877495086403008</v>
      </c>
    </row>
    <row r="355" spans="1:20" x14ac:dyDescent="0.25">
      <c r="A355" s="5">
        <v>44238</v>
      </c>
      <c r="B355">
        <v>0.26390000000000002</v>
      </c>
      <c r="C355">
        <v>0.31</v>
      </c>
      <c r="D355">
        <v>0.245</v>
      </c>
      <c r="E355">
        <v>0.30170000000000002</v>
      </c>
      <c r="F355">
        <v>14836862.85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0.74461538461538546</v>
      </c>
      <c r="Q355">
        <f t="shared" si="970"/>
        <v>11047756.337538473</v>
      </c>
      <c r="R355">
        <f t="shared" si="971"/>
        <v>-42320805.446403012</v>
      </c>
      <c r="S355">
        <f t="shared" si="972"/>
        <v>-423.20805446403011</v>
      </c>
      <c r="T355">
        <f t="shared" si="973"/>
        <v>-0.42320805446403009</v>
      </c>
    </row>
    <row r="356" spans="1:20" x14ac:dyDescent="0.25">
      <c r="A356" s="5">
        <v>44237</v>
      </c>
      <c r="B356">
        <v>0.2591</v>
      </c>
      <c r="C356">
        <v>0.29399999999999998</v>
      </c>
      <c r="D356">
        <v>0.24</v>
      </c>
      <c r="E356">
        <v>0.26590000000000003</v>
      </c>
      <c r="F356">
        <v>17392582.879999999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-4.0740740740739342E-2</v>
      </c>
      <c r="Q356">
        <f t="shared" si="970"/>
        <v>-708586.70992590161</v>
      </c>
      <c r="R356">
        <f t="shared" si="971"/>
        <v>-53368561.783941485</v>
      </c>
      <c r="S356">
        <f t="shared" si="972"/>
        <v>-533.68561783941482</v>
      </c>
      <c r="T356">
        <f t="shared" si="973"/>
        <v>-0.53368561783941482</v>
      </c>
    </row>
    <row r="357" spans="1:20" x14ac:dyDescent="0.25">
      <c r="A357" s="5">
        <v>44236</v>
      </c>
      <c r="B357">
        <v>0.25140000000000001</v>
      </c>
      <c r="C357">
        <v>0.27579999999999999</v>
      </c>
      <c r="D357">
        <v>0.24879999999999999</v>
      </c>
      <c r="E357">
        <v>0.25869999999999999</v>
      </c>
      <c r="F357">
        <v>14772773.74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-0.26666666666666716</v>
      </c>
      <c r="Q357">
        <f t="shared" si="970"/>
        <v>-3939406.3306666738</v>
      </c>
      <c r="R357">
        <f t="shared" si="971"/>
        <v>-52659975.07401558</v>
      </c>
      <c r="S357">
        <f t="shared" si="972"/>
        <v>-526.59975074015586</v>
      </c>
      <c r="T357">
        <f t="shared" si="973"/>
        <v>-0.52659975074015586</v>
      </c>
    </row>
    <row r="358" spans="1:20" x14ac:dyDescent="0.25">
      <c r="A358" s="5">
        <v>44235</v>
      </c>
      <c r="B358">
        <v>0.21659999999999999</v>
      </c>
      <c r="C358">
        <v>0.26519999999999999</v>
      </c>
      <c r="D358">
        <v>0.20860000000000001</v>
      </c>
      <c r="E358">
        <v>0.251</v>
      </c>
      <c r="F358">
        <v>21713768.030000001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0.49823321554770339</v>
      </c>
      <c r="Q358">
        <f t="shared" si="970"/>
        <v>10818520.467243822</v>
      </c>
      <c r="R358">
        <f t="shared" si="971"/>
        <v>-48720568.743348904</v>
      </c>
      <c r="S358">
        <f t="shared" si="972"/>
        <v>-487.20568743348906</v>
      </c>
      <c r="T358">
        <f t="shared" si="973"/>
        <v>-0.48720568743348908</v>
      </c>
    </row>
    <row r="359" spans="1:20" x14ac:dyDescent="0.25">
      <c r="A359" s="5">
        <v>44234</v>
      </c>
      <c r="B359">
        <v>0.23710000000000001</v>
      </c>
      <c r="C359">
        <v>0.28499999999999998</v>
      </c>
      <c r="D359">
        <v>0.20680000000000001</v>
      </c>
      <c r="E359">
        <v>0.215</v>
      </c>
      <c r="F359">
        <v>53100507.049999997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-0.79028132992327393</v>
      </c>
      <c r="Q359">
        <f t="shared" si="970"/>
        <v>-41964339.331074178</v>
      </c>
      <c r="R359">
        <f t="shared" si="971"/>
        <v>-59539089.210592724</v>
      </c>
      <c r="S359">
        <f t="shared" si="972"/>
        <v>-595.39089210592726</v>
      </c>
      <c r="T359">
        <f t="shared" si="973"/>
        <v>-0.59539089210592722</v>
      </c>
    </row>
    <row r="360" spans="1:20" x14ac:dyDescent="0.25">
      <c r="A360" s="5">
        <v>44233</v>
      </c>
      <c r="B360">
        <v>0.19220000000000001</v>
      </c>
      <c r="C360">
        <v>0.26640000000000003</v>
      </c>
      <c r="D360">
        <v>0.18859999999999999</v>
      </c>
      <c r="E360">
        <v>0.23710000000000001</v>
      </c>
      <c r="F360">
        <v>39923318.719999999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0.24678663239074533</v>
      </c>
      <c r="Q360">
        <f t="shared" si="970"/>
        <v>9852541.3807712011</v>
      </c>
      <c r="R360">
        <f t="shared" si="971"/>
        <v>-17574749.879518546</v>
      </c>
      <c r="S360">
        <f t="shared" si="972"/>
        <v>-175.74749879518546</v>
      </c>
      <c r="T360">
        <f t="shared" si="973"/>
        <v>-0.17574749879518548</v>
      </c>
    </row>
    <row r="361" spans="1:20" x14ac:dyDescent="0.25">
      <c r="A361" s="5">
        <v>44232</v>
      </c>
      <c r="B361">
        <v>0.18390000000000001</v>
      </c>
      <c r="C361">
        <v>0.19889999999999999</v>
      </c>
      <c r="D361">
        <v>0.182</v>
      </c>
      <c r="E361">
        <v>0.19209999999999999</v>
      </c>
      <c r="F361">
        <v>8864639.4600000009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0.19526627218934897</v>
      </c>
      <c r="Q361">
        <f t="shared" si="970"/>
        <v>1730965.1016568036</v>
      </c>
      <c r="R361">
        <f t="shared" si="971"/>
        <v>-27427291.260289747</v>
      </c>
      <c r="S361">
        <f t="shared" si="972"/>
        <v>-274.27291260289746</v>
      </c>
      <c r="T361">
        <f t="shared" si="973"/>
        <v>-0.27427291260289749</v>
      </c>
    </row>
    <row r="362" spans="1:20" x14ac:dyDescent="0.25">
      <c r="A362" s="5">
        <v>44231</v>
      </c>
      <c r="B362">
        <v>0.18509999999999999</v>
      </c>
      <c r="C362">
        <v>0.1946</v>
      </c>
      <c r="D362">
        <v>0.1729</v>
      </c>
      <c r="E362">
        <v>0.18360000000000001</v>
      </c>
      <c r="F362">
        <v>6767618.5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-1.3824884792625208E-2</v>
      </c>
      <c r="Q362">
        <f t="shared" si="970"/>
        <v>-93561.546082939021</v>
      </c>
      <c r="R362">
        <f t="shared" si="971"/>
        <v>-29158256.361946549</v>
      </c>
      <c r="S362">
        <f t="shared" si="972"/>
        <v>-291.58256361946547</v>
      </c>
      <c r="T362">
        <f t="shared" si="973"/>
        <v>-0.2915825636194655</v>
      </c>
    </row>
    <row r="363" spans="1:20" x14ac:dyDescent="0.25">
      <c r="A363" s="5">
        <v>44230</v>
      </c>
      <c r="B363">
        <v>0.1701</v>
      </c>
      <c r="C363">
        <v>0.191</v>
      </c>
      <c r="D363">
        <v>0.16919999999999999</v>
      </c>
      <c r="E363">
        <v>0.184</v>
      </c>
      <c r="F363">
        <v>8582167.3800000008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0.35779816513761453</v>
      </c>
      <c r="Q363">
        <f t="shared" si="970"/>
        <v>3070683.7414678889</v>
      </c>
      <c r="R363">
        <f t="shared" si="971"/>
        <v>-29064694.815863609</v>
      </c>
      <c r="S363">
        <f t="shared" si="972"/>
        <v>-290.64694815863612</v>
      </c>
      <c r="T363">
        <f t="shared" si="973"/>
        <v>-0.29064694815863612</v>
      </c>
    </row>
    <row r="364" spans="1:20" x14ac:dyDescent="0.25">
      <c r="A364" s="5">
        <v>44229</v>
      </c>
      <c r="B364">
        <v>0.16370000000000001</v>
      </c>
      <c r="C364">
        <v>0.17680000000000001</v>
      </c>
      <c r="D364">
        <v>0.16289999999999999</v>
      </c>
      <c r="E364">
        <v>0.1701</v>
      </c>
      <c r="F364">
        <v>3217004.66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3.5971223021582704E-2</v>
      </c>
      <c r="Q364">
        <f t="shared" si="970"/>
        <v>115719.59208633084</v>
      </c>
      <c r="R364">
        <f t="shared" si="971"/>
        <v>-32135378.557331499</v>
      </c>
      <c r="S364">
        <f t="shared" si="972"/>
        <v>-321.35378557331501</v>
      </c>
      <c r="T364">
        <f t="shared" si="973"/>
        <v>-0.32135378557331501</v>
      </c>
    </row>
    <row r="365" spans="1:20" x14ac:dyDescent="0.25">
      <c r="A365" s="5">
        <v>44228</v>
      </c>
      <c r="B365">
        <v>0.161</v>
      </c>
      <c r="C365">
        <v>0.1696</v>
      </c>
      <c r="D365">
        <v>0.1555</v>
      </c>
      <c r="E365">
        <v>0.16350000000000001</v>
      </c>
      <c r="F365">
        <v>2961256.34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0.13475177304964628</v>
      </c>
      <c r="Q365">
        <f t="shared" si="970"/>
        <v>399034.54226950614</v>
      </c>
      <c r="R365">
        <f t="shared" si="971"/>
        <v>-32251098.149417829</v>
      </c>
      <c r="S365">
        <f t="shared" si="972"/>
        <v>-322.51098149417828</v>
      </c>
      <c r="T365">
        <f t="shared" si="973"/>
        <v>-0.32251098149417828</v>
      </c>
    </row>
    <row r="366" spans="1:20" x14ac:dyDescent="0.25">
      <c r="A366" s="5">
        <v>44227</v>
      </c>
      <c r="B366">
        <v>0.1666</v>
      </c>
      <c r="C366">
        <v>0.1673</v>
      </c>
      <c r="D366">
        <v>0.15970000000000001</v>
      </c>
      <c r="E366">
        <v>0.16109999999999999</v>
      </c>
      <c r="F366">
        <v>1744893.54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-0.6315789473684249</v>
      </c>
      <c r="Q366">
        <f t="shared" si="970"/>
        <v>-1102038.0252631647</v>
      </c>
      <c r="R366">
        <f t="shared" si="971"/>
        <v>-32650132.691687334</v>
      </c>
      <c r="S366">
        <f t="shared" si="972"/>
        <v>-326.50132691687332</v>
      </c>
      <c r="T366">
        <f t="shared" si="973"/>
        <v>-0.32650132691687334</v>
      </c>
    </row>
    <row r="367" spans="1:20" x14ac:dyDescent="0.25">
      <c r="A367" s="5">
        <v>44226</v>
      </c>
      <c r="B367">
        <v>0.16350000000000001</v>
      </c>
      <c r="C367">
        <v>0.16930000000000001</v>
      </c>
      <c r="D367">
        <v>0.1603</v>
      </c>
      <c r="E367">
        <v>0.16669999999999999</v>
      </c>
      <c r="F367">
        <v>1856659.26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0.4222222222222185</v>
      </c>
      <c r="Q367">
        <f t="shared" si="970"/>
        <v>783922.79866665974</v>
      </c>
      <c r="R367">
        <f t="shared" si="971"/>
        <v>-31548094.66642417</v>
      </c>
      <c r="S367">
        <f t="shared" si="972"/>
        <v>-315.48094666424169</v>
      </c>
      <c r="T367">
        <f t="shared" si="973"/>
        <v>-0.3154809466642417</v>
      </c>
    </row>
    <row r="368" spans="1:20" x14ac:dyDescent="0.25">
      <c r="A368" s="5">
        <v>44225</v>
      </c>
      <c r="B368">
        <v>0.17180000000000001</v>
      </c>
      <c r="C368">
        <v>0.18149999999999999</v>
      </c>
      <c r="D368">
        <v>0.15629999999999999</v>
      </c>
      <c r="E368">
        <v>0.1636</v>
      </c>
      <c r="F368">
        <v>4919277.9800000004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-0.42063492063492058</v>
      </c>
      <c r="Q368">
        <f t="shared" si="970"/>
        <v>-2069220.1026984127</v>
      </c>
      <c r="R368">
        <f t="shared" si="971"/>
        <v>-32332017.46509083</v>
      </c>
      <c r="S368">
        <f t="shared" si="972"/>
        <v>-323.32017465090831</v>
      </c>
      <c r="T368">
        <f t="shared" si="973"/>
        <v>-0.32332017465090829</v>
      </c>
    </row>
    <row r="369" spans="1:20" x14ac:dyDescent="0.25">
      <c r="A369" s="5">
        <v>44224</v>
      </c>
      <c r="B369">
        <v>0.15090000000000001</v>
      </c>
      <c r="C369">
        <v>0.17860000000000001</v>
      </c>
      <c r="D369">
        <v>0.14810000000000001</v>
      </c>
      <c r="E369">
        <v>0.17169999999999999</v>
      </c>
      <c r="F369">
        <v>4492025.4400000004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0.54754098360655623</v>
      </c>
      <c r="Q369">
        <f t="shared" si="970"/>
        <v>2459568.0278032739</v>
      </c>
      <c r="R369">
        <f t="shared" si="971"/>
        <v>-30262797.362392418</v>
      </c>
      <c r="S369">
        <f t="shared" si="972"/>
        <v>-302.62797362392416</v>
      </c>
      <c r="T369">
        <f t="shared" si="973"/>
        <v>-0.30262797362392418</v>
      </c>
    </row>
    <row r="370" spans="1:20" x14ac:dyDescent="0.25">
      <c r="A370" s="5">
        <v>44223</v>
      </c>
      <c r="B370">
        <v>0.1603</v>
      </c>
      <c r="C370">
        <v>0.1633</v>
      </c>
      <c r="D370">
        <v>0.14649999999999999</v>
      </c>
      <c r="E370">
        <v>0.15079999999999999</v>
      </c>
      <c r="F370">
        <v>1694197.85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-0.48809523809523858</v>
      </c>
      <c r="Q370">
        <f t="shared" si="970"/>
        <v>-826929.90297619137</v>
      </c>
      <c r="R370">
        <f t="shared" si="971"/>
        <v>-32722365.39019569</v>
      </c>
      <c r="S370">
        <f t="shared" si="972"/>
        <v>-327.22365390195688</v>
      </c>
      <c r="T370">
        <f t="shared" si="973"/>
        <v>-0.3272236539019569</v>
      </c>
    </row>
    <row r="371" spans="1:20" x14ac:dyDescent="0.25">
      <c r="A371" s="5">
        <v>44222</v>
      </c>
      <c r="B371">
        <v>0.16400000000000001</v>
      </c>
      <c r="C371">
        <v>0.16639999999999999</v>
      </c>
      <c r="D371">
        <v>0.15160000000000001</v>
      </c>
      <c r="E371">
        <v>0.16009999999999999</v>
      </c>
      <c r="F371">
        <v>3402645.93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0.14864864864864749</v>
      </c>
      <c r="Q371">
        <f t="shared" si="970"/>
        <v>505798.71932432044</v>
      </c>
      <c r="R371">
        <f t="shared" si="971"/>
        <v>-31895435.487219498</v>
      </c>
      <c r="S371">
        <f t="shared" si="972"/>
        <v>-318.95435487219498</v>
      </c>
      <c r="T371">
        <f t="shared" si="973"/>
        <v>-0.31895435487219498</v>
      </c>
    </row>
    <row r="372" spans="1:20" x14ac:dyDescent="0.25">
      <c r="A372" s="5">
        <v>44221</v>
      </c>
      <c r="B372">
        <v>0.16239999999999999</v>
      </c>
      <c r="C372">
        <v>0.18079999999999999</v>
      </c>
      <c r="D372">
        <v>0.16239999999999999</v>
      </c>
      <c r="E372">
        <v>0.16400000000000001</v>
      </c>
      <c r="F372">
        <v>3207242.61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-0.82608695652173714</v>
      </c>
      <c r="Q372">
        <f t="shared" si="970"/>
        <v>-2649461.2865217328</v>
      </c>
      <c r="R372">
        <f t="shared" si="971"/>
        <v>-32401234.206543818</v>
      </c>
      <c r="S372">
        <f t="shared" si="972"/>
        <v>-324.01234206543819</v>
      </c>
      <c r="T372">
        <f t="shared" si="973"/>
        <v>-0.32401234206543816</v>
      </c>
    </row>
    <row r="373" spans="1:20" x14ac:dyDescent="0.25">
      <c r="A373" s="5">
        <v>44220</v>
      </c>
      <c r="B373">
        <v>0.16700000000000001</v>
      </c>
      <c r="C373">
        <v>0.1716</v>
      </c>
      <c r="D373">
        <v>0.12690000000000001</v>
      </c>
      <c r="E373">
        <v>0.1636</v>
      </c>
      <c r="F373">
        <v>3093122.76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0.64205816554809803</v>
      </c>
      <c r="Q373">
        <f t="shared" si="970"/>
        <v>1985964.7251006698</v>
      </c>
      <c r="R373">
        <f t="shared" si="971"/>
        <v>-29751772.920022085</v>
      </c>
      <c r="S373">
        <f t="shared" si="972"/>
        <v>-297.51772920022086</v>
      </c>
      <c r="T373">
        <f t="shared" si="973"/>
        <v>-0.29751772920022085</v>
      </c>
    </row>
    <row r="374" spans="1:20" x14ac:dyDescent="0.25">
      <c r="A374" s="5">
        <v>44219</v>
      </c>
      <c r="B374">
        <v>0.16569999999999999</v>
      </c>
      <c r="C374">
        <v>0.17449999999999999</v>
      </c>
      <c r="D374">
        <v>0.16300000000000001</v>
      </c>
      <c r="E374">
        <v>0.16750000000000001</v>
      </c>
      <c r="F374">
        <v>2589940.67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-0.21739130434782419</v>
      </c>
      <c r="Q374">
        <f t="shared" si="970"/>
        <v>-563030.58043477766</v>
      </c>
      <c r="R374">
        <f t="shared" si="971"/>
        <v>-31737737.645122755</v>
      </c>
      <c r="S374">
        <f t="shared" si="972"/>
        <v>-317.37737645122758</v>
      </c>
      <c r="T374">
        <f t="shared" si="973"/>
        <v>-0.3173773764512276</v>
      </c>
    </row>
    <row r="375" spans="1:20" x14ac:dyDescent="0.25">
      <c r="A375" s="5">
        <v>44218</v>
      </c>
      <c r="B375">
        <v>0.15859999999999999</v>
      </c>
      <c r="C375">
        <v>0.17399999999999999</v>
      </c>
      <c r="D375">
        <v>0.14580000000000001</v>
      </c>
      <c r="E375">
        <v>0.1658</v>
      </c>
      <c r="F375">
        <v>3634634.28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0.41843971631205729</v>
      </c>
      <c r="Q375">
        <f t="shared" si="970"/>
        <v>1520875.3370212785</v>
      </c>
      <c r="R375">
        <f t="shared" si="971"/>
        <v>-31174707.064687978</v>
      </c>
      <c r="S375">
        <f t="shared" si="972"/>
        <v>-311.74707064687976</v>
      </c>
      <c r="T375">
        <f t="shared" si="973"/>
        <v>-0.31174707064687979</v>
      </c>
    </row>
    <row r="376" spans="1:20" x14ac:dyDescent="0.25">
      <c r="A376" s="5">
        <v>44217</v>
      </c>
      <c r="B376">
        <v>0.18190000000000001</v>
      </c>
      <c r="C376">
        <v>0.18310000000000001</v>
      </c>
      <c r="D376">
        <v>0.15820000000000001</v>
      </c>
      <c r="E376">
        <v>0.15939999999999999</v>
      </c>
      <c r="F376">
        <v>3575366.37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-0.90361445783132699</v>
      </c>
      <c r="Q376">
        <f t="shared" si="970"/>
        <v>-3230752.7439759099</v>
      </c>
      <c r="R376">
        <f t="shared" si="971"/>
        <v>-32695582.401709259</v>
      </c>
      <c r="S376">
        <f t="shared" si="972"/>
        <v>-326.9558240170926</v>
      </c>
      <c r="T376">
        <f t="shared" si="973"/>
        <v>-0.32695582401709261</v>
      </c>
    </row>
    <row r="377" spans="1:20" x14ac:dyDescent="0.25">
      <c r="A377" s="5">
        <v>44216</v>
      </c>
      <c r="B377">
        <v>0.182</v>
      </c>
      <c r="C377">
        <v>0.18759999999999999</v>
      </c>
      <c r="D377">
        <v>0.1741</v>
      </c>
      <c r="E377">
        <v>0.18099999999999999</v>
      </c>
      <c r="F377">
        <v>2804863.64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2.2222222222221855E-2</v>
      </c>
      <c r="Q377">
        <f t="shared" si="970"/>
        <v>62330.303111110086</v>
      </c>
      <c r="R377">
        <f t="shared" si="971"/>
        <v>-29464829.657733347</v>
      </c>
      <c r="S377">
        <f t="shared" si="972"/>
        <v>-294.6482965773335</v>
      </c>
      <c r="T377">
        <f t="shared" si="973"/>
        <v>-0.29464829657733349</v>
      </c>
    </row>
    <row r="378" spans="1:20" x14ac:dyDescent="0.25">
      <c r="A378" s="5">
        <v>44215</v>
      </c>
      <c r="B378">
        <v>0.19650000000000001</v>
      </c>
      <c r="C378">
        <v>0.20949999999999999</v>
      </c>
      <c r="D378">
        <v>0.17610000000000001</v>
      </c>
      <c r="E378">
        <v>0.182</v>
      </c>
      <c r="F378">
        <v>6323423.8899999997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-0.64670658682634785</v>
      </c>
      <c r="Q378">
        <f t="shared" si="970"/>
        <v>-4089399.8809580873</v>
      </c>
      <c r="R378">
        <f t="shared" si="971"/>
        <v>-29527159.960844457</v>
      </c>
      <c r="S378">
        <f t="shared" si="972"/>
        <v>-295.27159960844455</v>
      </c>
      <c r="T378">
        <f t="shared" si="973"/>
        <v>-0.29527159960844457</v>
      </c>
    </row>
    <row r="379" spans="1:20" x14ac:dyDescent="0.25">
      <c r="A379" s="5">
        <v>44214</v>
      </c>
      <c r="B379">
        <v>0.18429999999999999</v>
      </c>
      <c r="C379">
        <v>0.20749999999999999</v>
      </c>
      <c r="D379">
        <v>0.17849999999999999</v>
      </c>
      <c r="E379">
        <v>0.1966</v>
      </c>
      <c r="F379">
        <v>7803965.2800000003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0.24827586206896596</v>
      </c>
      <c r="Q379">
        <f t="shared" si="970"/>
        <v>1937536.2074482793</v>
      </c>
      <c r="R379">
        <f t="shared" si="971"/>
        <v>-25437760.079886369</v>
      </c>
      <c r="S379">
        <f t="shared" si="972"/>
        <v>-254.37760079886368</v>
      </c>
      <c r="T379">
        <f t="shared" si="973"/>
        <v>-0.25437760079886368</v>
      </c>
    </row>
    <row r="380" spans="1:20" x14ac:dyDescent="0.25">
      <c r="A380" s="5">
        <v>44213</v>
      </c>
      <c r="B380">
        <v>0.1956</v>
      </c>
      <c r="C380">
        <v>0.19850000000000001</v>
      </c>
      <c r="D380">
        <v>0.1691</v>
      </c>
      <c r="E380">
        <v>0.18410000000000001</v>
      </c>
      <c r="F380">
        <v>8867777.1899999995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2.04081632653067E-2</v>
      </c>
      <c r="Q380">
        <f t="shared" si="970"/>
        <v>180975.04469388266</v>
      </c>
      <c r="R380">
        <f t="shared" si="971"/>
        <v>-27375296.287334647</v>
      </c>
      <c r="S380">
        <f t="shared" si="972"/>
        <v>-273.75296287334646</v>
      </c>
      <c r="T380">
        <f t="shared" si="973"/>
        <v>-0.27375296287334644</v>
      </c>
    </row>
    <row r="381" spans="1:20" x14ac:dyDescent="0.25">
      <c r="A381" s="5">
        <v>44212</v>
      </c>
      <c r="B381">
        <v>0.20119999999999999</v>
      </c>
      <c r="C381">
        <v>0.2195</v>
      </c>
      <c r="D381">
        <v>0.1867</v>
      </c>
      <c r="E381">
        <v>0.19550000000000001</v>
      </c>
      <c r="F381">
        <v>7801789.79</v>
      </c>
      <c r="G381">
        <v>0</v>
      </c>
      <c r="L381" t="s">
        <v>7</v>
      </c>
      <c r="M381" t="s">
        <v>7</v>
      </c>
      <c r="N381" t="s">
        <v>8</v>
      </c>
      <c r="P381">
        <f t="shared" si="969"/>
        <v>-0.46341463414634126</v>
      </c>
      <c r="Q381">
        <f t="shared" si="970"/>
        <v>-3615463.5612195106</v>
      </c>
      <c r="R381">
        <f t="shared" si="971"/>
        <v>-27556271.332028531</v>
      </c>
      <c r="S381">
        <f t="shared" si="972"/>
        <v>-275.5627133202853</v>
      </c>
      <c r="T381">
        <f t="shared" si="973"/>
        <v>-0.27556271332028531</v>
      </c>
    </row>
    <row r="382" spans="1:20" x14ac:dyDescent="0.25">
      <c r="A382" s="5">
        <v>44211</v>
      </c>
      <c r="B382">
        <v>0.23400000000000001</v>
      </c>
      <c r="C382">
        <v>0.26</v>
      </c>
      <c r="D382">
        <v>0.18190000000000001</v>
      </c>
      <c r="E382">
        <v>0.20119999999999999</v>
      </c>
      <c r="F382">
        <v>20145216.420000002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-0.50576184379001321</v>
      </c>
      <c r="Q382">
        <f t="shared" si="970"/>
        <v>-10188681.80012805</v>
      </c>
      <c r="R382">
        <f t="shared" si="971"/>
        <v>-23940807.770809021</v>
      </c>
      <c r="S382">
        <f t="shared" si="972"/>
        <v>-239.40807770809022</v>
      </c>
      <c r="T382">
        <f t="shared" si="973"/>
        <v>-0.23940807770809022</v>
      </c>
    </row>
    <row r="383" spans="1:20" x14ac:dyDescent="0.25">
      <c r="A383" s="5">
        <v>44210</v>
      </c>
      <c r="B383">
        <v>0.17710000000000001</v>
      </c>
      <c r="C383">
        <v>0.24540000000000001</v>
      </c>
      <c r="D383">
        <v>0.1726</v>
      </c>
      <c r="E383">
        <v>0.23330000000000001</v>
      </c>
      <c r="F383">
        <v>21778405.789999999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0.66758241758241765</v>
      </c>
      <c r="Q383">
        <f t="shared" si="970"/>
        <v>14538880.788379122</v>
      </c>
      <c r="R383">
        <f t="shared" si="971"/>
        <v>-13752125.970680971</v>
      </c>
      <c r="S383">
        <f t="shared" si="972"/>
        <v>-137.5212597068097</v>
      </c>
      <c r="T383">
        <f t="shared" si="973"/>
        <v>-0.1375212597068097</v>
      </c>
    </row>
    <row r="384" spans="1:20" x14ac:dyDescent="0.25">
      <c r="A384" s="5">
        <v>44209</v>
      </c>
      <c r="B384">
        <v>0.16489999999999999</v>
      </c>
      <c r="C384">
        <v>0.19</v>
      </c>
      <c r="D384">
        <v>0.156</v>
      </c>
      <c r="E384">
        <v>0.1772</v>
      </c>
      <c r="F384">
        <v>7622950.1799999997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0.24705882352941147</v>
      </c>
      <c r="Q384">
        <f t="shared" si="970"/>
        <v>1883317.1032941153</v>
      </c>
      <c r="R384">
        <f t="shared" si="971"/>
        <v>-28291006.759060092</v>
      </c>
      <c r="S384">
        <f t="shared" si="972"/>
        <v>-282.91006759060093</v>
      </c>
      <c r="T384">
        <f t="shared" si="973"/>
        <v>-0.28291006759060094</v>
      </c>
    </row>
    <row r="385" spans="1:20" x14ac:dyDescent="0.25">
      <c r="A385" s="5">
        <v>44208</v>
      </c>
      <c r="B385">
        <v>0.155</v>
      </c>
      <c r="C385">
        <v>0.1779</v>
      </c>
      <c r="D385">
        <v>0.14749999999999999</v>
      </c>
      <c r="E385">
        <v>0.1648</v>
      </c>
      <c r="F385">
        <v>5393541.1500000004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0.13815789473684237</v>
      </c>
      <c r="Q385">
        <f t="shared" si="970"/>
        <v>745160.29046052776</v>
      </c>
      <c r="R385">
        <f t="shared" si="971"/>
        <v>-30174323.862354208</v>
      </c>
      <c r="S385">
        <f t="shared" si="972"/>
        <v>-301.74323862354208</v>
      </c>
      <c r="T385">
        <f t="shared" si="973"/>
        <v>-0.30174323862354208</v>
      </c>
    </row>
    <row r="386" spans="1:20" x14ac:dyDescent="0.25">
      <c r="A386" s="5">
        <v>44207</v>
      </c>
      <c r="B386">
        <v>0.18559999999999999</v>
      </c>
      <c r="C386">
        <v>0.1857</v>
      </c>
      <c r="D386">
        <v>0.1323</v>
      </c>
      <c r="E386">
        <v>0.15509999999999999</v>
      </c>
      <c r="F386">
        <v>7150911.3099999996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-0.14606741573033763</v>
      </c>
      <c r="Q386">
        <f t="shared" si="970"/>
        <v>-1044515.1351685432</v>
      </c>
      <c r="R386">
        <f t="shared" si="971"/>
        <v>-30919484.152814735</v>
      </c>
      <c r="S386">
        <f t="shared" si="972"/>
        <v>-309.19484152814732</v>
      </c>
      <c r="T386">
        <f t="shared" si="973"/>
        <v>-0.3091948415281473</v>
      </c>
    </row>
    <row r="387" spans="1:20" x14ac:dyDescent="0.25">
      <c r="A387" s="5">
        <v>44206</v>
      </c>
      <c r="B387">
        <v>0.18940000000000001</v>
      </c>
      <c r="C387">
        <v>0.19939999999999999</v>
      </c>
      <c r="D387">
        <v>0.16200000000000001</v>
      </c>
      <c r="E387">
        <v>0.18940000000000001</v>
      </c>
      <c r="F387">
        <v>12453590.77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0.46524064171123081</v>
      </c>
      <c r="Q387">
        <f t="shared" si="970"/>
        <v>5793916.5614438606</v>
      </c>
      <c r="R387">
        <f t="shared" si="971"/>
        <v>-29874969.01764619</v>
      </c>
      <c r="S387">
        <f t="shared" si="972"/>
        <v>-298.74969017646191</v>
      </c>
      <c r="T387">
        <f t="shared" si="973"/>
        <v>-0.29874969017646191</v>
      </c>
    </row>
    <row r="388" spans="1:20" x14ac:dyDescent="0.25">
      <c r="A388" s="5">
        <v>44205</v>
      </c>
      <c r="B388">
        <v>0.1825</v>
      </c>
      <c r="C388">
        <v>0.2142</v>
      </c>
      <c r="D388">
        <v>0.16769999999999999</v>
      </c>
      <c r="E388">
        <v>0.18909999999999999</v>
      </c>
      <c r="F388">
        <v>13372480.02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-7.956989247311845E-2</v>
      </c>
      <c r="Q388">
        <f t="shared" si="970"/>
        <v>-1064046.7972903249</v>
      </c>
      <c r="R388">
        <f t="shared" si="971"/>
        <v>-35668885.579090051</v>
      </c>
      <c r="S388">
        <f t="shared" si="972"/>
        <v>-356.6888557909005</v>
      </c>
      <c r="T388">
        <f t="shared" si="973"/>
        <v>-0.35668885579090048</v>
      </c>
    </row>
    <row r="389" spans="1:20" x14ac:dyDescent="0.25">
      <c r="A389" s="5">
        <v>44204</v>
      </c>
      <c r="B389">
        <v>0.2031</v>
      </c>
      <c r="C389">
        <v>0.23899999999999999</v>
      </c>
      <c r="D389">
        <v>0.14399999999999999</v>
      </c>
      <c r="E389">
        <v>0.18440000000000001</v>
      </c>
      <c r="F389">
        <v>34163946.859999999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-0.14947368421052593</v>
      </c>
      <c r="Q389">
        <f t="shared" si="970"/>
        <v>-5106611.0043368284</v>
      </c>
      <c r="R389">
        <f t="shared" si="971"/>
        <v>-34604838.781799726</v>
      </c>
      <c r="S389">
        <f t="shared" si="972"/>
        <v>-346.04838781799725</v>
      </c>
      <c r="T389">
        <f t="shared" si="973"/>
        <v>-0.34604838781799724</v>
      </c>
    </row>
    <row r="390" spans="1:20" x14ac:dyDescent="0.25">
      <c r="A390" s="5">
        <v>44203</v>
      </c>
      <c r="B390">
        <v>0.19359999999999999</v>
      </c>
      <c r="C390">
        <v>0.5</v>
      </c>
      <c r="D390">
        <v>0.1429</v>
      </c>
      <c r="E390">
        <v>0.20050000000000001</v>
      </c>
      <c r="F390">
        <v>43546164.280000001</v>
      </c>
      <c r="G390">
        <v>0</v>
      </c>
      <c r="P390">
        <f t="shared" ref="P390:P453" si="974">IF(C390=D390,0,((E390-D390)-(C390-E390))/(C390-D390))</f>
        <v>-0.67740128815457856</v>
      </c>
      <c r="Q390">
        <f t="shared" ref="Q390:Q453" si="975">F390*P390</f>
        <v>-29498227.777462896</v>
      </c>
      <c r="R390">
        <f t="shared" ref="R390:R453" si="976">R391+Q390</f>
        <v>-29498227.777462896</v>
      </c>
      <c r="S390">
        <f t="shared" ref="S390:S453" si="977">R390/100000</f>
        <v>-294.98227777462898</v>
      </c>
      <c r="T390">
        <f t="shared" ref="T390:T453" si="978">S390/1000</f>
        <v>-0.29498227777462899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J696" sqref="FJ69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$A$695</v>
      </c>
      <c r="D111" s="1" t="str">
        <f>ADDRESS(C121-1,D121,1,1)</f>
        <v>$FJ$695</v>
      </c>
      <c r="E111"/>
    </row>
    <row r="112" spans="1:5" x14ac:dyDescent="0.25">
      <c r="A112" s="7">
        <v>12164.144957890772</v>
      </c>
      <c r="C112" s="1" t="str">
        <f>ADDRESS(C121,1,1,1)</f>
        <v>$A$696</v>
      </c>
      <c r="D112" s="1" t="str">
        <f>ADDRESS(C121,D121-1,1,1)</f>
        <v>$FI$696</v>
      </c>
      <c r="E112"/>
    </row>
    <row r="113" spans="1:5" x14ac:dyDescent="0.25">
      <c r="A113" s="7">
        <v>11925.63231165762</v>
      </c>
      <c r="C113" s="1" t="str">
        <f>ADDRESS(C121+1,1,1,1)</f>
        <v>$A$697</v>
      </c>
      <c r="D113" s="1" t="str">
        <f>ADDRESS(C121-1,D121+1,1,1)</f>
        <v>$FK$695</v>
      </c>
    </row>
    <row r="114" spans="1:5" x14ac:dyDescent="0.25">
      <c r="A114" s="7">
        <v>11691.796383978059</v>
      </c>
      <c r="C114" s="1" t="str">
        <f>ADDRESS(C121,D121,1,1)</f>
        <v>$FJ$696</v>
      </c>
      <c r="D114" s="1" t="str">
        <f>ADDRESS(C121+1,D121+1,1,1)</f>
        <v>$FK$697</v>
      </c>
    </row>
    <row r="115" spans="1:5" x14ac:dyDescent="0.25">
      <c r="A115" s="7">
        <v>11462.545474488292</v>
      </c>
      <c r="C115" s="1" t="str">
        <f>ADDRESS(C121+1,D121,1,1)</f>
        <v>$FJ$697</v>
      </c>
    </row>
    <row r="116" spans="1:5" x14ac:dyDescent="0.25">
      <c r="A116" s="7">
        <v>11237.789680870874</v>
      </c>
      <c r="C116" s="1">
        <f>C117-1</f>
        <v>695</v>
      </c>
    </row>
    <row r="117" spans="1:5" x14ac:dyDescent="0.25">
      <c r="A117" s="7">
        <v>11017.440863598895</v>
      </c>
      <c r="C117" s="1">
        <f>C121</f>
        <v>696</v>
      </c>
      <c r="D117" s="1">
        <f>D121</f>
        <v>166</v>
      </c>
    </row>
    <row r="118" spans="1:5" x14ac:dyDescent="0.25">
      <c r="A118" s="7">
        <v>10801.412611371465</v>
      </c>
      <c r="C118" s="1">
        <f>C117+1</f>
        <v>697</v>
      </c>
      <c r="D118" s="1">
        <f>D117+1</f>
        <v>167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696</v>
      </c>
      <c r="D121" s="19">
        <v>166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R696</v>
      </c>
      <c r="D123" s="1" t="str">
        <f>"C"&amp;D121</f>
        <v>C166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0.11549981216674166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5" x14ac:dyDescent="0.25">
      <c r="A625" s="7">
        <v>0.47118718795871994</v>
      </c>
      <c r="B625"/>
      <c r="C625"/>
      <c r="D625"/>
      <c r="E625"/>
      <c r="F625" s="27" t="s">
        <v>7</v>
      </c>
    </row>
    <row r="626" spans="1:65" x14ac:dyDescent="0.25">
      <c r="A626" s="7">
        <v>0.46194822348894116</v>
      </c>
      <c r="B626"/>
      <c r="C626"/>
      <c r="D626"/>
      <c r="E626"/>
      <c r="F626" s="27" t="s">
        <v>7</v>
      </c>
    </row>
    <row r="627" spans="1:65" x14ac:dyDescent="0.25">
      <c r="A627" s="7">
        <v>0.45289041518523643</v>
      </c>
      <c r="B627"/>
      <c r="C627"/>
      <c r="D627"/>
      <c r="E627"/>
      <c r="F627" s="27" t="s">
        <v>7</v>
      </c>
      <c r="AY627" s="27" t="s">
        <v>8</v>
      </c>
    </row>
    <row r="628" spans="1:65" x14ac:dyDescent="0.25">
      <c r="A628" s="7">
        <v>0.44401021096591808</v>
      </c>
      <c r="B628"/>
      <c r="C628"/>
      <c r="D628"/>
      <c r="E628"/>
      <c r="F628" s="27" t="s">
        <v>7</v>
      </c>
      <c r="AY628" s="27" t="s">
        <v>8</v>
      </c>
      <c r="AZ628" s="27" t="s">
        <v>7</v>
      </c>
    </row>
    <row r="629" spans="1:65" x14ac:dyDescent="0.25">
      <c r="A629" s="7">
        <v>0.4353041283979589</v>
      </c>
      <c r="B629"/>
      <c r="C629"/>
      <c r="D629"/>
      <c r="E629"/>
      <c r="F629" s="27" t="s">
        <v>7</v>
      </c>
      <c r="AY629" s="27" t="s">
        <v>8</v>
      </c>
      <c r="AZ629" s="27" t="s">
        <v>7</v>
      </c>
    </row>
    <row r="630" spans="1:65" x14ac:dyDescent="0.25">
      <c r="A630" s="7">
        <v>0.4267687533313323</v>
      </c>
      <c r="B630"/>
      <c r="C630"/>
      <c r="D630"/>
      <c r="E630"/>
      <c r="F630" s="27" t="s">
        <v>7</v>
      </c>
      <c r="AY630" s="27" t="s">
        <v>8</v>
      </c>
      <c r="AZ630" s="27" t="s">
        <v>7</v>
      </c>
    </row>
    <row r="631" spans="1:65" x14ac:dyDescent="0.25">
      <c r="A631" s="7">
        <v>0.41840073856012971</v>
      </c>
      <c r="B631"/>
      <c r="C631"/>
      <c r="D631"/>
      <c r="E631"/>
      <c r="F631" s="27" t="s">
        <v>7</v>
      </c>
      <c r="AY631" s="27" t="s">
        <v>8</v>
      </c>
      <c r="AZ631" s="27" t="s">
        <v>7</v>
      </c>
    </row>
    <row r="632" spans="1:65" x14ac:dyDescent="0.25">
      <c r="A632" s="7">
        <v>0.41019680250993112</v>
      </c>
      <c r="B632"/>
      <c r="C632"/>
      <c r="D632"/>
      <c r="E632"/>
      <c r="F632" s="27" t="s">
        <v>7</v>
      </c>
      <c r="AW632" s="27" t="s">
        <v>8</v>
      </c>
      <c r="AY632" s="27" t="s">
        <v>8</v>
      </c>
      <c r="AZ632" s="27" t="s">
        <v>7</v>
      </c>
    </row>
    <row r="633" spans="1:65" x14ac:dyDescent="0.25">
      <c r="A633" s="7">
        <v>0.40215372795091286</v>
      </c>
      <c r="B633"/>
      <c r="C633"/>
      <c r="D633"/>
      <c r="E633"/>
      <c r="F633" s="27" t="s">
        <v>7</v>
      </c>
      <c r="AW633" s="27" t="s">
        <v>8</v>
      </c>
      <c r="AX633" s="27" t="s">
        <v>7</v>
      </c>
      <c r="AY633" s="27" t="s">
        <v>8</v>
      </c>
      <c r="AZ633" s="27" t="s">
        <v>7</v>
      </c>
    </row>
    <row r="634" spans="1:65" x14ac:dyDescent="0.25">
      <c r="A634" s="7">
        <v>0.39426836073618904</v>
      </c>
      <c r="B634"/>
      <c r="C634"/>
      <c r="D634"/>
      <c r="E634"/>
      <c r="F634" s="27" t="s">
        <v>7</v>
      </c>
      <c r="AW634" s="27" t="s">
        <v>8</v>
      </c>
      <c r="AX634" s="27" t="s">
        <v>7</v>
      </c>
      <c r="AY634" s="27" t="s">
        <v>8</v>
      </c>
      <c r="AZ634" s="27" t="s">
        <v>7</v>
      </c>
      <c r="BA634" s="27" t="s">
        <v>8</v>
      </c>
      <c r="BC634" s="27" t="s">
        <v>8</v>
      </c>
    </row>
    <row r="635" spans="1:65" x14ac:dyDescent="0.25">
      <c r="A635" s="7">
        <v>0.38653760856489122</v>
      </c>
      <c r="B635"/>
      <c r="C635"/>
      <c r="D635"/>
      <c r="E635"/>
      <c r="F635" s="27" t="s">
        <v>7</v>
      </c>
      <c r="AW635" s="27" t="s">
        <v>8</v>
      </c>
      <c r="AX635" s="27" t="s">
        <v>7</v>
      </c>
      <c r="AY635" s="27" t="s">
        <v>8</v>
      </c>
      <c r="AZ635" s="27" t="s">
        <v>7</v>
      </c>
      <c r="BA635" s="27" t="s">
        <v>8</v>
      </c>
      <c r="BB635" s="27" t="s">
        <v>7</v>
      </c>
      <c r="BC635" s="27" t="s">
        <v>8</v>
      </c>
      <c r="BD635" s="27" t="s">
        <v>7</v>
      </c>
    </row>
    <row r="636" spans="1:65" x14ac:dyDescent="0.25">
      <c r="A636" s="7">
        <v>0.37895843976950117</v>
      </c>
      <c r="B636"/>
      <c r="C636"/>
      <c r="D636"/>
      <c r="E636"/>
      <c r="F636" s="27" t="s">
        <v>7</v>
      </c>
      <c r="AW636" s="27" t="s">
        <v>8</v>
      </c>
      <c r="AX636" s="27" t="s">
        <v>7</v>
      </c>
      <c r="AY636" s="27" t="s">
        <v>8</v>
      </c>
      <c r="AZ636" s="27" t="s">
        <v>7</v>
      </c>
      <c r="BA636" s="27" t="s">
        <v>8</v>
      </c>
      <c r="BB636" s="27" t="s">
        <v>7</v>
      </c>
      <c r="BC636" s="27" t="s">
        <v>8</v>
      </c>
      <c r="BD636" s="27" t="s">
        <v>7</v>
      </c>
      <c r="BK636" s="27" t="s">
        <v>8</v>
      </c>
    </row>
    <row r="637" spans="1:65" x14ac:dyDescent="0.25">
      <c r="A637" s="7">
        <v>0.37152788212696197</v>
      </c>
      <c r="B637"/>
      <c r="C637"/>
      <c r="D637"/>
      <c r="E637"/>
      <c r="F637" s="27" t="s">
        <v>7</v>
      </c>
      <c r="AU637" s="27" t="s">
        <v>8</v>
      </c>
      <c r="AW637" s="27" t="s">
        <v>8</v>
      </c>
      <c r="AX637" s="27" t="s">
        <v>7</v>
      </c>
      <c r="AY637" s="27" t="s">
        <v>8</v>
      </c>
      <c r="AZ637" s="27" t="s">
        <v>7</v>
      </c>
      <c r="BA637" s="27" t="s">
        <v>8</v>
      </c>
      <c r="BB637" s="27" t="s">
        <v>7</v>
      </c>
      <c r="BC637" s="27" t="s">
        <v>8</v>
      </c>
      <c r="BD637" s="27" t="s">
        <v>7</v>
      </c>
      <c r="BK637" s="27" t="s">
        <v>8</v>
      </c>
      <c r="BL637" s="27" t="s">
        <v>7</v>
      </c>
    </row>
    <row r="638" spans="1:65" x14ac:dyDescent="0.25">
      <c r="A638" s="7">
        <v>0.36424302169310002</v>
      </c>
      <c r="B638"/>
      <c r="C638"/>
      <c r="D638"/>
      <c r="E638"/>
      <c r="F638" s="27" t="s">
        <v>7</v>
      </c>
      <c r="Y638" s="27" t="s">
        <v>8</v>
      </c>
      <c r="AO638" s="27" t="s">
        <v>8</v>
      </c>
      <c r="AU638" s="27" t="s">
        <v>8</v>
      </c>
      <c r="AV638" s="27" t="s">
        <v>7</v>
      </c>
      <c r="AW638" s="27" t="s">
        <v>8</v>
      </c>
      <c r="AX638" s="27" t="s">
        <v>7</v>
      </c>
      <c r="AY638" s="27" t="s">
        <v>8</v>
      </c>
      <c r="AZ638" s="27" t="s">
        <v>7</v>
      </c>
      <c r="BA638" s="27" t="s">
        <v>8</v>
      </c>
      <c r="BB638" s="27" t="s">
        <v>7</v>
      </c>
      <c r="BC638" s="27" t="s">
        <v>8</v>
      </c>
      <c r="BD638" s="27" t="s">
        <v>7</v>
      </c>
      <c r="BK638" s="27" t="s">
        <v>8</v>
      </c>
      <c r="BL638" s="27" t="s">
        <v>7</v>
      </c>
    </row>
    <row r="639" spans="1:65" x14ac:dyDescent="0.25">
      <c r="A639" s="7">
        <v>0.35710100165990194</v>
      </c>
      <c r="B639"/>
      <c r="C639"/>
      <c r="D639"/>
      <c r="E639"/>
      <c r="F639" s="27" t="s">
        <v>7</v>
      </c>
      <c r="Y639" s="27" t="s">
        <v>8</v>
      </c>
      <c r="Z639" s="27" t="s">
        <v>7</v>
      </c>
      <c r="AM639" s="27" t="s">
        <v>8</v>
      </c>
      <c r="AO639" s="27" t="s">
        <v>8</v>
      </c>
      <c r="AP639" s="27" t="s">
        <v>7</v>
      </c>
      <c r="AQ639" s="27" t="s">
        <v>8</v>
      </c>
      <c r="AU639" s="27" t="s">
        <v>8</v>
      </c>
      <c r="AV639" s="27" t="s">
        <v>7</v>
      </c>
      <c r="AW639" s="27" t="s">
        <v>8</v>
      </c>
      <c r="AX639" s="27" t="s">
        <v>7</v>
      </c>
      <c r="AY639" s="27" t="s">
        <v>8</v>
      </c>
      <c r="AZ639" s="27" t="s">
        <v>7</v>
      </c>
      <c r="BB639" s="27" t="s">
        <v>7</v>
      </c>
      <c r="BD639" s="27" t="s">
        <v>7</v>
      </c>
      <c r="BK639" s="27" t="s">
        <v>8</v>
      </c>
      <c r="BL639" s="27" t="s">
        <v>7</v>
      </c>
    </row>
    <row r="640" spans="1:65" x14ac:dyDescent="0.25">
      <c r="A640" s="7">
        <v>0.35009902123519804</v>
      </c>
      <c r="B640"/>
      <c r="C640"/>
      <c r="D640"/>
      <c r="E640"/>
      <c r="F640" s="27" t="s">
        <v>7</v>
      </c>
      <c r="Y640" s="27" t="s">
        <v>8</v>
      </c>
      <c r="Z640" s="27" t="s">
        <v>7</v>
      </c>
      <c r="AM640" s="27" t="s">
        <v>8</v>
      </c>
      <c r="AN640" s="27" t="s">
        <v>7</v>
      </c>
      <c r="AO640" s="27" t="s">
        <v>8</v>
      </c>
      <c r="AP640" s="27" t="s">
        <v>7</v>
      </c>
      <c r="AQ640" s="27" t="s">
        <v>8</v>
      </c>
      <c r="AR640" s="27" t="s">
        <v>7</v>
      </c>
      <c r="AU640" s="27" t="s">
        <v>8</v>
      </c>
      <c r="AV640" s="27" t="s">
        <v>7</v>
      </c>
      <c r="AW640" s="27" t="s">
        <v>8</v>
      </c>
      <c r="AX640" s="27" t="s">
        <v>7</v>
      </c>
      <c r="AY640" s="27" t="s">
        <v>8</v>
      </c>
      <c r="BD640" s="27" t="s">
        <v>7</v>
      </c>
      <c r="BK640" s="27" t="s">
        <v>8</v>
      </c>
      <c r="BL640" s="27" t="s">
        <v>7</v>
      </c>
      <c r="BM640" s="27" t="s">
        <v>8</v>
      </c>
    </row>
    <row r="641" spans="1:146" x14ac:dyDescent="0.25">
      <c r="A641" s="7">
        <v>0.34323433454431179</v>
      </c>
      <c r="B641"/>
      <c r="C641"/>
      <c r="D641"/>
      <c r="E641"/>
      <c r="F641" s="27" t="s">
        <v>7</v>
      </c>
      <c r="Y641" s="27" t="s">
        <v>8</v>
      </c>
      <c r="Z641" s="27" t="s">
        <v>7</v>
      </c>
      <c r="AM641" s="27" t="s">
        <v>8</v>
      </c>
      <c r="AN641" s="27" t="s">
        <v>7</v>
      </c>
      <c r="AO641" s="27" t="s">
        <v>8</v>
      </c>
      <c r="AP641" s="27" t="s">
        <v>7</v>
      </c>
      <c r="AQ641" s="27" t="s">
        <v>8</v>
      </c>
      <c r="AR641" s="27" t="s">
        <v>7</v>
      </c>
      <c r="AU641" s="27" t="s">
        <v>8</v>
      </c>
      <c r="AV641" s="27" t="s">
        <v>7</v>
      </c>
      <c r="AW641" s="27" t="s">
        <v>8</v>
      </c>
      <c r="AX641" s="27" t="s">
        <v>7</v>
      </c>
      <c r="AY641" s="27" t="s">
        <v>8</v>
      </c>
      <c r="BD641" s="27" t="s">
        <v>7</v>
      </c>
      <c r="BI641" s="27" t="s">
        <v>8</v>
      </c>
      <c r="BK641" s="27" t="s">
        <v>8</v>
      </c>
      <c r="BL641" s="27" t="s">
        <v>7</v>
      </c>
      <c r="BM641" s="27" t="s">
        <v>8</v>
      </c>
      <c r="BN641" s="27" t="s">
        <v>7</v>
      </c>
      <c r="BO641" s="27" t="s">
        <v>8</v>
      </c>
    </row>
    <row r="642" spans="1:146" x14ac:dyDescent="0.25">
      <c r="A642" s="7">
        <v>0.33650424955324681</v>
      </c>
      <c r="B642"/>
      <c r="C642"/>
      <c r="D642"/>
      <c r="E642"/>
      <c r="F642" s="27" t="s">
        <v>7</v>
      </c>
      <c r="W642" s="27" t="s">
        <v>8</v>
      </c>
      <c r="Y642" s="27" t="s">
        <v>8</v>
      </c>
      <c r="Z642" s="27" t="s">
        <v>7</v>
      </c>
      <c r="AA642" s="27" t="s">
        <v>8</v>
      </c>
      <c r="AM642" s="27" t="s">
        <v>8</v>
      </c>
      <c r="AN642" s="27" t="s">
        <v>7</v>
      </c>
      <c r="AO642" s="27" t="s">
        <v>8</v>
      </c>
      <c r="AP642" s="27" t="s">
        <v>7</v>
      </c>
      <c r="AR642" s="27" t="s">
        <v>7</v>
      </c>
      <c r="AS642" s="27" t="s">
        <v>8</v>
      </c>
      <c r="AU642" s="27" t="s">
        <v>8</v>
      </c>
      <c r="AV642" s="27" t="s">
        <v>7</v>
      </c>
      <c r="AX642" s="27" t="s">
        <v>7</v>
      </c>
      <c r="AY642" s="27" t="s">
        <v>8</v>
      </c>
      <c r="BD642" s="27" t="s">
        <v>7</v>
      </c>
      <c r="BI642" s="27" t="s">
        <v>8</v>
      </c>
      <c r="BJ642" s="27" t="s">
        <v>7</v>
      </c>
      <c r="BK642" s="27" t="s">
        <v>8</v>
      </c>
      <c r="BL642" s="27" t="s">
        <v>7</v>
      </c>
      <c r="BM642" s="27" t="s">
        <v>8</v>
      </c>
      <c r="BN642" s="27" t="s">
        <v>7</v>
      </c>
      <c r="BO642" s="27" t="s">
        <v>8</v>
      </c>
      <c r="BP642" s="27" t="s">
        <v>7</v>
      </c>
    </row>
    <row r="643" spans="1:146" x14ac:dyDescent="0.25">
      <c r="A643" s="7">
        <v>0.3299061270129871</v>
      </c>
      <c r="B643"/>
      <c r="C643"/>
      <c r="D643"/>
      <c r="E643"/>
      <c r="F643" s="27" t="s">
        <v>7</v>
      </c>
      <c r="W643" s="27" t="s">
        <v>8</v>
      </c>
      <c r="X643" s="27" t="s">
        <v>7</v>
      </c>
      <c r="Y643" s="27" t="s">
        <v>8</v>
      </c>
      <c r="Z643" s="27" t="s">
        <v>7</v>
      </c>
      <c r="AA643" s="27" t="s">
        <v>8</v>
      </c>
      <c r="AB643" s="27" t="s">
        <v>7</v>
      </c>
      <c r="AK643" s="27" t="s">
        <v>8</v>
      </c>
      <c r="AM643" s="27" t="s">
        <v>8</v>
      </c>
      <c r="AN643" s="27" t="s">
        <v>7</v>
      </c>
      <c r="AO643" s="27" t="s">
        <v>8</v>
      </c>
      <c r="AR643" s="27" t="s">
        <v>7</v>
      </c>
      <c r="AS643" s="27" t="s">
        <v>8</v>
      </c>
      <c r="AT643" s="27" t="s">
        <v>7</v>
      </c>
      <c r="AU643" s="27" t="s">
        <v>8</v>
      </c>
      <c r="AX643" s="27" t="s">
        <v>7</v>
      </c>
      <c r="AY643" s="27" t="s">
        <v>8</v>
      </c>
      <c r="BD643" s="27" t="s">
        <v>7</v>
      </c>
      <c r="BI643" s="27" t="s">
        <v>8</v>
      </c>
      <c r="BJ643" s="27" t="s">
        <v>7</v>
      </c>
      <c r="BK643" s="27" t="s">
        <v>8</v>
      </c>
      <c r="BL643" s="27" t="s">
        <v>7</v>
      </c>
      <c r="BM643" s="27" t="s">
        <v>8</v>
      </c>
      <c r="BN643" s="27" t="s">
        <v>7</v>
      </c>
      <c r="BO643" s="27" t="s">
        <v>8</v>
      </c>
      <c r="BP643" s="27" t="s">
        <v>7</v>
      </c>
    </row>
    <row r="644" spans="1:146" x14ac:dyDescent="0.25">
      <c r="A644" s="7">
        <v>0.32343737942449713</v>
      </c>
      <c r="B644"/>
      <c r="C644"/>
      <c r="D644"/>
      <c r="E644"/>
      <c r="F644" s="27" t="s">
        <v>7</v>
      </c>
      <c r="W644" s="27" t="s">
        <v>8</v>
      </c>
      <c r="X644" s="27" t="s">
        <v>7</v>
      </c>
      <c r="Y644" s="27" t="s">
        <v>8</v>
      </c>
      <c r="Z644" s="27" t="s">
        <v>7</v>
      </c>
      <c r="AA644" s="27" t="s">
        <v>8</v>
      </c>
      <c r="AB644" s="27" t="s">
        <v>7</v>
      </c>
      <c r="AK644" s="27" t="s">
        <v>8</v>
      </c>
      <c r="AL644" s="27" t="s">
        <v>7</v>
      </c>
      <c r="AM644" s="27" t="s">
        <v>8</v>
      </c>
      <c r="AN644" s="27" t="s">
        <v>7</v>
      </c>
      <c r="AO644" s="27" t="s">
        <v>8</v>
      </c>
      <c r="AR644" s="27" t="s">
        <v>7</v>
      </c>
      <c r="AS644" s="27" t="s">
        <v>8</v>
      </c>
      <c r="AT644" s="27" t="s">
        <v>7</v>
      </c>
      <c r="AU644" s="27" t="s">
        <v>8</v>
      </c>
      <c r="AX644" s="27" t="s">
        <v>7</v>
      </c>
      <c r="BD644" s="27" t="s">
        <v>7</v>
      </c>
      <c r="BE644" s="27" t="s">
        <v>8</v>
      </c>
      <c r="BI644" s="27" t="s">
        <v>8</v>
      </c>
      <c r="BJ644" s="27" t="s">
        <v>7</v>
      </c>
      <c r="BK644" s="27" t="s">
        <v>8</v>
      </c>
      <c r="BL644" s="27" t="s">
        <v>7</v>
      </c>
      <c r="BM644" s="27" t="s">
        <v>8</v>
      </c>
      <c r="BN644" s="27" t="s">
        <v>7</v>
      </c>
      <c r="BO644" s="27" t="s">
        <v>8</v>
      </c>
      <c r="BP644" s="27" t="s">
        <v>7</v>
      </c>
    </row>
    <row r="645" spans="1:146" x14ac:dyDescent="0.25">
      <c r="A645" s="7">
        <v>0.31709547002401678</v>
      </c>
      <c r="B645"/>
      <c r="C645"/>
      <c r="D645"/>
      <c r="E645"/>
      <c r="F645" s="27" t="s">
        <v>7</v>
      </c>
      <c r="W645" s="27" t="s">
        <v>8</v>
      </c>
      <c r="X645" s="27" t="s">
        <v>7</v>
      </c>
      <c r="Y645" s="27" t="s">
        <v>8</v>
      </c>
      <c r="Z645" s="27" t="s">
        <v>7</v>
      </c>
      <c r="AA645" s="27" t="s">
        <v>8</v>
      </c>
      <c r="AB645" s="27" t="s">
        <v>7</v>
      </c>
      <c r="AK645" s="27" t="s">
        <v>8</v>
      </c>
      <c r="AL645" s="27" t="s">
        <v>7</v>
      </c>
      <c r="AM645" s="27" t="s">
        <v>8</v>
      </c>
      <c r="AN645" s="27" t="s">
        <v>7</v>
      </c>
      <c r="AO645" s="27" t="s">
        <v>8</v>
      </c>
      <c r="AR645" s="27" t="s">
        <v>7</v>
      </c>
      <c r="AS645" s="27" t="s">
        <v>8</v>
      </c>
      <c r="AT645" s="27" t="s">
        <v>7</v>
      </c>
      <c r="AU645" s="27" t="s">
        <v>8</v>
      </c>
      <c r="BD645" s="27" t="s">
        <v>7</v>
      </c>
      <c r="BE645" s="27" t="s">
        <v>8</v>
      </c>
      <c r="BF645" s="27" t="s">
        <v>7</v>
      </c>
      <c r="BI645" s="27" t="s">
        <v>8</v>
      </c>
      <c r="BJ645" s="27" t="s">
        <v>7</v>
      </c>
      <c r="BK645" s="27" t="s">
        <v>8</v>
      </c>
      <c r="BL645" s="27" t="s">
        <v>7</v>
      </c>
      <c r="BM645" s="27" t="s">
        <v>8</v>
      </c>
      <c r="BN645" s="27" t="s">
        <v>7</v>
      </c>
      <c r="BO645" s="27" t="s">
        <v>8</v>
      </c>
      <c r="BP645" s="27" t="s">
        <v>7</v>
      </c>
    </row>
    <row r="646" spans="1:146" x14ac:dyDescent="0.25">
      <c r="A646" s="7">
        <v>0.31087791178825175</v>
      </c>
      <c r="B646"/>
      <c r="C646"/>
      <c r="D646"/>
      <c r="E646"/>
      <c r="F646" s="27" t="s">
        <v>7</v>
      </c>
      <c r="W646" s="27" t="s">
        <v>8</v>
      </c>
      <c r="X646" s="27" t="s">
        <v>7</v>
      </c>
      <c r="Y646" s="27" t="s">
        <v>8</v>
      </c>
      <c r="Z646" s="27" t="s">
        <v>7</v>
      </c>
      <c r="AA646" s="27" t="s">
        <v>8</v>
      </c>
      <c r="AB646" s="27" t="s">
        <v>7</v>
      </c>
      <c r="AK646" s="27" t="s">
        <v>8</v>
      </c>
      <c r="AL646" s="27" t="s">
        <v>7</v>
      </c>
      <c r="AM646" s="27" t="s">
        <v>8</v>
      </c>
      <c r="AN646" s="27" t="s">
        <v>7</v>
      </c>
      <c r="AO646" s="27" t="s">
        <v>8</v>
      </c>
      <c r="AR646" s="27" t="s">
        <v>7</v>
      </c>
      <c r="AS646" s="27" t="s">
        <v>8</v>
      </c>
      <c r="AT646" s="27" t="s">
        <v>7</v>
      </c>
      <c r="AU646" s="27" t="s">
        <v>8</v>
      </c>
      <c r="BD646" s="27" t="s">
        <v>7</v>
      </c>
      <c r="BE646" s="27" t="s">
        <v>8</v>
      </c>
      <c r="BF646" s="27" t="s">
        <v>7</v>
      </c>
      <c r="BI646" s="27" t="s">
        <v>8</v>
      </c>
      <c r="BJ646" s="27" t="s">
        <v>7</v>
      </c>
      <c r="BK646" s="27" t="s">
        <v>8</v>
      </c>
      <c r="BL646" s="27" t="s">
        <v>7</v>
      </c>
      <c r="BM646" s="27" t="s">
        <v>8</v>
      </c>
      <c r="BN646" s="27" t="s">
        <v>7</v>
      </c>
      <c r="BP646" s="27" t="s">
        <v>7</v>
      </c>
    </row>
    <row r="647" spans="1:146" x14ac:dyDescent="0.25">
      <c r="A647" s="7">
        <v>0.30478226645907036</v>
      </c>
      <c r="B647"/>
      <c r="C647"/>
      <c r="D647"/>
      <c r="E647"/>
      <c r="F647" s="27" t="s">
        <v>7</v>
      </c>
      <c r="W647" s="27" t="s">
        <v>8</v>
      </c>
      <c r="X647" s="27" t="s">
        <v>7</v>
      </c>
      <c r="Y647" s="27" t="s">
        <v>8</v>
      </c>
      <c r="Z647" s="27" t="s">
        <v>7</v>
      </c>
      <c r="AB647" s="27" t="s">
        <v>7</v>
      </c>
      <c r="AK647" s="27" t="s">
        <v>8</v>
      </c>
      <c r="AL647" s="27" t="s">
        <v>7</v>
      </c>
      <c r="AM647" s="27" t="s">
        <v>8</v>
      </c>
      <c r="AN647" s="27" t="s">
        <v>7</v>
      </c>
      <c r="AO647" s="27" t="s">
        <v>8</v>
      </c>
      <c r="AR647" s="27" t="s">
        <v>7</v>
      </c>
      <c r="AT647" s="27" t="s">
        <v>7</v>
      </c>
      <c r="AU647" s="27" t="s">
        <v>8</v>
      </c>
      <c r="BD647" s="27" t="s">
        <v>7</v>
      </c>
      <c r="BE647" s="27" t="s">
        <v>8</v>
      </c>
      <c r="BF647" s="27" t="s">
        <v>7</v>
      </c>
      <c r="BI647" s="27" t="s">
        <v>8</v>
      </c>
      <c r="BJ647" s="27" t="s">
        <v>7</v>
      </c>
      <c r="BL647" s="27" t="s">
        <v>7</v>
      </c>
      <c r="BM647" s="27" t="s">
        <v>8</v>
      </c>
      <c r="BP647" s="27" t="s">
        <v>7</v>
      </c>
      <c r="EG647" s="27" t="s">
        <v>8</v>
      </c>
    </row>
    <row r="648" spans="1:146" x14ac:dyDescent="0.25">
      <c r="A648" s="7">
        <v>0.29880614358732388</v>
      </c>
      <c r="B648"/>
      <c r="C648"/>
      <c r="D648"/>
      <c r="E648"/>
      <c r="F648" s="27" t="s">
        <v>7</v>
      </c>
      <c r="W648" s="27" t="s">
        <v>8</v>
      </c>
      <c r="X648" s="27" t="s">
        <v>7</v>
      </c>
      <c r="Y648" s="27" t="s">
        <v>8</v>
      </c>
      <c r="AB648" s="27" t="s">
        <v>7</v>
      </c>
      <c r="AI648" s="27" t="s">
        <v>8</v>
      </c>
      <c r="AK648" s="27" t="s">
        <v>8</v>
      </c>
      <c r="AL648" s="27" t="s">
        <v>7</v>
      </c>
      <c r="AN648" s="27" t="s">
        <v>7</v>
      </c>
      <c r="AO648" s="27" t="s">
        <v>8</v>
      </c>
      <c r="AT648" s="27" t="s">
        <v>7</v>
      </c>
      <c r="AU648" s="27" t="s">
        <v>8</v>
      </c>
      <c r="BD648" s="27" t="s">
        <v>7</v>
      </c>
      <c r="BE648" s="27" t="s">
        <v>8</v>
      </c>
      <c r="BF648" s="27" t="s">
        <v>7</v>
      </c>
      <c r="BI648" s="27" t="s">
        <v>8</v>
      </c>
      <c r="BL648" s="27" t="s">
        <v>7</v>
      </c>
      <c r="BP648" s="27" t="s">
        <v>7</v>
      </c>
      <c r="DW648" s="27" t="s">
        <v>8</v>
      </c>
      <c r="DY648" s="27" t="s">
        <v>8</v>
      </c>
      <c r="EG648" s="27" t="s">
        <v>8</v>
      </c>
      <c r="EH648" s="27" t="s">
        <v>7</v>
      </c>
    </row>
    <row r="649" spans="1:146" x14ac:dyDescent="0.25">
      <c r="A649" s="7">
        <v>0.2929471995954156</v>
      </c>
      <c r="B649"/>
      <c r="C649"/>
      <c r="D649"/>
      <c r="E649"/>
      <c r="F649" s="27" t="s">
        <v>7</v>
      </c>
      <c r="W649" s="27" t="s">
        <v>8</v>
      </c>
      <c r="X649" s="27" t="s">
        <v>7</v>
      </c>
      <c r="Y649" s="27" t="s">
        <v>8</v>
      </c>
      <c r="AB649" s="27" t="s">
        <v>7</v>
      </c>
      <c r="AI649" s="27" t="s">
        <v>8</v>
      </c>
      <c r="AJ649" s="27" t="s">
        <v>7</v>
      </c>
      <c r="AK649" s="27" t="s">
        <v>8</v>
      </c>
      <c r="AN649" s="27" t="s">
        <v>7</v>
      </c>
      <c r="AT649" s="27" t="s">
        <v>7</v>
      </c>
      <c r="BD649" s="27" t="s">
        <v>7</v>
      </c>
      <c r="BE649" s="27" t="s">
        <v>8</v>
      </c>
      <c r="BF649" s="27" t="s">
        <v>7</v>
      </c>
      <c r="BI649" s="27" t="s">
        <v>8</v>
      </c>
      <c r="BP649" s="27" t="s">
        <v>7</v>
      </c>
      <c r="DW649" s="27" t="s">
        <v>8</v>
      </c>
      <c r="DX649" s="27" t="s">
        <v>7</v>
      </c>
      <c r="DY649" s="27" t="s">
        <v>8</v>
      </c>
      <c r="DZ649" s="27" t="s">
        <v>7</v>
      </c>
      <c r="EG649" s="27" t="s">
        <v>8</v>
      </c>
      <c r="EH649" s="27" t="s">
        <v>7</v>
      </c>
    </row>
    <row r="650" spans="1:146" x14ac:dyDescent="0.25">
      <c r="A650" s="7">
        <v>0.28720313685825055</v>
      </c>
      <c r="B650"/>
      <c r="C650"/>
      <c r="D650"/>
      <c r="E650"/>
      <c r="F650" s="27" t="s">
        <v>7</v>
      </c>
      <c r="W650" s="27" t="s">
        <v>8</v>
      </c>
      <c r="X650" s="27" t="s">
        <v>7</v>
      </c>
      <c r="Y650" s="27" t="s">
        <v>8</v>
      </c>
      <c r="AB650" s="27" t="s">
        <v>7</v>
      </c>
      <c r="AI650" s="27" t="s">
        <v>8</v>
      </c>
      <c r="AJ650" s="27" t="s">
        <v>7</v>
      </c>
      <c r="AK650" s="27" t="s">
        <v>8</v>
      </c>
      <c r="BD650" s="27" t="s">
        <v>7</v>
      </c>
      <c r="BE650" s="27" t="s">
        <v>8</v>
      </c>
      <c r="BF650" s="27" t="s">
        <v>7</v>
      </c>
      <c r="BI650" s="27" t="s">
        <v>8</v>
      </c>
      <c r="BP650" s="27" t="s">
        <v>7</v>
      </c>
      <c r="BQ650" s="27" t="s">
        <v>8</v>
      </c>
      <c r="DW650" s="27" t="s">
        <v>8</v>
      </c>
      <c r="DX650" s="27" t="s">
        <v>7</v>
      </c>
      <c r="DY650" s="27" t="s">
        <v>8</v>
      </c>
      <c r="DZ650" s="27" t="s">
        <v>7</v>
      </c>
      <c r="EG650" s="27" t="s">
        <v>8</v>
      </c>
      <c r="EH650" s="27" t="s">
        <v>7</v>
      </c>
    </row>
    <row r="651" spans="1:146" x14ac:dyDescent="0.25">
      <c r="A651" s="7">
        <v>0.28157170280220645</v>
      </c>
      <c r="B651"/>
      <c r="C651"/>
      <c r="D651"/>
      <c r="E651"/>
      <c r="F651" s="27" t="s">
        <v>7</v>
      </c>
      <c r="U651" s="27" t="s">
        <v>8</v>
      </c>
      <c r="W651" s="27" t="s">
        <v>8</v>
      </c>
      <c r="X651" s="27" t="s">
        <v>7</v>
      </c>
      <c r="Y651" s="27" t="s">
        <v>8</v>
      </c>
      <c r="AB651" s="27" t="s">
        <v>7</v>
      </c>
      <c r="AC651" s="27" t="s">
        <v>8</v>
      </c>
      <c r="AG651" s="27" t="s">
        <v>8</v>
      </c>
      <c r="AI651" s="27" t="s">
        <v>8</v>
      </c>
      <c r="AJ651" s="27" t="s">
        <v>7</v>
      </c>
      <c r="BD651" s="27" t="s">
        <v>7</v>
      </c>
      <c r="BE651" s="27" t="s">
        <v>8</v>
      </c>
      <c r="BF651" s="27" t="s">
        <v>7</v>
      </c>
      <c r="BG651" s="27" t="s">
        <v>8</v>
      </c>
      <c r="BI651" s="27" t="s">
        <v>8</v>
      </c>
      <c r="BP651" s="27" t="s">
        <v>7</v>
      </c>
      <c r="BQ651" s="27" t="s">
        <v>8</v>
      </c>
      <c r="BR651" s="27" t="s">
        <v>7</v>
      </c>
      <c r="DW651" s="27" t="s">
        <v>8</v>
      </c>
      <c r="DX651" s="27" t="s">
        <v>7</v>
      </c>
      <c r="DY651" s="27" t="s">
        <v>8</v>
      </c>
      <c r="DZ651" s="27" t="s">
        <v>7</v>
      </c>
      <c r="EG651" s="27" t="s">
        <v>8</v>
      </c>
      <c r="EH651" s="27" t="s">
        <v>7</v>
      </c>
    </row>
    <row r="652" spans="1:146" x14ac:dyDescent="0.25">
      <c r="A652" s="7">
        <v>0.27605068902177105</v>
      </c>
      <c r="B652"/>
      <c r="C652"/>
      <c r="D652"/>
      <c r="E652"/>
      <c r="F652" s="27" t="s">
        <v>7</v>
      </c>
      <c r="U652" s="27" t="s">
        <v>8</v>
      </c>
      <c r="V652" s="27" t="s">
        <v>7</v>
      </c>
      <c r="W652" s="27" t="s">
        <v>8</v>
      </c>
      <c r="X652" s="27" t="s">
        <v>7</v>
      </c>
      <c r="Y652" s="27" t="s">
        <v>8</v>
      </c>
      <c r="AB652" s="27" t="s">
        <v>7</v>
      </c>
      <c r="AC652" s="27" t="s">
        <v>8</v>
      </c>
      <c r="AD652" s="27" t="s">
        <v>7</v>
      </c>
      <c r="AG652" s="27" t="s">
        <v>8</v>
      </c>
      <c r="AH652" s="27" t="s">
        <v>7</v>
      </c>
      <c r="AI652" s="27" t="s">
        <v>8</v>
      </c>
      <c r="BD652" s="27" t="s">
        <v>7</v>
      </c>
      <c r="BF652" s="27" t="s">
        <v>7</v>
      </c>
      <c r="BG652" s="27" t="s">
        <v>8</v>
      </c>
      <c r="BH652" s="27" t="s">
        <v>7</v>
      </c>
      <c r="BI652" s="27" t="s">
        <v>8</v>
      </c>
      <c r="BP652" s="27" t="s">
        <v>7</v>
      </c>
      <c r="BQ652" s="27" t="s">
        <v>8</v>
      </c>
      <c r="BR652" s="27" t="s">
        <v>7</v>
      </c>
      <c r="DU652" s="27" t="s">
        <v>8</v>
      </c>
      <c r="DW652" s="27" t="s">
        <v>8</v>
      </c>
      <c r="DX652" s="27" t="s">
        <v>7</v>
      </c>
      <c r="DZ652" s="27" t="s">
        <v>7</v>
      </c>
      <c r="EA652" s="27" t="s">
        <v>8</v>
      </c>
      <c r="EC652" s="27" t="s">
        <v>8</v>
      </c>
      <c r="EE652" s="27" t="s">
        <v>8</v>
      </c>
      <c r="EG652" s="27" t="s">
        <v>8</v>
      </c>
      <c r="EH652" s="27" t="s">
        <v>7</v>
      </c>
      <c r="EI652" s="27" t="s">
        <v>8</v>
      </c>
    </row>
    <row r="653" spans="1:146" x14ac:dyDescent="0.25">
      <c r="A653" s="7">
        <v>0.27063793041350104</v>
      </c>
      <c r="B653"/>
      <c r="C653"/>
      <c r="D653"/>
      <c r="E653"/>
      <c r="F653" s="27" t="s">
        <v>7</v>
      </c>
      <c r="U653" s="27" t="s">
        <v>8</v>
      </c>
      <c r="V653" s="27" t="s">
        <v>7</v>
      </c>
      <c r="W653" s="27" t="s">
        <v>8</v>
      </c>
      <c r="X653" s="27" t="s">
        <v>7</v>
      </c>
      <c r="AB653" s="27" t="s">
        <v>7</v>
      </c>
      <c r="AC653" s="27" t="s">
        <v>8</v>
      </c>
      <c r="AD653" s="27" t="s">
        <v>7</v>
      </c>
      <c r="AG653" s="27" t="s">
        <v>8</v>
      </c>
      <c r="AH653" s="27" t="s">
        <v>7</v>
      </c>
      <c r="AI653" s="27" t="s">
        <v>8</v>
      </c>
      <c r="BF653" s="27" t="s">
        <v>7</v>
      </c>
      <c r="BG653" s="27" t="s">
        <v>8</v>
      </c>
      <c r="BH653" s="27" t="s">
        <v>7</v>
      </c>
      <c r="BI653" s="27" t="s">
        <v>8</v>
      </c>
      <c r="BP653" s="27" t="s">
        <v>7</v>
      </c>
      <c r="BQ653" s="27" t="s">
        <v>8</v>
      </c>
      <c r="BR653" s="27" t="s">
        <v>7</v>
      </c>
      <c r="DG653" s="27" t="s">
        <v>8</v>
      </c>
      <c r="DU653" s="27" t="s">
        <v>8</v>
      </c>
      <c r="DV653" s="27" t="s">
        <v>7</v>
      </c>
      <c r="DW653" s="27" t="s">
        <v>8</v>
      </c>
      <c r="DZ653" s="27" t="s">
        <v>7</v>
      </c>
      <c r="EA653" s="27" t="s">
        <v>8</v>
      </c>
      <c r="EB653" s="27" t="s">
        <v>7</v>
      </c>
      <c r="EC653" s="27" t="s">
        <v>8</v>
      </c>
      <c r="ED653" s="27" t="s">
        <v>7</v>
      </c>
      <c r="EE653" s="27" t="s">
        <v>8</v>
      </c>
      <c r="EF653" s="27" t="s">
        <v>7</v>
      </c>
      <c r="EG653" s="27" t="s">
        <v>8</v>
      </c>
      <c r="EH653" s="27" t="s">
        <v>7</v>
      </c>
      <c r="EI653" s="27" t="s">
        <v>8</v>
      </c>
      <c r="EJ653" s="27" t="s">
        <v>7</v>
      </c>
    </row>
    <row r="654" spans="1:146" x14ac:dyDescent="0.25">
      <c r="A654" s="7">
        <v>0.26533130432696184</v>
      </c>
      <c r="B654"/>
      <c r="C654"/>
      <c r="D654"/>
      <c r="E654"/>
      <c r="F654" s="27" t="s">
        <v>7</v>
      </c>
      <c r="U654" s="27" t="s">
        <v>8</v>
      </c>
      <c r="V654" s="27" t="s">
        <v>7</v>
      </c>
      <c r="W654" s="27" t="s">
        <v>8</v>
      </c>
      <c r="AB654" s="27" t="s">
        <v>7</v>
      </c>
      <c r="AC654" s="27" t="s">
        <v>8</v>
      </c>
      <c r="AD654" s="27" t="s">
        <v>7</v>
      </c>
      <c r="AG654" s="27" t="s">
        <v>8</v>
      </c>
      <c r="AH654" s="27" t="s">
        <v>7</v>
      </c>
      <c r="AI654" s="27" t="s">
        <v>8</v>
      </c>
      <c r="BF654" s="27" t="s">
        <v>7</v>
      </c>
      <c r="BG654" s="27" t="s">
        <v>8</v>
      </c>
      <c r="BH654" s="27" t="s">
        <v>7</v>
      </c>
      <c r="BI654" s="27" t="s">
        <v>8</v>
      </c>
      <c r="BP654" s="27" t="s">
        <v>7</v>
      </c>
      <c r="BQ654" s="27" t="s">
        <v>8</v>
      </c>
      <c r="BR654" s="27" t="s">
        <v>7</v>
      </c>
      <c r="DG654" s="27" t="s">
        <v>8</v>
      </c>
      <c r="DH654" s="27" t="s">
        <v>7</v>
      </c>
      <c r="DS654" s="27" t="s">
        <v>8</v>
      </c>
      <c r="DU654" s="27" t="s">
        <v>8</v>
      </c>
      <c r="DV654" s="27" t="s">
        <v>7</v>
      </c>
      <c r="DW654" s="27" t="s">
        <v>8</v>
      </c>
      <c r="DZ654" s="27" t="s">
        <v>7</v>
      </c>
      <c r="EA654" s="27" t="s">
        <v>8</v>
      </c>
      <c r="EB654" s="27" t="s">
        <v>7</v>
      </c>
      <c r="EC654" s="27" t="s">
        <v>8</v>
      </c>
      <c r="ED654" s="27" t="s">
        <v>7</v>
      </c>
      <c r="EE654" s="27" t="s">
        <v>8</v>
      </c>
      <c r="EF654" s="27" t="s">
        <v>7</v>
      </c>
      <c r="EG654" s="27" t="s">
        <v>8</v>
      </c>
      <c r="EH654" s="27" t="s">
        <v>7</v>
      </c>
      <c r="EI654" s="27" t="s">
        <v>8</v>
      </c>
      <c r="EJ654" s="27" t="s">
        <v>7</v>
      </c>
      <c r="EK654" s="27" t="s">
        <v>8</v>
      </c>
    </row>
    <row r="655" spans="1:146" x14ac:dyDescent="0.25">
      <c r="A655" s="7">
        <v>0.26012872973231554</v>
      </c>
      <c r="B655"/>
      <c r="C655"/>
      <c r="D655"/>
      <c r="E655"/>
      <c r="F655" s="27" t="s">
        <v>7</v>
      </c>
      <c r="U655" s="27" t="s">
        <v>8</v>
      </c>
      <c r="V655" s="27" t="s">
        <v>7</v>
      </c>
      <c r="W655" s="27" t="s">
        <v>8</v>
      </c>
      <c r="AB655" s="27" t="s">
        <v>7</v>
      </c>
      <c r="AC655" s="27" t="s">
        <v>8</v>
      </c>
      <c r="AD655" s="27" t="s">
        <v>7</v>
      </c>
      <c r="AG655" s="27" t="s">
        <v>8</v>
      </c>
      <c r="AH655" s="27" t="s">
        <v>7</v>
      </c>
      <c r="AI655" s="27" t="s">
        <v>8</v>
      </c>
      <c r="BF655" s="27" t="s">
        <v>7</v>
      </c>
      <c r="BH655" s="27" t="s">
        <v>7</v>
      </c>
      <c r="BI655" s="27" t="s">
        <v>8</v>
      </c>
      <c r="BP655" s="27" t="s">
        <v>7</v>
      </c>
      <c r="BQ655" s="27" t="s">
        <v>8</v>
      </c>
      <c r="BR655" s="27" t="s">
        <v>7</v>
      </c>
      <c r="DG655" s="27" t="s">
        <v>8</v>
      </c>
      <c r="DH655" s="27" t="s">
        <v>7</v>
      </c>
      <c r="DS655" s="27" t="s">
        <v>8</v>
      </c>
      <c r="DT655" s="27" t="s">
        <v>7</v>
      </c>
      <c r="DU655" s="27" t="s">
        <v>8</v>
      </c>
      <c r="DV655" s="27" t="s">
        <v>7</v>
      </c>
      <c r="DW655" s="27" t="s">
        <v>8</v>
      </c>
      <c r="DZ655" s="27" t="s">
        <v>7</v>
      </c>
      <c r="EB655" s="27" t="s">
        <v>7</v>
      </c>
      <c r="EC655" s="27" t="s">
        <v>8</v>
      </c>
      <c r="ED655" s="27" t="s">
        <v>7</v>
      </c>
      <c r="EF655" s="27" t="s">
        <v>7</v>
      </c>
      <c r="EH655" s="27" t="s">
        <v>7</v>
      </c>
      <c r="EI655" s="27" t="s">
        <v>8</v>
      </c>
      <c r="EJ655" s="27" t="s">
        <v>7</v>
      </c>
      <c r="EK655" s="27" t="s">
        <v>8</v>
      </c>
      <c r="EL655" s="27" t="s">
        <v>7</v>
      </c>
      <c r="EO655" s="27" t="s">
        <v>8</v>
      </c>
    </row>
    <row r="656" spans="1:146" x14ac:dyDescent="0.25">
      <c r="A656" s="7">
        <v>0.25502816640423093</v>
      </c>
      <c r="B656"/>
      <c r="C656"/>
      <c r="D656"/>
      <c r="E656"/>
      <c r="F656" s="27" t="s">
        <v>7</v>
      </c>
      <c r="I656" s="27" t="s">
        <v>8</v>
      </c>
      <c r="U656" s="27" t="s">
        <v>8</v>
      </c>
      <c r="V656" s="27" t="s">
        <v>7</v>
      </c>
      <c r="W656" s="27" t="s">
        <v>8</v>
      </c>
      <c r="AB656" s="27" t="s">
        <v>7</v>
      </c>
      <c r="AC656" s="27" t="s">
        <v>8</v>
      </c>
      <c r="AD656" s="27" t="s">
        <v>7</v>
      </c>
      <c r="AE656" s="27" t="s">
        <v>8</v>
      </c>
      <c r="AG656" s="27" t="s">
        <v>8</v>
      </c>
      <c r="AH656" s="27" t="s">
        <v>7</v>
      </c>
      <c r="AI656" s="27" t="s">
        <v>8</v>
      </c>
      <c r="BH656" s="27" t="s">
        <v>7</v>
      </c>
      <c r="BP656" s="27" t="s">
        <v>7</v>
      </c>
      <c r="BR656" s="27" t="s">
        <v>7</v>
      </c>
      <c r="BS656" s="27" t="s">
        <v>8</v>
      </c>
      <c r="DE656" s="27" t="s">
        <v>8</v>
      </c>
      <c r="DG656" s="27" t="s">
        <v>8</v>
      </c>
      <c r="DH656" s="27" t="s">
        <v>7</v>
      </c>
      <c r="DK656" s="27" t="s">
        <v>8</v>
      </c>
      <c r="DS656" s="27" t="s">
        <v>8</v>
      </c>
      <c r="DT656" s="27" t="s">
        <v>7</v>
      </c>
      <c r="DU656" s="27" t="s">
        <v>8</v>
      </c>
      <c r="DV656" s="27" t="s">
        <v>7</v>
      </c>
      <c r="DW656" s="27" t="s">
        <v>8</v>
      </c>
      <c r="EB656" s="27" t="s">
        <v>7</v>
      </c>
      <c r="EH656" s="27" t="s">
        <v>7</v>
      </c>
      <c r="EI656" s="27" t="s">
        <v>8</v>
      </c>
      <c r="EJ656" s="27" t="s">
        <v>7</v>
      </c>
      <c r="EK656" s="27" t="s">
        <v>8</v>
      </c>
      <c r="EL656" s="27" t="s">
        <v>7</v>
      </c>
      <c r="EM656" s="27" t="s">
        <v>8</v>
      </c>
      <c r="EO656" s="27" t="s">
        <v>8</v>
      </c>
      <c r="EP656" s="27" t="s">
        <v>7</v>
      </c>
    </row>
    <row r="657" spans="1:163" x14ac:dyDescent="0.25">
      <c r="A657" s="7">
        <v>0.25002761412179503</v>
      </c>
      <c r="B657"/>
      <c r="C657"/>
      <c r="D657"/>
      <c r="E657"/>
      <c r="F657" s="27" t="s">
        <v>7</v>
      </c>
      <c r="I657" s="27" t="s">
        <v>8</v>
      </c>
      <c r="J657" s="27" t="s">
        <v>7</v>
      </c>
      <c r="U657" s="27" t="s">
        <v>8</v>
      </c>
      <c r="V657" s="27" t="s">
        <v>7</v>
      </c>
      <c r="W657" s="27" t="s">
        <v>8</v>
      </c>
      <c r="AB657" s="27" t="s">
        <v>7</v>
      </c>
      <c r="AC657" s="27" t="s">
        <v>8</v>
      </c>
      <c r="AD657" s="27" t="s">
        <v>7</v>
      </c>
      <c r="AE657" s="27" t="s">
        <v>8</v>
      </c>
      <c r="AF657" s="27" t="s">
        <v>7</v>
      </c>
      <c r="AG657" s="27" t="s">
        <v>8</v>
      </c>
      <c r="AH657" s="27" t="s">
        <v>7</v>
      </c>
      <c r="BR657" s="27" t="s">
        <v>7</v>
      </c>
      <c r="BS657" s="27" t="s">
        <v>8</v>
      </c>
      <c r="BT657" s="27" t="s">
        <v>7</v>
      </c>
      <c r="DE657" s="27" t="s">
        <v>8</v>
      </c>
      <c r="DF657" s="27" t="s">
        <v>7</v>
      </c>
      <c r="DG657" s="27" t="s">
        <v>8</v>
      </c>
      <c r="DH657" s="27" t="s">
        <v>7</v>
      </c>
      <c r="DK657" s="27" t="s">
        <v>8</v>
      </c>
      <c r="DL657" s="27" t="s">
        <v>7</v>
      </c>
      <c r="DS657" s="27" t="s">
        <v>8</v>
      </c>
      <c r="DT657" s="27" t="s">
        <v>7</v>
      </c>
      <c r="DV657" s="27" t="s">
        <v>7</v>
      </c>
      <c r="EH657" s="27" t="s">
        <v>7</v>
      </c>
      <c r="EI657" s="27" t="s">
        <v>8</v>
      </c>
      <c r="EJ657" s="27" t="s">
        <v>7</v>
      </c>
      <c r="EK657" s="27" t="s">
        <v>8</v>
      </c>
      <c r="EL657" s="27" t="s">
        <v>7</v>
      </c>
      <c r="EM657" s="27" t="s">
        <v>8</v>
      </c>
      <c r="EN657" s="27" t="s">
        <v>7</v>
      </c>
      <c r="EO657" s="27" t="s">
        <v>8</v>
      </c>
      <c r="EP657" s="27" t="s">
        <v>7</v>
      </c>
    </row>
    <row r="658" spans="1:163" x14ac:dyDescent="0.25">
      <c r="A658" s="7">
        <v>0.24512511188411276</v>
      </c>
      <c r="B658"/>
      <c r="C658"/>
      <c r="D658"/>
      <c r="E658"/>
      <c r="F658" s="27" t="s">
        <v>7</v>
      </c>
      <c r="I658" s="27" t="s">
        <v>8</v>
      </c>
      <c r="J658" s="27" t="s">
        <v>7</v>
      </c>
      <c r="U658" s="27" t="s">
        <v>8</v>
      </c>
      <c r="V658" s="27" t="s">
        <v>7</v>
      </c>
      <c r="W658" s="27" t="s">
        <v>8</v>
      </c>
      <c r="AB658" s="27" t="s">
        <v>7</v>
      </c>
      <c r="AC658" s="27" t="s">
        <v>8</v>
      </c>
      <c r="AD658" s="27" t="s">
        <v>7</v>
      </c>
      <c r="AE658" s="27" t="s">
        <v>8</v>
      </c>
      <c r="AF658" s="27" t="s">
        <v>7</v>
      </c>
      <c r="AG658" s="27" t="s">
        <v>8</v>
      </c>
      <c r="BR658" s="27" t="s">
        <v>7</v>
      </c>
      <c r="BS658" s="27" t="s">
        <v>8</v>
      </c>
      <c r="BT658" s="27" t="s">
        <v>7</v>
      </c>
      <c r="DC658" s="27" t="s">
        <v>8</v>
      </c>
      <c r="DE658" s="27" t="s">
        <v>8</v>
      </c>
      <c r="DF658" s="27" t="s">
        <v>7</v>
      </c>
      <c r="DG658" s="27" t="s">
        <v>8</v>
      </c>
      <c r="DH658" s="27" t="s">
        <v>7</v>
      </c>
      <c r="DK658" s="27" t="s">
        <v>8</v>
      </c>
      <c r="DL658" s="27" t="s">
        <v>7</v>
      </c>
      <c r="DS658" s="27" t="s">
        <v>8</v>
      </c>
      <c r="EH658" s="27" t="s">
        <v>7</v>
      </c>
      <c r="EI658" s="27" t="s">
        <v>8</v>
      </c>
      <c r="EJ658" s="27" t="s">
        <v>7</v>
      </c>
      <c r="EL658" s="27" t="s">
        <v>7</v>
      </c>
      <c r="EM658" s="27" t="s">
        <v>8</v>
      </c>
      <c r="EN658" s="27" t="s">
        <v>7</v>
      </c>
      <c r="EO658" s="27" t="s">
        <v>8</v>
      </c>
      <c r="EP658" s="27" t="s">
        <v>7</v>
      </c>
    </row>
    <row r="659" spans="1:163" x14ac:dyDescent="0.25">
      <c r="A659" s="7">
        <v>0.24031873714128701</v>
      </c>
      <c r="B659"/>
      <c r="C659"/>
      <c r="D659"/>
      <c r="E659"/>
      <c r="F659" s="27" t="s">
        <v>7</v>
      </c>
      <c r="I659" s="27" t="s">
        <v>8</v>
      </c>
      <c r="J659" s="27" t="s">
        <v>7</v>
      </c>
      <c r="U659" s="27" t="s">
        <v>8</v>
      </c>
      <c r="V659" s="27" t="s">
        <v>7</v>
      </c>
      <c r="W659" s="27" t="s">
        <v>8</v>
      </c>
      <c r="AB659" s="27" t="s">
        <v>7</v>
      </c>
      <c r="AC659" s="27" t="s">
        <v>8</v>
      </c>
      <c r="AD659" s="27" t="s">
        <v>7</v>
      </c>
      <c r="AE659" s="27" t="s">
        <v>8</v>
      </c>
      <c r="AF659" s="27" t="s">
        <v>7</v>
      </c>
      <c r="AG659" s="27" t="s">
        <v>8</v>
      </c>
      <c r="BR659" s="27" t="s">
        <v>7</v>
      </c>
      <c r="BS659" s="27" t="s">
        <v>8</v>
      </c>
      <c r="BT659" s="27" t="s">
        <v>7</v>
      </c>
      <c r="DC659" s="27" t="s">
        <v>8</v>
      </c>
      <c r="DD659" s="27" t="s">
        <v>7</v>
      </c>
      <c r="DE659" s="27" t="s">
        <v>8</v>
      </c>
      <c r="DF659" s="27" t="s">
        <v>7</v>
      </c>
      <c r="DG659" s="27" t="s">
        <v>8</v>
      </c>
      <c r="DH659" s="27" t="s">
        <v>7</v>
      </c>
      <c r="DI659" s="27" t="s">
        <v>8</v>
      </c>
      <c r="DK659" s="27" t="s">
        <v>8</v>
      </c>
      <c r="DL659" s="27" t="s">
        <v>7</v>
      </c>
      <c r="DS659" s="27" t="s">
        <v>8</v>
      </c>
      <c r="EH659" s="27" t="s">
        <v>7</v>
      </c>
      <c r="EL659" s="27" t="s">
        <v>7</v>
      </c>
      <c r="EM659" s="27" t="s">
        <v>8</v>
      </c>
      <c r="EN659" s="27" t="s">
        <v>7</v>
      </c>
      <c r="EO659" s="27" t="s">
        <v>8</v>
      </c>
      <c r="EP659" s="27" t="s">
        <v>7</v>
      </c>
    </row>
    <row r="660" spans="1:163" x14ac:dyDescent="0.25">
      <c r="A660" s="7">
        <v>0.23560660504047748</v>
      </c>
      <c r="B660"/>
      <c r="C660"/>
      <c r="D660"/>
      <c r="E660"/>
      <c r="F660" s="27" t="s">
        <v>7</v>
      </c>
      <c r="I660" s="27" t="s">
        <v>8</v>
      </c>
      <c r="J660" s="27" t="s">
        <v>7</v>
      </c>
      <c r="U660" s="27" t="s">
        <v>8</v>
      </c>
      <c r="V660" s="27" t="s">
        <v>7</v>
      </c>
      <c r="W660" s="27" t="s">
        <v>8</v>
      </c>
      <c r="AB660" s="27" t="s">
        <v>7</v>
      </c>
      <c r="AC660" s="27" t="s">
        <v>8</v>
      </c>
      <c r="AD660" s="27" t="s">
        <v>7</v>
      </c>
      <c r="AE660" s="27" t="s">
        <v>8</v>
      </c>
      <c r="AF660" s="27" t="s">
        <v>7</v>
      </c>
      <c r="AG660" s="27" t="s">
        <v>8</v>
      </c>
      <c r="BR660" s="27" t="s">
        <v>7</v>
      </c>
      <c r="BS660" s="27" t="s">
        <v>8</v>
      </c>
      <c r="BT660" s="27" t="s">
        <v>7</v>
      </c>
      <c r="DC660" s="27" t="s">
        <v>8</v>
      </c>
      <c r="DD660" s="27" t="s">
        <v>7</v>
      </c>
      <c r="DE660" s="27" t="s">
        <v>8</v>
      </c>
      <c r="DF660" s="27" t="s">
        <v>7</v>
      </c>
      <c r="DH660" s="27" t="s">
        <v>7</v>
      </c>
      <c r="DI660" s="27" t="s">
        <v>8</v>
      </c>
      <c r="DJ660" s="27" t="s">
        <v>7</v>
      </c>
      <c r="DK660" s="27" t="s">
        <v>8</v>
      </c>
      <c r="DL660" s="27" t="s">
        <v>7</v>
      </c>
      <c r="DS660" s="27" t="s">
        <v>8</v>
      </c>
      <c r="EL660" s="27" t="s">
        <v>7</v>
      </c>
      <c r="EN660" s="27" t="s">
        <v>7</v>
      </c>
      <c r="EP660" s="27" t="s">
        <v>7</v>
      </c>
    </row>
    <row r="661" spans="1:163" x14ac:dyDescent="0.25">
      <c r="A661" s="7">
        <v>0.23098686768674265</v>
      </c>
      <c r="B661"/>
      <c r="C661"/>
      <c r="D661"/>
      <c r="E661"/>
      <c r="F661" s="27" t="s">
        <v>7</v>
      </c>
      <c r="I661" s="27" t="s">
        <v>8</v>
      </c>
      <c r="J661" s="27" t="s">
        <v>7</v>
      </c>
      <c r="U661" s="27" t="s">
        <v>8</v>
      </c>
      <c r="V661" s="27" t="s">
        <v>7</v>
      </c>
      <c r="W661" s="27" t="s">
        <v>8</v>
      </c>
      <c r="AB661" s="27" t="s">
        <v>7</v>
      </c>
      <c r="AC661" s="27" t="s">
        <v>8</v>
      </c>
      <c r="AD661" s="27" t="s">
        <v>7</v>
      </c>
      <c r="AF661" s="27" t="s">
        <v>7</v>
      </c>
      <c r="AG661" s="27" t="s">
        <v>8</v>
      </c>
      <c r="BR661" s="27" t="s">
        <v>7</v>
      </c>
      <c r="BS661" s="27" t="s">
        <v>8</v>
      </c>
      <c r="BT661" s="27" t="s">
        <v>7</v>
      </c>
      <c r="BU661" s="27" t="s">
        <v>8</v>
      </c>
      <c r="DA661" s="27" t="s">
        <v>8</v>
      </c>
      <c r="DC661" s="27" t="s">
        <v>8</v>
      </c>
      <c r="DD661" s="27" t="s">
        <v>7</v>
      </c>
      <c r="DE661" s="27" t="s">
        <v>8</v>
      </c>
      <c r="DH661" s="27" t="s">
        <v>7</v>
      </c>
      <c r="DI661" s="27" t="s">
        <v>8</v>
      </c>
      <c r="DJ661" s="27" t="s">
        <v>7</v>
      </c>
      <c r="DK661" s="27" t="s">
        <v>8</v>
      </c>
      <c r="DL661" s="27" t="s">
        <v>7</v>
      </c>
      <c r="DQ661" s="27" t="s">
        <v>8</v>
      </c>
      <c r="DS661" s="27" t="s">
        <v>8</v>
      </c>
      <c r="EP661" s="27" t="s">
        <v>7</v>
      </c>
      <c r="EY661" s="27" t="s">
        <v>8</v>
      </c>
    </row>
    <row r="662" spans="1:163" x14ac:dyDescent="0.25">
      <c r="A662" s="7">
        <v>0.22645771341837515</v>
      </c>
      <c r="B662"/>
      <c r="C662"/>
      <c r="D662"/>
      <c r="E662"/>
      <c r="F662" s="27" t="s">
        <v>7</v>
      </c>
      <c r="I662" s="27" t="s">
        <v>8</v>
      </c>
      <c r="J662" s="27" t="s">
        <v>7</v>
      </c>
      <c r="U662" s="27" t="s">
        <v>8</v>
      </c>
      <c r="V662" s="27" t="s">
        <v>7</v>
      </c>
      <c r="W662" s="27" t="s">
        <v>8</v>
      </c>
      <c r="AB662" s="27" t="s">
        <v>7</v>
      </c>
      <c r="AC662" s="27" t="s">
        <v>8</v>
      </c>
      <c r="AF662" s="27" t="s">
        <v>7</v>
      </c>
      <c r="AG662" s="27" t="s">
        <v>8</v>
      </c>
      <c r="BR662" s="27" t="s">
        <v>7</v>
      </c>
      <c r="BS662" s="27" t="s">
        <v>8</v>
      </c>
      <c r="BT662" s="27" t="s">
        <v>7</v>
      </c>
      <c r="BU662" s="27" t="s">
        <v>8</v>
      </c>
      <c r="BV662" s="27" t="s">
        <v>7</v>
      </c>
      <c r="DA662" s="27" t="s">
        <v>8</v>
      </c>
      <c r="DB662" s="27" t="s">
        <v>7</v>
      </c>
      <c r="DC662" s="27" t="s">
        <v>8</v>
      </c>
      <c r="DD662" s="27" t="s">
        <v>7</v>
      </c>
      <c r="DE662" s="27" t="s">
        <v>8</v>
      </c>
      <c r="DH662" s="27" t="s">
        <v>7</v>
      </c>
      <c r="DI662" s="27" t="s">
        <v>8</v>
      </c>
      <c r="DJ662" s="27" t="s">
        <v>7</v>
      </c>
      <c r="DK662" s="27" t="s">
        <v>8</v>
      </c>
      <c r="DL662" s="27" t="s">
        <v>7</v>
      </c>
      <c r="DQ662" s="27" t="s">
        <v>8</v>
      </c>
      <c r="DR662" s="27" t="s">
        <v>7</v>
      </c>
      <c r="DS662" s="27" t="s">
        <v>8</v>
      </c>
      <c r="EP662" s="27" t="s">
        <v>7</v>
      </c>
      <c r="EQ662" s="27" t="s">
        <v>8</v>
      </c>
      <c r="EY662" s="27" t="s">
        <v>8</v>
      </c>
      <c r="EZ662" s="27" t="s">
        <v>7</v>
      </c>
    </row>
    <row r="663" spans="1:163" x14ac:dyDescent="0.25">
      <c r="A663" s="7">
        <v>0.22201736609644623</v>
      </c>
      <c r="B663"/>
      <c r="C663"/>
      <c r="D663"/>
      <c r="E663"/>
      <c r="F663" s="27" t="s">
        <v>7</v>
      </c>
      <c r="I663" s="27" t="s">
        <v>8</v>
      </c>
      <c r="J663" s="27" t="s">
        <v>7</v>
      </c>
      <c r="U663" s="27" t="s">
        <v>8</v>
      </c>
      <c r="V663" s="27" t="s">
        <v>7</v>
      </c>
      <c r="W663" s="27" t="s">
        <v>8</v>
      </c>
      <c r="AB663" s="27" t="s">
        <v>7</v>
      </c>
      <c r="AC663" s="27" t="s">
        <v>8</v>
      </c>
      <c r="AF663" s="27" t="s">
        <v>7</v>
      </c>
      <c r="AG663" s="27" t="s">
        <v>8</v>
      </c>
      <c r="BR663" s="27" t="s">
        <v>7</v>
      </c>
      <c r="BT663" s="27" t="s">
        <v>7</v>
      </c>
      <c r="BU663" s="27" t="s">
        <v>8</v>
      </c>
      <c r="BV663" s="27" t="s">
        <v>7</v>
      </c>
      <c r="BW663" s="27" t="s">
        <v>8</v>
      </c>
      <c r="DA663" s="27" t="s">
        <v>8</v>
      </c>
      <c r="DB663" s="27" t="s">
        <v>7</v>
      </c>
      <c r="DC663" s="27" t="s">
        <v>8</v>
      </c>
      <c r="DD663" s="27" t="s">
        <v>7</v>
      </c>
      <c r="DH663" s="27" t="s">
        <v>7</v>
      </c>
      <c r="DJ663" s="27" t="s">
        <v>7</v>
      </c>
      <c r="DK663" s="27" t="s">
        <v>8</v>
      </c>
      <c r="DL663" s="27" t="s">
        <v>7</v>
      </c>
      <c r="DQ663" s="27" t="s">
        <v>8</v>
      </c>
      <c r="DR663" s="27" t="s">
        <v>7</v>
      </c>
      <c r="DS663" s="27" t="s">
        <v>8</v>
      </c>
      <c r="EP663" s="27" t="s">
        <v>7</v>
      </c>
      <c r="EQ663" s="27" t="s">
        <v>8</v>
      </c>
      <c r="ER663" s="27" t="s">
        <v>7</v>
      </c>
      <c r="EY663" s="27" t="s">
        <v>8</v>
      </c>
      <c r="EZ663" s="27" t="s">
        <v>7</v>
      </c>
    </row>
    <row r="664" spans="1:163" x14ac:dyDescent="0.25">
      <c r="A664" s="7">
        <v>0.21766408440828061</v>
      </c>
      <c r="B664"/>
      <c r="C664"/>
      <c r="D664"/>
      <c r="E664"/>
      <c r="F664" s="27" t="s">
        <v>7</v>
      </c>
      <c r="I664" s="27" t="s">
        <v>8</v>
      </c>
      <c r="J664" s="27" t="s">
        <v>7</v>
      </c>
      <c r="U664" s="27" t="s">
        <v>8</v>
      </c>
      <c r="V664" s="27" t="s">
        <v>7</v>
      </c>
      <c r="W664" s="27" t="s">
        <v>8</v>
      </c>
      <c r="AB664" s="27" t="s">
        <v>7</v>
      </c>
      <c r="AC664" s="27" t="s">
        <v>8</v>
      </c>
      <c r="AF664" s="27" t="s">
        <v>7</v>
      </c>
      <c r="BT664" s="27" t="s">
        <v>7</v>
      </c>
      <c r="BU664" s="27" t="s">
        <v>8</v>
      </c>
      <c r="BV664" s="27" t="s">
        <v>7</v>
      </c>
      <c r="BW664" s="27" t="s">
        <v>8</v>
      </c>
      <c r="BX664" s="27" t="s">
        <v>7</v>
      </c>
      <c r="DA664" s="27" t="s">
        <v>8</v>
      </c>
      <c r="DB664" s="27" t="s">
        <v>7</v>
      </c>
      <c r="DJ664" s="27" t="s">
        <v>7</v>
      </c>
      <c r="DK664" s="27" t="s">
        <v>8</v>
      </c>
      <c r="DL664" s="27" t="s">
        <v>7</v>
      </c>
      <c r="DM664" s="27" t="s">
        <v>8</v>
      </c>
      <c r="DQ664" s="27" t="s">
        <v>8</v>
      </c>
      <c r="DR664" s="27" t="s">
        <v>7</v>
      </c>
      <c r="EP664" s="27" t="s">
        <v>7</v>
      </c>
      <c r="EQ664" s="27" t="s">
        <v>8</v>
      </c>
      <c r="ER664" s="27" t="s">
        <v>7</v>
      </c>
      <c r="ES664" s="27" t="s">
        <v>8</v>
      </c>
      <c r="EU664" s="27" t="s">
        <v>8</v>
      </c>
      <c r="EW664" s="27" t="s">
        <v>8</v>
      </c>
      <c r="EY664" s="27" t="s">
        <v>8</v>
      </c>
      <c r="EZ664" s="27" t="s">
        <v>7</v>
      </c>
    </row>
    <row r="665" spans="1:163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I665" s="27" t="s">
        <v>8</v>
      </c>
      <c r="J665" s="27" t="s">
        <v>7</v>
      </c>
      <c r="U665" s="27" t="s">
        <v>8</v>
      </c>
      <c r="V665" s="27" t="s">
        <v>7</v>
      </c>
      <c r="W665" s="27" t="s">
        <v>8</v>
      </c>
      <c r="AB665" s="27" t="s">
        <v>7</v>
      </c>
      <c r="AC665" s="27" t="s">
        <v>8</v>
      </c>
      <c r="BT665" s="27" t="s">
        <v>7</v>
      </c>
      <c r="BU665" s="27" t="s">
        <v>8</v>
      </c>
      <c r="BV665" s="27" t="s">
        <v>7</v>
      </c>
      <c r="BW665" s="27" t="s">
        <v>8</v>
      </c>
      <c r="BX665" s="27" t="s">
        <v>7</v>
      </c>
      <c r="DA665" s="27" t="s">
        <v>8</v>
      </c>
      <c r="DJ665" s="27" t="s">
        <v>7</v>
      </c>
      <c r="DL665" s="27" t="s">
        <v>7</v>
      </c>
      <c r="DM665" s="27" t="s">
        <v>8</v>
      </c>
      <c r="DN665" s="27" t="s">
        <v>7</v>
      </c>
      <c r="DO665" s="27" t="s">
        <v>8</v>
      </c>
      <c r="DQ665" s="27" t="s">
        <v>8</v>
      </c>
      <c r="EP665" s="27" t="s">
        <v>7</v>
      </c>
      <c r="EQ665" s="27" t="s">
        <v>8</v>
      </c>
      <c r="ER665" s="27" t="s">
        <v>7</v>
      </c>
      <c r="ES665" s="27" t="s">
        <v>8</v>
      </c>
      <c r="ET665" s="27" t="s">
        <v>7</v>
      </c>
      <c r="EU665" s="27" t="s">
        <v>8</v>
      </c>
      <c r="EV665" s="27" t="s">
        <v>7</v>
      </c>
      <c r="EW665" s="27" t="s">
        <v>8</v>
      </c>
      <c r="EX665" s="27" t="s">
        <v>7</v>
      </c>
      <c r="EY665" s="27" t="s">
        <v>8</v>
      </c>
      <c r="EZ665" s="27" t="s">
        <v>7</v>
      </c>
    </row>
    <row r="666" spans="1:163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I666" s="27" t="s">
        <v>8</v>
      </c>
      <c r="J666" s="27" t="s">
        <v>7</v>
      </c>
      <c r="K666" s="27" t="s">
        <v>8</v>
      </c>
      <c r="U666" s="27" t="s">
        <v>8</v>
      </c>
      <c r="V666" s="27" t="s">
        <v>7</v>
      </c>
      <c r="AB666" s="27" t="s">
        <v>7</v>
      </c>
      <c r="AC666" s="27" t="s">
        <v>8</v>
      </c>
      <c r="BT666" s="27" t="s">
        <v>7</v>
      </c>
      <c r="BU666" s="27" t="s">
        <v>8</v>
      </c>
      <c r="BV666" s="27" t="s">
        <v>7</v>
      </c>
      <c r="BW666" s="27" t="s">
        <v>8</v>
      </c>
      <c r="BX666" s="27" t="s">
        <v>7</v>
      </c>
      <c r="BY666" s="27" t="s">
        <v>8</v>
      </c>
      <c r="DA666" s="27" t="s">
        <v>8</v>
      </c>
      <c r="DL666" s="27" t="s">
        <v>7</v>
      </c>
      <c r="DM666" s="27" t="s">
        <v>8</v>
      </c>
      <c r="DN666" s="27" t="s">
        <v>7</v>
      </c>
      <c r="DO666" s="27" t="s">
        <v>8</v>
      </c>
      <c r="DP666" s="27" t="s">
        <v>7</v>
      </c>
      <c r="DQ666" s="27" t="s">
        <v>8</v>
      </c>
      <c r="EP666" s="27" t="s">
        <v>7</v>
      </c>
      <c r="EQ666" s="27" t="s">
        <v>8</v>
      </c>
      <c r="ER666" s="27" t="s">
        <v>7</v>
      </c>
      <c r="ES666" s="27" t="s">
        <v>8</v>
      </c>
      <c r="ET666" s="27" t="s">
        <v>7</v>
      </c>
      <c r="EU666" s="27" t="s">
        <v>8</v>
      </c>
      <c r="EV666" s="27" t="s">
        <v>7</v>
      </c>
      <c r="EW666" s="27" t="s">
        <v>8</v>
      </c>
      <c r="EX666" s="27" t="s">
        <v>7</v>
      </c>
      <c r="EY666" s="27" t="s">
        <v>8</v>
      </c>
      <c r="EZ666" s="27" t="s">
        <v>7</v>
      </c>
      <c r="FA666" s="27" t="s">
        <v>8</v>
      </c>
      <c r="FC666" s="27" t="s">
        <v>8</v>
      </c>
    </row>
    <row r="667" spans="1:163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  <c r="H667" s="27" t="s">
        <v>7</v>
      </c>
      <c r="I667" s="27" t="s">
        <v>8</v>
      </c>
      <c r="J667" s="27" t="s">
        <v>7</v>
      </c>
      <c r="K667" s="27" t="s">
        <v>8</v>
      </c>
      <c r="L667" s="27" t="s">
        <v>7</v>
      </c>
      <c r="U667" s="27" t="s">
        <v>8</v>
      </c>
      <c r="AB667" s="27" t="s">
        <v>7</v>
      </c>
      <c r="AC667" s="27" t="s">
        <v>8</v>
      </c>
      <c r="BT667" s="27" t="s">
        <v>7</v>
      </c>
      <c r="BU667" s="27" t="s">
        <v>8</v>
      </c>
      <c r="BV667" s="27" t="s">
        <v>7</v>
      </c>
      <c r="BW667" s="27" t="s">
        <v>8</v>
      </c>
      <c r="BX667" s="27" t="s">
        <v>7</v>
      </c>
      <c r="BY667" s="27" t="s">
        <v>8</v>
      </c>
      <c r="BZ667" s="27" t="s">
        <v>7</v>
      </c>
      <c r="DA667" s="27" t="s">
        <v>8</v>
      </c>
      <c r="DL667" s="27" t="s">
        <v>7</v>
      </c>
      <c r="DM667" s="27" t="s">
        <v>8</v>
      </c>
      <c r="DN667" s="27" t="s">
        <v>7</v>
      </c>
      <c r="DO667" s="27" t="s">
        <v>8</v>
      </c>
      <c r="DP667" s="27" t="s">
        <v>7</v>
      </c>
      <c r="DQ667" s="27" t="s">
        <v>8</v>
      </c>
      <c r="EP667" s="27" t="s">
        <v>7</v>
      </c>
      <c r="EQ667" s="27" t="s">
        <v>8</v>
      </c>
      <c r="ER667" s="27" t="s">
        <v>7</v>
      </c>
      <c r="ES667" s="27" t="s">
        <v>8</v>
      </c>
      <c r="ET667" s="27" t="s">
        <v>7</v>
      </c>
      <c r="EU667" s="27" t="s">
        <v>8</v>
      </c>
      <c r="EV667" s="27" t="s">
        <v>7</v>
      </c>
      <c r="EW667" s="27" t="s">
        <v>8</v>
      </c>
      <c r="EX667" s="27" t="s">
        <v>7</v>
      </c>
      <c r="EZ667" s="27" t="s">
        <v>7</v>
      </c>
      <c r="FA667" s="27" t="s">
        <v>8</v>
      </c>
      <c r="FB667" s="27" t="s">
        <v>7</v>
      </c>
      <c r="FC667" s="27" t="s">
        <v>8</v>
      </c>
      <c r="FD667" s="27" t="s">
        <v>7</v>
      </c>
    </row>
    <row r="668" spans="1:163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  <c r="H668" s="27" t="s">
        <v>7</v>
      </c>
      <c r="I668" s="27" t="s">
        <v>8</v>
      </c>
      <c r="J668" s="27" t="s">
        <v>7</v>
      </c>
      <c r="K668" s="27" t="s">
        <v>8</v>
      </c>
      <c r="L668" s="27" t="s">
        <v>7</v>
      </c>
      <c r="U668" s="27" t="s">
        <v>8</v>
      </c>
      <c r="AB668" s="27" t="s">
        <v>7</v>
      </c>
      <c r="AC668" s="27" t="s">
        <v>8</v>
      </c>
      <c r="BT668" s="27" t="s">
        <v>7</v>
      </c>
      <c r="BU668" s="27" t="s">
        <v>8</v>
      </c>
      <c r="BV668" s="27" t="s">
        <v>7</v>
      </c>
      <c r="BW668" s="27" t="s">
        <v>8</v>
      </c>
      <c r="BX668" s="27" t="s">
        <v>7</v>
      </c>
      <c r="BY668" s="27" t="s">
        <v>8</v>
      </c>
      <c r="BZ668" s="27" t="s">
        <v>7</v>
      </c>
      <c r="CY668" s="27" t="s">
        <v>8</v>
      </c>
      <c r="DA668" s="27" t="s">
        <v>8</v>
      </c>
      <c r="DL668" s="27" t="s">
        <v>7</v>
      </c>
      <c r="DM668" s="27" t="s">
        <v>8</v>
      </c>
      <c r="DN668" s="27" t="s">
        <v>7</v>
      </c>
      <c r="DO668" s="27" t="s">
        <v>8</v>
      </c>
      <c r="DP668" s="27" t="s">
        <v>7</v>
      </c>
      <c r="DQ668" s="27" t="s">
        <v>8</v>
      </c>
      <c r="EP668" s="27" t="s">
        <v>7</v>
      </c>
      <c r="EQ668" s="27" t="s">
        <v>8</v>
      </c>
      <c r="ER668" s="27" t="s">
        <v>7</v>
      </c>
      <c r="ES668" s="27" t="s">
        <v>8</v>
      </c>
      <c r="ET668" s="27" t="s">
        <v>7</v>
      </c>
      <c r="EU668" s="27" t="s">
        <v>8</v>
      </c>
      <c r="EV668" s="27" t="s">
        <v>7</v>
      </c>
      <c r="EZ668" s="27" t="s">
        <v>7</v>
      </c>
      <c r="FA668" s="27" t="s">
        <v>8</v>
      </c>
      <c r="FB668" s="27" t="s">
        <v>7</v>
      </c>
      <c r="FC668" s="27" t="s">
        <v>8</v>
      </c>
      <c r="FD668" s="27" t="s">
        <v>7</v>
      </c>
    </row>
    <row r="669" spans="1:163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H669" s="27" t="s">
        <v>7</v>
      </c>
      <c r="I669" s="27" t="s">
        <v>8</v>
      </c>
      <c r="J669" s="27" t="s">
        <v>7</v>
      </c>
      <c r="K669" s="27" t="s">
        <v>8</v>
      </c>
      <c r="L669" s="27" t="s">
        <v>7</v>
      </c>
      <c r="U669" s="27" t="s">
        <v>8</v>
      </c>
      <c r="AB669" s="27" t="s">
        <v>7</v>
      </c>
      <c r="AC669" s="27" t="s">
        <v>8</v>
      </c>
      <c r="BT669" s="27" t="s">
        <v>7</v>
      </c>
      <c r="BU669" s="27" t="s">
        <v>8</v>
      </c>
      <c r="BV669" s="27" t="s">
        <v>7</v>
      </c>
      <c r="BW669" s="27" t="s">
        <v>8</v>
      </c>
      <c r="BX669" s="27" t="s">
        <v>7</v>
      </c>
      <c r="BY669" s="27" t="s">
        <v>8</v>
      </c>
      <c r="BZ669" s="27" t="s">
        <v>7</v>
      </c>
      <c r="CA669" s="27" t="s">
        <v>8</v>
      </c>
      <c r="CC669" s="27" t="s">
        <v>8</v>
      </c>
      <c r="CY669" s="27" t="s">
        <v>8</v>
      </c>
      <c r="CZ669" s="27" t="s">
        <v>7</v>
      </c>
      <c r="DA669" s="27" t="s">
        <v>8</v>
      </c>
      <c r="DL669" s="27" t="s">
        <v>7</v>
      </c>
      <c r="DM669" s="27" t="s">
        <v>8</v>
      </c>
      <c r="DN669" s="27" t="s">
        <v>7</v>
      </c>
      <c r="DP669" s="27" t="s">
        <v>7</v>
      </c>
      <c r="EP669" s="27" t="s">
        <v>7</v>
      </c>
      <c r="EQ669" s="27" t="s">
        <v>8</v>
      </c>
      <c r="ER669" s="27" t="s">
        <v>7</v>
      </c>
      <c r="ES669" s="27" t="s">
        <v>8</v>
      </c>
      <c r="ET669" s="27" t="s">
        <v>7</v>
      </c>
      <c r="EZ669" s="27" t="s">
        <v>7</v>
      </c>
      <c r="FB669" s="27" t="s">
        <v>7</v>
      </c>
      <c r="FD669" s="27" t="s">
        <v>7</v>
      </c>
    </row>
    <row r="670" spans="1:163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I670" s="27" t="s">
        <v>8</v>
      </c>
      <c r="J670" s="27" t="s">
        <v>7</v>
      </c>
      <c r="K670" s="27" t="s">
        <v>8</v>
      </c>
      <c r="L670" s="27" t="s">
        <v>7</v>
      </c>
      <c r="U670" s="27" t="s">
        <v>8</v>
      </c>
      <c r="AB670" s="27" t="s">
        <v>7</v>
      </c>
      <c r="AC670" s="27" t="s">
        <v>8</v>
      </c>
      <c r="BT670" s="27" t="s">
        <v>7</v>
      </c>
      <c r="BU670" s="27" t="s">
        <v>8</v>
      </c>
      <c r="BV670" s="27" t="s">
        <v>7</v>
      </c>
      <c r="BW670" s="27" t="s">
        <v>8</v>
      </c>
      <c r="BX670" s="27" t="s">
        <v>7</v>
      </c>
      <c r="BY670" s="27" t="s">
        <v>8</v>
      </c>
      <c r="BZ670" s="27" t="s">
        <v>7</v>
      </c>
      <c r="CA670" s="27" t="s">
        <v>8</v>
      </c>
      <c r="CB670" s="27" t="s">
        <v>7</v>
      </c>
      <c r="CC670" s="27" t="s">
        <v>8</v>
      </c>
      <c r="CD670" s="27" t="s">
        <v>7</v>
      </c>
      <c r="CU670" s="27" t="s">
        <v>8</v>
      </c>
      <c r="CW670" s="27" t="s">
        <v>8</v>
      </c>
      <c r="CY670" s="27" t="s">
        <v>8</v>
      </c>
      <c r="CZ670" s="27" t="s">
        <v>7</v>
      </c>
      <c r="DA670" s="27" t="s">
        <v>8</v>
      </c>
      <c r="DL670" s="27" t="s">
        <v>7</v>
      </c>
      <c r="EP670" s="27" t="s">
        <v>7</v>
      </c>
      <c r="ER670" s="27" t="s">
        <v>7</v>
      </c>
      <c r="FD670" s="27" t="s">
        <v>7</v>
      </c>
    </row>
    <row r="671" spans="1:163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I671" s="27" t="s">
        <v>8</v>
      </c>
      <c r="J671" s="27" t="s">
        <v>7</v>
      </c>
      <c r="K671" s="27" t="s">
        <v>8</v>
      </c>
      <c r="L671" s="27" t="s">
        <v>7</v>
      </c>
      <c r="U671" s="27" t="s">
        <v>8</v>
      </c>
      <c r="AB671" s="27" t="s">
        <v>7</v>
      </c>
      <c r="AC671" s="27" t="s">
        <v>8</v>
      </c>
      <c r="BT671" s="27" t="s">
        <v>7</v>
      </c>
      <c r="BU671" s="27" t="s">
        <v>8</v>
      </c>
      <c r="BV671" s="27" t="s">
        <v>7</v>
      </c>
      <c r="BW671" s="27" t="s">
        <v>8</v>
      </c>
      <c r="BX671" s="27" t="s">
        <v>7</v>
      </c>
      <c r="BY671" s="27" t="s">
        <v>8</v>
      </c>
      <c r="BZ671" s="27" t="s">
        <v>7</v>
      </c>
      <c r="CA671" s="27" t="s">
        <v>8</v>
      </c>
      <c r="CB671" s="27" t="s">
        <v>7</v>
      </c>
      <c r="CC671" s="27" t="s">
        <v>8</v>
      </c>
      <c r="CD671" s="27" t="s">
        <v>7</v>
      </c>
      <c r="CU671" s="27" t="s">
        <v>8</v>
      </c>
      <c r="CV671" s="27" t="s">
        <v>7</v>
      </c>
      <c r="CW671" s="27" t="s">
        <v>8</v>
      </c>
      <c r="CX671" s="27" t="s">
        <v>7</v>
      </c>
      <c r="CY671" s="27" t="s">
        <v>8</v>
      </c>
      <c r="CZ671" s="27" t="s">
        <v>7</v>
      </c>
      <c r="DA671" s="27" t="s">
        <v>8</v>
      </c>
      <c r="FD671" s="27" t="s">
        <v>7</v>
      </c>
    </row>
    <row r="672" spans="1:163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I672" s="27" t="s">
        <v>8</v>
      </c>
      <c r="J672" s="27" t="s">
        <v>7</v>
      </c>
      <c r="K672" s="27" t="s">
        <v>8</v>
      </c>
      <c r="L672" s="27" t="s">
        <v>7</v>
      </c>
      <c r="U672" s="27" t="s">
        <v>8</v>
      </c>
      <c r="AB672" s="27" t="s">
        <v>7</v>
      </c>
      <c r="BT672" s="27" t="s">
        <v>7</v>
      </c>
      <c r="BU672" s="27" t="s">
        <v>8</v>
      </c>
      <c r="BV672" s="27" t="s">
        <v>7</v>
      </c>
      <c r="BW672" s="27" t="s">
        <v>8</v>
      </c>
      <c r="BX672" s="27" t="s">
        <v>7</v>
      </c>
      <c r="BZ672" s="27" t="s">
        <v>7</v>
      </c>
      <c r="CA672" s="27" t="s">
        <v>8</v>
      </c>
      <c r="CB672" s="27" t="s">
        <v>7</v>
      </c>
      <c r="CC672" s="27" t="s">
        <v>8</v>
      </c>
      <c r="CD672" s="27" t="s">
        <v>7</v>
      </c>
      <c r="CU672" s="27" t="s">
        <v>8</v>
      </c>
      <c r="CV672" s="27" t="s">
        <v>7</v>
      </c>
      <c r="CW672" s="27" t="s">
        <v>8</v>
      </c>
      <c r="CX672" s="27" t="s">
        <v>7</v>
      </c>
      <c r="CY672" s="27" t="s">
        <v>8</v>
      </c>
      <c r="CZ672" s="27" t="s">
        <v>7</v>
      </c>
      <c r="DA672" s="27" t="s">
        <v>8</v>
      </c>
      <c r="FD672" s="27" t="s">
        <v>7</v>
      </c>
      <c r="FE672" s="27" t="s">
        <v>8</v>
      </c>
      <c r="FG672" s="27" t="s">
        <v>8</v>
      </c>
    </row>
    <row r="673" spans="1:166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  <c r="H673" s="27" t="s">
        <v>7</v>
      </c>
      <c r="I673" s="27" t="s">
        <v>8</v>
      </c>
      <c r="J673" s="27" t="s">
        <v>7</v>
      </c>
      <c r="K673" s="27" t="s">
        <v>8</v>
      </c>
      <c r="L673" s="27" t="s">
        <v>7</v>
      </c>
      <c r="U673" s="27" t="s">
        <v>8</v>
      </c>
      <c r="BT673" s="27" t="s">
        <v>7</v>
      </c>
      <c r="BU673" s="27" t="s">
        <v>8</v>
      </c>
      <c r="BV673" s="27" t="s">
        <v>7</v>
      </c>
      <c r="BW673" s="27" t="s">
        <v>8</v>
      </c>
      <c r="BZ673" s="27" t="s">
        <v>7</v>
      </c>
      <c r="CA673" s="27" t="s">
        <v>8</v>
      </c>
      <c r="CB673" s="27" t="s">
        <v>7</v>
      </c>
      <c r="CC673" s="27" t="s">
        <v>8</v>
      </c>
      <c r="CD673" s="27" t="s">
        <v>7</v>
      </c>
      <c r="CU673" s="27" t="s">
        <v>8</v>
      </c>
      <c r="CV673" s="27" t="s">
        <v>7</v>
      </c>
      <c r="CW673" s="27" t="s">
        <v>8</v>
      </c>
      <c r="CX673" s="27" t="s">
        <v>7</v>
      </c>
      <c r="CZ673" s="27" t="s">
        <v>7</v>
      </c>
      <c r="FD673" s="27" t="s">
        <v>7</v>
      </c>
      <c r="FE673" s="27" t="s">
        <v>8</v>
      </c>
      <c r="FF673" s="27" t="s">
        <v>7</v>
      </c>
      <c r="FG673" s="27" t="s">
        <v>8</v>
      </c>
      <c r="FH673" s="27" t="s">
        <v>7</v>
      </c>
    </row>
    <row r="674" spans="1:166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H674" s="27" t="s">
        <v>7</v>
      </c>
      <c r="I674" s="27" t="s">
        <v>8</v>
      </c>
      <c r="J674" s="27" t="s">
        <v>7</v>
      </c>
      <c r="K674" s="27" t="s">
        <v>8</v>
      </c>
      <c r="L674" s="27" t="s">
        <v>7</v>
      </c>
      <c r="O674" s="27" t="s">
        <v>8</v>
      </c>
      <c r="Q674" s="27" t="s">
        <v>8</v>
      </c>
      <c r="U674" s="27" t="s">
        <v>8</v>
      </c>
      <c r="BT674" s="27" t="s">
        <v>7</v>
      </c>
      <c r="BU674" s="27" t="s">
        <v>8</v>
      </c>
      <c r="BV674" s="27" t="s">
        <v>7</v>
      </c>
      <c r="BW674" s="27" t="s">
        <v>8</v>
      </c>
      <c r="BZ674" s="27" t="s">
        <v>7</v>
      </c>
      <c r="CA674" s="27" t="s">
        <v>8</v>
      </c>
      <c r="CB674" s="27" t="s">
        <v>7</v>
      </c>
      <c r="CD674" s="27" t="s">
        <v>7</v>
      </c>
      <c r="CU674" s="27" t="s">
        <v>8</v>
      </c>
      <c r="CV674" s="27" t="s">
        <v>7</v>
      </c>
      <c r="FD674" s="27" t="s">
        <v>7</v>
      </c>
      <c r="FE674" s="27" t="s">
        <v>8</v>
      </c>
      <c r="FF674" s="27" t="s">
        <v>7</v>
      </c>
      <c r="FG674" s="27" t="s">
        <v>8</v>
      </c>
      <c r="FH674" s="27" t="s">
        <v>7</v>
      </c>
    </row>
    <row r="675" spans="1:166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I675" s="27" t="s">
        <v>8</v>
      </c>
      <c r="J675" s="27" t="s">
        <v>7</v>
      </c>
      <c r="K675" s="27" t="s">
        <v>8</v>
      </c>
      <c r="L675" s="27" t="s">
        <v>7</v>
      </c>
      <c r="O675" s="27" t="s">
        <v>8</v>
      </c>
      <c r="P675" s="27" t="s">
        <v>7</v>
      </c>
      <c r="Q675" s="27" t="s">
        <v>8</v>
      </c>
      <c r="R675" s="27" t="s">
        <v>7</v>
      </c>
      <c r="U675" s="27" t="s">
        <v>8</v>
      </c>
      <c r="BT675" s="27" t="s">
        <v>7</v>
      </c>
      <c r="BV675" s="27" t="s">
        <v>7</v>
      </c>
      <c r="BZ675" s="27" t="s">
        <v>7</v>
      </c>
      <c r="CA675" s="27" t="s">
        <v>8</v>
      </c>
      <c r="CD675" s="27" t="s">
        <v>7</v>
      </c>
      <c r="CM675" s="27" t="s">
        <v>8</v>
      </c>
      <c r="CU675" s="27" t="s">
        <v>8</v>
      </c>
      <c r="FD675" s="27" t="s">
        <v>7</v>
      </c>
      <c r="FE675" s="27" t="s">
        <v>8</v>
      </c>
      <c r="FF675" s="27" t="s">
        <v>7</v>
      </c>
      <c r="FH675" s="27" t="s">
        <v>7</v>
      </c>
    </row>
    <row r="676" spans="1:166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I676" s="27" t="s">
        <v>8</v>
      </c>
      <c r="J676" s="27" t="s">
        <v>7</v>
      </c>
      <c r="L676" s="27" t="s">
        <v>7</v>
      </c>
      <c r="M676" s="27" t="s">
        <v>8</v>
      </c>
      <c r="O676" s="27" t="s">
        <v>8</v>
      </c>
      <c r="P676" s="27" t="s">
        <v>7</v>
      </c>
      <c r="Q676" s="27" t="s">
        <v>8</v>
      </c>
      <c r="R676" s="27" t="s">
        <v>7</v>
      </c>
      <c r="U676" s="27" t="s">
        <v>8</v>
      </c>
      <c r="BZ676" s="27" t="s">
        <v>7</v>
      </c>
      <c r="CA676" s="27" t="s">
        <v>8</v>
      </c>
      <c r="CD676" s="27" t="s">
        <v>7</v>
      </c>
      <c r="CM676" s="27" t="s">
        <v>8</v>
      </c>
      <c r="CN676" s="27" t="s">
        <v>7</v>
      </c>
      <c r="CU676" s="27" t="s">
        <v>8</v>
      </c>
      <c r="FD676" s="27" t="s">
        <v>7</v>
      </c>
      <c r="FH676" s="27" t="s">
        <v>7</v>
      </c>
    </row>
    <row r="677" spans="1:166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I677" s="27" t="s">
        <v>8</v>
      </c>
      <c r="L677" s="27" t="s">
        <v>7</v>
      </c>
      <c r="M677" s="27" t="s">
        <v>8</v>
      </c>
      <c r="N677" s="27" t="s">
        <v>7</v>
      </c>
      <c r="O677" s="27" t="s">
        <v>8</v>
      </c>
      <c r="P677" s="27" t="s">
        <v>7</v>
      </c>
      <c r="Q677" s="27" t="s">
        <v>8</v>
      </c>
      <c r="R677" s="27" t="s">
        <v>7</v>
      </c>
      <c r="S677" s="27" t="s">
        <v>8</v>
      </c>
      <c r="U677" s="27" t="s">
        <v>8</v>
      </c>
      <c r="BZ677" s="27" t="s">
        <v>7</v>
      </c>
      <c r="CA677" s="27" t="s">
        <v>8</v>
      </c>
      <c r="CD677" s="27" t="s">
        <v>7</v>
      </c>
      <c r="CK677" s="27" t="s">
        <v>8</v>
      </c>
      <c r="CM677" s="27" t="s">
        <v>8</v>
      </c>
      <c r="CN677" s="27" t="s">
        <v>7</v>
      </c>
      <c r="CO677" s="27" t="s">
        <v>8</v>
      </c>
      <c r="CU677" s="27" t="s">
        <v>8</v>
      </c>
      <c r="FH677" s="27" t="s">
        <v>7</v>
      </c>
    </row>
    <row r="678" spans="1:166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I678" s="27" t="s">
        <v>8</v>
      </c>
      <c r="L678" s="27" t="s">
        <v>7</v>
      </c>
      <c r="M678" s="27" t="s">
        <v>8</v>
      </c>
      <c r="N678" s="27" t="s">
        <v>7</v>
      </c>
      <c r="O678" s="27" t="s">
        <v>8</v>
      </c>
      <c r="P678" s="27" t="s">
        <v>7</v>
      </c>
      <c r="Q678" s="27" t="s">
        <v>8</v>
      </c>
      <c r="R678" s="27" t="s">
        <v>7</v>
      </c>
      <c r="S678" s="27" t="s">
        <v>8</v>
      </c>
      <c r="T678" s="27" t="s">
        <v>7</v>
      </c>
      <c r="U678" s="27" t="s">
        <v>8</v>
      </c>
      <c r="BZ678" s="27" t="s">
        <v>7</v>
      </c>
      <c r="CD678" s="27" t="s">
        <v>7</v>
      </c>
      <c r="CK678" s="27" t="s">
        <v>8</v>
      </c>
      <c r="CL678" s="27" t="s">
        <v>7</v>
      </c>
      <c r="CM678" s="27" t="s">
        <v>8</v>
      </c>
      <c r="CN678" s="27" t="s">
        <v>7</v>
      </c>
      <c r="CO678" s="27" t="s">
        <v>8</v>
      </c>
      <c r="CP678" s="27" t="s">
        <v>7</v>
      </c>
      <c r="CQ678" s="27" t="s">
        <v>8</v>
      </c>
      <c r="CU678" s="27" t="s">
        <v>8</v>
      </c>
      <c r="FH678" s="27" t="s">
        <v>7</v>
      </c>
    </row>
    <row r="679" spans="1:166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I679" s="27" t="s">
        <v>8</v>
      </c>
      <c r="L679" s="27" t="s">
        <v>7</v>
      </c>
      <c r="M679" s="27" t="s">
        <v>8</v>
      </c>
      <c r="N679" s="27" t="s">
        <v>7</v>
      </c>
      <c r="O679" s="27" t="s">
        <v>8</v>
      </c>
      <c r="P679" s="27" t="s">
        <v>7</v>
      </c>
      <c r="Q679" s="27" t="s">
        <v>8</v>
      </c>
      <c r="R679" s="27" t="s">
        <v>7</v>
      </c>
      <c r="S679" s="27" t="s">
        <v>8</v>
      </c>
      <c r="T679" s="27" t="s">
        <v>7</v>
      </c>
      <c r="U679" s="27" t="s">
        <v>8</v>
      </c>
      <c r="CD679" s="27" t="s">
        <v>7</v>
      </c>
      <c r="CK679" s="27" t="s">
        <v>8</v>
      </c>
      <c r="CL679" s="27" t="s">
        <v>7</v>
      </c>
      <c r="CM679" s="27" t="s">
        <v>8</v>
      </c>
      <c r="CN679" s="27" t="s">
        <v>7</v>
      </c>
      <c r="CO679" s="27" t="s">
        <v>8</v>
      </c>
      <c r="CP679" s="27" t="s">
        <v>7</v>
      </c>
      <c r="CQ679" s="27" t="s">
        <v>8</v>
      </c>
      <c r="CR679" s="27" t="s">
        <v>7</v>
      </c>
      <c r="CS679" s="27" t="s">
        <v>8</v>
      </c>
      <c r="CU679" s="27" t="s">
        <v>8</v>
      </c>
      <c r="FH679" s="27" t="s">
        <v>7</v>
      </c>
    </row>
    <row r="680" spans="1:166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I680" s="27" t="s">
        <v>8</v>
      </c>
      <c r="L680" s="27" t="s">
        <v>7</v>
      </c>
      <c r="M680" s="27" t="s">
        <v>8</v>
      </c>
      <c r="N680" s="27" t="s">
        <v>7</v>
      </c>
      <c r="O680" s="27" t="s">
        <v>8</v>
      </c>
      <c r="P680" s="27" t="s">
        <v>7</v>
      </c>
      <c r="Q680" s="27" t="s">
        <v>8</v>
      </c>
      <c r="R680" s="27" t="s">
        <v>7</v>
      </c>
      <c r="T680" s="27" t="s">
        <v>7</v>
      </c>
      <c r="CD680" s="27" t="s">
        <v>7</v>
      </c>
      <c r="CI680" s="27" t="s">
        <v>8</v>
      </c>
      <c r="CK680" s="27" t="s">
        <v>8</v>
      </c>
      <c r="CL680" s="27" t="s">
        <v>7</v>
      </c>
      <c r="CM680" s="27" t="s">
        <v>8</v>
      </c>
      <c r="CN680" s="27" t="s">
        <v>7</v>
      </c>
      <c r="CP680" s="27" t="s">
        <v>7</v>
      </c>
      <c r="CQ680" s="27" t="s">
        <v>8</v>
      </c>
      <c r="CR680" s="27" t="s">
        <v>7</v>
      </c>
      <c r="CS680" s="27" t="s">
        <v>8</v>
      </c>
      <c r="CT680" s="27" t="s">
        <v>7</v>
      </c>
      <c r="CU680" s="27" t="s">
        <v>8</v>
      </c>
      <c r="FH680" s="27" t="s">
        <v>7</v>
      </c>
    </row>
    <row r="681" spans="1:166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I681" s="27" t="s">
        <v>8</v>
      </c>
      <c r="L681" s="27" t="s">
        <v>7</v>
      </c>
      <c r="M681" s="27" t="s">
        <v>8</v>
      </c>
      <c r="N681" s="27" t="s">
        <v>7</v>
      </c>
      <c r="O681" s="27" t="s">
        <v>8</v>
      </c>
      <c r="P681" s="27" t="s">
        <v>7</v>
      </c>
      <c r="Q681" s="27" t="s">
        <v>8</v>
      </c>
      <c r="CD681" s="27" t="s">
        <v>7</v>
      </c>
      <c r="CE681" s="27" t="s">
        <v>8</v>
      </c>
      <c r="CG681" s="27" t="s">
        <v>8</v>
      </c>
      <c r="CI681" s="27" t="s">
        <v>8</v>
      </c>
      <c r="CJ681" s="27" t="s">
        <v>7</v>
      </c>
      <c r="CK681" s="27" t="s">
        <v>8</v>
      </c>
      <c r="CL681" s="27" t="s">
        <v>7</v>
      </c>
      <c r="CM681" s="27" t="s">
        <v>8</v>
      </c>
      <c r="CP681" s="27" t="s">
        <v>7</v>
      </c>
      <c r="CR681" s="27" t="s">
        <v>7</v>
      </c>
      <c r="CS681" s="27" t="s">
        <v>8</v>
      </c>
      <c r="CT681" s="27" t="s">
        <v>7</v>
      </c>
      <c r="CU681" s="27" t="s">
        <v>8</v>
      </c>
      <c r="FH681" s="27" t="s">
        <v>7</v>
      </c>
    </row>
    <row r="682" spans="1:166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I682" s="27" t="s">
        <v>8</v>
      </c>
      <c r="L682" s="27" t="s">
        <v>7</v>
      </c>
      <c r="M682" s="27" t="s">
        <v>8</v>
      </c>
      <c r="N682" s="27" t="s">
        <v>7</v>
      </c>
      <c r="O682" s="27" t="s">
        <v>8</v>
      </c>
      <c r="P682" s="27" t="s">
        <v>7</v>
      </c>
      <c r="Q682" s="27" t="s">
        <v>8</v>
      </c>
      <c r="CD682" s="27" t="s">
        <v>7</v>
      </c>
      <c r="CE682" s="27" t="s">
        <v>8</v>
      </c>
      <c r="CF682" s="27" t="s">
        <v>7</v>
      </c>
      <c r="CG682" s="27" t="s">
        <v>8</v>
      </c>
      <c r="CH682" s="27" t="s">
        <v>7</v>
      </c>
      <c r="CI682" s="27" t="s">
        <v>8</v>
      </c>
      <c r="CJ682" s="27" t="s">
        <v>7</v>
      </c>
      <c r="CK682" s="27" t="s">
        <v>8</v>
      </c>
      <c r="CL682" s="27" t="s">
        <v>7</v>
      </c>
      <c r="CR682" s="27" t="s">
        <v>7</v>
      </c>
      <c r="CS682" s="27" t="s">
        <v>8</v>
      </c>
      <c r="CT682" s="27" t="s">
        <v>7</v>
      </c>
      <c r="FH682" s="27" t="s">
        <v>7</v>
      </c>
    </row>
    <row r="683" spans="1:166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I683" s="27" t="s">
        <v>8</v>
      </c>
      <c r="L683" s="27" t="s">
        <v>7</v>
      </c>
      <c r="M683" s="27" t="s">
        <v>8</v>
      </c>
      <c r="N683" s="27" t="s">
        <v>7</v>
      </c>
      <c r="O683" s="27" t="s">
        <v>8</v>
      </c>
      <c r="P683" s="27" t="s">
        <v>7</v>
      </c>
      <c r="CD683" s="27" t="s">
        <v>7</v>
      </c>
      <c r="CE683" s="27" t="s">
        <v>8</v>
      </c>
      <c r="CF683" s="27" t="s">
        <v>7</v>
      </c>
      <c r="CG683" s="27" t="s">
        <v>8</v>
      </c>
      <c r="CH683" s="27" t="s">
        <v>7</v>
      </c>
      <c r="CI683" s="27" t="s">
        <v>8</v>
      </c>
      <c r="CJ683" s="27" t="s">
        <v>7</v>
      </c>
      <c r="CR683" s="18" t="s">
        <v>7</v>
      </c>
      <c r="CS683" s="27" t="s">
        <v>8</v>
      </c>
      <c r="FH683" s="27" t="s">
        <v>7</v>
      </c>
    </row>
    <row r="684" spans="1:166" x14ac:dyDescent="0.25">
      <c r="A684" s="7">
        <v>0.14648168905398537</v>
      </c>
      <c r="B684"/>
      <c r="C684"/>
      <c r="D684"/>
      <c r="E684"/>
      <c r="F684" s="27" t="s">
        <v>7</v>
      </c>
      <c r="H684" s="27" t="s">
        <v>7</v>
      </c>
      <c r="I684" s="27" t="s">
        <v>8</v>
      </c>
      <c r="L684" s="27" t="s">
        <v>7</v>
      </c>
      <c r="N684" s="27" t="s">
        <v>7</v>
      </c>
      <c r="O684" s="27" t="s">
        <v>8</v>
      </c>
      <c r="CD684" s="27" t="s">
        <v>7</v>
      </c>
      <c r="CE684" s="27" t="s">
        <v>8</v>
      </c>
      <c r="CF684" s="27" t="s">
        <v>7</v>
      </c>
      <c r="CG684" s="27" t="s">
        <v>8</v>
      </c>
      <c r="CH684" s="27" t="s">
        <v>7</v>
      </c>
      <c r="CI684" s="27" t="s">
        <v>8</v>
      </c>
      <c r="CR684" s="27" t="s">
        <v>7</v>
      </c>
      <c r="FH684" s="27" t="s">
        <v>7</v>
      </c>
      <c r="FI684" s="27" t="s">
        <v>8</v>
      </c>
    </row>
    <row r="685" spans="1:166" x14ac:dyDescent="0.25">
      <c r="A685" s="7">
        <v>0.14360949907253467</v>
      </c>
      <c r="B685"/>
      <c r="C685"/>
      <c r="D685"/>
      <c r="E685"/>
      <c r="H685" s="27" t="s">
        <v>7</v>
      </c>
      <c r="I685" s="27" t="s">
        <v>8</v>
      </c>
      <c r="N685" s="27" t="s">
        <v>7</v>
      </c>
      <c r="O685" s="27" t="s">
        <v>8</v>
      </c>
      <c r="CD685" s="27" t="s">
        <v>7</v>
      </c>
      <c r="CE685" s="27" t="s">
        <v>8</v>
      </c>
      <c r="CF685" s="27" t="s">
        <v>7</v>
      </c>
      <c r="CH685" s="27" t="s">
        <v>7</v>
      </c>
      <c r="CI685" s="27" t="s">
        <v>8</v>
      </c>
      <c r="FH685" s="27" t="s">
        <v>7</v>
      </c>
      <c r="FI685" s="27" t="s">
        <v>8</v>
      </c>
      <c r="FJ685" s="27" t="s">
        <v>7</v>
      </c>
    </row>
    <row r="686" spans="1:166" x14ac:dyDescent="0.25">
      <c r="A686" s="7">
        <v>0.14079362654170066</v>
      </c>
      <c r="B686"/>
      <c r="C686"/>
      <c r="D686"/>
      <c r="E686"/>
      <c r="H686" s="27" t="s">
        <v>7</v>
      </c>
      <c r="I686" s="27" t="s">
        <v>8</v>
      </c>
      <c r="N686" s="27" t="s">
        <v>7</v>
      </c>
      <c r="O686" s="27" t="s">
        <v>8</v>
      </c>
      <c r="CD686" s="27" t="s">
        <v>7</v>
      </c>
      <c r="CE686" s="27" t="s">
        <v>8</v>
      </c>
      <c r="CH686" s="27" t="s">
        <v>7</v>
      </c>
      <c r="CI686" s="27" t="s">
        <v>8</v>
      </c>
      <c r="FH686" s="27" t="s">
        <v>7</v>
      </c>
      <c r="FI686" s="27" t="s">
        <v>8</v>
      </c>
      <c r="FJ686" s="27" t="s">
        <v>7</v>
      </c>
    </row>
    <row r="687" spans="1:166" x14ac:dyDescent="0.25">
      <c r="A687" s="7">
        <v>0.13803296719774574</v>
      </c>
      <c r="B687"/>
      <c r="C687"/>
      <c r="D687"/>
      <c r="E687"/>
      <c r="H687" s="27" t="s">
        <v>7</v>
      </c>
      <c r="I687" s="27" t="s">
        <v>8</v>
      </c>
      <c r="N687" s="27" t="s">
        <v>7</v>
      </c>
      <c r="O687" s="27" t="s">
        <v>8</v>
      </c>
      <c r="CD687" s="27" t="s">
        <v>7</v>
      </c>
      <c r="CE687" s="27" t="s">
        <v>8</v>
      </c>
      <c r="CH687" s="27" t="s">
        <v>7</v>
      </c>
      <c r="FH687" s="27" t="s">
        <v>7</v>
      </c>
      <c r="FJ687" s="27" t="s">
        <v>7</v>
      </c>
    </row>
    <row r="688" spans="1:166" x14ac:dyDescent="0.25">
      <c r="A688" s="7">
        <v>0.1353264384291625</v>
      </c>
      <c r="B688"/>
      <c r="C688"/>
      <c r="D688"/>
      <c r="E688"/>
      <c r="H688" s="27" t="s">
        <v>7</v>
      </c>
      <c r="I688" s="27" t="s">
        <v>8</v>
      </c>
      <c r="N688" s="27" t="s">
        <v>7</v>
      </c>
      <c r="O688" s="27" t="s">
        <v>8</v>
      </c>
      <c r="CD688" s="27" t="s">
        <v>7</v>
      </c>
      <c r="CE688" s="27" t="s">
        <v>8</v>
      </c>
      <c r="FJ688" s="27" t="s">
        <v>7</v>
      </c>
    </row>
    <row r="689" spans="1:166" x14ac:dyDescent="0.25">
      <c r="A689" s="7">
        <v>0.13267297885212009</v>
      </c>
      <c r="B689"/>
      <c r="C689"/>
      <c r="D689"/>
      <c r="E689"/>
      <c r="H689" s="27" t="s">
        <v>7</v>
      </c>
      <c r="N689" s="27" t="s">
        <v>7</v>
      </c>
      <c r="O689" s="27" t="s">
        <v>8</v>
      </c>
      <c r="CD689" s="27" t="s">
        <v>7</v>
      </c>
      <c r="CE689" s="27" t="s">
        <v>8</v>
      </c>
      <c r="FJ689" s="27" t="s">
        <v>7</v>
      </c>
    </row>
    <row r="690" spans="1:166" x14ac:dyDescent="0.25">
      <c r="A690" s="7">
        <v>0.13007154789423539</v>
      </c>
      <c r="B690"/>
      <c r="C690"/>
      <c r="D690"/>
      <c r="E690"/>
      <c r="N690" s="27" t="s">
        <v>7</v>
      </c>
      <c r="O690" s="27" t="s">
        <v>8</v>
      </c>
      <c r="CD690" s="27" t="s">
        <v>7</v>
      </c>
      <c r="CE690" s="27" t="s">
        <v>8</v>
      </c>
      <c r="FJ690" s="27" t="s">
        <v>7</v>
      </c>
    </row>
    <row r="691" spans="1:166" x14ac:dyDescent="0.25">
      <c r="A691" s="7">
        <v>0.12752112538650529</v>
      </c>
      <c r="B691"/>
      <c r="C691"/>
      <c r="D691"/>
      <c r="E691"/>
      <c r="N691" s="27" t="s">
        <v>7</v>
      </c>
      <c r="CD691" s="27" t="s">
        <v>7</v>
      </c>
      <c r="CE691" s="27" t="s">
        <v>8</v>
      </c>
      <c r="FJ691" s="27" t="s">
        <v>7</v>
      </c>
    </row>
    <row r="692" spans="1:166" x14ac:dyDescent="0.25">
      <c r="A692" s="7">
        <v>0.12502071116324048</v>
      </c>
      <c r="B692"/>
      <c r="C692"/>
      <c r="D692"/>
      <c r="E692"/>
      <c r="CD692" s="27" t="s">
        <v>7</v>
      </c>
      <c r="FJ692" s="27" t="s">
        <v>7</v>
      </c>
    </row>
    <row r="693" spans="1:166" x14ac:dyDescent="0.25">
      <c r="A693" s="7">
        <v>0.1225693246698436</v>
      </c>
      <c r="B693"/>
      <c r="C693"/>
      <c r="D693"/>
      <c r="E693"/>
      <c r="FJ693" s="27" t="s">
        <v>7</v>
      </c>
    </row>
    <row r="694" spans="1:166" x14ac:dyDescent="0.25">
      <c r="A694" s="7">
        <v>0.12016600457827803</v>
      </c>
      <c r="B694"/>
      <c r="C694"/>
      <c r="D694"/>
      <c r="E694"/>
      <c r="FJ694" s="27" t="s">
        <v>7</v>
      </c>
    </row>
    <row r="695" spans="1:166" x14ac:dyDescent="0.25">
      <c r="A695" s="7">
        <v>0.1178098084100765</v>
      </c>
      <c r="B695"/>
      <c r="C695"/>
      <c r="D695"/>
      <c r="E695"/>
      <c r="FJ695" s="27" t="s">
        <v>7</v>
      </c>
    </row>
    <row r="696" spans="1:166" x14ac:dyDescent="0.25">
      <c r="A696" s="7">
        <v>0.11549981216674166</v>
      </c>
      <c r="B696"/>
      <c r="C696"/>
      <c r="D696"/>
      <c r="E696"/>
      <c r="FJ696" s="27" t="s">
        <v>7</v>
      </c>
    </row>
    <row r="697" spans="1:166" x14ac:dyDescent="0.25">
      <c r="A697" s="7">
        <v>0.11323510996739378</v>
      </c>
      <c r="B697"/>
      <c r="C697"/>
      <c r="D697"/>
      <c r="E697"/>
    </row>
    <row r="698" spans="1:166" x14ac:dyDescent="0.25">
      <c r="A698" s="7">
        <v>0.11101481369352331</v>
      </c>
      <c r="B698"/>
      <c r="C698"/>
      <c r="D698"/>
      <c r="E698"/>
    </row>
    <row r="699" spans="1:166" x14ac:dyDescent="0.25">
      <c r="A699" s="7">
        <v>0.10883805264070913</v>
      </c>
      <c r="B699"/>
      <c r="C699"/>
      <c r="D699"/>
      <c r="E699"/>
    </row>
    <row r="700" spans="1:166" x14ac:dyDescent="0.25">
      <c r="A700" s="7">
        <v>0.10670397317716582</v>
      </c>
      <c r="B700"/>
      <c r="C700"/>
      <c r="D700"/>
      <c r="E700"/>
    </row>
    <row r="701" spans="1:166" x14ac:dyDescent="0.25">
      <c r="A701" s="7">
        <v>0.1046117384089861</v>
      </c>
      <c r="B701"/>
      <c r="C701"/>
      <c r="D701"/>
      <c r="E701"/>
    </row>
    <row r="702" spans="1:166" x14ac:dyDescent="0.25">
      <c r="A702" s="7">
        <v>0.10256052785194716</v>
      </c>
      <c r="B702"/>
      <c r="C702"/>
      <c r="D702"/>
      <c r="E702"/>
    </row>
    <row r="703" spans="1:166" x14ac:dyDescent="0.25">
      <c r="A703" s="7">
        <v>0.10054953710975212</v>
      </c>
      <c r="B703"/>
      <c r="C703"/>
      <c r="D703"/>
      <c r="E703"/>
    </row>
    <row r="704" spans="1:166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91" operator="equal">
      <formula>$U$1</formula>
    </cfRule>
    <cfRule type="cellIs" dxfId="89" priority="792" operator="equal">
      <formula>$S$1</formula>
    </cfRule>
  </conditionalFormatting>
  <conditionalFormatting sqref="D27">
    <cfRule type="cellIs" dxfId="88" priority="789" operator="equal">
      <formula>$S$1</formula>
    </cfRule>
    <cfRule type="cellIs" dxfId="87" priority="790" operator="equal">
      <formula>$U$1</formula>
    </cfRule>
  </conditionalFormatting>
  <conditionalFormatting sqref="C164">
    <cfRule type="cellIs" dxfId="86" priority="787" operator="equal">
      <formula>$U$1</formula>
    </cfRule>
    <cfRule type="cellIs" dxfId="85" priority="788" operator="equal">
      <formula>$S$1</formula>
    </cfRule>
  </conditionalFormatting>
  <conditionalFormatting sqref="D164">
    <cfRule type="cellIs" dxfId="84" priority="785" operator="equal">
      <formula>$S$1</formula>
    </cfRule>
    <cfRule type="cellIs" dxfId="83" priority="786" operator="equal">
      <formula>$U$1</formula>
    </cfRule>
  </conditionalFormatting>
  <conditionalFormatting sqref="C55">
    <cfRule type="cellIs" dxfId="82" priority="783" operator="equal">
      <formula>$U$1</formula>
    </cfRule>
    <cfRule type="cellIs" dxfId="81" priority="784" operator="equal">
      <formula>$S$1</formula>
    </cfRule>
  </conditionalFormatting>
  <conditionalFormatting sqref="D55">
    <cfRule type="cellIs" dxfId="80" priority="781" operator="equal">
      <formula>$S$1</formula>
    </cfRule>
    <cfRule type="cellIs" dxfId="79" priority="782" operator="equal">
      <formula>$U$1</formula>
    </cfRule>
  </conditionalFormatting>
  <conditionalFormatting sqref="C89">
    <cfRule type="cellIs" dxfId="78" priority="779" operator="equal">
      <formula>$U$1</formula>
    </cfRule>
    <cfRule type="cellIs" dxfId="77" priority="780" operator="equal">
      <formula>$S$1</formula>
    </cfRule>
  </conditionalFormatting>
  <conditionalFormatting sqref="D89">
    <cfRule type="cellIs" dxfId="76" priority="777" operator="equal">
      <formula>$S$1</formula>
    </cfRule>
    <cfRule type="cellIs" dxfId="75" priority="778" operator="equal">
      <formula>$U$1</formula>
    </cfRule>
  </conditionalFormatting>
  <conditionalFormatting sqref="C136">
    <cfRule type="cellIs" dxfId="74" priority="775" operator="equal">
      <formula>$U$1</formula>
    </cfRule>
    <cfRule type="cellIs" dxfId="73" priority="776" operator="equal">
      <formula>$S$1</formula>
    </cfRule>
  </conditionalFormatting>
  <conditionalFormatting sqref="D136">
    <cfRule type="cellIs" dxfId="72" priority="773" operator="equal">
      <formula>$S$1</formula>
    </cfRule>
    <cfRule type="cellIs" dxfId="71" priority="774" operator="equal">
      <formula>$U$1</formula>
    </cfRule>
  </conditionalFormatting>
  <conditionalFormatting sqref="C1">
    <cfRule type="cellIs" dxfId="70" priority="77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F284" sqref="BF28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$A$283</v>
      </c>
      <c r="D111" s="1" t="str">
        <f>ADDRESS(C121-1,D121,1,1)</f>
        <v>$BF$283</v>
      </c>
      <c r="E111"/>
    </row>
    <row r="112" spans="1:5" x14ac:dyDescent="0.25">
      <c r="A112" s="30">
        <v>515.50191262726139</v>
      </c>
      <c r="C112" s="1" t="str">
        <f>ADDRESS(C121,1,1,1)</f>
        <v>$A$284</v>
      </c>
      <c r="D112" s="1" t="str">
        <f>ADDRESS(C121,D121-1,1,1)</f>
        <v>$BE$284</v>
      </c>
      <c r="E112"/>
    </row>
    <row r="113" spans="1:5" x14ac:dyDescent="0.25">
      <c r="A113" s="30">
        <v>490.95420250215363</v>
      </c>
      <c r="C113" s="1" t="str">
        <f>ADDRESS(C121+1,1,1,1)</f>
        <v>$A$285</v>
      </c>
      <c r="D113" s="1" t="str">
        <f>ADDRESS(C121-1,D121+1,1,1)</f>
        <v>$BG$283</v>
      </c>
    </row>
    <row r="114" spans="1:5" x14ac:dyDescent="0.25">
      <c r="A114" s="30">
        <v>467.57543095443202</v>
      </c>
      <c r="C114" s="1" t="str">
        <f>ADDRESS(C121,D121,1,1)</f>
        <v>$BF$284</v>
      </c>
      <c r="D114" s="1" t="str">
        <f>ADDRESS(C121+1,D121+1,1,1)</f>
        <v>$BG$285</v>
      </c>
    </row>
    <row r="115" spans="1:5" x14ac:dyDescent="0.25">
      <c r="A115" s="30">
        <v>445.30993424231622</v>
      </c>
      <c r="C115" s="1" t="str">
        <f>ADDRESS(C121+1,D121,1,1)</f>
        <v>$BF$285</v>
      </c>
    </row>
    <row r="116" spans="1:5" x14ac:dyDescent="0.25">
      <c r="A116" s="30">
        <v>424.10469927839637</v>
      </c>
      <c r="C116" s="1">
        <f>C117-1</f>
        <v>283</v>
      </c>
    </row>
    <row r="117" spans="1:5" x14ac:dyDescent="0.25">
      <c r="A117" s="30">
        <v>403.9092374079965</v>
      </c>
      <c r="C117" s="1">
        <f>C121</f>
        <v>284</v>
      </c>
      <c r="D117" s="1">
        <f>D121</f>
        <v>58</v>
      </c>
    </row>
    <row r="118" spans="1:5" x14ac:dyDescent="0.25">
      <c r="A118" s="30">
        <v>384.6754641980919</v>
      </c>
      <c r="C118" s="1">
        <f>C117+1</f>
        <v>285</v>
      </c>
      <c r="D118" s="1">
        <f>D117+1</f>
        <v>59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284</v>
      </c>
      <c r="D121" s="19">
        <v>58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R284</v>
      </c>
      <c r="D123" s="1" t="str">
        <f>"C"&amp;D121</f>
        <v>C58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0.11686133436193799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33" x14ac:dyDescent="0.25">
      <c r="A241" s="30">
        <v>0.952380952380952</v>
      </c>
      <c r="B241"/>
      <c r="C241"/>
      <c r="D241"/>
      <c r="E241"/>
      <c r="F241" s="27" t="s">
        <v>7</v>
      </c>
    </row>
    <row r="242" spans="1:33" x14ac:dyDescent="0.25">
      <c r="A242" s="30">
        <v>0.90702947845804915</v>
      </c>
      <c r="B242"/>
      <c r="C242"/>
      <c r="D242"/>
      <c r="E242"/>
      <c r="F242" s="27" t="s">
        <v>7</v>
      </c>
    </row>
    <row r="243" spans="1:33" x14ac:dyDescent="0.25">
      <c r="A243" s="30">
        <v>0.86383759853147501</v>
      </c>
      <c r="B243"/>
      <c r="C243"/>
      <c r="D243"/>
      <c r="E243"/>
      <c r="F243" s="27" t="s">
        <v>7</v>
      </c>
    </row>
    <row r="244" spans="1:33" x14ac:dyDescent="0.25">
      <c r="A244" s="30">
        <v>0.82270247479188063</v>
      </c>
      <c r="B244"/>
      <c r="C244"/>
      <c r="D244"/>
      <c r="E244"/>
      <c r="F244" s="27" t="s">
        <v>7</v>
      </c>
    </row>
    <row r="245" spans="1:33" x14ac:dyDescent="0.25">
      <c r="A245" s="30">
        <v>0.78352616646845741</v>
      </c>
      <c r="B245"/>
      <c r="C245"/>
      <c r="D245"/>
      <c r="E245"/>
      <c r="F245" s="27" t="s">
        <v>7</v>
      </c>
    </row>
    <row r="246" spans="1:33" x14ac:dyDescent="0.25">
      <c r="A246" s="30">
        <v>0.74621539663662584</v>
      </c>
      <c r="B246"/>
      <c r="C246"/>
      <c r="D246"/>
      <c r="E246"/>
      <c r="F246" s="27" t="s">
        <v>7</v>
      </c>
    </row>
    <row r="247" spans="1:33" x14ac:dyDescent="0.25">
      <c r="A247" s="30">
        <v>0.71068133013011958</v>
      </c>
      <c r="B247"/>
      <c r="C247"/>
      <c r="D247"/>
      <c r="E247"/>
      <c r="F247" s="27" t="s">
        <v>7</v>
      </c>
    </row>
    <row r="248" spans="1:33" x14ac:dyDescent="0.25">
      <c r="A248" s="30">
        <v>0.676839362028685</v>
      </c>
      <c r="B248"/>
      <c r="C248"/>
      <c r="D248"/>
      <c r="E248"/>
      <c r="F248" s="27" t="s">
        <v>7</v>
      </c>
    </row>
    <row r="249" spans="1:33" x14ac:dyDescent="0.25">
      <c r="A249" s="30">
        <v>0.64460891621779492</v>
      </c>
      <c r="B249"/>
      <c r="C249"/>
      <c r="D249"/>
      <c r="E249"/>
      <c r="F249" s="27" t="s">
        <v>7</v>
      </c>
    </row>
    <row r="250" spans="1:33" x14ac:dyDescent="0.25">
      <c r="A250" s="30">
        <v>0.61391325354075688</v>
      </c>
      <c r="B250"/>
      <c r="C250"/>
      <c r="D250"/>
      <c r="E250"/>
      <c r="F250" s="27" t="s">
        <v>7</v>
      </c>
    </row>
    <row r="251" spans="1:33" x14ac:dyDescent="0.25">
      <c r="A251" s="30">
        <v>0.58467928908643485</v>
      </c>
      <c r="B251"/>
      <c r="C251"/>
      <c r="D251"/>
      <c r="E251"/>
      <c r="F251" s="27" t="s">
        <v>7</v>
      </c>
    </row>
    <row r="252" spans="1:33" x14ac:dyDescent="0.25">
      <c r="A252" s="30">
        <v>0.55683741817755672</v>
      </c>
      <c r="B252"/>
      <c r="C252"/>
      <c r="D252"/>
      <c r="E252"/>
      <c r="F252" s="27" t="s">
        <v>7</v>
      </c>
    </row>
    <row r="253" spans="1:33" x14ac:dyDescent="0.25">
      <c r="A253" s="30">
        <v>0.53032135064529184</v>
      </c>
      <c r="B253"/>
      <c r="C253"/>
      <c r="D253"/>
      <c r="E253"/>
      <c r="F253" s="27" t="s">
        <v>7</v>
      </c>
    </row>
    <row r="254" spans="1:33" x14ac:dyDescent="0.25">
      <c r="A254" s="30">
        <v>0.50506795299551588</v>
      </c>
      <c r="B254"/>
      <c r="C254"/>
      <c r="D254"/>
      <c r="E254"/>
      <c r="F254" s="27" t="s">
        <v>7</v>
      </c>
    </row>
    <row r="255" spans="1:33" x14ac:dyDescent="0.25">
      <c r="A255" s="30">
        <v>0.48101709809096732</v>
      </c>
      <c r="E255"/>
      <c r="F255" s="27" t="s">
        <v>7</v>
      </c>
    </row>
    <row r="256" spans="1:33" x14ac:dyDescent="0.25">
      <c r="A256" s="30">
        <v>0.45811152199139726</v>
      </c>
      <c r="E256"/>
      <c r="F256" s="27" t="s">
        <v>7</v>
      </c>
      <c r="AG256" s="27" t="s">
        <v>8</v>
      </c>
    </row>
    <row r="257" spans="1:58" x14ac:dyDescent="0.25">
      <c r="A257" s="30">
        <v>0.43629668761085438</v>
      </c>
      <c r="B257"/>
      <c r="C257"/>
      <c r="D257"/>
      <c r="E257"/>
      <c r="F257" s="27" t="s">
        <v>7</v>
      </c>
      <c r="AG257" s="27" t="s">
        <v>8</v>
      </c>
      <c r="AH257" s="27" t="s">
        <v>7</v>
      </c>
    </row>
    <row r="258" spans="1:58" x14ac:dyDescent="0.25">
      <c r="A258" s="30">
        <v>0.41552065486748019</v>
      </c>
      <c r="B258"/>
      <c r="C258"/>
      <c r="D258"/>
      <c r="E258"/>
      <c r="F258" s="27" t="s">
        <v>7</v>
      </c>
      <c r="AG258" s="27" t="s">
        <v>8</v>
      </c>
      <c r="AH258" s="27" t="s">
        <v>7</v>
      </c>
    </row>
    <row r="259" spans="1:58" x14ac:dyDescent="0.25">
      <c r="A259" s="30">
        <v>0.39573395701664765</v>
      </c>
      <c r="B259"/>
      <c r="C259"/>
      <c r="D259"/>
      <c r="E259"/>
      <c r="F259" s="27" t="s">
        <v>7</v>
      </c>
      <c r="AE259" s="27" t="s">
        <v>8</v>
      </c>
      <c r="AG259" s="27" t="s">
        <v>8</v>
      </c>
      <c r="AH259" s="27" t="s">
        <v>7</v>
      </c>
    </row>
    <row r="260" spans="1:58" x14ac:dyDescent="0.25">
      <c r="A260" s="30">
        <v>0.37688948287299762</v>
      </c>
      <c r="B260"/>
      <c r="C260"/>
      <c r="D260"/>
      <c r="E260"/>
      <c r="F260" s="27" t="s">
        <v>7</v>
      </c>
      <c r="AE260" s="27" t="s">
        <v>8</v>
      </c>
      <c r="AF260" s="27" t="s">
        <v>7</v>
      </c>
      <c r="AG260" s="27" t="s">
        <v>8</v>
      </c>
      <c r="AH260" s="27" t="s">
        <v>7</v>
      </c>
      <c r="AI260" s="27" t="s">
        <v>8</v>
      </c>
    </row>
    <row r="261" spans="1:58" x14ac:dyDescent="0.25">
      <c r="A261" s="30">
        <v>0.35894236464094997</v>
      </c>
      <c r="B261"/>
      <c r="C261"/>
      <c r="D261"/>
      <c r="E261"/>
      <c r="F261" s="27" t="s">
        <v>7</v>
      </c>
      <c r="W261" s="27" t="s">
        <v>8</v>
      </c>
      <c r="AC261" s="27" t="s">
        <v>8</v>
      </c>
      <c r="AE261" s="27" t="s">
        <v>8</v>
      </c>
      <c r="AF261" s="27" t="s">
        <v>7</v>
      </c>
      <c r="AG261" s="27" t="s">
        <v>8</v>
      </c>
      <c r="AH261" s="27" t="s">
        <v>7</v>
      </c>
      <c r="AI261" s="27" t="s">
        <v>8</v>
      </c>
      <c r="AJ261" s="27" t="s">
        <v>7</v>
      </c>
    </row>
    <row r="262" spans="1:58" x14ac:dyDescent="0.25">
      <c r="A262" s="30">
        <v>0.34184987108661891</v>
      </c>
      <c r="B262"/>
      <c r="C262"/>
      <c r="D262"/>
      <c r="E262"/>
      <c r="F262" s="27" t="s">
        <v>7</v>
      </c>
      <c r="W262" s="27" t="s">
        <v>8</v>
      </c>
      <c r="X262" s="27" t="s">
        <v>7</v>
      </c>
      <c r="AA262" s="27" t="s">
        <v>8</v>
      </c>
      <c r="AC262" s="27" t="s">
        <v>8</v>
      </c>
      <c r="AD262" s="27" t="s">
        <v>7</v>
      </c>
      <c r="AE262" s="27" t="s">
        <v>8</v>
      </c>
      <c r="AF262" s="27" t="s">
        <v>7</v>
      </c>
      <c r="AG262" s="27" t="s">
        <v>8</v>
      </c>
      <c r="AH262" s="27" t="s">
        <v>7</v>
      </c>
      <c r="AI262" s="27" t="s">
        <v>8</v>
      </c>
      <c r="AJ262" s="27" t="s">
        <v>7</v>
      </c>
      <c r="AK262" s="27" t="s">
        <v>8</v>
      </c>
    </row>
    <row r="263" spans="1:58" x14ac:dyDescent="0.25">
      <c r="A263" s="30">
        <v>0.32557130579677979</v>
      </c>
      <c r="B263"/>
      <c r="C263"/>
      <c r="D263"/>
      <c r="E263"/>
      <c r="F263" s="27" t="s">
        <v>7</v>
      </c>
      <c r="U263" s="27" t="s">
        <v>8</v>
      </c>
      <c r="W263" s="27" t="s">
        <v>8</v>
      </c>
      <c r="X263" s="27" t="s">
        <v>7</v>
      </c>
      <c r="AA263" s="27" t="s">
        <v>8</v>
      </c>
      <c r="AB263" s="27" t="s">
        <v>7</v>
      </c>
      <c r="AC263" s="27" t="s">
        <v>8</v>
      </c>
      <c r="AD263" s="27" t="s">
        <v>7</v>
      </c>
      <c r="AE263" s="27" t="s">
        <v>8</v>
      </c>
      <c r="AF263" s="27" t="s">
        <v>7</v>
      </c>
      <c r="AH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</row>
    <row r="264" spans="1:58" x14ac:dyDescent="0.25">
      <c r="A264" s="30">
        <v>0.3100679102826473</v>
      </c>
      <c r="B264"/>
      <c r="C264"/>
      <c r="D264"/>
      <c r="E264"/>
      <c r="F264" s="27" t="s">
        <v>7</v>
      </c>
      <c r="U264" s="27" t="s">
        <v>8</v>
      </c>
      <c r="V264" s="27" t="s">
        <v>7</v>
      </c>
      <c r="W264" s="27" t="s">
        <v>8</v>
      </c>
      <c r="X264" s="27" t="s">
        <v>7</v>
      </c>
      <c r="AA264" s="27" t="s">
        <v>8</v>
      </c>
      <c r="AB264" s="27" t="s">
        <v>7</v>
      </c>
      <c r="AC264" s="27" t="s">
        <v>8</v>
      </c>
      <c r="AD264" s="27" t="s">
        <v>7</v>
      </c>
      <c r="AE264" s="27" t="s">
        <v>8</v>
      </c>
      <c r="AH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</row>
    <row r="265" spans="1:58" x14ac:dyDescent="0.25">
      <c r="A265" s="30">
        <v>0.2953027716977592</v>
      </c>
      <c r="B265"/>
      <c r="C265"/>
      <c r="D265"/>
      <c r="E265"/>
      <c r="F265" s="27" t="s">
        <v>7</v>
      </c>
      <c r="U265" s="27" t="s">
        <v>8</v>
      </c>
      <c r="V265" s="27" t="s">
        <v>7</v>
      </c>
      <c r="W265" s="27" t="s">
        <v>8</v>
      </c>
      <c r="X265" s="27" t="s">
        <v>7</v>
      </c>
      <c r="AA265" s="27" t="s">
        <v>8</v>
      </c>
      <c r="AB265" s="27" t="s">
        <v>7</v>
      </c>
      <c r="AD265" s="27" t="s">
        <v>7</v>
      </c>
      <c r="AH265" s="27" t="s">
        <v>7</v>
      </c>
      <c r="AI265" s="27" t="s">
        <v>8</v>
      </c>
      <c r="AJ265" s="27" t="s">
        <v>7</v>
      </c>
      <c r="AL265" s="27" t="s">
        <v>7</v>
      </c>
      <c r="BA265" s="27" t="s">
        <v>8</v>
      </c>
      <c r="BC265" s="27" t="s">
        <v>8</v>
      </c>
    </row>
    <row r="266" spans="1:58" x14ac:dyDescent="0.25">
      <c r="A266" s="30">
        <v>0.28124073495024676</v>
      </c>
      <c r="B266"/>
      <c r="C266"/>
      <c r="D266"/>
      <c r="E266"/>
      <c r="F266" s="27" t="s">
        <v>7</v>
      </c>
      <c r="S266" s="27" t="s">
        <v>8</v>
      </c>
      <c r="U266" s="27" t="s">
        <v>8</v>
      </c>
      <c r="V266" s="27" t="s">
        <v>7</v>
      </c>
      <c r="X266" s="27" t="s">
        <v>7</v>
      </c>
      <c r="Y266" s="27" t="s">
        <v>8</v>
      </c>
      <c r="AA266" s="27" t="s">
        <v>8</v>
      </c>
      <c r="AH266" s="27" t="s">
        <v>7</v>
      </c>
      <c r="AI266" s="27" t="s">
        <v>8</v>
      </c>
      <c r="AL266" s="27" t="s">
        <v>7</v>
      </c>
      <c r="BA266" s="27" t="s">
        <v>8</v>
      </c>
      <c r="BB266" s="27" t="s">
        <v>7</v>
      </c>
      <c r="BC266" s="27" t="s">
        <v>8</v>
      </c>
      <c r="BD266" s="27" t="s">
        <v>7</v>
      </c>
    </row>
    <row r="267" spans="1:58" x14ac:dyDescent="0.25">
      <c r="A267" s="30">
        <v>0.26784831900023492</v>
      </c>
      <c r="B267"/>
      <c r="C267"/>
      <c r="D267"/>
      <c r="E267"/>
      <c r="F267" s="27" t="s">
        <v>7</v>
      </c>
      <c r="S267" s="27" t="s">
        <v>8</v>
      </c>
      <c r="T267" s="27" t="s">
        <v>7</v>
      </c>
      <c r="U267" s="27" t="s">
        <v>8</v>
      </c>
      <c r="X267" s="27" t="s">
        <v>7</v>
      </c>
      <c r="Y267" s="27" t="s">
        <v>8</v>
      </c>
      <c r="Z267" s="27" t="s">
        <v>7</v>
      </c>
      <c r="AA267" s="27" t="s">
        <v>8</v>
      </c>
      <c r="AH267" s="27" t="s">
        <v>7</v>
      </c>
      <c r="AI267" s="27" t="s">
        <v>8</v>
      </c>
      <c r="AL267" s="27" t="s">
        <v>7</v>
      </c>
      <c r="AW267" s="27" t="s">
        <v>8</v>
      </c>
      <c r="BA267" s="27" t="s">
        <v>8</v>
      </c>
      <c r="BB267" s="27" t="s">
        <v>7</v>
      </c>
      <c r="BC267" s="27" t="s">
        <v>8</v>
      </c>
      <c r="BD267" s="27" t="s">
        <v>7</v>
      </c>
    </row>
    <row r="268" spans="1:58" x14ac:dyDescent="0.25">
      <c r="A268" s="30">
        <v>0.25509363714308075</v>
      </c>
      <c r="B268"/>
      <c r="C268"/>
      <c r="D268"/>
      <c r="E268"/>
      <c r="F268" s="27" t="s">
        <v>7</v>
      </c>
      <c r="I268" s="27" t="s">
        <v>8</v>
      </c>
      <c r="S268" s="27" t="s">
        <v>8</v>
      </c>
      <c r="T268" s="27" t="s">
        <v>7</v>
      </c>
      <c r="U268" s="27" t="s">
        <v>8</v>
      </c>
      <c r="X268" s="27" t="s">
        <v>7</v>
      </c>
      <c r="Y268" s="27" t="s">
        <v>8</v>
      </c>
      <c r="Z268" s="27" t="s">
        <v>7</v>
      </c>
      <c r="AA268" s="27" t="s">
        <v>8</v>
      </c>
      <c r="AH268" s="27" t="s">
        <v>7</v>
      </c>
      <c r="AL268" s="27" t="s">
        <v>7</v>
      </c>
      <c r="AW268" s="27" t="s">
        <v>8</v>
      </c>
      <c r="AX268" s="27" t="s">
        <v>7</v>
      </c>
      <c r="AY268" s="27" t="s">
        <v>8</v>
      </c>
      <c r="BA268" s="27" t="s">
        <v>8</v>
      </c>
      <c r="BB268" s="27" t="s">
        <v>7</v>
      </c>
      <c r="BD268" s="27" t="s">
        <v>7</v>
      </c>
    </row>
    <row r="269" spans="1:58" x14ac:dyDescent="0.25">
      <c r="A269" s="30">
        <v>0.24294632108864825</v>
      </c>
      <c r="B269"/>
      <c r="C269"/>
      <c r="D269"/>
      <c r="E269"/>
      <c r="F269" s="27" t="s">
        <v>7</v>
      </c>
      <c r="I269" s="27" t="s">
        <v>8</v>
      </c>
      <c r="J269" s="27" t="s">
        <v>7</v>
      </c>
      <c r="S269" s="27" t="s">
        <v>8</v>
      </c>
      <c r="T269" s="27" t="s">
        <v>7</v>
      </c>
      <c r="U269" s="27" t="s">
        <v>8</v>
      </c>
      <c r="X269" s="27" t="s">
        <v>7</v>
      </c>
      <c r="Y269" s="27" t="s">
        <v>8</v>
      </c>
      <c r="Z269" s="27" t="s">
        <v>7</v>
      </c>
      <c r="AA269" s="27" t="s">
        <v>8</v>
      </c>
      <c r="AL269" s="27" t="s">
        <v>7</v>
      </c>
      <c r="AM269" s="27" t="s">
        <v>8</v>
      </c>
      <c r="AW269" s="27" t="s">
        <v>8</v>
      </c>
      <c r="AX269" s="27" t="s">
        <v>7</v>
      </c>
      <c r="AY269" s="27" t="s">
        <v>8</v>
      </c>
      <c r="AZ269" s="27" t="s">
        <v>7</v>
      </c>
      <c r="BA269" s="27" t="s">
        <v>8</v>
      </c>
      <c r="BD269" s="27" t="s">
        <v>7</v>
      </c>
    </row>
    <row r="270" spans="1:58" x14ac:dyDescent="0.25">
      <c r="A270" s="30">
        <v>0.23137744865585538</v>
      </c>
      <c r="B270"/>
      <c r="C270"/>
      <c r="D270"/>
      <c r="E270"/>
      <c r="F270" s="27" t="s">
        <v>7</v>
      </c>
      <c r="I270" s="27" t="s">
        <v>8</v>
      </c>
      <c r="J270" s="27" t="s">
        <v>7</v>
      </c>
      <c r="S270" s="27" t="s">
        <v>8</v>
      </c>
      <c r="T270" s="27" t="s">
        <v>7</v>
      </c>
      <c r="U270" s="27" t="s">
        <v>8</v>
      </c>
      <c r="X270" s="27" t="s">
        <v>7</v>
      </c>
      <c r="Y270" s="27" t="s">
        <v>8</v>
      </c>
      <c r="Z270" s="27" t="s">
        <v>7</v>
      </c>
      <c r="AA270" s="27" t="s">
        <v>8</v>
      </c>
      <c r="AL270" s="27" t="s">
        <v>7</v>
      </c>
      <c r="AM270" s="27" t="s">
        <v>8</v>
      </c>
      <c r="AN270" s="27" t="s">
        <v>7</v>
      </c>
      <c r="AW270" s="27" t="s">
        <v>8</v>
      </c>
      <c r="AX270" s="27" t="s">
        <v>7</v>
      </c>
      <c r="AY270" s="27" t="s">
        <v>8</v>
      </c>
      <c r="AZ270" s="27" t="s">
        <v>7</v>
      </c>
      <c r="BA270" s="27" t="s">
        <v>8</v>
      </c>
      <c r="BD270" s="27" t="s">
        <v>7</v>
      </c>
      <c r="BE270" s="27" t="s">
        <v>8</v>
      </c>
    </row>
    <row r="271" spans="1:58" x14ac:dyDescent="0.25">
      <c r="A271" s="30">
        <v>0.22035947491033836</v>
      </c>
      <c r="B271"/>
      <c r="C271"/>
      <c r="D271"/>
      <c r="E271"/>
      <c r="F271" s="27" t="s">
        <v>7</v>
      </c>
      <c r="I271" s="27" t="s">
        <v>8</v>
      </c>
      <c r="J271" s="27" t="s">
        <v>7</v>
      </c>
      <c r="S271" s="27" t="s">
        <v>8</v>
      </c>
      <c r="T271" s="27" t="s">
        <v>7</v>
      </c>
      <c r="U271" s="27" t="s">
        <v>8</v>
      </c>
      <c r="X271" s="27" t="s">
        <v>7</v>
      </c>
      <c r="Y271" s="27" t="s">
        <v>8</v>
      </c>
      <c r="Z271" s="27" t="s">
        <v>7</v>
      </c>
      <c r="AL271" s="27" t="s">
        <v>7</v>
      </c>
      <c r="AM271" s="27" t="s">
        <v>8</v>
      </c>
      <c r="AN271" s="27" t="s">
        <v>7</v>
      </c>
      <c r="AO271" s="27" t="s">
        <v>8</v>
      </c>
      <c r="AQ271" s="27" t="s">
        <v>8</v>
      </c>
      <c r="AW271" s="27" t="s">
        <v>8</v>
      </c>
      <c r="AX271" s="27" t="s">
        <v>7</v>
      </c>
      <c r="AZ271" s="27" t="s">
        <v>7</v>
      </c>
      <c r="BA271" s="27" t="s">
        <v>8</v>
      </c>
      <c r="BD271" s="27" t="s">
        <v>7</v>
      </c>
      <c r="BE271" s="27" t="s">
        <v>8</v>
      </c>
      <c r="BF271" s="27" t="s">
        <v>7</v>
      </c>
    </row>
    <row r="272" spans="1:58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I272" s="27" t="s">
        <v>8</v>
      </c>
      <c r="J272" s="27" t="s">
        <v>7</v>
      </c>
      <c r="S272" s="27" t="s">
        <v>8</v>
      </c>
      <c r="T272" s="27" t="s">
        <v>7</v>
      </c>
      <c r="X272" s="27" t="s">
        <v>7</v>
      </c>
      <c r="Y272" s="27" t="s">
        <v>8</v>
      </c>
      <c r="AL272" s="27" t="s">
        <v>7</v>
      </c>
      <c r="AM272" s="27" t="s">
        <v>8</v>
      </c>
      <c r="AN272" s="27" t="s">
        <v>7</v>
      </c>
      <c r="AO272" s="27" t="s">
        <v>8</v>
      </c>
      <c r="AP272" s="27" t="s">
        <v>7</v>
      </c>
      <c r="AQ272" s="27" t="s">
        <v>8</v>
      </c>
      <c r="AR272" s="27" t="s">
        <v>7</v>
      </c>
      <c r="AW272" s="27" t="s">
        <v>8</v>
      </c>
      <c r="AZ272" s="27" t="s">
        <v>7</v>
      </c>
      <c r="BA272" s="27" t="s">
        <v>8</v>
      </c>
      <c r="BD272" s="27" t="s">
        <v>7</v>
      </c>
      <c r="BE272" s="27" t="s">
        <v>8</v>
      </c>
      <c r="BF272" s="27" t="s">
        <v>7</v>
      </c>
    </row>
    <row r="273" spans="1:58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I273" s="27" t="s">
        <v>8</v>
      </c>
      <c r="J273" s="27" t="s">
        <v>7</v>
      </c>
      <c r="K273" s="27" t="s">
        <v>8</v>
      </c>
      <c r="S273" s="27" t="s">
        <v>8</v>
      </c>
      <c r="X273" s="27" t="s">
        <v>7</v>
      </c>
      <c r="Y273" s="27" t="s">
        <v>8</v>
      </c>
      <c r="AL273" s="27" t="s">
        <v>7</v>
      </c>
      <c r="AM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  <c r="AR273" s="27" t="s">
        <v>7</v>
      </c>
      <c r="AW273" s="27" t="s">
        <v>8</v>
      </c>
      <c r="AZ273" s="27" t="s">
        <v>7</v>
      </c>
      <c r="BD273" s="27" t="s">
        <v>7</v>
      </c>
      <c r="BF273" s="27" t="s">
        <v>7</v>
      </c>
    </row>
    <row r="274" spans="1:58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H274" s="27" t="s">
        <v>7</v>
      </c>
      <c r="I274" s="27" t="s">
        <v>8</v>
      </c>
      <c r="J274" s="27" t="s">
        <v>7</v>
      </c>
      <c r="K274" s="27" t="s">
        <v>8</v>
      </c>
      <c r="L274" s="27" t="s">
        <v>7</v>
      </c>
      <c r="S274" s="27" t="s">
        <v>8</v>
      </c>
      <c r="X274" s="27" t="s">
        <v>7</v>
      </c>
      <c r="AL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AS274" s="27" t="s">
        <v>8</v>
      </c>
      <c r="AW274" s="27" t="s">
        <v>8</v>
      </c>
      <c r="BF274" s="27" t="s">
        <v>7</v>
      </c>
    </row>
    <row r="275" spans="1:58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  <c r="H275" s="27" t="s">
        <v>7</v>
      </c>
      <c r="I275" s="27" t="s">
        <v>8</v>
      </c>
      <c r="J275" s="27" t="s">
        <v>7</v>
      </c>
      <c r="K275" s="27" t="s">
        <v>8</v>
      </c>
      <c r="L275" s="27" t="s">
        <v>7</v>
      </c>
      <c r="Q275" s="27" t="s">
        <v>8</v>
      </c>
      <c r="S275" s="27" t="s">
        <v>8</v>
      </c>
      <c r="AL275" s="27" t="s">
        <v>7</v>
      </c>
      <c r="AM275" s="27" t="s">
        <v>8</v>
      </c>
      <c r="AN275" s="27" t="s">
        <v>7</v>
      </c>
      <c r="AP275" s="27" t="s">
        <v>7</v>
      </c>
      <c r="AR275" s="27" t="s">
        <v>7</v>
      </c>
      <c r="AS275" s="27" t="s">
        <v>8</v>
      </c>
      <c r="AT275" s="27" t="s">
        <v>7</v>
      </c>
      <c r="AW275" s="27" t="s">
        <v>8</v>
      </c>
      <c r="BF275" s="27" t="s">
        <v>7</v>
      </c>
    </row>
    <row r="276" spans="1:58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  <c r="H276" s="27" t="s">
        <v>7</v>
      </c>
      <c r="I276" s="27" t="s">
        <v>8</v>
      </c>
      <c r="J276" s="27" t="s">
        <v>7</v>
      </c>
      <c r="L276" s="27" t="s">
        <v>7</v>
      </c>
      <c r="M276" s="27" t="s">
        <v>8</v>
      </c>
      <c r="O276" s="27" t="s">
        <v>8</v>
      </c>
      <c r="Q276" s="27" t="s">
        <v>8</v>
      </c>
      <c r="R276" s="27" t="s">
        <v>7</v>
      </c>
      <c r="S276" s="27" t="s">
        <v>8</v>
      </c>
      <c r="AL276" s="27" t="s">
        <v>7</v>
      </c>
      <c r="AM276" s="27" t="s">
        <v>8</v>
      </c>
      <c r="AR276" s="27" t="s">
        <v>7</v>
      </c>
      <c r="AS276" s="27" t="s">
        <v>8</v>
      </c>
      <c r="AT276" s="27" t="s">
        <v>7</v>
      </c>
      <c r="AU276" s="27" t="s">
        <v>8</v>
      </c>
      <c r="AW276" s="27" t="s">
        <v>8</v>
      </c>
      <c r="BF276" s="27" t="s">
        <v>7</v>
      </c>
    </row>
    <row r="277" spans="1:58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H277" s="27" t="s">
        <v>7</v>
      </c>
      <c r="I277" s="27" t="s">
        <v>8</v>
      </c>
      <c r="L277" s="27" t="s">
        <v>7</v>
      </c>
      <c r="M277" s="27" t="s">
        <v>8</v>
      </c>
      <c r="N277" s="27" t="s">
        <v>7</v>
      </c>
      <c r="O277" s="27" t="s">
        <v>8</v>
      </c>
      <c r="P277" s="27" t="s">
        <v>7</v>
      </c>
      <c r="Q277" s="27" t="s">
        <v>8</v>
      </c>
      <c r="R277" s="27" t="s">
        <v>7</v>
      </c>
      <c r="S277" s="27" t="s">
        <v>8</v>
      </c>
      <c r="AL277" s="27" t="s">
        <v>7</v>
      </c>
      <c r="AM277" s="27" t="s">
        <v>8</v>
      </c>
      <c r="AR277" s="27" t="s">
        <v>7</v>
      </c>
      <c r="AT277" s="27" t="s">
        <v>7</v>
      </c>
      <c r="AU277" s="27" t="s">
        <v>8</v>
      </c>
      <c r="AV277" s="27" t="s">
        <v>7</v>
      </c>
      <c r="AW277" s="27" t="s">
        <v>8</v>
      </c>
      <c r="BF277" s="27" t="s">
        <v>7</v>
      </c>
    </row>
    <row r="278" spans="1:58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I278" s="27" t="s">
        <v>8</v>
      </c>
      <c r="L278" s="27" t="s">
        <v>7</v>
      </c>
      <c r="M278" s="27" t="s">
        <v>8</v>
      </c>
      <c r="N278" s="27" t="s">
        <v>7</v>
      </c>
      <c r="O278" s="27" t="s">
        <v>8</v>
      </c>
      <c r="P278" s="27" t="s">
        <v>7</v>
      </c>
      <c r="Q278" s="27" t="s">
        <v>8</v>
      </c>
      <c r="R278" s="27" t="s">
        <v>7</v>
      </c>
      <c r="AL278" s="27" t="s">
        <v>7</v>
      </c>
      <c r="AM278" s="27" t="s">
        <v>8</v>
      </c>
      <c r="AT278" s="27" t="s">
        <v>7</v>
      </c>
      <c r="AU278" s="27" t="s">
        <v>8</v>
      </c>
      <c r="AV278" s="27" t="s">
        <v>7</v>
      </c>
      <c r="AW278" s="27" t="s">
        <v>8</v>
      </c>
      <c r="BF278" s="27" t="s">
        <v>7</v>
      </c>
    </row>
    <row r="279" spans="1:58" x14ac:dyDescent="0.25">
      <c r="A279" s="30">
        <v>0.14914796641528946</v>
      </c>
      <c r="B279"/>
      <c r="C279"/>
      <c r="D279"/>
      <c r="E279"/>
      <c r="F279" s="27" t="s">
        <v>7</v>
      </c>
      <c r="H279" s="27" t="s">
        <v>7</v>
      </c>
      <c r="I279" s="27" t="s">
        <v>8</v>
      </c>
      <c r="L279" s="27" t="s">
        <v>7</v>
      </c>
      <c r="N279" s="27" t="s">
        <v>7</v>
      </c>
      <c r="O279" s="27" t="s">
        <v>8</v>
      </c>
      <c r="P279" s="27" t="s">
        <v>7</v>
      </c>
      <c r="AL279" s="27" t="s">
        <v>7</v>
      </c>
      <c r="AT279" s="27" t="s">
        <v>7</v>
      </c>
      <c r="AU279" s="27" t="s">
        <v>8</v>
      </c>
      <c r="AV279" s="18" t="s">
        <v>7</v>
      </c>
      <c r="BF279" s="27" t="s">
        <v>7</v>
      </c>
    </row>
    <row r="280" spans="1:58" x14ac:dyDescent="0.25">
      <c r="A280" s="30">
        <v>0.14204568230027562</v>
      </c>
      <c r="B280"/>
      <c r="C280"/>
      <c r="D280"/>
      <c r="E280"/>
      <c r="H280" s="27" t="s">
        <v>7</v>
      </c>
      <c r="I280" s="27" t="s">
        <v>8</v>
      </c>
      <c r="N280" s="27" t="s">
        <v>7</v>
      </c>
      <c r="O280" s="27" t="s">
        <v>8</v>
      </c>
      <c r="AT280" s="27" t="s">
        <v>7</v>
      </c>
      <c r="AU280" s="27" t="s">
        <v>8</v>
      </c>
      <c r="BF280" s="27" t="s">
        <v>7</v>
      </c>
    </row>
    <row r="281" spans="1:58" x14ac:dyDescent="0.25">
      <c r="A281" s="30">
        <v>0.13528160219073862</v>
      </c>
      <c r="B281"/>
      <c r="C281"/>
      <c r="D281"/>
      <c r="E281"/>
      <c r="H281" s="27" t="s">
        <v>7</v>
      </c>
      <c r="N281" s="27" t="s">
        <v>7</v>
      </c>
      <c r="O281" s="27" t="s">
        <v>8</v>
      </c>
      <c r="AT281" s="27" t="s">
        <v>7</v>
      </c>
      <c r="AU281" s="27" t="s">
        <v>8</v>
      </c>
      <c r="BF281" s="27" t="s">
        <v>7</v>
      </c>
    </row>
    <row r="282" spans="1:58" x14ac:dyDescent="0.25">
      <c r="A282" s="30">
        <v>0.12883962113403674</v>
      </c>
      <c r="B282"/>
      <c r="C282"/>
      <c r="D282"/>
      <c r="E282"/>
      <c r="N282" s="27" t="s">
        <v>7</v>
      </c>
      <c r="AT282" s="27" t="s">
        <v>7</v>
      </c>
      <c r="BF282" s="27" t="s">
        <v>7</v>
      </c>
    </row>
    <row r="283" spans="1:58" x14ac:dyDescent="0.25">
      <c r="A283" s="30">
        <v>0.12270440108003494</v>
      </c>
      <c r="B283"/>
      <c r="C283"/>
      <c r="D283"/>
      <c r="E283"/>
      <c r="BF283" s="27" t="s">
        <v>7</v>
      </c>
    </row>
    <row r="284" spans="1:58" x14ac:dyDescent="0.25">
      <c r="A284" s="30">
        <v>0.11686133436193799</v>
      </c>
      <c r="B284"/>
      <c r="C284"/>
      <c r="D284"/>
      <c r="E284"/>
      <c r="BF284" s="27" t="s">
        <v>7</v>
      </c>
    </row>
    <row r="285" spans="1:58" x14ac:dyDescent="0.25">
      <c r="A285" s="30">
        <v>0.11129650891613138</v>
      </c>
      <c r="B285"/>
      <c r="C285"/>
      <c r="D285"/>
      <c r="E285"/>
    </row>
    <row r="286" spans="1:58" x14ac:dyDescent="0.25">
      <c r="A286" s="30">
        <v>0.10599667515822032</v>
      </c>
      <c r="B286"/>
      <c r="C286"/>
      <c r="D286"/>
      <c r="E286"/>
    </row>
    <row r="287" spans="1:58" x14ac:dyDescent="0.25">
      <c r="A287" s="30">
        <v>0.10094921443640027</v>
      </c>
      <c r="B287"/>
      <c r="C287"/>
      <c r="D287"/>
      <c r="E287"/>
    </row>
    <row r="288" spans="1:58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06" operator="equal">
      <formula>$U$1</formula>
    </cfRule>
    <cfRule type="cellIs" dxfId="67" priority="807" operator="equal">
      <formula>$S$1</formula>
    </cfRule>
  </conditionalFormatting>
  <conditionalFormatting sqref="D136">
    <cfRule type="cellIs" dxfId="66" priority="804" operator="equal">
      <formula>$S$1</formula>
    </cfRule>
    <cfRule type="cellIs" dxfId="65" priority="805" operator="equal">
      <formula>$U$1</formula>
    </cfRule>
  </conditionalFormatting>
  <conditionalFormatting sqref="C162">
    <cfRule type="cellIs" dxfId="64" priority="802" operator="equal">
      <formula>$U$1</formula>
    </cfRule>
    <cfRule type="cellIs" dxfId="63" priority="803" operator="equal">
      <formula>$S$1</formula>
    </cfRule>
  </conditionalFormatting>
  <conditionalFormatting sqref="D162">
    <cfRule type="cellIs" dxfId="62" priority="800" operator="equal">
      <formula>$S$1</formula>
    </cfRule>
    <cfRule type="cellIs" dxfId="61" priority="801" operator="equal">
      <formula>$U$1</formula>
    </cfRule>
  </conditionalFormatting>
  <conditionalFormatting sqref="C187">
    <cfRule type="cellIs" dxfId="60" priority="798" operator="equal">
      <formula>$U$1</formula>
    </cfRule>
    <cfRule type="cellIs" dxfId="59" priority="799" operator="equal">
      <formula>$S$1</formula>
    </cfRule>
  </conditionalFormatting>
  <conditionalFormatting sqref="D187">
    <cfRule type="cellIs" dxfId="58" priority="796" operator="equal">
      <formula>$S$1</formula>
    </cfRule>
    <cfRule type="cellIs" dxfId="57" priority="797" operator="equal">
      <formula>$U$1</formula>
    </cfRule>
  </conditionalFormatting>
  <conditionalFormatting sqref="C212">
    <cfRule type="cellIs" dxfId="56" priority="794" operator="equal">
      <formula>$U$1</formula>
    </cfRule>
    <cfRule type="cellIs" dxfId="55" priority="795" operator="equal">
      <formula>$S$1</formula>
    </cfRule>
  </conditionalFormatting>
  <conditionalFormatting sqref="D212">
    <cfRule type="cellIs" dxfId="54" priority="792" operator="equal">
      <formula>$S$1</formula>
    </cfRule>
    <cfRule type="cellIs" dxfId="53" priority="793" operator="equal">
      <formula>$U$1</formula>
    </cfRule>
  </conditionalFormatting>
  <conditionalFormatting sqref="C237">
    <cfRule type="cellIs" dxfId="52" priority="790" operator="equal">
      <formula>$U$1</formula>
    </cfRule>
    <cfRule type="cellIs" dxfId="51" priority="791" operator="equal">
      <formula>$S$1</formula>
    </cfRule>
  </conditionalFormatting>
  <conditionalFormatting sqref="D237">
    <cfRule type="cellIs" dxfId="50" priority="788" operator="equal">
      <formula>$S$1</formula>
    </cfRule>
    <cfRule type="cellIs" dxfId="49" priority="789" operator="equal">
      <formula>$U$1</formula>
    </cfRule>
  </conditionalFormatting>
  <conditionalFormatting sqref="C106">
    <cfRule type="cellIs" dxfId="48" priority="786" operator="equal">
      <formula>$U$1</formula>
    </cfRule>
    <cfRule type="cellIs" dxfId="47" priority="787" operator="equal">
      <formula>$S$1</formula>
    </cfRule>
  </conditionalFormatting>
  <conditionalFormatting sqref="D106">
    <cfRule type="cellIs" dxfId="46" priority="784" operator="equal">
      <formula>$S$1</formula>
    </cfRule>
    <cfRule type="cellIs" dxfId="45" priority="785" operator="equal">
      <formula>$U$1</formula>
    </cfRule>
  </conditionalFormatting>
  <conditionalFormatting sqref="C81">
    <cfRule type="cellIs" dxfId="44" priority="782" operator="equal">
      <formula>$U$1</formula>
    </cfRule>
    <cfRule type="cellIs" dxfId="43" priority="783" operator="equal">
      <formula>$S$1</formula>
    </cfRule>
  </conditionalFormatting>
  <conditionalFormatting sqref="D81">
    <cfRule type="cellIs" dxfId="42" priority="780" operator="equal">
      <formula>$S$1</formula>
    </cfRule>
    <cfRule type="cellIs" dxfId="41" priority="781" operator="equal">
      <formula>$U$1</formula>
    </cfRule>
  </conditionalFormatting>
  <conditionalFormatting sqref="C56">
    <cfRule type="cellIs" dxfId="40" priority="778" operator="equal">
      <formula>$U$1</formula>
    </cfRule>
    <cfRule type="cellIs" dxfId="39" priority="779" operator="equal">
      <formula>$S$1</formula>
    </cfRule>
  </conditionalFormatting>
  <conditionalFormatting sqref="D56">
    <cfRule type="cellIs" dxfId="38" priority="776" operator="equal">
      <formula>$S$1</formula>
    </cfRule>
    <cfRule type="cellIs" dxfId="37" priority="777" operator="equal">
      <formula>$U$1</formula>
    </cfRule>
  </conditionalFormatting>
  <conditionalFormatting sqref="C31">
    <cfRule type="cellIs" dxfId="36" priority="774" operator="equal">
      <formula>$U$1</formula>
    </cfRule>
    <cfRule type="cellIs" dxfId="35" priority="775" operator="equal">
      <formula>$S$1</formula>
    </cfRule>
  </conditionalFormatting>
  <conditionalFormatting sqref="D31">
    <cfRule type="cellIs" dxfId="34" priority="772" operator="equal">
      <formula>$S$1</formula>
    </cfRule>
    <cfRule type="cellIs" dxfId="33" priority="77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V143" sqref="V14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$A$142</v>
      </c>
      <c r="D111" s="1" t="str">
        <f>ADDRESS(C121-1,D121,1,1)</f>
        <v>$V$142</v>
      </c>
      <c r="E111"/>
    </row>
    <row r="112" spans="1:5" x14ac:dyDescent="0.25">
      <c r="A112" s="30">
        <v>2.3579476910000019</v>
      </c>
      <c r="C112" s="1" t="str">
        <f>ADDRESS(C121,1,1,1)</f>
        <v>$A$143</v>
      </c>
      <c r="D112" s="1" t="str">
        <f>ADDRESS(C121,D121-1,1,1)</f>
        <v>$U$143</v>
      </c>
      <c r="E112"/>
    </row>
    <row r="113" spans="1:6" x14ac:dyDescent="0.25">
      <c r="A113" s="30">
        <v>2.1435888100000016</v>
      </c>
      <c r="C113" s="1" t="str">
        <f>ADDRESS(C121+1,1,1,1)</f>
        <v>$A$144</v>
      </c>
      <c r="D113" s="1" t="str">
        <f>ADDRESS(C121-1,D121+1,1,1)</f>
        <v>$W$142</v>
      </c>
    </row>
    <row r="114" spans="1:6" x14ac:dyDescent="0.25">
      <c r="A114" s="30">
        <v>1.9487171000000014</v>
      </c>
      <c r="C114" s="1" t="str">
        <f>ADDRESS(C121,D121,1,1)</f>
        <v>$V$143</v>
      </c>
      <c r="D114" s="1" t="str">
        <f>ADDRESS(C121+1,D121+1,1,1)</f>
        <v>$W$144</v>
      </c>
    </row>
    <row r="115" spans="1:6" x14ac:dyDescent="0.25">
      <c r="A115" s="30">
        <v>1.7715610000000011</v>
      </c>
      <c r="C115" s="1" t="str">
        <f>ADDRESS(C121+1,D121,1,1)</f>
        <v>$V$144</v>
      </c>
    </row>
    <row r="116" spans="1:6" x14ac:dyDescent="0.25">
      <c r="A116" s="30">
        <v>1.6105100000000008</v>
      </c>
      <c r="C116" s="1">
        <f>C117-1</f>
        <v>142</v>
      </c>
    </row>
    <row r="117" spans="1:6" x14ac:dyDescent="0.25">
      <c r="A117" s="30">
        <v>1.4641000000000006</v>
      </c>
      <c r="C117" s="1">
        <f>C121</f>
        <v>143</v>
      </c>
      <c r="D117" s="1">
        <f>D121</f>
        <v>22</v>
      </c>
    </row>
    <row r="118" spans="1:6" x14ac:dyDescent="0.25">
      <c r="A118" s="30">
        <v>1.3310000000000004</v>
      </c>
      <c r="C118" s="1">
        <f>C117+1</f>
        <v>144</v>
      </c>
      <c r="D118" s="1">
        <f>D117+1</f>
        <v>23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143</v>
      </c>
      <c r="D121" s="19">
        <v>22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R143</v>
      </c>
      <c r="D123" s="1" t="str">
        <f>"C"&amp;D121</f>
        <v>C22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0.12284597357367205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2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22" x14ac:dyDescent="0.25">
      <c r="A130" s="30">
        <v>0.42409761837248428</v>
      </c>
      <c r="C130" s="6"/>
      <c r="D130" s="6"/>
      <c r="E130"/>
      <c r="F130" s="27" t="s">
        <v>7</v>
      </c>
      <c r="M130" s="27" t="s">
        <v>8</v>
      </c>
    </row>
    <row r="131" spans="1:22" x14ac:dyDescent="0.25">
      <c r="A131" s="30">
        <v>0.38554328942953109</v>
      </c>
      <c r="E131"/>
      <c r="F131" s="27" t="s">
        <v>7</v>
      </c>
      <c r="M131" s="27" t="s">
        <v>8</v>
      </c>
      <c r="N131" s="27" t="s">
        <v>7</v>
      </c>
    </row>
    <row r="132" spans="1:22" x14ac:dyDescent="0.25">
      <c r="A132" s="30">
        <v>0.35049389948139187</v>
      </c>
      <c r="C132" s="1" t="s">
        <v>13</v>
      </c>
      <c r="E132"/>
      <c r="F132" s="27" t="s">
        <v>7</v>
      </c>
      <c r="K132" s="27" t="s">
        <v>8</v>
      </c>
      <c r="M132" s="27" t="s">
        <v>8</v>
      </c>
      <c r="N132" s="27" t="s">
        <v>7</v>
      </c>
      <c r="O132" s="27" t="s">
        <v>8</v>
      </c>
    </row>
    <row r="133" spans="1:22" x14ac:dyDescent="0.25">
      <c r="A133" s="30">
        <v>0.31863081771035617</v>
      </c>
      <c r="C133" s="1" t="str">
        <f>C122</f>
        <v>O</v>
      </c>
      <c r="E133"/>
      <c r="F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</row>
    <row r="134" spans="1:22" x14ac:dyDescent="0.25">
      <c r="A134" s="30">
        <v>0.28966437973668741</v>
      </c>
      <c r="C134"/>
      <c r="D134"/>
      <c r="E134"/>
      <c r="F134" s="27" t="s">
        <v>7</v>
      </c>
      <c r="K134" s="27" t="s">
        <v>8</v>
      </c>
      <c r="L134" s="27" t="s">
        <v>7</v>
      </c>
      <c r="M134" s="27" t="s">
        <v>8</v>
      </c>
      <c r="N134" s="27" t="s">
        <v>7</v>
      </c>
      <c r="O134" s="27" t="s">
        <v>8</v>
      </c>
      <c r="P134" s="27" t="s">
        <v>7</v>
      </c>
      <c r="U134" s="27" t="s">
        <v>8</v>
      </c>
    </row>
    <row r="135" spans="1:22" x14ac:dyDescent="0.25">
      <c r="A135" s="30">
        <v>0.2633312543060794</v>
      </c>
      <c r="C135" s="1" t="s">
        <v>14</v>
      </c>
      <c r="E135"/>
      <c r="F135" s="27" t="s">
        <v>7</v>
      </c>
      <c r="K135" s="27" t="s">
        <v>8</v>
      </c>
      <c r="L135" s="27" t="s">
        <v>7</v>
      </c>
      <c r="M135" s="27" t="s">
        <v>8</v>
      </c>
      <c r="N135" s="27" t="s">
        <v>7</v>
      </c>
      <c r="P135" s="27" t="s">
        <v>7</v>
      </c>
      <c r="S135" s="27" t="s">
        <v>8</v>
      </c>
      <c r="U135" s="27" t="s">
        <v>8</v>
      </c>
      <c r="V135" s="27" t="s">
        <v>7</v>
      </c>
    </row>
    <row r="136" spans="1:2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I136" s="27" t="s">
        <v>8</v>
      </c>
      <c r="K136" s="27" t="s">
        <v>8</v>
      </c>
      <c r="L136" s="27" t="s">
        <v>7</v>
      </c>
      <c r="M136" s="27" t="s">
        <v>8</v>
      </c>
      <c r="P136" s="27" t="s">
        <v>7</v>
      </c>
      <c r="Q136" s="27" t="s">
        <v>8</v>
      </c>
      <c r="S136" s="27" t="s">
        <v>8</v>
      </c>
      <c r="T136" s="27" t="s">
        <v>7</v>
      </c>
      <c r="U136" s="27" t="s">
        <v>8</v>
      </c>
      <c r="V136" s="27" t="s">
        <v>7</v>
      </c>
    </row>
    <row r="137" spans="1:22" x14ac:dyDescent="0.25">
      <c r="A137" s="30">
        <v>0.2176291357901482</v>
      </c>
      <c r="E137"/>
      <c r="F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P137" s="27" t="s">
        <v>7</v>
      </c>
      <c r="Q137" s="27" t="s">
        <v>8</v>
      </c>
      <c r="R137" s="27" t="s">
        <v>7</v>
      </c>
      <c r="S137" s="27" t="s">
        <v>8</v>
      </c>
      <c r="T137" s="27" t="s">
        <v>7</v>
      </c>
      <c r="U137" s="27" t="s">
        <v>8</v>
      </c>
      <c r="V137" s="27" t="s">
        <v>7</v>
      </c>
    </row>
    <row r="138" spans="1:2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I138" s="27" t="s">
        <v>8</v>
      </c>
      <c r="J138" s="27" t="s">
        <v>7</v>
      </c>
      <c r="K138" s="27" t="s">
        <v>8</v>
      </c>
      <c r="L138" s="27" t="s">
        <v>7</v>
      </c>
      <c r="P138" s="27" t="s">
        <v>7</v>
      </c>
      <c r="Q138" s="27" t="s">
        <v>8</v>
      </c>
      <c r="R138" s="27" t="s">
        <v>7</v>
      </c>
      <c r="S138" s="27" t="s">
        <v>8</v>
      </c>
      <c r="T138" s="27" t="s">
        <v>7</v>
      </c>
      <c r="V138" s="27" t="s">
        <v>7</v>
      </c>
    </row>
    <row r="139" spans="1:22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  <c r="I139" s="27" t="s">
        <v>8</v>
      </c>
      <c r="J139" s="27" t="s">
        <v>7</v>
      </c>
      <c r="K139" s="27" t="s">
        <v>8</v>
      </c>
      <c r="P139" s="27" t="s">
        <v>7</v>
      </c>
      <c r="Q139" s="27" t="s">
        <v>8</v>
      </c>
      <c r="R139" s="27" t="s">
        <v>7</v>
      </c>
      <c r="S139" s="27" t="s">
        <v>8</v>
      </c>
      <c r="V139" s="27" t="s">
        <v>7</v>
      </c>
    </row>
    <row r="140" spans="1:22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H140" s="27" t="s">
        <v>7</v>
      </c>
      <c r="I140" s="27" t="s">
        <v>8</v>
      </c>
      <c r="J140" s="27" t="s">
        <v>7</v>
      </c>
      <c r="K140" s="27" t="s">
        <v>8</v>
      </c>
      <c r="P140" s="27" t="s">
        <v>7</v>
      </c>
      <c r="Q140" s="27" t="s">
        <v>8</v>
      </c>
      <c r="R140" s="27" t="s">
        <v>7</v>
      </c>
      <c r="S140" s="27" t="s">
        <v>8</v>
      </c>
      <c r="V140" s="27" t="s">
        <v>7</v>
      </c>
    </row>
    <row r="141" spans="1:22" x14ac:dyDescent="0.25">
      <c r="A141" s="30">
        <v>0.14864362802414322</v>
      </c>
      <c r="C141" s="1">
        <v>1</v>
      </c>
      <c r="E141"/>
      <c r="F141" s="27" t="s">
        <v>7</v>
      </c>
      <c r="H141" s="27" t="s">
        <v>7</v>
      </c>
      <c r="I141" s="27" t="s">
        <v>8</v>
      </c>
      <c r="J141" s="27" t="s">
        <v>7</v>
      </c>
      <c r="K141" s="27" t="s">
        <v>8</v>
      </c>
      <c r="P141" s="27" t="s">
        <v>7</v>
      </c>
      <c r="R141" s="27" t="s">
        <v>7</v>
      </c>
      <c r="S141" s="27" t="s">
        <v>8</v>
      </c>
      <c r="V141" s="27" t="s">
        <v>7</v>
      </c>
    </row>
    <row r="142" spans="1:22" x14ac:dyDescent="0.25">
      <c r="A142" s="30">
        <v>0.13513057093103928</v>
      </c>
      <c r="C142" s="1">
        <v>2</v>
      </c>
      <c r="E142"/>
      <c r="H142" s="27" t="s">
        <v>7</v>
      </c>
      <c r="J142" s="27" t="s">
        <v>7</v>
      </c>
      <c r="R142" s="18" t="s">
        <v>7</v>
      </c>
      <c r="V142" s="27" t="s">
        <v>7</v>
      </c>
    </row>
    <row r="143" spans="1:22" x14ac:dyDescent="0.25">
      <c r="A143" s="30">
        <v>0.12284597357367205</v>
      </c>
      <c r="C143" s="1">
        <v>3</v>
      </c>
      <c r="E143"/>
      <c r="V143" s="27" t="s">
        <v>7</v>
      </c>
    </row>
    <row r="144" spans="1:2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90" operator="equal">
      <formula>$U$1</formula>
    </cfRule>
    <cfRule type="cellIs" dxfId="30" priority="791" operator="equal">
      <formula>$S$1</formula>
    </cfRule>
  </conditionalFormatting>
  <conditionalFormatting sqref="D136">
    <cfRule type="cellIs" dxfId="29" priority="788" operator="equal">
      <formula>$S$1</formula>
    </cfRule>
    <cfRule type="cellIs" dxfId="28" priority="789" operator="equal">
      <formula>$U$1</formula>
    </cfRule>
  </conditionalFormatting>
  <conditionalFormatting sqref="C102">
    <cfRule type="cellIs" dxfId="27" priority="786" operator="equal">
      <formula>$U$1</formula>
    </cfRule>
    <cfRule type="cellIs" dxfId="26" priority="787" operator="equal">
      <formula>$S$1</formula>
    </cfRule>
  </conditionalFormatting>
  <conditionalFormatting sqref="D102">
    <cfRule type="cellIs" dxfId="25" priority="784" operator="equal">
      <formula>$S$1</formula>
    </cfRule>
    <cfRule type="cellIs" dxfId="24" priority="785" operator="equal">
      <formula>$U$1</formula>
    </cfRule>
  </conditionalFormatting>
  <conditionalFormatting sqref="C77">
    <cfRule type="cellIs" dxfId="23" priority="782" operator="equal">
      <formula>$U$1</formula>
    </cfRule>
    <cfRule type="cellIs" dxfId="22" priority="783" operator="equal">
      <formula>$S$1</formula>
    </cfRule>
  </conditionalFormatting>
  <conditionalFormatting sqref="D77">
    <cfRule type="cellIs" dxfId="21" priority="780" operator="equal">
      <formula>$S$1</formula>
    </cfRule>
    <cfRule type="cellIs" dxfId="20" priority="781" operator="equal">
      <formula>$U$1</formula>
    </cfRule>
  </conditionalFormatting>
  <conditionalFormatting sqref="C52">
    <cfRule type="cellIs" dxfId="19" priority="778" operator="equal">
      <formula>$U$1</formula>
    </cfRule>
    <cfRule type="cellIs" dxfId="18" priority="779" operator="equal">
      <formula>$S$1</formula>
    </cfRule>
  </conditionalFormatting>
  <conditionalFormatting sqref="D52">
    <cfRule type="cellIs" dxfId="17" priority="776" operator="equal">
      <formula>$S$1</formula>
    </cfRule>
    <cfRule type="cellIs" dxfId="16" priority="777" operator="equal">
      <formula>$U$1</formula>
    </cfRule>
  </conditionalFormatting>
  <conditionalFormatting sqref="C26">
    <cfRule type="cellIs" dxfId="15" priority="774" operator="equal">
      <formula>$U$1</formula>
    </cfRule>
    <cfRule type="cellIs" dxfId="14" priority="775" operator="equal">
      <formula>$S$1</formula>
    </cfRule>
  </conditionalFormatting>
  <conditionalFormatting sqref="D26">
    <cfRule type="cellIs" dxfId="13" priority="772" operator="equal">
      <formula>$S$1</formula>
    </cfRule>
    <cfRule type="cellIs" dxfId="12" priority="77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2022-01-28T01:20:48Z</dcterms:modified>
</cp:coreProperties>
</file>