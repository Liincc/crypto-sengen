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chartsheets/sheet1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729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CRYPTO\BCCHARTS\"/>
    </mc:Choice>
  </mc:AlternateContent>
  <xr:revisionPtr revIDLastSave="0" documentId="13_ncr:1_{685B659A-1A99-4223-89D2-C6CCCDA34705}" xr6:coauthVersionLast="47" xr6:coauthVersionMax="47" xr10:uidLastSave="{00000000-0000-0000-0000-000000000000}"/>
  <bookViews>
    <workbookView xWindow="9315" yWindow="5820" windowWidth="21015" windowHeight="14595" xr2:uid="{00000000-000D-0000-FFFF-FFFF00000000}"/>
  </bookViews>
  <sheets>
    <sheet name="table (1)" sheetId="1" r:id="rId1"/>
    <sheet name="1%" sheetId="2" r:id="rId2"/>
    <sheet name="2%" sheetId="3" r:id="rId3"/>
    <sheet name="5%" sheetId="4" r:id="rId4"/>
    <sheet name="10%" sheetId="5" r:id="rId5"/>
    <sheet name="INVEST" sheetId="6" r:id="rId6"/>
    <sheet name="TEMP" sheetId="7" r:id="rId7"/>
    <sheet name="Chart1" sheetId="8" r:id="rId8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P5" i="1" l="1"/>
  <c r="Q5" i="1" s="1"/>
  <c r="R5" i="1" s="1"/>
  <c r="S5" i="1" s="1"/>
  <c r="T5" i="1" s="1"/>
  <c r="P6" i="1"/>
  <c r="Q6" i="1" s="1"/>
  <c r="P7" i="1"/>
  <c r="Q7" i="1" s="1"/>
  <c r="P8" i="1"/>
  <c r="Q8" i="1" s="1"/>
  <c r="P9" i="1"/>
  <c r="Q9" i="1" s="1"/>
  <c r="P10" i="1"/>
  <c r="Q10" i="1" s="1"/>
  <c r="P11" i="1"/>
  <c r="Q11" i="1" s="1"/>
  <c r="P12" i="1"/>
  <c r="Q12" i="1" s="1"/>
  <c r="P13" i="1"/>
  <c r="Q13" i="1" s="1"/>
  <c r="P14" i="1"/>
  <c r="Q14" i="1" s="1"/>
  <c r="P15" i="1"/>
  <c r="Q15" i="1" s="1"/>
  <c r="P16" i="1"/>
  <c r="Q16" i="1" s="1"/>
  <c r="P17" i="1"/>
  <c r="Q17" i="1" s="1"/>
  <c r="P18" i="1"/>
  <c r="Q18" i="1" s="1"/>
  <c r="P19" i="1"/>
  <c r="Q19" i="1" s="1"/>
  <c r="P20" i="1"/>
  <c r="Q20" i="1" s="1"/>
  <c r="P21" i="1"/>
  <c r="Q21" i="1" s="1"/>
  <c r="P22" i="1"/>
  <c r="Q22" i="1" s="1"/>
  <c r="P23" i="1"/>
  <c r="Q23" i="1" s="1"/>
  <c r="P766" i="1"/>
  <c r="Q766" i="1" s="1"/>
  <c r="R766" i="1" s="1"/>
  <c r="P765" i="1"/>
  <c r="Q765" i="1" s="1"/>
  <c r="P764" i="1"/>
  <c r="Q764" i="1" s="1"/>
  <c r="P763" i="1"/>
  <c r="Q763" i="1" s="1"/>
  <c r="P762" i="1"/>
  <c r="Q762" i="1" s="1"/>
  <c r="P761" i="1"/>
  <c r="Q761" i="1" s="1"/>
  <c r="P760" i="1"/>
  <c r="Q760" i="1" s="1"/>
  <c r="P759" i="1"/>
  <c r="Q759" i="1" s="1"/>
  <c r="P758" i="1"/>
  <c r="Q758" i="1" s="1"/>
  <c r="P757" i="1"/>
  <c r="Q757" i="1" s="1"/>
  <c r="P756" i="1"/>
  <c r="Q756" i="1" s="1"/>
  <c r="P755" i="1"/>
  <c r="Q755" i="1" s="1"/>
  <c r="P754" i="1"/>
  <c r="Q754" i="1" s="1"/>
  <c r="P753" i="1"/>
  <c r="Q753" i="1" s="1"/>
  <c r="P752" i="1"/>
  <c r="Q752" i="1" s="1"/>
  <c r="P751" i="1"/>
  <c r="Q751" i="1" s="1"/>
  <c r="P750" i="1"/>
  <c r="Q750" i="1" s="1"/>
  <c r="P749" i="1"/>
  <c r="Q749" i="1" s="1"/>
  <c r="P748" i="1"/>
  <c r="Q748" i="1" s="1"/>
  <c r="P747" i="1"/>
  <c r="Q747" i="1" s="1"/>
  <c r="P746" i="1"/>
  <c r="Q746" i="1" s="1"/>
  <c r="P745" i="1"/>
  <c r="Q745" i="1" s="1"/>
  <c r="P744" i="1"/>
  <c r="Q744" i="1" s="1"/>
  <c r="P743" i="1"/>
  <c r="Q743" i="1" s="1"/>
  <c r="P742" i="1"/>
  <c r="Q742" i="1" s="1"/>
  <c r="P741" i="1"/>
  <c r="Q741" i="1" s="1"/>
  <c r="P740" i="1"/>
  <c r="Q740" i="1" s="1"/>
  <c r="P739" i="1"/>
  <c r="Q739" i="1" s="1"/>
  <c r="P738" i="1"/>
  <c r="Q738" i="1" s="1"/>
  <c r="P737" i="1"/>
  <c r="Q737" i="1" s="1"/>
  <c r="P736" i="1"/>
  <c r="Q736" i="1" s="1"/>
  <c r="P735" i="1"/>
  <c r="Q735" i="1" s="1"/>
  <c r="P734" i="1"/>
  <c r="Q734" i="1" s="1"/>
  <c r="P733" i="1"/>
  <c r="Q733" i="1" s="1"/>
  <c r="P732" i="1"/>
  <c r="Q732" i="1" s="1"/>
  <c r="P731" i="1"/>
  <c r="Q731" i="1" s="1"/>
  <c r="P730" i="1"/>
  <c r="Q730" i="1" s="1"/>
  <c r="P729" i="1"/>
  <c r="Q729" i="1" s="1"/>
  <c r="P728" i="1"/>
  <c r="Q728" i="1" s="1"/>
  <c r="P727" i="1"/>
  <c r="Q727" i="1" s="1"/>
  <c r="P726" i="1"/>
  <c r="Q726" i="1" s="1"/>
  <c r="P725" i="1"/>
  <c r="Q725" i="1" s="1"/>
  <c r="P724" i="1"/>
  <c r="Q724" i="1" s="1"/>
  <c r="P723" i="1"/>
  <c r="Q723" i="1" s="1"/>
  <c r="P722" i="1"/>
  <c r="Q722" i="1" s="1"/>
  <c r="P721" i="1"/>
  <c r="Q721" i="1" s="1"/>
  <c r="P720" i="1"/>
  <c r="Q720" i="1" s="1"/>
  <c r="P719" i="1"/>
  <c r="Q719" i="1" s="1"/>
  <c r="P718" i="1"/>
  <c r="Q718" i="1" s="1"/>
  <c r="P717" i="1"/>
  <c r="Q717" i="1" s="1"/>
  <c r="P716" i="1"/>
  <c r="Q716" i="1" s="1"/>
  <c r="P715" i="1"/>
  <c r="Q715" i="1" s="1"/>
  <c r="P714" i="1"/>
  <c r="Q714" i="1" s="1"/>
  <c r="P713" i="1"/>
  <c r="Q713" i="1" s="1"/>
  <c r="P712" i="1"/>
  <c r="Q712" i="1" s="1"/>
  <c r="P711" i="1"/>
  <c r="Q711" i="1" s="1"/>
  <c r="P710" i="1"/>
  <c r="Q710" i="1" s="1"/>
  <c r="P709" i="1"/>
  <c r="Q709" i="1" s="1"/>
  <c r="P708" i="1"/>
  <c r="Q708" i="1" s="1"/>
  <c r="P707" i="1"/>
  <c r="Q707" i="1" s="1"/>
  <c r="P706" i="1"/>
  <c r="Q706" i="1" s="1"/>
  <c r="P705" i="1"/>
  <c r="Q705" i="1" s="1"/>
  <c r="P704" i="1"/>
  <c r="Q704" i="1" s="1"/>
  <c r="P703" i="1"/>
  <c r="Q703" i="1" s="1"/>
  <c r="P702" i="1"/>
  <c r="Q702" i="1" s="1"/>
  <c r="P701" i="1"/>
  <c r="Q701" i="1" s="1"/>
  <c r="P700" i="1"/>
  <c r="Q700" i="1" s="1"/>
  <c r="P699" i="1"/>
  <c r="Q699" i="1" s="1"/>
  <c r="P698" i="1"/>
  <c r="Q698" i="1" s="1"/>
  <c r="P697" i="1"/>
  <c r="Q697" i="1" s="1"/>
  <c r="P696" i="1"/>
  <c r="Q696" i="1" s="1"/>
  <c r="P695" i="1"/>
  <c r="Q695" i="1" s="1"/>
  <c r="P694" i="1"/>
  <c r="Q694" i="1" s="1"/>
  <c r="P693" i="1"/>
  <c r="Q693" i="1" s="1"/>
  <c r="P692" i="1"/>
  <c r="Q692" i="1" s="1"/>
  <c r="P691" i="1"/>
  <c r="Q691" i="1" s="1"/>
  <c r="P690" i="1"/>
  <c r="Q690" i="1" s="1"/>
  <c r="P689" i="1"/>
  <c r="Q689" i="1" s="1"/>
  <c r="P688" i="1"/>
  <c r="Q688" i="1" s="1"/>
  <c r="P687" i="1"/>
  <c r="Q687" i="1" s="1"/>
  <c r="P686" i="1"/>
  <c r="Q686" i="1" s="1"/>
  <c r="P685" i="1"/>
  <c r="Q685" i="1" s="1"/>
  <c r="P684" i="1"/>
  <c r="Q684" i="1" s="1"/>
  <c r="P683" i="1"/>
  <c r="Q683" i="1" s="1"/>
  <c r="P682" i="1"/>
  <c r="Q682" i="1" s="1"/>
  <c r="P681" i="1"/>
  <c r="Q681" i="1" s="1"/>
  <c r="P680" i="1"/>
  <c r="Q680" i="1" s="1"/>
  <c r="P679" i="1"/>
  <c r="Q679" i="1" s="1"/>
  <c r="P678" i="1"/>
  <c r="Q678" i="1" s="1"/>
  <c r="P677" i="1"/>
  <c r="Q677" i="1" s="1"/>
  <c r="P676" i="1"/>
  <c r="Q676" i="1" s="1"/>
  <c r="P675" i="1"/>
  <c r="Q675" i="1" s="1"/>
  <c r="P674" i="1"/>
  <c r="Q674" i="1" s="1"/>
  <c r="P673" i="1"/>
  <c r="Q673" i="1" s="1"/>
  <c r="P672" i="1"/>
  <c r="Q672" i="1" s="1"/>
  <c r="P671" i="1"/>
  <c r="Q671" i="1" s="1"/>
  <c r="P670" i="1"/>
  <c r="Q670" i="1" s="1"/>
  <c r="P669" i="1"/>
  <c r="Q669" i="1" s="1"/>
  <c r="P668" i="1"/>
  <c r="Q668" i="1" s="1"/>
  <c r="P667" i="1"/>
  <c r="Q667" i="1" s="1"/>
  <c r="P666" i="1"/>
  <c r="Q666" i="1" s="1"/>
  <c r="P665" i="1"/>
  <c r="Q665" i="1" s="1"/>
  <c r="P664" i="1"/>
  <c r="Q664" i="1" s="1"/>
  <c r="P663" i="1"/>
  <c r="Q663" i="1" s="1"/>
  <c r="P662" i="1"/>
  <c r="Q662" i="1" s="1"/>
  <c r="P661" i="1"/>
  <c r="Q661" i="1" s="1"/>
  <c r="P660" i="1"/>
  <c r="Q660" i="1" s="1"/>
  <c r="P659" i="1"/>
  <c r="Q659" i="1" s="1"/>
  <c r="P658" i="1"/>
  <c r="Q658" i="1" s="1"/>
  <c r="P657" i="1"/>
  <c r="Q657" i="1" s="1"/>
  <c r="P656" i="1"/>
  <c r="Q656" i="1" s="1"/>
  <c r="P655" i="1"/>
  <c r="Q655" i="1" s="1"/>
  <c r="P654" i="1"/>
  <c r="Q654" i="1" s="1"/>
  <c r="P653" i="1"/>
  <c r="Q653" i="1" s="1"/>
  <c r="P652" i="1"/>
  <c r="Q652" i="1" s="1"/>
  <c r="P651" i="1"/>
  <c r="Q651" i="1" s="1"/>
  <c r="P650" i="1"/>
  <c r="Q650" i="1" s="1"/>
  <c r="P649" i="1"/>
  <c r="Q649" i="1" s="1"/>
  <c r="P648" i="1"/>
  <c r="Q648" i="1" s="1"/>
  <c r="P647" i="1"/>
  <c r="Q647" i="1" s="1"/>
  <c r="P646" i="1"/>
  <c r="Q646" i="1" s="1"/>
  <c r="P645" i="1"/>
  <c r="Q645" i="1" s="1"/>
  <c r="P644" i="1"/>
  <c r="Q644" i="1" s="1"/>
  <c r="P643" i="1"/>
  <c r="Q643" i="1" s="1"/>
  <c r="P642" i="1"/>
  <c r="Q642" i="1" s="1"/>
  <c r="P641" i="1"/>
  <c r="Q641" i="1" s="1"/>
  <c r="P640" i="1"/>
  <c r="Q640" i="1" s="1"/>
  <c r="P639" i="1"/>
  <c r="Q639" i="1" s="1"/>
  <c r="P638" i="1"/>
  <c r="Q638" i="1" s="1"/>
  <c r="P637" i="1"/>
  <c r="Q637" i="1" s="1"/>
  <c r="P636" i="1"/>
  <c r="Q636" i="1" s="1"/>
  <c r="P635" i="1"/>
  <c r="Q635" i="1" s="1"/>
  <c r="P634" i="1"/>
  <c r="Q634" i="1" s="1"/>
  <c r="P633" i="1"/>
  <c r="Q633" i="1" s="1"/>
  <c r="P632" i="1"/>
  <c r="Q632" i="1" s="1"/>
  <c r="P631" i="1"/>
  <c r="Q631" i="1" s="1"/>
  <c r="P630" i="1"/>
  <c r="Q630" i="1" s="1"/>
  <c r="P629" i="1"/>
  <c r="Q629" i="1" s="1"/>
  <c r="P628" i="1"/>
  <c r="Q628" i="1" s="1"/>
  <c r="P627" i="1"/>
  <c r="Q627" i="1" s="1"/>
  <c r="P626" i="1"/>
  <c r="Q626" i="1" s="1"/>
  <c r="P625" i="1"/>
  <c r="Q625" i="1" s="1"/>
  <c r="P624" i="1"/>
  <c r="Q624" i="1" s="1"/>
  <c r="P623" i="1"/>
  <c r="Q623" i="1" s="1"/>
  <c r="P622" i="1"/>
  <c r="Q622" i="1" s="1"/>
  <c r="P621" i="1"/>
  <c r="Q621" i="1" s="1"/>
  <c r="P620" i="1"/>
  <c r="Q620" i="1" s="1"/>
  <c r="P619" i="1"/>
  <c r="Q619" i="1" s="1"/>
  <c r="P618" i="1"/>
  <c r="Q618" i="1" s="1"/>
  <c r="P617" i="1"/>
  <c r="Q617" i="1" s="1"/>
  <c r="P616" i="1"/>
  <c r="Q616" i="1" s="1"/>
  <c r="P615" i="1"/>
  <c r="Q615" i="1" s="1"/>
  <c r="P614" i="1"/>
  <c r="Q614" i="1" s="1"/>
  <c r="P613" i="1"/>
  <c r="Q613" i="1" s="1"/>
  <c r="P612" i="1"/>
  <c r="Q612" i="1" s="1"/>
  <c r="P611" i="1"/>
  <c r="Q611" i="1" s="1"/>
  <c r="P610" i="1"/>
  <c r="Q610" i="1" s="1"/>
  <c r="P609" i="1"/>
  <c r="Q609" i="1" s="1"/>
  <c r="P608" i="1"/>
  <c r="Q608" i="1" s="1"/>
  <c r="P607" i="1"/>
  <c r="Q607" i="1" s="1"/>
  <c r="P606" i="1"/>
  <c r="Q606" i="1" s="1"/>
  <c r="P605" i="1"/>
  <c r="Q605" i="1" s="1"/>
  <c r="P604" i="1"/>
  <c r="Q604" i="1" s="1"/>
  <c r="P603" i="1"/>
  <c r="Q603" i="1" s="1"/>
  <c r="P602" i="1"/>
  <c r="Q602" i="1" s="1"/>
  <c r="P601" i="1"/>
  <c r="Q601" i="1" s="1"/>
  <c r="P600" i="1"/>
  <c r="Q600" i="1" s="1"/>
  <c r="P599" i="1"/>
  <c r="Q599" i="1" s="1"/>
  <c r="P598" i="1"/>
  <c r="Q598" i="1" s="1"/>
  <c r="P597" i="1"/>
  <c r="Q597" i="1" s="1"/>
  <c r="P596" i="1"/>
  <c r="Q596" i="1" s="1"/>
  <c r="P595" i="1"/>
  <c r="Q595" i="1" s="1"/>
  <c r="P594" i="1"/>
  <c r="Q594" i="1" s="1"/>
  <c r="P593" i="1"/>
  <c r="Q593" i="1" s="1"/>
  <c r="P592" i="1"/>
  <c r="Q592" i="1" s="1"/>
  <c r="P591" i="1"/>
  <c r="Q591" i="1" s="1"/>
  <c r="P590" i="1"/>
  <c r="Q590" i="1" s="1"/>
  <c r="P589" i="1"/>
  <c r="Q589" i="1" s="1"/>
  <c r="P588" i="1"/>
  <c r="Q588" i="1" s="1"/>
  <c r="P587" i="1"/>
  <c r="Q587" i="1" s="1"/>
  <c r="P586" i="1"/>
  <c r="Q586" i="1" s="1"/>
  <c r="P585" i="1"/>
  <c r="Q585" i="1" s="1"/>
  <c r="P584" i="1"/>
  <c r="Q584" i="1" s="1"/>
  <c r="P583" i="1"/>
  <c r="Q583" i="1" s="1"/>
  <c r="P582" i="1"/>
  <c r="Q582" i="1" s="1"/>
  <c r="P581" i="1"/>
  <c r="Q581" i="1" s="1"/>
  <c r="P580" i="1"/>
  <c r="Q580" i="1" s="1"/>
  <c r="P579" i="1"/>
  <c r="Q579" i="1" s="1"/>
  <c r="P578" i="1"/>
  <c r="Q578" i="1" s="1"/>
  <c r="P577" i="1"/>
  <c r="Q577" i="1" s="1"/>
  <c r="P576" i="1"/>
  <c r="Q576" i="1" s="1"/>
  <c r="P575" i="1"/>
  <c r="Q575" i="1" s="1"/>
  <c r="P574" i="1"/>
  <c r="Q574" i="1" s="1"/>
  <c r="P573" i="1"/>
  <c r="Q573" i="1" s="1"/>
  <c r="P572" i="1"/>
  <c r="Q572" i="1" s="1"/>
  <c r="P571" i="1"/>
  <c r="Q571" i="1" s="1"/>
  <c r="P570" i="1"/>
  <c r="Q570" i="1" s="1"/>
  <c r="P569" i="1"/>
  <c r="Q569" i="1" s="1"/>
  <c r="P568" i="1"/>
  <c r="Q568" i="1" s="1"/>
  <c r="P567" i="1"/>
  <c r="Q567" i="1" s="1"/>
  <c r="P566" i="1"/>
  <c r="Q566" i="1" s="1"/>
  <c r="P565" i="1"/>
  <c r="Q565" i="1" s="1"/>
  <c r="P564" i="1"/>
  <c r="Q564" i="1" s="1"/>
  <c r="P563" i="1"/>
  <c r="Q563" i="1" s="1"/>
  <c r="P562" i="1"/>
  <c r="Q562" i="1" s="1"/>
  <c r="P561" i="1"/>
  <c r="Q561" i="1" s="1"/>
  <c r="P560" i="1"/>
  <c r="Q560" i="1" s="1"/>
  <c r="P559" i="1"/>
  <c r="Q559" i="1" s="1"/>
  <c r="P558" i="1"/>
  <c r="Q558" i="1" s="1"/>
  <c r="P557" i="1"/>
  <c r="Q557" i="1" s="1"/>
  <c r="P556" i="1"/>
  <c r="Q556" i="1" s="1"/>
  <c r="P555" i="1"/>
  <c r="Q555" i="1" s="1"/>
  <c r="P554" i="1"/>
  <c r="Q554" i="1" s="1"/>
  <c r="P553" i="1"/>
  <c r="Q553" i="1" s="1"/>
  <c r="P552" i="1"/>
  <c r="Q552" i="1" s="1"/>
  <c r="P551" i="1"/>
  <c r="Q551" i="1" s="1"/>
  <c r="P550" i="1"/>
  <c r="Q550" i="1" s="1"/>
  <c r="P549" i="1"/>
  <c r="Q549" i="1" s="1"/>
  <c r="P548" i="1"/>
  <c r="Q548" i="1" s="1"/>
  <c r="P547" i="1"/>
  <c r="Q547" i="1" s="1"/>
  <c r="P546" i="1"/>
  <c r="Q546" i="1" s="1"/>
  <c r="P545" i="1"/>
  <c r="Q545" i="1" s="1"/>
  <c r="P544" i="1"/>
  <c r="Q544" i="1" s="1"/>
  <c r="P543" i="1"/>
  <c r="Q543" i="1" s="1"/>
  <c r="P542" i="1"/>
  <c r="Q542" i="1" s="1"/>
  <c r="P541" i="1"/>
  <c r="Q541" i="1" s="1"/>
  <c r="P540" i="1"/>
  <c r="Q540" i="1" s="1"/>
  <c r="P539" i="1"/>
  <c r="Q539" i="1" s="1"/>
  <c r="P538" i="1"/>
  <c r="Q538" i="1" s="1"/>
  <c r="P537" i="1"/>
  <c r="Q537" i="1" s="1"/>
  <c r="P536" i="1"/>
  <c r="Q536" i="1" s="1"/>
  <c r="P535" i="1"/>
  <c r="Q535" i="1" s="1"/>
  <c r="P534" i="1"/>
  <c r="Q534" i="1" s="1"/>
  <c r="P533" i="1"/>
  <c r="Q533" i="1" s="1"/>
  <c r="P532" i="1"/>
  <c r="Q532" i="1" s="1"/>
  <c r="P531" i="1"/>
  <c r="Q531" i="1" s="1"/>
  <c r="P530" i="1"/>
  <c r="Q530" i="1" s="1"/>
  <c r="P529" i="1"/>
  <c r="Q529" i="1" s="1"/>
  <c r="P528" i="1"/>
  <c r="Q528" i="1" s="1"/>
  <c r="P527" i="1"/>
  <c r="Q527" i="1" s="1"/>
  <c r="P526" i="1"/>
  <c r="Q526" i="1" s="1"/>
  <c r="P525" i="1"/>
  <c r="Q525" i="1" s="1"/>
  <c r="P524" i="1"/>
  <c r="Q524" i="1" s="1"/>
  <c r="P523" i="1"/>
  <c r="Q523" i="1" s="1"/>
  <c r="P522" i="1"/>
  <c r="Q522" i="1" s="1"/>
  <c r="P521" i="1"/>
  <c r="Q521" i="1" s="1"/>
  <c r="P520" i="1"/>
  <c r="Q520" i="1" s="1"/>
  <c r="P519" i="1"/>
  <c r="Q519" i="1" s="1"/>
  <c r="P518" i="1"/>
  <c r="Q518" i="1" s="1"/>
  <c r="P517" i="1"/>
  <c r="Q517" i="1" s="1"/>
  <c r="P516" i="1"/>
  <c r="Q516" i="1" s="1"/>
  <c r="P515" i="1"/>
  <c r="Q515" i="1" s="1"/>
  <c r="P514" i="1"/>
  <c r="Q514" i="1" s="1"/>
  <c r="P513" i="1"/>
  <c r="Q513" i="1" s="1"/>
  <c r="P512" i="1"/>
  <c r="Q512" i="1" s="1"/>
  <c r="P511" i="1"/>
  <c r="Q511" i="1" s="1"/>
  <c r="P510" i="1"/>
  <c r="Q510" i="1" s="1"/>
  <c r="P509" i="1"/>
  <c r="Q509" i="1" s="1"/>
  <c r="P508" i="1"/>
  <c r="Q508" i="1" s="1"/>
  <c r="P507" i="1"/>
  <c r="Q507" i="1" s="1"/>
  <c r="P506" i="1"/>
  <c r="Q506" i="1" s="1"/>
  <c r="P505" i="1"/>
  <c r="Q505" i="1" s="1"/>
  <c r="P504" i="1"/>
  <c r="Q504" i="1" s="1"/>
  <c r="P503" i="1"/>
  <c r="Q503" i="1" s="1"/>
  <c r="P502" i="1"/>
  <c r="Q502" i="1" s="1"/>
  <c r="P501" i="1"/>
  <c r="Q501" i="1" s="1"/>
  <c r="P500" i="1"/>
  <c r="Q500" i="1" s="1"/>
  <c r="P499" i="1"/>
  <c r="Q499" i="1" s="1"/>
  <c r="P498" i="1"/>
  <c r="Q498" i="1" s="1"/>
  <c r="P497" i="1"/>
  <c r="Q497" i="1" s="1"/>
  <c r="P496" i="1"/>
  <c r="Q496" i="1" s="1"/>
  <c r="P495" i="1"/>
  <c r="Q495" i="1" s="1"/>
  <c r="P494" i="1"/>
  <c r="Q494" i="1" s="1"/>
  <c r="P493" i="1"/>
  <c r="Q493" i="1" s="1"/>
  <c r="P492" i="1"/>
  <c r="Q492" i="1" s="1"/>
  <c r="P491" i="1"/>
  <c r="Q491" i="1" s="1"/>
  <c r="P490" i="1"/>
  <c r="Q490" i="1" s="1"/>
  <c r="P489" i="1"/>
  <c r="Q489" i="1" s="1"/>
  <c r="P488" i="1"/>
  <c r="Q488" i="1" s="1"/>
  <c r="P487" i="1"/>
  <c r="Q487" i="1" s="1"/>
  <c r="P486" i="1"/>
  <c r="Q486" i="1" s="1"/>
  <c r="P485" i="1"/>
  <c r="Q485" i="1" s="1"/>
  <c r="P484" i="1"/>
  <c r="Q484" i="1" s="1"/>
  <c r="P483" i="1"/>
  <c r="Q483" i="1" s="1"/>
  <c r="P482" i="1"/>
  <c r="Q482" i="1" s="1"/>
  <c r="P481" i="1"/>
  <c r="Q481" i="1" s="1"/>
  <c r="P480" i="1"/>
  <c r="Q480" i="1" s="1"/>
  <c r="P479" i="1"/>
  <c r="Q479" i="1" s="1"/>
  <c r="P478" i="1"/>
  <c r="Q478" i="1" s="1"/>
  <c r="P477" i="1"/>
  <c r="Q477" i="1" s="1"/>
  <c r="P476" i="1"/>
  <c r="Q476" i="1" s="1"/>
  <c r="P475" i="1"/>
  <c r="Q475" i="1" s="1"/>
  <c r="P474" i="1"/>
  <c r="Q474" i="1" s="1"/>
  <c r="P473" i="1"/>
  <c r="Q473" i="1" s="1"/>
  <c r="P472" i="1"/>
  <c r="Q472" i="1" s="1"/>
  <c r="P471" i="1"/>
  <c r="Q471" i="1" s="1"/>
  <c r="P470" i="1"/>
  <c r="Q470" i="1" s="1"/>
  <c r="P469" i="1"/>
  <c r="Q469" i="1" s="1"/>
  <c r="P468" i="1"/>
  <c r="Q468" i="1" s="1"/>
  <c r="P467" i="1"/>
  <c r="Q467" i="1" s="1"/>
  <c r="P466" i="1"/>
  <c r="Q466" i="1" s="1"/>
  <c r="P465" i="1"/>
  <c r="Q465" i="1" s="1"/>
  <c r="P464" i="1"/>
  <c r="Q464" i="1" s="1"/>
  <c r="P463" i="1"/>
  <c r="Q463" i="1" s="1"/>
  <c r="P462" i="1"/>
  <c r="Q462" i="1" s="1"/>
  <c r="P461" i="1"/>
  <c r="Q461" i="1" s="1"/>
  <c r="P460" i="1"/>
  <c r="Q460" i="1" s="1"/>
  <c r="P459" i="1"/>
  <c r="Q459" i="1" s="1"/>
  <c r="P458" i="1"/>
  <c r="Q458" i="1" s="1"/>
  <c r="P457" i="1"/>
  <c r="Q457" i="1" s="1"/>
  <c r="P456" i="1"/>
  <c r="Q456" i="1" s="1"/>
  <c r="P455" i="1"/>
  <c r="Q455" i="1" s="1"/>
  <c r="P454" i="1"/>
  <c r="Q454" i="1" s="1"/>
  <c r="P453" i="1"/>
  <c r="Q453" i="1" s="1"/>
  <c r="P452" i="1"/>
  <c r="Q452" i="1" s="1"/>
  <c r="P451" i="1"/>
  <c r="Q451" i="1" s="1"/>
  <c r="P450" i="1"/>
  <c r="Q450" i="1" s="1"/>
  <c r="P449" i="1"/>
  <c r="Q449" i="1" s="1"/>
  <c r="P448" i="1"/>
  <c r="Q448" i="1" s="1"/>
  <c r="P447" i="1"/>
  <c r="Q447" i="1" s="1"/>
  <c r="P446" i="1"/>
  <c r="Q446" i="1" s="1"/>
  <c r="P445" i="1"/>
  <c r="Q445" i="1" s="1"/>
  <c r="P444" i="1"/>
  <c r="Q444" i="1" s="1"/>
  <c r="P443" i="1"/>
  <c r="Q443" i="1" s="1"/>
  <c r="P442" i="1"/>
  <c r="Q442" i="1" s="1"/>
  <c r="P441" i="1"/>
  <c r="Q441" i="1" s="1"/>
  <c r="P440" i="1"/>
  <c r="Q440" i="1" s="1"/>
  <c r="P439" i="1"/>
  <c r="Q439" i="1" s="1"/>
  <c r="P438" i="1"/>
  <c r="Q438" i="1" s="1"/>
  <c r="P437" i="1"/>
  <c r="Q437" i="1" s="1"/>
  <c r="P436" i="1"/>
  <c r="Q436" i="1" s="1"/>
  <c r="P435" i="1"/>
  <c r="Q435" i="1" s="1"/>
  <c r="P434" i="1"/>
  <c r="Q434" i="1" s="1"/>
  <c r="P433" i="1"/>
  <c r="Q433" i="1" s="1"/>
  <c r="P432" i="1"/>
  <c r="Q432" i="1" s="1"/>
  <c r="P431" i="1"/>
  <c r="Q431" i="1" s="1"/>
  <c r="P430" i="1"/>
  <c r="Q430" i="1" s="1"/>
  <c r="P429" i="1"/>
  <c r="Q429" i="1" s="1"/>
  <c r="P428" i="1"/>
  <c r="Q428" i="1" s="1"/>
  <c r="P427" i="1"/>
  <c r="Q427" i="1" s="1"/>
  <c r="P426" i="1"/>
  <c r="Q426" i="1" s="1"/>
  <c r="P425" i="1"/>
  <c r="Q425" i="1" s="1"/>
  <c r="P424" i="1"/>
  <c r="Q424" i="1" s="1"/>
  <c r="P423" i="1"/>
  <c r="Q423" i="1" s="1"/>
  <c r="P422" i="1"/>
  <c r="Q422" i="1" s="1"/>
  <c r="P421" i="1"/>
  <c r="Q421" i="1" s="1"/>
  <c r="P420" i="1"/>
  <c r="Q420" i="1" s="1"/>
  <c r="P419" i="1"/>
  <c r="Q419" i="1" s="1"/>
  <c r="P418" i="1"/>
  <c r="Q418" i="1" s="1"/>
  <c r="P417" i="1"/>
  <c r="Q417" i="1" s="1"/>
  <c r="P416" i="1"/>
  <c r="Q416" i="1" s="1"/>
  <c r="P415" i="1"/>
  <c r="Q415" i="1" s="1"/>
  <c r="P414" i="1"/>
  <c r="Q414" i="1" s="1"/>
  <c r="P413" i="1"/>
  <c r="Q413" i="1" s="1"/>
  <c r="P412" i="1"/>
  <c r="Q412" i="1" s="1"/>
  <c r="P411" i="1"/>
  <c r="Q411" i="1" s="1"/>
  <c r="P410" i="1"/>
  <c r="Q410" i="1" s="1"/>
  <c r="P409" i="1"/>
  <c r="Q409" i="1" s="1"/>
  <c r="P408" i="1"/>
  <c r="Q408" i="1" s="1"/>
  <c r="P407" i="1"/>
  <c r="Q407" i="1" s="1"/>
  <c r="P406" i="1"/>
  <c r="Q406" i="1" s="1"/>
  <c r="P405" i="1"/>
  <c r="Q405" i="1" s="1"/>
  <c r="P404" i="1"/>
  <c r="Q404" i="1" s="1"/>
  <c r="P403" i="1"/>
  <c r="Q403" i="1" s="1"/>
  <c r="P402" i="1"/>
  <c r="Q402" i="1" s="1"/>
  <c r="P401" i="1"/>
  <c r="Q401" i="1" s="1"/>
  <c r="P400" i="1"/>
  <c r="Q400" i="1" s="1"/>
  <c r="P399" i="1"/>
  <c r="Q399" i="1" s="1"/>
  <c r="P398" i="1"/>
  <c r="Q398" i="1" s="1"/>
  <c r="P397" i="1"/>
  <c r="Q397" i="1" s="1"/>
  <c r="P396" i="1"/>
  <c r="Q396" i="1" s="1"/>
  <c r="P395" i="1"/>
  <c r="Q395" i="1" s="1"/>
  <c r="P394" i="1"/>
  <c r="Q394" i="1" s="1"/>
  <c r="P393" i="1"/>
  <c r="Q393" i="1" s="1"/>
  <c r="P392" i="1"/>
  <c r="Q392" i="1" s="1"/>
  <c r="P391" i="1"/>
  <c r="Q391" i="1" s="1"/>
  <c r="P390" i="1"/>
  <c r="Q390" i="1" s="1"/>
  <c r="P389" i="1"/>
  <c r="Q389" i="1" s="1"/>
  <c r="P388" i="1"/>
  <c r="Q388" i="1" s="1"/>
  <c r="P387" i="1"/>
  <c r="Q387" i="1" s="1"/>
  <c r="P386" i="1"/>
  <c r="Q386" i="1" s="1"/>
  <c r="P385" i="1"/>
  <c r="Q385" i="1" s="1"/>
  <c r="P384" i="1"/>
  <c r="Q384" i="1" s="1"/>
  <c r="P383" i="1"/>
  <c r="Q383" i="1" s="1"/>
  <c r="P382" i="1"/>
  <c r="Q382" i="1" s="1"/>
  <c r="P381" i="1"/>
  <c r="Q381" i="1" s="1"/>
  <c r="P380" i="1"/>
  <c r="Q380" i="1" s="1"/>
  <c r="P379" i="1"/>
  <c r="Q379" i="1" s="1"/>
  <c r="P378" i="1"/>
  <c r="Q378" i="1" s="1"/>
  <c r="P377" i="1"/>
  <c r="Q377" i="1" s="1"/>
  <c r="P376" i="1"/>
  <c r="Q376" i="1" s="1"/>
  <c r="P375" i="1"/>
  <c r="Q375" i="1" s="1"/>
  <c r="P374" i="1"/>
  <c r="Q374" i="1" s="1"/>
  <c r="P373" i="1"/>
  <c r="Q373" i="1" s="1"/>
  <c r="P372" i="1"/>
  <c r="Q372" i="1" s="1"/>
  <c r="P371" i="1"/>
  <c r="Q371" i="1" s="1"/>
  <c r="P370" i="1"/>
  <c r="Q370" i="1" s="1"/>
  <c r="P369" i="1"/>
  <c r="Q369" i="1" s="1"/>
  <c r="P368" i="1"/>
  <c r="Q368" i="1" s="1"/>
  <c r="P367" i="1"/>
  <c r="Q367" i="1" s="1"/>
  <c r="P366" i="1"/>
  <c r="Q366" i="1" s="1"/>
  <c r="P365" i="1"/>
  <c r="Q365" i="1" s="1"/>
  <c r="P364" i="1"/>
  <c r="Q364" i="1" s="1"/>
  <c r="P363" i="1"/>
  <c r="Q363" i="1" s="1"/>
  <c r="P362" i="1"/>
  <c r="Q362" i="1" s="1"/>
  <c r="P361" i="1"/>
  <c r="Q361" i="1" s="1"/>
  <c r="P360" i="1"/>
  <c r="Q360" i="1" s="1"/>
  <c r="P359" i="1"/>
  <c r="Q359" i="1" s="1"/>
  <c r="P358" i="1"/>
  <c r="Q358" i="1" s="1"/>
  <c r="P357" i="1"/>
  <c r="Q357" i="1" s="1"/>
  <c r="P356" i="1"/>
  <c r="Q356" i="1" s="1"/>
  <c r="P355" i="1"/>
  <c r="Q355" i="1" s="1"/>
  <c r="P354" i="1"/>
  <c r="Q354" i="1" s="1"/>
  <c r="P353" i="1"/>
  <c r="Q353" i="1" s="1"/>
  <c r="P352" i="1"/>
  <c r="Q352" i="1" s="1"/>
  <c r="P351" i="1"/>
  <c r="Q351" i="1" s="1"/>
  <c r="P350" i="1"/>
  <c r="Q350" i="1" s="1"/>
  <c r="P349" i="1"/>
  <c r="Q349" i="1" s="1"/>
  <c r="P348" i="1"/>
  <c r="Q348" i="1" s="1"/>
  <c r="P347" i="1"/>
  <c r="Q347" i="1" s="1"/>
  <c r="P346" i="1"/>
  <c r="Q346" i="1" s="1"/>
  <c r="P345" i="1"/>
  <c r="Q345" i="1" s="1"/>
  <c r="P344" i="1"/>
  <c r="Q344" i="1" s="1"/>
  <c r="P343" i="1"/>
  <c r="Q343" i="1" s="1"/>
  <c r="P342" i="1"/>
  <c r="Q342" i="1" s="1"/>
  <c r="P341" i="1"/>
  <c r="Q341" i="1" s="1"/>
  <c r="P340" i="1"/>
  <c r="Q340" i="1" s="1"/>
  <c r="P339" i="1"/>
  <c r="Q339" i="1" s="1"/>
  <c r="P338" i="1"/>
  <c r="Q338" i="1" s="1"/>
  <c r="P337" i="1"/>
  <c r="Q337" i="1" s="1"/>
  <c r="P336" i="1"/>
  <c r="Q336" i="1" s="1"/>
  <c r="P335" i="1"/>
  <c r="Q335" i="1" s="1"/>
  <c r="P334" i="1"/>
  <c r="Q334" i="1" s="1"/>
  <c r="P333" i="1"/>
  <c r="Q333" i="1" s="1"/>
  <c r="P332" i="1"/>
  <c r="Q332" i="1" s="1"/>
  <c r="P331" i="1"/>
  <c r="Q331" i="1" s="1"/>
  <c r="P330" i="1"/>
  <c r="Q330" i="1" s="1"/>
  <c r="P329" i="1"/>
  <c r="Q329" i="1" s="1"/>
  <c r="P328" i="1"/>
  <c r="Q328" i="1" s="1"/>
  <c r="P327" i="1"/>
  <c r="Q327" i="1" s="1"/>
  <c r="P326" i="1"/>
  <c r="Q326" i="1" s="1"/>
  <c r="P325" i="1"/>
  <c r="Q325" i="1" s="1"/>
  <c r="P324" i="1"/>
  <c r="Q324" i="1" s="1"/>
  <c r="P323" i="1"/>
  <c r="Q323" i="1" s="1"/>
  <c r="P322" i="1"/>
  <c r="Q322" i="1" s="1"/>
  <c r="P321" i="1"/>
  <c r="Q321" i="1" s="1"/>
  <c r="P320" i="1"/>
  <c r="Q320" i="1" s="1"/>
  <c r="P319" i="1"/>
  <c r="Q319" i="1" s="1"/>
  <c r="P318" i="1"/>
  <c r="Q318" i="1" s="1"/>
  <c r="P317" i="1"/>
  <c r="Q317" i="1" s="1"/>
  <c r="P316" i="1"/>
  <c r="Q316" i="1" s="1"/>
  <c r="P315" i="1"/>
  <c r="Q315" i="1" s="1"/>
  <c r="P314" i="1"/>
  <c r="Q314" i="1" s="1"/>
  <c r="P313" i="1"/>
  <c r="Q313" i="1" s="1"/>
  <c r="P312" i="1"/>
  <c r="Q312" i="1" s="1"/>
  <c r="P311" i="1"/>
  <c r="Q311" i="1" s="1"/>
  <c r="P310" i="1"/>
  <c r="Q310" i="1" s="1"/>
  <c r="P309" i="1"/>
  <c r="Q309" i="1" s="1"/>
  <c r="P308" i="1"/>
  <c r="Q308" i="1" s="1"/>
  <c r="P307" i="1"/>
  <c r="Q307" i="1" s="1"/>
  <c r="P306" i="1"/>
  <c r="Q306" i="1" s="1"/>
  <c r="P305" i="1"/>
  <c r="Q305" i="1" s="1"/>
  <c r="P304" i="1"/>
  <c r="Q304" i="1" s="1"/>
  <c r="P303" i="1"/>
  <c r="Q303" i="1" s="1"/>
  <c r="P302" i="1"/>
  <c r="Q302" i="1" s="1"/>
  <c r="P301" i="1"/>
  <c r="Q301" i="1" s="1"/>
  <c r="P300" i="1"/>
  <c r="Q300" i="1" s="1"/>
  <c r="P299" i="1"/>
  <c r="Q299" i="1" s="1"/>
  <c r="P298" i="1"/>
  <c r="Q298" i="1" s="1"/>
  <c r="P297" i="1"/>
  <c r="Q297" i="1" s="1"/>
  <c r="P296" i="1"/>
  <c r="Q296" i="1" s="1"/>
  <c r="P295" i="1"/>
  <c r="Q295" i="1" s="1"/>
  <c r="P294" i="1"/>
  <c r="Q294" i="1" s="1"/>
  <c r="P293" i="1"/>
  <c r="Q293" i="1" s="1"/>
  <c r="P292" i="1"/>
  <c r="Q292" i="1" s="1"/>
  <c r="P291" i="1"/>
  <c r="Q291" i="1" s="1"/>
  <c r="P290" i="1"/>
  <c r="Q290" i="1" s="1"/>
  <c r="P289" i="1"/>
  <c r="Q289" i="1" s="1"/>
  <c r="P288" i="1"/>
  <c r="Q288" i="1" s="1"/>
  <c r="P287" i="1"/>
  <c r="Q287" i="1" s="1"/>
  <c r="P286" i="1"/>
  <c r="Q286" i="1" s="1"/>
  <c r="P285" i="1"/>
  <c r="Q285" i="1" s="1"/>
  <c r="P284" i="1"/>
  <c r="Q284" i="1" s="1"/>
  <c r="P283" i="1"/>
  <c r="Q283" i="1" s="1"/>
  <c r="P282" i="1"/>
  <c r="Q282" i="1" s="1"/>
  <c r="P281" i="1"/>
  <c r="Q281" i="1" s="1"/>
  <c r="P280" i="1"/>
  <c r="Q280" i="1" s="1"/>
  <c r="P279" i="1"/>
  <c r="Q279" i="1" s="1"/>
  <c r="P278" i="1"/>
  <c r="Q278" i="1" s="1"/>
  <c r="P277" i="1"/>
  <c r="Q277" i="1" s="1"/>
  <c r="P276" i="1"/>
  <c r="Q276" i="1" s="1"/>
  <c r="P275" i="1"/>
  <c r="Q275" i="1" s="1"/>
  <c r="P274" i="1"/>
  <c r="Q274" i="1" s="1"/>
  <c r="P273" i="1"/>
  <c r="Q273" i="1" s="1"/>
  <c r="P272" i="1"/>
  <c r="Q272" i="1" s="1"/>
  <c r="P271" i="1"/>
  <c r="Q271" i="1" s="1"/>
  <c r="P270" i="1"/>
  <c r="Q270" i="1" s="1"/>
  <c r="P269" i="1"/>
  <c r="Q269" i="1" s="1"/>
  <c r="P268" i="1"/>
  <c r="Q268" i="1" s="1"/>
  <c r="P267" i="1"/>
  <c r="Q267" i="1" s="1"/>
  <c r="P266" i="1"/>
  <c r="Q266" i="1" s="1"/>
  <c r="P265" i="1"/>
  <c r="Q265" i="1" s="1"/>
  <c r="P264" i="1"/>
  <c r="Q264" i="1" s="1"/>
  <c r="P263" i="1"/>
  <c r="Q263" i="1" s="1"/>
  <c r="P262" i="1"/>
  <c r="Q262" i="1" s="1"/>
  <c r="P261" i="1"/>
  <c r="Q261" i="1" s="1"/>
  <c r="P260" i="1"/>
  <c r="Q260" i="1" s="1"/>
  <c r="P259" i="1"/>
  <c r="Q259" i="1" s="1"/>
  <c r="P258" i="1"/>
  <c r="Q258" i="1" s="1"/>
  <c r="P257" i="1"/>
  <c r="Q257" i="1" s="1"/>
  <c r="P256" i="1"/>
  <c r="Q256" i="1" s="1"/>
  <c r="P255" i="1"/>
  <c r="Q255" i="1" s="1"/>
  <c r="P254" i="1"/>
  <c r="Q254" i="1" s="1"/>
  <c r="P253" i="1"/>
  <c r="Q253" i="1" s="1"/>
  <c r="P252" i="1"/>
  <c r="Q252" i="1" s="1"/>
  <c r="P251" i="1"/>
  <c r="Q251" i="1" s="1"/>
  <c r="P250" i="1"/>
  <c r="Q250" i="1" s="1"/>
  <c r="P249" i="1"/>
  <c r="Q249" i="1" s="1"/>
  <c r="P248" i="1"/>
  <c r="Q248" i="1" s="1"/>
  <c r="P247" i="1"/>
  <c r="Q247" i="1" s="1"/>
  <c r="P246" i="1"/>
  <c r="Q246" i="1" s="1"/>
  <c r="P245" i="1"/>
  <c r="Q245" i="1" s="1"/>
  <c r="P244" i="1"/>
  <c r="Q244" i="1" s="1"/>
  <c r="P243" i="1"/>
  <c r="Q243" i="1" s="1"/>
  <c r="P242" i="1"/>
  <c r="Q242" i="1" s="1"/>
  <c r="P241" i="1"/>
  <c r="Q241" i="1" s="1"/>
  <c r="P240" i="1"/>
  <c r="Q240" i="1" s="1"/>
  <c r="P239" i="1"/>
  <c r="Q239" i="1" s="1"/>
  <c r="P238" i="1"/>
  <c r="Q238" i="1" s="1"/>
  <c r="P237" i="1"/>
  <c r="Q237" i="1" s="1"/>
  <c r="P236" i="1"/>
  <c r="Q236" i="1" s="1"/>
  <c r="P235" i="1"/>
  <c r="Q235" i="1" s="1"/>
  <c r="P234" i="1"/>
  <c r="Q234" i="1" s="1"/>
  <c r="P233" i="1"/>
  <c r="Q233" i="1" s="1"/>
  <c r="P232" i="1"/>
  <c r="Q232" i="1" s="1"/>
  <c r="P231" i="1"/>
  <c r="Q231" i="1" s="1"/>
  <c r="P230" i="1"/>
  <c r="Q230" i="1" s="1"/>
  <c r="P229" i="1"/>
  <c r="Q229" i="1" s="1"/>
  <c r="P228" i="1"/>
  <c r="Q228" i="1" s="1"/>
  <c r="P227" i="1"/>
  <c r="Q227" i="1" s="1"/>
  <c r="P226" i="1"/>
  <c r="Q226" i="1" s="1"/>
  <c r="P225" i="1"/>
  <c r="Q225" i="1" s="1"/>
  <c r="P224" i="1"/>
  <c r="Q224" i="1" s="1"/>
  <c r="P223" i="1"/>
  <c r="Q223" i="1" s="1"/>
  <c r="P222" i="1"/>
  <c r="Q222" i="1" s="1"/>
  <c r="P221" i="1"/>
  <c r="Q221" i="1" s="1"/>
  <c r="P220" i="1"/>
  <c r="Q220" i="1" s="1"/>
  <c r="P219" i="1"/>
  <c r="Q219" i="1" s="1"/>
  <c r="P218" i="1"/>
  <c r="Q218" i="1" s="1"/>
  <c r="P217" i="1"/>
  <c r="Q217" i="1" s="1"/>
  <c r="P216" i="1"/>
  <c r="Q216" i="1" s="1"/>
  <c r="P215" i="1"/>
  <c r="Q215" i="1" s="1"/>
  <c r="P214" i="1"/>
  <c r="Q214" i="1" s="1"/>
  <c r="P213" i="1"/>
  <c r="Q213" i="1" s="1"/>
  <c r="P212" i="1"/>
  <c r="Q212" i="1" s="1"/>
  <c r="P211" i="1"/>
  <c r="Q211" i="1" s="1"/>
  <c r="P210" i="1"/>
  <c r="Q210" i="1" s="1"/>
  <c r="P209" i="1"/>
  <c r="Q209" i="1" s="1"/>
  <c r="P208" i="1"/>
  <c r="Q208" i="1" s="1"/>
  <c r="P207" i="1"/>
  <c r="Q207" i="1" s="1"/>
  <c r="P206" i="1"/>
  <c r="Q206" i="1" s="1"/>
  <c r="P205" i="1"/>
  <c r="Q205" i="1" s="1"/>
  <c r="P204" i="1"/>
  <c r="Q204" i="1" s="1"/>
  <c r="P203" i="1"/>
  <c r="Q203" i="1" s="1"/>
  <c r="P202" i="1"/>
  <c r="Q202" i="1" s="1"/>
  <c r="P201" i="1"/>
  <c r="Q201" i="1" s="1"/>
  <c r="P200" i="1"/>
  <c r="Q200" i="1" s="1"/>
  <c r="P199" i="1"/>
  <c r="Q199" i="1" s="1"/>
  <c r="P198" i="1"/>
  <c r="Q198" i="1" s="1"/>
  <c r="P197" i="1"/>
  <c r="Q197" i="1" s="1"/>
  <c r="P196" i="1"/>
  <c r="Q196" i="1" s="1"/>
  <c r="P195" i="1"/>
  <c r="Q195" i="1" s="1"/>
  <c r="P194" i="1"/>
  <c r="Q194" i="1" s="1"/>
  <c r="P193" i="1"/>
  <c r="Q193" i="1" s="1"/>
  <c r="P192" i="1"/>
  <c r="Q192" i="1" s="1"/>
  <c r="P191" i="1"/>
  <c r="Q191" i="1" s="1"/>
  <c r="P190" i="1"/>
  <c r="Q190" i="1" s="1"/>
  <c r="P189" i="1"/>
  <c r="Q189" i="1" s="1"/>
  <c r="P188" i="1"/>
  <c r="Q188" i="1" s="1"/>
  <c r="P187" i="1"/>
  <c r="Q187" i="1" s="1"/>
  <c r="P186" i="1"/>
  <c r="Q186" i="1" s="1"/>
  <c r="P185" i="1"/>
  <c r="Q185" i="1" s="1"/>
  <c r="P184" i="1"/>
  <c r="Q184" i="1" s="1"/>
  <c r="P183" i="1"/>
  <c r="Q183" i="1" s="1"/>
  <c r="P182" i="1"/>
  <c r="Q182" i="1" s="1"/>
  <c r="P181" i="1"/>
  <c r="Q181" i="1" s="1"/>
  <c r="P180" i="1"/>
  <c r="Q180" i="1" s="1"/>
  <c r="P179" i="1"/>
  <c r="Q179" i="1" s="1"/>
  <c r="P178" i="1"/>
  <c r="Q178" i="1" s="1"/>
  <c r="P177" i="1"/>
  <c r="Q177" i="1" s="1"/>
  <c r="P176" i="1"/>
  <c r="Q176" i="1" s="1"/>
  <c r="P175" i="1"/>
  <c r="Q175" i="1" s="1"/>
  <c r="P174" i="1"/>
  <c r="Q174" i="1" s="1"/>
  <c r="P173" i="1"/>
  <c r="Q173" i="1" s="1"/>
  <c r="P172" i="1"/>
  <c r="Q172" i="1" s="1"/>
  <c r="P171" i="1"/>
  <c r="Q171" i="1" s="1"/>
  <c r="P170" i="1"/>
  <c r="Q170" i="1" s="1"/>
  <c r="P169" i="1"/>
  <c r="Q169" i="1" s="1"/>
  <c r="P168" i="1"/>
  <c r="Q168" i="1" s="1"/>
  <c r="P167" i="1"/>
  <c r="Q167" i="1" s="1"/>
  <c r="P166" i="1"/>
  <c r="Q166" i="1" s="1"/>
  <c r="P165" i="1"/>
  <c r="Q165" i="1" s="1"/>
  <c r="P164" i="1"/>
  <c r="Q164" i="1" s="1"/>
  <c r="P163" i="1"/>
  <c r="Q163" i="1" s="1"/>
  <c r="P162" i="1"/>
  <c r="Q162" i="1" s="1"/>
  <c r="P161" i="1"/>
  <c r="Q161" i="1" s="1"/>
  <c r="P160" i="1"/>
  <c r="Q160" i="1" s="1"/>
  <c r="P159" i="1"/>
  <c r="Q159" i="1" s="1"/>
  <c r="P158" i="1"/>
  <c r="Q158" i="1" s="1"/>
  <c r="P157" i="1"/>
  <c r="Q157" i="1" s="1"/>
  <c r="P156" i="1"/>
  <c r="Q156" i="1" s="1"/>
  <c r="P155" i="1"/>
  <c r="Q155" i="1" s="1"/>
  <c r="P154" i="1"/>
  <c r="Q154" i="1" s="1"/>
  <c r="P153" i="1"/>
  <c r="Q153" i="1" s="1"/>
  <c r="P152" i="1"/>
  <c r="Q152" i="1" s="1"/>
  <c r="P151" i="1"/>
  <c r="Q151" i="1" s="1"/>
  <c r="P150" i="1"/>
  <c r="Q150" i="1" s="1"/>
  <c r="P149" i="1"/>
  <c r="Q149" i="1" s="1"/>
  <c r="P148" i="1"/>
  <c r="Q148" i="1" s="1"/>
  <c r="P147" i="1"/>
  <c r="Q147" i="1" s="1"/>
  <c r="P146" i="1"/>
  <c r="Q146" i="1" s="1"/>
  <c r="P145" i="1"/>
  <c r="Q145" i="1" s="1"/>
  <c r="P144" i="1"/>
  <c r="Q144" i="1" s="1"/>
  <c r="P143" i="1"/>
  <c r="Q143" i="1" s="1"/>
  <c r="P142" i="1"/>
  <c r="Q142" i="1" s="1"/>
  <c r="P141" i="1"/>
  <c r="Q141" i="1" s="1"/>
  <c r="P140" i="1"/>
  <c r="Q140" i="1" s="1"/>
  <c r="P139" i="1"/>
  <c r="Q139" i="1" s="1"/>
  <c r="P138" i="1"/>
  <c r="Q138" i="1" s="1"/>
  <c r="P137" i="1"/>
  <c r="Q137" i="1" s="1"/>
  <c r="P136" i="1"/>
  <c r="Q136" i="1" s="1"/>
  <c r="P135" i="1"/>
  <c r="Q135" i="1" s="1"/>
  <c r="P134" i="1"/>
  <c r="Q134" i="1" s="1"/>
  <c r="P133" i="1"/>
  <c r="Q133" i="1" s="1"/>
  <c r="P132" i="1"/>
  <c r="Q132" i="1" s="1"/>
  <c r="P131" i="1"/>
  <c r="Q131" i="1" s="1"/>
  <c r="P130" i="1"/>
  <c r="Q130" i="1" s="1"/>
  <c r="P129" i="1"/>
  <c r="Q129" i="1" s="1"/>
  <c r="P128" i="1"/>
  <c r="Q128" i="1" s="1"/>
  <c r="P127" i="1"/>
  <c r="Q127" i="1" s="1"/>
  <c r="P126" i="1"/>
  <c r="Q126" i="1" s="1"/>
  <c r="P125" i="1"/>
  <c r="Q125" i="1" s="1"/>
  <c r="P124" i="1"/>
  <c r="Q124" i="1" s="1"/>
  <c r="P123" i="1"/>
  <c r="Q123" i="1" s="1"/>
  <c r="P122" i="1"/>
  <c r="Q122" i="1" s="1"/>
  <c r="P121" i="1"/>
  <c r="Q121" i="1" s="1"/>
  <c r="P120" i="1"/>
  <c r="Q120" i="1" s="1"/>
  <c r="P119" i="1"/>
  <c r="Q119" i="1" s="1"/>
  <c r="P118" i="1"/>
  <c r="Q118" i="1" s="1"/>
  <c r="P117" i="1"/>
  <c r="Q117" i="1" s="1"/>
  <c r="P116" i="1"/>
  <c r="Q116" i="1" s="1"/>
  <c r="P115" i="1"/>
  <c r="Q115" i="1" s="1"/>
  <c r="P114" i="1"/>
  <c r="Q114" i="1" s="1"/>
  <c r="P113" i="1"/>
  <c r="Q113" i="1" s="1"/>
  <c r="P112" i="1"/>
  <c r="Q112" i="1" s="1"/>
  <c r="P111" i="1"/>
  <c r="Q111" i="1" s="1"/>
  <c r="P110" i="1"/>
  <c r="Q110" i="1" s="1"/>
  <c r="P109" i="1"/>
  <c r="Q109" i="1" s="1"/>
  <c r="P108" i="1"/>
  <c r="Q108" i="1" s="1"/>
  <c r="P107" i="1"/>
  <c r="Q107" i="1" s="1"/>
  <c r="P106" i="1"/>
  <c r="Q106" i="1" s="1"/>
  <c r="P105" i="1"/>
  <c r="Q105" i="1" s="1"/>
  <c r="P104" i="1"/>
  <c r="Q104" i="1" s="1"/>
  <c r="P103" i="1"/>
  <c r="Q103" i="1" s="1"/>
  <c r="P102" i="1"/>
  <c r="Q102" i="1" s="1"/>
  <c r="P101" i="1"/>
  <c r="Q101" i="1" s="1"/>
  <c r="P100" i="1"/>
  <c r="Q100" i="1" s="1"/>
  <c r="P99" i="1"/>
  <c r="Q99" i="1" s="1"/>
  <c r="P98" i="1"/>
  <c r="Q98" i="1" s="1"/>
  <c r="P97" i="1"/>
  <c r="Q97" i="1" s="1"/>
  <c r="P96" i="1"/>
  <c r="Q96" i="1" s="1"/>
  <c r="P95" i="1"/>
  <c r="Q95" i="1" s="1"/>
  <c r="P94" i="1"/>
  <c r="Q94" i="1" s="1"/>
  <c r="P93" i="1"/>
  <c r="Q93" i="1" s="1"/>
  <c r="P92" i="1"/>
  <c r="Q92" i="1" s="1"/>
  <c r="P91" i="1"/>
  <c r="Q91" i="1" s="1"/>
  <c r="P90" i="1"/>
  <c r="Q90" i="1" s="1"/>
  <c r="P89" i="1"/>
  <c r="Q89" i="1" s="1"/>
  <c r="P88" i="1"/>
  <c r="Q88" i="1" s="1"/>
  <c r="P87" i="1"/>
  <c r="Q87" i="1" s="1"/>
  <c r="P86" i="1"/>
  <c r="Q86" i="1" s="1"/>
  <c r="P85" i="1"/>
  <c r="Q85" i="1" s="1"/>
  <c r="P84" i="1"/>
  <c r="Q84" i="1" s="1"/>
  <c r="P83" i="1"/>
  <c r="Q83" i="1" s="1"/>
  <c r="P82" i="1"/>
  <c r="Q82" i="1" s="1"/>
  <c r="P81" i="1"/>
  <c r="Q81" i="1" s="1"/>
  <c r="P80" i="1"/>
  <c r="Q80" i="1" s="1"/>
  <c r="P79" i="1"/>
  <c r="Q79" i="1" s="1"/>
  <c r="P78" i="1"/>
  <c r="Q78" i="1" s="1"/>
  <c r="P77" i="1"/>
  <c r="Q77" i="1" s="1"/>
  <c r="P76" i="1"/>
  <c r="Q76" i="1" s="1"/>
  <c r="P75" i="1"/>
  <c r="Q75" i="1" s="1"/>
  <c r="P74" i="1"/>
  <c r="Q74" i="1" s="1"/>
  <c r="P73" i="1"/>
  <c r="Q73" i="1" s="1"/>
  <c r="P72" i="1"/>
  <c r="Q72" i="1" s="1"/>
  <c r="P71" i="1"/>
  <c r="Q71" i="1" s="1"/>
  <c r="P70" i="1"/>
  <c r="Q70" i="1" s="1"/>
  <c r="P69" i="1"/>
  <c r="Q69" i="1" s="1"/>
  <c r="P68" i="1"/>
  <c r="Q68" i="1" s="1"/>
  <c r="P67" i="1"/>
  <c r="Q67" i="1" s="1"/>
  <c r="P66" i="1"/>
  <c r="Q66" i="1" s="1"/>
  <c r="P65" i="1"/>
  <c r="Q65" i="1" s="1"/>
  <c r="P64" i="1"/>
  <c r="Q64" i="1" s="1"/>
  <c r="P63" i="1"/>
  <c r="Q63" i="1" s="1"/>
  <c r="P62" i="1"/>
  <c r="Q62" i="1" s="1"/>
  <c r="P61" i="1"/>
  <c r="Q61" i="1" s="1"/>
  <c r="P60" i="1"/>
  <c r="Q60" i="1" s="1"/>
  <c r="P59" i="1"/>
  <c r="Q59" i="1" s="1"/>
  <c r="P58" i="1"/>
  <c r="Q58" i="1" s="1"/>
  <c r="P57" i="1"/>
  <c r="Q57" i="1" s="1"/>
  <c r="P56" i="1"/>
  <c r="Q56" i="1" s="1"/>
  <c r="P55" i="1"/>
  <c r="Q55" i="1" s="1"/>
  <c r="P54" i="1"/>
  <c r="Q54" i="1" s="1"/>
  <c r="P53" i="1"/>
  <c r="Q53" i="1" s="1"/>
  <c r="P52" i="1"/>
  <c r="Q52" i="1" s="1"/>
  <c r="P51" i="1"/>
  <c r="Q51" i="1" s="1"/>
  <c r="P50" i="1"/>
  <c r="Q50" i="1" s="1"/>
  <c r="P49" i="1"/>
  <c r="Q49" i="1" s="1"/>
  <c r="P48" i="1"/>
  <c r="Q48" i="1" s="1"/>
  <c r="P47" i="1"/>
  <c r="Q47" i="1" s="1"/>
  <c r="P46" i="1"/>
  <c r="Q46" i="1" s="1"/>
  <c r="P45" i="1"/>
  <c r="Q45" i="1" s="1"/>
  <c r="P44" i="1"/>
  <c r="Q44" i="1" s="1"/>
  <c r="P43" i="1"/>
  <c r="Q43" i="1" s="1"/>
  <c r="P42" i="1"/>
  <c r="Q42" i="1" s="1"/>
  <c r="P41" i="1"/>
  <c r="Q41" i="1" s="1"/>
  <c r="P40" i="1"/>
  <c r="Q40" i="1" s="1"/>
  <c r="P39" i="1"/>
  <c r="Q39" i="1" s="1"/>
  <c r="P38" i="1"/>
  <c r="Q38" i="1" s="1"/>
  <c r="P37" i="1"/>
  <c r="Q37" i="1" s="1"/>
  <c r="P36" i="1"/>
  <c r="Q36" i="1" s="1"/>
  <c r="P35" i="1"/>
  <c r="Q35" i="1" s="1"/>
  <c r="P34" i="1"/>
  <c r="Q34" i="1" s="1"/>
  <c r="P33" i="1"/>
  <c r="Q33" i="1" s="1"/>
  <c r="P32" i="1"/>
  <c r="Q32" i="1" s="1"/>
  <c r="P31" i="1"/>
  <c r="Q31" i="1" s="1"/>
  <c r="P30" i="1"/>
  <c r="Q30" i="1" s="1"/>
  <c r="P29" i="1"/>
  <c r="Q29" i="1" s="1"/>
  <c r="P28" i="1"/>
  <c r="Q28" i="1" s="1"/>
  <c r="P27" i="1"/>
  <c r="Q27" i="1" s="1"/>
  <c r="P26" i="1"/>
  <c r="Q26" i="1" s="1"/>
  <c r="P25" i="1"/>
  <c r="Q25" i="1" s="1"/>
  <c r="P24" i="1"/>
  <c r="Q24" i="1" s="1"/>
  <c r="S766" i="1"/>
  <c r="T766" i="1" s="1"/>
  <c r="D2" i="7"/>
  <c r="C2" i="7"/>
  <c r="O25" i="6"/>
  <c r="N25" i="6"/>
  <c r="M25" i="6"/>
  <c r="H25" i="6"/>
  <c r="O24" i="6"/>
  <c r="N24" i="6"/>
  <c r="M24" i="6"/>
  <c r="H24" i="6"/>
  <c r="O23" i="6"/>
  <c r="N23" i="6"/>
  <c r="M23" i="6"/>
  <c r="H23" i="6"/>
  <c r="O22" i="6"/>
  <c r="N22" i="6"/>
  <c r="M22" i="6"/>
  <c r="H22" i="6"/>
  <c r="O21" i="6"/>
  <c r="N21" i="6"/>
  <c r="M21" i="6"/>
  <c r="H21" i="6"/>
  <c r="O20" i="6"/>
  <c r="N20" i="6"/>
  <c r="M20" i="6"/>
  <c r="H20" i="6"/>
  <c r="O19" i="6"/>
  <c r="N19" i="6"/>
  <c r="M19" i="6"/>
  <c r="H19" i="6"/>
  <c r="O18" i="6"/>
  <c r="N18" i="6"/>
  <c r="M18" i="6"/>
  <c r="H18" i="6"/>
  <c r="O17" i="6"/>
  <c r="N17" i="6"/>
  <c r="M17" i="6"/>
  <c r="H17" i="6"/>
  <c r="O16" i="6"/>
  <c r="N16" i="6"/>
  <c r="M16" i="6"/>
  <c r="H16" i="6"/>
  <c r="O15" i="6"/>
  <c r="N15" i="6"/>
  <c r="M15" i="6"/>
  <c r="H15" i="6"/>
  <c r="O14" i="6"/>
  <c r="N14" i="6"/>
  <c r="M14" i="6"/>
  <c r="H14" i="6"/>
  <c r="O13" i="6"/>
  <c r="N13" i="6"/>
  <c r="M13" i="6"/>
  <c r="H13" i="6"/>
  <c r="O12" i="6"/>
  <c r="N12" i="6"/>
  <c r="M12" i="6"/>
  <c r="H12" i="6"/>
  <c r="O11" i="6"/>
  <c r="N11" i="6"/>
  <c r="M11" i="6"/>
  <c r="H11" i="6"/>
  <c r="O10" i="6"/>
  <c r="N10" i="6"/>
  <c r="M10" i="6"/>
  <c r="H10" i="6"/>
  <c r="O9" i="6"/>
  <c r="N9" i="6"/>
  <c r="M9" i="6"/>
  <c r="H9" i="6"/>
  <c r="O8" i="6"/>
  <c r="N8" i="6"/>
  <c r="M8" i="6"/>
  <c r="H8" i="6"/>
  <c r="O7" i="6"/>
  <c r="N7" i="6"/>
  <c r="M7" i="6"/>
  <c r="H7" i="6"/>
  <c r="O6" i="6"/>
  <c r="N6" i="6"/>
  <c r="M6" i="6"/>
  <c r="H6" i="6"/>
  <c r="O5" i="6"/>
  <c r="N5" i="6"/>
  <c r="M5" i="6"/>
  <c r="H5" i="6"/>
  <c r="O4" i="6"/>
  <c r="N4" i="6"/>
  <c r="M4" i="6"/>
  <c r="H4" i="6"/>
  <c r="O3" i="6"/>
  <c r="N3" i="6"/>
  <c r="J3" i="6"/>
  <c r="H3" i="6"/>
  <c r="C124" i="5"/>
  <c r="D124" i="5" s="1"/>
  <c r="D123" i="5"/>
  <c r="C123" i="5"/>
  <c r="D117" i="5"/>
  <c r="D118" i="5"/>
  <c r="C117" i="5"/>
  <c r="C116" i="5" s="1"/>
  <c r="C115" i="5"/>
  <c r="D114" i="5"/>
  <c r="C114" i="5"/>
  <c r="D113" i="5"/>
  <c r="C113" i="5"/>
  <c r="D112" i="5"/>
  <c r="C112" i="5"/>
  <c r="D111" i="5"/>
  <c r="C111" i="5"/>
  <c r="C99" i="5"/>
  <c r="D102" i="5"/>
  <c r="D77" i="5"/>
  <c r="C74" i="5"/>
  <c r="C77" i="5"/>
  <c r="C49" i="5"/>
  <c r="D52" i="5"/>
  <c r="C23" i="5"/>
  <c r="C26" i="5"/>
  <c r="D237" i="4"/>
  <c r="C237" i="4"/>
  <c r="C187" i="4"/>
  <c r="D187" i="4"/>
  <c r="C124" i="4"/>
  <c r="D124" i="4" s="1"/>
  <c r="D123" i="4"/>
  <c r="C123" i="4"/>
  <c r="D117" i="4"/>
  <c r="D118" i="4" s="1"/>
  <c r="C117" i="4"/>
  <c r="C118" i="4" s="1"/>
  <c r="C115" i="4"/>
  <c r="D114" i="4"/>
  <c r="C114" i="4"/>
  <c r="D113" i="4"/>
  <c r="C113" i="4"/>
  <c r="D112" i="4"/>
  <c r="C112" i="4"/>
  <c r="D111" i="4"/>
  <c r="C111" i="4"/>
  <c r="D106" i="4"/>
  <c r="C106" i="4"/>
  <c r="C103" i="4"/>
  <c r="C78" i="4"/>
  <c r="D81" i="4"/>
  <c r="C53" i="4"/>
  <c r="D56" i="4"/>
  <c r="C28" i="4"/>
  <c r="C31" i="4"/>
  <c r="D164" i="3"/>
  <c r="C164" i="3"/>
  <c r="C124" i="3"/>
  <c r="D124" i="3" s="1"/>
  <c r="D123" i="3"/>
  <c r="C123" i="3"/>
  <c r="D117" i="3"/>
  <c r="D118" i="3" s="1"/>
  <c r="C117" i="3"/>
  <c r="C118" i="3" s="1"/>
  <c r="C115" i="3"/>
  <c r="D114" i="3"/>
  <c r="C114" i="3"/>
  <c r="D113" i="3"/>
  <c r="C113" i="3"/>
  <c r="D112" i="3"/>
  <c r="C112" i="3"/>
  <c r="D111" i="3"/>
  <c r="C111" i="3"/>
  <c r="D89" i="3"/>
  <c r="C89" i="3"/>
  <c r="D55" i="3"/>
  <c r="C55" i="3"/>
  <c r="D27" i="3"/>
  <c r="C27" i="3"/>
  <c r="C124" i="2"/>
  <c r="D124" i="2"/>
  <c r="D123" i="2"/>
  <c r="C123" i="2"/>
  <c r="D117" i="2"/>
  <c r="D118" i="2"/>
  <c r="C117" i="2"/>
  <c r="C122" i="2"/>
  <c r="C133" i="2"/>
  <c r="C115" i="2"/>
  <c r="D114" i="2"/>
  <c r="C114" i="2"/>
  <c r="D113" i="2"/>
  <c r="C113" i="2"/>
  <c r="D112" i="2"/>
  <c r="C112" i="2"/>
  <c r="D111" i="2"/>
  <c r="C111" i="2"/>
  <c r="C102" i="5"/>
  <c r="D31" i="4"/>
  <c r="M3" i="6"/>
  <c r="C81" i="4"/>
  <c r="C52" i="5"/>
  <c r="C118" i="2"/>
  <c r="C116" i="2"/>
  <c r="K3" i="6"/>
  <c r="D26" i="5"/>
  <c r="C56" i="4"/>
  <c r="D136" i="2"/>
  <c r="C136" i="2"/>
  <c r="C138" i="2"/>
  <c r="C2" i="1" l="1"/>
  <c r="D2" i="1"/>
  <c r="C118" i="5"/>
  <c r="C122" i="5"/>
  <c r="C133" i="5" s="1"/>
  <c r="D136" i="5" s="1"/>
  <c r="C116" i="4"/>
  <c r="R765" i="1"/>
  <c r="C122" i="4"/>
  <c r="C133" i="4" s="1"/>
  <c r="D136" i="4" s="1"/>
  <c r="C116" i="3"/>
  <c r="C122" i="3"/>
  <c r="C133" i="3" s="1"/>
  <c r="D136" i="3" s="1"/>
  <c r="C136" i="5" l="1"/>
  <c r="C138" i="5" s="1"/>
  <c r="R764" i="1"/>
  <c r="S765" i="1"/>
  <c r="T765" i="1" s="1"/>
  <c r="C136" i="4"/>
  <c r="C138" i="4" s="1"/>
  <c r="C136" i="3"/>
  <c r="C138" i="3" s="1"/>
  <c r="S764" i="1" l="1"/>
  <c r="T764" i="1" s="1"/>
  <c r="R763" i="1"/>
  <c r="S763" i="1" l="1"/>
  <c r="T763" i="1" s="1"/>
  <c r="R762" i="1"/>
  <c r="S762" i="1" l="1"/>
  <c r="T762" i="1" s="1"/>
  <c r="R761" i="1"/>
  <c r="R760" i="1" l="1"/>
  <c r="S761" i="1"/>
  <c r="T761" i="1" s="1"/>
  <c r="R759" i="1" l="1"/>
  <c r="S760" i="1"/>
  <c r="T760" i="1" s="1"/>
  <c r="R758" i="1" l="1"/>
  <c r="S759" i="1"/>
  <c r="T759" i="1" s="1"/>
  <c r="R757" i="1" l="1"/>
  <c r="S758" i="1"/>
  <c r="T758" i="1" s="1"/>
  <c r="R756" i="1" l="1"/>
  <c r="S757" i="1"/>
  <c r="T757" i="1" s="1"/>
  <c r="R755" i="1" l="1"/>
  <c r="S756" i="1"/>
  <c r="T756" i="1" s="1"/>
  <c r="R754" i="1" l="1"/>
  <c r="S755" i="1"/>
  <c r="T755" i="1" s="1"/>
  <c r="S754" i="1" l="1"/>
  <c r="T754" i="1" s="1"/>
  <c r="R753" i="1"/>
  <c r="S753" i="1" l="1"/>
  <c r="T753" i="1" s="1"/>
  <c r="R752" i="1"/>
  <c r="S752" i="1" l="1"/>
  <c r="T752" i="1" s="1"/>
  <c r="R751" i="1"/>
  <c r="S751" i="1" l="1"/>
  <c r="T751" i="1" s="1"/>
  <c r="R750" i="1"/>
  <c r="R749" i="1" l="1"/>
  <c r="S750" i="1"/>
  <c r="T750" i="1" s="1"/>
  <c r="R748" i="1" l="1"/>
  <c r="S749" i="1"/>
  <c r="T749" i="1" s="1"/>
  <c r="R747" i="1" l="1"/>
  <c r="S748" i="1"/>
  <c r="T748" i="1" s="1"/>
  <c r="S747" i="1" l="1"/>
  <c r="T747" i="1" s="1"/>
  <c r="R746" i="1"/>
  <c r="S746" i="1" l="1"/>
  <c r="T746" i="1" s="1"/>
  <c r="R745" i="1"/>
  <c r="S745" i="1" l="1"/>
  <c r="T745" i="1" s="1"/>
  <c r="R744" i="1"/>
  <c r="S744" i="1" l="1"/>
  <c r="T744" i="1" s="1"/>
  <c r="R743" i="1"/>
  <c r="R742" i="1" l="1"/>
  <c r="S743" i="1"/>
  <c r="T743" i="1" s="1"/>
  <c r="R741" i="1" l="1"/>
  <c r="S742" i="1"/>
  <c r="T742" i="1" s="1"/>
  <c r="R740" i="1" l="1"/>
  <c r="S741" i="1"/>
  <c r="T741" i="1" s="1"/>
  <c r="R739" i="1" l="1"/>
  <c r="S740" i="1"/>
  <c r="T740" i="1" s="1"/>
  <c r="R738" i="1" l="1"/>
  <c r="S739" i="1"/>
  <c r="T739" i="1" s="1"/>
  <c r="S738" i="1" l="1"/>
  <c r="T738" i="1" s="1"/>
  <c r="R737" i="1"/>
  <c r="S737" i="1" l="1"/>
  <c r="T737" i="1" s="1"/>
  <c r="R736" i="1"/>
  <c r="S736" i="1" l="1"/>
  <c r="T736" i="1" s="1"/>
  <c r="R735" i="1"/>
  <c r="R734" i="1" l="1"/>
  <c r="S735" i="1"/>
  <c r="T735" i="1" s="1"/>
  <c r="R733" i="1" l="1"/>
  <c r="S734" i="1"/>
  <c r="T734" i="1" s="1"/>
  <c r="R732" i="1" l="1"/>
  <c r="S733" i="1"/>
  <c r="T733" i="1" s="1"/>
  <c r="S732" i="1" l="1"/>
  <c r="T732" i="1" s="1"/>
  <c r="R731" i="1"/>
  <c r="S731" i="1" l="1"/>
  <c r="T731" i="1" s="1"/>
  <c r="R730" i="1"/>
  <c r="S730" i="1" l="1"/>
  <c r="T730" i="1" s="1"/>
  <c r="R729" i="1"/>
  <c r="S729" i="1" l="1"/>
  <c r="T729" i="1" s="1"/>
  <c r="R728" i="1"/>
  <c r="R727" i="1" l="1"/>
  <c r="S728" i="1"/>
  <c r="T728" i="1" s="1"/>
  <c r="R726" i="1" l="1"/>
  <c r="S727" i="1"/>
  <c r="T727" i="1" s="1"/>
  <c r="R725" i="1" l="1"/>
  <c r="S726" i="1"/>
  <c r="T726" i="1" s="1"/>
  <c r="R724" i="1" l="1"/>
  <c r="S725" i="1"/>
  <c r="T725" i="1" s="1"/>
  <c r="S724" i="1" l="1"/>
  <c r="T724" i="1" s="1"/>
  <c r="R723" i="1"/>
  <c r="S723" i="1" l="1"/>
  <c r="T723" i="1" s="1"/>
  <c r="R722" i="1"/>
  <c r="R721" i="1" l="1"/>
  <c r="S722" i="1"/>
  <c r="T722" i="1" s="1"/>
  <c r="R720" i="1" l="1"/>
  <c r="S721" i="1"/>
  <c r="T721" i="1" s="1"/>
  <c r="R719" i="1" l="1"/>
  <c r="S720" i="1"/>
  <c r="T720" i="1" s="1"/>
  <c r="R718" i="1" l="1"/>
  <c r="S719" i="1"/>
  <c r="T719" i="1" s="1"/>
  <c r="S718" i="1" l="1"/>
  <c r="T718" i="1" s="1"/>
  <c r="R717" i="1"/>
  <c r="S717" i="1" l="1"/>
  <c r="T717" i="1" s="1"/>
  <c r="R716" i="1"/>
  <c r="S716" i="1" l="1"/>
  <c r="T716" i="1" s="1"/>
  <c r="R715" i="1"/>
  <c r="S715" i="1" l="1"/>
  <c r="T715" i="1" s="1"/>
  <c r="R714" i="1"/>
  <c r="R713" i="1" l="1"/>
  <c r="S714" i="1"/>
  <c r="T714" i="1" s="1"/>
  <c r="R712" i="1" l="1"/>
  <c r="S713" i="1"/>
  <c r="T713" i="1" s="1"/>
  <c r="R711" i="1" l="1"/>
  <c r="S712" i="1"/>
  <c r="T712" i="1" s="1"/>
  <c r="R710" i="1" l="1"/>
  <c r="S711" i="1"/>
  <c r="T711" i="1" s="1"/>
  <c r="S710" i="1" l="1"/>
  <c r="T710" i="1" s="1"/>
  <c r="R709" i="1"/>
  <c r="S709" i="1" l="1"/>
  <c r="T709" i="1" s="1"/>
  <c r="R708" i="1"/>
  <c r="S708" i="1" l="1"/>
  <c r="T708" i="1" s="1"/>
  <c r="R707" i="1"/>
  <c r="R706" i="1" l="1"/>
  <c r="S707" i="1"/>
  <c r="T707" i="1" s="1"/>
  <c r="R705" i="1" l="1"/>
  <c r="S706" i="1"/>
  <c r="T706" i="1" s="1"/>
  <c r="R704" i="1" l="1"/>
  <c r="S705" i="1"/>
  <c r="T705" i="1" s="1"/>
  <c r="R703" i="1" l="1"/>
  <c r="S704" i="1"/>
  <c r="T704" i="1" s="1"/>
  <c r="S703" i="1" l="1"/>
  <c r="T703" i="1" s="1"/>
  <c r="R702" i="1"/>
  <c r="S702" i="1" l="1"/>
  <c r="T702" i="1" s="1"/>
  <c r="R701" i="1"/>
  <c r="S701" i="1" l="1"/>
  <c r="T701" i="1" s="1"/>
  <c r="R700" i="1"/>
  <c r="S700" i="1" l="1"/>
  <c r="T700" i="1" s="1"/>
  <c r="R699" i="1"/>
  <c r="S699" i="1" l="1"/>
  <c r="T699" i="1" s="1"/>
  <c r="R698" i="1"/>
  <c r="R697" i="1" l="1"/>
  <c r="S698" i="1"/>
  <c r="T698" i="1" s="1"/>
  <c r="R696" i="1" l="1"/>
  <c r="S697" i="1"/>
  <c r="T697" i="1" s="1"/>
  <c r="R695" i="1" l="1"/>
  <c r="S696" i="1"/>
  <c r="T696" i="1" s="1"/>
  <c r="R694" i="1" l="1"/>
  <c r="S695" i="1"/>
  <c r="T695" i="1" s="1"/>
  <c r="R693" i="1" l="1"/>
  <c r="S694" i="1"/>
  <c r="T694" i="1" s="1"/>
  <c r="R692" i="1" l="1"/>
  <c r="S693" i="1"/>
  <c r="T693" i="1" s="1"/>
  <c r="R691" i="1" l="1"/>
  <c r="S692" i="1"/>
  <c r="T692" i="1" s="1"/>
  <c r="R690" i="1" l="1"/>
  <c r="S691" i="1"/>
  <c r="T691" i="1" s="1"/>
  <c r="R689" i="1" l="1"/>
  <c r="S690" i="1"/>
  <c r="T690" i="1" s="1"/>
  <c r="R688" i="1" l="1"/>
  <c r="S689" i="1"/>
  <c r="T689" i="1" s="1"/>
  <c r="R687" i="1" l="1"/>
  <c r="S688" i="1"/>
  <c r="T688" i="1" s="1"/>
  <c r="S687" i="1" l="1"/>
  <c r="T687" i="1" s="1"/>
  <c r="R686" i="1"/>
  <c r="R685" i="1" l="1"/>
  <c r="S686" i="1"/>
  <c r="T686" i="1" s="1"/>
  <c r="R684" i="1" l="1"/>
  <c r="S685" i="1"/>
  <c r="T685" i="1" s="1"/>
  <c r="S684" i="1" l="1"/>
  <c r="T684" i="1" s="1"/>
  <c r="R683" i="1"/>
  <c r="S683" i="1" l="1"/>
  <c r="T683" i="1" s="1"/>
  <c r="R682" i="1"/>
  <c r="S682" i="1" l="1"/>
  <c r="T682" i="1" s="1"/>
  <c r="R681" i="1"/>
  <c r="S681" i="1" l="1"/>
  <c r="T681" i="1" s="1"/>
  <c r="R680" i="1"/>
  <c r="R679" i="1" l="1"/>
  <c r="S680" i="1"/>
  <c r="T680" i="1" s="1"/>
  <c r="S679" i="1" l="1"/>
  <c r="T679" i="1" s="1"/>
  <c r="R678" i="1"/>
  <c r="R677" i="1" l="1"/>
  <c r="S678" i="1"/>
  <c r="T678" i="1" s="1"/>
  <c r="R676" i="1" l="1"/>
  <c r="S677" i="1"/>
  <c r="T677" i="1" s="1"/>
  <c r="R675" i="1" l="1"/>
  <c r="S676" i="1"/>
  <c r="T676" i="1" s="1"/>
  <c r="S675" i="1" l="1"/>
  <c r="T675" i="1" s="1"/>
  <c r="R674" i="1"/>
  <c r="S674" i="1" l="1"/>
  <c r="T674" i="1" s="1"/>
  <c r="R673" i="1"/>
  <c r="S673" i="1" l="1"/>
  <c r="T673" i="1" s="1"/>
  <c r="R672" i="1"/>
  <c r="S672" i="1" l="1"/>
  <c r="T672" i="1" s="1"/>
  <c r="R671" i="1"/>
  <c r="R670" i="1" l="1"/>
  <c r="S671" i="1"/>
  <c r="T671" i="1" s="1"/>
  <c r="R669" i="1" l="1"/>
  <c r="S670" i="1"/>
  <c r="T670" i="1" s="1"/>
  <c r="R668" i="1" l="1"/>
  <c r="S669" i="1"/>
  <c r="T669" i="1" s="1"/>
  <c r="R667" i="1" l="1"/>
  <c r="S668" i="1"/>
  <c r="T668" i="1" s="1"/>
  <c r="S667" i="1" l="1"/>
  <c r="T667" i="1" s="1"/>
  <c r="R666" i="1"/>
  <c r="S666" i="1" l="1"/>
  <c r="T666" i="1" s="1"/>
  <c r="R665" i="1"/>
  <c r="S665" i="1" l="1"/>
  <c r="T665" i="1" s="1"/>
  <c r="R664" i="1"/>
  <c r="S664" i="1" l="1"/>
  <c r="T664" i="1" s="1"/>
  <c r="R663" i="1"/>
  <c r="R662" i="1" l="1"/>
  <c r="S663" i="1"/>
  <c r="T663" i="1" s="1"/>
  <c r="S662" i="1" l="1"/>
  <c r="T662" i="1" s="1"/>
  <c r="R661" i="1"/>
  <c r="R660" i="1" l="1"/>
  <c r="S661" i="1"/>
  <c r="T661" i="1" s="1"/>
  <c r="R659" i="1" l="1"/>
  <c r="S660" i="1"/>
  <c r="T660" i="1" s="1"/>
  <c r="R658" i="1" l="1"/>
  <c r="S659" i="1"/>
  <c r="T659" i="1" s="1"/>
  <c r="R657" i="1" l="1"/>
  <c r="S658" i="1"/>
  <c r="T658" i="1" s="1"/>
  <c r="S657" i="1" l="1"/>
  <c r="T657" i="1" s="1"/>
  <c r="R656" i="1"/>
  <c r="S656" i="1" l="1"/>
  <c r="T656" i="1" s="1"/>
  <c r="R655" i="1"/>
  <c r="S655" i="1" l="1"/>
  <c r="T655" i="1" s="1"/>
  <c r="R654" i="1"/>
  <c r="S654" i="1" l="1"/>
  <c r="T654" i="1" s="1"/>
  <c r="R653" i="1"/>
  <c r="R652" i="1" l="1"/>
  <c r="S653" i="1"/>
  <c r="T653" i="1" s="1"/>
  <c r="R651" i="1" l="1"/>
  <c r="S652" i="1"/>
  <c r="T652" i="1" s="1"/>
  <c r="S651" i="1" l="1"/>
  <c r="T651" i="1" s="1"/>
  <c r="R650" i="1"/>
  <c r="R649" i="1" l="1"/>
  <c r="S650" i="1"/>
  <c r="T650" i="1" s="1"/>
  <c r="S649" i="1" l="1"/>
  <c r="T649" i="1" s="1"/>
  <c r="R648" i="1"/>
  <c r="S648" i="1" l="1"/>
  <c r="T648" i="1" s="1"/>
  <c r="R647" i="1"/>
  <c r="R646" i="1" l="1"/>
  <c r="S647" i="1"/>
  <c r="T647" i="1" s="1"/>
  <c r="S646" i="1" l="1"/>
  <c r="T646" i="1" s="1"/>
  <c r="R645" i="1"/>
  <c r="R644" i="1" l="1"/>
  <c r="S645" i="1"/>
  <c r="T645" i="1" s="1"/>
  <c r="R643" i="1" l="1"/>
  <c r="S644" i="1"/>
  <c r="T644" i="1" s="1"/>
  <c r="S643" i="1" l="1"/>
  <c r="T643" i="1" s="1"/>
  <c r="R642" i="1"/>
  <c r="R641" i="1" l="1"/>
  <c r="S642" i="1"/>
  <c r="T642" i="1" s="1"/>
  <c r="S641" i="1" l="1"/>
  <c r="T641" i="1" s="1"/>
  <c r="R640" i="1"/>
  <c r="S640" i="1" l="1"/>
  <c r="T640" i="1" s="1"/>
  <c r="R639" i="1"/>
  <c r="R638" i="1" l="1"/>
  <c r="S639" i="1"/>
  <c r="T639" i="1" s="1"/>
  <c r="S638" i="1" l="1"/>
  <c r="T638" i="1" s="1"/>
  <c r="R637" i="1"/>
  <c r="R636" i="1" l="1"/>
  <c r="S637" i="1"/>
  <c r="T637" i="1" s="1"/>
  <c r="S636" i="1" l="1"/>
  <c r="T636" i="1" s="1"/>
  <c r="R635" i="1"/>
  <c r="S635" i="1" l="1"/>
  <c r="T635" i="1" s="1"/>
  <c r="R634" i="1"/>
  <c r="R633" i="1" l="1"/>
  <c r="S634" i="1"/>
  <c r="T634" i="1" s="1"/>
  <c r="S633" i="1" l="1"/>
  <c r="T633" i="1" s="1"/>
  <c r="R632" i="1"/>
  <c r="R631" i="1" l="1"/>
  <c r="S632" i="1"/>
  <c r="T632" i="1" s="1"/>
  <c r="R630" i="1" l="1"/>
  <c r="S631" i="1"/>
  <c r="T631" i="1" s="1"/>
  <c r="R629" i="1" l="1"/>
  <c r="S630" i="1"/>
  <c r="T630" i="1" s="1"/>
  <c r="R628" i="1" l="1"/>
  <c r="S629" i="1"/>
  <c r="T629" i="1" s="1"/>
  <c r="S628" i="1" l="1"/>
  <c r="T628" i="1" s="1"/>
  <c r="R627" i="1"/>
  <c r="S627" i="1" l="1"/>
  <c r="T627" i="1" s="1"/>
  <c r="R626" i="1"/>
  <c r="R625" i="1" l="1"/>
  <c r="S626" i="1"/>
  <c r="T626" i="1" s="1"/>
  <c r="S625" i="1" l="1"/>
  <c r="T625" i="1" s="1"/>
  <c r="R624" i="1"/>
  <c r="R623" i="1" l="1"/>
  <c r="S624" i="1"/>
  <c r="T624" i="1" s="1"/>
  <c r="R622" i="1" l="1"/>
  <c r="S623" i="1"/>
  <c r="T623" i="1" s="1"/>
  <c r="S622" i="1" l="1"/>
  <c r="T622" i="1" s="1"/>
  <c r="R621" i="1"/>
  <c r="R620" i="1" l="1"/>
  <c r="S621" i="1"/>
  <c r="T621" i="1" s="1"/>
  <c r="S620" i="1" l="1"/>
  <c r="T620" i="1" s="1"/>
  <c r="R619" i="1"/>
  <c r="S619" i="1" l="1"/>
  <c r="T619" i="1" s="1"/>
  <c r="R618" i="1"/>
  <c r="R617" i="1" l="1"/>
  <c r="S618" i="1"/>
  <c r="T618" i="1" s="1"/>
  <c r="R616" i="1" l="1"/>
  <c r="S617" i="1"/>
  <c r="T617" i="1" s="1"/>
  <c r="R615" i="1" l="1"/>
  <c r="S616" i="1"/>
  <c r="T616" i="1" s="1"/>
  <c r="S615" i="1" l="1"/>
  <c r="T615" i="1" s="1"/>
  <c r="R614" i="1"/>
  <c r="S614" i="1" l="1"/>
  <c r="T614" i="1" s="1"/>
  <c r="R613" i="1"/>
  <c r="S613" i="1" l="1"/>
  <c r="T613" i="1" s="1"/>
  <c r="R612" i="1"/>
  <c r="S612" i="1" l="1"/>
  <c r="T612" i="1" s="1"/>
  <c r="R611" i="1"/>
  <c r="S611" i="1" l="1"/>
  <c r="T611" i="1" s="1"/>
  <c r="R610" i="1"/>
  <c r="S610" i="1" l="1"/>
  <c r="T610" i="1" s="1"/>
  <c r="R609" i="1"/>
  <c r="R608" i="1" l="1"/>
  <c r="S609" i="1"/>
  <c r="T609" i="1" s="1"/>
  <c r="R607" i="1" l="1"/>
  <c r="S608" i="1"/>
  <c r="T608" i="1" s="1"/>
  <c r="S607" i="1" l="1"/>
  <c r="T607" i="1" s="1"/>
  <c r="R606" i="1"/>
  <c r="R605" i="1" l="1"/>
  <c r="S606" i="1"/>
  <c r="T606" i="1" s="1"/>
  <c r="S605" i="1" l="1"/>
  <c r="T605" i="1" s="1"/>
  <c r="R604" i="1"/>
  <c r="S604" i="1" l="1"/>
  <c r="T604" i="1" s="1"/>
  <c r="R603" i="1"/>
  <c r="R602" i="1" l="1"/>
  <c r="S603" i="1"/>
  <c r="T603" i="1" s="1"/>
  <c r="S602" i="1" l="1"/>
  <c r="T602" i="1" s="1"/>
  <c r="R601" i="1"/>
  <c r="R600" i="1" l="1"/>
  <c r="S601" i="1"/>
  <c r="T601" i="1" s="1"/>
  <c r="R599" i="1" l="1"/>
  <c r="S600" i="1"/>
  <c r="T600" i="1" s="1"/>
  <c r="S599" i="1" l="1"/>
  <c r="T599" i="1" s="1"/>
  <c r="R598" i="1"/>
  <c r="R597" i="1" l="1"/>
  <c r="S598" i="1"/>
  <c r="T598" i="1" s="1"/>
  <c r="S597" i="1" l="1"/>
  <c r="T597" i="1" s="1"/>
  <c r="R596" i="1"/>
  <c r="S596" i="1" l="1"/>
  <c r="T596" i="1" s="1"/>
  <c r="R595" i="1"/>
  <c r="R594" i="1" l="1"/>
  <c r="S595" i="1"/>
  <c r="T595" i="1" s="1"/>
  <c r="S594" i="1" l="1"/>
  <c r="T594" i="1" s="1"/>
  <c r="R593" i="1"/>
  <c r="R592" i="1" l="1"/>
  <c r="S593" i="1"/>
  <c r="T593" i="1" s="1"/>
  <c r="S592" i="1" l="1"/>
  <c r="T592" i="1" s="1"/>
  <c r="R591" i="1"/>
  <c r="S591" i="1" l="1"/>
  <c r="T591" i="1" s="1"/>
  <c r="R590" i="1"/>
  <c r="R589" i="1" l="1"/>
  <c r="S590" i="1"/>
  <c r="T590" i="1" s="1"/>
  <c r="S589" i="1" l="1"/>
  <c r="T589" i="1" s="1"/>
  <c r="R588" i="1"/>
  <c r="S588" i="1" l="1"/>
  <c r="T588" i="1" s="1"/>
  <c r="R587" i="1"/>
  <c r="S587" i="1" l="1"/>
  <c r="T587" i="1" s="1"/>
  <c r="R586" i="1"/>
  <c r="S586" i="1" l="1"/>
  <c r="T586" i="1" s="1"/>
  <c r="R585" i="1"/>
  <c r="R584" i="1" l="1"/>
  <c r="S585" i="1"/>
  <c r="T585" i="1" s="1"/>
  <c r="R583" i="1" l="1"/>
  <c r="S584" i="1"/>
  <c r="T584" i="1" s="1"/>
  <c r="R582" i="1" l="1"/>
  <c r="S583" i="1"/>
  <c r="T583" i="1" s="1"/>
  <c r="R581" i="1" l="1"/>
  <c r="S582" i="1"/>
  <c r="T582" i="1" s="1"/>
  <c r="R580" i="1" l="1"/>
  <c r="S581" i="1"/>
  <c r="T581" i="1" s="1"/>
  <c r="S580" i="1" l="1"/>
  <c r="T580" i="1" s="1"/>
  <c r="R579" i="1"/>
  <c r="S579" i="1" l="1"/>
  <c r="T579" i="1" s="1"/>
  <c r="R578" i="1"/>
  <c r="S578" i="1" l="1"/>
  <c r="T578" i="1" s="1"/>
  <c r="R577" i="1"/>
  <c r="S577" i="1" l="1"/>
  <c r="T577" i="1" s="1"/>
  <c r="R576" i="1"/>
  <c r="R575" i="1" l="1"/>
  <c r="S576" i="1"/>
  <c r="T576" i="1" s="1"/>
  <c r="R574" i="1" l="1"/>
  <c r="S575" i="1"/>
  <c r="T575" i="1" s="1"/>
  <c r="R573" i="1" l="1"/>
  <c r="S574" i="1"/>
  <c r="T574" i="1" s="1"/>
  <c r="R572" i="1" l="1"/>
  <c r="S573" i="1"/>
  <c r="T573" i="1" s="1"/>
  <c r="R571" i="1" l="1"/>
  <c r="S572" i="1"/>
  <c r="T572" i="1" s="1"/>
  <c r="S571" i="1" l="1"/>
  <c r="T571" i="1" s="1"/>
  <c r="R570" i="1"/>
  <c r="S570" i="1" l="1"/>
  <c r="T570" i="1" s="1"/>
  <c r="R569" i="1"/>
  <c r="S569" i="1" l="1"/>
  <c r="T569" i="1" s="1"/>
  <c r="R568" i="1"/>
  <c r="R567" i="1" l="1"/>
  <c r="S568" i="1"/>
  <c r="T568" i="1" s="1"/>
  <c r="R566" i="1" l="1"/>
  <c r="S567" i="1"/>
  <c r="T567" i="1" s="1"/>
  <c r="R565" i="1" l="1"/>
  <c r="S566" i="1"/>
  <c r="T566" i="1" s="1"/>
  <c r="R564" i="1" l="1"/>
  <c r="S565" i="1"/>
  <c r="T565" i="1" s="1"/>
  <c r="R563" i="1" l="1"/>
  <c r="S564" i="1"/>
  <c r="T564" i="1" s="1"/>
  <c r="R562" i="1" l="1"/>
  <c r="S563" i="1"/>
  <c r="T563" i="1" s="1"/>
  <c r="S562" i="1" l="1"/>
  <c r="T562" i="1" s="1"/>
  <c r="R561" i="1"/>
  <c r="R560" i="1" l="1"/>
  <c r="S561" i="1"/>
  <c r="T561" i="1" s="1"/>
  <c r="S560" i="1" l="1"/>
  <c r="T560" i="1" s="1"/>
  <c r="R559" i="1"/>
  <c r="S559" i="1" l="1"/>
  <c r="T559" i="1" s="1"/>
  <c r="R558" i="1"/>
  <c r="R557" i="1" l="1"/>
  <c r="S558" i="1"/>
  <c r="T558" i="1" s="1"/>
  <c r="S557" i="1" l="1"/>
  <c r="T557" i="1" s="1"/>
  <c r="R556" i="1"/>
  <c r="R555" i="1" l="1"/>
  <c r="S556" i="1"/>
  <c r="T556" i="1" s="1"/>
  <c r="R554" i="1" l="1"/>
  <c r="S555" i="1"/>
  <c r="T555" i="1" s="1"/>
  <c r="S554" i="1" l="1"/>
  <c r="T554" i="1" s="1"/>
  <c r="R553" i="1"/>
  <c r="R552" i="1" l="1"/>
  <c r="S553" i="1"/>
  <c r="T553" i="1" s="1"/>
  <c r="R551" i="1" l="1"/>
  <c r="S552" i="1"/>
  <c r="T552" i="1" s="1"/>
  <c r="S551" i="1" l="1"/>
  <c r="T551" i="1" s="1"/>
  <c r="R550" i="1"/>
  <c r="R549" i="1" l="1"/>
  <c r="S550" i="1"/>
  <c r="T550" i="1" s="1"/>
  <c r="S549" i="1" l="1"/>
  <c r="T549" i="1" s="1"/>
  <c r="R548" i="1"/>
  <c r="R547" i="1" l="1"/>
  <c r="S548" i="1"/>
  <c r="T548" i="1" s="1"/>
  <c r="R546" i="1" l="1"/>
  <c r="S547" i="1"/>
  <c r="T547" i="1" s="1"/>
  <c r="S546" i="1" l="1"/>
  <c r="T546" i="1" s="1"/>
  <c r="R545" i="1"/>
  <c r="S545" i="1" l="1"/>
  <c r="T545" i="1" s="1"/>
  <c r="R544" i="1"/>
  <c r="S544" i="1" l="1"/>
  <c r="T544" i="1" s="1"/>
  <c r="R543" i="1"/>
  <c r="S543" i="1" l="1"/>
  <c r="T543" i="1" s="1"/>
  <c r="R542" i="1"/>
  <c r="R541" i="1" l="1"/>
  <c r="S542" i="1"/>
  <c r="T542" i="1" s="1"/>
  <c r="R540" i="1" l="1"/>
  <c r="S541" i="1"/>
  <c r="T541" i="1" s="1"/>
  <c r="R539" i="1" l="1"/>
  <c r="S540" i="1"/>
  <c r="T540" i="1" s="1"/>
  <c r="S539" i="1" l="1"/>
  <c r="T539" i="1" s="1"/>
  <c r="R538" i="1"/>
  <c r="R537" i="1" l="1"/>
  <c r="S538" i="1"/>
  <c r="T538" i="1" s="1"/>
  <c r="S537" i="1" l="1"/>
  <c r="T537" i="1" s="1"/>
  <c r="R536" i="1"/>
  <c r="S536" i="1" l="1"/>
  <c r="T536" i="1" s="1"/>
  <c r="R535" i="1"/>
  <c r="R534" i="1" l="1"/>
  <c r="S535" i="1"/>
  <c r="T535" i="1" s="1"/>
  <c r="S534" i="1" l="1"/>
  <c r="T534" i="1" s="1"/>
  <c r="R533" i="1"/>
  <c r="R532" i="1" l="1"/>
  <c r="S533" i="1"/>
  <c r="T533" i="1" s="1"/>
  <c r="S532" i="1" l="1"/>
  <c r="T532" i="1" s="1"/>
  <c r="R531" i="1"/>
  <c r="R530" i="1" l="1"/>
  <c r="S531" i="1"/>
  <c r="T531" i="1" s="1"/>
  <c r="R529" i="1" l="1"/>
  <c r="S530" i="1"/>
  <c r="T530" i="1" s="1"/>
  <c r="R528" i="1" l="1"/>
  <c r="S529" i="1"/>
  <c r="T529" i="1" s="1"/>
  <c r="R527" i="1" l="1"/>
  <c r="S528" i="1"/>
  <c r="T528" i="1" s="1"/>
  <c r="S527" i="1" l="1"/>
  <c r="T527" i="1" s="1"/>
  <c r="R526" i="1"/>
  <c r="S526" i="1" l="1"/>
  <c r="T526" i="1" s="1"/>
  <c r="R525" i="1"/>
  <c r="S525" i="1" l="1"/>
  <c r="T525" i="1" s="1"/>
  <c r="R524" i="1"/>
  <c r="S524" i="1" l="1"/>
  <c r="T524" i="1" s="1"/>
  <c r="R523" i="1"/>
  <c r="R522" i="1" l="1"/>
  <c r="S523" i="1"/>
  <c r="T523" i="1" s="1"/>
  <c r="R521" i="1" l="1"/>
  <c r="S522" i="1"/>
  <c r="T522" i="1" s="1"/>
  <c r="R520" i="1" l="1"/>
  <c r="S521" i="1"/>
  <c r="T521" i="1" s="1"/>
  <c r="R519" i="1" l="1"/>
  <c r="S520" i="1"/>
  <c r="T520" i="1" s="1"/>
  <c r="S519" i="1" l="1"/>
  <c r="T519" i="1" s="1"/>
  <c r="R518" i="1"/>
  <c r="S518" i="1" l="1"/>
  <c r="T518" i="1" s="1"/>
  <c r="R517" i="1"/>
  <c r="S517" i="1" l="1"/>
  <c r="T517" i="1" s="1"/>
  <c r="R516" i="1"/>
  <c r="R515" i="1" l="1"/>
  <c r="S516" i="1"/>
  <c r="T516" i="1" s="1"/>
  <c r="R514" i="1" l="1"/>
  <c r="S515" i="1"/>
  <c r="T515" i="1" s="1"/>
  <c r="R513" i="1" l="1"/>
  <c r="S514" i="1"/>
  <c r="T514" i="1" s="1"/>
  <c r="R512" i="1" l="1"/>
  <c r="S513" i="1"/>
  <c r="T513" i="1" s="1"/>
  <c r="S512" i="1" l="1"/>
  <c r="T512" i="1" s="1"/>
  <c r="R511" i="1"/>
  <c r="S511" i="1" l="1"/>
  <c r="T511" i="1" s="1"/>
  <c r="R510" i="1"/>
  <c r="S510" i="1" l="1"/>
  <c r="T510" i="1" s="1"/>
  <c r="R509" i="1"/>
  <c r="S509" i="1" l="1"/>
  <c r="T509" i="1" s="1"/>
  <c r="R508" i="1"/>
  <c r="R507" i="1" l="1"/>
  <c r="S508" i="1"/>
  <c r="T508" i="1" s="1"/>
  <c r="R506" i="1" l="1"/>
  <c r="S507" i="1"/>
  <c r="T507" i="1" s="1"/>
  <c r="R505" i="1" l="1"/>
  <c r="S506" i="1"/>
  <c r="T506" i="1" s="1"/>
  <c r="R504" i="1" l="1"/>
  <c r="S505" i="1"/>
  <c r="T505" i="1" s="1"/>
  <c r="S504" i="1" l="1"/>
  <c r="T504" i="1" s="1"/>
  <c r="R503" i="1"/>
  <c r="R502" i="1" l="1"/>
  <c r="S503" i="1"/>
  <c r="T503" i="1" s="1"/>
  <c r="R501" i="1" l="1"/>
  <c r="S502" i="1"/>
  <c r="T502" i="1" s="1"/>
  <c r="S501" i="1" l="1"/>
  <c r="T501" i="1" s="1"/>
  <c r="R500" i="1"/>
  <c r="R499" i="1" l="1"/>
  <c r="S500" i="1"/>
  <c r="T500" i="1" s="1"/>
  <c r="S499" i="1" l="1"/>
  <c r="T499" i="1" s="1"/>
  <c r="R498" i="1"/>
  <c r="S498" i="1" l="1"/>
  <c r="T498" i="1" s="1"/>
  <c r="R497" i="1"/>
  <c r="R496" i="1" l="1"/>
  <c r="S497" i="1"/>
  <c r="T497" i="1" s="1"/>
  <c r="S496" i="1" l="1"/>
  <c r="T496" i="1" s="1"/>
  <c r="R495" i="1"/>
  <c r="R494" i="1" l="1"/>
  <c r="S495" i="1"/>
  <c r="T495" i="1" s="1"/>
  <c r="R493" i="1" l="1"/>
  <c r="S494" i="1"/>
  <c r="T494" i="1" s="1"/>
  <c r="S493" i="1" l="1"/>
  <c r="T493" i="1" s="1"/>
  <c r="R492" i="1"/>
  <c r="R491" i="1" l="1"/>
  <c r="S492" i="1"/>
  <c r="T492" i="1" s="1"/>
  <c r="R490" i="1" l="1"/>
  <c r="S491" i="1"/>
  <c r="T491" i="1" s="1"/>
  <c r="S490" i="1" l="1"/>
  <c r="T490" i="1" s="1"/>
  <c r="R489" i="1"/>
  <c r="R488" i="1" l="1"/>
  <c r="S489" i="1"/>
  <c r="T489" i="1" s="1"/>
  <c r="S488" i="1" l="1"/>
  <c r="T488" i="1" s="1"/>
  <c r="R487" i="1"/>
  <c r="S487" i="1" l="1"/>
  <c r="T487" i="1" s="1"/>
  <c r="R486" i="1"/>
  <c r="R485" i="1" l="1"/>
  <c r="S486" i="1"/>
  <c r="T486" i="1" s="1"/>
  <c r="S485" i="1" l="1"/>
  <c r="T485" i="1" s="1"/>
  <c r="R484" i="1"/>
  <c r="R483" i="1" l="1"/>
  <c r="S484" i="1"/>
  <c r="T484" i="1" s="1"/>
  <c r="R482" i="1" l="1"/>
  <c r="S483" i="1"/>
  <c r="T483" i="1" s="1"/>
  <c r="S482" i="1" l="1"/>
  <c r="T482" i="1" s="1"/>
  <c r="R481" i="1"/>
  <c r="R480" i="1" l="1"/>
  <c r="S481" i="1"/>
  <c r="T481" i="1" s="1"/>
  <c r="S480" i="1" l="1"/>
  <c r="T480" i="1" s="1"/>
  <c r="R479" i="1"/>
  <c r="S479" i="1" l="1"/>
  <c r="T479" i="1" s="1"/>
  <c r="R478" i="1"/>
  <c r="R477" i="1" l="1"/>
  <c r="S478" i="1"/>
  <c r="T478" i="1" s="1"/>
  <c r="S477" i="1" l="1"/>
  <c r="T477" i="1" s="1"/>
  <c r="R476" i="1"/>
  <c r="S476" i="1" l="1"/>
  <c r="T476" i="1" s="1"/>
  <c r="R475" i="1"/>
  <c r="S475" i="1" l="1"/>
  <c r="T475" i="1" s="1"/>
  <c r="R474" i="1"/>
  <c r="S474" i="1" l="1"/>
  <c r="T474" i="1" s="1"/>
  <c r="R473" i="1"/>
  <c r="S473" i="1" l="1"/>
  <c r="T473" i="1" s="1"/>
  <c r="R472" i="1"/>
  <c r="S472" i="1" l="1"/>
  <c r="T472" i="1" s="1"/>
  <c r="R471" i="1"/>
  <c r="R470" i="1" l="1"/>
  <c r="S471" i="1"/>
  <c r="T471" i="1" s="1"/>
  <c r="R469" i="1" l="1"/>
  <c r="S470" i="1"/>
  <c r="T470" i="1" s="1"/>
  <c r="R468" i="1" l="1"/>
  <c r="S469" i="1"/>
  <c r="T469" i="1" s="1"/>
  <c r="R467" i="1" l="1"/>
  <c r="S468" i="1"/>
  <c r="T468" i="1" s="1"/>
  <c r="S467" i="1" l="1"/>
  <c r="T467" i="1" s="1"/>
  <c r="R466" i="1"/>
  <c r="S466" i="1" l="1"/>
  <c r="T466" i="1" s="1"/>
  <c r="R465" i="1"/>
  <c r="S465" i="1" l="1"/>
  <c r="T465" i="1" s="1"/>
  <c r="R464" i="1"/>
  <c r="S464" i="1" l="1"/>
  <c r="T464" i="1" s="1"/>
  <c r="R463" i="1"/>
  <c r="S463" i="1" l="1"/>
  <c r="T463" i="1" s="1"/>
  <c r="R462" i="1"/>
  <c r="R461" i="1" l="1"/>
  <c r="S462" i="1"/>
  <c r="T462" i="1" s="1"/>
  <c r="R460" i="1" l="1"/>
  <c r="S461" i="1"/>
  <c r="T461" i="1" s="1"/>
  <c r="R459" i="1" l="1"/>
  <c r="S460" i="1"/>
  <c r="T460" i="1" s="1"/>
  <c r="R458" i="1" l="1"/>
  <c r="S459" i="1"/>
  <c r="T459" i="1" s="1"/>
  <c r="S458" i="1" l="1"/>
  <c r="T458" i="1" s="1"/>
  <c r="R457" i="1"/>
  <c r="S457" i="1" l="1"/>
  <c r="T457" i="1" s="1"/>
  <c r="R456" i="1"/>
  <c r="S456" i="1" l="1"/>
  <c r="T456" i="1" s="1"/>
  <c r="R455" i="1"/>
  <c r="S455" i="1" l="1"/>
  <c r="T455" i="1" s="1"/>
  <c r="R454" i="1"/>
  <c r="R453" i="1" l="1"/>
  <c r="S454" i="1"/>
  <c r="T454" i="1" s="1"/>
  <c r="R452" i="1" l="1"/>
  <c r="S453" i="1"/>
  <c r="T453" i="1" s="1"/>
  <c r="R451" i="1" l="1"/>
  <c r="S452" i="1"/>
  <c r="T452" i="1" s="1"/>
  <c r="R450" i="1" l="1"/>
  <c r="S451" i="1"/>
  <c r="T451" i="1" s="1"/>
  <c r="S450" i="1" l="1"/>
  <c r="T450" i="1" s="1"/>
  <c r="R449" i="1"/>
  <c r="R448" i="1" l="1"/>
  <c r="S449" i="1"/>
  <c r="T449" i="1" s="1"/>
  <c r="S448" i="1" l="1"/>
  <c r="T448" i="1" s="1"/>
  <c r="R447" i="1"/>
  <c r="S447" i="1" l="1"/>
  <c r="T447" i="1" s="1"/>
  <c r="R446" i="1"/>
  <c r="R445" i="1" l="1"/>
  <c r="S446" i="1"/>
  <c r="T446" i="1" s="1"/>
  <c r="S445" i="1" l="1"/>
  <c r="T445" i="1" s="1"/>
  <c r="R444" i="1"/>
  <c r="R443" i="1" l="1"/>
  <c r="S444" i="1"/>
  <c r="T444" i="1" s="1"/>
  <c r="S443" i="1" l="1"/>
  <c r="T443" i="1" s="1"/>
  <c r="R442" i="1"/>
  <c r="S442" i="1" l="1"/>
  <c r="T442" i="1" s="1"/>
  <c r="R441" i="1"/>
  <c r="R440" i="1" l="1"/>
  <c r="S441" i="1"/>
  <c r="T441" i="1" s="1"/>
  <c r="R439" i="1" l="1"/>
  <c r="S440" i="1"/>
  <c r="T440" i="1" s="1"/>
  <c r="S439" i="1" l="1"/>
  <c r="T439" i="1" s="1"/>
  <c r="R438" i="1"/>
  <c r="R437" i="1" l="1"/>
  <c r="S438" i="1"/>
  <c r="T438" i="1" s="1"/>
  <c r="R436" i="1" l="1"/>
  <c r="S437" i="1"/>
  <c r="T437" i="1" s="1"/>
  <c r="S436" i="1" l="1"/>
  <c r="T436" i="1" s="1"/>
  <c r="R435" i="1"/>
  <c r="R434" i="1" l="1"/>
  <c r="S435" i="1"/>
  <c r="T435" i="1" s="1"/>
  <c r="S434" i="1" l="1"/>
  <c r="T434" i="1" s="1"/>
  <c r="R433" i="1"/>
  <c r="S433" i="1" l="1"/>
  <c r="T433" i="1" s="1"/>
  <c r="R432" i="1"/>
  <c r="R431" i="1" l="1"/>
  <c r="S432" i="1"/>
  <c r="T432" i="1" s="1"/>
  <c r="S431" i="1" l="1"/>
  <c r="T431" i="1" s="1"/>
  <c r="R430" i="1"/>
  <c r="R429" i="1" l="1"/>
  <c r="S430" i="1"/>
  <c r="T430" i="1" s="1"/>
  <c r="R428" i="1" l="1"/>
  <c r="S429" i="1"/>
  <c r="T429" i="1" s="1"/>
  <c r="R427" i="1" l="1"/>
  <c r="S428" i="1"/>
  <c r="T428" i="1" s="1"/>
  <c r="R426" i="1" l="1"/>
  <c r="S427" i="1"/>
  <c r="T427" i="1" s="1"/>
  <c r="S426" i="1" l="1"/>
  <c r="T426" i="1" s="1"/>
  <c r="R425" i="1"/>
  <c r="S425" i="1" l="1"/>
  <c r="T425" i="1" s="1"/>
  <c r="R424" i="1"/>
  <c r="S424" i="1" l="1"/>
  <c r="T424" i="1" s="1"/>
  <c r="R423" i="1"/>
  <c r="S423" i="1" l="1"/>
  <c r="T423" i="1" s="1"/>
  <c r="R422" i="1"/>
  <c r="R421" i="1" l="1"/>
  <c r="S422" i="1"/>
  <c r="T422" i="1" s="1"/>
  <c r="R420" i="1" l="1"/>
  <c r="S421" i="1"/>
  <c r="T421" i="1" s="1"/>
  <c r="R419" i="1" l="1"/>
  <c r="S420" i="1"/>
  <c r="T420" i="1" s="1"/>
  <c r="S419" i="1" l="1"/>
  <c r="T419" i="1" s="1"/>
  <c r="R418" i="1"/>
  <c r="S418" i="1" l="1"/>
  <c r="T418" i="1" s="1"/>
  <c r="R417" i="1"/>
  <c r="S417" i="1" l="1"/>
  <c r="T417" i="1" s="1"/>
  <c r="R416" i="1"/>
  <c r="S416" i="1" l="1"/>
  <c r="T416" i="1" s="1"/>
  <c r="R415" i="1"/>
  <c r="S415" i="1" l="1"/>
  <c r="T415" i="1" s="1"/>
  <c r="R414" i="1"/>
  <c r="R413" i="1" l="1"/>
  <c r="S414" i="1"/>
  <c r="T414" i="1" s="1"/>
  <c r="R412" i="1" l="1"/>
  <c r="S413" i="1"/>
  <c r="T413" i="1" s="1"/>
  <c r="R411" i="1" l="1"/>
  <c r="S412" i="1"/>
  <c r="T412" i="1" s="1"/>
  <c r="R410" i="1" l="1"/>
  <c r="S411" i="1"/>
  <c r="T411" i="1" s="1"/>
  <c r="R409" i="1" l="1"/>
  <c r="S410" i="1"/>
  <c r="T410" i="1" s="1"/>
  <c r="S409" i="1" l="1"/>
  <c r="T409" i="1" s="1"/>
  <c r="R408" i="1"/>
  <c r="S408" i="1" l="1"/>
  <c r="T408" i="1" s="1"/>
  <c r="R407" i="1"/>
  <c r="S407" i="1" l="1"/>
  <c r="T407" i="1" s="1"/>
  <c r="R406" i="1"/>
  <c r="R405" i="1" l="1"/>
  <c r="S406" i="1"/>
  <c r="T406" i="1" s="1"/>
  <c r="R404" i="1" l="1"/>
  <c r="S405" i="1"/>
  <c r="T405" i="1" s="1"/>
  <c r="R403" i="1" l="1"/>
  <c r="S404" i="1"/>
  <c r="T404" i="1" s="1"/>
  <c r="S403" i="1" l="1"/>
  <c r="T403" i="1" s="1"/>
  <c r="R402" i="1"/>
  <c r="S402" i="1" l="1"/>
  <c r="T402" i="1" s="1"/>
  <c r="R401" i="1"/>
  <c r="S401" i="1" l="1"/>
  <c r="T401" i="1" s="1"/>
  <c r="R400" i="1"/>
  <c r="S400" i="1" l="1"/>
  <c r="T400" i="1" s="1"/>
  <c r="R399" i="1"/>
  <c r="R398" i="1" l="1"/>
  <c r="S399" i="1"/>
  <c r="T399" i="1" s="1"/>
  <c r="R397" i="1" l="1"/>
  <c r="S398" i="1"/>
  <c r="T398" i="1" s="1"/>
  <c r="R396" i="1" l="1"/>
  <c r="S397" i="1"/>
  <c r="T397" i="1" s="1"/>
  <c r="R395" i="1" l="1"/>
  <c r="S396" i="1"/>
  <c r="T396" i="1" s="1"/>
  <c r="S395" i="1" l="1"/>
  <c r="T395" i="1" s="1"/>
  <c r="R394" i="1"/>
  <c r="S394" i="1" l="1"/>
  <c r="T394" i="1" s="1"/>
  <c r="R393" i="1"/>
  <c r="S393" i="1" l="1"/>
  <c r="T393" i="1" s="1"/>
  <c r="R392" i="1"/>
  <c r="R391" i="1" l="1"/>
  <c r="S392" i="1"/>
  <c r="T392" i="1" s="1"/>
  <c r="R390" i="1" l="1"/>
  <c r="S391" i="1"/>
  <c r="T391" i="1" s="1"/>
  <c r="R389" i="1" l="1"/>
  <c r="S390" i="1"/>
  <c r="T390" i="1" s="1"/>
  <c r="R388" i="1" l="1"/>
  <c r="S389" i="1"/>
  <c r="T389" i="1" s="1"/>
  <c r="R387" i="1" l="1"/>
  <c r="S388" i="1"/>
  <c r="T388" i="1" s="1"/>
  <c r="R386" i="1" l="1"/>
  <c r="S387" i="1"/>
  <c r="T387" i="1" s="1"/>
  <c r="S386" i="1" l="1"/>
  <c r="T386" i="1" s="1"/>
  <c r="R385" i="1"/>
  <c r="S385" i="1" l="1"/>
  <c r="T385" i="1" s="1"/>
  <c r="R384" i="1"/>
  <c r="R383" i="1" l="1"/>
  <c r="S384" i="1"/>
  <c r="T384" i="1" s="1"/>
  <c r="R382" i="1" l="1"/>
  <c r="S383" i="1"/>
  <c r="T383" i="1" s="1"/>
  <c r="S382" i="1" l="1"/>
  <c r="T382" i="1" s="1"/>
  <c r="R381" i="1"/>
  <c r="R380" i="1" l="1"/>
  <c r="S381" i="1"/>
  <c r="T381" i="1" s="1"/>
  <c r="S380" i="1" l="1"/>
  <c r="T380" i="1" s="1"/>
  <c r="R379" i="1"/>
  <c r="S379" i="1" l="1"/>
  <c r="T379" i="1" s="1"/>
  <c r="R378" i="1"/>
  <c r="S378" i="1" l="1"/>
  <c r="T378" i="1" s="1"/>
  <c r="R377" i="1"/>
  <c r="S377" i="1" l="1"/>
  <c r="T377" i="1" s="1"/>
  <c r="R376" i="1"/>
  <c r="R375" i="1" l="1"/>
  <c r="S376" i="1"/>
  <c r="T376" i="1" s="1"/>
  <c r="R374" i="1" l="1"/>
  <c r="S375" i="1"/>
  <c r="T375" i="1" s="1"/>
  <c r="R373" i="1" l="1"/>
  <c r="S374" i="1"/>
  <c r="T374" i="1" s="1"/>
  <c r="S373" i="1" l="1"/>
  <c r="T373" i="1" s="1"/>
  <c r="R372" i="1"/>
  <c r="R371" i="1" l="1"/>
  <c r="S372" i="1"/>
  <c r="T372" i="1" s="1"/>
  <c r="R370" i="1" l="1"/>
  <c r="S371" i="1"/>
  <c r="T371" i="1" s="1"/>
  <c r="S370" i="1" l="1"/>
  <c r="T370" i="1" s="1"/>
  <c r="R369" i="1"/>
  <c r="R368" i="1" l="1"/>
  <c r="S369" i="1"/>
  <c r="T369" i="1" s="1"/>
  <c r="S368" i="1" l="1"/>
  <c r="T368" i="1" s="1"/>
  <c r="R367" i="1"/>
  <c r="S367" i="1" l="1"/>
  <c r="T367" i="1" s="1"/>
  <c r="R366" i="1"/>
  <c r="R365" i="1" l="1"/>
  <c r="S366" i="1"/>
  <c r="T366" i="1" s="1"/>
  <c r="R364" i="1" l="1"/>
  <c r="S365" i="1"/>
  <c r="T365" i="1" s="1"/>
  <c r="R363" i="1" l="1"/>
  <c r="S364" i="1"/>
  <c r="T364" i="1" s="1"/>
  <c r="R362" i="1" l="1"/>
  <c r="S363" i="1"/>
  <c r="T363" i="1" s="1"/>
  <c r="S362" i="1" l="1"/>
  <c r="T362" i="1" s="1"/>
  <c r="R361" i="1"/>
  <c r="S361" i="1" l="1"/>
  <c r="T361" i="1" s="1"/>
  <c r="R360" i="1"/>
  <c r="S360" i="1" l="1"/>
  <c r="T360" i="1" s="1"/>
  <c r="R359" i="1"/>
  <c r="S359" i="1" l="1"/>
  <c r="T359" i="1" s="1"/>
  <c r="R358" i="1"/>
  <c r="R357" i="1" l="1"/>
  <c r="S358" i="1"/>
  <c r="T358" i="1" s="1"/>
  <c r="R356" i="1" l="1"/>
  <c r="S357" i="1"/>
  <c r="T357" i="1" s="1"/>
  <c r="R355" i="1" l="1"/>
  <c r="S356" i="1"/>
  <c r="T356" i="1" s="1"/>
  <c r="S355" i="1" l="1"/>
  <c r="T355" i="1" s="1"/>
  <c r="R354" i="1"/>
  <c r="S354" i="1" l="1"/>
  <c r="T354" i="1" s="1"/>
  <c r="R353" i="1"/>
  <c r="S353" i="1" l="1"/>
  <c r="T353" i="1" s="1"/>
  <c r="R352" i="1"/>
  <c r="S352" i="1" l="1"/>
  <c r="T352" i="1" s="1"/>
  <c r="R351" i="1"/>
  <c r="R350" i="1" l="1"/>
  <c r="S351" i="1"/>
  <c r="T351" i="1" s="1"/>
  <c r="R349" i="1" l="1"/>
  <c r="S350" i="1"/>
  <c r="T350" i="1" s="1"/>
  <c r="S349" i="1" l="1"/>
  <c r="T349" i="1" s="1"/>
  <c r="R348" i="1"/>
  <c r="R347" i="1" l="1"/>
  <c r="S348" i="1"/>
  <c r="T348" i="1" s="1"/>
  <c r="R346" i="1" l="1"/>
  <c r="S347" i="1"/>
  <c r="T347" i="1" s="1"/>
  <c r="S346" i="1" l="1"/>
  <c r="T346" i="1" s="1"/>
  <c r="R345" i="1"/>
  <c r="S345" i="1" l="1"/>
  <c r="T345" i="1" s="1"/>
  <c r="R344" i="1"/>
  <c r="R343" i="1" l="1"/>
  <c r="S344" i="1"/>
  <c r="T344" i="1" s="1"/>
  <c r="S343" i="1" l="1"/>
  <c r="T343" i="1" s="1"/>
  <c r="R342" i="1"/>
  <c r="R341" i="1" l="1"/>
  <c r="S342" i="1"/>
  <c r="T342" i="1" s="1"/>
  <c r="R340" i="1" l="1"/>
  <c r="S341" i="1"/>
  <c r="T341" i="1" s="1"/>
  <c r="S340" i="1" l="1"/>
  <c r="T340" i="1" s="1"/>
  <c r="R339" i="1"/>
  <c r="S339" i="1" l="1"/>
  <c r="T339" i="1" s="1"/>
  <c r="R338" i="1"/>
  <c r="S338" i="1" l="1"/>
  <c r="T338" i="1" s="1"/>
  <c r="R337" i="1"/>
  <c r="S337" i="1" l="1"/>
  <c r="T337" i="1" s="1"/>
  <c r="R336" i="1"/>
  <c r="R335" i="1" l="1"/>
  <c r="S336" i="1"/>
  <c r="T336" i="1" s="1"/>
  <c r="R334" i="1" l="1"/>
  <c r="S335" i="1"/>
  <c r="T335" i="1" s="1"/>
  <c r="S334" i="1" l="1"/>
  <c r="T334" i="1" s="1"/>
  <c r="R333" i="1"/>
  <c r="R332" i="1" l="1"/>
  <c r="S333" i="1"/>
  <c r="T333" i="1" s="1"/>
  <c r="S332" i="1" l="1"/>
  <c r="T332" i="1" s="1"/>
  <c r="R331" i="1"/>
  <c r="S331" i="1" l="1"/>
  <c r="T331" i="1" s="1"/>
  <c r="R330" i="1"/>
  <c r="R329" i="1" l="1"/>
  <c r="S330" i="1"/>
  <c r="T330" i="1" s="1"/>
  <c r="S329" i="1" l="1"/>
  <c r="T329" i="1" s="1"/>
  <c r="R328" i="1"/>
  <c r="R327" i="1" l="1"/>
  <c r="S328" i="1"/>
  <c r="T328" i="1" s="1"/>
  <c r="R326" i="1" l="1"/>
  <c r="S327" i="1"/>
  <c r="T327" i="1" s="1"/>
  <c r="S326" i="1" l="1"/>
  <c r="T326" i="1" s="1"/>
  <c r="R325" i="1"/>
  <c r="R324" i="1" l="1"/>
  <c r="S325" i="1"/>
  <c r="T325" i="1" s="1"/>
  <c r="S324" i="1" l="1"/>
  <c r="T324" i="1" s="1"/>
  <c r="R323" i="1"/>
  <c r="R322" i="1" l="1"/>
  <c r="S323" i="1"/>
  <c r="T323" i="1" s="1"/>
  <c r="R321" i="1" l="1"/>
  <c r="S322" i="1"/>
  <c r="T322" i="1" s="1"/>
  <c r="S321" i="1" l="1"/>
  <c r="T321" i="1" s="1"/>
  <c r="R320" i="1"/>
  <c r="S320" i="1" l="1"/>
  <c r="T320" i="1" s="1"/>
  <c r="R319" i="1"/>
  <c r="S319" i="1" l="1"/>
  <c r="T319" i="1" s="1"/>
  <c r="R318" i="1"/>
  <c r="R317" i="1" l="1"/>
  <c r="S318" i="1"/>
  <c r="T318" i="1" s="1"/>
  <c r="R316" i="1" l="1"/>
  <c r="S317" i="1"/>
  <c r="T317" i="1" s="1"/>
  <c r="R315" i="1" l="1"/>
  <c r="S316" i="1"/>
  <c r="T316" i="1" s="1"/>
  <c r="S315" i="1" l="1"/>
  <c r="T315" i="1" s="1"/>
  <c r="R314" i="1"/>
  <c r="R313" i="1" l="1"/>
  <c r="S314" i="1"/>
  <c r="T314" i="1" s="1"/>
  <c r="R312" i="1" l="1"/>
  <c r="S313" i="1"/>
  <c r="T313" i="1" s="1"/>
  <c r="R311" i="1" l="1"/>
  <c r="S312" i="1"/>
  <c r="T312" i="1" s="1"/>
  <c r="R310" i="1" l="1"/>
  <c r="S311" i="1"/>
  <c r="T311" i="1" s="1"/>
  <c r="R309" i="1" l="1"/>
  <c r="S310" i="1"/>
  <c r="T310" i="1" s="1"/>
  <c r="R308" i="1" l="1"/>
  <c r="S309" i="1"/>
  <c r="T309" i="1" s="1"/>
  <c r="S308" i="1" l="1"/>
  <c r="T308" i="1" s="1"/>
  <c r="R307" i="1"/>
  <c r="S307" i="1" l="1"/>
  <c r="T307" i="1" s="1"/>
  <c r="R306" i="1"/>
  <c r="S306" i="1" l="1"/>
  <c r="T306" i="1" s="1"/>
  <c r="R305" i="1"/>
  <c r="S305" i="1" l="1"/>
  <c r="T305" i="1" s="1"/>
  <c r="R304" i="1"/>
  <c r="R303" i="1" l="1"/>
  <c r="S304" i="1"/>
  <c r="T304" i="1" s="1"/>
  <c r="S303" i="1" l="1"/>
  <c r="T303" i="1" s="1"/>
  <c r="R302" i="1"/>
  <c r="S302" i="1" l="1"/>
  <c r="T302" i="1" s="1"/>
  <c r="R301" i="1"/>
  <c r="S301" i="1" l="1"/>
  <c r="T301" i="1" s="1"/>
  <c r="R300" i="1"/>
  <c r="S300" i="1" l="1"/>
  <c r="T300" i="1" s="1"/>
  <c r="R299" i="1"/>
  <c r="S299" i="1" l="1"/>
  <c r="T299" i="1" s="1"/>
  <c r="R298" i="1"/>
  <c r="R297" i="1" l="1"/>
  <c r="S298" i="1"/>
  <c r="T298" i="1" s="1"/>
  <c r="R296" i="1" l="1"/>
  <c r="S297" i="1"/>
  <c r="T297" i="1" s="1"/>
  <c r="S296" i="1" l="1"/>
  <c r="T296" i="1" s="1"/>
  <c r="R295" i="1"/>
  <c r="R294" i="1" l="1"/>
  <c r="S295" i="1"/>
  <c r="T295" i="1" s="1"/>
  <c r="S294" i="1" l="1"/>
  <c r="T294" i="1" s="1"/>
  <c r="R293" i="1"/>
  <c r="S293" i="1" l="1"/>
  <c r="T293" i="1" s="1"/>
  <c r="R292" i="1"/>
  <c r="R291" i="1" l="1"/>
  <c r="S292" i="1"/>
  <c r="T292" i="1" s="1"/>
  <c r="R290" i="1" l="1"/>
  <c r="S291" i="1"/>
  <c r="T291" i="1" s="1"/>
  <c r="S290" i="1" l="1"/>
  <c r="T290" i="1" s="1"/>
  <c r="R289" i="1"/>
  <c r="R288" i="1" l="1"/>
  <c r="S289" i="1"/>
  <c r="T289" i="1" s="1"/>
  <c r="S288" i="1" l="1"/>
  <c r="T288" i="1" s="1"/>
  <c r="R287" i="1"/>
  <c r="R286" i="1" l="1"/>
  <c r="S287" i="1"/>
  <c r="T287" i="1" s="1"/>
  <c r="S286" i="1" l="1"/>
  <c r="T286" i="1" s="1"/>
  <c r="R285" i="1"/>
  <c r="S285" i="1" l="1"/>
  <c r="T285" i="1" s="1"/>
  <c r="R284" i="1"/>
  <c r="R283" i="1" l="1"/>
  <c r="S284" i="1"/>
  <c r="T284" i="1" s="1"/>
  <c r="S283" i="1" l="1"/>
  <c r="T283" i="1" s="1"/>
  <c r="R282" i="1"/>
  <c r="R281" i="1" l="1"/>
  <c r="S282" i="1"/>
  <c r="T282" i="1" s="1"/>
  <c r="R280" i="1" l="1"/>
  <c r="S281" i="1"/>
  <c r="T281" i="1" s="1"/>
  <c r="S280" i="1" l="1"/>
  <c r="T280" i="1" s="1"/>
  <c r="R279" i="1"/>
  <c r="R278" i="1" l="1"/>
  <c r="S279" i="1"/>
  <c r="T279" i="1" s="1"/>
  <c r="S278" i="1" l="1"/>
  <c r="T278" i="1" s="1"/>
  <c r="R277" i="1"/>
  <c r="S277" i="1" l="1"/>
  <c r="T277" i="1" s="1"/>
  <c r="R276" i="1"/>
  <c r="R275" i="1" l="1"/>
  <c r="S276" i="1"/>
  <c r="T276" i="1" s="1"/>
  <c r="R274" i="1" l="1"/>
  <c r="S275" i="1"/>
  <c r="T275" i="1" s="1"/>
  <c r="R273" i="1" l="1"/>
  <c r="S274" i="1"/>
  <c r="T274" i="1" s="1"/>
  <c r="R272" i="1" l="1"/>
  <c r="S273" i="1"/>
  <c r="T273" i="1" s="1"/>
  <c r="S272" i="1" l="1"/>
  <c r="T272" i="1" s="1"/>
  <c r="R271" i="1"/>
  <c r="S271" i="1" l="1"/>
  <c r="T271" i="1" s="1"/>
  <c r="R270" i="1"/>
  <c r="S270" i="1" l="1"/>
  <c r="T270" i="1" s="1"/>
  <c r="R269" i="1"/>
  <c r="S269" i="1" l="1"/>
  <c r="T269" i="1" s="1"/>
  <c r="R268" i="1"/>
  <c r="R267" i="1" l="1"/>
  <c r="S268" i="1"/>
  <c r="T268" i="1" s="1"/>
  <c r="R266" i="1" l="1"/>
  <c r="S267" i="1"/>
  <c r="T267" i="1" s="1"/>
  <c r="R265" i="1" l="1"/>
  <c r="S266" i="1"/>
  <c r="T266" i="1" s="1"/>
  <c r="R264" i="1" l="1"/>
  <c r="S265" i="1"/>
  <c r="T265" i="1" s="1"/>
  <c r="S264" i="1" l="1"/>
  <c r="T264" i="1" s="1"/>
  <c r="R263" i="1"/>
  <c r="R262" i="1" l="1"/>
  <c r="S263" i="1"/>
  <c r="T263" i="1" s="1"/>
  <c r="S262" i="1" l="1"/>
  <c r="T262" i="1" s="1"/>
  <c r="R261" i="1"/>
  <c r="S261" i="1" l="1"/>
  <c r="T261" i="1" s="1"/>
  <c r="R260" i="1"/>
  <c r="R259" i="1" l="1"/>
  <c r="S260" i="1"/>
  <c r="T260" i="1" s="1"/>
  <c r="S259" i="1" l="1"/>
  <c r="T259" i="1" s="1"/>
  <c r="R258" i="1"/>
  <c r="R257" i="1" l="1"/>
  <c r="S258" i="1"/>
  <c r="T258" i="1" s="1"/>
  <c r="R256" i="1" l="1"/>
  <c r="S257" i="1"/>
  <c r="T257" i="1" s="1"/>
  <c r="S256" i="1" l="1"/>
  <c r="T256" i="1" s="1"/>
  <c r="R255" i="1"/>
  <c r="R254" i="1" l="1"/>
  <c r="S255" i="1"/>
  <c r="T255" i="1" s="1"/>
  <c r="S254" i="1" l="1"/>
  <c r="T254" i="1" s="1"/>
  <c r="R253" i="1"/>
  <c r="S253" i="1" l="1"/>
  <c r="T253" i="1" s="1"/>
  <c r="R252" i="1"/>
  <c r="R251" i="1" l="1"/>
  <c r="S252" i="1"/>
  <c r="T252" i="1" s="1"/>
  <c r="R250" i="1" l="1"/>
  <c r="S251" i="1"/>
  <c r="T251" i="1" s="1"/>
  <c r="R249" i="1" l="1"/>
  <c r="S250" i="1"/>
  <c r="T250" i="1" s="1"/>
  <c r="R248" i="1" l="1"/>
  <c r="S249" i="1"/>
  <c r="T249" i="1" s="1"/>
  <c r="S248" i="1" l="1"/>
  <c r="T248" i="1" s="1"/>
  <c r="R247" i="1"/>
  <c r="R246" i="1" l="1"/>
  <c r="S247" i="1"/>
  <c r="T247" i="1" s="1"/>
  <c r="S246" i="1" l="1"/>
  <c r="T246" i="1" s="1"/>
  <c r="R245" i="1"/>
  <c r="S245" i="1" l="1"/>
  <c r="T245" i="1" s="1"/>
  <c r="R244" i="1"/>
  <c r="R243" i="1" l="1"/>
  <c r="S244" i="1"/>
  <c r="T244" i="1" s="1"/>
  <c r="S243" i="1" l="1"/>
  <c r="T243" i="1" s="1"/>
  <c r="R242" i="1"/>
  <c r="R241" i="1" l="1"/>
  <c r="S242" i="1"/>
  <c r="T242" i="1" s="1"/>
  <c r="R240" i="1" l="1"/>
  <c r="S241" i="1"/>
  <c r="T241" i="1" s="1"/>
  <c r="S240" i="1" l="1"/>
  <c r="T240" i="1" s="1"/>
  <c r="R239" i="1"/>
  <c r="S239" i="1" l="1"/>
  <c r="T239" i="1" s="1"/>
  <c r="R238" i="1"/>
  <c r="S238" i="1" l="1"/>
  <c r="T238" i="1" s="1"/>
  <c r="R237" i="1"/>
  <c r="S237" i="1" l="1"/>
  <c r="T237" i="1" s="1"/>
  <c r="R236" i="1"/>
  <c r="R235" i="1" l="1"/>
  <c r="S236" i="1"/>
  <c r="T236" i="1" s="1"/>
  <c r="S235" i="1" l="1"/>
  <c r="T235" i="1" s="1"/>
  <c r="R234" i="1"/>
  <c r="R233" i="1" l="1"/>
  <c r="S234" i="1"/>
  <c r="T234" i="1" s="1"/>
  <c r="R232" i="1" l="1"/>
  <c r="S233" i="1"/>
  <c r="T233" i="1" s="1"/>
  <c r="S232" i="1" l="1"/>
  <c r="T232" i="1" s="1"/>
  <c r="R231" i="1"/>
  <c r="R230" i="1" l="1"/>
  <c r="S231" i="1"/>
  <c r="T231" i="1" s="1"/>
  <c r="S230" i="1" l="1"/>
  <c r="T230" i="1" s="1"/>
  <c r="R229" i="1"/>
  <c r="S229" i="1" l="1"/>
  <c r="T229" i="1" s="1"/>
  <c r="R228" i="1"/>
  <c r="R227" i="1" l="1"/>
  <c r="S228" i="1"/>
  <c r="T228" i="1" s="1"/>
  <c r="R226" i="1" l="1"/>
  <c r="S227" i="1"/>
  <c r="T227" i="1" s="1"/>
  <c r="R225" i="1" l="1"/>
  <c r="S226" i="1"/>
  <c r="T226" i="1" s="1"/>
  <c r="R224" i="1" l="1"/>
  <c r="S225" i="1"/>
  <c r="T225" i="1" s="1"/>
  <c r="S224" i="1" l="1"/>
  <c r="T224" i="1" s="1"/>
  <c r="R223" i="1"/>
  <c r="S223" i="1" l="1"/>
  <c r="T223" i="1" s="1"/>
  <c r="R222" i="1"/>
  <c r="S222" i="1" l="1"/>
  <c r="T222" i="1" s="1"/>
  <c r="R221" i="1"/>
  <c r="S221" i="1" l="1"/>
  <c r="T221" i="1" s="1"/>
  <c r="R220" i="1"/>
  <c r="R219" i="1" l="1"/>
  <c r="S220" i="1"/>
  <c r="T220" i="1" s="1"/>
  <c r="R218" i="1" l="1"/>
  <c r="S219" i="1"/>
  <c r="T219" i="1" s="1"/>
  <c r="R217" i="1" l="1"/>
  <c r="S218" i="1"/>
  <c r="T218" i="1" s="1"/>
  <c r="R216" i="1" l="1"/>
  <c r="S217" i="1"/>
  <c r="T217" i="1" s="1"/>
  <c r="R215" i="1" l="1"/>
  <c r="S216" i="1"/>
  <c r="T216" i="1" s="1"/>
  <c r="R214" i="1" l="1"/>
  <c r="S215" i="1"/>
  <c r="T215" i="1" s="1"/>
  <c r="R213" i="1" l="1"/>
  <c r="S214" i="1"/>
  <c r="T214" i="1" s="1"/>
  <c r="R212" i="1" l="1"/>
  <c r="S213" i="1"/>
  <c r="T213" i="1" s="1"/>
  <c r="S212" i="1" l="1"/>
  <c r="T212" i="1" s="1"/>
  <c r="R211" i="1"/>
  <c r="S211" i="1" l="1"/>
  <c r="T211" i="1" s="1"/>
  <c r="R210" i="1"/>
  <c r="S210" i="1" l="1"/>
  <c r="T210" i="1" s="1"/>
  <c r="R209" i="1"/>
  <c r="S209" i="1" l="1"/>
  <c r="T209" i="1" s="1"/>
  <c r="R208" i="1"/>
  <c r="R207" i="1" l="1"/>
  <c r="S208" i="1"/>
  <c r="T208" i="1" s="1"/>
  <c r="R206" i="1" l="1"/>
  <c r="S207" i="1"/>
  <c r="T207" i="1" s="1"/>
  <c r="R205" i="1" l="1"/>
  <c r="S206" i="1"/>
  <c r="T206" i="1" s="1"/>
  <c r="R204" i="1" l="1"/>
  <c r="S205" i="1"/>
  <c r="T205" i="1" s="1"/>
  <c r="R203" i="1" l="1"/>
  <c r="S204" i="1"/>
  <c r="T204" i="1" s="1"/>
  <c r="R202" i="1" l="1"/>
  <c r="S203" i="1"/>
  <c r="T203" i="1" s="1"/>
  <c r="S202" i="1" l="1"/>
  <c r="T202" i="1" s="1"/>
  <c r="R201" i="1"/>
  <c r="S201" i="1" l="1"/>
  <c r="T201" i="1" s="1"/>
  <c r="R200" i="1"/>
  <c r="R199" i="1" l="1"/>
  <c r="S200" i="1"/>
  <c r="T200" i="1" s="1"/>
  <c r="R198" i="1" l="1"/>
  <c r="S199" i="1"/>
  <c r="T199" i="1" s="1"/>
  <c r="R197" i="1" l="1"/>
  <c r="S198" i="1"/>
  <c r="T198" i="1" s="1"/>
  <c r="R196" i="1" l="1"/>
  <c r="S197" i="1"/>
  <c r="T197" i="1" s="1"/>
  <c r="R195" i="1" l="1"/>
  <c r="S196" i="1"/>
  <c r="T196" i="1" s="1"/>
  <c r="R194" i="1" l="1"/>
  <c r="S195" i="1"/>
  <c r="T195" i="1" s="1"/>
  <c r="S194" i="1" l="1"/>
  <c r="T194" i="1" s="1"/>
  <c r="R193" i="1"/>
  <c r="S193" i="1" l="1"/>
  <c r="T193" i="1" s="1"/>
  <c r="R192" i="1"/>
  <c r="R191" i="1" l="1"/>
  <c r="S192" i="1"/>
  <c r="T192" i="1" s="1"/>
  <c r="R190" i="1" l="1"/>
  <c r="S191" i="1"/>
  <c r="T191" i="1" s="1"/>
  <c r="R189" i="1" l="1"/>
  <c r="S190" i="1"/>
  <c r="T190" i="1" s="1"/>
  <c r="R188" i="1" l="1"/>
  <c r="S189" i="1"/>
  <c r="T189" i="1" s="1"/>
  <c r="R187" i="1" l="1"/>
  <c r="S188" i="1"/>
  <c r="T188" i="1" s="1"/>
  <c r="R186" i="1" l="1"/>
  <c r="S187" i="1"/>
  <c r="T187" i="1" s="1"/>
  <c r="R185" i="1" l="1"/>
  <c r="S186" i="1"/>
  <c r="T186" i="1" s="1"/>
  <c r="S185" i="1" l="1"/>
  <c r="T185" i="1" s="1"/>
  <c r="R184" i="1"/>
  <c r="S184" i="1" l="1"/>
  <c r="T184" i="1" s="1"/>
  <c r="R183" i="1"/>
  <c r="S183" i="1" l="1"/>
  <c r="T183" i="1" s="1"/>
  <c r="R182" i="1"/>
  <c r="S182" i="1" l="1"/>
  <c r="T182" i="1" s="1"/>
  <c r="R181" i="1"/>
  <c r="R180" i="1" l="1"/>
  <c r="S181" i="1"/>
  <c r="T181" i="1" s="1"/>
  <c r="R179" i="1" l="1"/>
  <c r="S180" i="1"/>
  <c r="T180" i="1" s="1"/>
  <c r="S179" i="1" l="1"/>
  <c r="T179" i="1" s="1"/>
  <c r="R178" i="1"/>
  <c r="R177" i="1" l="1"/>
  <c r="S178" i="1"/>
  <c r="T178" i="1" s="1"/>
  <c r="R176" i="1" l="1"/>
  <c r="S177" i="1"/>
  <c r="T177" i="1" s="1"/>
  <c r="R175" i="1" l="1"/>
  <c r="S176" i="1"/>
  <c r="T176" i="1" s="1"/>
  <c r="R174" i="1" l="1"/>
  <c r="S175" i="1"/>
  <c r="T175" i="1" s="1"/>
  <c r="S174" i="1" l="1"/>
  <c r="T174" i="1" s="1"/>
  <c r="R173" i="1"/>
  <c r="S173" i="1" l="1"/>
  <c r="T173" i="1" s="1"/>
  <c r="R172" i="1"/>
  <c r="S172" i="1" l="1"/>
  <c r="T172" i="1" s="1"/>
  <c r="R171" i="1"/>
  <c r="S171" i="1" l="1"/>
  <c r="T171" i="1" s="1"/>
  <c r="R170" i="1"/>
  <c r="R169" i="1" l="1"/>
  <c r="S170" i="1"/>
  <c r="T170" i="1" s="1"/>
  <c r="R168" i="1" l="1"/>
  <c r="S169" i="1"/>
  <c r="T169" i="1" s="1"/>
  <c r="R167" i="1" l="1"/>
  <c r="S168" i="1"/>
  <c r="T168" i="1" s="1"/>
  <c r="S167" i="1" l="1"/>
  <c r="T167" i="1" s="1"/>
  <c r="R166" i="1"/>
  <c r="S166" i="1" l="1"/>
  <c r="T166" i="1" s="1"/>
  <c r="R165" i="1"/>
  <c r="S165" i="1" l="1"/>
  <c r="T165" i="1" s="1"/>
  <c r="R164" i="1"/>
  <c r="S164" i="1" l="1"/>
  <c r="T164" i="1" s="1"/>
  <c r="R163" i="1"/>
  <c r="R162" i="1" l="1"/>
  <c r="S163" i="1"/>
  <c r="T163" i="1" s="1"/>
  <c r="R161" i="1" l="1"/>
  <c r="S162" i="1"/>
  <c r="T162" i="1" s="1"/>
  <c r="R160" i="1" l="1"/>
  <c r="S161" i="1"/>
  <c r="T161" i="1" s="1"/>
  <c r="R159" i="1" l="1"/>
  <c r="S160" i="1"/>
  <c r="T160" i="1" s="1"/>
  <c r="S159" i="1" l="1"/>
  <c r="T159" i="1" s="1"/>
  <c r="R158" i="1"/>
  <c r="S158" i="1" l="1"/>
  <c r="T158" i="1" s="1"/>
  <c r="R157" i="1"/>
  <c r="S157" i="1" l="1"/>
  <c r="T157" i="1" s="1"/>
  <c r="R156" i="1"/>
  <c r="S156" i="1" l="1"/>
  <c r="T156" i="1" s="1"/>
  <c r="R155" i="1"/>
  <c r="S155" i="1" l="1"/>
  <c r="T155" i="1" s="1"/>
  <c r="R154" i="1"/>
  <c r="R153" i="1" l="1"/>
  <c r="S154" i="1"/>
  <c r="T154" i="1" s="1"/>
  <c r="R152" i="1" l="1"/>
  <c r="S153" i="1"/>
  <c r="T153" i="1" s="1"/>
  <c r="R151" i="1" l="1"/>
  <c r="S152" i="1"/>
  <c r="T152" i="1" s="1"/>
  <c r="R150" i="1" l="1"/>
  <c r="S151" i="1"/>
  <c r="T151" i="1" s="1"/>
  <c r="S150" i="1" l="1"/>
  <c r="T150" i="1" s="1"/>
  <c r="R149" i="1"/>
  <c r="S149" i="1" l="1"/>
  <c r="T149" i="1" s="1"/>
  <c r="R148" i="1"/>
  <c r="S148" i="1" l="1"/>
  <c r="T148" i="1" s="1"/>
  <c r="R147" i="1"/>
  <c r="S147" i="1" l="1"/>
  <c r="T147" i="1" s="1"/>
  <c r="R146" i="1"/>
  <c r="R145" i="1" l="1"/>
  <c r="S146" i="1"/>
  <c r="T146" i="1" s="1"/>
  <c r="R144" i="1" l="1"/>
  <c r="S145" i="1"/>
  <c r="T145" i="1" s="1"/>
  <c r="R143" i="1" l="1"/>
  <c r="S144" i="1"/>
  <c r="T144" i="1" s="1"/>
  <c r="R142" i="1" l="1"/>
  <c r="S143" i="1"/>
  <c r="T143" i="1" s="1"/>
  <c r="S142" i="1" l="1"/>
  <c r="T142" i="1" s="1"/>
  <c r="R141" i="1"/>
  <c r="R140" i="1" l="1"/>
  <c r="S141" i="1"/>
  <c r="T141" i="1" s="1"/>
  <c r="S140" i="1" l="1"/>
  <c r="T140" i="1" s="1"/>
  <c r="R139" i="1"/>
  <c r="R138" i="1" l="1"/>
  <c r="S139" i="1"/>
  <c r="T139" i="1" s="1"/>
  <c r="R137" i="1" l="1"/>
  <c r="S138" i="1"/>
  <c r="T138" i="1" s="1"/>
  <c r="S137" i="1" l="1"/>
  <c r="T137" i="1" s="1"/>
  <c r="R136" i="1"/>
  <c r="R135" i="1" l="1"/>
  <c r="S136" i="1"/>
  <c r="T136" i="1" s="1"/>
  <c r="S135" i="1" l="1"/>
  <c r="T135" i="1" s="1"/>
  <c r="R134" i="1"/>
  <c r="S134" i="1" l="1"/>
  <c r="T134" i="1" s="1"/>
  <c r="R133" i="1"/>
  <c r="R132" i="1" l="1"/>
  <c r="S133" i="1"/>
  <c r="T133" i="1" s="1"/>
  <c r="S132" i="1" l="1"/>
  <c r="T132" i="1" s="1"/>
  <c r="R131" i="1"/>
  <c r="R130" i="1" l="1"/>
  <c r="S131" i="1"/>
  <c r="T131" i="1" s="1"/>
  <c r="R129" i="1" l="1"/>
  <c r="S130" i="1"/>
  <c r="T130" i="1" s="1"/>
  <c r="S129" i="1" l="1"/>
  <c r="T129" i="1" s="1"/>
  <c r="R128" i="1"/>
  <c r="R127" i="1" l="1"/>
  <c r="S128" i="1"/>
  <c r="T128" i="1" s="1"/>
  <c r="S127" i="1" l="1"/>
  <c r="T127" i="1" s="1"/>
  <c r="R126" i="1"/>
  <c r="S126" i="1" l="1"/>
  <c r="T126" i="1" s="1"/>
  <c r="R125" i="1"/>
  <c r="R124" i="1" l="1"/>
  <c r="S125" i="1"/>
  <c r="T125" i="1" s="1"/>
  <c r="S124" i="1" l="1"/>
  <c r="T124" i="1" s="1"/>
  <c r="R123" i="1"/>
  <c r="R122" i="1" l="1"/>
  <c r="S123" i="1"/>
  <c r="T123" i="1" s="1"/>
  <c r="R121" i="1" l="1"/>
  <c r="S122" i="1"/>
  <c r="T122" i="1" s="1"/>
  <c r="S121" i="1" l="1"/>
  <c r="T121" i="1" s="1"/>
  <c r="R120" i="1"/>
  <c r="S120" i="1" l="1"/>
  <c r="T120" i="1" s="1"/>
  <c r="R119" i="1"/>
  <c r="S119" i="1" l="1"/>
  <c r="T119" i="1" s="1"/>
  <c r="R118" i="1"/>
  <c r="S118" i="1" l="1"/>
  <c r="T118" i="1" s="1"/>
  <c r="R117" i="1"/>
  <c r="R116" i="1" l="1"/>
  <c r="S117" i="1"/>
  <c r="T117" i="1" s="1"/>
  <c r="R115" i="1" l="1"/>
  <c r="S116" i="1"/>
  <c r="T116" i="1" s="1"/>
  <c r="R114" i="1" l="1"/>
  <c r="S115" i="1"/>
  <c r="T115" i="1" s="1"/>
  <c r="R113" i="1" l="1"/>
  <c r="S114" i="1"/>
  <c r="T114" i="1" s="1"/>
  <c r="S113" i="1" l="1"/>
  <c r="T113" i="1" s="1"/>
  <c r="R112" i="1"/>
  <c r="S112" i="1" l="1"/>
  <c r="T112" i="1" s="1"/>
  <c r="R111" i="1"/>
  <c r="S111" i="1" l="1"/>
  <c r="T111" i="1" s="1"/>
  <c r="R110" i="1"/>
  <c r="S110" i="1" l="1"/>
  <c r="T110" i="1" s="1"/>
  <c r="R109" i="1"/>
  <c r="R108" i="1" l="1"/>
  <c r="S109" i="1"/>
  <c r="T109" i="1" s="1"/>
  <c r="R107" i="1" l="1"/>
  <c r="S108" i="1"/>
  <c r="T108" i="1" s="1"/>
  <c r="R106" i="1" l="1"/>
  <c r="S107" i="1"/>
  <c r="T107" i="1" s="1"/>
  <c r="R105" i="1" l="1"/>
  <c r="S106" i="1"/>
  <c r="T106" i="1" s="1"/>
  <c r="S105" i="1" l="1"/>
  <c r="T105" i="1" s="1"/>
  <c r="R104" i="1"/>
  <c r="S104" i="1" l="1"/>
  <c r="T104" i="1" s="1"/>
  <c r="R103" i="1"/>
  <c r="S103" i="1" l="1"/>
  <c r="T103" i="1" s="1"/>
  <c r="R102" i="1"/>
  <c r="S102" i="1" l="1"/>
  <c r="T102" i="1" s="1"/>
  <c r="R101" i="1"/>
  <c r="S101" i="1" l="1"/>
  <c r="T101" i="1" s="1"/>
  <c r="R100" i="1"/>
  <c r="R99" i="1" l="1"/>
  <c r="S100" i="1"/>
  <c r="T100" i="1" s="1"/>
  <c r="R98" i="1" l="1"/>
  <c r="S99" i="1"/>
  <c r="T99" i="1" s="1"/>
  <c r="R97" i="1" l="1"/>
  <c r="S98" i="1"/>
  <c r="T98" i="1" s="1"/>
  <c r="R96" i="1" l="1"/>
  <c r="S97" i="1"/>
  <c r="T97" i="1" s="1"/>
  <c r="S96" i="1" l="1"/>
  <c r="T96" i="1" s="1"/>
  <c r="R95" i="1"/>
  <c r="S95" i="1" l="1"/>
  <c r="T95" i="1" s="1"/>
  <c r="R94" i="1"/>
  <c r="S94" i="1" l="1"/>
  <c r="T94" i="1" s="1"/>
  <c r="R93" i="1"/>
  <c r="S93" i="1" l="1"/>
  <c r="T93" i="1" s="1"/>
  <c r="R92" i="1"/>
  <c r="R91" i="1" l="1"/>
  <c r="S92" i="1"/>
  <c r="T92" i="1" s="1"/>
  <c r="R90" i="1" l="1"/>
  <c r="S91" i="1"/>
  <c r="T91" i="1" s="1"/>
  <c r="R89" i="1" l="1"/>
  <c r="S90" i="1"/>
  <c r="T90" i="1" s="1"/>
  <c r="R88" i="1" l="1"/>
  <c r="S89" i="1"/>
  <c r="T89" i="1" s="1"/>
  <c r="S88" i="1" l="1"/>
  <c r="T88" i="1" s="1"/>
  <c r="R87" i="1"/>
  <c r="S87" i="1" l="1"/>
  <c r="T87" i="1" s="1"/>
  <c r="R86" i="1"/>
  <c r="S86" i="1" l="1"/>
  <c r="T86" i="1" s="1"/>
  <c r="R85" i="1"/>
  <c r="S85" i="1" l="1"/>
  <c r="T85" i="1" s="1"/>
  <c r="R84" i="1"/>
  <c r="R83" i="1" l="1"/>
  <c r="S84" i="1"/>
  <c r="T84" i="1" s="1"/>
  <c r="R82" i="1" l="1"/>
  <c r="S83" i="1"/>
  <c r="T83" i="1" s="1"/>
  <c r="R81" i="1" l="1"/>
  <c r="S82" i="1"/>
  <c r="T82" i="1" s="1"/>
  <c r="S81" i="1" l="1"/>
  <c r="T81" i="1" s="1"/>
  <c r="R80" i="1"/>
  <c r="S80" i="1" l="1"/>
  <c r="T80" i="1" s="1"/>
  <c r="R79" i="1"/>
  <c r="S79" i="1" l="1"/>
  <c r="T79" i="1" s="1"/>
  <c r="R78" i="1"/>
  <c r="S78" i="1" l="1"/>
  <c r="T78" i="1" s="1"/>
  <c r="R77" i="1"/>
  <c r="R76" i="1" l="1"/>
  <c r="S77" i="1"/>
  <c r="T77" i="1" s="1"/>
  <c r="R75" i="1" l="1"/>
  <c r="S76" i="1"/>
  <c r="T76" i="1" s="1"/>
  <c r="R74" i="1" l="1"/>
  <c r="S75" i="1"/>
  <c r="T75" i="1" s="1"/>
  <c r="R73" i="1" l="1"/>
  <c r="S74" i="1"/>
  <c r="T74" i="1" s="1"/>
  <c r="S73" i="1" l="1"/>
  <c r="T73" i="1" s="1"/>
  <c r="R72" i="1"/>
  <c r="S72" i="1" l="1"/>
  <c r="T72" i="1" s="1"/>
  <c r="R71" i="1"/>
  <c r="S71" i="1" l="1"/>
  <c r="T71" i="1" s="1"/>
  <c r="R70" i="1"/>
  <c r="S70" i="1" l="1"/>
  <c r="T70" i="1" s="1"/>
  <c r="R69" i="1"/>
  <c r="R68" i="1" l="1"/>
  <c r="S69" i="1"/>
  <c r="T69" i="1" s="1"/>
  <c r="R67" i="1" l="1"/>
  <c r="S68" i="1"/>
  <c r="T68" i="1" s="1"/>
  <c r="R66" i="1" l="1"/>
  <c r="S67" i="1"/>
  <c r="T67" i="1" s="1"/>
  <c r="S66" i="1" l="1"/>
  <c r="T66" i="1" s="1"/>
  <c r="R65" i="1"/>
  <c r="R64" i="1" l="1"/>
  <c r="S65" i="1"/>
  <c r="T65" i="1" s="1"/>
  <c r="S64" i="1" l="1"/>
  <c r="T64" i="1" s="1"/>
  <c r="R63" i="1"/>
  <c r="S63" i="1" l="1"/>
  <c r="T63" i="1" s="1"/>
  <c r="R62" i="1"/>
  <c r="R61" i="1" l="1"/>
  <c r="S62" i="1"/>
  <c r="T62" i="1" s="1"/>
  <c r="S61" i="1" l="1"/>
  <c r="T61" i="1" s="1"/>
  <c r="R60" i="1"/>
  <c r="R59" i="1" l="1"/>
  <c r="S60" i="1"/>
  <c r="T60" i="1" s="1"/>
  <c r="R58" i="1" l="1"/>
  <c r="S59" i="1"/>
  <c r="T59" i="1" s="1"/>
  <c r="S58" i="1" l="1"/>
  <c r="T58" i="1" s="1"/>
  <c r="R57" i="1"/>
  <c r="S57" i="1" l="1"/>
  <c r="T57" i="1" s="1"/>
  <c r="R56" i="1"/>
  <c r="S56" i="1" l="1"/>
  <c r="T56" i="1" s="1"/>
  <c r="R55" i="1"/>
  <c r="S55" i="1" l="1"/>
  <c r="T55" i="1" s="1"/>
  <c r="R54" i="1"/>
  <c r="R53" i="1" l="1"/>
  <c r="S54" i="1"/>
  <c r="T54" i="1" s="1"/>
  <c r="S53" i="1" l="1"/>
  <c r="T53" i="1" s="1"/>
  <c r="R52" i="1"/>
  <c r="R51" i="1" l="1"/>
  <c r="S52" i="1"/>
  <c r="T52" i="1" s="1"/>
  <c r="S51" i="1" l="1"/>
  <c r="T51" i="1" s="1"/>
  <c r="R50" i="1"/>
  <c r="S50" i="1" l="1"/>
  <c r="T50" i="1" s="1"/>
  <c r="R49" i="1"/>
  <c r="S49" i="1" l="1"/>
  <c r="T49" i="1" s="1"/>
  <c r="R48" i="1"/>
  <c r="S48" i="1" l="1"/>
  <c r="T48" i="1" s="1"/>
  <c r="R47" i="1"/>
  <c r="R46" i="1" l="1"/>
  <c r="S47" i="1"/>
  <c r="T47" i="1" s="1"/>
  <c r="S46" i="1" l="1"/>
  <c r="T46" i="1" s="1"/>
  <c r="R45" i="1"/>
  <c r="S45" i="1" l="1"/>
  <c r="T45" i="1" s="1"/>
  <c r="R44" i="1"/>
  <c r="R43" i="1" l="1"/>
  <c r="S44" i="1"/>
  <c r="T44" i="1" s="1"/>
  <c r="S43" i="1" l="1"/>
  <c r="T43" i="1" s="1"/>
  <c r="R42" i="1"/>
  <c r="S42" i="1" l="1"/>
  <c r="T42" i="1" s="1"/>
  <c r="R41" i="1"/>
  <c r="S41" i="1" l="1"/>
  <c r="T41" i="1" s="1"/>
  <c r="R40" i="1"/>
  <c r="S40" i="1" l="1"/>
  <c r="T40" i="1" s="1"/>
  <c r="R39" i="1"/>
  <c r="R38" i="1" l="1"/>
  <c r="S39" i="1"/>
  <c r="T39" i="1" s="1"/>
  <c r="S38" i="1" l="1"/>
  <c r="T38" i="1" s="1"/>
  <c r="R37" i="1"/>
  <c r="S37" i="1" l="1"/>
  <c r="T37" i="1" s="1"/>
  <c r="R36" i="1"/>
  <c r="S36" i="1" l="1"/>
  <c r="T36" i="1" s="1"/>
  <c r="R35" i="1"/>
  <c r="S35" i="1" l="1"/>
  <c r="T35" i="1" s="1"/>
  <c r="R34" i="1"/>
  <c r="R33" i="1" l="1"/>
  <c r="S34" i="1"/>
  <c r="T34" i="1" s="1"/>
  <c r="R32" i="1" l="1"/>
  <c r="S33" i="1"/>
  <c r="T33" i="1" s="1"/>
  <c r="R31" i="1" l="1"/>
  <c r="S32" i="1"/>
  <c r="T32" i="1" s="1"/>
  <c r="R30" i="1" l="1"/>
  <c r="S31" i="1"/>
  <c r="T31" i="1" s="1"/>
  <c r="S30" i="1" l="1"/>
  <c r="T30" i="1" s="1"/>
  <c r="R29" i="1"/>
  <c r="S29" i="1" l="1"/>
  <c r="T29" i="1" s="1"/>
  <c r="R28" i="1"/>
  <c r="S28" i="1" l="1"/>
  <c r="T28" i="1" s="1"/>
  <c r="R27" i="1"/>
  <c r="S27" i="1" l="1"/>
  <c r="T27" i="1" s="1"/>
  <c r="R26" i="1"/>
  <c r="S26" i="1" l="1"/>
  <c r="T26" i="1" s="1"/>
  <c r="R25" i="1"/>
  <c r="S25" i="1" l="1"/>
  <c r="T25" i="1" s="1"/>
  <c r="R24" i="1"/>
  <c r="S24" i="1" l="1"/>
  <c r="T24" i="1" s="1"/>
  <c r="R23" i="1"/>
  <c r="R22" i="1" l="1"/>
  <c r="S23" i="1"/>
  <c r="T23" i="1" s="1"/>
  <c r="S22" i="1" l="1"/>
  <c r="T22" i="1" s="1"/>
  <c r="R21" i="1"/>
  <c r="S21" i="1" l="1"/>
  <c r="T21" i="1" s="1"/>
  <c r="R20" i="1"/>
  <c r="S20" i="1" l="1"/>
  <c r="T20" i="1" s="1"/>
  <c r="R19" i="1"/>
  <c r="S19" i="1" l="1"/>
  <c r="T19" i="1" s="1"/>
  <c r="R18" i="1"/>
  <c r="S18" i="1" l="1"/>
  <c r="T18" i="1" s="1"/>
  <c r="R17" i="1"/>
  <c r="S17" i="1" l="1"/>
  <c r="T17" i="1" s="1"/>
  <c r="R16" i="1"/>
  <c r="S16" i="1" l="1"/>
  <c r="T16" i="1" s="1"/>
  <c r="R15" i="1"/>
  <c r="S15" i="1" l="1"/>
  <c r="T15" i="1" s="1"/>
  <c r="R14" i="1"/>
  <c r="S14" i="1" l="1"/>
  <c r="T14" i="1" s="1"/>
  <c r="R13" i="1"/>
  <c r="S13" i="1" l="1"/>
  <c r="T13" i="1" s="1"/>
  <c r="R12" i="1"/>
  <c r="S12" i="1" l="1"/>
  <c r="T12" i="1" s="1"/>
  <c r="R11" i="1"/>
  <c r="S11" i="1" l="1"/>
  <c r="T11" i="1" s="1"/>
  <c r="R10" i="1"/>
  <c r="S10" i="1" l="1"/>
  <c r="T10" i="1" s="1"/>
  <c r="R9" i="1"/>
  <c r="S9" i="1" l="1"/>
  <c r="T9" i="1" s="1"/>
  <c r="R8" i="1"/>
  <c r="S8" i="1" l="1"/>
  <c r="T8" i="1" s="1"/>
  <c r="R7" i="1"/>
  <c r="S7" i="1" l="1"/>
  <c r="T7" i="1" s="1"/>
  <c r="R6" i="1"/>
  <c r="S6" i="1" s="1"/>
  <c r="T6" i="1" s="1"/>
</calcChain>
</file>

<file path=xl/sharedStrings.xml><?xml version="1.0" encoding="utf-8"?>
<sst xmlns="http://schemas.openxmlformats.org/spreadsheetml/2006/main" count="2673" uniqueCount="34">
  <si>
    <t>Date</t>
  </si>
  <si>
    <t>Open</t>
  </si>
  <si>
    <t>High</t>
  </si>
  <si>
    <t>Low</t>
  </si>
  <si>
    <t>Close</t>
  </si>
  <si>
    <t>Volume</t>
  </si>
  <si>
    <t>Adj Close</t>
  </si>
  <si>
    <t>O</t>
  </si>
  <si>
    <t>X</t>
  </si>
  <si>
    <t>Row</t>
  </si>
  <si>
    <t>Price</t>
  </si>
  <si>
    <t>H</t>
  </si>
  <si>
    <t>L</t>
  </si>
  <si>
    <t>U/D</t>
  </si>
  <si>
    <t>MOVE</t>
  </si>
  <si>
    <t>MARK</t>
  </si>
  <si>
    <t>STOCK</t>
  </si>
  <si>
    <t>DATE</t>
  </si>
  <si>
    <t>CHART</t>
  </si>
  <si>
    <t>O MIN</t>
  </si>
  <si>
    <t>MEAS L</t>
  </si>
  <si>
    <t>MEAS H</t>
  </si>
  <si>
    <t>TARGET</t>
  </si>
  <si>
    <t>STOP</t>
  </si>
  <si>
    <t>PRICE 1</t>
  </si>
  <si>
    <t>PRICE 2</t>
  </si>
  <si>
    <t>% LOSS</t>
  </si>
  <si>
    <t>WEEKS</t>
  </si>
  <si>
    <t>BUY</t>
  </si>
  <si>
    <t>SELL</t>
  </si>
  <si>
    <t>1/2/5/10</t>
  </si>
  <si>
    <t>SOLD</t>
  </si>
  <si>
    <t>%</t>
  </si>
  <si>
    <t>PROFIT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</si>
</sst>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"/>
    <numFmt numFmtId="165" formatCode="0.0"/>
    <numFmt numFmtId="166" formatCode="0.0000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rgb="FF666666"/>
      <name val="Courier New"/>
      <family val="3"/>
    </font>
  </fonts>
  <fills count="9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14999847407452621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35">
    <xf numFmtId="0" fontId="0" fillId="0" borderId="0" xfId="0"/>
    <xf numFmtId="0" fontId="0" fillId="0" borderId="0" xfId="0" applyAlignment="1">
      <alignment horizontal="center"/>
    </xf>
    <xf numFmtId="0" fontId="0" fillId="2" borderId="0" xfId="0" applyFill="1" applyAlignment="1">
      <alignment horizontal="center"/>
    </xf>
    <xf numFmtId="9" fontId="0" fillId="0" borderId="0" xfId="0" applyNumberFormat="1"/>
    <xf numFmtId="164" fontId="0" fillId="2" borderId="0" xfId="0" applyNumberFormat="1" applyFill="1" applyAlignment="1">
      <alignment horizontal="center"/>
    </xf>
    <xf numFmtId="14" fontId="0" fillId="0" borderId="0" xfId="0" applyNumberFormat="1"/>
    <xf numFmtId="0" fontId="0" fillId="2" borderId="0" xfId="0" applyFill="1"/>
    <xf numFmtId="164" fontId="0" fillId="0" borderId="0" xfId="0" applyNumberFormat="1" applyAlignment="1">
      <alignment horizontal="center"/>
    </xf>
    <xf numFmtId="14" fontId="0" fillId="0" borderId="0" xfId="0" applyNumberFormat="1" applyFill="1"/>
    <xf numFmtId="14" fontId="0" fillId="3" borderId="0" xfId="0" applyNumberFormat="1" applyFill="1"/>
    <xf numFmtId="0" fontId="0" fillId="0" borderId="0" xfId="0" applyAlignment="1" applyProtection="1">
      <alignment horizontal="center"/>
    </xf>
    <xf numFmtId="0" fontId="2" fillId="0" borderId="0" xfId="0" applyFont="1" applyAlignment="1">
      <alignment horizontal="center"/>
    </xf>
    <xf numFmtId="0" fontId="0" fillId="4" borderId="0" xfId="0" applyFill="1" applyAlignment="1" applyProtection="1">
      <alignment horizontal="center"/>
    </xf>
    <xf numFmtId="0" fontId="0" fillId="0" borderId="0" xfId="0" applyFill="1" applyAlignment="1" applyProtection="1">
      <alignment horizontal="center"/>
    </xf>
    <xf numFmtId="0" fontId="0" fillId="0" borderId="0" xfId="0" applyAlignment="1" applyProtection="1"/>
    <xf numFmtId="164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164" fontId="0" fillId="0" borderId="0" xfId="0" applyNumberFormat="1"/>
    <xf numFmtId="0" fontId="0" fillId="4" borderId="0" xfId="0" applyFill="1" applyAlignment="1">
      <alignment horizontal="center"/>
    </xf>
    <xf numFmtId="0" fontId="0" fillId="0" borderId="0" xfId="0" applyFill="1" applyAlignment="1">
      <alignment horizontal="center"/>
    </xf>
    <xf numFmtId="9" fontId="0" fillId="0" borderId="0" xfId="0" applyNumberFormat="1" applyAlignment="1">
      <alignment horizontal="center"/>
    </xf>
    <xf numFmtId="0" fontId="0" fillId="5" borderId="0" xfId="0" applyFill="1" applyAlignment="1">
      <alignment horizontal="center"/>
    </xf>
    <xf numFmtId="0" fontId="0" fillId="0" borderId="0" xfId="0" applyAlignment="1"/>
    <xf numFmtId="165" fontId="0" fillId="5" borderId="0" xfId="0" applyNumberFormat="1" applyFill="1" applyAlignment="1">
      <alignment horizontal="center"/>
    </xf>
    <xf numFmtId="14" fontId="0" fillId="0" borderId="0" xfId="0" applyNumberFormat="1" applyAlignment="1">
      <alignment horizontal="center"/>
    </xf>
    <xf numFmtId="164" fontId="0" fillId="5" borderId="0" xfId="0" applyNumberFormat="1" applyFill="1" applyAlignment="1">
      <alignment horizontal="center"/>
    </xf>
    <xf numFmtId="9" fontId="0" fillId="5" borderId="0" xfId="1" applyFont="1" applyFill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4" borderId="0" xfId="0" applyFill="1"/>
    <xf numFmtId="166" fontId="0" fillId="0" borderId="0" xfId="0" applyNumberFormat="1" applyAlignment="1">
      <alignment horizontal="center"/>
    </xf>
    <xf numFmtId="0" fontId="0" fillId="6" borderId="0" xfId="0" applyFill="1" applyAlignment="1">
      <alignment horizontal="center"/>
    </xf>
    <xf numFmtId="0" fontId="0" fillId="7" borderId="0" xfId="0" applyFill="1" applyAlignment="1">
      <alignment horizontal="center"/>
    </xf>
    <xf numFmtId="0" fontId="0" fillId="8" borderId="0" xfId="0" applyFill="1" applyAlignment="1">
      <alignment horizontal="center"/>
    </xf>
    <xf numFmtId="0" fontId="0" fillId="0" borderId="0" xfId="0" applyAlignment="1">
      <alignment horizontal="center"/>
    </xf>
  </cellXfs>
  <cellStyles count="2">
    <cellStyle name="Normal" xfId="0" builtinId="0"/>
    <cellStyle name="Percent" xfId="1" builtinId="5"/>
  </cellStyles>
  <dxfs count="287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hartsheet" Target="chartsheets/sheet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'table (1)'!$A$5:$A$1000</c:f>
              <c:numCache>
                <c:formatCode>m/d/yyyy</c:formatCode>
                <c:ptCount val="996"/>
                <c:pt idx="0">
                  <c:v>44588</c:v>
                </c:pt>
                <c:pt idx="1">
                  <c:v>44587</c:v>
                </c:pt>
                <c:pt idx="2">
                  <c:v>44586</c:v>
                </c:pt>
                <c:pt idx="3">
                  <c:v>44585</c:v>
                </c:pt>
                <c:pt idx="4">
                  <c:v>44584</c:v>
                </c:pt>
                <c:pt idx="5">
                  <c:v>44583</c:v>
                </c:pt>
                <c:pt idx="6">
                  <c:v>44582</c:v>
                </c:pt>
                <c:pt idx="7">
                  <c:v>44581</c:v>
                </c:pt>
                <c:pt idx="8">
                  <c:v>44580</c:v>
                </c:pt>
                <c:pt idx="9">
                  <c:v>44579</c:v>
                </c:pt>
                <c:pt idx="10">
                  <c:v>44578</c:v>
                </c:pt>
                <c:pt idx="11">
                  <c:v>44577</c:v>
                </c:pt>
                <c:pt idx="12">
                  <c:v>44576</c:v>
                </c:pt>
                <c:pt idx="13">
                  <c:v>44575</c:v>
                </c:pt>
                <c:pt idx="14">
                  <c:v>44574</c:v>
                </c:pt>
                <c:pt idx="15">
                  <c:v>44573</c:v>
                </c:pt>
                <c:pt idx="16">
                  <c:v>44572</c:v>
                </c:pt>
                <c:pt idx="17">
                  <c:v>44571</c:v>
                </c:pt>
                <c:pt idx="18">
                  <c:v>44570</c:v>
                </c:pt>
                <c:pt idx="19">
                  <c:v>44569</c:v>
                </c:pt>
                <c:pt idx="20">
                  <c:v>44568</c:v>
                </c:pt>
                <c:pt idx="21">
                  <c:v>44567</c:v>
                </c:pt>
                <c:pt idx="22">
                  <c:v>44566</c:v>
                </c:pt>
                <c:pt idx="23">
                  <c:v>44565</c:v>
                </c:pt>
                <c:pt idx="24">
                  <c:v>44564</c:v>
                </c:pt>
                <c:pt idx="25">
                  <c:v>44563</c:v>
                </c:pt>
                <c:pt idx="26">
                  <c:v>44562</c:v>
                </c:pt>
                <c:pt idx="27">
                  <c:v>44561</c:v>
                </c:pt>
                <c:pt idx="28">
                  <c:v>44560</c:v>
                </c:pt>
                <c:pt idx="29">
                  <c:v>44559</c:v>
                </c:pt>
                <c:pt idx="30">
                  <c:v>44558</c:v>
                </c:pt>
                <c:pt idx="31">
                  <c:v>44557</c:v>
                </c:pt>
                <c:pt idx="32">
                  <c:v>44556</c:v>
                </c:pt>
                <c:pt idx="33">
                  <c:v>44555</c:v>
                </c:pt>
                <c:pt idx="34">
                  <c:v>44554</c:v>
                </c:pt>
                <c:pt idx="35">
                  <c:v>44553</c:v>
                </c:pt>
                <c:pt idx="36">
                  <c:v>44552</c:v>
                </c:pt>
                <c:pt idx="37">
                  <c:v>44551</c:v>
                </c:pt>
                <c:pt idx="38">
                  <c:v>44550</c:v>
                </c:pt>
                <c:pt idx="39">
                  <c:v>44549</c:v>
                </c:pt>
                <c:pt idx="40">
                  <c:v>44548</c:v>
                </c:pt>
                <c:pt idx="41">
                  <c:v>44547</c:v>
                </c:pt>
                <c:pt idx="42">
                  <c:v>44546</c:v>
                </c:pt>
                <c:pt idx="43">
                  <c:v>44545</c:v>
                </c:pt>
                <c:pt idx="44">
                  <c:v>44544</c:v>
                </c:pt>
                <c:pt idx="45">
                  <c:v>44543</c:v>
                </c:pt>
                <c:pt idx="46">
                  <c:v>44542</c:v>
                </c:pt>
                <c:pt idx="47">
                  <c:v>44541</c:v>
                </c:pt>
                <c:pt idx="48">
                  <c:v>44540</c:v>
                </c:pt>
                <c:pt idx="49">
                  <c:v>44539</c:v>
                </c:pt>
                <c:pt idx="50">
                  <c:v>44538</c:v>
                </c:pt>
                <c:pt idx="51">
                  <c:v>44537</c:v>
                </c:pt>
                <c:pt idx="52">
                  <c:v>44536</c:v>
                </c:pt>
                <c:pt idx="53">
                  <c:v>44535</c:v>
                </c:pt>
                <c:pt idx="54">
                  <c:v>44534</c:v>
                </c:pt>
                <c:pt idx="55">
                  <c:v>44533</c:v>
                </c:pt>
                <c:pt idx="56">
                  <c:v>44532</c:v>
                </c:pt>
                <c:pt idx="57">
                  <c:v>44531</c:v>
                </c:pt>
                <c:pt idx="58">
                  <c:v>44530</c:v>
                </c:pt>
                <c:pt idx="59">
                  <c:v>44529</c:v>
                </c:pt>
                <c:pt idx="60">
                  <c:v>44528</c:v>
                </c:pt>
                <c:pt idx="61">
                  <c:v>44527</c:v>
                </c:pt>
                <c:pt idx="62">
                  <c:v>44526</c:v>
                </c:pt>
                <c:pt idx="63">
                  <c:v>44525</c:v>
                </c:pt>
                <c:pt idx="64">
                  <c:v>44524</c:v>
                </c:pt>
                <c:pt idx="65">
                  <c:v>44523</c:v>
                </c:pt>
                <c:pt idx="66">
                  <c:v>44522</c:v>
                </c:pt>
                <c:pt idx="67">
                  <c:v>44521</c:v>
                </c:pt>
                <c:pt idx="68">
                  <c:v>44520</c:v>
                </c:pt>
                <c:pt idx="69">
                  <c:v>44519</c:v>
                </c:pt>
                <c:pt idx="70">
                  <c:v>44518</c:v>
                </c:pt>
                <c:pt idx="71">
                  <c:v>44517</c:v>
                </c:pt>
                <c:pt idx="72">
                  <c:v>44516</c:v>
                </c:pt>
                <c:pt idx="73">
                  <c:v>44515</c:v>
                </c:pt>
                <c:pt idx="74">
                  <c:v>44514</c:v>
                </c:pt>
                <c:pt idx="75">
                  <c:v>44513</c:v>
                </c:pt>
                <c:pt idx="76">
                  <c:v>44512</c:v>
                </c:pt>
                <c:pt idx="77">
                  <c:v>44511</c:v>
                </c:pt>
                <c:pt idx="78">
                  <c:v>44510</c:v>
                </c:pt>
                <c:pt idx="79">
                  <c:v>44509</c:v>
                </c:pt>
                <c:pt idx="80">
                  <c:v>44508</c:v>
                </c:pt>
                <c:pt idx="81">
                  <c:v>44507</c:v>
                </c:pt>
                <c:pt idx="82">
                  <c:v>44506</c:v>
                </c:pt>
                <c:pt idx="83">
                  <c:v>44505</c:v>
                </c:pt>
                <c:pt idx="84">
                  <c:v>44504</c:v>
                </c:pt>
                <c:pt idx="85">
                  <c:v>44503</c:v>
                </c:pt>
                <c:pt idx="86">
                  <c:v>44502</c:v>
                </c:pt>
                <c:pt idx="87">
                  <c:v>44501</c:v>
                </c:pt>
                <c:pt idx="88">
                  <c:v>44500</c:v>
                </c:pt>
                <c:pt idx="89">
                  <c:v>44499</c:v>
                </c:pt>
                <c:pt idx="90">
                  <c:v>44498</c:v>
                </c:pt>
                <c:pt idx="91">
                  <c:v>44497</c:v>
                </c:pt>
                <c:pt idx="92">
                  <c:v>44496</c:v>
                </c:pt>
                <c:pt idx="93">
                  <c:v>44495</c:v>
                </c:pt>
                <c:pt idx="94">
                  <c:v>44494</c:v>
                </c:pt>
                <c:pt idx="95">
                  <c:v>44493</c:v>
                </c:pt>
                <c:pt idx="96">
                  <c:v>44492</c:v>
                </c:pt>
                <c:pt idx="97">
                  <c:v>44491</c:v>
                </c:pt>
                <c:pt idx="98">
                  <c:v>44490</c:v>
                </c:pt>
                <c:pt idx="99">
                  <c:v>44489</c:v>
                </c:pt>
                <c:pt idx="100">
                  <c:v>44488</c:v>
                </c:pt>
                <c:pt idx="101">
                  <c:v>44487</c:v>
                </c:pt>
                <c:pt idx="102">
                  <c:v>44486</c:v>
                </c:pt>
                <c:pt idx="103">
                  <c:v>44485</c:v>
                </c:pt>
                <c:pt idx="104">
                  <c:v>44484</c:v>
                </c:pt>
                <c:pt idx="105">
                  <c:v>44483</c:v>
                </c:pt>
                <c:pt idx="106">
                  <c:v>44482</c:v>
                </c:pt>
                <c:pt idx="107">
                  <c:v>44481</c:v>
                </c:pt>
                <c:pt idx="108">
                  <c:v>44480</c:v>
                </c:pt>
                <c:pt idx="109">
                  <c:v>44479</c:v>
                </c:pt>
                <c:pt idx="110">
                  <c:v>44478</c:v>
                </c:pt>
                <c:pt idx="111">
                  <c:v>44477</c:v>
                </c:pt>
                <c:pt idx="112">
                  <c:v>44476</c:v>
                </c:pt>
                <c:pt idx="113">
                  <c:v>44475</c:v>
                </c:pt>
                <c:pt idx="114">
                  <c:v>44474</c:v>
                </c:pt>
                <c:pt idx="115">
                  <c:v>44473</c:v>
                </c:pt>
                <c:pt idx="116">
                  <c:v>44472</c:v>
                </c:pt>
                <c:pt idx="117">
                  <c:v>44471</c:v>
                </c:pt>
                <c:pt idx="118">
                  <c:v>44470</c:v>
                </c:pt>
                <c:pt idx="119">
                  <c:v>44469</c:v>
                </c:pt>
                <c:pt idx="120">
                  <c:v>44468</c:v>
                </c:pt>
                <c:pt idx="121">
                  <c:v>44467</c:v>
                </c:pt>
                <c:pt idx="122">
                  <c:v>44466</c:v>
                </c:pt>
                <c:pt idx="123">
                  <c:v>44465</c:v>
                </c:pt>
                <c:pt idx="124">
                  <c:v>44464</c:v>
                </c:pt>
                <c:pt idx="125">
                  <c:v>44463</c:v>
                </c:pt>
                <c:pt idx="126">
                  <c:v>44462</c:v>
                </c:pt>
                <c:pt idx="127">
                  <c:v>44461</c:v>
                </c:pt>
                <c:pt idx="128">
                  <c:v>44460</c:v>
                </c:pt>
                <c:pt idx="129">
                  <c:v>44459</c:v>
                </c:pt>
                <c:pt idx="130">
                  <c:v>44458</c:v>
                </c:pt>
                <c:pt idx="131">
                  <c:v>44457</c:v>
                </c:pt>
                <c:pt idx="132">
                  <c:v>44456</c:v>
                </c:pt>
                <c:pt idx="133">
                  <c:v>44455</c:v>
                </c:pt>
                <c:pt idx="134">
                  <c:v>44454</c:v>
                </c:pt>
                <c:pt idx="135">
                  <c:v>44453</c:v>
                </c:pt>
                <c:pt idx="136">
                  <c:v>44452</c:v>
                </c:pt>
                <c:pt idx="137">
                  <c:v>44451</c:v>
                </c:pt>
                <c:pt idx="138">
                  <c:v>44450</c:v>
                </c:pt>
                <c:pt idx="139">
                  <c:v>44449</c:v>
                </c:pt>
                <c:pt idx="140">
                  <c:v>44448</c:v>
                </c:pt>
                <c:pt idx="141">
                  <c:v>44447</c:v>
                </c:pt>
                <c:pt idx="142">
                  <c:v>44446</c:v>
                </c:pt>
                <c:pt idx="143">
                  <c:v>44445</c:v>
                </c:pt>
                <c:pt idx="144">
                  <c:v>44444</c:v>
                </c:pt>
                <c:pt idx="145">
                  <c:v>44443</c:v>
                </c:pt>
                <c:pt idx="146">
                  <c:v>44442</c:v>
                </c:pt>
                <c:pt idx="147">
                  <c:v>44441</c:v>
                </c:pt>
                <c:pt idx="148">
                  <c:v>44440</c:v>
                </c:pt>
                <c:pt idx="149">
                  <c:v>44439</c:v>
                </c:pt>
                <c:pt idx="150">
                  <c:v>44438</c:v>
                </c:pt>
                <c:pt idx="151">
                  <c:v>44437</c:v>
                </c:pt>
                <c:pt idx="152">
                  <c:v>44436</c:v>
                </c:pt>
                <c:pt idx="153">
                  <c:v>44435</c:v>
                </c:pt>
                <c:pt idx="154">
                  <c:v>44434</c:v>
                </c:pt>
                <c:pt idx="155">
                  <c:v>44433</c:v>
                </c:pt>
                <c:pt idx="156">
                  <c:v>44432</c:v>
                </c:pt>
                <c:pt idx="157">
                  <c:v>44431</c:v>
                </c:pt>
                <c:pt idx="158">
                  <c:v>44430</c:v>
                </c:pt>
                <c:pt idx="159">
                  <c:v>44429</c:v>
                </c:pt>
                <c:pt idx="160">
                  <c:v>44428</c:v>
                </c:pt>
                <c:pt idx="161">
                  <c:v>44427</c:v>
                </c:pt>
                <c:pt idx="162">
                  <c:v>44426</c:v>
                </c:pt>
                <c:pt idx="163">
                  <c:v>44425</c:v>
                </c:pt>
                <c:pt idx="164">
                  <c:v>44424</c:v>
                </c:pt>
                <c:pt idx="165">
                  <c:v>44423</c:v>
                </c:pt>
                <c:pt idx="166">
                  <c:v>44422</c:v>
                </c:pt>
                <c:pt idx="167">
                  <c:v>44421</c:v>
                </c:pt>
                <c:pt idx="168">
                  <c:v>44420</c:v>
                </c:pt>
                <c:pt idx="169">
                  <c:v>44419</c:v>
                </c:pt>
                <c:pt idx="170">
                  <c:v>44418</c:v>
                </c:pt>
                <c:pt idx="171">
                  <c:v>44417</c:v>
                </c:pt>
                <c:pt idx="172">
                  <c:v>44416</c:v>
                </c:pt>
                <c:pt idx="173">
                  <c:v>44415</c:v>
                </c:pt>
                <c:pt idx="174">
                  <c:v>44414</c:v>
                </c:pt>
                <c:pt idx="175">
                  <c:v>44413</c:v>
                </c:pt>
                <c:pt idx="176">
                  <c:v>44412</c:v>
                </c:pt>
                <c:pt idx="177">
                  <c:v>44411</c:v>
                </c:pt>
                <c:pt idx="178">
                  <c:v>44410</c:v>
                </c:pt>
                <c:pt idx="179">
                  <c:v>44409</c:v>
                </c:pt>
                <c:pt idx="180">
                  <c:v>44408</c:v>
                </c:pt>
                <c:pt idx="181">
                  <c:v>44407</c:v>
                </c:pt>
                <c:pt idx="182">
                  <c:v>44406</c:v>
                </c:pt>
                <c:pt idx="183">
                  <c:v>44405</c:v>
                </c:pt>
                <c:pt idx="184">
                  <c:v>44404</c:v>
                </c:pt>
                <c:pt idx="185">
                  <c:v>44403</c:v>
                </c:pt>
                <c:pt idx="186">
                  <c:v>44402</c:v>
                </c:pt>
                <c:pt idx="187">
                  <c:v>44401</c:v>
                </c:pt>
                <c:pt idx="188">
                  <c:v>44400</c:v>
                </c:pt>
                <c:pt idx="189">
                  <c:v>44399</c:v>
                </c:pt>
                <c:pt idx="190">
                  <c:v>44398</c:v>
                </c:pt>
                <c:pt idx="191">
                  <c:v>44397</c:v>
                </c:pt>
                <c:pt idx="192">
                  <c:v>44396</c:v>
                </c:pt>
                <c:pt idx="193">
                  <c:v>44395</c:v>
                </c:pt>
                <c:pt idx="194">
                  <c:v>44394</c:v>
                </c:pt>
                <c:pt idx="195">
                  <c:v>44393</c:v>
                </c:pt>
                <c:pt idx="196">
                  <c:v>44392</c:v>
                </c:pt>
                <c:pt idx="197">
                  <c:v>44391</c:v>
                </c:pt>
                <c:pt idx="198">
                  <c:v>44390</c:v>
                </c:pt>
                <c:pt idx="199">
                  <c:v>44389</c:v>
                </c:pt>
                <c:pt idx="200">
                  <c:v>44388</c:v>
                </c:pt>
                <c:pt idx="201">
                  <c:v>44387</c:v>
                </c:pt>
                <c:pt idx="202">
                  <c:v>44386</c:v>
                </c:pt>
                <c:pt idx="203">
                  <c:v>44385</c:v>
                </c:pt>
                <c:pt idx="204">
                  <c:v>44384</c:v>
                </c:pt>
                <c:pt idx="205">
                  <c:v>44383</c:v>
                </c:pt>
                <c:pt idx="206">
                  <c:v>44382</c:v>
                </c:pt>
                <c:pt idx="207">
                  <c:v>44381</c:v>
                </c:pt>
                <c:pt idx="208">
                  <c:v>44380</c:v>
                </c:pt>
                <c:pt idx="209">
                  <c:v>44379</c:v>
                </c:pt>
                <c:pt idx="210">
                  <c:v>44378</c:v>
                </c:pt>
                <c:pt idx="211">
                  <c:v>44377</c:v>
                </c:pt>
                <c:pt idx="212">
                  <c:v>44376</c:v>
                </c:pt>
                <c:pt idx="213">
                  <c:v>44375</c:v>
                </c:pt>
                <c:pt idx="214">
                  <c:v>44374</c:v>
                </c:pt>
                <c:pt idx="215">
                  <c:v>44373</c:v>
                </c:pt>
                <c:pt idx="216">
                  <c:v>44372</c:v>
                </c:pt>
                <c:pt idx="217">
                  <c:v>44371</c:v>
                </c:pt>
                <c:pt idx="218">
                  <c:v>44370</c:v>
                </c:pt>
                <c:pt idx="219">
                  <c:v>44369</c:v>
                </c:pt>
                <c:pt idx="220">
                  <c:v>44368</c:v>
                </c:pt>
                <c:pt idx="221">
                  <c:v>44367</c:v>
                </c:pt>
                <c:pt idx="222">
                  <c:v>44366</c:v>
                </c:pt>
                <c:pt idx="223">
                  <c:v>44365</c:v>
                </c:pt>
                <c:pt idx="224">
                  <c:v>44364</c:v>
                </c:pt>
              </c:numCache>
            </c:numRef>
          </c:cat>
          <c:val>
            <c:numRef>
              <c:f>'table (1)'!$E$5:$E$1000</c:f>
              <c:numCache>
                <c:formatCode>General</c:formatCode>
                <c:ptCount val="996"/>
                <c:pt idx="0">
                  <c:v>0.39650000000000002</c:v>
                </c:pt>
                <c:pt idx="1">
                  <c:v>0.40799999999999997</c:v>
                </c:pt>
                <c:pt idx="2">
                  <c:v>0.40129999999999999</c:v>
                </c:pt>
                <c:pt idx="3">
                  <c:v>0.3962</c:v>
                </c:pt>
                <c:pt idx="4">
                  <c:v>0.43130000000000002</c:v>
                </c:pt>
                <c:pt idx="5">
                  <c:v>0.40910000000000002</c:v>
                </c:pt>
                <c:pt idx="6">
                  <c:v>0.4607</c:v>
                </c:pt>
                <c:pt idx="7">
                  <c:v>0.56879999999999997</c:v>
                </c:pt>
                <c:pt idx="8">
                  <c:v>0.59019999999999995</c:v>
                </c:pt>
                <c:pt idx="9">
                  <c:v>0.61650000000000005</c:v>
                </c:pt>
                <c:pt idx="10">
                  <c:v>0.6169</c:v>
                </c:pt>
                <c:pt idx="11">
                  <c:v>0.65369999999999995</c:v>
                </c:pt>
                <c:pt idx="12">
                  <c:v>0.65049999999999997</c:v>
                </c:pt>
                <c:pt idx="13">
                  <c:v>0.64400000000000002</c:v>
                </c:pt>
                <c:pt idx="14">
                  <c:v>0.62860000000000005</c:v>
                </c:pt>
                <c:pt idx="15">
                  <c:v>0.66659999999999997</c:v>
                </c:pt>
                <c:pt idx="16">
                  <c:v>0.6169</c:v>
                </c:pt>
                <c:pt idx="17">
                  <c:v>0.58779999999999999</c:v>
                </c:pt>
                <c:pt idx="18">
                  <c:v>0.61970000000000003</c:v>
                </c:pt>
                <c:pt idx="19">
                  <c:v>0.61250000000000004</c:v>
                </c:pt>
                <c:pt idx="20">
                  <c:v>0.64680000000000004</c:v>
                </c:pt>
                <c:pt idx="21">
                  <c:v>0.7198</c:v>
                </c:pt>
                <c:pt idx="22">
                  <c:v>0.77249999999999996</c:v>
                </c:pt>
                <c:pt idx="23">
                  <c:v>0.83930000000000005</c:v>
                </c:pt>
                <c:pt idx="24">
                  <c:v>0.82579999999999998</c:v>
                </c:pt>
                <c:pt idx="25">
                  <c:v>0.74770000000000003</c:v>
                </c:pt>
                <c:pt idx="26">
                  <c:v>0.74680000000000002</c:v>
                </c:pt>
                <c:pt idx="27">
                  <c:v>0.7329</c:v>
                </c:pt>
                <c:pt idx="28">
                  <c:v>0.65210000000000001</c:v>
                </c:pt>
                <c:pt idx="29">
                  <c:v>0.61850000000000005</c:v>
                </c:pt>
                <c:pt idx="30">
                  <c:v>0.63839999999999997</c:v>
                </c:pt>
                <c:pt idx="31">
                  <c:v>0.70709999999999995</c:v>
                </c:pt>
                <c:pt idx="32">
                  <c:v>0.71450000000000002</c:v>
                </c:pt>
                <c:pt idx="33">
                  <c:v>0.70069999999999999</c:v>
                </c:pt>
                <c:pt idx="34">
                  <c:v>0.67469999999999997</c:v>
                </c:pt>
                <c:pt idx="35">
                  <c:v>0.69289999999999996</c:v>
                </c:pt>
                <c:pt idx="36">
                  <c:v>0.65490000000000004</c:v>
                </c:pt>
                <c:pt idx="37">
                  <c:v>0.62270000000000003</c:v>
                </c:pt>
                <c:pt idx="38">
                  <c:v>0.59040000000000004</c:v>
                </c:pt>
                <c:pt idx="39">
                  <c:v>0.60099999999999998</c:v>
                </c:pt>
                <c:pt idx="40">
                  <c:v>0.60360000000000003</c:v>
                </c:pt>
                <c:pt idx="41">
                  <c:v>0.5917</c:v>
                </c:pt>
                <c:pt idx="42">
                  <c:v>0.61699999999999999</c:v>
                </c:pt>
                <c:pt idx="43">
                  <c:v>0.63829999999999998</c:v>
                </c:pt>
                <c:pt idx="44">
                  <c:v>0.61639999999999995</c:v>
                </c:pt>
                <c:pt idx="45">
                  <c:v>0.59179999999999999</c:v>
                </c:pt>
                <c:pt idx="46">
                  <c:v>0.66930000000000001</c:v>
                </c:pt>
                <c:pt idx="47">
                  <c:v>0.61539999999999995</c:v>
                </c:pt>
                <c:pt idx="48">
                  <c:v>0.61229999999999996</c:v>
                </c:pt>
                <c:pt idx="49">
                  <c:v>0.64880000000000004</c:v>
                </c:pt>
                <c:pt idx="50">
                  <c:v>0.72709999999999997</c:v>
                </c:pt>
                <c:pt idx="51">
                  <c:v>0.70509999999999995</c:v>
                </c:pt>
                <c:pt idx="52">
                  <c:v>0.69299999999999995</c:v>
                </c:pt>
                <c:pt idx="53">
                  <c:v>0.69869999999999999</c:v>
                </c:pt>
                <c:pt idx="54">
                  <c:v>0.73629999999999995</c:v>
                </c:pt>
                <c:pt idx="55">
                  <c:v>0.80330000000000001</c:v>
                </c:pt>
                <c:pt idx="56">
                  <c:v>0.84140000000000004</c:v>
                </c:pt>
                <c:pt idx="57">
                  <c:v>0.81659999999999999</c:v>
                </c:pt>
                <c:pt idx="58">
                  <c:v>0.81930000000000003</c:v>
                </c:pt>
                <c:pt idx="59">
                  <c:v>0.84599999999999997</c:v>
                </c:pt>
                <c:pt idx="60">
                  <c:v>0.81810000000000005</c:v>
                </c:pt>
                <c:pt idx="61">
                  <c:v>0.84</c:v>
                </c:pt>
                <c:pt idx="62">
                  <c:v>0.72960000000000003</c:v>
                </c:pt>
                <c:pt idx="63">
                  <c:v>0.79039999999999999</c:v>
                </c:pt>
                <c:pt idx="64">
                  <c:v>0.72709999999999997</c:v>
                </c:pt>
                <c:pt idx="65">
                  <c:v>0.74460000000000004</c:v>
                </c:pt>
                <c:pt idx="66">
                  <c:v>0.72440000000000004</c:v>
                </c:pt>
                <c:pt idx="67">
                  <c:v>0.71450000000000002</c:v>
                </c:pt>
                <c:pt idx="68">
                  <c:v>0.74009999999999998</c:v>
                </c:pt>
                <c:pt idx="69">
                  <c:v>0.71260000000000001</c:v>
                </c:pt>
                <c:pt idx="70">
                  <c:v>0.64400000000000002</c:v>
                </c:pt>
                <c:pt idx="71">
                  <c:v>0.71699999999999997</c:v>
                </c:pt>
                <c:pt idx="72">
                  <c:v>0.73160000000000003</c:v>
                </c:pt>
                <c:pt idx="73">
                  <c:v>0.81230000000000002</c:v>
                </c:pt>
                <c:pt idx="74">
                  <c:v>0.86829999999999996</c:v>
                </c:pt>
                <c:pt idx="75">
                  <c:v>1.014</c:v>
                </c:pt>
                <c:pt idx="76">
                  <c:v>0.65300000000000002</c:v>
                </c:pt>
                <c:pt idx="77">
                  <c:v>0.67720000000000002</c:v>
                </c:pt>
                <c:pt idx="78">
                  <c:v>0.65169999999999995</c:v>
                </c:pt>
                <c:pt idx="79">
                  <c:v>0.70440000000000003</c:v>
                </c:pt>
                <c:pt idx="80">
                  <c:v>0.72650000000000003</c:v>
                </c:pt>
                <c:pt idx="81">
                  <c:v>0.73119999999999996</c:v>
                </c:pt>
                <c:pt idx="82">
                  <c:v>0.72609999999999997</c:v>
                </c:pt>
                <c:pt idx="83">
                  <c:v>0.71099999999999997</c:v>
                </c:pt>
                <c:pt idx="84">
                  <c:v>0.73599999999999999</c:v>
                </c:pt>
                <c:pt idx="85">
                  <c:v>0.68840000000000001</c:v>
                </c:pt>
                <c:pt idx="86">
                  <c:v>0.72189999999999999</c:v>
                </c:pt>
                <c:pt idx="87">
                  <c:v>0.67569999999999997</c:v>
                </c:pt>
                <c:pt idx="88">
                  <c:v>0.65190000000000003</c:v>
                </c:pt>
                <c:pt idx="89">
                  <c:v>0.65159999999999996</c:v>
                </c:pt>
                <c:pt idx="90">
                  <c:v>0.66890000000000005</c:v>
                </c:pt>
                <c:pt idx="91">
                  <c:v>0.64229999999999998</c:v>
                </c:pt>
                <c:pt idx="92">
                  <c:v>0.63360000000000005</c:v>
                </c:pt>
                <c:pt idx="93">
                  <c:v>0.73499999999999999</c:v>
                </c:pt>
                <c:pt idx="94">
                  <c:v>0.80410000000000004</c:v>
                </c:pt>
                <c:pt idx="95">
                  <c:v>0.70009999999999994</c:v>
                </c:pt>
                <c:pt idx="96">
                  <c:v>0.72870000000000001</c:v>
                </c:pt>
                <c:pt idx="97">
                  <c:v>0.74019999999999997</c:v>
                </c:pt>
                <c:pt idx="98">
                  <c:v>0.72919999999999996</c:v>
                </c:pt>
                <c:pt idx="99">
                  <c:v>0.77170000000000005</c:v>
                </c:pt>
                <c:pt idx="100">
                  <c:v>0.77780000000000005</c:v>
                </c:pt>
                <c:pt idx="101">
                  <c:v>0.8286</c:v>
                </c:pt>
                <c:pt idx="102">
                  <c:v>0.90959999999999996</c:v>
                </c:pt>
                <c:pt idx="103">
                  <c:v>0.9365</c:v>
                </c:pt>
                <c:pt idx="104">
                  <c:v>0.72070000000000001</c:v>
                </c:pt>
                <c:pt idx="105">
                  <c:v>0.41420000000000001</c:v>
                </c:pt>
                <c:pt idx="106">
                  <c:v>0.41760000000000003</c:v>
                </c:pt>
                <c:pt idx="107">
                  <c:v>0.40400000000000003</c:v>
                </c:pt>
                <c:pt idx="108">
                  <c:v>0.41639999999999999</c:v>
                </c:pt>
                <c:pt idx="109">
                  <c:v>0.42059999999999997</c:v>
                </c:pt>
                <c:pt idx="110">
                  <c:v>0.42949999999999999</c:v>
                </c:pt>
                <c:pt idx="111">
                  <c:v>0.42449999999999999</c:v>
                </c:pt>
                <c:pt idx="112">
                  <c:v>0.41930000000000001</c:v>
                </c:pt>
                <c:pt idx="113">
                  <c:v>0.4259</c:v>
                </c:pt>
                <c:pt idx="114">
                  <c:v>0.4078</c:v>
                </c:pt>
                <c:pt idx="115">
                  <c:v>0.39429999999999998</c:v>
                </c:pt>
                <c:pt idx="116">
                  <c:v>0.41210000000000002</c:v>
                </c:pt>
                <c:pt idx="117">
                  <c:v>0.40789999999999998</c:v>
                </c:pt>
                <c:pt idx="118">
                  <c:v>0.40129999999999999</c:v>
                </c:pt>
                <c:pt idx="119">
                  <c:v>0.36170000000000002</c:v>
                </c:pt>
                <c:pt idx="120">
                  <c:v>0.34410000000000002</c:v>
                </c:pt>
                <c:pt idx="121">
                  <c:v>0.33650000000000002</c:v>
                </c:pt>
                <c:pt idx="122">
                  <c:v>0.34599999999999997</c:v>
                </c:pt>
                <c:pt idx="123">
                  <c:v>0.35830000000000001</c:v>
                </c:pt>
                <c:pt idx="124">
                  <c:v>0.39429999999999998</c:v>
                </c:pt>
                <c:pt idx="125">
                  <c:v>0.35549999999999998</c:v>
                </c:pt>
                <c:pt idx="126">
                  <c:v>0.39300000000000002</c:v>
                </c:pt>
                <c:pt idx="127">
                  <c:v>0.39019999999999999</c:v>
                </c:pt>
                <c:pt idx="128">
                  <c:v>0.34300000000000003</c:v>
                </c:pt>
                <c:pt idx="129">
                  <c:v>0.41</c:v>
                </c:pt>
                <c:pt idx="130">
                  <c:v>0.44719999999999999</c:v>
                </c:pt>
                <c:pt idx="131">
                  <c:v>0.47770000000000001</c:v>
                </c:pt>
                <c:pt idx="132">
                  <c:v>0.46760000000000002</c:v>
                </c:pt>
                <c:pt idx="133">
                  <c:v>0.49880000000000002</c:v>
                </c:pt>
                <c:pt idx="134">
                  <c:v>0.48349999999999999</c:v>
                </c:pt>
                <c:pt idx="135">
                  <c:v>0.43209999999999998</c:v>
                </c:pt>
                <c:pt idx="136">
                  <c:v>0.41570000000000001</c:v>
                </c:pt>
                <c:pt idx="137">
                  <c:v>0.43530000000000002</c:v>
                </c:pt>
                <c:pt idx="138">
                  <c:v>0.40720000000000001</c:v>
                </c:pt>
                <c:pt idx="139">
                  <c:v>0.41</c:v>
                </c:pt>
                <c:pt idx="140">
                  <c:v>0.45240000000000002</c:v>
                </c:pt>
                <c:pt idx="141">
                  <c:v>0.44600000000000001</c:v>
                </c:pt>
                <c:pt idx="142">
                  <c:v>0.47160000000000002</c:v>
                </c:pt>
                <c:pt idx="143">
                  <c:v>0.62070000000000003</c:v>
                </c:pt>
                <c:pt idx="144">
                  <c:v>0.48110000000000003</c:v>
                </c:pt>
                <c:pt idx="145">
                  <c:v>0.47349999999999998</c:v>
                </c:pt>
                <c:pt idx="146">
                  <c:v>0.44900000000000001</c:v>
                </c:pt>
                <c:pt idx="147">
                  <c:v>0.43719999999999998</c:v>
                </c:pt>
                <c:pt idx="148">
                  <c:v>0.4471</c:v>
                </c:pt>
                <c:pt idx="149">
                  <c:v>0.45329999999999998</c:v>
                </c:pt>
                <c:pt idx="150">
                  <c:v>0.39739999999999998</c:v>
                </c:pt>
                <c:pt idx="151">
                  <c:v>0.40510000000000002</c:v>
                </c:pt>
                <c:pt idx="152">
                  <c:v>0.41470000000000001</c:v>
                </c:pt>
                <c:pt idx="153">
                  <c:v>0.42120000000000002</c:v>
                </c:pt>
                <c:pt idx="154">
                  <c:v>0.39040000000000002</c:v>
                </c:pt>
                <c:pt idx="155">
                  <c:v>0.41880000000000001</c:v>
                </c:pt>
                <c:pt idx="156">
                  <c:v>0.40350000000000003</c:v>
                </c:pt>
                <c:pt idx="157">
                  <c:v>0.42309999999999998</c:v>
                </c:pt>
                <c:pt idx="158">
                  <c:v>0.42170000000000002</c:v>
                </c:pt>
                <c:pt idx="159">
                  <c:v>0.43340000000000001</c:v>
                </c:pt>
                <c:pt idx="160">
                  <c:v>0.38990000000000002</c:v>
                </c:pt>
                <c:pt idx="161">
                  <c:v>0.3765</c:v>
                </c:pt>
                <c:pt idx="162">
                  <c:v>0.3523</c:v>
                </c:pt>
                <c:pt idx="163">
                  <c:v>0.3543</c:v>
                </c:pt>
                <c:pt idx="164">
                  <c:v>0.37580000000000002</c:v>
                </c:pt>
                <c:pt idx="165">
                  <c:v>0.39229999999999998</c:v>
                </c:pt>
                <c:pt idx="166">
                  <c:v>0.39150000000000001</c:v>
                </c:pt>
                <c:pt idx="167">
                  <c:v>0.39739999999999998</c:v>
                </c:pt>
                <c:pt idx="168">
                  <c:v>0.34150000000000003</c:v>
                </c:pt>
                <c:pt idx="169">
                  <c:v>0.34139999999999998</c:v>
                </c:pt>
                <c:pt idx="170">
                  <c:v>0.33260000000000001</c:v>
                </c:pt>
                <c:pt idx="171">
                  <c:v>0.33129999999999998</c:v>
                </c:pt>
                <c:pt idx="172">
                  <c:v>0.29430000000000001</c:v>
                </c:pt>
                <c:pt idx="173">
                  <c:v>0.31940000000000002</c:v>
                </c:pt>
                <c:pt idx="174">
                  <c:v>0.31430000000000002</c:v>
                </c:pt>
                <c:pt idx="175">
                  <c:v>0.31180000000000002</c:v>
                </c:pt>
                <c:pt idx="176">
                  <c:v>0.2918</c:v>
                </c:pt>
                <c:pt idx="177">
                  <c:v>0.27860000000000001</c:v>
                </c:pt>
                <c:pt idx="178">
                  <c:v>0.28000000000000003</c:v>
                </c:pt>
                <c:pt idx="179">
                  <c:v>0.27339999999999998</c:v>
                </c:pt>
                <c:pt idx="180">
                  <c:v>0.29480000000000001</c:v>
                </c:pt>
                <c:pt idx="181">
                  <c:v>0.27660000000000001</c:v>
                </c:pt>
                <c:pt idx="182">
                  <c:v>0.26140000000000002</c:v>
                </c:pt>
                <c:pt idx="183">
                  <c:v>0.247</c:v>
                </c:pt>
                <c:pt idx="184">
                  <c:v>0.25240000000000001</c:v>
                </c:pt>
                <c:pt idx="185">
                  <c:v>0.24490000000000001</c:v>
                </c:pt>
                <c:pt idx="186">
                  <c:v>0.253</c:v>
                </c:pt>
                <c:pt idx="187">
                  <c:v>0.24890000000000001</c:v>
                </c:pt>
                <c:pt idx="188">
                  <c:v>0.24610000000000001</c:v>
                </c:pt>
                <c:pt idx="189">
                  <c:v>0.24779999999999999</c:v>
                </c:pt>
                <c:pt idx="190">
                  <c:v>0.23899999999999999</c:v>
                </c:pt>
                <c:pt idx="191">
                  <c:v>0.2223</c:v>
                </c:pt>
                <c:pt idx="192">
                  <c:v>0.2477</c:v>
                </c:pt>
                <c:pt idx="193">
                  <c:v>0.26090000000000002</c:v>
                </c:pt>
                <c:pt idx="194">
                  <c:v>0.26169999999999999</c:v>
                </c:pt>
                <c:pt idx="195">
                  <c:v>0.26769999999999999</c:v>
                </c:pt>
                <c:pt idx="196">
                  <c:v>0.28029999999999999</c:v>
                </c:pt>
                <c:pt idx="197">
                  <c:v>0.29680000000000001</c:v>
                </c:pt>
                <c:pt idx="198">
                  <c:v>0.2883</c:v>
                </c:pt>
                <c:pt idx="199">
                  <c:v>0.29049999999999998</c:v>
                </c:pt>
                <c:pt idx="200">
                  <c:v>0.30969999999999998</c:v>
                </c:pt>
                <c:pt idx="201">
                  <c:v>0.28000000000000003</c:v>
                </c:pt>
                <c:pt idx="202">
                  <c:v>0.28089999999999998</c:v>
                </c:pt>
                <c:pt idx="203">
                  <c:v>0.28289999999999998</c:v>
                </c:pt>
                <c:pt idx="204">
                  <c:v>0.3165</c:v>
                </c:pt>
                <c:pt idx="205">
                  <c:v>0.32550000000000001</c:v>
                </c:pt>
                <c:pt idx="206">
                  <c:v>0.25840000000000002</c:v>
                </c:pt>
                <c:pt idx="207">
                  <c:v>0.27010000000000001</c:v>
                </c:pt>
                <c:pt idx="208">
                  <c:v>0.26350000000000001</c:v>
                </c:pt>
                <c:pt idx="209">
                  <c:v>0.26100000000000001</c:v>
                </c:pt>
                <c:pt idx="210">
                  <c:v>0.25209999999999999</c:v>
                </c:pt>
                <c:pt idx="211">
                  <c:v>0.27100000000000002</c:v>
                </c:pt>
                <c:pt idx="212">
                  <c:v>0.2858</c:v>
                </c:pt>
                <c:pt idx="213">
                  <c:v>0.2843</c:v>
                </c:pt>
                <c:pt idx="214">
                  <c:v>0.2974</c:v>
                </c:pt>
                <c:pt idx="215">
                  <c:v>0.24579999999999999</c:v>
                </c:pt>
                <c:pt idx="216">
                  <c:v>0.24279999999999999</c:v>
                </c:pt>
                <c:pt idx="217">
                  <c:v>0.27039999999999997</c:v>
                </c:pt>
                <c:pt idx="218">
                  <c:v>0.27150000000000002</c:v>
                </c:pt>
                <c:pt idx="219">
                  <c:v>0.2525</c:v>
                </c:pt>
                <c:pt idx="220">
                  <c:v>0.30149999999999999</c:v>
                </c:pt>
                <c:pt idx="221">
                  <c:v>0.41549999999999998</c:v>
                </c:pt>
                <c:pt idx="222">
                  <c:v>0.4556</c:v>
                </c:pt>
                <c:pt idx="223">
                  <c:v>0.52390000000000003</c:v>
                </c:pt>
                <c:pt idx="224">
                  <c:v>0.627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254-4012-B341-4304D7452273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'table (1)'!$A$5:$A$1000</c:f>
              <c:numCache>
                <c:formatCode>m/d/yyyy</c:formatCode>
                <c:ptCount val="996"/>
                <c:pt idx="0">
                  <c:v>44588</c:v>
                </c:pt>
                <c:pt idx="1">
                  <c:v>44587</c:v>
                </c:pt>
                <c:pt idx="2">
                  <c:v>44586</c:v>
                </c:pt>
                <c:pt idx="3">
                  <c:v>44585</c:v>
                </c:pt>
                <c:pt idx="4">
                  <c:v>44584</c:v>
                </c:pt>
                <c:pt idx="5">
                  <c:v>44583</c:v>
                </c:pt>
                <c:pt idx="6">
                  <c:v>44582</c:v>
                </c:pt>
                <c:pt idx="7">
                  <c:v>44581</c:v>
                </c:pt>
                <c:pt idx="8">
                  <c:v>44580</c:v>
                </c:pt>
                <c:pt idx="9">
                  <c:v>44579</c:v>
                </c:pt>
                <c:pt idx="10">
                  <c:v>44578</c:v>
                </c:pt>
                <c:pt idx="11">
                  <c:v>44577</c:v>
                </c:pt>
                <c:pt idx="12">
                  <c:v>44576</c:v>
                </c:pt>
                <c:pt idx="13">
                  <c:v>44575</c:v>
                </c:pt>
                <c:pt idx="14">
                  <c:v>44574</c:v>
                </c:pt>
                <c:pt idx="15">
                  <c:v>44573</c:v>
                </c:pt>
                <c:pt idx="16">
                  <c:v>44572</c:v>
                </c:pt>
                <c:pt idx="17">
                  <c:v>44571</c:v>
                </c:pt>
                <c:pt idx="18">
                  <c:v>44570</c:v>
                </c:pt>
                <c:pt idx="19">
                  <c:v>44569</c:v>
                </c:pt>
                <c:pt idx="20">
                  <c:v>44568</c:v>
                </c:pt>
                <c:pt idx="21">
                  <c:v>44567</c:v>
                </c:pt>
                <c:pt idx="22">
                  <c:v>44566</c:v>
                </c:pt>
                <c:pt idx="23">
                  <c:v>44565</c:v>
                </c:pt>
                <c:pt idx="24">
                  <c:v>44564</c:v>
                </c:pt>
                <c:pt idx="25">
                  <c:v>44563</c:v>
                </c:pt>
                <c:pt idx="26">
                  <c:v>44562</c:v>
                </c:pt>
                <c:pt idx="27">
                  <c:v>44561</c:v>
                </c:pt>
                <c:pt idx="28">
                  <c:v>44560</c:v>
                </c:pt>
                <c:pt idx="29">
                  <c:v>44559</c:v>
                </c:pt>
                <c:pt idx="30">
                  <c:v>44558</c:v>
                </c:pt>
                <c:pt idx="31">
                  <c:v>44557</c:v>
                </c:pt>
                <c:pt idx="32">
                  <c:v>44556</c:v>
                </c:pt>
                <c:pt idx="33">
                  <c:v>44555</c:v>
                </c:pt>
                <c:pt idx="34">
                  <c:v>44554</c:v>
                </c:pt>
                <c:pt idx="35">
                  <c:v>44553</c:v>
                </c:pt>
                <c:pt idx="36">
                  <c:v>44552</c:v>
                </c:pt>
                <c:pt idx="37">
                  <c:v>44551</c:v>
                </c:pt>
                <c:pt idx="38">
                  <c:v>44550</c:v>
                </c:pt>
                <c:pt idx="39">
                  <c:v>44549</c:v>
                </c:pt>
                <c:pt idx="40">
                  <c:v>44548</c:v>
                </c:pt>
                <c:pt idx="41">
                  <c:v>44547</c:v>
                </c:pt>
                <c:pt idx="42">
                  <c:v>44546</c:v>
                </c:pt>
                <c:pt idx="43">
                  <c:v>44545</c:v>
                </c:pt>
                <c:pt idx="44">
                  <c:v>44544</c:v>
                </c:pt>
                <c:pt idx="45">
                  <c:v>44543</c:v>
                </c:pt>
                <c:pt idx="46">
                  <c:v>44542</c:v>
                </c:pt>
                <c:pt idx="47">
                  <c:v>44541</c:v>
                </c:pt>
                <c:pt idx="48">
                  <c:v>44540</c:v>
                </c:pt>
                <c:pt idx="49">
                  <c:v>44539</c:v>
                </c:pt>
                <c:pt idx="50">
                  <c:v>44538</c:v>
                </c:pt>
                <c:pt idx="51">
                  <c:v>44537</c:v>
                </c:pt>
                <c:pt idx="52">
                  <c:v>44536</c:v>
                </c:pt>
                <c:pt idx="53">
                  <c:v>44535</c:v>
                </c:pt>
                <c:pt idx="54">
                  <c:v>44534</c:v>
                </c:pt>
                <c:pt idx="55">
                  <c:v>44533</c:v>
                </c:pt>
                <c:pt idx="56">
                  <c:v>44532</c:v>
                </c:pt>
                <c:pt idx="57">
                  <c:v>44531</c:v>
                </c:pt>
                <c:pt idx="58">
                  <c:v>44530</c:v>
                </c:pt>
                <c:pt idx="59">
                  <c:v>44529</c:v>
                </c:pt>
                <c:pt idx="60">
                  <c:v>44528</c:v>
                </c:pt>
                <c:pt idx="61">
                  <c:v>44527</c:v>
                </c:pt>
                <c:pt idx="62">
                  <c:v>44526</c:v>
                </c:pt>
                <c:pt idx="63">
                  <c:v>44525</c:v>
                </c:pt>
                <c:pt idx="64">
                  <c:v>44524</c:v>
                </c:pt>
                <c:pt idx="65">
                  <c:v>44523</c:v>
                </c:pt>
                <c:pt idx="66">
                  <c:v>44522</c:v>
                </c:pt>
                <c:pt idx="67">
                  <c:v>44521</c:v>
                </c:pt>
                <c:pt idx="68">
                  <c:v>44520</c:v>
                </c:pt>
                <c:pt idx="69">
                  <c:v>44519</c:v>
                </c:pt>
                <c:pt idx="70">
                  <c:v>44518</c:v>
                </c:pt>
                <c:pt idx="71">
                  <c:v>44517</c:v>
                </c:pt>
                <c:pt idx="72">
                  <c:v>44516</c:v>
                </c:pt>
                <c:pt idx="73">
                  <c:v>44515</c:v>
                </c:pt>
                <c:pt idx="74">
                  <c:v>44514</c:v>
                </c:pt>
                <c:pt idx="75">
                  <c:v>44513</c:v>
                </c:pt>
                <c:pt idx="76">
                  <c:v>44512</c:v>
                </c:pt>
                <c:pt idx="77">
                  <c:v>44511</c:v>
                </c:pt>
                <c:pt idx="78">
                  <c:v>44510</c:v>
                </c:pt>
                <c:pt idx="79">
                  <c:v>44509</c:v>
                </c:pt>
                <c:pt idx="80">
                  <c:v>44508</c:v>
                </c:pt>
                <c:pt idx="81">
                  <c:v>44507</c:v>
                </c:pt>
                <c:pt idx="82">
                  <c:v>44506</c:v>
                </c:pt>
                <c:pt idx="83">
                  <c:v>44505</c:v>
                </c:pt>
                <c:pt idx="84">
                  <c:v>44504</c:v>
                </c:pt>
                <c:pt idx="85">
                  <c:v>44503</c:v>
                </c:pt>
                <c:pt idx="86">
                  <c:v>44502</c:v>
                </c:pt>
                <c:pt idx="87">
                  <c:v>44501</c:v>
                </c:pt>
                <c:pt idx="88">
                  <c:v>44500</c:v>
                </c:pt>
                <c:pt idx="89">
                  <c:v>44499</c:v>
                </c:pt>
                <c:pt idx="90">
                  <c:v>44498</c:v>
                </c:pt>
                <c:pt idx="91">
                  <c:v>44497</c:v>
                </c:pt>
                <c:pt idx="92">
                  <c:v>44496</c:v>
                </c:pt>
                <c:pt idx="93">
                  <c:v>44495</c:v>
                </c:pt>
                <c:pt idx="94">
                  <c:v>44494</c:v>
                </c:pt>
                <c:pt idx="95">
                  <c:v>44493</c:v>
                </c:pt>
                <c:pt idx="96">
                  <c:v>44492</c:v>
                </c:pt>
                <c:pt idx="97">
                  <c:v>44491</c:v>
                </c:pt>
                <c:pt idx="98">
                  <c:v>44490</c:v>
                </c:pt>
                <c:pt idx="99">
                  <c:v>44489</c:v>
                </c:pt>
                <c:pt idx="100">
                  <c:v>44488</c:v>
                </c:pt>
                <c:pt idx="101">
                  <c:v>44487</c:v>
                </c:pt>
                <c:pt idx="102">
                  <c:v>44486</c:v>
                </c:pt>
                <c:pt idx="103">
                  <c:v>44485</c:v>
                </c:pt>
                <c:pt idx="104">
                  <c:v>44484</c:v>
                </c:pt>
                <c:pt idx="105">
                  <c:v>44483</c:v>
                </c:pt>
                <c:pt idx="106">
                  <c:v>44482</c:v>
                </c:pt>
                <c:pt idx="107">
                  <c:v>44481</c:v>
                </c:pt>
                <c:pt idx="108">
                  <c:v>44480</c:v>
                </c:pt>
                <c:pt idx="109">
                  <c:v>44479</c:v>
                </c:pt>
                <c:pt idx="110">
                  <c:v>44478</c:v>
                </c:pt>
                <c:pt idx="111">
                  <c:v>44477</c:v>
                </c:pt>
                <c:pt idx="112">
                  <c:v>44476</c:v>
                </c:pt>
                <c:pt idx="113">
                  <c:v>44475</c:v>
                </c:pt>
                <c:pt idx="114">
                  <c:v>44474</c:v>
                </c:pt>
                <c:pt idx="115">
                  <c:v>44473</c:v>
                </c:pt>
                <c:pt idx="116">
                  <c:v>44472</c:v>
                </c:pt>
                <c:pt idx="117">
                  <c:v>44471</c:v>
                </c:pt>
                <c:pt idx="118">
                  <c:v>44470</c:v>
                </c:pt>
                <c:pt idx="119">
                  <c:v>44469</c:v>
                </c:pt>
                <c:pt idx="120">
                  <c:v>44468</c:v>
                </c:pt>
                <c:pt idx="121">
                  <c:v>44467</c:v>
                </c:pt>
                <c:pt idx="122">
                  <c:v>44466</c:v>
                </c:pt>
                <c:pt idx="123">
                  <c:v>44465</c:v>
                </c:pt>
                <c:pt idx="124">
                  <c:v>44464</c:v>
                </c:pt>
                <c:pt idx="125">
                  <c:v>44463</c:v>
                </c:pt>
                <c:pt idx="126">
                  <c:v>44462</c:v>
                </c:pt>
                <c:pt idx="127">
                  <c:v>44461</c:v>
                </c:pt>
                <c:pt idx="128">
                  <c:v>44460</c:v>
                </c:pt>
                <c:pt idx="129">
                  <c:v>44459</c:v>
                </c:pt>
                <c:pt idx="130">
                  <c:v>44458</c:v>
                </c:pt>
                <c:pt idx="131">
                  <c:v>44457</c:v>
                </c:pt>
                <c:pt idx="132">
                  <c:v>44456</c:v>
                </c:pt>
                <c:pt idx="133">
                  <c:v>44455</c:v>
                </c:pt>
                <c:pt idx="134">
                  <c:v>44454</c:v>
                </c:pt>
                <c:pt idx="135">
                  <c:v>44453</c:v>
                </c:pt>
                <c:pt idx="136">
                  <c:v>44452</c:v>
                </c:pt>
                <c:pt idx="137">
                  <c:v>44451</c:v>
                </c:pt>
                <c:pt idx="138">
                  <c:v>44450</c:v>
                </c:pt>
                <c:pt idx="139">
                  <c:v>44449</c:v>
                </c:pt>
                <c:pt idx="140">
                  <c:v>44448</c:v>
                </c:pt>
                <c:pt idx="141">
                  <c:v>44447</c:v>
                </c:pt>
                <c:pt idx="142">
                  <c:v>44446</c:v>
                </c:pt>
                <c:pt idx="143">
                  <c:v>44445</c:v>
                </c:pt>
                <c:pt idx="144">
                  <c:v>44444</c:v>
                </c:pt>
                <c:pt idx="145">
                  <c:v>44443</c:v>
                </c:pt>
                <c:pt idx="146">
                  <c:v>44442</c:v>
                </c:pt>
                <c:pt idx="147">
                  <c:v>44441</c:v>
                </c:pt>
                <c:pt idx="148">
                  <c:v>44440</c:v>
                </c:pt>
                <c:pt idx="149">
                  <c:v>44439</c:v>
                </c:pt>
                <c:pt idx="150">
                  <c:v>44438</c:v>
                </c:pt>
                <c:pt idx="151">
                  <c:v>44437</c:v>
                </c:pt>
                <c:pt idx="152">
                  <c:v>44436</c:v>
                </c:pt>
                <c:pt idx="153">
                  <c:v>44435</c:v>
                </c:pt>
                <c:pt idx="154">
                  <c:v>44434</c:v>
                </c:pt>
                <c:pt idx="155">
                  <c:v>44433</c:v>
                </c:pt>
                <c:pt idx="156">
                  <c:v>44432</c:v>
                </c:pt>
                <c:pt idx="157">
                  <c:v>44431</c:v>
                </c:pt>
                <c:pt idx="158">
                  <c:v>44430</c:v>
                </c:pt>
                <c:pt idx="159">
                  <c:v>44429</c:v>
                </c:pt>
                <c:pt idx="160">
                  <c:v>44428</c:v>
                </c:pt>
                <c:pt idx="161">
                  <c:v>44427</c:v>
                </c:pt>
                <c:pt idx="162">
                  <c:v>44426</c:v>
                </c:pt>
                <c:pt idx="163">
                  <c:v>44425</c:v>
                </c:pt>
                <c:pt idx="164">
                  <c:v>44424</c:v>
                </c:pt>
                <c:pt idx="165">
                  <c:v>44423</c:v>
                </c:pt>
                <c:pt idx="166">
                  <c:v>44422</c:v>
                </c:pt>
                <c:pt idx="167">
                  <c:v>44421</c:v>
                </c:pt>
                <c:pt idx="168">
                  <c:v>44420</c:v>
                </c:pt>
                <c:pt idx="169">
                  <c:v>44419</c:v>
                </c:pt>
                <c:pt idx="170">
                  <c:v>44418</c:v>
                </c:pt>
                <c:pt idx="171">
                  <c:v>44417</c:v>
                </c:pt>
                <c:pt idx="172">
                  <c:v>44416</c:v>
                </c:pt>
                <c:pt idx="173">
                  <c:v>44415</c:v>
                </c:pt>
                <c:pt idx="174">
                  <c:v>44414</c:v>
                </c:pt>
                <c:pt idx="175">
                  <c:v>44413</c:v>
                </c:pt>
                <c:pt idx="176">
                  <c:v>44412</c:v>
                </c:pt>
                <c:pt idx="177">
                  <c:v>44411</c:v>
                </c:pt>
                <c:pt idx="178">
                  <c:v>44410</c:v>
                </c:pt>
                <c:pt idx="179">
                  <c:v>44409</c:v>
                </c:pt>
                <c:pt idx="180">
                  <c:v>44408</c:v>
                </c:pt>
                <c:pt idx="181">
                  <c:v>44407</c:v>
                </c:pt>
                <c:pt idx="182">
                  <c:v>44406</c:v>
                </c:pt>
                <c:pt idx="183">
                  <c:v>44405</c:v>
                </c:pt>
                <c:pt idx="184">
                  <c:v>44404</c:v>
                </c:pt>
                <c:pt idx="185">
                  <c:v>44403</c:v>
                </c:pt>
                <c:pt idx="186">
                  <c:v>44402</c:v>
                </c:pt>
                <c:pt idx="187">
                  <c:v>44401</c:v>
                </c:pt>
                <c:pt idx="188">
                  <c:v>44400</c:v>
                </c:pt>
                <c:pt idx="189">
                  <c:v>44399</c:v>
                </c:pt>
                <c:pt idx="190">
                  <c:v>44398</c:v>
                </c:pt>
                <c:pt idx="191">
                  <c:v>44397</c:v>
                </c:pt>
                <c:pt idx="192">
                  <c:v>44396</c:v>
                </c:pt>
                <c:pt idx="193">
                  <c:v>44395</c:v>
                </c:pt>
                <c:pt idx="194">
                  <c:v>44394</c:v>
                </c:pt>
                <c:pt idx="195">
                  <c:v>44393</c:v>
                </c:pt>
                <c:pt idx="196">
                  <c:v>44392</c:v>
                </c:pt>
                <c:pt idx="197">
                  <c:v>44391</c:v>
                </c:pt>
                <c:pt idx="198">
                  <c:v>44390</c:v>
                </c:pt>
                <c:pt idx="199">
                  <c:v>44389</c:v>
                </c:pt>
                <c:pt idx="200">
                  <c:v>44388</c:v>
                </c:pt>
                <c:pt idx="201">
                  <c:v>44387</c:v>
                </c:pt>
                <c:pt idx="202">
                  <c:v>44386</c:v>
                </c:pt>
                <c:pt idx="203">
                  <c:v>44385</c:v>
                </c:pt>
                <c:pt idx="204">
                  <c:v>44384</c:v>
                </c:pt>
                <c:pt idx="205">
                  <c:v>44383</c:v>
                </c:pt>
                <c:pt idx="206">
                  <c:v>44382</c:v>
                </c:pt>
                <c:pt idx="207">
                  <c:v>44381</c:v>
                </c:pt>
                <c:pt idx="208">
                  <c:v>44380</c:v>
                </c:pt>
                <c:pt idx="209">
                  <c:v>44379</c:v>
                </c:pt>
                <c:pt idx="210">
                  <c:v>44378</c:v>
                </c:pt>
                <c:pt idx="211">
                  <c:v>44377</c:v>
                </c:pt>
                <c:pt idx="212">
                  <c:v>44376</c:v>
                </c:pt>
                <c:pt idx="213">
                  <c:v>44375</c:v>
                </c:pt>
                <c:pt idx="214">
                  <c:v>44374</c:v>
                </c:pt>
                <c:pt idx="215">
                  <c:v>44373</c:v>
                </c:pt>
                <c:pt idx="216">
                  <c:v>44372</c:v>
                </c:pt>
                <c:pt idx="217">
                  <c:v>44371</c:v>
                </c:pt>
                <c:pt idx="218">
                  <c:v>44370</c:v>
                </c:pt>
                <c:pt idx="219">
                  <c:v>44369</c:v>
                </c:pt>
                <c:pt idx="220">
                  <c:v>44368</c:v>
                </c:pt>
                <c:pt idx="221">
                  <c:v>44367</c:v>
                </c:pt>
                <c:pt idx="222">
                  <c:v>44366</c:v>
                </c:pt>
                <c:pt idx="223">
                  <c:v>44365</c:v>
                </c:pt>
                <c:pt idx="224">
                  <c:v>44364</c:v>
                </c:pt>
              </c:numCache>
            </c:numRef>
          </c:cat>
          <c:val>
            <c:numRef>
              <c:f>'table (1)'!$T$5:$T$1000</c:f>
              <c:numCache>
                <c:formatCode>General</c:formatCode>
                <c:ptCount val="996"/>
                <c:pt idx="0">
                  <c:v>-12.813293967576422</c:v>
                </c:pt>
                <c:pt idx="1">
                  <c:v>-12.806271874542716</c:v>
                </c:pt>
                <c:pt idx="2">
                  <c:v>-12.756274183114146</c:v>
                </c:pt>
                <c:pt idx="3">
                  <c:v>-12.790272467765307</c:v>
                </c:pt>
                <c:pt idx="4">
                  <c:v>-12.799210541885911</c:v>
                </c:pt>
                <c:pt idx="5">
                  <c:v>-12.85484913158591</c:v>
                </c:pt>
                <c:pt idx="6">
                  <c:v>-12.840746886791258</c:v>
                </c:pt>
                <c:pt idx="7">
                  <c:v>-12.673421000365588</c:v>
                </c:pt>
                <c:pt idx="8">
                  <c:v>-12.607182471407256</c:v>
                </c:pt>
                <c:pt idx="9">
                  <c:v>-12.580271466088107</c:v>
                </c:pt>
                <c:pt idx="10">
                  <c:v>-12.595552085673598</c:v>
                </c:pt>
                <c:pt idx="11">
                  <c:v>-12.560794661262824</c:v>
                </c:pt>
                <c:pt idx="12">
                  <c:v>-12.576246322391855</c:v>
                </c:pt>
                <c:pt idx="13">
                  <c:v>-12.571500005776469</c:v>
                </c:pt>
                <c:pt idx="14">
                  <c:v>-12.627563755574741</c:v>
                </c:pt>
                <c:pt idx="15">
                  <c:v>-12.552416703599878</c:v>
                </c:pt>
                <c:pt idx="16">
                  <c:v>-12.61070860798004</c:v>
                </c:pt>
                <c:pt idx="17">
                  <c:v>-12.599048993889131</c:v>
                </c:pt>
                <c:pt idx="18">
                  <c:v>-12.589876340199291</c:v>
                </c:pt>
                <c:pt idx="19">
                  <c:v>-12.580196181603787</c:v>
                </c:pt>
                <c:pt idx="20">
                  <c:v>-12.511063691812121</c:v>
                </c:pt>
                <c:pt idx="21">
                  <c:v>-12.348904658669262</c:v>
                </c:pt>
                <c:pt idx="22">
                  <c:v>-12.240066196152705</c:v>
                </c:pt>
                <c:pt idx="23">
                  <c:v>-12.122469739063757</c:v>
                </c:pt>
                <c:pt idx="24">
                  <c:v>-11.947776869419455</c:v>
                </c:pt>
                <c:pt idx="25">
                  <c:v>-12.308121722401239</c:v>
                </c:pt>
                <c:pt idx="26">
                  <c:v>-12.477183879790402</c:v>
                </c:pt>
                <c:pt idx="27">
                  <c:v>-12.482362925623734</c:v>
                </c:pt>
                <c:pt idx="28">
                  <c:v>-12.548000385303734</c:v>
                </c:pt>
                <c:pt idx="29">
                  <c:v>-12.590891937070346</c:v>
                </c:pt>
                <c:pt idx="30">
                  <c:v>-12.548478962592734</c:v>
                </c:pt>
                <c:pt idx="31">
                  <c:v>-12.478390614889845</c:v>
                </c:pt>
                <c:pt idx="32">
                  <c:v>-12.432769397451246</c:v>
                </c:pt>
                <c:pt idx="33">
                  <c:v>-12.438865851953292</c:v>
                </c:pt>
                <c:pt idx="34">
                  <c:v>-12.45831813854333</c:v>
                </c:pt>
                <c:pt idx="35">
                  <c:v>-12.383842505632881</c:v>
                </c:pt>
                <c:pt idx="36">
                  <c:v>-12.464812887464943</c:v>
                </c:pt>
                <c:pt idx="37">
                  <c:v>-12.457265010552565</c:v>
                </c:pt>
                <c:pt idx="38">
                  <c:v>-12.496274371544299</c:v>
                </c:pt>
                <c:pt idx="39">
                  <c:v>-12.451057890860755</c:v>
                </c:pt>
                <c:pt idx="40">
                  <c:v>-12.365683496152235</c:v>
                </c:pt>
                <c:pt idx="41">
                  <c:v>-12.380084208584668</c:v>
                </c:pt>
                <c:pt idx="42">
                  <c:v>-12.339126334428824</c:v>
                </c:pt>
                <c:pt idx="43">
                  <c:v>-12.279858205198053</c:v>
                </c:pt>
                <c:pt idx="44">
                  <c:v>-12.322656046390025</c:v>
                </c:pt>
                <c:pt idx="45">
                  <c:v>-12.366957432140511</c:v>
                </c:pt>
                <c:pt idx="46">
                  <c:v>-12.222515485942331</c:v>
                </c:pt>
                <c:pt idx="47">
                  <c:v>-12.246322378493584</c:v>
                </c:pt>
                <c:pt idx="48">
                  <c:v>-12.250702413259939</c:v>
                </c:pt>
                <c:pt idx="49">
                  <c:v>-12.152784150532666</c:v>
                </c:pt>
                <c:pt idx="50">
                  <c:v>-11.97468986428917</c:v>
                </c:pt>
                <c:pt idx="51">
                  <c:v>-12.060535668604238</c:v>
                </c:pt>
                <c:pt idx="52">
                  <c:v>-12.040012643165049</c:v>
                </c:pt>
                <c:pt idx="53">
                  <c:v>-12.148062739297126</c:v>
                </c:pt>
                <c:pt idx="54">
                  <c:v>-12.088251328539178</c:v>
                </c:pt>
                <c:pt idx="55">
                  <c:v>-12.255612526562585</c:v>
                </c:pt>
                <c:pt idx="56">
                  <c:v>-12.113183153344993</c:v>
                </c:pt>
                <c:pt idx="57">
                  <c:v>-12.28611953124393</c:v>
                </c:pt>
                <c:pt idx="58">
                  <c:v>-12.22504572507653</c:v>
                </c:pt>
                <c:pt idx="59">
                  <c:v>-12.00995093548444</c:v>
                </c:pt>
                <c:pt idx="60">
                  <c:v>-11.995934032653224</c:v>
                </c:pt>
                <c:pt idx="61">
                  <c:v>-11.945294322330644</c:v>
                </c:pt>
                <c:pt idx="62">
                  <c:v>-12.133299391961414</c:v>
                </c:pt>
                <c:pt idx="63">
                  <c:v>-12.05220660835176</c:v>
                </c:pt>
                <c:pt idx="64">
                  <c:v>-11.714404447947135</c:v>
                </c:pt>
                <c:pt idx="65">
                  <c:v>-11.696528494993769</c:v>
                </c:pt>
                <c:pt idx="66">
                  <c:v>-11.643047976343597</c:v>
                </c:pt>
                <c:pt idx="67">
                  <c:v>-11.717920774287361</c:v>
                </c:pt>
                <c:pt idx="68">
                  <c:v>-11.430188699787358</c:v>
                </c:pt>
                <c:pt idx="69">
                  <c:v>-11.373170156520883</c:v>
                </c:pt>
                <c:pt idx="70">
                  <c:v>-11.21416504801833</c:v>
                </c:pt>
                <c:pt idx="71">
                  <c:v>-11.081962634539245</c:v>
                </c:pt>
                <c:pt idx="72">
                  <c:v>-11.031260190640161</c:v>
                </c:pt>
                <c:pt idx="73">
                  <c:v>-10.953914540018289</c:v>
                </c:pt>
                <c:pt idx="74">
                  <c:v>-10.489192327833605</c:v>
                </c:pt>
                <c:pt idx="75">
                  <c:v>-8.7889600737159554</c:v>
                </c:pt>
                <c:pt idx="76">
                  <c:v>-10.168506950573098</c:v>
                </c:pt>
                <c:pt idx="77">
                  <c:v>-10.143760294125732</c:v>
                </c:pt>
                <c:pt idx="78">
                  <c:v>-10.202997887163962</c:v>
                </c:pt>
                <c:pt idx="79">
                  <c:v>-10.187751602011238</c:v>
                </c:pt>
                <c:pt idx="80">
                  <c:v>-10.056553669676436</c:v>
                </c:pt>
                <c:pt idx="81">
                  <c:v>-9.9447488255483218</c:v>
                </c:pt>
                <c:pt idx="82">
                  <c:v>-9.9956300936964695</c:v>
                </c:pt>
                <c:pt idx="83">
                  <c:v>-10.072855505410754</c:v>
                </c:pt>
                <c:pt idx="84">
                  <c:v>-9.9577381523658293</c:v>
                </c:pt>
                <c:pt idx="85">
                  <c:v>-9.888392846955993</c:v>
                </c:pt>
                <c:pt idx="86">
                  <c:v>-9.7805096051810327</c:v>
                </c:pt>
                <c:pt idx="87">
                  <c:v>-9.573840124992353</c:v>
                </c:pt>
                <c:pt idx="88">
                  <c:v>-9.5814896579044948</c:v>
                </c:pt>
                <c:pt idx="89">
                  <c:v>-9.6019932905614986</c:v>
                </c:pt>
                <c:pt idx="90">
                  <c:v>-9.3341048391552501</c:v>
                </c:pt>
                <c:pt idx="91">
                  <c:v>-9.3351433605542127</c:v>
                </c:pt>
                <c:pt idx="92">
                  <c:v>-9.2782772874097876</c:v>
                </c:pt>
                <c:pt idx="93">
                  <c:v>-9.0611623107285642</c:v>
                </c:pt>
                <c:pt idx="94">
                  <c:v>-8.7662213768297086</c:v>
                </c:pt>
                <c:pt idx="95">
                  <c:v>-9.1610106008428662</c:v>
                </c:pt>
                <c:pt idx="96">
                  <c:v>-9.080336830097103</c:v>
                </c:pt>
                <c:pt idx="97">
                  <c:v>-9.0569067730501231</c:v>
                </c:pt>
                <c:pt idx="98">
                  <c:v>-9.1364661980025055</c:v>
                </c:pt>
                <c:pt idx="99">
                  <c:v>-8.8928853610428824</c:v>
                </c:pt>
                <c:pt idx="100">
                  <c:v>-8.8109037245226745</c:v>
                </c:pt>
                <c:pt idx="101">
                  <c:v>-8.4831170999024774</c:v>
                </c:pt>
                <c:pt idx="102">
                  <c:v>-7.8453086385797857</c:v>
                </c:pt>
                <c:pt idx="103">
                  <c:v>-5.2287603487815799</c:v>
                </c:pt>
                <c:pt idx="104">
                  <c:v>-6.8560590833555706</c:v>
                </c:pt>
                <c:pt idx="105">
                  <c:v>-5.0360369324929373</c:v>
                </c:pt>
                <c:pt idx="106">
                  <c:v>-4.9926168384600151</c:v>
                </c:pt>
                <c:pt idx="107">
                  <c:v>-5.0553082932987241</c:v>
                </c:pt>
                <c:pt idx="108">
                  <c:v>-5.0741454476239847</c:v>
                </c:pt>
                <c:pt idx="109">
                  <c:v>-4.9154231772073178</c:v>
                </c:pt>
                <c:pt idx="110">
                  <c:v>-4.8289954739178436</c:v>
                </c:pt>
                <c:pt idx="111">
                  <c:v>-4.7992342104695682</c:v>
                </c:pt>
                <c:pt idx="112">
                  <c:v>-4.6901253471248587</c:v>
                </c:pt>
                <c:pt idx="113">
                  <c:v>-4.5761689322448573</c:v>
                </c:pt>
                <c:pt idx="114">
                  <c:v>-4.7857048647406124</c:v>
                </c:pt>
                <c:pt idx="115">
                  <c:v>-4.8418597518082827</c:v>
                </c:pt>
                <c:pt idx="116">
                  <c:v>-4.8305971474152187</c:v>
                </c:pt>
                <c:pt idx="117">
                  <c:v>-4.8438373206565979</c:v>
                </c:pt>
                <c:pt idx="118">
                  <c:v>-4.8188081794258286</c:v>
                </c:pt>
                <c:pt idx="119">
                  <c:v>-4.9296362756913883</c:v>
                </c:pt>
                <c:pt idx="120">
                  <c:v>-4.9599839591624635</c:v>
                </c:pt>
                <c:pt idx="121">
                  <c:v>-4.9395815492765314</c:v>
                </c:pt>
                <c:pt idx="122">
                  <c:v>-4.8581063172488808</c:v>
                </c:pt>
                <c:pt idx="123">
                  <c:v>-4.7260560794606459</c:v>
                </c:pt>
                <c:pt idx="124">
                  <c:v>-4.5605809158834107</c:v>
                </c:pt>
                <c:pt idx="125">
                  <c:v>-4.7862118365802742</c:v>
                </c:pt>
                <c:pt idx="126">
                  <c:v>-4.7239837941675278</c:v>
                </c:pt>
                <c:pt idx="127">
                  <c:v>-4.737697369953243</c:v>
                </c:pt>
                <c:pt idx="128">
                  <c:v>-4.8813151735568452</c:v>
                </c:pt>
                <c:pt idx="129">
                  <c:v>-4.7568151836621091</c:v>
                </c:pt>
                <c:pt idx="130">
                  <c:v>-4.6841341494760629</c:v>
                </c:pt>
                <c:pt idx="131">
                  <c:v>-4.6235267621945084</c:v>
                </c:pt>
                <c:pt idx="132">
                  <c:v>-4.6235267621945084</c:v>
                </c:pt>
                <c:pt idx="133">
                  <c:v>-4.2359036861023025</c:v>
                </c:pt>
                <c:pt idx="134">
                  <c:v>-4.4491415185674184</c:v>
                </c:pt>
                <c:pt idx="135">
                  <c:v>-4.4035006994877142</c:v>
                </c:pt>
                <c:pt idx="136">
                  <c:v>-4.5110187557256562</c:v>
                </c:pt>
                <c:pt idx="137">
                  <c:v>-4.5483383158266664</c:v>
                </c:pt>
                <c:pt idx="138">
                  <c:v>-4.6314642626219191</c:v>
                </c:pt>
                <c:pt idx="139">
                  <c:v>-4.5397784009197917</c:v>
                </c:pt>
                <c:pt idx="140">
                  <c:v>-4.426929676022672</c:v>
                </c:pt>
                <c:pt idx="141">
                  <c:v>-4.2991923490893376</c:v>
                </c:pt>
                <c:pt idx="142">
                  <c:v>-4.2309067841054153</c:v>
                </c:pt>
                <c:pt idx="143">
                  <c:v>-3.9326583321642166</c:v>
                </c:pt>
                <c:pt idx="144">
                  <c:v>-4.6676669212370649</c:v>
                </c:pt>
                <c:pt idx="145">
                  <c:v>-4.739519551386878</c:v>
                </c:pt>
                <c:pt idx="146">
                  <c:v>-4.8509491889414633</c:v>
                </c:pt>
                <c:pt idx="147">
                  <c:v>-4.8843263611153764</c:v>
                </c:pt>
                <c:pt idx="148">
                  <c:v>-4.832618053402765</c:v>
                </c:pt>
                <c:pt idx="149">
                  <c:v>-4.9017255587607336</c:v>
                </c:pt>
                <c:pt idx="150">
                  <c:v>-5.2680420790667135</c:v>
                </c:pt>
                <c:pt idx="151">
                  <c:v>-5.1260087847774356</c:v>
                </c:pt>
                <c:pt idx="152">
                  <c:v>-5.0579229099413698</c:v>
                </c:pt>
                <c:pt idx="153">
                  <c:v>-4.9383379775604181</c:v>
                </c:pt>
                <c:pt idx="154">
                  <c:v>-5.1094930437463759</c:v>
                </c:pt>
                <c:pt idx="155">
                  <c:v>-4.9921712168232997</c:v>
                </c:pt>
                <c:pt idx="156">
                  <c:v>-5.0652070095892565</c:v>
                </c:pt>
                <c:pt idx="157">
                  <c:v>-4.8724365901840532</c:v>
                </c:pt>
                <c:pt idx="158">
                  <c:v>-4.7883621797769287</c:v>
                </c:pt>
                <c:pt idx="159">
                  <c:v>-4.7813347866471574</c:v>
                </c:pt>
                <c:pt idx="160">
                  <c:v>-5.1459876068789461</c:v>
                </c:pt>
                <c:pt idx="161">
                  <c:v>-5.2849898243148434</c:v>
                </c:pt>
                <c:pt idx="162">
                  <c:v>-5.4776996338788759</c:v>
                </c:pt>
                <c:pt idx="163">
                  <c:v>-5.4488726430553465</c:v>
                </c:pt>
                <c:pt idx="164">
                  <c:v>-5.2078052277268787</c:v>
                </c:pt>
                <c:pt idx="165">
                  <c:v>-4.9513683596136717</c:v>
                </c:pt>
                <c:pt idx="166">
                  <c:v>-5.0575698428085598</c:v>
                </c:pt>
                <c:pt idx="167">
                  <c:v>-5.0705626768348182</c:v>
                </c:pt>
                <c:pt idx="168">
                  <c:v>-5.2856882219388579</c:v>
                </c:pt>
                <c:pt idx="169">
                  <c:v>-5.3170231982679725</c:v>
                </c:pt>
                <c:pt idx="170">
                  <c:v>-5.1361010932083051</c:v>
                </c:pt>
                <c:pt idx="171">
                  <c:v>-4.6419071764083055</c:v>
                </c:pt>
                <c:pt idx="172">
                  <c:v>-4.774202417832254</c:v>
                </c:pt>
                <c:pt idx="173">
                  <c:v>-4.6268071182288537</c:v>
                </c:pt>
                <c:pt idx="174">
                  <c:v>-4.6094577062441209</c:v>
                </c:pt>
                <c:pt idx="175">
                  <c:v>-4.5506678178099582</c:v>
                </c:pt>
                <c:pt idx="176">
                  <c:v>-4.7419988249717617</c:v>
                </c:pt>
                <c:pt idx="177">
                  <c:v>-4.7718518497146185</c:v>
                </c:pt>
                <c:pt idx="178">
                  <c:v>-4.5670173133836842</c:v>
                </c:pt>
                <c:pt idx="179">
                  <c:v>-4.5220615999978584</c:v>
                </c:pt>
                <c:pt idx="180">
                  <c:v>-4.2815808026036475</c:v>
                </c:pt>
                <c:pt idx="181">
                  <c:v>-4.0672088305817899</c:v>
                </c:pt>
                <c:pt idx="182">
                  <c:v>-4.2630130186145774</c:v>
                </c:pt>
                <c:pt idx="183">
                  <c:v>-4.356410240559021</c:v>
                </c:pt>
                <c:pt idx="184">
                  <c:v>-4.3162891810288189</c:v>
                </c:pt>
                <c:pt idx="185">
                  <c:v>-4.4065219006317076</c:v>
                </c:pt>
                <c:pt idx="186">
                  <c:v>-4.0940954736417412</c:v>
                </c:pt>
                <c:pt idx="187">
                  <c:v>-4.180522376156711</c:v>
                </c:pt>
                <c:pt idx="188">
                  <c:v>-4.0228289721567112</c:v>
                </c:pt>
                <c:pt idx="189">
                  <c:v>-4.0828121151391681</c:v>
                </c:pt>
                <c:pt idx="190">
                  <c:v>-4.1433051768185578</c:v>
                </c:pt>
                <c:pt idx="191">
                  <c:v>-4.2078478675921973</c:v>
                </c:pt>
                <c:pt idx="192">
                  <c:v>-4.1138135567813858</c:v>
                </c:pt>
                <c:pt idx="193">
                  <c:v>-4.0708000165909102</c:v>
                </c:pt>
                <c:pt idx="194">
                  <c:v>-4.0421114871051955</c:v>
                </c:pt>
                <c:pt idx="195">
                  <c:v>-4.0071437574755668</c:v>
                </c:pt>
                <c:pt idx="196">
                  <c:v>-3.8570748825608905</c:v>
                </c:pt>
                <c:pt idx="197">
                  <c:v>-3.8109350531491248</c:v>
                </c:pt>
                <c:pt idx="198">
                  <c:v>-3.8000952149839873</c:v>
                </c:pt>
                <c:pt idx="199">
                  <c:v>-3.7285027244065594</c:v>
                </c:pt>
                <c:pt idx="200">
                  <c:v>-3.6622985891039654</c:v>
                </c:pt>
                <c:pt idx="201">
                  <c:v>-3.690041096833601</c:v>
                </c:pt>
                <c:pt idx="202">
                  <c:v>-3.6159065619183477</c:v>
                </c:pt>
                <c:pt idx="203">
                  <c:v>-3.4838341437604528</c:v>
                </c:pt>
                <c:pt idx="204">
                  <c:v>-3.1586895766921792</c:v>
                </c:pt>
                <c:pt idx="205">
                  <c:v>-2.2604635600942409</c:v>
                </c:pt>
                <c:pt idx="206">
                  <c:v>-2.7481092194516714</c:v>
                </c:pt>
                <c:pt idx="207">
                  <c:v>-2.7137118271836296</c:v>
                </c:pt>
                <c:pt idx="208">
                  <c:v>-2.7219281165221516</c:v>
                </c:pt>
                <c:pt idx="209">
                  <c:v>-2.7269033643168283</c:v>
                </c:pt>
                <c:pt idx="210">
                  <c:v>-2.801213748294523</c:v>
                </c:pt>
                <c:pt idx="211">
                  <c:v>-2.6882308072156853</c:v>
                </c:pt>
                <c:pt idx="212">
                  <c:v>-2.6360919451030096</c:v>
                </c:pt>
                <c:pt idx="213">
                  <c:v>-2.5121052081030095</c:v>
                </c:pt>
                <c:pt idx="214">
                  <c:v>-2.4941583309488586</c:v>
                </c:pt>
                <c:pt idx="215">
                  <c:v>-2.6812291879214447</c:v>
                </c:pt>
                <c:pt idx="216">
                  <c:v>-2.7193586267159655</c:v>
                </c:pt>
                <c:pt idx="217">
                  <c:v>-2.471865486715966</c:v>
                </c:pt>
                <c:pt idx="218">
                  <c:v>-2.4624005594203675</c:v>
                </c:pt>
                <c:pt idx="219">
                  <c:v>-2.3910383961176152</c:v>
                </c:pt>
                <c:pt idx="220">
                  <c:v>-2.0315077816829281</c:v>
                </c:pt>
                <c:pt idx="221">
                  <c:v>-1.7938914009852538</c:v>
                </c:pt>
                <c:pt idx="222">
                  <c:v>-1.7031854374483579</c:v>
                </c:pt>
                <c:pt idx="223">
                  <c:v>-1.4943390521071815</c:v>
                </c:pt>
                <c:pt idx="224">
                  <c:v>-1.2263720955559658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254-4012-B341-4304D74522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18288752"/>
        <c:axId val="518289168"/>
      </c:lineChart>
      <c:dateAx>
        <c:axId val="51828875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8289168"/>
        <c:crosses val="autoZero"/>
        <c:auto val="1"/>
        <c:lblOffset val="100"/>
        <c:baseTimeUnit val="days"/>
      </c:dateAx>
      <c:valAx>
        <c:axId val="518289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82887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BC709A06-9DCC-41AA-A03D-3C25345CF9B8}">
  <sheetPr codeName="Chart1"/>
  <sheetViews>
    <sheetView zoomScale="76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299408" cy="6078454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3D74DDB-E503-48D1-99B9-C17B32E01138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Z2888"/>
  <sheetViews>
    <sheetView tabSelected="1" zoomScale="90" zoomScaleNormal="90" workbookViewId="0">
      <selection activeCell="C4" sqref="C4:D4"/>
    </sheetView>
  </sheetViews>
  <sheetFormatPr defaultRowHeight="15" x14ac:dyDescent="0.25"/>
  <cols>
    <col min="1" max="1" width="12.85546875" customWidth="1"/>
    <col min="2" max="2" width="6" customWidth="1"/>
    <col min="3" max="4" width="9.140625" style="6"/>
    <col min="5" max="5" width="7" customWidth="1"/>
  </cols>
  <sheetData>
    <row r="1" spans="1:20" x14ac:dyDescent="0.25">
      <c r="A1" s="1" t="s">
        <v>0</v>
      </c>
      <c r="B1" s="1" t="s">
        <v>1</v>
      </c>
      <c r="C1" s="2" t="s">
        <v>2</v>
      </c>
      <c r="D1" s="2" t="s">
        <v>3</v>
      </c>
      <c r="E1" s="1" t="s">
        <v>4</v>
      </c>
      <c r="F1" s="1" t="s">
        <v>5</v>
      </c>
      <c r="G1" s="1" t="s">
        <v>6</v>
      </c>
      <c r="I1">
        <v>5.6055499999999999E-3</v>
      </c>
      <c r="K1" s="3">
        <v>0.01</v>
      </c>
      <c r="L1" s="3">
        <v>0.02</v>
      </c>
      <c r="M1" s="3">
        <v>0.05</v>
      </c>
      <c r="N1" s="3">
        <v>0.1</v>
      </c>
    </row>
    <row r="2" spans="1:20" x14ac:dyDescent="0.25">
      <c r="A2" s="1"/>
      <c r="B2" s="1"/>
      <c r="C2" s="4">
        <f>MAX(C3:C1912)</f>
        <v>1.2090000000000001</v>
      </c>
      <c r="D2" s="4">
        <f>MIN(D3:D1912)</f>
        <v>0.21129999999999999</v>
      </c>
      <c r="E2" s="1"/>
      <c r="F2" s="1"/>
      <c r="G2" s="1"/>
    </row>
    <row r="3" spans="1:20" x14ac:dyDescent="0.25">
      <c r="A3" s="5"/>
    </row>
    <row r="4" spans="1:20" x14ac:dyDescent="0.25">
      <c r="A4" s="5"/>
      <c r="L4" t="s">
        <v>7</v>
      </c>
      <c r="M4" t="s">
        <v>8</v>
      </c>
      <c r="N4" t="s">
        <v>7</v>
      </c>
    </row>
    <row r="5" spans="1:20" x14ac:dyDescent="0.25">
      <c r="A5" s="5">
        <v>44588</v>
      </c>
      <c r="B5">
        <v>0.40799999999999997</v>
      </c>
      <c r="C5">
        <v>0.41360000000000002</v>
      </c>
      <c r="D5">
        <v>0.39579999999999999</v>
      </c>
      <c r="E5">
        <v>0.39650000000000002</v>
      </c>
      <c r="F5">
        <v>762154</v>
      </c>
      <c r="G5">
        <v>0.39650000000000002</v>
      </c>
      <c r="L5" t="s">
        <v>7</v>
      </c>
      <c r="M5" t="s">
        <v>8</v>
      </c>
      <c r="N5" t="s">
        <v>7</v>
      </c>
      <c r="P5">
        <f t="shared" ref="P5" si="0">IF(C5=D5,0,((E5-D5)-(C5-E5))/(C5-D5))</f>
        <v>-0.92134831460673794</v>
      </c>
      <c r="Q5">
        <f t="shared" ref="Q5" si="1">F5*P5</f>
        <v>-702209.3033707838</v>
      </c>
      <c r="R5">
        <f t="shared" ref="R5" si="2">R6+Q5</f>
        <v>-1281329396.7576423</v>
      </c>
      <c r="S5">
        <f t="shared" ref="S5" si="3">R5/100000</f>
        <v>-12813.293967576423</v>
      </c>
      <c r="T5">
        <f t="shared" ref="T5" si="4">S5/1000</f>
        <v>-12.813293967576422</v>
      </c>
    </row>
    <row r="6" spans="1:20" x14ac:dyDescent="0.25">
      <c r="A6" s="5">
        <v>44587</v>
      </c>
      <c r="B6">
        <v>0.40229999999999999</v>
      </c>
      <c r="C6">
        <v>0.45</v>
      </c>
      <c r="D6">
        <v>0.39119999999999999</v>
      </c>
      <c r="E6">
        <v>0.40799999999999997</v>
      </c>
      <c r="F6">
        <v>11666128</v>
      </c>
      <c r="G6">
        <v>0.40799999999999997</v>
      </c>
      <c r="L6" t="s">
        <v>8</v>
      </c>
      <c r="M6" t="s">
        <v>8</v>
      </c>
      <c r="N6" t="s">
        <v>7</v>
      </c>
      <c r="P6">
        <f t="shared" ref="P6" si="5">IF(C6=D6,0,((E6-D6)-(C6-E6))/(C6-D6))</f>
        <v>-0.42857142857142938</v>
      </c>
      <c r="Q6">
        <f t="shared" ref="Q6" si="6">F6*P6</f>
        <v>-4999769.142857152</v>
      </c>
      <c r="R6">
        <f t="shared" ref="R6" si="7">R7+Q6</f>
        <v>-1280627187.4542716</v>
      </c>
      <c r="S6">
        <f t="shared" ref="S6" si="8">R6/100000</f>
        <v>-12806.271874542716</v>
      </c>
      <c r="T6">
        <f t="shared" ref="T6" si="9">S6/1000</f>
        <v>-12.806271874542716</v>
      </c>
    </row>
    <row r="7" spans="1:20" x14ac:dyDescent="0.25">
      <c r="A7" s="5">
        <v>44586</v>
      </c>
      <c r="B7">
        <v>0.39729999999999999</v>
      </c>
      <c r="C7">
        <v>0.40679999999999999</v>
      </c>
      <c r="D7">
        <v>0.38100000000000001</v>
      </c>
      <c r="E7">
        <v>0.40129999999999999</v>
      </c>
      <c r="F7">
        <v>5926728</v>
      </c>
      <c r="G7">
        <v>0.40129999999999999</v>
      </c>
      <c r="L7" t="s">
        <v>8</v>
      </c>
      <c r="M7" t="s">
        <v>7</v>
      </c>
      <c r="N7" t="s">
        <v>7</v>
      </c>
      <c r="P7">
        <f t="shared" ref="P7" si="10">IF(C7=D7,0,((E7-D7)-(C7-E7))/(C7-D7))</f>
        <v>0.57364341085271264</v>
      </c>
      <c r="Q7">
        <f t="shared" ref="Q7" si="11">F7*P7</f>
        <v>3399828.4651162759</v>
      </c>
      <c r="R7">
        <f t="shared" ref="R7" si="12">R8+Q7</f>
        <v>-1275627418.3114145</v>
      </c>
      <c r="S7">
        <f t="shared" ref="S7" si="13">R7/100000</f>
        <v>-12756.274183114145</v>
      </c>
      <c r="T7">
        <f t="shared" ref="T7" si="14">S7/1000</f>
        <v>-12.756274183114146</v>
      </c>
    </row>
    <row r="8" spans="1:20" x14ac:dyDescent="0.25">
      <c r="A8" s="5">
        <v>44585</v>
      </c>
      <c r="B8">
        <v>0.43280000000000002</v>
      </c>
      <c r="C8">
        <v>0.4335</v>
      </c>
      <c r="D8">
        <v>0.35389999999999999</v>
      </c>
      <c r="E8">
        <v>0.3962</v>
      </c>
      <c r="F8">
        <v>14229414</v>
      </c>
      <c r="G8">
        <v>0.3962</v>
      </c>
      <c r="L8" t="s">
        <v>7</v>
      </c>
      <c r="M8" t="s">
        <v>7</v>
      </c>
      <c r="N8" t="s">
        <v>7</v>
      </c>
      <c r="P8">
        <f t="shared" ref="P8" si="15">IF(C8=D8,0,((E8-D8)-(C8-E8))/(C8-D8))</f>
        <v>6.2814070351758844E-2</v>
      </c>
      <c r="Q8">
        <f t="shared" ref="Q8" si="16">F8*P8</f>
        <v>893807.41206030222</v>
      </c>
      <c r="R8">
        <f t="shared" ref="R8" si="17">R9+Q8</f>
        <v>-1279027246.7765307</v>
      </c>
      <c r="S8">
        <f t="shared" ref="S8" si="18">R8/100000</f>
        <v>-12790.272467765308</v>
      </c>
      <c r="T8">
        <f t="shared" ref="T8" si="19">S8/1000</f>
        <v>-12.790272467765307</v>
      </c>
    </row>
    <row r="9" spans="1:20" x14ac:dyDescent="0.25">
      <c r="A9" s="5">
        <v>44584</v>
      </c>
      <c r="B9">
        <v>0.40960000000000002</v>
      </c>
      <c r="C9">
        <v>0.44</v>
      </c>
      <c r="D9">
        <v>0.4</v>
      </c>
      <c r="E9">
        <v>0.43130000000000002</v>
      </c>
      <c r="F9">
        <v>9847538</v>
      </c>
      <c r="G9">
        <v>0.43130000000000002</v>
      </c>
      <c r="L9" t="s">
        <v>8</v>
      </c>
      <c r="M9" t="s">
        <v>8</v>
      </c>
      <c r="N9" t="s">
        <v>7</v>
      </c>
      <c r="P9">
        <f t="shared" ref="P9" si="20">IF(C9=D9,0,((E9-D9)-(C9-E9))/(C9-D9))</f>
        <v>0.5650000000000005</v>
      </c>
      <c r="Q9">
        <f t="shared" ref="Q9" si="21">F9*P9</f>
        <v>5563858.9700000053</v>
      </c>
      <c r="R9">
        <f t="shared" ref="R9" si="22">R10+Q9</f>
        <v>-1279921054.188591</v>
      </c>
      <c r="S9">
        <f t="shared" ref="S9" si="23">R9/100000</f>
        <v>-12799.21054188591</v>
      </c>
      <c r="T9">
        <f t="shared" ref="T9" si="24">S9/1000</f>
        <v>-12.799210541885911</v>
      </c>
    </row>
    <row r="10" spans="1:20" x14ac:dyDescent="0.25">
      <c r="A10" s="5">
        <v>44583</v>
      </c>
      <c r="B10">
        <v>0.46010000000000001</v>
      </c>
      <c r="C10">
        <v>0.4647</v>
      </c>
      <c r="D10">
        <v>0.36</v>
      </c>
      <c r="E10">
        <v>0.40910000000000002</v>
      </c>
      <c r="F10">
        <v>22715462</v>
      </c>
      <c r="G10">
        <v>0.40910000000000002</v>
      </c>
      <c r="L10" t="s">
        <v>7</v>
      </c>
      <c r="M10" t="s">
        <v>7</v>
      </c>
      <c r="N10" t="s">
        <v>7</v>
      </c>
      <c r="P10">
        <f t="shared" ref="P10" si="25">IF(C10=D10,0,((E10-D10)-(C10-E10))/(C10-D10))</f>
        <v>-6.2082139446035807E-2</v>
      </c>
      <c r="Q10">
        <f t="shared" ref="Q10" si="26">F10*P10</f>
        <v>-1410224.4794651275</v>
      </c>
      <c r="R10">
        <f t="shared" ref="R10" si="27">R11+Q10</f>
        <v>-1285484913.158591</v>
      </c>
      <c r="S10">
        <f t="shared" ref="S10" si="28">R10/100000</f>
        <v>-12854.84913158591</v>
      </c>
      <c r="T10">
        <f t="shared" ref="T10" si="29">S10/1000</f>
        <v>-12.85484913158591</v>
      </c>
    </row>
    <row r="11" spans="1:20" x14ac:dyDescent="0.25">
      <c r="A11" s="5">
        <v>44582</v>
      </c>
      <c r="B11">
        <v>0.56799999999999995</v>
      </c>
      <c r="C11">
        <v>0.57310000000000005</v>
      </c>
      <c r="D11">
        <v>0.45</v>
      </c>
      <c r="E11">
        <v>0.4607</v>
      </c>
      <c r="F11">
        <v>20253507</v>
      </c>
      <c r="G11">
        <v>0.4607</v>
      </c>
      <c r="L11" t="s">
        <v>7</v>
      </c>
      <c r="M11" t="s">
        <v>7</v>
      </c>
      <c r="N11" t="s">
        <v>7</v>
      </c>
      <c r="P11">
        <f t="shared" ref="P11" si="30">IF(C11=D11,0,((E11-D11)-(C11-E11))/(C11-D11))</f>
        <v>-0.82615759545085321</v>
      </c>
      <c r="Q11">
        <f t="shared" ref="Q11" si="31">F11*P11</f>
        <v>-16732588.642567024</v>
      </c>
      <c r="R11">
        <f t="shared" ref="R11" si="32">R12+Q11</f>
        <v>-1284074688.6791258</v>
      </c>
      <c r="S11">
        <f t="shared" ref="S11" si="33">R11/100000</f>
        <v>-12840.746886791258</v>
      </c>
      <c r="T11">
        <f t="shared" ref="T11" si="34">S11/1000</f>
        <v>-12.840746886791258</v>
      </c>
    </row>
    <row r="12" spans="1:20" x14ac:dyDescent="0.25">
      <c r="A12" s="5">
        <v>44581</v>
      </c>
      <c r="B12">
        <v>0.59019999999999995</v>
      </c>
      <c r="C12">
        <v>0.63229999999999997</v>
      </c>
      <c r="D12">
        <v>0.56510000000000005</v>
      </c>
      <c r="E12">
        <v>0.56879999999999997</v>
      </c>
      <c r="F12">
        <v>7443527</v>
      </c>
      <c r="G12">
        <v>0.56879999999999997</v>
      </c>
      <c r="L12" t="s">
        <v>7</v>
      </c>
      <c r="M12" t="s">
        <v>7</v>
      </c>
      <c r="N12" t="s">
        <v>7</v>
      </c>
      <c r="P12">
        <f t="shared" ref="P12" si="35">IF(C12=D12,0,((E12-D12)-(C12-E12))/(C12-D12))</f>
        <v>-0.88988095238095444</v>
      </c>
      <c r="Q12">
        <f t="shared" ref="Q12" si="36">F12*P12</f>
        <v>-6623852.8958333489</v>
      </c>
      <c r="R12">
        <f t="shared" ref="R12" si="37">R13+Q12</f>
        <v>-1267342100.0365589</v>
      </c>
      <c r="S12">
        <f t="shared" ref="S12" si="38">R12/100000</f>
        <v>-12673.421000365588</v>
      </c>
      <c r="T12">
        <f t="shared" ref="T12" si="39">S12/1000</f>
        <v>-12.673421000365588</v>
      </c>
    </row>
    <row r="13" spans="1:20" x14ac:dyDescent="0.25">
      <c r="A13" s="5">
        <v>44580</v>
      </c>
      <c r="B13">
        <v>0.61709999999999998</v>
      </c>
      <c r="C13">
        <v>0.62260000000000004</v>
      </c>
      <c r="D13">
        <v>0.58030000000000004</v>
      </c>
      <c r="E13">
        <v>0.59019999999999995</v>
      </c>
      <c r="F13">
        <v>5059269</v>
      </c>
      <c r="G13">
        <v>0.59019999999999995</v>
      </c>
      <c r="L13" t="s">
        <v>7</v>
      </c>
      <c r="M13" t="s">
        <v>7</v>
      </c>
      <c r="N13" t="s">
        <v>7</v>
      </c>
      <c r="P13">
        <f t="shared" ref="P13" si="40">IF(C13=D13,0,((E13-D13)-(C13-E13))/(C13-D13))</f>
        <v>-0.5319148936170256</v>
      </c>
      <c r="Q13">
        <f t="shared" ref="Q13" si="41">F13*P13</f>
        <v>-2691100.5319149154</v>
      </c>
      <c r="R13">
        <f t="shared" ref="R13" si="42">R14+Q13</f>
        <v>-1260718247.1407256</v>
      </c>
      <c r="S13">
        <f t="shared" ref="S13" si="43">R13/100000</f>
        <v>-12607.182471407255</v>
      </c>
      <c r="T13">
        <f t="shared" ref="T13" si="44">S13/1000</f>
        <v>-12.607182471407256</v>
      </c>
    </row>
    <row r="14" spans="1:20" x14ac:dyDescent="0.25">
      <c r="A14" s="5">
        <v>44579</v>
      </c>
      <c r="B14">
        <v>0.61760000000000004</v>
      </c>
      <c r="C14">
        <v>0.62960000000000005</v>
      </c>
      <c r="D14">
        <v>0.59099999999999997</v>
      </c>
      <c r="E14">
        <v>0.61650000000000005</v>
      </c>
      <c r="F14">
        <v>4756709</v>
      </c>
      <c r="G14">
        <v>0.61650000000000005</v>
      </c>
      <c r="L14" t="s">
        <v>7</v>
      </c>
      <c r="M14" t="s">
        <v>8</v>
      </c>
      <c r="N14" t="s">
        <v>7</v>
      </c>
      <c r="P14">
        <f t="shared" ref="P14" si="45">IF(C14=D14,0,((E14-D14)-(C14-E14))/(C14-D14))</f>
        <v>0.32124352331606354</v>
      </c>
      <c r="Q14">
        <f t="shared" ref="Q14" si="46">F14*P14</f>
        <v>1528061.9585492292</v>
      </c>
      <c r="R14">
        <f t="shared" ref="R14" si="47">R15+Q14</f>
        <v>-1258027146.6088107</v>
      </c>
      <c r="S14">
        <f t="shared" ref="S14" si="48">R14/100000</f>
        <v>-12580.271466088107</v>
      </c>
      <c r="T14">
        <f t="shared" ref="T14" si="49">S14/1000</f>
        <v>-12.580271466088107</v>
      </c>
    </row>
    <row r="15" spans="1:20" x14ac:dyDescent="0.25">
      <c r="A15" s="5">
        <v>44578</v>
      </c>
      <c r="B15">
        <v>0.65459999999999996</v>
      </c>
      <c r="C15">
        <v>0.66210000000000002</v>
      </c>
      <c r="D15">
        <v>0.60270000000000001</v>
      </c>
      <c r="E15">
        <v>0.6169</v>
      </c>
      <c r="F15">
        <v>6659971</v>
      </c>
      <c r="G15">
        <v>0.6169</v>
      </c>
      <c r="L15" t="s">
        <v>7</v>
      </c>
      <c r="M15" t="s">
        <v>8</v>
      </c>
      <c r="N15" t="s">
        <v>7</v>
      </c>
      <c r="P15">
        <f t="shared" ref="P15" si="50">IF(C15=D15,0,((E15-D15)-(C15-E15))/(C15-D15))</f>
        <v>-0.52188552188552229</v>
      </c>
      <c r="Q15">
        <f t="shared" ref="Q15" si="51">F15*P15</f>
        <v>-3475742.4410774438</v>
      </c>
      <c r="R15">
        <f t="shared" ref="R15" si="52">R16+Q15</f>
        <v>-1259555208.5673599</v>
      </c>
      <c r="S15">
        <f t="shared" ref="S15" si="53">R15/100000</f>
        <v>-12595.552085673598</v>
      </c>
      <c r="T15">
        <f t="shared" ref="T15" si="54">S15/1000</f>
        <v>-12.595552085673598</v>
      </c>
    </row>
    <row r="16" spans="1:20" x14ac:dyDescent="0.25">
      <c r="A16" s="5">
        <v>44577</v>
      </c>
      <c r="B16">
        <v>0.65010000000000001</v>
      </c>
      <c r="C16">
        <v>0.6623</v>
      </c>
      <c r="D16">
        <v>0.63749999999999996</v>
      </c>
      <c r="E16">
        <v>0.65369999999999995</v>
      </c>
      <c r="F16">
        <v>5042121</v>
      </c>
      <c r="G16">
        <v>0.65369999999999995</v>
      </c>
      <c r="L16" t="s">
        <v>8</v>
      </c>
      <c r="M16" t="s">
        <v>8</v>
      </c>
      <c r="N16" t="s">
        <v>7</v>
      </c>
      <c r="P16">
        <f t="shared" ref="P16" si="55">IF(C16=D16,0,((E16-D16)-(C16-E16))/(C16-D16))</f>
        <v>0.30645161290322287</v>
      </c>
      <c r="Q16">
        <f t="shared" ref="Q16" si="56">F16*P16</f>
        <v>1545166.112903211</v>
      </c>
      <c r="R16">
        <f t="shared" ref="R16" si="57">R17+Q16</f>
        <v>-1256079466.1262825</v>
      </c>
      <c r="S16">
        <f t="shared" ref="S16" si="58">R16/100000</f>
        <v>-12560.794661262824</v>
      </c>
      <c r="T16">
        <f t="shared" ref="T16" si="59">S16/1000</f>
        <v>-12.560794661262824</v>
      </c>
    </row>
    <row r="17" spans="1:20" x14ac:dyDescent="0.25">
      <c r="A17" s="5">
        <v>44576</v>
      </c>
      <c r="B17">
        <v>0.64300000000000002</v>
      </c>
      <c r="C17">
        <v>0.66490000000000005</v>
      </c>
      <c r="D17">
        <v>0.63890000000000002</v>
      </c>
      <c r="E17">
        <v>0.65049999999999997</v>
      </c>
      <c r="F17">
        <v>4407294</v>
      </c>
      <c r="G17">
        <v>0.65049999999999997</v>
      </c>
      <c r="L17" t="s">
        <v>8</v>
      </c>
      <c r="M17" t="s">
        <v>8</v>
      </c>
      <c r="N17" t="s">
        <v>7</v>
      </c>
      <c r="P17">
        <f t="shared" ref="P17" si="60">IF(C17=D17,0,((E17-D17)-(C17-E17))/(C17-D17))</f>
        <v>-0.10769230769231282</v>
      </c>
      <c r="Q17">
        <f t="shared" ref="Q17" si="61">F17*P17</f>
        <v>-474631.66153848416</v>
      </c>
      <c r="R17">
        <f t="shared" ref="R17" si="62">R18+Q17</f>
        <v>-1257624632.2391856</v>
      </c>
      <c r="S17">
        <f t="shared" ref="S17" si="63">R17/100000</f>
        <v>-12576.246322391855</v>
      </c>
      <c r="T17">
        <f t="shared" ref="T17" si="64">S17/1000</f>
        <v>-12.576246322391855</v>
      </c>
    </row>
    <row r="18" spans="1:20" x14ac:dyDescent="0.25">
      <c r="A18" s="5">
        <v>44575</v>
      </c>
      <c r="B18">
        <v>0.62870000000000004</v>
      </c>
      <c r="C18">
        <v>0.64480000000000004</v>
      </c>
      <c r="D18">
        <v>0.61009999999999998</v>
      </c>
      <c r="E18">
        <v>0.64400000000000002</v>
      </c>
      <c r="F18">
        <v>5877378</v>
      </c>
      <c r="G18">
        <v>0.64400000000000002</v>
      </c>
      <c r="L18" t="s">
        <v>7</v>
      </c>
      <c r="M18" t="s">
        <v>8</v>
      </c>
      <c r="N18" t="s">
        <v>7</v>
      </c>
      <c r="P18">
        <f t="shared" ref="P18" si="65">IF(C18=D18,0,((E18-D18)-(C18-E18))/(C18-D18))</f>
        <v>0.95389048991354342</v>
      </c>
      <c r="Q18">
        <f t="shared" ref="Q18" si="66">F18*P18</f>
        <v>5606374.9798270818</v>
      </c>
      <c r="R18">
        <f t="shared" ref="R18" si="67">R19+Q18</f>
        <v>-1257150000.577647</v>
      </c>
      <c r="S18">
        <f t="shared" ref="S18" si="68">R18/100000</f>
        <v>-12571.50000577647</v>
      </c>
      <c r="T18">
        <f t="shared" ref="T18" si="69">S18/1000</f>
        <v>-12.571500005776469</v>
      </c>
    </row>
    <row r="19" spans="1:20" x14ac:dyDescent="0.25">
      <c r="A19" s="5">
        <v>44574</v>
      </c>
      <c r="B19">
        <v>0.66649999999999998</v>
      </c>
      <c r="C19">
        <v>0.68120000000000003</v>
      </c>
      <c r="D19">
        <v>0.62549999999999994</v>
      </c>
      <c r="E19">
        <v>0.62860000000000005</v>
      </c>
      <c r="F19">
        <v>8455941</v>
      </c>
      <c r="G19">
        <v>0.62860000000000005</v>
      </c>
      <c r="L19" t="s">
        <v>7</v>
      </c>
      <c r="M19" t="s">
        <v>8</v>
      </c>
      <c r="N19" t="s">
        <v>7</v>
      </c>
      <c r="P19">
        <f t="shared" ref="P19" si="70">IF(C19=D19,0,((E19-D19)-(C19-E19))/(C19-D19))</f>
        <v>-0.8886894075403915</v>
      </c>
      <c r="Q19">
        <f t="shared" ref="Q19" si="71">F19*P19</f>
        <v>-7514705.1974865058</v>
      </c>
      <c r="R19">
        <f t="shared" ref="R19" si="72">R20+Q19</f>
        <v>-1262756375.5574741</v>
      </c>
      <c r="S19">
        <f t="shared" ref="S19" si="73">R19/100000</f>
        <v>-12627.563755574742</v>
      </c>
      <c r="T19">
        <f t="shared" ref="T19" si="74">S19/1000</f>
        <v>-12.627563755574741</v>
      </c>
    </row>
    <row r="20" spans="1:20" x14ac:dyDescent="0.25">
      <c r="A20" s="5">
        <v>44573</v>
      </c>
      <c r="B20">
        <v>0.6179</v>
      </c>
      <c r="C20">
        <v>0.67659999999999998</v>
      </c>
      <c r="D20">
        <v>0.61609999999999998</v>
      </c>
      <c r="E20">
        <v>0.66659999999999997</v>
      </c>
      <c r="F20">
        <v>8707803</v>
      </c>
      <c r="G20">
        <v>0.66659999999999997</v>
      </c>
      <c r="L20" t="s">
        <v>8</v>
      </c>
      <c r="M20" t="s">
        <v>8</v>
      </c>
      <c r="N20" t="s">
        <v>7</v>
      </c>
      <c r="P20">
        <f t="shared" ref="P20" si="75">IF(C20=D20,0,((E20-D20)-(C20-E20))/(C20-D20))</f>
        <v>0.66942148760330544</v>
      </c>
      <c r="Q20">
        <f t="shared" ref="Q20" si="76">F20*P20</f>
        <v>5829190.4380165264</v>
      </c>
      <c r="R20">
        <f t="shared" ref="R20" si="77">R21+Q20</f>
        <v>-1255241670.3599877</v>
      </c>
      <c r="S20">
        <f t="shared" ref="S20" si="78">R20/100000</f>
        <v>-12552.416703599878</v>
      </c>
      <c r="T20">
        <f t="shared" ref="T20" si="79">S20/1000</f>
        <v>-12.552416703599878</v>
      </c>
    </row>
    <row r="21" spans="1:20" x14ac:dyDescent="0.25">
      <c r="A21" s="5">
        <v>44572</v>
      </c>
      <c r="B21">
        <v>0.58720000000000006</v>
      </c>
      <c r="C21">
        <v>0.66759999999999997</v>
      </c>
      <c r="D21">
        <v>0.5796</v>
      </c>
      <c r="E21">
        <v>0.6169</v>
      </c>
      <c r="F21">
        <v>7657060</v>
      </c>
      <c r="G21">
        <v>0.6169</v>
      </c>
      <c r="L21" t="s">
        <v>8</v>
      </c>
      <c r="M21" t="s">
        <v>8</v>
      </c>
      <c r="N21" t="s">
        <v>7</v>
      </c>
      <c r="P21">
        <f t="shared" ref="P21" si="80">IF(C21=D21,0,((E21-D21)-(C21-E21))/(C21-D21))</f>
        <v>-0.15227272727272695</v>
      </c>
      <c r="Q21">
        <f t="shared" ref="Q21" si="81">F21*P21</f>
        <v>-1165961.4090909066</v>
      </c>
      <c r="R21">
        <f t="shared" ref="R21" si="82">R22+Q21</f>
        <v>-1261070860.7980042</v>
      </c>
      <c r="S21">
        <f t="shared" ref="S21" si="83">R21/100000</f>
        <v>-12610.708607980041</v>
      </c>
      <c r="T21">
        <f t="shared" ref="T21" si="84">S21/1000</f>
        <v>-12.61070860798004</v>
      </c>
    </row>
    <row r="22" spans="1:20" x14ac:dyDescent="0.25">
      <c r="A22" s="5">
        <v>44571</v>
      </c>
      <c r="B22">
        <v>0.62009999999999998</v>
      </c>
      <c r="C22">
        <v>0.62760000000000005</v>
      </c>
      <c r="D22">
        <v>0.55279999999999996</v>
      </c>
      <c r="E22">
        <v>0.58779999999999999</v>
      </c>
      <c r="F22">
        <v>14294052</v>
      </c>
      <c r="G22">
        <v>0.58779999999999999</v>
      </c>
      <c r="L22" t="s">
        <v>7</v>
      </c>
      <c r="M22" t="s">
        <v>7</v>
      </c>
      <c r="N22" t="s">
        <v>7</v>
      </c>
      <c r="P22">
        <f t="shared" ref="P22" si="85">IF(C22=D22,0,((E22-D22)-(C22-E22))/(C22-D22))</f>
        <v>-6.4171122994652691E-2</v>
      </c>
      <c r="Q22">
        <f t="shared" ref="Q22" si="86">F22*P22</f>
        <v>-917265.36898396129</v>
      </c>
      <c r="R22">
        <f t="shared" ref="R22" si="87">R23+Q22</f>
        <v>-1259904899.3889132</v>
      </c>
      <c r="S22">
        <f t="shared" ref="S22" si="88">R22/100000</f>
        <v>-12599.048993889131</v>
      </c>
      <c r="T22">
        <f t="shared" ref="T22" si="89">S22/1000</f>
        <v>-12.599048993889131</v>
      </c>
    </row>
    <row r="23" spans="1:20" x14ac:dyDescent="0.25">
      <c r="A23" s="5">
        <v>44570</v>
      </c>
      <c r="B23">
        <v>0.61219999999999997</v>
      </c>
      <c r="C23">
        <v>0.63980000000000004</v>
      </c>
      <c r="D23">
        <v>0.60419999999999996</v>
      </c>
      <c r="E23">
        <v>0.61970000000000003</v>
      </c>
      <c r="F23">
        <v>7491601</v>
      </c>
      <c r="G23">
        <v>0.61970000000000003</v>
      </c>
      <c r="L23" t="s">
        <v>8</v>
      </c>
      <c r="M23" t="s">
        <v>7</v>
      </c>
      <c r="N23" t="s">
        <v>7</v>
      </c>
      <c r="P23">
        <f t="shared" ref="P23" si="90">IF(C23=D23,0,((E23-D23)-(C23-E23))/(C23-D23))</f>
        <v>-0.12921348314606537</v>
      </c>
      <c r="Q23">
        <f t="shared" ref="Q23" si="91">F23*P23</f>
        <v>-968015.85955054651</v>
      </c>
      <c r="R23">
        <f t="shared" ref="R23" si="92">R24+Q23</f>
        <v>-1258987634.0199292</v>
      </c>
      <c r="S23">
        <f t="shared" ref="S23" si="93">R23/100000</f>
        <v>-12589.876340199291</v>
      </c>
      <c r="T23">
        <f t="shared" ref="T23" si="94">S23/1000</f>
        <v>-12.589876340199291</v>
      </c>
    </row>
    <row r="24" spans="1:20" x14ac:dyDescent="0.25">
      <c r="A24" s="5">
        <v>44569</v>
      </c>
      <c r="B24">
        <v>0.64939999999999998</v>
      </c>
      <c r="C24">
        <v>0.70489999999999997</v>
      </c>
      <c r="D24">
        <v>0.5897</v>
      </c>
      <c r="E24">
        <v>0.61250000000000004</v>
      </c>
      <c r="F24">
        <v>11442619</v>
      </c>
      <c r="G24">
        <v>0.61250000000000004</v>
      </c>
      <c r="L24" t="s">
        <v>7</v>
      </c>
      <c r="M24" t="s">
        <v>7</v>
      </c>
      <c r="N24" t="s">
        <v>7</v>
      </c>
      <c r="P24">
        <f t="shared" ref="P24" si="95">IF(C24=D24,0,((E24-D24)-(C24-E24))/(C24-D24))</f>
        <v>-0.60416666666666585</v>
      </c>
      <c r="Q24">
        <f t="shared" ref="Q24" si="96">F24*P24</f>
        <v>-6913248.9791666577</v>
      </c>
      <c r="R24">
        <f t="shared" ref="R24" si="97">R25+Q24</f>
        <v>-1258019618.1603787</v>
      </c>
      <c r="S24">
        <f t="shared" ref="S24" si="98">R24/100000</f>
        <v>-12580.196181603787</v>
      </c>
      <c r="T24">
        <f t="shared" ref="T24" si="99">S24/1000</f>
        <v>-12.580196181603787</v>
      </c>
    </row>
    <row r="25" spans="1:20" x14ac:dyDescent="0.25">
      <c r="A25" s="5">
        <v>44568</v>
      </c>
      <c r="B25">
        <v>0.71930000000000005</v>
      </c>
      <c r="C25">
        <v>0.73650000000000004</v>
      </c>
      <c r="D25">
        <v>0.63849999999999996</v>
      </c>
      <c r="E25">
        <v>0.64680000000000004</v>
      </c>
      <c r="F25">
        <v>19522832</v>
      </c>
      <c r="G25">
        <v>0.64680000000000004</v>
      </c>
      <c r="L25" t="s">
        <v>7</v>
      </c>
      <c r="M25" t="s">
        <v>7</v>
      </c>
      <c r="N25" t="s">
        <v>7</v>
      </c>
      <c r="P25">
        <f t="shared" ref="P25" si="100">IF(C25=D25,0,((E25-D25)-(C25-E25))/(C25-D25))</f>
        <v>-0.8306122448979576</v>
      </c>
      <c r="Q25">
        <f t="shared" ref="Q25" si="101">F25*P25</f>
        <v>-16215903.314285683</v>
      </c>
      <c r="R25">
        <f t="shared" ref="R25" si="102">R26+Q25</f>
        <v>-1251106369.1812119</v>
      </c>
      <c r="S25">
        <f t="shared" ref="S25" si="103">R25/100000</f>
        <v>-12511.06369181212</v>
      </c>
      <c r="T25">
        <f t="shared" ref="T25" si="104">S25/1000</f>
        <v>-12.511063691812121</v>
      </c>
    </row>
    <row r="26" spans="1:20" x14ac:dyDescent="0.25">
      <c r="A26" s="5">
        <v>44567</v>
      </c>
      <c r="B26">
        <v>0.77310000000000001</v>
      </c>
      <c r="C26">
        <v>0.78990000000000005</v>
      </c>
      <c r="D26">
        <v>0.69930000000000003</v>
      </c>
      <c r="E26">
        <v>0.7198</v>
      </c>
      <c r="F26">
        <v>19880574</v>
      </c>
      <c r="G26">
        <v>0.7198</v>
      </c>
      <c r="L26" t="s">
        <v>7</v>
      </c>
      <c r="M26" t="s">
        <v>7</v>
      </c>
      <c r="N26" t="s">
        <v>8</v>
      </c>
      <c r="P26">
        <f t="shared" ref="P26" si="105">IF(C26=D26,0,((E26-D26)-(C26-E26))/(C26-D26))</f>
        <v>-0.54746136865342254</v>
      </c>
      <c r="Q26">
        <f t="shared" ref="Q26" si="106">F26*P26</f>
        <v>-10883846.251655648</v>
      </c>
      <c r="R26">
        <f t="shared" ref="R26" si="107">R27+Q26</f>
        <v>-1234890465.8669262</v>
      </c>
      <c r="S26">
        <f t="shared" ref="S26" si="108">R26/100000</f>
        <v>-12348.904658669262</v>
      </c>
      <c r="T26">
        <f t="shared" ref="T26" si="109">S26/1000</f>
        <v>-12.348904658669262</v>
      </c>
    </row>
    <row r="27" spans="1:20" x14ac:dyDescent="0.25">
      <c r="A27" s="5">
        <v>44566</v>
      </c>
      <c r="B27">
        <v>0.84019999999999995</v>
      </c>
      <c r="C27">
        <v>0.88549999999999995</v>
      </c>
      <c r="D27">
        <v>0.73709999999999998</v>
      </c>
      <c r="E27">
        <v>0.77249999999999996</v>
      </c>
      <c r="F27">
        <v>22488807</v>
      </c>
      <c r="G27">
        <v>0.77249999999999996</v>
      </c>
      <c r="L27" t="s">
        <v>7</v>
      </c>
      <c r="M27" t="s">
        <v>7</v>
      </c>
      <c r="N27" t="s">
        <v>8</v>
      </c>
      <c r="P27">
        <f t="shared" ref="P27" si="110">IF(C27=D27,0,((E27-D27)-(C27-E27))/(C27-D27))</f>
        <v>-0.52291105121293813</v>
      </c>
      <c r="Q27">
        <f t="shared" ref="Q27" si="111">F27*P27</f>
        <v>-11759645.708894882</v>
      </c>
      <c r="R27">
        <f t="shared" ref="R27" si="112">R28+Q27</f>
        <v>-1224006619.6152706</v>
      </c>
      <c r="S27">
        <f t="shared" ref="S27" si="113">R27/100000</f>
        <v>-12240.066196152706</v>
      </c>
      <c r="T27">
        <f t="shared" ref="T27" si="114">S27/1000</f>
        <v>-12.240066196152705</v>
      </c>
    </row>
    <row r="28" spans="1:20" x14ac:dyDescent="0.25">
      <c r="A28" s="5">
        <v>44565</v>
      </c>
      <c r="B28">
        <v>0.82599999999999996</v>
      </c>
      <c r="C28">
        <v>0.92300000000000004</v>
      </c>
      <c r="D28">
        <v>0.79930000000000001</v>
      </c>
      <c r="E28">
        <v>0.83930000000000005</v>
      </c>
      <c r="F28">
        <v>49449675</v>
      </c>
      <c r="G28">
        <v>0.83930000000000005</v>
      </c>
      <c r="L28" t="s">
        <v>8</v>
      </c>
      <c r="M28" t="s">
        <v>8</v>
      </c>
      <c r="N28" t="s">
        <v>8</v>
      </c>
      <c r="P28">
        <f t="shared" ref="P28" si="115">IF(C28=D28,0,((E28-D28)-(C28-E28))/(C28-D28))</f>
        <v>-0.35327405012126073</v>
      </c>
      <c r="Q28">
        <f t="shared" ref="Q28" si="116">F28*P28</f>
        <v>-17469286.964430053</v>
      </c>
      <c r="R28">
        <f t="shared" ref="R28" si="117">R29+Q28</f>
        <v>-1212246973.9063756</v>
      </c>
      <c r="S28">
        <f t="shared" ref="S28" si="118">R28/100000</f>
        <v>-12122.469739063756</v>
      </c>
      <c r="T28">
        <f t="shared" ref="T28" si="119">S28/1000</f>
        <v>-12.122469739063757</v>
      </c>
    </row>
    <row r="29" spans="1:20" x14ac:dyDescent="0.25">
      <c r="A29" s="5">
        <v>44564</v>
      </c>
      <c r="B29">
        <v>0.74780000000000002</v>
      </c>
      <c r="C29">
        <v>0.83989999999999998</v>
      </c>
      <c r="D29">
        <v>0.73560000000000003</v>
      </c>
      <c r="E29">
        <v>0.82579999999999998</v>
      </c>
      <c r="F29">
        <v>49387606</v>
      </c>
      <c r="G29">
        <v>0.82579999999999998</v>
      </c>
      <c r="L29" t="s">
        <v>8</v>
      </c>
      <c r="M29" t="s">
        <v>8</v>
      </c>
      <c r="N29" t="s">
        <v>8</v>
      </c>
      <c r="P29">
        <f t="shared" ref="P29" si="120">IF(C29=D29,0,((E29-D29)-(C29-E29))/(C29-D29))</f>
        <v>0.72962607861936701</v>
      </c>
      <c r="Q29">
        <f t="shared" ref="Q29" si="121">F29*P29</f>
        <v>36034485.298178323</v>
      </c>
      <c r="R29">
        <f t="shared" ref="R29" si="122">R30+Q29</f>
        <v>-1194777686.9419456</v>
      </c>
      <c r="S29">
        <f t="shared" ref="S29" si="123">R29/100000</f>
        <v>-11947.776869419455</v>
      </c>
      <c r="T29">
        <f t="shared" ref="T29" si="124">S29/1000</f>
        <v>-11.947776869419455</v>
      </c>
    </row>
    <row r="30" spans="1:20" x14ac:dyDescent="0.25">
      <c r="A30" s="5">
        <v>44563</v>
      </c>
      <c r="B30">
        <v>0.74650000000000005</v>
      </c>
      <c r="C30">
        <v>0.75880000000000003</v>
      </c>
      <c r="D30">
        <v>0.69789999999999996</v>
      </c>
      <c r="E30">
        <v>0.74770000000000003</v>
      </c>
      <c r="F30">
        <v>26604355</v>
      </c>
      <c r="G30">
        <v>0.74770000000000003</v>
      </c>
      <c r="L30" t="s">
        <v>7</v>
      </c>
      <c r="M30" t="s">
        <v>8</v>
      </c>
      <c r="N30" t="s">
        <v>8</v>
      </c>
      <c r="P30">
        <f t="shared" ref="P30" si="125">IF(C30=D30,0,((E30-D30)-(C30-E30))/(C30-D30))</f>
        <v>0.63546798029556695</v>
      </c>
      <c r="Q30">
        <f t="shared" ref="Q30" si="126">F30*P30</f>
        <v>16906215.738916267</v>
      </c>
      <c r="R30">
        <f t="shared" ref="R30" si="127">R31+Q30</f>
        <v>-1230812172.240124</v>
      </c>
      <c r="S30">
        <f t="shared" ref="S30" si="128">R30/100000</f>
        <v>-12308.12172240124</v>
      </c>
      <c r="T30">
        <f t="shared" ref="T30" si="129">S30/1000</f>
        <v>-12.308121722401239</v>
      </c>
    </row>
    <row r="31" spans="1:20" x14ac:dyDescent="0.25">
      <c r="A31" s="5">
        <v>44562</v>
      </c>
      <c r="B31">
        <v>0.73319999999999996</v>
      </c>
      <c r="C31">
        <v>0.76910000000000001</v>
      </c>
      <c r="D31">
        <v>0.72350000000000003</v>
      </c>
      <c r="E31">
        <v>0.74680000000000002</v>
      </c>
      <c r="F31">
        <v>23616449</v>
      </c>
      <c r="G31">
        <v>0.74680000000000002</v>
      </c>
      <c r="L31" t="s">
        <v>7</v>
      </c>
      <c r="M31" t="s">
        <v>8</v>
      </c>
      <c r="N31" t="s">
        <v>8</v>
      </c>
      <c r="P31">
        <f t="shared" ref="P31" si="130">IF(C31=D31,0,((E31-D31)-(C31-E31))/(C31-D31))</f>
        <v>2.1929824561403542E-2</v>
      </c>
      <c r="Q31">
        <f t="shared" ref="Q31" si="131">F31*P31</f>
        <v>517904.58333333413</v>
      </c>
      <c r="R31">
        <f t="shared" ref="R31" si="132">R32+Q31</f>
        <v>-1247718387.9790401</v>
      </c>
      <c r="S31">
        <f t="shared" ref="S31" si="133">R31/100000</f>
        <v>-12477.183879790402</v>
      </c>
      <c r="T31">
        <f t="shared" ref="T31" si="134">S31/1000</f>
        <v>-12.477183879790402</v>
      </c>
    </row>
    <row r="32" spans="1:20" x14ac:dyDescent="0.25">
      <c r="A32" s="5">
        <v>44561</v>
      </c>
      <c r="B32">
        <v>0.65249999999999997</v>
      </c>
      <c r="C32">
        <v>0.8</v>
      </c>
      <c r="D32">
        <v>0.65</v>
      </c>
      <c r="E32">
        <v>0.7329</v>
      </c>
      <c r="F32">
        <v>62314044</v>
      </c>
      <c r="G32">
        <v>0.7329</v>
      </c>
      <c r="L32" t="s">
        <v>8</v>
      </c>
      <c r="M32" t="s">
        <v>8</v>
      </c>
      <c r="N32" t="s">
        <v>8</v>
      </c>
      <c r="P32">
        <f t="shared" ref="P32" si="135">IF(C32=D32,0,((E32-D32)-(C32-E32))/(C32-D32))</f>
        <v>0.10533333333333282</v>
      </c>
      <c r="Q32">
        <f t="shared" ref="Q32" si="136">F32*P32</f>
        <v>6563745.9679999677</v>
      </c>
      <c r="R32">
        <f t="shared" ref="R32" si="137">R33+Q32</f>
        <v>-1248236292.5623734</v>
      </c>
      <c r="S32">
        <f t="shared" ref="S32" si="138">R32/100000</f>
        <v>-12482.362925623735</v>
      </c>
      <c r="T32">
        <f t="shared" ref="T32" si="139">S32/1000</f>
        <v>-12.482362925623734</v>
      </c>
    </row>
    <row r="33" spans="1:20" x14ac:dyDescent="0.25">
      <c r="A33" s="5">
        <v>44560</v>
      </c>
      <c r="B33">
        <v>0.61829999999999996</v>
      </c>
      <c r="C33">
        <v>0.66690000000000005</v>
      </c>
      <c r="D33">
        <v>0.60519999999999996</v>
      </c>
      <c r="E33">
        <v>0.65210000000000001</v>
      </c>
      <c r="F33">
        <v>8244264</v>
      </c>
      <c r="G33">
        <v>0.65210000000000001</v>
      </c>
      <c r="L33" t="s">
        <v>7</v>
      </c>
      <c r="M33" t="s">
        <v>7</v>
      </c>
      <c r="N33" t="s">
        <v>7</v>
      </c>
      <c r="P33">
        <f t="shared" ref="P33" si="140">IF(C33=D33,0,((E33-D33)-(C33-E33))/(C33-D33))</f>
        <v>0.52025931928687152</v>
      </c>
      <c r="Q33">
        <f t="shared" ref="Q33" si="141">F33*P33</f>
        <v>4289155.1766612604</v>
      </c>
      <c r="R33">
        <f t="shared" ref="R33" si="142">R34+Q33</f>
        <v>-1254800038.5303733</v>
      </c>
      <c r="S33">
        <f t="shared" ref="S33" si="143">R33/100000</f>
        <v>-12548.000385303734</v>
      </c>
      <c r="T33">
        <f t="shared" ref="T33" si="144">S33/1000</f>
        <v>-12.548000385303734</v>
      </c>
    </row>
    <row r="34" spans="1:20" x14ac:dyDescent="0.25">
      <c r="A34" s="5">
        <v>44559</v>
      </c>
      <c r="B34">
        <v>0.63919999999999999</v>
      </c>
      <c r="C34">
        <v>0.65659999999999996</v>
      </c>
      <c r="D34">
        <v>0.60970000000000002</v>
      </c>
      <c r="E34">
        <v>0.61850000000000005</v>
      </c>
      <c r="F34">
        <v>6788971</v>
      </c>
      <c r="G34">
        <v>0.61850000000000005</v>
      </c>
      <c r="L34" t="s">
        <v>7</v>
      </c>
      <c r="M34" t="s">
        <v>7</v>
      </c>
      <c r="N34" t="s">
        <v>7</v>
      </c>
      <c r="P34">
        <f t="shared" ref="P34" si="145">IF(C34=D34,0,((E34-D34)-(C34-E34))/(C34-D34))</f>
        <v>-0.62473347547974234</v>
      </c>
      <c r="Q34">
        <f t="shared" ref="Q34" si="146">F34*P34</f>
        <v>-4241297.4477611817</v>
      </c>
      <c r="R34">
        <f t="shared" ref="R34" si="147">R35+Q34</f>
        <v>-1259089193.7070346</v>
      </c>
      <c r="S34">
        <f t="shared" ref="S34" si="148">R34/100000</f>
        <v>-12590.891937070346</v>
      </c>
      <c r="T34">
        <f t="shared" ref="T34" si="149">S34/1000</f>
        <v>-12.590891937070346</v>
      </c>
    </row>
    <row r="35" spans="1:20" x14ac:dyDescent="0.25">
      <c r="A35" s="5">
        <v>44558</v>
      </c>
      <c r="B35">
        <v>0.70660000000000001</v>
      </c>
      <c r="C35">
        <v>0.70660000000000001</v>
      </c>
      <c r="D35">
        <v>0.63390000000000002</v>
      </c>
      <c r="E35">
        <v>0.63839999999999997</v>
      </c>
      <c r="F35">
        <v>7999094</v>
      </c>
      <c r="G35">
        <v>0.63839999999999997</v>
      </c>
      <c r="L35" t="s">
        <v>7</v>
      </c>
      <c r="M35" t="s">
        <v>7</v>
      </c>
      <c r="N35" t="s">
        <v>7</v>
      </c>
      <c r="P35">
        <f t="shared" ref="P35" si="150">IF(C35=D35,0,((E35-D35)-(C35-E35))/(C35-D35))</f>
        <v>-0.87620357634112933</v>
      </c>
      <c r="Q35">
        <f t="shared" ref="Q35" si="151">F35*P35</f>
        <v>-7008834.7702888697</v>
      </c>
      <c r="R35">
        <f t="shared" ref="R35" si="152">R36+Q35</f>
        <v>-1254847896.2592733</v>
      </c>
      <c r="S35">
        <f t="shared" ref="S35" si="153">R35/100000</f>
        <v>-12548.478962592733</v>
      </c>
      <c r="T35">
        <f t="shared" ref="T35" si="154">S35/1000</f>
        <v>-12.548478962592734</v>
      </c>
    </row>
    <row r="36" spans="1:20" x14ac:dyDescent="0.25">
      <c r="A36" s="5">
        <v>44557</v>
      </c>
      <c r="B36">
        <v>0.71540000000000004</v>
      </c>
      <c r="C36">
        <v>0.73399999999999999</v>
      </c>
      <c r="D36">
        <v>0.70550000000000002</v>
      </c>
      <c r="E36">
        <v>0.70709999999999995</v>
      </c>
      <c r="F36">
        <v>5139149</v>
      </c>
      <c r="G36">
        <v>0.70709999999999995</v>
      </c>
      <c r="L36" t="s">
        <v>8</v>
      </c>
      <c r="M36" t="s">
        <v>8</v>
      </c>
      <c r="N36" t="s">
        <v>7</v>
      </c>
      <c r="P36">
        <f t="shared" ref="P36" si="155">IF(C36=D36,0,((E36-D36)-(C36-E36))/(C36-D36))</f>
        <v>-0.88771929824561846</v>
      </c>
      <c r="Q36">
        <f t="shared" ref="Q36" si="156">F36*P36</f>
        <v>-4562121.743859672</v>
      </c>
      <c r="R36">
        <f t="shared" ref="R36" si="157">R37+Q36</f>
        <v>-1247839061.4889843</v>
      </c>
      <c r="S36">
        <f t="shared" ref="S36" si="158">R36/100000</f>
        <v>-12478.390614889844</v>
      </c>
      <c r="T36">
        <f t="shared" ref="T36" si="159">S36/1000</f>
        <v>-12.478390614889845</v>
      </c>
    </row>
    <row r="37" spans="1:20" x14ac:dyDescent="0.25">
      <c r="A37" s="5">
        <v>44556</v>
      </c>
      <c r="B37">
        <v>0.70079999999999998</v>
      </c>
      <c r="C37">
        <v>0.74890000000000001</v>
      </c>
      <c r="D37">
        <v>0.67559999999999998</v>
      </c>
      <c r="E37">
        <v>0.71450000000000002</v>
      </c>
      <c r="F37">
        <v>9930447</v>
      </c>
      <c r="G37">
        <v>0.71450000000000002</v>
      </c>
      <c r="L37" t="s">
        <v>8</v>
      </c>
      <c r="M37" t="s">
        <v>8</v>
      </c>
      <c r="N37" t="s">
        <v>7</v>
      </c>
      <c r="P37">
        <f t="shared" ref="P37" si="160">IF(C37=D37,0,((E37-D37)-(C37-E37))/(C37-D37))</f>
        <v>6.1391541609823429E-2</v>
      </c>
      <c r="Q37">
        <f t="shared" ref="Q37" si="161">F37*P37</f>
        <v>609645.45020464621</v>
      </c>
      <c r="R37">
        <f t="shared" ref="R37" si="162">R38+Q37</f>
        <v>-1243276939.7451246</v>
      </c>
      <c r="S37">
        <f t="shared" ref="S37" si="163">R37/100000</f>
        <v>-12432.769397451246</v>
      </c>
      <c r="T37">
        <f t="shared" ref="T37" si="164">S37/1000</f>
        <v>-12.432769397451246</v>
      </c>
    </row>
    <row r="38" spans="1:20" x14ac:dyDescent="0.25">
      <c r="A38" s="5">
        <v>44555</v>
      </c>
      <c r="B38">
        <v>0.6744</v>
      </c>
      <c r="C38">
        <v>0.7198</v>
      </c>
      <c r="D38">
        <v>0.66759999999999997</v>
      </c>
      <c r="E38">
        <v>0.70069999999999999</v>
      </c>
      <c r="F38">
        <v>7252924</v>
      </c>
      <c r="G38">
        <v>0.70069999999999999</v>
      </c>
      <c r="L38" t="s">
        <v>7</v>
      </c>
      <c r="M38" t="s">
        <v>8</v>
      </c>
      <c r="N38" t="s">
        <v>7</v>
      </c>
      <c r="P38">
        <f t="shared" ref="P38" si="165">IF(C38=D38,0,((E38-D38)-(C38-E38))/(C38-D38))</f>
        <v>0.26819923371647519</v>
      </c>
      <c r="Q38">
        <f t="shared" ref="Q38" si="166">F38*P38</f>
        <v>1945228.6590038321</v>
      </c>
      <c r="R38">
        <f t="shared" ref="R38" si="167">R39+Q38</f>
        <v>-1243886585.1953292</v>
      </c>
      <c r="S38">
        <f t="shared" ref="S38" si="168">R38/100000</f>
        <v>-12438.865851953291</v>
      </c>
      <c r="T38">
        <f t="shared" ref="T38" si="169">S38/1000</f>
        <v>-12.438865851953292</v>
      </c>
    </row>
    <row r="39" spans="1:20" x14ac:dyDescent="0.25">
      <c r="A39" s="5">
        <v>44554</v>
      </c>
      <c r="B39">
        <v>0.69279999999999997</v>
      </c>
      <c r="C39">
        <v>0.7198</v>
      </c>
      <c r="D39">
        <v>0.66620000000000001</v>
      </c>
      <c r="E39">
        <v>0.67469999999999997</v>
      </c>
      <c r="F39">
        <v>10906814</v>
      </c>
      <c r="G39">
        <v>0.67469999999999997</v>
      </c>
      <c r="L39" t="s">
        <v>8</v>
      </c>
      <c r="M39" t="s">
        <v>8</v>
      </c>
      <c r="N39" t="s">
        <v>7</v>
      </c>
      <c r="P39">
        <f t="shared" ref="P39" si="170">IF(C39=D39,0,((E39-D39)-(C39-E39))/(C39-D39))</f>
        <v>-0.68283582089552408</v>
      </c>
      <c r="Q39">
        <f t="shared" ref="Q39" si="171">F39*P39</f>
        <v>-7447563.291044795</v>
      </c>
      <c r="R39">
        <f t="shared" ref="R39" si="172">R40+Q39</f>
        <v>-1245831813.8543329</v>
      </c>
      <c r="S39">
        <f t="shared" ref="S39" si="173">R39/100000</f>
        <v>-12458.318138543329</v>
      </c>
      <c r="T39">
        <f t="shared" ref="T39" si="174">S39/1000</f>
        <v>-12.45831813854333</v>
      </c>
    </row>
    <row r="40" spans="1:20" x14ac:dyDescent="0.25">
      <c r="A40" s="5">
        <v>44553</v>
      </c>
      <c r="B40">
        <v>0.65569999999999995</v>
      </c>
      <c r="C40">
        <v>0.69789999999999996</v>
      </c>
      <c r="D40">
        <v>0.64549999999999996</v>
      </c>
      <c r="E40">
        <v>0.69289999999999996</v>
      </c>
      <c r="F40">
        <v>10006717</v>
      </c>
      <c r="G40">
        <v>0.69289999999999996</v>
      </c>
      <c r="L40" t="s">
        <v>7</v>
      </c>
      <c r="M40" t="s">
        <v>8</v>
      </c>
      <c r="N40" t="s">
        <v>7</v>
      </c>
      <c r="P40">
        <f t="shared" ref="P40" si="175">IF(C40=D40,0,((E40-D40)-(C40-E40))/(C40-D40))</f>
        <v>0.80916030534351124</v>
      </c>
      <c r="Q40">
        <f t="shared" ref="Q40" si="176">F40*P40</f>
        <v>8097038.1832061047</v>
      </c>
      <c r="R40">
        <f t="shared" ref="R40" si="177">R41+Q40</f>
        <v>-1238384250.5632882</v>
      </c>
      <c r="S40">
        <f t="shared" ref="S40" si="178">R40/100000</f>
        <v>-12383.842505632882</v>
      </c>
      <c r="T40">
        <f t="shared" ref="T40" si="179">S40/1000</f>
        <v>-12.383842505632881</v>
      </c>
    </row>
    <row r="41" spans="1:20" x14ac:dyDescent="0.25">
      <c r="A41" s="5">
        <v>44552</v>
      </c>
      <c r="B41">
        <v>0.62290000000000001</v>
      </c>
      <c r="C41">
        <v>0.69310000000000005</v>
      </c>
      <c r="D41">
        <v>0.62119999999999997</v>
      </c>
      <c r="E41">
        <v>0.65490000000000004</v>
      </c>
      <c r="F41">
        <v>12059830</v>
      </c>
      <c r="G41">
        <v>0.65490000000000004</v>
      </c>
      <c r="L41" t="s">
        <v>8</v>
      </c>
      <c r="M41" t="s">
        <v>8</v>
      </c>
      <c r="N41" t="s">
        <v>7</v>
      </c>
      <c r="P41">
        <f t="shared" ref="P41" si="180">IF(C41=D41,0,((E41-D41)-(C41-E41))/(C41-D41))</f>
        <v>-6.2586926286508263E-2</v>
      </c>
      <c r="Q41">
        <f t="shared" ref="Q41" si="181">F41*P41</f>
        <v>-754787.69123782089</v>
      </c>
      <c r="R41">
        <f t="shared" ref="R41" si="182">R42+Q41</f>
        <v>-1246481288.7464943</v>
      </c>
      <c r="S41">
        <f t="shared" ref="S41" si="183">R41/100000</f>
        <v>-12464.812887464943</v>
      </c>
      <c r="T41">
        <f t="shared" ref="T41" si="184">S41/1000</f>
        <v>-12.464812887464943</v>
      </c>
    </row>
    <row r="42" spans="1:20" x14ac:dyDescent="0.25">
      <c r="A42" s="5">
        <v>44551</v>
      </c>
      <c r="B42">
        <v>0.59130000000000005</v>
      </c>
      <c r="C42">
        <v>0.6331</v>
      </c>
      <c r="D42">
        <v>0.5847</v>
      </c>
      <c r="E42">
        <v>0.62270000000000003</v>
      </c>
      <c r="F42">
        <v>6840772</v>
      </c>
      <c r="G42">
        <v>0.62270000000000003</v>
      </c>
      <c r="L42" t="s">
        <v>8</v>
      </c>
      <c r="M42" t="s">
        <v>7</v>
      </c>
      <c r="N42" t="s">
        <v>7</v>
      </c>
      <c r="P42">
        <f t="shared" ref="P42" si="185">IF(C42=D42,0,((E42-D42)-(C42-E42))/(C42-D42))</f>
        <v>0.57024793388429895</v>
      </c>
      <c r="Q42">
        <f t="shared" ref="Q42" si="186">F42*P42</f>
        <v>3900936.0991735635</v>
      </c>
      <c r="R42">
        <f t="shared" ref="R42" si="187">R43+Q42</f>
        <v>-1245726501.0552564</v>
      </c>
      <c r="S42">
        <f t="shared" ref="S42" si="188">R42/100000</f>
        <v>-12457.265010552564</v>
      </c>
      <c r="T42">
        <f t="shared" ref="T42" si="189">S42/1000</f>
        <v>-12.457265010552565</v>
      </c>
    </row>
    <row r="43" spans="1:20" x14ac:dyDescent="0.25">
      <c r="A43" s="5">
        <v>44550</v>
      </c>
      <c r="B43">
        <v>0.60099999999999998</v>
      </c>
      <c r="C43">
        <v>0.64300000000000002</v>
      </c>
      <c r="D43">
        <v>0.56399999999999995</v>
      </c>
      <c r="E43">
        <v>0.59040000000000004</v>
      </c>
      <c r="F43">
        <v>13633977</v>
      </c>
      <c r="G43">
        <v>0.59040000000000004</v>
      </c>
      <c r="L43" t="s">
        <v>7</v>
      </c>
      <c r="M43" t="s">
        <v>7</v>
      </c>
      <c r="N43" t="s">
        <v>7</v>
      </c>
      <c r="P43">
        <f t="shared" ref="P43" si="190">IF(C43=D43,0,((E43-D43)-(C43-E43))/(C43-D43))</f>
        <v>-0.33164556962025149</v>
      </c>
      <c r="Q43">
        <f t="shared" ref="Q43" si="191">F43*P43</f>
        <v>-4521648.0683544073</v>
      </c>
      <c r="R43">
        <f t="shared" ref="R43" si="192">R44+Q43</f>
        <v>-1249627437.1544299</v>
      </c>
      <c r="S43">
        <f t="shared" ref="S43" si="193">R43/100000</f>
        <v>-12496.274371544299</v>
      </c>
      <c r="T43">
        <f t="shared" ref="T43" si="194">S43/1000</f>
        <v>-12.496274371544299</v>
      </c>
    </row>
    <row r="44" spans="1:20" x14ac:dyDescent="0.25">
      <c r="A44" s="5">
        <v>44549</v>
      </c>
      <c r="B44">
        <v>0.60260000000000002</v>
      </c>
      <c r="C44">
        <v>0.6431</v>
      </c>
      <c r="D44">
        <v>0.59850000000000003</v>
      </c>
      <c r="E44">
        <v>0.60099999999999998</v>
      </c>
      <c r="F44">
        <v>9615399</v>
      </c>
      <c r="G44">
        <v>0.60099999999999998</v>
      </c>
      <c r="L44" t="s">
        <v>8</v>
      </c>
      <c r="M44" t="s">
        <v>7</v>
      </c>
      <c r="N44" t="s">
        <v>7</v>
      </c>
      <c r="P44">
        <f t="shared" ref="P44" si="195">IF(C44=D44,0,((E44-D44)-(C44-E44))/(C44-D44))</f>
        <v>-0.88789237668161669</v>
      </c>
      <c r="Q44">
        <f t="shared" ref="Q44" si="196">F44*P44</f>
        <v>-8537439.4708520398</v>
      </c>
      <c r="R44">
        <f t="shared" ref="R44" si="197">R45+Q44</f>
        <v>-1245105789.0860755</v>
      </c>
      <c r="S44">
        <f t="shared" ref="S44" si="198">R44/100000</f>
        <v>-12451.057890860755</v>
      </c>
      <c r="T44">
        <f t="shared" ref="T44" si="199">S44/1000</f>
        <v>-12.451057890860755</v>
      </c>
    </row>
    <row r="45" spans="1:20" x14ac:dyDescent="0.25">
      <c r="A45" s="5">
        <v>44548</v>
      </c>
      <c r="B45">
        <v>0.59309999999999996</v>
      </c>
      <c r="C45">
        <v>0.61529999999999996</v>
      </c>
      <c r="D45">
        <v>0.58199999999999996</v>
      </c>
      <c r="E45">
        <v>0.60360000000000003</v>
      </c>
      <c r="F45">
        <v>4843876</v>
      </c>
      <c r="G45">
        <v>0.60360000000000003</v>
      </c>
      <c r="L45" t="s">
        <v>8</v>
      </c>
      <c r="M45" t="s">
        <v>7</v>
      </c>
      <c r="N45" t="s">
        <v>7</v>
      </c>
      <c r="P45">
        <f t="shared" ref="P45" si="200">IF(C45=D45,0,((E45-D45)-(C45-E45))/(C45-D45))</f>
        <v>0.29729729729730126</v>
      </c>
      <c r="Q45">
        <f t="shared" ref="Q45" si="201">F45*P45</f>
        <v>1440071.2432432624</v>
      </c>
      <c r="R45">
        <f t="shared" ref="R45" si="202">R46+Q45</f>
        <v>-1236568349.6152234</v>
      </c>
      <c r="S45">
        <f t="shared" ref="S45" si="203">R45/100000</f>
        <v>-12365.683496152235</v>
      </c>
      <c r="T45">
        <f t="shared" ref="T45" si="204">S45/1000</f>
        <v>-12.365683496152235</v>
      </c>
    </row>
    <row r="46" spans="1:20" x14ac:dyDescent="0.25">
      <c r="A46" s="5">
        <v>44547</v>
      </c>
      <c r="B46">
        <v>0.61729999999999996</v>
      </c>
      <c r="C46">
        <v>0.63260000000000005</v>
      </c>
      <c r="D46">
        <v>0.57099999999999995</v>
      </c>
      <c r="E46">
        <v>0.5917</v>
      </c>
      <c r="F46">
        <v>12490124</v>
      </c>
      <c r="G46">
        <v>0.5917</v>
      </c>
      <c r="L46" t="s">
        <v>7</v>
      </c>
      <c r="M46" t="s">
        <v>7</v>
      </c>
      <c r="N46" t="s">
        <v>7</v>
      </c>
      <c r="P46">
        <f t="shared" ref="P46" si="205">IF(C46=D46,0,((E46-D46)-(C46-E46))/(C46-D46))</f>
        <v>-0.32792207792207734</v>
      </c>
      <c r="Q46">
        <f t="shared" ref="Q46" si="206">F46*P46</f>
        <v>-4095787.4155844082</v>
      </c>
      <c r="R46">
        <f t="shared" ref="R46" si="207">R47+Q46</f>
        <v>-1238008420.8584666</v>
      </c>
      <c r="S46">
        <f t="shared" ref="S46" si="208">R46/100000</f>
        <v>-12380.084208584667</v>
      </c>
      <c r="T46">
        <f t="shared" ref="T46" si="209">S46/1000</f>
        <v>-12.380084208584668</v>
      </c>
    </row>
    <row r="47" spans="1:20" x14ac:dyDescent="0.25">
      <c r="A47" s="5">
        <v>44546</v>
      </c>
      <c r="B47">
        <v>0.63880000000000003</v>
      </c>
      <c r="C47">
        <v>0.65700000000000003</v>
      </c>
      <c r="D47">
        <v>0.61539999999999995</v>
      </c>
      <c r="E47">
        <v>0.61699999999999999</v>
      </c>
      <c r="F47">
        <v>6420714</v>
      </c>
      <c r="G47">
        <v>0.61699999999999999</v>
      </c>
      <c r="L47" t="s">
        <v>7</v>
      </c>
      <c r="M47" t="s">
        <v>7</v>
      </c>
      <c r="N47" t="s">
        <v>7</v>
      </c>
      <c r="P47">
        <f t="shared" ref="P47" si="210">IF(C47=D47,0,((E47-D47)-(C47-E47))/(C47-D47))</f>
        <v>-0.92307692307692102</v>
      </c>
      <c r="Q47">
        <f t="shared" ref="Q47" si="211">F47*P47</f>
        <v>-5926812.92307691</v>
      </c>
      <c r="R47">
        <f t="shared" ref="R47" si="212">R48+Q47</f>
        <v>-1233912633.4428823</v>
      </c>
      <c r="S47">
        <f t="shared" ref="S47" si="213">R47/100000</f>
        <v>-12339.126334428824</v>
      </c>
      <c r="T47">
        <f t="shared" ref="T47" si="214">S47/1000</f>
        <v>-12.339126334428824</v>
      </c>
    </row>
    <row r="48" spans="1:20" x14ac:dyDescent="0.25">
      <c r="A48" s="5">
        <v>44545</v>
      </c>
      <c r="B48">
        <v>0.61599999999999999</v>
      </c>
      <c r="C48">
        <v>0.66</v>
      </c>
      <c r="D48">
        <v>0.58030000000000004</v>
      </c>
      <c r="E48">
        <v>0.63829999999999998</v>
      </c>
      <c r="F48">
        <v>9396661</v>
      </c>
      <c r="G48">
        <v>0.63829999999999998</v>
      </c>
      <c r="L48" t="s">
        <v>8</v>
      </c>
      <c r="M48" t="s">
        <v>7</v>
      </c>
      <c r="N48" t="s">
        <v>7</v>
      </c>
      <c r="P48">
        <f t="shared" ref="P48" si="215">IF(C48=D48,0,((E48-D48)-(C48-E48))/(C48-D48))</f>
        <v>0.45545796737766486</v>
      </c>
      <c r="Q48">
        <f t="shared" ref="Q48" si="216">F48*P48</f>
        <v>4279784.1191969756</v>
      </c>
      <c r="R48">
        <f t="shared" ref="R48" si="217">R49+Q48</f>
        <v>-1227985820.5198054</v>
      </c>
      <c r="S48">
        <f t="shared" ref="S48" si="218">R48/100000</f>
        <v>-12279.858205198054</v>
      </c>
      <c r="T48">
        <f t="shared" ref="T48" si="219">S48/1000</f>
        <v>-12.279858205198053</v>
      </c>
    </row>
    <row r="49" spans="1:20" x14ac:dyDescent="0.25">
      <c r="A49" s="5">
        <v>44544</v>
      </c>
      <c r="B49">
        <v>0.59189999999999998</v>
      </c>
      <c r="C49">
        <v>0.63</v>
      </c>
      <c r="D49">
        <v>0.57869999999999999</v>
      </c>
      <c r="E49">
        <v>0.61639999999999995</v>
      </c>
      <c r="F49">
        <v>9430129</v>
      </c>
      <c r="G49">
        <v>0.61639999999999995</v>
      </c>
      <c r="L49" t="s">
        <v>8</v>
      </c>
      <c r="M49" t="s">
        <v>7</v>
      </c>
      <c r="N49" t="s">
        <v>7</v>
      </c>
      <c r="P49">
        <f t="shared" ref="P49" si="220">IF(C49=D49,0,((E49-D49)-(C49-E49))/(C49-D49))</f>
        <v>0.46978557504873086</v>
      </c>
      <c r="Q49">
        <f t="shared" ref="Q49" si="221">F49*P49</f>
        <v>4430138.575048713</v>
      </c>
      <c r="R49">
        <f t="shared" ref="R49" si="222">R50+Q49</f>
        <v>-1232265604.6390023</v>
      </c>
      <c r="S49">
        <f t="shared" ref="S49" si="223">R49/100000</f>
        <v>-12322.656046390024</v>
      </c>
      <c r="T49">
        <f t="shared" ref="T49" si="224">S49/1000</f>
        <v>-12.322656046390025</v>
      </c>
    </row>
    <row r="50" spans="1:20" x14ac:dyDescent="0.25">
      <c r="A50" s="5">
        <v>44543</v>
      </c>
      <c r="B50">
        <v>0.6694</v>
      </c>
      <c r="C50">
        <v>0.67669999999999997</v>
      </c>
      <c r="D50">
        <v>0.57779999999999998</v>
      </c>
      <c r="E50">
        <v>0.59179999999999999</v>
      </c>
      <c r="F50">
        <v>20148531</v>
      </c>
      <c r="G50">
        <v>0.59179999999999999</v>
      </c>
      <c r="L50" t="s">
        <v>7</v>
      </c>
      <c r="M50" t="s">
        <v>7</v>
      </c>
      <c r="N50" t="s">
        <v>7</v>
      </c>
      <c r="P50">
        <f t="shared" ref="P50" si="225">IF(C50=D50,0,((E50-D50)-(C50-E50))/(C50-D50))</f>
        <v>-0.71688574317492393</v>
      </c>
      <c r="Q50">
        <f t="shared" ref="Q50" si="226">F50*P50</f>
        <v>-14444194.619817993</v>
      </c>
      <c r="R50">
        <f t="shared" ref="R50" si="227">R51+Q50</f>
        <v>-1236695743.214051</v>
      </c>
      <c r="S50">
        <f t="shared" ref="S50" si="228">R50/100000</f>
        <v>-12366.957432140511</v>
      </c>
      <c r="T50">
        <f t="shared" ref="T50" si="229">S50/1000</f>
        <v>-12.366957432140511</v>
      </c>
    </row>
    <row r="51" spans="1:20" x14ac:dyDescent="0.25">
      <c r="A51" s="5">
        <v>44542</v>
      </c>
      <c r="B51">
        <v>0.66400000000000003</v>
      </c>
      <c r="C51">
        <v>0.68259999999999998</v>
      </c>
      <c r="D51">
        <v>0.63870000000000005</v>
      </c>
      <c r="E51">
        <v>0.66930000000000001</v>
      </c>
      <c r="F51">
        <v>6041171</v>
      </c>
      <c r="G51">
        <v>0.66930000000000001</v>
      </c>
      <c r="L51" t="s">
        <v>8</v>
      </c>
      <c r="M51" t="s">
        <v>7</v>
      </c>
      <c r="N51" t="s">
        <v>7</v>
      </c>
      <c r="P51">
        <f t="shared" ref="P51" si="230">IF(C51=D51,0,((E51-D51)-(C51-E51))/(C51-D51))</f>
        <v>0.39407744874715278</v>
      </c>
      <c r="Q51">
        <f t="shared" ref="Q51" si="231">F51*P51</f>
        <v>2380689.2551252856</v>
      </c>
      <c r="R51">
        <f t="shared" ref="R51" si="232">R52+Q51</f>
        <v>-1222251548.594233</v>
      </c>
      <c r="S51">
        <f t="shared" ref="S51" si="233">R51/100000</f>
        <v>-12222.515485942331</v>
      </c>
      <c r="T51">
        <f t="shared" ref="T51" si="234">S51/1000</f>
        <v>-12.222515485942331</v>
      </c>
    </row>
    <row r="52" spans="1:20" x14ac:dyDescent="0.25">
      <c r="A52" s="5">
        <v>44541</v>
      </c>
      <c r="B52">
        <v>0.61170000000000002</v>
      </c>
      <c r="C52">
        <v>0.61770000000000003</v>
      </c>
      <c r="D52">
        <v>0.59630000000000005</v>
      </c>
      <c r="E52">
        <v>0.61539999999999995</v>
      </c>
      <c r="F52">
        <v>557933</v>
      </c>
      <c r="G52">
        <v>0.61539999999999995</v>
      </c>
      <c r="L52" t="s">
        <v>7</v>
      </c>
      <c r="M52" t="s">
        <v>7</v>
      </c>
      <c r="N52" t="s">
        <v>7</v>
      </c>
      <c r="P52">
        <f t="shared" ref="P52" si="235">IF(C52=D52,0,((E52-D52)-(C52-E52))/(C52-D52))</f>
        <v>0.78504672897195493</v>
      </c>
      <c r="Q52">
        <f t="shared" ref="Q52" si="236">F52*P52</f>
        <v>438003.47663550975</v>
      </c>
      <c r="R52">
        <f t="shared" ref="R52" si="237">R53+Q52</f>
        <v>-1224632237.8493583</v>
      </c>
      <c r="S52">
        <f t="shared" ref="S52" si="238">R52/100000</f>
        <v>-12246.322378493584</v>
      </c>
      <c r="T52">
        <f t="shared" ref="T52" si="239">S52/1000</f>
        <v>-12.246322378493584</v>
      </c>
    </row>
    <row r="53" spans="1:20" x14ac:dyDescent="0.25">
      <c r="A53" s="5">
        <v>44540</v>
      </c>
      <c r="B53">
        <v>0.64829999999999999</v>
      </c>
      <c r="C53">
        <v>0.66810000000000003</v>
      </c>
      <c r="D53">
        <v>0.60870000000000002</v>
      </c>
      <c r="E53">
        <v>0.61229999999999996</v>
      </c>
      <c r="F53">
        <v>11142423</v>
      </c>
      <c r="G53">
        <v>0.61229999999999996</v>
      </c>
      <c r="L53" t="s">
        <v>7</v>
      </c>
      <c r="M53" t="s">
        <v>7</v>
      </c>
      <c r="N53" t="s">
        <v>7</v>
      </c>
      <c r="P53">
        <f t="shared" ref="P53" si="240">IF(C53=D53,0,((E53-D53)-(C53-E53))/(C53-D53))</f>
        <v>-0.87878787878788089</v>
      </c>
      <c r="Q53">
        <f t="shared" ref="Q53" si="241">F53*P53</f>
        <v>-9791826.2727272958</v>
      </c>
      <c r="R53">
        <f t="shared" ref="R53" si="242">R54+Q53</f>
        <v>-1225070241.3259938</v>
      </c>
      <c r="S53">
        <f t="shared" ref="S53" si="243">R53/100000</f>
        <v>-12250.702413259938</v>
      </c>
      <c r="T53">
        <f t="shared" ref="T53" si="244">S53/1000</f>
        <v>-12.250702413259939</v>
      </c>
    </row>
    <row r="54" spans="1:20" x14ac:dyDescent="0.25">
      <c r="A54" s="5">
        <v>44539</v>
      </c>
      <c r="B54">
        <v>0.72699999999999998</v>
      </c>
      <c r="C54">
        <v>0.74019999999999997</v>
      </c>
      <c r="D54">
        <v>0.64410000000000001</v>
      </c>
      <c r="E54">
        <v>0.64880000000000004</v>
      </c>
      <c r="F54">
        <v>19740324</v>
      </c>
      <c r="G54">
        <v>0.64880000000000004</v>
      </c>
      <c r="L54" t="s">
        <v>7</v>
      </c>
      <c r="M54" t="s">
        <v>7</v>
      </c>
      <c r="N54" t="s">
        <v>7</v>
      </c>
      <c r="P54">
        <f t="shared" ref="P54" si="245">IF(C54=D54,0,((E54-D54)-(C54-E54))/(C54-D54))</f>
        <v>-0.90218522372528531</v>
      </c>
      <c r="Q54">
        <f t="shared" ref="Q54" si="246">F54*P54</f>
        <v>-17809428.62434962</v>
      </c>
      <c r="R54">
        <f t="shared" ref="R54" si="247">R55+Q54</f>
        <v>-1215278415.0532665</v>
      </c>
      <c r="S54">
        <f t="shared" ref="S54" si="248">R54/100000</f>
        <v>-12152.784150532665</v>
      </c>
      <c r="T54">
        <f t="shared" ref="T54" si="249">S54/1000</f>
        <v>-12.152784150532666</v>
      </c>
    </row>
    <row r="55" spans="1:20" x14ac:dyDescent="0.25">
      <c r="A55" s="5">
        <v>44538</v>
      </c>
      <c r="B55">
        <v>0.70509999999999995</v>
      </c>
      <c r="C55">
        <v>0.73240000000000005</v>
      </c>
      <c r="D55">
        <v>0.67400000000000004</v>
      </c>
      <c r="E55">
        <v>0.72709999999999997</v>
      </c>
      <c r="F55">
        <v>10488274</v>
      </c>
      <c r="G55">
        <v>0.72709999999999997</v>
      </c>
      <c r="L55" t="s">
        <v>7</v>
      </c>
      <c r="M55" t="s">
        <v>7</v>
      </c>
      <c r="N55" t="s">
        <v>7</v>
      </c>
      <c r="P55">
        <f t="shared" ref="P55" si="250">IF(C55=D55,0,((E55-D55)-(C55-E55))/(C55-D55))</f>
        <v>0.81849315068492867</v>
      </c>
      <c r="Q55">
        <f t="shared" ref="Q55" si="251">F55*P55</f>
        <v>8584580.43150682</v>
      </c>
      <c r="R55">
        <f t="shared" ref="R55" si="252">R56+Q55</f>
        <v>-1197468986.4289169</v>
      </c>
      <c r="S55">
        <f t="shared" ref="S55" si="253">R55/100000</f>
        <v>-11974.68986428917</v>
      </c>
      <c r="T55">
        <f t="shared" ref="T55" si="254">S55/1000</f>
        <v>-11.97468986428917</v>
      </c>
    </row>
    <row r="56" spans="1:20" x14ac:dyDescent="0.25">
      <c r="A56" s="5">
        <v>44537</v>
      </c>
      <c r="B56">
        <v>0.69199999999999995</v>
      </c>
      <c r="C56">
        <v>0.73980000000000001</v>
      </c>
      <c r="D56">
        <v>0.68059999999999998</v>
      </c>
      <c r="E56">
        <v>0.70509999999999995</v>
      </c>
      <c r="F56">
        <v>11911403</v>
      </c>
      <c r="G56">
        <v>0.70509999999999995</v>
      </c>
      <c r="L56" t="s">
        <v>8</v>
      </c>
      <c r="M56" t="s">
        <v>7</v>
      </c>
      <c r="N56" t="s">
        <v>7</v>
      </c>
      <c r="P56">
        <f t="shared" ref="P56" si="255">IF(C56=D56,0,((E56-D56)-(C56-E56))/(C56-D56))</f>
        <v>-0.17229729729729887</v>
      </c>
      <c r="Q56">
        <f t="shared" ref="Q56" si="256">F56*P56</f>
        <v>-2052302.5439189377</v>
      </c>
      <c r="R56">
        <f t="shared" ref="R56" si="257">R57+Q56</f>
        <v>-1206053566.8604238</v>
      </c>
      <c r="S56">
        <f t="shared" ref="S56" si="258">R56/100000</f>
        <v>-12060.535668604238</v>
      </c>
      <c r="T56">
        <f t="shared" ref="T56" si="259">S56/1000</f>
        <v>-12.060535668604238</v>
      </c>
    </row>
    <row r="57" spans="1:20" x14ac:dyDescent="0.25">
      <c r="A57" s="5">
        <v>44536</v>
      </c>
      <c r="B57">
        <v>0.69810000000000005</v>
      </c>
      <c r="C57">
        <v>0.70379999999999998</v>
      </c>
      <c r="D57">
        <v>0.61899999999999999</v>
      </c>
      <c r="E57">
        <v>0.69299999999999995</v>
      </c>
      <c r="F57">
        <v>14497861</v>
      </c>
      <c r="G57">
        <v>0.69299999999999995</v>
      </c>
      <c r="L57" t="s">
        <v>7</v>
      </c>
      <c r="M57" t="s">
        <v>7</v>
      </c>
      <c r="N57" t="s">
        <v>7</v>
      </c>
      <c r="P57">
        <f t="shared" ref="P57" si="260">IF(C57=D57,0,((E57-D57)-(C57-E57))/(C57-D57))</f>
        <v>0.7452830188679237</v>
      </c>
      <c r="Q57">
        <f t="shared" ref="Q57" si="261">F57*P57</f>
        <v>10805009.613207536</v>
      </c>
      <c r="R57">
        <f t="shared" ref="R57" si="262">R58+Q57</f>
        <v>-1204001264.316505</v>
      </c>
      <c r="S57">
        <f t="shared" ref="S57" si="263">R57/100000</f>
        <v>-12040.01264316505</v>
      </c>
      <c r="T57">
        <f t="shared" ref="T57" si="264">S57/1000</f>
        <v>-12.040012643165049</v>
      </c>
    </row>
    <row r="58" spans="1:20" x14ac:dyDescent="0.25">
      <c r="A58" s="5">
        <v>44535</v>
      </c>
      <c r="B58">
        <v>0.73619999999999997</v>
      </c>
      <c r="C58">
        <v>0.7591</v>
      </c>
      <c r="D58">
        <v>0.67730000000000001</v>
      </c>
      <c r="E58">
        <v>0.69869999999999999</v>
      </c>
      <c r="F58">
        <v>12545060</v>
      </c>
      <c r="G58">
        <v>0.69869999999999999</v>
      </c>
      <c r="L58" t="s">
        <v>8</v>
      </c>
      <c r="M58" t="s">
        <v>8</v>
      </c>
      <c r="N58" t="s">
        <v>7</v>
      </c>
      <c r="P58">
        <f t="shared" ref="P58" si="265">IF(C58=D58,0,((E58-D58)-(C58-E58))/(C58-D58))</f>
        <v>-0.47677261613691985</v>
      </c>
      <c r="Q58">
        <f t="shared" ref="Q58" si="266">F58*P58</f>
        <v>-5981141.0757946279</v>
      </c>
      <c r="R58">
        <f t="shared" ref="R58" si="267">R59+Q58</f>
        <v>-1214806273.9297125</v>
      </c>
      <c r="S58">
        <f t="shared" ref="S58" si="268">R58/100000</f>
        <v>-12148.062739297126</v>
      </c>
      <c r="T58">
        <f t="shared" ref="T58" si="269">S58/1000</f>
        <v>-12.148062739297126</v>
      </c>
    </row>
    <row r="59" spans="1:20" x14ac:dyDescent="0.25">
      <c r="A59" s="5">
        <v>44534</v>
      </c>
      <c r="B59">
        <v>0.80320000000000003</v>
      </c>
      <c r="C59">
        <v>0.81069999999999998</v>
      </c>
      <c r="D59">
        <v>0.57999999999999996</v>
      </c>
      <c r="E59">
        <v>0.73629999999999995</v>
      </c>
      <c r="F59">
        <v>47143136</v>
      </c>
      <c r="G59">
        <v>0.73629999999999995</v>
      </c>
      <c r="L59" t="s">
        <v>7</v>
      </c>
      <c r="M59" t="s">
        <v>7</v>
      </c>
      <c r="N59" t="s">
        <v>7</v>
      </c>
      <c r="P59">
        <f t="shared" ref="P59" si="270">IF(C59=D59,0,((E59-D59)-(C59-E59))/(C59-D59))</f>
        <v>0.35500650195058503</v>
      </c>
      <c r="Q59">
        <f t="shared" ref="Q59" si="271">F59*P59</f>
        <v>16736119.802340696</v>
      </c>
      <c r="R59">
        <f t="shared" ref="R59" si="272">R60+Q59</f>
        <v>-1208825132.8539178</v>
      </c>
      <c r="S59">
        <f t="shared" ref="S59" si="273">R59/100000</f>
        <v>-12088.251328539178</v>
      </c>
      <c r="T59">
        <f t="shared" ref="T59" si="274">S59/1000</f>
        <v>-12.088251328539178</v>
      </c>
    </row>
    <row r="60" spans="1:20" x14ac:dyDescent="0.25">
      <c r="A60" s="5">
        <v>44533</v>
      </c>
      <c r="B60">
        <v>0.84140000000000004</v>
      </c>
      <c r="C60">
        <v>0.86739999999999995</v>
      </c>
      <c r="D60">
        <v>0.78100000000000003</v>
      </c>
      <c r="E60">
        <v>0.80330000000000001</v>
      </c>
      <c r="F60">
        <v>29439947</v>
      </c>
      <c r="G60">
        <v>0.80330000000000001</v>
      </c>
      <c r="L60" t="s">
        <v>8</v>
      </c>
      <c r="M60" t="s">
        <v>7</v>
      </c>
      <c r="N60" t="s">
        <v>8</v>
      </c>
      <c r="P60">
        <f t="shared" ref="P60" si="275">IF(C60=D60,0,((E60-D60)-(C60-E60))/(C60-D60))</f>
        <v>-0.48379629629629611</v>
      </c>
      <c r="Q60">
        <f t="shared" ref="Q60" si="276">F60*P60</f>
        <v>-14242937.321759254</v>
      </c>
      <c r="R60">
        <f t="shared" ref="R60" si="277">R61+Q60</f>
        <v>-1225561252.6562586</v>
      </c>
      <c r="S60">
        <f t="shared" ref="S60" si="278">R60/100000</f>
        <v>-12255.612526562585</v>
      </c>
      <c r="T60">
        <f t="shared" ref="T60" si="279">S60/1000</f>
        <v>-12.255612526562585</v>
      </c>
    </row>
    <row r="61" spans="1:20" x14ac:dyDescent="0.25">
      <c r="A61" s="5">
        <v>44532</v>
      </c>
      <c r="B61">
        <v>0.81610000000000005</v>
      </c>
      <c r="C61">
        <v>0.84409999999999996</v>
      </c>
      <c r="D61">
        <v>0.76890000000000003</v>
      </c>
      <c r="E61">
        <v>0.84140000000000004</v>
      </c>
      <c r="F61">
        <v>18631541</v>
      </c>
      <c r="G61">
        <v>0.84140000000000004</v>
      </c>
      <c r="L61" t="s">
        <v>7</v>
      </c>
      <c r="M61" t="s">
        <v>7</v>
      </c>
      <c r="N61" t="s">
        <v>8</v>
      </c>
      <c r="P61">
        <f t="shared" ref="P61" si="280">IF(C61=D61,0,((E61-D61)-(C61-E61))/(C61-D61))</f>
        <v>0.92819148936170404</v>
      </c>
      <c r="Q61">
        <f t="shared" ref="Q61" si="281">F61*P61</f>
        <v>17293637.789893653</v>
      </c>
      <c r="R61">
        <f t="shared" ref="R61" si="282">R62+Q61</f>
        <v>-1211318315.3344994</v>
      </c>
      <c r="S61">
        <f t="shared" ref="S61" si="283">R61/100000</f>
        <v>-12113.183153344993</v>
      </c>
      <c r="T61">
        <f t="shared" ref="T61" si="284">S61/1000</f>
        <v>-12.113183153344993</v>
      </c>
    </row>
    <row r="62" spans="1:20" x14ac:dyDescent="0.25">
      <c r="A62" s="5">
        <v>44531</v>
      </c>
      <c r="B62">
        <v>0.81989999999999996</v>
      </c>
      <c r="C62">
        <v>0.84930000000000005</v>
      </c>
      <c r="D62">
        <v>0.80389999999999995</v>
      </c>
      <c r="E62">
        <v>0.81659999999999999</v>
      </c>
      <c r="F62">
        <v>13863754</v>
      </c>
      <c r="G62">
        <v>0.81659999999999999</v>
      </c>
      <c r="L62" t="s">
        <v>7</v>
      </c>
      <c r="M62" t="s">
        <v>7</v>
      </c>
      <c r="N62" t="s">
        <v>8</v>
      </c>
      <c r="P62">
        <f t="shared" ref="P62" si="285">IF(C62=D62,0,((E62-D62)-(C62-E62))/(C62-D62))</f>
        <v>-0.44052863436123285</v>
      </c>
      <c r="Q62">
        <f t="shared" ref="Q62" si="286">F62*P62</f>
        <v>-6107380.6167400796</v>
      </c>
      <c r="R62">
        <f t="shared" ref="R62" si="287">R63+Q62</f>
        <v>-1228611953.124393</v>
      </c>
      <c r="S62">
        <f t="shared" ref="S62" si="288">R62/100000</f>
        <v>-12286.11953124393</v>
      </c>
      <c r="T62">
        <f t="shared" ref="T62" si="289">S62/1000</f>
        <v>-12.28611953124393</v>
      </c>
    </row>
    <row r="63" spans="1:20" x14ac:dyDescent="0.25">
      <c r="A63" s="5">
        <v>44530</v>
      </c>
      <c r="B63">
        <v>0.84630000000000005</v>
      </c>
      <c r="C63">
        <v>0.89690000000000003</v>
      </c>
      <c r="D63">
        <v>0.81599999999999995</v>
      </c>
      <c r="E63">
        <v>0.81930000000000003</v>
      </c>
      <c r="F63">
        <v>23420146</v>
      </c>
      <c r="G63">
        <v>0.81930000000000003</v>
      </c>
      <c r="L63" t="s">
        <v>7</v>
      </c>
      <c r="M63" t="s">
        <v>7</v>
      </c>
      <c r="N63" t="s">
        <v>8</v>
      </c>
      <c r="P63">
        <f t="shared" ref="P63" si="290">IF(C63=D63,0,((E63-D63)-(C63-E63))/(C63-D63))</f>
        <v>-0.91841779975277926</v>
      </c>
      <c r="Q63">
        <f t="shared" ref="Q63" si="291">F63*P63</f>
        <v>-21509478.959208854</v>
      </c>
      <c r="R63">
        <f t="shared" ref="R63" si="292">R64+Q63</f>
        <v>-1222504572.507653</v>
      </c>
      <c r="S63">
        <f t="shared" ref="S63" si="293">R63/100000</f>
        <v>-12225.04572507653</v>
      </c>
      <c r="T63">
        <f t="shared" ref="T63" si="294">S63/1000</f>
        <v>-12.22504572507653</v>
      </c>
    </row>
    <row r="64" spans="1:20" x14ac:dyDescent="0.25">
      <c r="A64" s="5">
        <v>44529</v>
      </c>
      <c r="B64">
        <v>0.8165</v>
      </c>
      <c r="C64">
        <v>0.90290000000000004</v>
      </c>
      <c r="D64">
        <v>0.79269999999999996</v>
      </c>
      <c r="E64">
        <v>0.84599999999999997</v>
      </c>
      <c r="F64">
        <v>42907297</v>
      </c>
      <c r="G64">
        <v>0.84599999999999997</v>
      </c>
      <c r="L64" t="s">
        <v>8</v>
      </c>
      <c r="M64" t="s">
        <v>7</v>
      </c>
      <c r="N64" t="s">
        <v>8</v>
      </c>
      <c r="P64">
        <f t="shared" ref="P64" si="295">IF(C64=D64,0,((E64-D64)-(C64-E64))/(C64-D64))</f>
        <v>-3.2667876588022185E-2</v>
      </c>
      <c r="Q64">
        <f t="shared" ref="Q64" si="296">F64*P64</f>
        <v>-1401690.2831216145</v>
      </c>
      <c r="R64">
        <f t="shared" ref="R64" si="297">R65+Q64</f>
        <v>-1200995093.548444</v>
      </c>
      <c r="S64">
        <f t="shared" ref="S64" si="298">R64/100000</f>
        <v>-12009.950935484439</v>
      </c>
      <c r="T64">
        <f t="shared" ref="T64" si="299">S64/1000</f>
        <v>-12.00995093548444</v>
      </c>
    </row>
    <row r="65" spans="1:20" x14ac:dyDescent="0.25">
      <c r="A65" s="5">
        <v>44528</v>
      </c>
      <c r="B65">
        <v>0.84</v>
      </c>
      <c r="C65">
        <v>0.90500000000000003</v>
      </c>
      <c r="D65">
        <v>0.75</v>
      </c>
      <c r="E65">
        <v>0.81810000000000005</v>
      </c>
      <c r="F65">
        <v>41750825</v>
      </c>
      <c r="G65">
        <v>0.81810000000000005</v>
      </c>
      <c r="L65" t="s">
        <v>7</v>
      </c>
      <c r="M65" t="s">
        <v>7</v>
      </c>
      <c r="N65" t="s">
        <v>8</v>
      </c>
      <c r="P65">
        <f t="shared" ref="P65" si="300">IF(C65=D65,0,((E65-D65)-(C65-E65))/(C65-D65))</f>
        <v>-0.12129032258064468</v>
      </c>
      <c r="Q65">
        <f t="shared" ref="Q65" si="301">F65*P65</f>
        <v>-5063971.032258044</v>
      </c>
      <c r="R65">
        <f t="shared" ref="R65" si="302">R66+Q65</f>
        <v>-1199593403.2653224</v>
      </c>
      <c r="S65">
        <f t="shared" ref="S65" si="303">R65/100000</f>
        <v>-11995.934032653224</v>
      </c>
      <c r="T65">
        <f t="shared" ref="T65" si="304">S65/1000</f>
        <v>-11.995934032653224</v>
      </c>
    </row>
    <row r="66" spans="1:20" x14ac:dyDescent="0.25">
      <c r="A66" s="5">
        <v>44527</v>
      </c>
      <c r="B66">
        <v>0.72889999999999999</v>
      </c>
      <c r="C66">
        <v>0.91739999999999999</v>
      </c>
      <c r="D66">
        <v>0.72240000000000004</v>
      </c>
      <c r="E66">
        <v>0.84</v>
      </c>
      <c r="F66">
        <v>91196489</v>
      </c>
      <c r="G66">
        <v>0.84</v>
      </c>
      <c r="L66" t="s">
        <v>8</v>
      </c>
      <c r="M66" t="s">
        <v>8</v>
      </c>
      <c r="N66" t="s">
        <v>8</v>
      </c>
      <c r="P66">
        <f t="shared" ref="P66" si="305">IF(C66=D66,0,((E66-D66)-(C66-E66))/(C66-D66))</f>
        <v>0.20615384615384572</v>
      </c>
      <c r="Q66">
        <f t="shared" ref="Q66" si="306">F66*P66</f>
        <v>18800506.963076882</v>
      </c>
      <c r="R66">
        <f t="shared" ref="R66" si="307">R67+Q66</f>
        <v>-1194529432.2330644</v>
      </c>
      <c r="S66">
        <f t="shared" ref="S66" si="308">R66/100000</f>
        <v>-11945.294322330645</v>
      </c>
      <c r="T66">
        <f t="shared" ref="T66" si="309">S66/1000</f>
        <v>-11.945294322330644</v>
      </c>
    </row>
    <row r="67" spans="1:20" x14ac:dyDescent="0.25">
      <c r="A67" s="5">
        <v>44526</v>
      </c>
      <c r="B67">
        <v>0.79</v>
      </c>
      <c r="C67">
        <v>0.79630000000000001</v>
      </c>
      <c r="D67">
        <v>0.70099999999999996</v>
      </c>
      <c r="E67">
        <v>0.72960000000000003</v>
      </c>
      <c r="F67">
        <v>20283838</v>
      </c>
      <c r="G67">
        <v>0.72960000000000003</v>
      </c>
      <c r="L67" t="s">
        <v>7</v>
      </c>
      <c r="M67" t="s">
        <v>7</v>
      </c>
      <c r="N67" t="s">
        <v>7</v>
      </c>
      <c r="P67">
        <f t="shared" ref="P67" si="310">IF(C67=D67,0,((E67-D67)-(C67-E67))/(C67-D67))</f>
        <v>-0.39979013641133149</v>
      </c>
      <c r="Q67">
        <f t="shared" ref="Q67" si="311">F67*P67</f>
        <v>-8109278.3609653497</v>
      </c>
      <c r="R67">
        <f t="shared" ref="R67" si="312">R68+Q67</f>
        <v>-1213329939.1961412</v>
      </c>
      <c r="S67">
        <f t="shared" ref="S67" si="313">R67/100000</f>
        <v>-12133.299391961413</v>
      </c>
      <c r="T67">
        <f t="shared" ref="T67" si="314">S67/1000</f>
        <v>-12.133299391961414</v>
      </c>
    </row>
    <row r="68" spans="1:20" x14ac:dyDescent="0.25">
      <c r="A68" s="5">
        <v>44525</v>
      </c>
      <c r="B68">
        <v>0.79810000000000003</v>
      </c>
      <c r="C68">
        <v>0.85389999999999999</v>
      </c>
      <c r="D68">
        <v>0.78469999999999995</v>
      </c>
      <c r="E68">
        <v>0.79039999999999999</v>
      </c>
      <c r="F68">
        <v>40442750</v>
      </c>
      <c r="G68">
        <v>0.79039999999999999</v>
      </c>
      <c r="L68" t="s">
        <v>8</v>
      </c>
      <c r="M68" t="s">
        <v>8</v>
      </c>
      <c r="N68" t="s">
        <v>7</v>
      </c>
      <c r="P68">
        <f t="shared" ref="P68" si="315">IF(C68=D68,0,((E68-D68)-(C68-E68))/(C68-D68))</f>
        <v>-0.83526011560693536</v>
      </c>
      <c r="Q68">
        <f t="shared" ref="Q68" si="316">F68*P68</f>
        <v>-33780216.040462382</v>
      </c>
      <c r="R68">
        <f t="shared" ref="R68" si="317">R69+Q68</f>
        <v>-1205220660.835176</v>
      </c>
      <c r="S68">
        <f t="shared" ref="S68" si="318">R68/100000</f>
        <v>-12052.20660835176</v>
      </c>
      <c r="T68">
        <f t="shared" ref="T68" si="319">S68/1000</f>
        <v>-12.05220660835176</v>
      </c>
    </row>
    <row r="69" spans="1:20" x14ac:dyDescent="0.25">
      <c r="A69" s="5">
        <v>44524</v>
      </c>
      <c r="B69">
        <v>0.74439999999999995</v>
      </c>
      <c r="C69">
        <v>0.75080000000000002</v>
      </c>
      <c r="D69">
        <v>0.71220000000000006</v>
      </c>
      <c r="E69">
        <v>0.72709999999999997</v>
      </c>
      <c r="F69">
        <v>7841043</v>
      </c>
      <c r="G69">
        <v>0.72709999999999997</v>
      </c>
      <c r="L69" t="s">
        <v>7</v>
      </c>
      <c r="M69" t="s">
        <v>8</v>
      </c>
      <c r="N69" t="s">
        <v>7</v>
      </c>
      <c r="P69">
        <f t="shared" ref="P69" si="320">IF(C69=D69,0,((E69-D69)-(C69-E69))/(C69-D69))</f>
        <v>-0.2279792746114028</v>
      </c>
      <c r="Q69">
        <f t="shared" ref="Q69" si="321">F69*P69</f>
        <v>-1787595.2953368176</v>
      </c>
      <c r="R69">
        <f t="shared" ref="R69" si="322">R70+Q69</f>
        <v>-1171440444.7947135</v>
      </c>
      <c r="S69">
        <f t="shared" ref="S69" si="323">R69/100000</f>
        <v>-11714.404447947136</v>
      </c>
      <c r="T69">
        <f t="shared" ref="T69" si="324">S69/1000</f>
        <v>-11.714404447947135</v>
      </c>
    </row>
    <row r="70" spans="1:20" x14ac:dyDescent="0.25">
      <c r="A70" s="5">
        <v>44523</v>
      </c>
      <c r="B70">
        <v>0.7228</v>
      </c>
      <c r="C70">
        <v>0.79559999999999997</v>
      </c>
      <c r="D70">
        <v>0.70669999999999999</v>
      </c>
      <c r="E70">
        <v>0.74460000000000004</v>
      </c>
      <c r="F70">
        <v>36293268</v>
      </c>
      <c r="G70">
        <v>0.74460000000000004</v>
      </c>
      <c r="L70" t="s">
        <v>8</v>
      </c>
      <c r="M70" t="s">
        <v>8</v>
      </c>
      <c r="N70" t="s">
        <v>7</v>
      </c>
      <c r="P70">
        <f t="shared" ref="P70" si="325">IF(C70=D70,0,((E70-D70)-(C70-E70))/(C70-D70))</f>
        <v>-0.14735658042744537</v>
      </c>
      <c r="Q70">
        <f t="shared" ref="Q70" si="326">F70*P70</f>
        <v>-5348051.8650168292</v>
      </c>
      <c r="R70">
        <f t="shared" ref="R70" si="327">R71+Q70</f>
        <v>-1169652849.4993768</v>
      </c>
      <c r="S70">
        <f t="shared" ref="S70" si="328">R70/100000</f>
        <v>-11696.528494993769</v>
      </c>
      <c r="T70">
        <f t="shared" ref="T70" si="329">S70/1000</f>
        <v>-11.696528494993769</v>
      </c>
    </row>
    <row r="71" spans="1:20" x14ac:dyDescent="0.25">
      <c r="A71" s="5">
        <v>44522</v>
      </c>
      <c r="B71">
        <v>0.71460000000000001</v>
      </c>
      <c r="C71">
        <v>0.74219999999999997</v>
      </c>
      <c r="D71">
        <v>0.68530000000000002</v>
      </c>
      <c r="E71">
        <v>0.72440000000000004</v>
      </c>
      <c r="F71">
        <v>20001231</v>
      </c>
      <c r="G71">
        <v>0.72440000000000004</v>
      </c>
      <c r="L71" t="s">
        <v>7</v>
      </c>
      <c r="M71" t="s">
        <v>8</v>
      </c>
      <c r="N71" t="s">
        <v>7</v>
      </c>
      <c r="P71">
        <f t="shared" ref="P71" si="330">IF(C71=D71,0,((E71-D71)-(C71-E71))/(C71-D71))</f>
        <v>0.37434094903339393</v>
      </c>
      <c r="Q71">
        <f t="shared" ref="Q71" si="331">F71*P71</f>
        <v>7487279.7943761386</v>
      </c>
      <c r="R71">
        <f t="shared" ref="R71" si="332">R72+Q71</f>
        <v>-1164304797.6343598</v>
      </c>
      <c r="S71">
        <f t="shared" ref="S71" si="333">R71/100000</f>
        <v>-11643.047976343598</v>
      </c>
      <c r="T71">
        <f t="shared" ref="T71" si="334">S71/1000</f>
        <v>-11.643047976343597</v>
      </c>
    </row>
    <row r="72" spans="1:20" x14ac:dyDescent="0.25">
      <c r="A72" s="5">
        <v>44521</v>
      </c>
      <c r="B72">
        <v>0.74039999999999995</v>
      </c>
      <c r="C72">
        <v>0.79349999999999998</v>
      </c>
      <c r="D72">
        <v>0.71350000000000002</v>
      </c>
      <c r="E72">
        <v>0.71450000000000002</v>
      </c>
      <c r="F72">
        <v>29510982</v>
      </c>
      <c r="G72">
        <v>0.71450000000000002</v>
      </c>
      <c r="L72" t="s">
        <v>8</v>
      </c>
      <c r="M72" t="s">
        <v>8</v>
      </c>
      <c r="N72" t="s">
        <v>7</v>
      </c>
      <c r="P72">
        <f t="shared" ref="P72" si="335">IF(C72=D72,0,((E72-D72)-(C72-E72))/(C72-D72))</f>
        <v>-0.97499999999999998</v>
      </c>
      <c r="Q72">
        <f t="shared" ref="Q72" si="336">F72*P72</f>
        <v>-28773207.449999999</v>
      </c>
      <c r="R72">
        <f t="shared" ref="R72" si="337">R73+Q72</f>
        <v>-1171792077.428736</v>
      </c>
      <c r="S72">
        <f t="shared" ref="S72" si="338">R72/100000</f>
        <v>-11717.92077428736</v>
      </c>
      <c r="T72">
        <f t="shared" ref="T72" si="339">S72/1000</f>
        <v>-11.717920774287361</v>
      </c>
    </row>
    <row r="73" spans="1:20" x14ac:dyDescent="0.25">
      <c r="A73" s="5">
        <v>44520</v>
      </c>
      <c r="B73">
        <v>0.71209999999999996</v>
      </c>
      <c r="C73">
        <v>0.78100000000000003</v>
      </c>
      <c r="D73">
        <v>0.71120000000000005</v>
      </c>
      <c r="E73">
        <v>0.74009999999999998</v>
      </c>
      <c r="F73">
        <v>33165786</v>
      </c>
      <c r="G73">
        <v>0.74009999999999998</v>
      </c>
      <c r="L73" t="s">
        <v>7</v>
      </c>
      <c r="M73" t="s">
        <v>8</v>
      </c>
      <c r="N73" t="s">
        <v>7</v>
      </c>
      <c r="P73">
        <f t="shared" ref="P73" si="340">IF(C73=D73,0,((E73-D73)-(C73-E73))/(C73-D73))</f>
        <v>-0.17191977077364079</v>
      </c>
      <c r="Q73">
        <f t="shared" ref="Q73" si="341">F73*P73</f>
        <v>-5701854.3266476253</v>
      </c>
      <c r="R73">
        <f t="shared" ref="R73" si="342">R74+Q73</f>
        <v>-1143018869.9787359</v>
      </c>
      <c r="S73">
        <f t="shared" ref="S73" si="343">R73/100000</f>
        <v>-11430.188699787359</v>
      </c>
      <c r="T73">
        <f t="shared" ref="T73" si="344">S73/1000</f>
        <v>-11.430188699787358</v>
      </c>
    </row>
    <row r="74" spans="1:20" x14ac:dyDescent="0.25">
      <c r="A74" s="5">
        <v>44519</v>
      </c>
      <c r="B74">
        <v>0.64449999999999996</v>
      </c>
      <c r="C74">
        <v>0.81669999999999998</v>
      </c>
      <c r="D74">
        <v>0.64039999999999997</v>
      </c>
      <c r="E74">
        <v>0.71260000000000001</v>
      </c>
      <c r="F74">
        <v>87876491</v>
      </c>
      <c r="G74">
        <v>0.71260000000000001</v>
      </c>
      <c r="L74" t="s">
        <v>8</v>
      </c>
      <c r="M74" t="s">
        <v>8</v>
      </c>
      <c r="N74" t="s">
        <v>7</v>
      </c>
      <c r="P74">
        <f t="shared" ref="P74" si="345">IF(C74=D74,0,((E74-D74)-(C74-E74))/(C74-D74))</f>
        <v>-0.18094157685762863</v>
      </c>
      <c r="Q74">
        <f t="shared" ref="Q74" si="346">F74*P74</f>
        <v>-15900510.85025521</v>
      </c>
      <c r="R74">
        <f t="shared" ref="R74" si="347">R75+Q74</f>
        <v>-1137317015.6520884</v>
      </c>
      <c r="S74">
        <f t="shared" ref="S74" si="348">R74/100000</f>
        <v>-11373.170156520884</v>
      </c>
      <c r="T74">
        <f t="shared" ref="T74" si="349">S74/1000</f>
        <v>-11.373170156520883</v>
      </c>
    </row>
    <row r="75" spans="1:20" x14ac:dyDescent="0.25">
      <c r="A75" s="5">
        <v>44518</v>
      </c>
      <c r="B75">
        <v>0.71650000000000003</v>
      </c>
      <c r="C75">
        <v>0.72929999999999995</v>
      </c>
      <c r="D75">
        <v>0.62409999999999999</v>
      </c>
      <c r="E75">
        <v>0.64400000000000002</v>
      </c>
      <c r="F75">
        <v>21265587</v>
      </c>
      <c r="G75">
        <v>0.64400000000000002</v>
      </c>
      <c r="L75" t="s">
        <v>7</v>
      </c>
      <c r="M75" t="s">
        <v>7</v>
      </c>
      <c r="N75" t="s">
        <v>7</v>
      </c>
      <c r="P75">
        <f t="shared" ref="P75" si="350">IF(C75=D75,0,((E75-D75)-(C75-E75))/(C75-D75))</f>
        <v>-0.62167300380228063</v>
      </c>
      <c r="Q75">
        <f t="shared" ref="Q75" si="351">F75*P75</f>
        <v>-13220241.34790873</v>
      </c>
      <c r="R75">
        <f t="shared" ref="R75" si="352">R76+Q75</f>
        <v>-1121416504.8018332</v>
      </c>
      <c r="S75">
        <f t="shared" ref="S75" si="353">R75/100000</f>
        <v>-11214.165048018331</v>
      </c>
      <c r="T75">
        <f t="shared" ref="T75" si="354">S75/1000</f>
        <v>-11.21416504801833</v>
      </c>
    </row>
    <row r="76" spans="1:20" x14ac:dyDescent="0.25">
      <c r="A76" s="5">
        <v>44517</v>
      </c>
      <c r="B76">
        <v>0.73060000000000003</v>
      </c>
      <c r="C76">
        <v>0.74570000000000003</v>
      </c>
      <c r="D76">
        <v>0.70209999999999995</v>
      </c>
      <c r="E76">
        <v>0.71699999999999997</v>
      </c>
      <c r="F76">
        <v>16019033</v>
      </c>
      <c r="G76">
        <v>0.71699999999999997</v>
      </c>
      <c r="L76" t="s">
        <v>8</v>
      </c>
      <c r="M76" t="s">
        <v>7</v>
      </c>
      <c r="N76" t="s">
        <v>7</v>
      </c>
      <c r="P76">
        <f t="shared" ref="P76" si="355">IF(C76=D76,0,((E76-D76)-(C76-E76))/(C76-D76))</f>
        <v>-0.31651376146789012</v>
      </c>
      <c r="Q76">
        <f t="shared" ref="Q76" si="356">F76*P76</f>
        <v>-5070244.3899082607</v>
      </c>
      <c r="R76">
        <f t="shared" ref="R76" si="357">R77+Q76</f>
        <v>-1108196263.4539244</v>
      </c>
      <c r="S76">
        <f t="shared" ref="S76" si="358">R76/100000</f>
        <v>-11081.962634539244</v>
      </c>
      <c r="T76">
        <f t="shared" ref="T76" si="359">S76/1000</f>
        <v>-11.081962634539245</v>
      </c>
    </row>
    <row r="77" spans="1:20" x14ac:dyDescent="0.25">
      <c r="A77" s="5">
        <v>44516</v>
      </c>
      <c r="B77">
        <v>0.81200000000000006</v>
      </c>
      <c r="C77">
        <v>0.81389999999999996</v>
      </c>
      <c r="D77">
        <v>0.67400000000000004</v>
      </c>
      <c r="E77">
        <v>0.73160000000000003</v>
      </c>
      <c r="F77">
        <v>43808326</v>
      </c>
      <c r="G77">
        <v>0.73160000000000003</v>
      </c>
      <c r="L77" t="s">
        <v>7</v>
      </c>
      <c r="M77" t="s">
        <v>7</v>
      </c>
      <c r="N77" t="s">
        <v>7</v>
      </c>
      <c r="P77">
        <f t="shared" ref="P77" si="360">IF(C77=D77,0,((E77-D77)-(C77-E77))/(C77-D77))</f>
        <v>-0.17655468191565374</v>
      </c>
      <c r="Q77">
        <f t="shared" ref="Q77" si="361">F77*P77</f>
        <v>-7734565.0621872637</v>
      </c>
      <c r="R77">
        <f t="shared" ref="R77" si="362">R78+Q77</f>
        <v>-1103126019.0640161</v>
      </c>
      <c r="S77">
        <f t="shared" ref="S77" si="363">R77/100000</f>
        <v>-11031.260190640161</v>
      </c>
      <c r="T77">
        <f t="shared" ref="T77" si="364">S77/1000</f>
        <v>-11.031260190640161</v>
      </c>
    </row>
    <row r="78" spans="1:20" x14ac:dyDescent="0.25">
      <c r="A78" s="5">
        <v>44515</v>
      </c>
      <c r="B78">
        <v>0.86829999999999996</v>
      </c>
      <c r="C78">
        <v>0.89380000000000004</v>
      </c>
      <c r="D78">
        <v>0.80500000000000005</v>
      </c>
      <c r="E78">
        <v>0.81230000000000002</v>
      </c>
      <c r="F78">
        <v>55616351</v>
      </c>
      <c r="G78">
        <v>0.81230000000000002</v>
      </c>
      <c r="L78" t="s">
        <v>7</v>
      </c>
      <c r="M78" t="s">
        <v>7</v>
      </c>
      <c r="N78" t="s">
        <v>7</v>
      </c>
      <c r="P78">
        <f t="shared" ref="P78" si="365">IF(C78=D78,0,((E78-D78)-(C78-E78))/(C78-D78))</f>
        <v>-0.83558558558558615</v>
      </c>
      <c r="Q78">
        <f t="shared" ref="Q78" si="366">F78*P78</f>
        <v>-46472221.218468502</v>
      </c>
      <c r="R78">
        <f t="shared" ref="R78" si="367">R79+Q78</f>
        <v>-1095391454.0018289</v>
      </c>
      <c r="S78">
        <f t="shared" ref="S78" si="368">R78/100000</f>
        <v>-10953.91454001829</v>
      </c>
      <c r="T78">
        <f t="shared" ref="T78" si="369">S78/1000</f>
        <v>-10.953914540018289</v>
      </c>
    </row>
    <row r="79" spans="1:20" x14ac:dyDescent="0.25">
      <c r="A79" s="5">
        <v>44514</v>
      </c>
      <c r="B79">
        <v>1.0135000000000001</v>
      </c>
      <c r="C79">
        <v>1.0535000000000001</v>
      </c>
      <c r="D79">
        <v>0.84950000000000003</v>
      </c>
      <c r="E79">
        <v>0.86829999999999996</v>
      </c>
      <c r="F79">
        <v>208441935</v>
      </c>
      <c r="G79">
        <v>0.86829999999999996</v>
      </c>
      <c r="L79" t="s">
        <v>7</v>
      </c>
      <c r="M79" t="s">
        <v>7</v>
      </c>
      <c r="N79" t="s">
        <v>8</v>
      </c>
      <c r="P79">
        <f t="shared" ref="P79" si="370">IF(C79=D79,0,((E79-D79)-(C79-E79))/(C79-D79))</f>
        <v>-0.81568627450980469</v>
      </c>
      <c r="Q79">
        <f t="shared" ref="Q79" si="371">F79*P79</f>
        <v>-170023225.41176486</v>
      </c>
      <c r="R79">
        <f t="shared" ref="R79" si="372">R80+Q79</f>
        <v>-1048919232.7833605</v>
      </c>
      <c r="S79">
        <f t="shared" ref="S79" si="373">R79/100000</f>
        <v>-10489.192327833605</v>
      </c>
      <c r="T79">
        <f t="shared" ref="T79" si="374">S79/1000</f>
        <v>-10.489192327833605</v>
      </c>
    </row>
    <row r="80" spans="1:20" x14ac:dyDescent="0.25">
      <c r="A80" s="5">
        <v>44513</v>
      </c>
      <c r="B80">
        <v>0.65300000000000002</v>
      </c>
      <c r="C80">
        <v>1.1399999999999999</v>
      </c>
      <c r="D80">
        <v>0.65</v>
      </c>
      <c r="E80">
        <v>1.014</v>
      </c>
      <c r="F80">
        <v>284024357</v>
      </c>
      <c r="G80">
        <v>1.014</v>
      </c>
      <c r="L80" t="s">
        <v>8</v>
      </c>
      <c r="M80" t="s">
        <v>8</v>
      </c>
      <c r="N80" t="s">
        <v>8</v>
      </c>
      <c r="P80">
        <f t="shared" ref="P80" si="375">IF(C80=D80,0,((E80-D80)-(C80-E80))/(C80-D80))</f>
        <v>0.48571428571428604</v>
      </c>
      <c r="Q80">
        <f t="shared" ref="Q80" si="376">F80*P80</f>
        <v>137954687.68571439</v>
      </c>
      <c r="R80">
        <f t="shared" ref="R80" si="377">R81+Q80</f>
        <v>-878896007.37159562</v>
      </c>
      <c r="S80">
        <f t="shared" ref="S80" si="378">R80/100000</f>
        <v>-8788.9600737159562</v>
      </c>
      <c r="T80">
        <f t="shared" ref="T80" si="379">S80/1000</f>
        <v>-8.7889600737159554</v>
      </c>
    </row>
    <row r="81" spans="1:20" x14ac:dyDescent="0.25">
      <c r="A81" s="5">
        <v>44512</v>
      </c>
      <c r="B81">
        <v>0.67679999999999996</v>
      </c>
      <c r="C81">
        <v>0.69079999999999997</v>
      </c>
      <c r="D81">
        <v>0.63</v>
      </c>
      <c r="E81">
        <v>0.65300000000000002</v>
      </c>
      <c r="F81">
        <v>10166194</v>
      </c>
      <c r="G81">
        <v>0.65300000000000002</v>
      </c>
      <c r="L81" t="s">
        <v>7</v>
      </c>
      <c r="M81" t="s">
        <v>8</v>
      </c>
      <c r="N81" t="s">
        <v>7</v>
      </c>
      <c r="P81">
        <f t="shared" ref="P81" si="380">IF(C81=D81,0,((E81-D81)-(C81-E81))/(C81-D81))</f>
        <v>-0.24342105263157784</v>
      </c>
      <c r="Q81">
        <f t="shared" ref="Q81" si="381">F81*P81</f>
        <v>-2474665.6447368311</v>
      </c>
      <c r="R81">
        <f t="shared" ref="R81" si="382">R82+Q81</f>
        <v>-1016850695.05731</v>
      </c>
      <c r="S81">
        <f t="shared" ref="S81" si="383">R81/100000</f>
        <v>-10168.506950573099</v>
      </c>
      <c r="T81">
        <f t="shared" ref="T81" si="384">S81/1000</f>
        <v>-10.168506950573098</v>
      </c>
    </row>
    <row r="82" spans="1:20" x14ac:dyDescent="0.25">
      <c r="A82" s="5">
        <v>44511</v>
      </c>
      <c r="B82">
        <v>0.65149999999999997</v>
      </c>
      <c r="C82">
        <v>0.68799999999999994</v>
      </c>
      <c r="D82">
        <v>0.63829999999999998</v>
      </c>
      <c r="E82">
        <v>0.67720000000000002</v>
      </c>
      <c r="F82">
        <v>10477254</v>
      </c>
      <c r="G82">
        <v>0.67720000000000002</v>
      </c>
      <c r="L82" t="s">
        <v>8</v>
      </c>
      <c r="M82" t="s">
        <v>8</v>
      </c>
      <c r="N82" t="s">
        <v>7</v>
      </c>
      <c r="P82">
        <f t="shared" ref="P82" si="385">IF(C82=D82,0,((E82-D82)-(C82-E82))/(C82-D82))</f>
        <v>0.56539235412475142</v>
      </c>
      <c r="Q82">
        <f t="shared" ref="Q82" si="386">F82*P82</f>
        <v>5923759.3038229682</v>
      </c>
      <c r="R82">
        <f t="shared" ref="R82" si="387">R83+Q82</f>
        <v>-1014376029.4125731</v>
      </c>
      <c r="S82">
        <f t="shared" ref="S82" si="388">R82/100000</f>
        <v>-10143.760294125732</v>
      </c>
      <c r="T82">
        <f t="shared" ref="T82" si="389">S82/1000</f>
        <v>-10.143760294125732</v>
      </c>
    </row>
    <row r="83" spans="1:20" x14ac:dyDescent="0.25">
      <c r="A83" s="5">
        <v>44510</v>
      </c>
      <c r="B83">
        <v>0.70469999999999999</v>
      </c>
      <c r="C83">
        <v>0.73140000000000005</v>
      </c>
      <c r="D83">
        <v>0.58079999999999998</v>
      </c>
      <c r="E83">
        <v>0.65169999999999995</v>
      </c>
      <c r="F83">
        <v>26091938</v>
      </c>
      <c r="G83">
        <v>0.65169999999999995</v>
      </c>
      <c r="L83" t="s">
        <v>7</v>
      </c>
      <c r="M83" t="s">
        <v>7</v>
      </c>
      <c r="N83" t="s">
        <v>7</v>
      </c>
      <c r="P83">
        <f t="shared" ref="P83" si="390">IF(C83=D83,0,((E83-D83)-(C83-E83))/(C83-D83))</f>
        <v>-5.8432934926959744E-2</v>
      </c>
      <c r="Q83">
        <f t="shared" ref="Q83" si="391">F83*P83</f>
        <v>-1524628.5152722681</v>
      </c>
      <c r="R83">
        <f t="shared" ref="R83" si="392">R84+Q83</f>
        <v>-1020299788.7163961</v>
      </c>
      <c r="S83">
        <f t="shared" ref="S83" si="393">R83/100000</f>
        <v>-10202.997887163961</v>
      </c>
      <c r="T83">
        <f t="shared" ref="T83" si="394">S83/1000</f>
        <v>-10.202997887163962</v>
      </c>
    </row>
    <row r="84" spans="1:20" x14ac:dyDescent="0.25">
      <c r="A84" s="5">
        <v>44509</v>
      </c>
      <c r="B84">
        <v>0.72660000000000002</v>
      </c>
      <c r="C84">
        <v>0.74880000000000002</v>
      </c>
      <c r="D84">
        <v>0.70340000000000003</v>
      </c>
      <c r="E84">
        <v>0.70440000000000003</v>
      </c>
      <c r="F84">
        <v>13724392</v>
      </c>
      <c r="G84">
        <v>0.70440000000000003</v>
      </c>
      <c r="L84" t="s">
        <v>7</v>
      </c>
      <c r="M84" t="s">
        <v>8</v>
      </c>
      <c r="N84" t="s">
        <v>8</v>
      </c>
      <c r="P84">
        <f t="shared" ref="P84" si="395">IF(C84=D84,0,((E84-D84)-(C84-E84))/(C84-D84))</f>
        <v>-0.95594713656387664</v>
      </c>
      <c r="Q84">
        <f t="shared" ref="Q84" si="396">F84*P84</f>
        <v>-13119793.233480176</v>
      </c>
      <c r="R84">
        <f t="shared" ref="R84" si="397">R85+Q84</f>
        <v>-1018775160.2011238</v>
      </c>
      <c r="S84">
        <f t="shared" ref="S84" si="398">R84/100000</f>
        <v>-10187.751602011238</v>
      </c>
      <c r="T84">
        <f t="shared" ref="T84" si="399">S84/1000</f>
        <v>-10.187751602011238</v>
      </c>
    </row>
    <row r="85" spans="1:20" x14ac:dyDescent="0.25">
      <c r="A85" s="5">
        <v>44508</v>
      </c>
      <c r="B85">
        <v>0.73170000000000002</v>
      </c>
      <c r="C85">
        <v>0.76980000000000004</v>
      </c>
      <c r="D85">
        <v>0.71360000000000001</v>
      </c>
      <c r="E85">
        <v>0.72650000000000003</v>
      </c>
      <c r="F85">
        <v>20669185</v>
      </c>
      <c r="G85">
        <v>0.72650000000000003</v>
      </c>
      <c r="L85" t="s">
        <v>8</v>
      </c>
      <c r="M85" t="s">
        <v>8</v>
      </c>
      <c r="N85" t="s">
        <v>8</v>
      </c>
      <c r="P85">
        <f t="shared" ref="P85" si="400">IF(C85=D85,0,((E85-D85)-(C85-E85))/(C85-D85))</f>
        <v>-0.54092526690391396</v>
      </c>
      <c r="Q85">
        <f t="shared" ref="Q85" si="401">F85*P85</f>
        <v>-11180484.412811374</v>
      </c>
      <c r="R85">
        <f t="shared" ref="R85" si="402">R86+Q85</f>
        <v>-1005655366.9676436</v>
      </c>
      <c r="S85">
        <f t="shared" ref="S85" si="403">R85/100000</f>
        <v>-10056.553669676436</v>
      </c>
      <c r="T85">
        <f t="shared" ref="T85" si="404">S85/1000</f>
        <v>-10.056553669676436</v>
      </c>
    </row>
    <row r="86" spans="1:20" x14ac:dyDescent="0.25">
      <c r="A86" s="5">
        <v>44507</v>
      </c>
      <c r="B86">
        <v>0.72689999999999999</v>
      </c>
      <c r="C86">
        <v>0.73450000000000004</v>
      </c>
      <c r="D86">
        <v>0.71830000000000005</v>
      </c>
      <c r="E86">
        <v>0.73119999999999996</v>
      </c>
      <c r="F86">
        <v>8586214</v>
      </c>
      <c r="G86">
        <v>0.73119999999999996</v>
      </c>
      <c r="L86" t="s">
        <v>8</v>
      </c>
      <c r="M86" t="s">
        <v>8</v>
      </c>
      <c r="N86" t="s">
        <v>8</v>
      </c>
      <c r="P86">
        <f t="shared" ref="P86" si="405">IF(C86=D86,0,((E86-D86)-(C86-E86))/(C86-D86))</f>
        <v>0.59259259259258246</v>
      </c>
      <c r="Q86">
        <f t="shared" ref="Q86" si="406">F86*P86</f>
        <v>5088126.8148147278</v>
      </c>
      <c r="R86">
        <f t="shared" ref="R86" si="407">R87+Q86</f>
        <v>-994474882.55483222</v>
      </c>
      <c r="S86">
        <f t="shared" ref="S86" si="408">R86/100000</f>
        <v>-9944.7488255483222</v>
      </c>
      <c r="T86">
        <f t="shared" ref="T86" si="409">S86/1000</f>
        <v>-9.9447488255483218</v>
      </c>
    </row>
    <row r="87" spans="1:20" x14ac:dyDescent="0.25">
      <c r="A87" s="5">
        <v>44506</v>
      </c>
      <c r="B87">
        <v>0.71130000000000004</v>
      </c>
      <c r="C87">
        <v>0.73260000000000003</v>
      </c>
      <c r="D87">
        <v>0.68010000000000004</v>
      </c>
      <c r="E87">
        <v>0.72609999999999997</v>
      </c>
      <c r="F87">
        <v>10264137</v>
      </c>
      <c r="G87">
        <v>0.72609999999999997</v>
      </c>
      <c r="L87" t="s">
        <v>7</v>
      </c>
      <c r="M87" t="s">
        <v>8</v>
      </c>
      <c r="N87" t="s">
        <v>8</v>
      </c>
      <c r="P87">
        <f t="shared" ref="P87" si="410">IF(C87=D87,0,((E87-D87)-(C87-E87))/(C87-D87))</f>
        <v>0.75238095238095004</v>
      </c>
      <c r="Q87">
        <f t="shared" ref="Q87" si="411">F87*P87</f>
        <v>7722541.1714285472</v>
      </c>
      <c r="R87">
        <f t="shared" ref="R87" si="412">R88+Q87</f>
        <v>-999563009.36964691</v>
      </c>
      <c r="S87">
        <f t="shared" ref="S87" si="413">R87/100000</f>
        <v>-9995.630093696469</v>
      </c>
      <c r="T87">
        <f t="shared" ref="T87" si="414">S87/1000</f>
        <v>-9.9956300936964695</v>
      </c>
    </row>
    <row r="88" spans="1:20" x14ac:dyDescent="0.25">
      <c r="A88" s="5">
        <v>44505</v>
      </c>
      <c r="B88">
        <v>0.73609999999999998</v>
      </c>
      <c r="C88">
        <v>0.76190000000000002</v>
      </c>
      <c r="D88">
        <v>0.70179999999999998</v>
      </c>
      <c r="E88">
        <v>0.71099999999999997</v>
      </c>
      <c r="F88">
        <v>16591254</v>
      </c>
      <c r="G88">
        <v>0.71099999999999997</v>
      </c>
      <c r="L88" t="s">
        <v>7</v>
      </c>
      <c r="M88" t="s">
        <v>8</v>
      </c>
      <c r="N88" t="s">
        <v>8</v>
      </c>
      <c r="P88">
        <f t="shared" ref="P88" si="415">IF(C88=D88,0,((E88-D88)-(C88-E88))/(C88-D88))</f>
        <v>-0.69384359400998408</v>
      </c>
      <c r="Q88">
        <f t="shared" ref="Q88" si="416">F88*P88</f>
        <v>-11511735.304492524</v>
      </c>
      <c r="R88">
        <f t="shared" ref="R88" si="417">R89+Q88</f>
        <v>-1007285550.5410755</v>
      </c>
      <c r="S88">
        <f t="shared" ref="S88" si="418">R88/100000</f>
        <v>-10072.855505410755</v>
      </c>
      <c r="T88">
        <f t="shared" ref="T88" si="419">S88/1000</f>
        <v>-10.072855505410754</v>
      </c>
    </row>
    <row r="89" spans="1:20" x14ac:dyDescent="0.25">
      <c r="A89" s="5">
        <v>44504</v>
      </c>
      <c r="B89">
        <v>0.6885</v>
      </c>
      <c r="C89">
        <v>0.80810000000000004</v>
      </c>
      <c r="D89">
        <v>0.68</v>
      </c>
      <c r="E89">
        <v>0.73599999999999999</v>
      </c>
      <c r="F89">
        <v>55174743</v>
      </c>
      <c r="G89">
        <v>0.73599999999999999</v>
      </c>
      <c r="L89" t="s">
        <v>8</v>
      </c>
      <c r="M89" t="s">
        <v>8</v>
      </c>
      <c r="N89" t="s">
        <v>8</v>
      </c>
      <c r="P89">
        <f t="shared" ref="P89" si="420">IF(C89=D89,0,((E89-D89)-(C89-E89))/(C89-D89))</f>
        <v>-0.12568306010929051</v>
      </c>
      <c r="Q89">
        <f t="shared" ref="Q89" si="421">F89*P89</f>
        <v>-6934530.5409836555</v>
      </c>
      <c r="R89">
        <f t="shared" ref="R89" si="422">R90+Q89</f>
        <v>-995773815.23658299</v>
      </c>
      <c r="S89">
        <f t="shared" ref="S89" si="423">R89/100000</f>
        <v>-9957.7381523658296</v>
      </c>
      <c r="T89">
        <f t="shared" ref="T89" si="424">S89/1000</f>
        <v>-9.9577381523658293</v>
      </c>
    </row>
    <row r="90" spans="1:20" x14ac:dyDescent="0.25">
      <c r="A90" s="5">
        <v>44503</v>
      </c>
      <c r="B90">
        <v>0.72189999999999999</v>
      </c>
      <c r="C90">
        <v>0.73409999999999997</v>
      </c>
      <c r="D90">
        <v>0.67100000000000004</v>
      </c>
      <c r="E90">
        <v>0.68840000000000001</v>
      </c>
      <c r="F90">
        <v>24054532</v>
      </c>
      <c r="G90">
        <v>0.68840000000000001</v>
      </c>
      <c r="L90" t="s">
        <v>7</v>
      </c>
      <c r="M90" t="s">
        <v>7</v>
      </c>
      <c r="N90" t="s">
        <v>8</v>
      </c>
      <c r="P90">
        <f t="shared" ref="P90" si="425">IF(C90=D90,0,((E90-D90)-(C90-E90))/(C90-D90))</f>
        <v>-0.44849445324881176</v>
      </c>
      <c r="Q90">
        <f t="shared" ref="Q90" si="426">F90*P90</f>
        <v>-10788324.177496046</v>
      </c>
      <c r="R90">
        <f t="shared" ref="R90" si="427">R91+Q90</f>
        <v>-988839284.69559932</v>
      </c>
      <c r="S90">
        <f t="shared" ref="S90" si="428">R90/100000</f>
        <v>-9888.3928469559924</v>
      </c>
      <c r="T90">
        <f t="shared" ref="T90" si="429">S90/1000</f>
        <v>-9.888392846955993</v>
      </c>
    </row>
    <row r="91" spans="1:20" x14ac:dyDescent="0.25">
      <c r="A91" s="5">
        <v>44502</v>
      </c>
      <c r="B91">
        <v>0.67549999999999999</v>
      </c>
      <c r="C91">
        <v>0.84</v>
      </c>
      <c r="D91">
        <v>0.66510000000000002</v>
      </c>
      <c r="E91">
        <v>0.72189999999999999</v>
      </c>
      <c r="F91">
        <v>58966545</v>
      </c>
      <c r="G91">
        <v>0.72189999999999999</v>
      </c>
      <c r="L91" t="s">
        <v>8</v>
      </c>
      <c r="M91" t="s">
        <v>8</v>
      </c>
      <c r="N91" t="s">
        <v>8</v>
      </c>
      <c r="P91">
        <f t="shared" ref="P91" si="430">IF(C91=D91,0,((E91-D91)-(C91-E91))/(C91-D91))</f>
        <v>-0.35048599199542618</v>
      </c>
      <c r="Q91">
        <f t="shared" ref="Q91" si="431">F91*P91</f>
        <v>-20666948.018867936</v>
      </c>
      <c r="R91">
        <f t="shared" ref="R91" si="432">R92+Q91</f>
        <v>-978050960.51810324</v>
      </c>
      <c r="S91">
        <f t="shared" ref="S91" si="433">R91/100000</f>
        <v>-9780.5096051810324</v>
      </c>
      <c r="T91">
        <f t="shared" ref="T91" si="434">S91/1000</f>
        <v>-9.7805096051810327</v>
      </c>
    </row>
    <row r="92" spans="1:20" x14ac:dyDescent="0.25">
      <c r="A92" s="5">
        <v>44501</v>
      </c>
      <c r="B92">
        <v>0.6522</v>
      </c>
      <c r="C92">
        <v>0.72470000000000001</v>
      </c>
      <c r="D92">
        <v>0.62339999999999995</v>
      </c>
      <c r="E92">
        <v>0.67569999999999997</v>
      </c>
      <c r="F92">
        <v>23481748</v>
      </c>
      <c r="G92">
        <v>0.67569999999999997</v>
      </c>
      <c r="L92" t="s">
        <v>8</v>
      </c>
      <c r="M92" t="s">
        <v>8</v>
      </c>
      <c r="N92" t="s">
        <v>7</v>
      </c>
      <c r="P92">
        <f t="shared" ref="P92" si="435">IF(C92=D92,0,((E92-D92)-(C92-E92))/(C92-D92))</f>
        <v>3.257650542941725E-2</v>
      </c>
      <c r="Q92">
        <f t="shared" ref="Q92" si="436">F92*P92</f>
        <v>764953.29121420765</v>
      </c>
      <c r="R92">
        <f t="shared" ref="R92" si="437">R93+Q92</f>
        <v>-957384012.49923527</v>
      </c>
      <c r="S92">
        <f t="shared" ref="S92" si="438">R92/100000</f>
        <v>-9573.8401249923536</v>
      </c>
      <c r="T92">
        <f t="shared" ref="T92" si="439">S92/1000</f>
        <v>-9.573840124992353</v>
      </c>
    </row>
    <row r="93" spans="1:20" x14ac:dyDescent="0.25">
      <c r="A93" s="5">
        <v>44500</v>
      </c>
      <c r="B93">
        <v>0.65080000000000005</v>
      </c>
      <c r="C93">
        <v>0.66920000000000002</v>
      </c>
      <c r="D93">
        <v>0.62780000000000002</v>
      </c>
      <c r="E93">
        <v>0.65190000000000003</v>
      </c>
      <c r="F93">
        <v>12483094</v>
      </c>
      <c r="G93">
        <v>0.65190000000000003</v>
      </c>
      <c r="L93" t="s">
        <v>7</v>
      </c>
      <c r="M93" t="s">
        <v>8</v>
      </c>
      <c r="N93" t="s">
        <v>7</v>
      </c>
      <c r="P93">
        <f t="shared" ref="P93" si="440">IF(C93=D93,0,((E93-D93)-(C93-E93))/(C93-D93))</f>
        <v>0.1642512077294693</v>
      </c>
      <c r="Q93">
        <f t="shared" ref="Q93" si="441">F93*P93</f>
        <v>2050363.2657004918</v>
      </c>
      <c r="R93">
        <f t="shared" ref="R93" si="442">R94+Q93</f>
        <v>-958148965.7904495</v>
      </c>
      <c r="S93">
        <f t="shared" ref="S93" si="443">R93/100000</f>
        <v>-9581.4896579044944</v>
      </c>
      <c r="T93">
        <f t="shared" ref="T93" si="444">S93/1000</f>
        <v>-9.5814896579044948</v>
      </c>
    </row>
    <row r="94" spans="1:20" x14ac:dyDescent="0.25">
      <c r="A94" s="5">
        <v>44499</v>
      </c>
      <c r="B94">
        <v>0.66959999999999997</v>
      </c>
      <c r="C94">
        <v>0.74390000000000001</v>
      </c>
      <c r="D94">
        <v>0.64149999999999996</v>
      </c>
      <c r="E94">
        <v>0.65159999999999996</v>
      </c>
      <c r="F94">
        <v>33371992</v>
      </c>
      <c r="G94">
        <v>0.65159999999999996</v>
      </c>
      <c r="L94" t="s">
        <v>8</v>
      </c>
      <c r="M94" t="s">
        <v>8</v>
      </c>
      <c r="N94" t="s">
        <v>7</v>
      </c>
      <c r="P94">
        <f t="shared" ref="P94" si="445">IF(C94=D94,0,((E94-D94)-(C94-E94))/(C94-D94))</f>
        <v>-0.80273437500000011</v>
      </c>
      <c r="Q94">
        <f t="shared" ref="Q94" si="446">F94*P94</f>
        <v>-26788845.140625004</v>
      </c>
      <c r="R94">
        <f t="shared" ref="R94" si="447">R95+Q94</f>
        <v>-960199329.05614996</v>
      </c>
      <c r="S94">
        <f t="shared" ref="S94" si="448">R94/100000</f>
        <v>-9601.9932905614987</v>
      </c>
      <c r="T94">
        <f t="shared" ref="T94" si="449">S94/1000</f>
        <v>-9.6019932905614986</v>
      </c>
    </row>
    <row r="95" spans="1:20" x14ac:dyDescent="0.25">
      <c r="A95" s="5">
        <v>44498</v>
      </c>
      <c r="B95">
        <v>0.64319999999999999</v>
      </c>
      <c r="C95">
        <v>0.69769999999999999</v>
      </c>
      <c r="D95">
        <v>0.63980000000000004</v>
      </c>
      <c r="E95">
        <v>0.66890000000000005</v>
      </c>
      <c r="F95">
        <v>20043463</v>
      </c>
      <c r="G95">
        <v>0.66890000000000005</v>
      </c>
      <c r="L95" t="s">
        <v>8</v>
      </c>
      <c r="M95" t="s">
        <v>7</v>
      </c>
      <c r="N95" t="s">
        <v>7</v>
      </c>
      <c r="P95">
        <f t="shared" ref="P95" si="450">IF(C95=D95,0,((E95-D95)-(C95-E95))/(C95-D95))</f>
        <v>5.1813471502604189E-3</v>
      </c>
      <c r="Q95">
        <f t="shared" ref="Q95" si="451">F95*P95</f>
        <v>103852.13989640014</v>
      </c>
      <c r="R95">
        <f t="shared" ref="R95" si="452">R96+Q95</f>
        <v>-933410483.91552496</v>
      </c>
      <c r="S95">
        <f t="shared" ref="S95" si="453">R95/100000</f>
        <v>-9334.1048391552504</v>
      </c>
      <c r="T95">
        <f t="shared" ref="T95" si="454">S95/1000</f>
        <v>-9.3341048391552501</v>
      </c>
    </row>
    <row r="96" spans="1:20" x14ac:dyDescent="0.25">
      <c r="A96" s="5">
        <v>44497</v>
      </c>
      <c r="B96">
        <v>0.63549999999999995</v>
      </c>
      <c r="C96">
        <v>0.67520000000000002</v>
      </c>
      <c r="D96">
        <v>0.62050000000000005</v>
      </c>
      <c r="E96">
        <v>0.64229999999999998</v>
      </c>
      <c r="F96">
        <v>28023191</v>
      </c>
      <c r="G96">
        <v>0.64229999999999998</v>
      </c>
      <c r="L96" t="s">
        <v>8</v>
      </c>
      <c r="M96" t="s">
        <v>7</v>
      </c>
      <c r="N96" t="s">
        <v>7</v>
      </c>
      <c r="P96">
        <f t="shared" ref="P96" si="455">IF(C96=D96,0,((E96-D96)-(C96-E96))/(C96-D96))</f>
        <v>-0.20292504570384123</v>
      </c>
      <c r="Q96">
        <f t="shared" ref="Q96" si="456">F96*P96</f>
        <v>-5686607.3144424725</v>
      </c>
      <c r="R96">
        <f t="shared" ref="R96" si="457">R97+Q96</f>
        <v>-933514336.05542135</v>
      </c>
      <c r="S96">
        <f t="shared" ref="S96" si="458">R96/100000</f>
        <v>-9335.1433605542134</v>
      </c>
      <c r="T96">
        <f t="shared" ref="T96" si="459">S96/1000</f>
        <v>-9.3351433605542127</v>
      </c>
    </row>
    <row r="97" spans="1:20" x14ac:dyDescent="0.25">
      <c r="A97" s="5">
        <v>44496</v>
      </c>
      <c r="B97">
        <v>0.73529999999999995</v>
      </c>
      <c r="C97">
        <v>0.74519999999999997</v>
      </c>
      <c r="D97">
        <v>0.60780000000000001</v>
      </c>
      <c r="E97">
        <v>0.63360000000000005</v>
      </c>
      <c r="F97">
        <v>34768762</v>
      </c>
      <c r="G97">
        <v>0.63360000000000005</v>
      </c>
      <c r="L97" t="s">
        <v>7</v>
      </c>
      <c r="M97" t="s">
        <v>7</v>
      </c>
      <c r="N97" t="s">
        <v>7</v>
      </c>
      <c r="P97">
        <f t="shared" ref="P97" si="460">IF(C97=D97,0,((E97-D97)-(C97-E97))/(C97-D97))</f>
        <v>-0.62445414847161496</v>
      </c>
      <c r="Q97">
        <f t="shared" ref="Q97" si="461">F97*P97</f>
        <v>-21711497.668122243</v>
      </c>
      <c r="R97">
        <f t="shared" ref="R97" si="462">R98+Q97</f>
        <v>-927827728.74097884</v>
      </c>
      <c r="S97">
        <f t="shared" ref="S97" si="463">R97/100000</f>
        <v>-9278.2772874097882</v>
      </c>
      <c r="T97">
        <f t="shared" ref="T97" si="464">S97/1000</f>
        <v>-9.2782772874097876</v>
      </c>
    </row>
    <row r="98" spans="1:20" x14ac:dyDescent="0.25">
      <c r="A98" s="5">
        <v>44495</v>
      </c>
      <c r="B98">
        <v>0.8034</v>
      </c>
      <c r="C98">
        <v>0.8427</v>
      </c>
      <c r="D98">
        <v>0.72009999999999996</v>
      </c>
      <c r="E98">
        <v>0.73499999999999999</v>
      </c>
      <c r="F98">
        <v>38965257</v>
      </c>
      <c r="G98">
        <v>0.73499999999999999</v>
      </c>
      <c r="L98" t="s">
        <v>8</v>
      </c>
      <c r="M98" t="s">
        <v>8</v>
      </c>
      <c r="N98" t="s">
        <v>7</v>
      </c>
      <c r="P98">
        <f t="shared" ref="P98" si="465">IF(C98=D98,0,((E98-D98)-(C98-E98))/(C98-D98))</f>
        <v>-0.75693311582381695</v>
      </c>
      <c r="Q98">
        <f t="shared" ref="Q98" si="466">F98*P98</f>
        <v>-29494093.389885794</v>
      </c>
      <c r="R98">
        <f t="shared" ref="R98" si="467">R99+Q98</f>
        <v>-906116231.07285655</v>
      </c>
      <c r="S98">
        <f t="shared" ref="S98" si="468">R98/100000</f>
        <v>-9061.162310728565</v>
      </c>
      <c r="T98">
        <f t="shared" ref="T98" si="469">S98/1000</f>
        <v>-9.0611623107285642</v>
      </c>
    </row>
    <row r="99" spans="1:20" x14ac:dyDescent="0.25">
      <c r="A99" s="5">
        <v>44494</v>
      </c>
      <c r="B99">
        <v>0.7006</v>
      </c>
      <c r="C99">
        <v>0.81789999999999996</v>
      </c>
      <c r="D99">
        <v>0.69630000000000003</v>
      </c>
      <c r="E99">
        <v>0.80410000000000004</v>
      </c>
      <c r="F99">
        <v>51070606</v>
      </c>
      <c r="G99">
        <v>0.80410000000000004</v>
      </c>
      <c r="L99" t="s">
        <v>8</v>
      </c>
      <c r="M99" t="s">
        <v>7</v>
      </c>
      <c r="N99" t="s">
        <v>7</v>
      </c>
      <c r="P99">
        <f t="shared" ref="P99" si="470">IF(C99=D99,0,((E99-D99)-(C99-E99))/(C99-D99))</f>
        <v>0.77302631578947478</v>
      </c>
      <c r="Q99">
        <f t="shared" ref="Q99" si="471">F99*P99</f>
        <v>39478922.401315846</v>
      </c>
      <c r="R99">
        <f t="shared" ref="R99" si="472">R100+Q99</f>
        <v>-876622137.68297076</v>
      </c>
      <c r="S99">
        <f t="shared" ref="S99" si="473">R99/100000</f>
        <v>-8766.2213768297079</v>
      </c>
      <c r="T99">
        <f t="shared" ref="T99" si="474">S99/1000</f>
        <v>-8.7662213768297086</v>
      </c>
    </row>
    <row r="100" spans="1:20" x14ac:dyDescent="0.25">
      <c r="A100" s="5">
        <v>44493</v>
      </c>
      <c r="B100">
        <v>0.72919999999999996</v>
      </c>
      <c r="C100">
        <v>0.74250000000000005</v>
      </c>
      <c r="D100">
        <v>0.6835</v>
      </c>
      <c r="E100">
        <v>0.70009999999999994</v>
      </c>
      <c r="F100">
        <v>18448653</v>
      </c>
      <c r="G100">
        <v>0.70009999999999994</v>
      </c>
      <c r="L100" t="s">
        <v>7</v>
      </c>
      <c r="M100" t="s">
        <v>7</v>
      </c>
      <c r="N100" t="s">
        <v>7</v>
      </c>
      <c r="P100">
        <f t="shared" ref="P100" si="475">IF(C100=D100,0,((E100-D100)-(C100-E100))/(C100-D100))</f>
        <v>-0.4372881355932226</v>
      </c>
      <c r="Q100">
        <f t="shared" ref="Q100" si="476">F100*P100</f>
        <v>-8067377.0745763127</v>
      </c>
      <c r="R100">
        <f t="shared" ref="R100" si="477">R101+Q100</f>
        <v>-916101060.08428657</v>
      </c>
      <c r="S100">
        <f t="shared" ref="S100" si="478">R100/100000</f>
        <v>-9161.0106008428666</v>
      </c>
      <c r="T100">
        <f t="shared" ref="T100" si="479">S100/1000</f>
        <v>-9.1610106008428662</v>
      </c>
    </row>
    <row r="101" spans="1:20" x14ac:dyDescent="0.25">
      <c r="A101" s="5">
        <v>44492</v>
      </c>
      <c r="B101">
        <v>0.73950000000000005</v>
      </c>
      <c r="C101">
        <v>0.74609999999999999</v>
      </c>
      <c r="D101">
        <v>0.71630000000000005</v>
      </c>
      <c r="E101">
        <v>0.72870000000000001</v>
      </c>
      <c r="F101">
        <v>13964314</v>
      </c>
      <c r="G101">
        <v>0.72870000000000001</v>
      </c>
      <c r="L101" t="s">
        <v>7</v>
      </c>
      <c r="M101" t="s">
        <v>7</v>
      </c>
      <c r="N101" t="s">
        <v>7</v>
      </c>
      <c r="P101">
        <f t="shared" ref="P101" si="480">IF(C101=D101,0,((E101-D101)-(C101-E101))/(C101-D101))</f>
        <v>-0.16778523489932937</v>
      </c>
      <c r="Q101">
        <f t="shared" ref="Q101" si="481">F101*P101</f>
        <v>-2343005.7046979936</v>
      </c>
      <c r="R101">
        <f t="shared" ref="R101" si="482">R102+Q101</f>
        <v>-908033683.00971031</v>
      </c>
      <c r="S101">
        <f t="shared" ref="S101" si="483">R101/100000</f>
        <v>-9080.3368300971033</v>
      </c>
      <c r="T101">
        <f t="shared" ref="T101" si="484">S101/1000</f>
        <v>-9.080336830097103</v>
      </c>
    </row>
    <row r="102" spans="1:20" x14ac:dyDescent="0.25">
      <c r="A102" s="5">
        <v>44491</v>
      </c>
      <c r="B102">
        <v>0.72850000000000004</v>
      </c>
      <c r="C102">
        <v>0.75439999999999996</v>
      </c>
      <c r="D102">
        <v>0.70189999999999997</v>
      </c>
      <c r="E102">
        <v>0.74019999999999997</v>
      </c>
      <c r="F102">
        <v>17331410</v>
      </c>
      <c r="G102">
        <v>0.74019999999999997</v>
      </c>
      <c r="L102" t="s">
        <v>7</v>
      </c>
      <c r="M102" t="s">
        <v>7</v>
      </c>
      <c r="N102" t="s">
        <v>7</v>
      </c>
      <c r="P102">
        <f t="shared" ref="P102" si="485">IF(C102=D102,0,((E102-D102)-(C102-E102))/(C102-D102))</f>
        <v>0.45904761904761932</v>
      </c>
      <c r="Q102">
        <f t="shared" ref="Q102" si="486">F102*P102</f>
        <v>7955942.4952381002</v>
      </c>
      <c r="R102">
        <f t="shared" ref="R102" si="487">R103+Q102</f>
        <v>-905690677.30501235</v>
      </c>
      <c r="S102">
        <f t="shared" ref="S102" si="488">R102/100000</f>
        <v>-9056.9067730501229</v>
      </c>
      <c r="T102">
        <f t="shared" ref="T102" si="489">S102/1000</f>
        <v>-9.0569067730501231</v>
      </c>
    </row>
    <row r="103" spans="1:20" x14ac:dyDescent="0.25">
      <c r="A103" s="5">
        <v>44490</v>
      </c>
      <c r="B103">
        <v>0.77110000000000001</v>
      </c>
      <c r="C103">
        <v>0.80469999999999997</v>
      </c>
      <c r="D103">
        <v>0.72050000000000003</v>
      </c>
      <c r="E103">
        <v>0.72919999999999996</v>
      </c>
      <c r="F103">
        <v>30702854</v>
      </c>
      <c r="G103">
        <v>0.72919999999999996</v>
      </c>
      <c r="L103" t="s">
        <v>7</v>
      </c>
      <c r="M103" t="s">
        <v>7</v>
      </c>
      <c r="N103" t="s">
        <v>7</v>
      </c>
      <c r="P103">
        <f t="shared" ref="P103" si="490">IF(C103=D103,0,((E103-D103)-(C103-E103))/(C103-D103))</f>
        <v>-0.79334916864608229</v>
      </c>
      <c r="Q103">
        <f t="shared" ref="Q103" si="491">F103*P103</f>
        <v>-24358083.695962042</v>
      </c>
      <c r="R103">
        <f t="shared" ref="R103" si="492">R104+Q103</f>
        <v>-913646619.80025041</v>
      </c>
      <c r="S103">
        <f t="shared" ref="S103" si="493">R103/100000</f>
        <v>-9136.4661980025048</v>
      </c>
      <c r="T103">
        <f t="shared" ref="T103" si="494">S103/1000</f>
        <v>-9.1364661980025055</v>
      </c>
    </row>
    <row r="104" spans="1:20" x14ac:dyDescent="0.25">
      <c r="A104" s="5">
        <v>44489</v>
      </c>
      <c r="B104">
        <v>0.77769999999999995</v>
      </c>
      <c r="C104">
        <v>0.80769999999999997</v>
      </c>
      <c r="D104">
        <v>0.75080000000000002</v>
      </c>
      <c r="E104">
        <v>0.77170000000000005</v>
      </c>
      <c r="F104">
        <v>30892418</v>
      </c>
      <c r="G104">
        <v>0.77170000000000005</v>
      </c>
      <c r="L104" t="s">
        <v>7</v>
      </c>
      <c r="M104" t="s">
        <v>7</v>
      </c>
      <c r="N104" t="s">
        <v>7</v>
      </c>
      <c r="P104">
        <f t="shared" ref="P104" si="495">IF(C104=D104,0,((E104-D104)-(C104-E104))/(C104-D104))</f>
        <v>-0.26537785588752028</v>
      </c>
      <c r="Q104">
        <f t="shared" ref="Q104" si="496">F104*P104</f>
        <v>-8198163.6520210374</v>
      </c>
      <c r="R104">
        <f t="shared" ref="R104" si="497">R105+Q104</f>
        <v>-889288536.10428834</v>
      </c>
      <c r="S104">
        <f t="shared" ref="S104" si="498">R104/100000</f>
        <v>-8892.8853610428832</v>
      </c>
      <c r="T104">
        <f t="shared" ref="T104" si="499">S104/1000</f>
        <v>-8.8928853610428824</v>
      </c>
    </row>
    <row r="105" spans="1:20" x14ac:dyDescent="0.25">
      <c r="A105" s="5">
        <v>44488</v>
      </c>
      <c r="B105">
        <v>0.82850000000000001</v>
      </c>
      <c r="C105">
        <v>0.871</v>
      </c>
      <c r="D105">
        <v>0.7591</v>
      </c>
      <c r="E105">
        <v>0.77780000000000005</v>
      </c>
      <c r="F105">
        <v>49233991</v>
      </c>
      <c r="G105">
        <v>0.77780000000000005</v>
      </c>
      <c r="L105" t="s">
        <v>7</v>
      </c>
      <c r="M105" t="s">
        <v>7</v>
      </c>
      <c r="N105" t="s">
        <v>7</v>
      </c>
      <c r="P105">
        <f t="shared" ref="P105" si="500">IF(C105=D105,0,((E105-D105)-(C105-E105))/(C105-D105))</f>
        <v>-0.66577301161751479</v>
      </c>
      <c r="Q105">
        <f t="shared" ref="Q105" si="501">F105*P105</f>
        <v>-32778662.462019619</v>
      </c>
      <c r="R105">
        <f t="shared" ref="R105" si="502">R106+Q105</f>
        <v>-881090372.45226729</v>
      </c>
      <c r="S105">
        <f t="shared" ref="S105" si="503">R105/100000</f>
        <v>-8810.9037245226737</v>
      </c>
      <c r="T105">
        <f t="shared" ref="T105" si="504">S105/1000</f>
        <v>-8.8109037245226745</v>
      </c>
    </row>
    <row r="106" spans="1:20" x14ac:dyDescent="0.25">
      <c r="A106" s="5">
        <v>44487</v>
      </c>
      <c r="B106">
        <v>0.90969999999999995</v>
      </c>
      <c r="C106">
        <v>0.98660000000000003</v>
      </c>
      <c r="D106">
        <v>0.81120000000000003</v>
      </c>
      <c r="E106">
        <v>0.8286</v>
      </c>
      <c r="F106">
        <v>79567286</v>
      </c>
      <c r="G106">
        <v>0.8286</v>
      </c>
      <c r="L106" t="s">
        <v>7</v>
      </c>
      <c r="M106" t="s">
        <v>7</v>
      </c>
      <c r="N106" t="s">
        <v>7</v>
      </c>
      <c r="P106">
        <f t="shared" ref="P106" si="505">IF(C106=D106,0,((E106-D106)-(C106-E106))/(C106-D106))</f>
        <v>-0.80159635119726369</v>
      </c>
      <c r="Q106">
        <f t="shared" ref="Q106" si="506">F106*P106</f>
        <v>-63780846.132269122</v>
      </c>
      <c r="R106">
        <f t="shared" ref="R106" si="507">R107+Q106</f>
        <v>-848311709.99024773</v>
      </c>
      <c r="S106">
        <f t="shared" ref="S106" si="508">R106/100000</f>
        <v>-8483.117099902478</v>
      </c>
      <c r="T106">
        <f t="shared" ref="T106" si="509">S106/1000</f>
        <v>-8.4831170999024774</v>
      </c>
    </row>
    <row r="107" spans="1:20" x14ac:dyDescent="0.25">
      <c r="A107" s="5">
        <v>44486</v>
      </c>
      <c r="B107">
        <v>0.93640000000000001</v>
      </c>
      <c r="C107">
        <v>1.2090000000000001</v>
      </c>
      <c r="D107">
        <v>0.85219999999999996</v>
      </c>
      <c r="E107">
        <v>0.90959999999999996</v>
      </c>
      <c r="F107">
        <v>385778690</v>
      </c>
      <c r="G107">
        <v>0.90959999999999996</v>
      </c>
      <c r="L107" t="s">
        <v>8</v>
      </c>
      <c r="M107" t="s">
        <v>8</v>
      </c>
      <c r="N107" t="s">
        <v>8</v>
      </c>
      <c r="P107">
        <f t="shared" ref="P107" si="510">IF(C107=D107,0,((E107-D107)-(C107-E107))/(C107-D107))</f>
        <v>-0.6782511210762332</v>
      </c>
      <c r="Q107">
        <f t="shared" ref="Q107" si="511">F107*P107</f>
        <v>-261654828.97982064</v>
      </c>
      <c r="R107">
        <f t="shared" ref="R107" si="512">R108+Q107</f>
        <v>-784530863.85797858</v>
      </c>
      <c r="S107">
        <f t="shared" ref="S107" si="513">R107/100000</f>
        <v>-7845.308638579786</v>
      </c>
      <c r="T107">
        <f t="shared" ref="T107" si="514">S107/1000</f>
        <v>-7.8453086385797857</v>
      </c>
    </row>
    <row r="108" spans="1:20" x14ac:dyDescent="0.25">
      <c r="A108" s="5">
        <v>44485</v>
      </c>
      <c r="B108">
        <v>0.72070000000000001</v>
      </c>
      <c r="C108">
        <v>1.0528999999999999</v>
      </c>
      <c r="D108">
        <v>0.65149999999999997</v>
      </c>
      <c r="E108">
        <v>0.9365</v>
      </c>
      <c r="F108">
        <v>387424503</v>
      </c>
      <c r="G108">
        <v>0.9365</v>
      </c>
      <c r="L108" t="s">
        <v>7</v>
      </c>
      <c r="M108" t="s">
        <v>7</v>
      </c>
      <c r="N108" t="s">
        <v>7</v>
      </c>
      <c r="P108">
        <f t="shared" ref="P108" si="515">IF(C108=D108,0,((E108-D108)-(C108-E108))/(C108-D108))</f>
        <v>0.42002989536621849</v>
      </c>
      <c r="Q108">
        <f t="shared" ref="Q108" si="516">F108*P108</f>
        <v>162729873.45739919</v>
      </c>
      <c r="R108">
        <f t="shared" ref="R108" si="517">R109+Q108</f>
        <v>-522876034.87815791</v>
      </c>
      <c r="S108">
        <f t="shared" ref="S108" si="518">R108/100000</f>
        <v>-5228.7603487815795</v>
      </c>
      <c r="T108">
        <f t="shared" ref="T108" si="519">S108/1000</f>
        <v>-5.2287603487815799</v>
      </c>
    </row>
    <row r="109" spans="1:20" x14ac:dyDescent="0.25">
      <c r="A109" s="5">
        <v>44484</v>
      </c>
      <c r="B109">
        <v>0.41370000000000001</v>
      </c>
      <c r="C109">
        <v>1.1883999999999999</v>
      </c>
      <c r="D109">
        <v>0.39779999999999999</v>
      </c>
      <c r="E109">
        <v>0.72070000000000001</v>
      </c>
      <c r="F109">
        <v>993722039</v>
      </c>
      <c r="G109">
        <v>0.72070000000000001</v>
      </c>
      <c r="L109" t="s">
        <v>8</v>
      </c>
      <c r="M109" t="s">
        <v>8</v>
      </c>
      <c r="N109" t="s">
        <v>8</v>
      </c>
      <c r="P109">
        <f t="shared" ref="P109" si="520">IF(C109=D109,0,((E109-D109)-(C109-E109))/(C109-D109))</f>
        <v>-0.18315203642802919</v>
      </c>
      <c r="Q109">
        <f t="shared" ref="Q109" si="521">F109*P109</f>
        <v>-182002215.08626345</v>
      </c>
      <c r="R109">
        <f t="shared" ref="R109" si="522">R110+Q109</f>
        <v>-685605908.3355571</v>
      </c>
      <c r="S109">
        <f t="shared" ref="S109" si="523">R109/100000</f>
        <v>-6856.0590833555707</v>
      </c>
      <c r="T109">
        <f t="shared" ref="T109" si="524">S109/1000</f>
        <v>-6.8560590833555706</v>
      </c>
    </row>
    <row r="110" spans="1:20" x14ac:dyDescent="0.25">
      <c r="A110" s="5">
        <v>44483</v>
      </c>
      <c r="B110">
        <v>0.41760000000000003</v>
      </c>
      <c r="C110">
        <v>0.433</v>
      </c>
      <c r="D110">
        <v>0.40870000000000001</v>
      </c>
      <c r="E110">
        <v>0.41420000000000001</v>
      </c>
      <c r="F110">
        <v>7933145</v>
      </c>
      <c r="G110">
        <v>0.41420000000000001</v>
      </c>
      <c r="L110" t="s">
        <v>8</v>
      </c>
      <c r="M110" t="s">
        <v>8</v>
      </c>
      <c r="N110" t="s">
        <v>7</v>
      </c>
      <c r="P110">
        <f t="shared" ref="P110" si="525">IF(C110=D110,0,((E110-D110)-(C110-E110))/(C110-D110))</f>
        <v>-0.54732510288065783</v>
      </c>
      <c r="Q110">
        <f t="shared" ref="Q110" si="526">F110*P110</f>
        <v>-4342009.4032921763</v>
      </c>
      <c r="R110">
        <f t="shared" ref="R110" si="527">R111+Q110</f>
        <v>-503603693.24929368</v>
      </c>
      <c r="S110">
        <f t="shared" ref="S110" si="528">R110/100000</f>
        <v>-5036.036932492937</v>
      </c>
      <c r="T110">
        <f t="shared" ref="T110" si="529">S110/1000</f>
        <v>-5.0360369324929373</v>
      </c>
    </row>
    <row r="111" spans="1:20" x14ac:dyDescent="0.25">
      <c r="A111" s="5">
        <v>44482</v>
      </c>
      <c r="B111">
        <v>0.4042</v>
      </c>
      <c r="C111">
        <v>0.42720000000000002</v>
      </c>
      <c r="D111">
        <v>0.39</v>
      </c>
      <c r="E111">
        <v>0.41760000000000003</v>
      </c>
      <c r="F111">
        <v>12956234</v>
      </c>
      <c r="G111">
        <v>0.41760000000000003</v>
      </c>
      <c r="L111" t="s">
        <v>8</v>
      </c>
      <c r="M111" t="s">
        <v>8</v>
      </c>
      <c r="N111" t="s">
        <v>7</v>
      </c>
      <c r="P111">
        <f t="shared" ref="P111" si="530">IF(C111=D111,0,((E111-D111)-(C111-E111))/(C111-D111))</f>
        <v>0.48387096774193578</v>
      </c>
      <c r="Q111">
        <f t="shared" ref="Q111" si="531">F111*P111</f>
        <v>6269145.4838709719</v>
      </c>
      <c r="R111">
        <f t="shared" ref="R111" si="532">R112+Q111</f>
        <v>-499261683.84600151</v>
      </c>
      <c r="S111">
        <f t="shared" ref="S111" si="533">R111/100000</f>
        <v>-4992.6168384600151</v>
      </c>
      <c r="T111">
        <f t="shared" ref="T111" si="534">S111/1000</f>
        <v>-4.9926168384600151</v>
      </c>
    </row>
    <row r="112" spans="1:20" x14ac:dyDescent="0.25">
      <c r="A112" s="5">
        <v>44481</v>
      </c>
      <c r="B112">
        <v>0.4163</v>
      </c>
      <c r="C112">
        <v>0.4163</v>
      </c>
      <c r="D112">
        <v>0.38740000000000002</v>
      </c>
      <c r="E112">
        <v>0.40400000000000003</v>
      </c>
      <c r="F112">
        <v>12660320</v>
      </c>
      <c r="G112">
        <v>0.40400000000000003</v>
      </c>
      <c r="L112" t="s">
        <v>7</v>
      </c>
      <c r="M112" t="s">
        <v>8</v>
      </c>
      <c r="N112" t="s">
        <v>7</v>
      </c>
      <c r="P112">
        <f t="shared" ref="P112" si="535">IF(C112=D112,0,((E112-D112)-(C112-E112))/(C112-D112))</f>
        <v>0.14878892733564114</v>
      </c>
      <c r="Q112">
        <f t="shared" ref="Q112" si="536">F112*P112</f>
        <v>1883715.4325259642</v>
      </c>
      <c r="R112">
        <f t="shared" ref="R112" si="537">R113+Q112</f>
        <v>-505530829.32987249</v>
      </c>
      <c r="S112">
        <f t="shared" ref="S112" si="538">R112/100000</f>
        <v>-5055.3082932987245</v>
      </c>
      <c r="T112">
        <f t="shared" ref="T112" si="539">S112/1000</f>
        <v>-5.0553082932987241</v>
      </c>
    </row>
    <row r="113" spans="1:20" x14ac:dyDescent="0.25">
      <c r="A113" s="5">
        <v>44480</v>
      </c>
      <c r="B113">
        <v>0.4204</v>
      </c>
      <c r="C113">
        <v>0.45710000000000001</v>
      </c>
      <c r="D113">
        <v>0.40429999999999999</v>
      </c>
      <c r="E113">
        <v>0.41639999999999999</v>
      </c>
      <c r="F113">
        <v>29302573</v>
      </c>
      <c r="G113">
        <v>0.41639999999999999</v>
      </c>
      <c r="L113" t="s">
        <v>7</v>
      </c>
      <c r="M113" t="s">
        <v>8</v>
      </c>
      <c r="N113" t="s">
        <v>7</v>
      </c>
      <c r="P113">
        <f t="shared" ref="P113" si="540">IF(C113=D113,0,((E113-D113)-(C113-E113))/(C113-D113))</f>
        <v>-0.54166666666666685</v>
      </c>
      <c r="Q113">
        <f t="shared" ref="Q113" si="541">F113*P113</f>
        <v>-15872227.041666672</v>
      </c>
      <c r="R113">
        <f t="shared" ref="R113" si="542">R114+Q113</f>
        <v>-507414544.76239848</v>
      </c>
      <c r="S113">
        <f t="shared" ref="S113" si="543">R113/100000</f>
        <v>-5074.1454476239851</v>
      </c>
      <c r="T113">
        <f t="shared" ref="T113" si="544">S113/1000</f>
        <v>-5.0741454476239847</v>
      </c>
    </row>
    <row r="114" spans="1:20" x14ac:dyDescent="0.25">
      <c r="A114" s="5">
        <v>44479</v>
      </c>
      <c r="B114">
        <v>0.42959999999999998</v>
      </c>
      <c r="C114">
        <v>0.44400000000000001</v>
      </c>
      <c r="D114">
        <v>0.41360000000000002</v>
      </c>
      <c r="E114">
        <v>0.42059999999999997</v>
      </c>
      <c r="F114">
        <v>16020745</v>
      </c>
      <c r="G114">
        <v>0.42059999999999997</v>
      </c>
      <c r="L114" t="s">
        <v>7</v>
      </c>
      <c r="M114" t="s">
        <v>8</v>
      </c>
      <c r="N114" t="s">
        <v>7</v>
      </c>
      <c r="P114">
        <f t="shared" ref="P114" si="545">IF(C114=D114,0,((E114-D114)-(C114-E114))/(C114-D114))</f>
        <v>-0.53947368421052933</v>
      </c>
      <c r="Q114">
        <f t="shared" ref="Q114" si="546">F114*P114</f>
        <v>-8642770.3289474174</v>
      </c>
      <c r="R114">
        <f t="shared" ref="R114" si="547">R115+Q114</f>
        <v>-491542317.72073179</v>
      </c>
      <c r="S114">
        <f t="shared" ref="S114" si="548">R114/100000</f>
        <v>-4915.4231772073181</v>
      </c>
      <c r="T114">
        <f t="shared" ref="T114" si="549">S114/1000</f>
        <v>-4.9154231772073178</v>
      </c>
    </row>
    <row r="115" spans="1:20" x14ac:dyDescent="0.25">
      <c r="A115" s="5">
        <v>44478</v>
      </c>
      <c r="B115">
        <v>0.42470000000000002</v>
      </c>
      <c r="C115">
        <v>0.44800000000000001</v>
      </c>
      <c r="D115">
        <v>0.41899999999999998</v>
      </c>
      <c r="E115">
        <v>0.42949999999999999</v>
      </c>
      <c r="F115">
        <v>10788458</v>
      </c>
      <c r="G115">
        <v>0.42949999999999999</v>
      </c>
      <c r="L115" t="s">
        <v>8</v>
      </c>
      <c r="M115" t="s">
        <v>8</v>
      </c>
      <c r="N115" t="s">
        <v>7</v>
      </c>
      <c r="P115">
        <f t="shared" ref="P115" si="550">IF(C115=D115,0,((E115-D115)-(C115-E115))/(C115-D115))</f>
        <v>-0.27586206896551724</v>
      </c>
      <c r="Q115">
        <f t="shared" ref="Q115" si="551">F115*P115</f>
        <v>-2976126.3448275863</v>
      </c>
      <c r="R115">
        <f t="shared" ref="R115" si="552">R116+Q115</f>
        <v>-482899547.39178437</v>
      </c>
      <c r="S115">
        <f t="shared" ref="S115" si="553">R115/100000</f>
        <v>-4828.9954739178438</v>
      </c>
      <c r="T115">
        <f t="shared" ref="T115" si="554">S115/1000</f>
        <v>-4.8289954739178436</v>
      </c>
    </row>
    <row r="116" spans="1:20" x14ac:dyDescent="0.25">
      <c r="A116" s="5">
        <v>44477</v>
      </c>
      <c r="B116">
        <v>0.41970000000000002</v>
      </c>
      <c r="C116">
        <v>0.44629999999999997</v>
      </c>
      <c r="D116">
        <v>0.41699999999999998</v>
      </c>
      <c r="E116">
        <v>0.42449999999999999</v>
      </c>
      <c r="F116">
        <v>22355872</v>
      </c>
      <c r="G116">
        <v>0.42449999999999999</v>
      </c>
      <c r="L116" t="s">
        <v>7</v>
      </c>
      <c r="M116" t="s">
        <v>8</v>
      </c>
      <c r="N116" t="s">
        <v>7</v>
      </c>
      <c r="P116">
        <f t="shared" ref="P116" si="555">IF(C116=D116,0,((E116-D116)-(C116-E116))/(C116-D116))</f>
        <v>-0.48805460750853186</v>
      </c>
      <c r="Q116">
        <f t="shared" ref="Q116" si="556">F116*P116</f>
        <v>-10910886.334470978</v>
      </c>
      <c r="R116">
        <f t="shared" ref="R116" si="557">R117+Q116</f>
        <v>-479923421.04695678</v>
      </c>
      <c r="S116">
        <f t="shared" ref="S116" si="558">R116/100000</f>
        <v>-4799.2342104695681</v>
      </c>
      <c r="T116">
        <f t="shared" ref="T116" si="559">S116/1000</f>
        <v>-4.7992342104695682</v>
      </c>
    </row>
    <row r="117" spans="1:20" x14ac:dyDescent="0.25">
      <c r="A117" s="5">
        <v>44476</v>
      </c>
      <c r="B117">
        <v>0.4259</v>
      </c>
      <c r="C117">
        <v>0.4546</v>
      </c>
      <c r="D117">
        <v>0.40460000000000002</v>
      </c>
      <c r="E117">
        <v>0.41930000000000001</v>
      </c>
      <c r="F117">
        <v>27659324</v>
      </c>
      <c r="G117">
        <v>0.41930000000000001</v>
      </c>
      <c r="L117" t="s">
        <v>8</v>
      </c>
      <c r="M117" t="s">
        <v>8</v>
      </c>
      <c r="N117" t="s">
        <v>7</v>
      </c>
      <c r="P117">
        <f t="shared" ref="P117" si="560">IF(C117=D117,0,((E117-D117)-(C117-E117))/(C117-D117))</f>
        <v>-0.41200000000000025</v>
      </c>
      <c r="Q117">
        <f t="shared" ref="Q117" si="561">F117*P117</f>
        <v>-11395641.488000007</v>
      </c>
      <c r="R117">
        <f t="shared" ref="R117" si="562">R118+Q117</f>
        <v>-469012534.71248579</v>
      </c>
      <c r="S117">
        <f t="shared" ref="S117" si="563">R117/100000</f>
        <v>-4690.1253471248583</v>
      </c>
      <c r="T117">
        <f t="shared" ref="T117" si="564">S117/1000</f>
        <v>-4.6901253471248587</v>
      </c>
    </row>
    <row r="118" spans="1:20" x14ac:dyDescent="0.25">
      <c r="A118" s="5">
        <v>44475</v>
      </c>
      <c r="B118">
        <v>0.40860000000000002</v>
      </c>
      <c r="C118">
        <v>0.433</v>
      </c>
      <c r="D118">
        <v>0.37409999999999999</v>
      </c>
      <c r="E118">
        <v>0.4259</v>
      </c>
      <c r="F118">
        <v>27609992</v>
      </c>
      <c r="G118">
        <v>0.4259</v>
      </c>
      <c r="L118" t="s">
        <v>8</v>
      </c>
      <c r="M118" t="s">
        <v>8</v>
      </c>
      <c r="N118" t="s">
        <v>7</v>
      </c>
      <c r="P118">
        <f t="shared" ref="P118" si="565">IF(C118=D118,0,((E118-D118)-(C118-E118))/(C118-D118))</f>
        <v>0.7589134125636674</v>
      </c>
      <c r="Q118">
        <f t="shared" ref="Q118" si="566">F118*P118</f>
        <v>20953593.249575555</v>
      </c>
      <c r="R118">
        <f t="shared" ref="R118" si="567">R119+Q118</f>
        <v>-457616893.22448575</v>
      </c>
      <c r="S118">
        <f t="shared" ref="S118" si="568">R118/100000</f>
        <v>-4576.1689322448574</v>
      </c>
      <c r="T118">
        <f t="shared" ref="T118" si="569">S118/1000</f>
        <v>-4.5761689322448573</v>
      </c>
    </row>
    <row r="119" spans="1:20" x14ac:dyDescent="0.25">
      <c r="A119" s="5">
        <v>44474</v>
      </c>
      <c r="B119">
        <v>0.39429999999999998</v>
      </c>
      <c r="C119">
        <v>0.41489999999999999</v>
      </c>
      <c r="D119">
        <v>0.38829999999999998</v>
      </c>
      <c r="E119">
        <v>0.4078</v>
      </c>
      <c r="F119">
        <v>12046129</v>
      </c>
      <c r="G119">
        <v>0.4078</v>
      </c>
      <c r="L119" t="s">
        <v>8</v>
      </c>
      <c r="M119" t="s">
        <v>8</v>
      </c>
      <c r="N119" t="s">
        <v>7</v>
      </c>
      <c r="P119">
        <f t="shared" ref="P119" si="570">IF(C119=D119,0,((E119-D119)-(C119-E119))/(C119-D119))</f>
        <v>0.46616541353383517</v>
      </c>
      <c r="Q119">
        <f t="shared" ref="Q119" si="571">F119*P119</f>
        <v>5615488.7067669239</v>
      </c>
      <c r="R119">
        <f t="shared" ref="R119" si="572">R120+Q119</f>
        <v>-478570486.47406131</v>
      </c>
      <c r="S119">
        <f t="shared" ref="S119" si="573">R119/100000</f>
        <v>-4785.7048647406127</v>
      </c>
      <c r="T119">
        <f t="shared" ref="T119" si="574">S119/1000</f>
        <v>-4.7857048647406124</v>
      </c>
    </row>
    <row r="120" spans="1:20" x14ac:dyDescent="0.25">
      <c r="A120" s="5">
        <v>44473</v>
      </c>
      <c r="B120">
        <v>0.41260000000000002</v>
      </c>
      <c r="C120">
        <v>0.41320000000000001</v>
      </c>
      <c r="D120">
        <v>0.37859999999999999</v>
      </c>
      <c r="E120">
        <v>0.39429999999999998</v>
      </c>
      <c r="F120">
        <v>12177691</v>
      </c>
      <c r="G120">
        <v>0.39429999999999998</v>
      </c>
      <c r="L120" t="s">
        <v>7</v>
      </c>
      <c r="M120" t="s">
        <v>8</v>
      </c>
      <c r="N120" t="s">
        <v>7</v>
      </c>
      <c r="P120">
        <f t="shared" ref="P120" si="575">IF(C120=D120,0,((E120-D120)-(C120-E120))/(C120-D120))</f>
        <v>-9.2485549132948972E-2</v>
      </c>
      <c r="Q120">
        <f t="shared" ref="Q120" si="576">F120*P120</f>
        <v>-1126260.4393063704</v>
      </c>
      <c r="R120">
        <f t="shared" ref="R120" si="577">R121+Q120</f>
        <v>-484185975.18082821</v>
      </c>
      <c r="S120">
        <f t="shared" ref="S120" si="578">R120/100000</f>
        <v>-4841.8597518082825</v>
      </c>
      <c r="T120">
        <f t="shared" ref="T120" si="579">S120/1000</f>
        <v>-4.8418597518082827</v>
      </c>
    </row>
    <row r="121" spans="1:20" x14ac:dyDescent="0.25">
      <c r="A121" s="5">
        <v>44472</v>
      </c>
      <c r="B121">
        <v>0.40760000000000002</v>
      </c>
      <c r="C121">
        <v>0.42499999999999999</v>
      </c>
      <c r="D121">
        <v>0.39600000000000002</v>
      </c>
      <c r="E121">
        <v>0.41210000000000002</v>
      </c>
      <c r="F121">
        <v>11998907</v>
      </c>
      <c r="G121">
        <v>0.41210000000000002</v>
      </c>
      <c r="L121" t="s">
        <v>7</v>
      </c>
      <c r="M121" t="s">
        <v>8</v>
      </c>
      <c r="N121" t="s">
        <v>7</v>
      </c>
      <c r="P121">
        <f t="shared" ref="P121" si="580">IF(C121=D121,0,((E121-D121)-(C121-E121))/(C121-D121))</f>
        <v>0.11034482758620826</v>
      </c>
      <c r="Q121">
        <f t="shared" ref="Q121" si="581">F121*P121</f>
        <v>1324017.3241379473</v>
      </c>
      <c r="R121">
        <f t="shared" ref="R121" si="582">R122+Q121</f>
        <v>-483059714.74152184</v>
      </c>
      <c r="S121">
        <f t="shared" ref="S121" si="583">R121/100000</f>
        <v>-4830.5971474152184</v>
      </c>
      <c r="T121">
        <f t="shared" ref="T121" si="584">S121/1000</f>
        <v>-4.8305971474152187</v>
      </c>
    </row>
    <row r="122" spans="1:20" x14ac:dyDescent="0.25">
      <c r="A122" s="5">
        <v>44471</v>
      </c>
      <c r="B122">
        <v>0.40129999999999999</v>
      </c>
      <c r="C122">
        <v>0.43380000000000002</v>
      </c>
      <c r="D122">
        <v>0.38829999999999998</v>
      </c>
      <c r="E122">
        <v>0.40789999999999998</v>
      </c>
      <c r="F122">
        <v>18076602</v>
      </c>
      <c r="G122">
        <v>0.40789999999999998</v>
      </c>
      <c r="L122" t="s">
        <v>8</v>
      </c>
      <c r="M122" t="s">
        <v>8</v>
      </c>
      <c r="N122" t="s">
        <v>7</v>
      </c>
      <c r="P122">
        <f t="shared" ref="P122" si="585">IF(C122=D122,0,((E122-D122)-(C122-E122))/(C122-D122))</f>
        <v>-0.13846153846153894</v>
      </c>
      <c r="Q122">
        <f t="shared" ref="Q122" si="586">F122*P122</f>
        <v>-2502914.1230769316</v>
      </c>
      <c r="R122">
        <f t="shared" ref="R122" si="587">R123+Q122</f>
        <v>-484383732.06565976</v>
      </c>
      <c r="S122">
        <f t="shared" ref="S122" si="588">R122/100000</f>
        <v>-4843.8373206565975</v>
      </c>
      <c r="T122">
        <f t="shared" ref="T122" si="589">S122/1000</f>
        <v>-4.8438373206565979</v>
      </c>
    </row>
    <row r="123" spans="1:20" x14ac:dyDescent="0.25">
      <c r="A123" s="5">
        <v>44470</v>
      </c>
      <c r="B123">
        <v>0.36159999999999998</v>
      </c>
      <c r="C123">
        <v>0.40460000000000002</v>
      </c>
      <c r="D123">
        <v>0.35639999999999999</v>
      </c>
      <c r="E123">
        <v>0.40129999999999999</v>
      </c>
      <c r="F123">
        <v>12841140</v>
      </c>
      <c r="G123">
        <v>0.40129999999999999</v>
      </c>
      <c r="L123" t="s">
        <v>8</v>
      </c>
      <c r="M123" t="s">
        <v>8</v>
      </c>
      <c r="N123" t="s">
        <v>7</v>
      </c>
      <c r="P123">
        <f t="shared" ref="P123" si="590">IF(C123=D123,0,((E123-D123)-(C123-E123))/(C123-D123))</f>
        <v>0.86307053941908618</v>
      </c>
      <c r="Q123">
        <f t="shared" ref="Q123" si="591">F123*P123</f>
        <v>11082809.626556003</v>
      </c>
      <c r="R123">
        <f t="shared" ref="R123" si="592">R124+Q123</f>
        <v>-481880817.94258285</v>
      </c>
      <c r="S123">
        <f t="shared" ref="S123" si="593">R123/100000</f>
        <v>-4818.8081794258287</v>
      </c>
      <c r="T123">
        <f t="shared" ref="T123" si="594">S123/1000</f>
        <v>-4.8188081794258286</v>
      </c>
    </row>
    <row r="124" spans="1:20" x14ac:dyDescent="0.25">
      <c r="A124" s="5">
        <v>44469</v>
      </c>
      <c r="B124">
        <v>0.34410000000000002</v>
      </c>
      <c r="C124">
        <v>0.36730000000000002</v>
      </c>
      <c r="D124">
        <v>0.34310000000000002</v>
      </c>
      <c r="E124">
        <v>0.36170000000000002</v>
      </c>
      <c r="F124">
        <v>5649338</v>
      </c>
      <c r="G124">
        <v>0.36170000000000002</v>
      </c>
      <c r="L124" t="s">
        <v>8</v>
      </c>
      <c r="M124" t="s">
        <v>7</v>
      </c>
      <c r="N124" t="s">
        <v>7</v>
      </c>
      <c r="P124">
        <f t="shared" ref="P124" si="595">IF(C124=D124,0,((E124-D124)-(C124-E124))/(C124-D124))</f>
        <v>0.53719008264462864</v>
      </c>
      <c r="Q124">
        <f t="shared" ref="Q124" si="596">F124*P124</f>
        <v>3034768.3471074412</v>
      </c>
      <c r="R124">
        <f t="shared" ref="R124" si="597">R125+Q124</f>
        <v>-492963627.56913882</v>
      </c>
      <c r="S124">
        <f t="shared" ref="S124" si="598">R124/100000</f>
        <v>-4929.6362756913886</v>
      </c>
      <c r="T124">
        <f t="shared" ref="T124" si="599">S124/1000</f>
        <v>-4.9296362756913883</v>
      </c>
    </row>
    <row r="125" spans="1:20" x14ac:dyDescent="0.25">
      <c r="A125" s="5">
        <v>44468</v>
      </c>
      <c r="B125">
        <v>0.3362</v>
      </c>
      <c r="C125">
        <v>0.3614</v>
      </c>
      <c r="D125">
        <v>0.33510000000000001</v>
      </c>
      <c r="E125">
        <v>0.34410000000000002</v>
      </c>
      <c r="F125">
        <v>6464860</v>
      </c>
      <c r="G125">
        <v>0.34410000000000002</v>
      </c>
      <c r="L125" t="s">
        <v>8</v>
      </c>
      <c r="M125" t="s">
        <v>7</v>
      </c>
      <c r="N125" t="s">
        <v>7</v>
      </c>
      <c r="P125">
        <f t="shared" ref="P125" si="600">IF(C125=D125,0,((E125-D125)-(C125-E125))/(C125-D125))</f>
        <v>-0.31558935361216645</v>
      </c>
      <c r="Q125">
        <f t="shared" ref="Q125" si="601">F125*P125</f>
        <v>-2040240.9885931504</v>
      </c>
      <c r="R125">
        <f t="shared" ref="R125" si="602">R126+Q125</f>
        <v>-495998395.91624629</v>
      </c>
      <c r="S125">
        <f t="shared" ref="S125" si="603">R125/100000</f>
        <v>-4959.9839591624632</v>
      </c>
      <c r="T125">
        <f t="shared" ref="T125" si="604">S125/1000</f>
        <v>-4.9599839591624635</v>
      </c>
    </row>
    <row r="126" spans="1:20" x14ac:dyDescent="0.25">
      <c r="A126" s="5">
        <v>44467</v>
      </c>
      <c r="B126">
        <v>0.34610000000000002</v>
      </c>
      <c r="C126">
        <v>0.35630000000000001</v>
      </c>
      <c r="D126">
        <v>0.33460000000000001</v>
      </c>
      <c r="E126">
        <v>0.33650000000000002</v>
      </c>
      <c r="F126">
        <v>9877165</v>
      </c>
      <c r="G126">
        <v>0.33650000000000002</v>
      </c>
      <c r="L126" t="s">
        <v>7</v>
      </c>
      <c r="M126" t="s">
        <v>7</v>
      </c>
      <c r="N126" t="s">
        <v>7</v>
      </c>
      <c r="P126">
        <f t="shared" ref="P126" si="605">IF(C126=D126,0,((E126-D126)-(C126-E126))/(C126-D126))</f>
        <v>-0.82488479262672687</v>
      </c>
      <c r="Q126">
        <f t="shared" ref="Q126" si="606">F126*P126</f>
        <v>-8147523.2027649647</v>
      </c>
      <c r="R126">
        <f t="shared" ref="R126" si="607">R127+Q126</f>
        <v>-493958154.92765313</v>
      </c>
      <c r="S126">
        <f t="shared" ref="S126" si="608">R126/100000</f>
        <v>-4939.5815492765314</v>
      </c>
      <c r="T126">
        <f t="shared" ref="T126" si="609">S126/1000</f>
        <v>-4.9395815492765314</v>
      </c>
    </row>
    <row r="127" spans="1:20" x14ac:dyDescent="0.25">
      <c r="A127" s="5">
        <v>44466</v>
      </c>
      <c r="B127">
        <v>0.35770000000000002</v>
      </c>
      <c r="C127">
        <v>0.38690000000000002</v>
      </c>
      <c r="D127">
        <v>0.34439999999999998</v>
      </c>
      <c r="E127">
        <v>0.34599999999999997</v>
      </c>
      <c r="F127">
        <v>14280242</v>
      </c>
      <c r="G127">
        <v>0.34599999999999997</v>
      </c>
      <c r="L127" t="s">
        <v>8</v>
      </c>
      <c r="M127" t="s">
        <v>8</v>
      </c>
      <c r="N127" t="s">
        <v>7</v>
      </c>
      <c r="P127">
        <f t="shared" ref="P127" si="610">IF(C127=D127,0,((E127-D127)-(C127-E127))/(C127-D127))</f>
        <v>-0.92470588235294171</v>
      </c>
      <c r="Q127">
        <f t="shared" ref="Q127" si="611">F127*P127</f>
        <v>-13205023.778823538</v>
      </c>
      <c r="R127">
        <f t="shared" ref="R127" si="612">R128+Q127</f>
        <v>-485810631.72488815</v>
      </c>
      <c r="S127">
        <f t="shared" ref="S127" si="613">R127/100000</f>
        <v>-4858.1063172488812</v>
      </c>
      <c r="T127">
        <f t="shared" ref="T127" si="614">S127/1000</f>
        <v>-4.8581063172488808</v>
      </c>
    </row>
    <row r="128" spans="1:20" x14ac:dyDescent="0.25">
      <c r="A128" s="5">
        <v>44465</v>
      </c>
      <c r="B128">
        <v>0.39460000000000001</v>
      </c>
      <c r="C128">
        <v>0.3957</v>
      </c>
      <c r="D128">
        <v>0.34649999999999997</v>
      </c>
      <c r="E128">
        <v>0.35830000000000001</v>
      </c>
      <c r="F128">
        <v>31802258</v>
      </c>
      <c r="G128">
        <v>0.35830000000000001</v>
      </c>
      <c r="L128" t="s">
        <v>7</v>
      </c>
      <c r="M128" t="s">
        <v>8</v>
      </c>
      <c r="N128" t="s">
        <v>7</v>
      </c>
      <c r="P128">
        <f t="shared" ref="P128" si="615">IF(C128=D128,0,((E128-D128)-(C128-E128))/(C128-D128))</f>
        <v>-0.52032520325203135</v>
      </c>
      <c r="Q128">
        <f t="shared" ref="Q128" si="616">F128*P128</f>
        <v>-16547516.35772354</v>
      </c>
      <c r="R128">
        <f t="shared" ref="R128" si="617">R129+Q128</f>
        <v>-472605607.94606459</v>
      </c>
      <c r="S128">
        <f t="shared" ref="S128" si="618">R128/100000</f>
        <v>-4726.0560794606463</v>
      </c>
      <c r="T128">
        <f t="shared" ref="T128" si="619">S128/1000</f>
        <v>-4.7260560794606459</v>
      </c>
    </row>
    <row r="129" spans="1:20" x14ac:dyDescent="0.25">
      <c r="A129" s="5">
        <v>44464</v>
      </c>
      <c r="B129">
        <v>0.35560000000000003</v>
      </c>
      <c r="C129">
        <v>0.39660000000000001</v>
      </c>
      <c r="D129">
        <v>0.3392</v>
      </c>
      <c r="E129">
        <v>0.39429999999999998</v>
      </c>
      <c r="F129">
        <v>24528816</v>
      </c>
      <c r="G129">
        <v>0.39429999999999998</v>
      </c>
      <c r="L129" t="s">
        <v>8</v>
      </c>
      <c r="M129" t="s">
        <v>8</v>
      </c>
      <c r="N129" t="s">
        <v>7</v>
      </c>
      <c r="P129">
        <f t="shared" ref="P129" si="620">IF(C129=D129,0,((E129-D129)-(C129-E129))/(C129-D129))</f>
        <v>0.91986062717769956</v>
      </c>
      <c r="Q129">
        <f t="shared" ref="Q129" si="621">F129*P129</f>
        <v>22563092.06968639</v>
      </c>
      <c r="R129">
        <f t="shared" ref="R129" si="622">R130+Q129</f>
        <v>-456058091.58834106</v>
      </c>
      <c r="S129">
        <f t="shared" ref="S129" si="623">R129/100000</f>
        <v>-4560.5809158834109</v>
      </c>
      <c r="T129">
        <f t="shared" ref="T129" si="624">S129/1000</f>
        <v>-4.5605809158834107</v>
      </c>
    </row>
    <row r="130" spans="1:20" x14ac:dyDescent="0.25">
      <c r="A130" s="5">
        <v>44463</v>
      </c>
      <c r="B130">
        <v>0.3931</v>
      </c>
      <c r="C130">
        <v>0.3967</v>
      </c>
      <c r="D130">
        <v>0.33079999999999998</v>
      </c>
      <c r="E130">
        <v>0.35549999999999998</v>
      </c>
      <c r="F130">
        <v>24853503</v>
      </c>
      <c r="G130">
        <v>0.35549999999999998</v>
      </c>
      <c r="L130" t="s">
        <v>7</v>
      </c>
      <c r="M130" t="s">
        <v>7</v>
      </c>
      <c r="N130" t="s">
        <v>7</v>
      </c>
      <c r="P130">
        <f t="shared" ref="P130" si="625">IF(C130=D130,0,((E130-D130)-(C130-E130))/(C130-D130))</f>
        <v>-0.25037936267071337</v>
      </c>
      <c r="Q130">
        <f t="shared" ref="Q130" si="626">F130*P130</f>
        <v>-6222804.2412746623</v>
      </c>
      <c r="R130">
        <f t="shared" ref="R130" si="627">R131+Q130</f>
        <v>-478621183.65802747</v>
      </c>
      <c r="S130">
        <f t="shared" ref="S130" si="628">R130/100000</f>
        <v>-4786.2118365802744</v>
      </c>
      <c r="T130">
        <f t="shared" ref="T130" si="629">S130/1000</f>
        <v>-4.7862118365802742</v>
      </c>
    </row>
    <row r="131" spans="1:20" x14ac:dyDescent="0.25">
      <c r="A131" s="5">
        <v>44462</v>
      </c>
      <c r="B131">
        <v>0.3901</v>
      </c>
      <c r="C131">
        <v>0.40529999999999999</v>
      </c>
      <c r="D131">
        <v>0.37730000000000002</v>
      </c>
      <c r="E131">
        <v>0.39300000000000002</v>
      </c>
      <c r="F131">
        <v>11293533</v>
      </c>
      <c r="G131">
        <v>0.39300000000000002</v>
      </c>
      <c r="L131" t="s">
        <v>8</v>
      </c>
      <c r="M131" t="s">
        <v>8</v>
      </c>
      <c r="N131" t="s">
        <v>7</v>
      </c>
      <c r="P131">
        <f t="shared" ref="P131" si="630">IF(C131=D131,0,((E131-D131)-(C131-E131))/(C131-D131))</f>
        <v>0.12142857142857207</v>
      </c>
      <c r="Q131">
        <f t="shared" ref="Q131" si="631">F131*P131</f>
        <v>1371357.5785714358</v>
      </c>
      <c r="R131">
        <f t="shared" ref="R131" si="632">R132+Q131</f>
        <v>-472398379.41675282</v>
      </c>
      <c r="S131">
        <f t="shared" ref="S131" si="633">R131/100000</f>
        <v>-4723.9837941675278</v>
      </c>
      <c r="T131">
        <f t="shared" ref="T131" si="634">S131/1000</f>
        <v>-4.7239837941675278</v>
      </c>
    </row>
    <row r="132" spans="1:20" x14ac:dyDescent="0.25">
      <c r="A132" s="5">
        <v>44461</v>
      </c>
      <c r="B132">
        <v>0.34310000000000002</v>
      </c>
      <c r="C132">
        <v>0.40150000000000002</v>
      </c>
      <c r="D132">
        <v>0.33489999999999998</v>
      </c>
      <c r="E132">
        <v>0.39019999999999999</v>
      </c>
      <c r="F132">
        <v>21738513</v>
      </c>
      <c r="G132">
        <v>0.39019999999999999</v>
      </c>
      <c r="L132" t="s">
        <v>8</v>
      </c>
      <c r="M132" t="s">
        <v>8</v>
      </c>
      <c r="N132" t="s">
        <v>7</v>
      </c>
      <c r="P132">
        <f t="shared" ref="P132" si="635">IF(C132=D132,0,((E132-D132)-(C132-E132))/(C132-D132))</f>
        <v>0.66066066066065998</v>
      </c>
      <c r="Q132">
        <f t="shared" ref="Q132" si="636">F132*P132</f>
        <v>14361780.360360345</v>
      </c>
      <c r="R132">
        <f t="shared" ref="R132" si="637">R133+Q132</f>
        <v>-473769736.99532425</v>
      </c>
      <c r="S132">
        <f t="shared" ref="S132" si="638">R132/100000</f>
        <v>-4737.6973699532427</v>
      </c>
      <c r="T132">
        <f t="shared" ref="T132" si="639">S132/1000</f>
        <v>-4.737697369953243</v>
      </c>
    </row>
    <row r="133" spans="1:20" x14ac:dyDescent="0.25">
      <c r="A133" s="5">
        <v>44460</v>
      </c>
      <c r="B133">
        <v>0.38</v>
      </c>
      <c r="C133">
        <v>0.40620000000000001</v>
      </c>
      <c r="D133">
        <v>0.33019999999999999</v>
      </c>
      <c r="E133">
        <v>0.34300000000000003</v>
      </c>
      <c r="F133">
        <v>18773808</v>
      </c>
      <c r="G133">
        <v>0.34300000000000003</v>
      </c>
      <c r="L133" t="s">
        <v>7</v>
      </c>
      <c r="M133" t="s">
        <v>7</v>
      </c>
      <c r="N133" t="s">
        <v>7</v>
      </c>
      <c r="P133">
        <f t="shared" ref="P133" si="640">IF(C133=D133,0,((E133-D133)-(C133-E133))/(C133-D133))</f>
        <v>-0.66315789473684128</v>
      </c>
      <c r="Q133">
        <f t="shared" ref="Q133" si="641">F133*P133</f>
        <v>-12449998.989473669</v>
      </c>
      <c r="R133">
        <f t="shared" ref="R133" si="642">R134+Q133</f>
        <v>-488131517.35568458</v>
      </c>
      <c r="S133">
        <f t="shared" ref="S133" si="643">R133/100000</f>
        <v>-4881.3151735568454</v>
      </c>
      <c r="T133">
        <f t="shared" ref="T133" si="644">S133/1000</f>
        <v>-4.8813151735568452</v>
      </c>
    </row>
    <row r="134" spans="1:20" x14ac:dyDescent="0.25">
      <c r="A134" s="5">
        <v>44459</v>
      </c>
      <c r="B134">
        <v>0.44740000000000002</v>
      </c>
      <c r="C134">
        <v>0.44800000000000001</v>
      </c>
      <c r="D134">
        <v>0.40500000000000003</v>
      </c>
      <c r="E134">
        <v>0.41</v>
      </c>
      <c r="F134">
        <v>9470559</v>
      </c>
      <c r="G134">
        <v>0.41</v>
      </c>
      <c r="L134" t="s">
        <v>7</v>
      </c>
      <c r="M134" t="s">
        <v>7</v>
      </c>
      <c r="N134" t="s">
        <v>8</v>
      </c>
      <c r="P134">
        <f t="shared" ref="P134" si="645">IF(C134=D134,0,((E134-D134)-(C134-E134))/(C134-D134))</f>
        <v>-0.76744186046511853</v>
      </c>
      <c r="Q134">
        <f t="shared" ref="Q134" si="646">F134*P134</f>
        <v>-7268103.4186046729</v>
      </c>
      <c r="R134">
        <f t="shared" ref="R134" si="647">R135+Q134</f>
        <v>-475681518.36621094</v>
      </c>
      <c r="S134">
        <f t="shared" ref="S134" si="648">R134/100000</f>
        <v>-4756.8151836621091</v>
      </c>
      <c r="T134">
        <f t="shared" ref="T134" si="649">S134/1000</f>
        <v>-4.7568151836621091</v>
      </c>
    </row>
    <row r="135" spans="1:20" x14ac:dyDescent="0.25">
      <c r="A135" s="5">
        <v>44458</v>
      </c>
      <c r="B135">
        <v>0.4778</v>
      </c>
      <c r="C135">
        <v>0.48170000000000002</v>
      </c>
      <c r="D135">
        <v>0.4405</v>
      </c>
      <c r="E135">
        <v>0.44719999999999999</v>
      </c>
      <c r="F135">
        <v>8982102</v>
      </c>
      <c r="G135">
        <v>0.44719999999999999</v>
      </c>
      <c r="L135" t="s">
        <v>7</v>
      </c>
      <c r="M135" t="s">
        <v>7</v>
      </c>
      <c r="N135" t="s">
        <v>8</v>
      </c>
      <c r="P135">
        <f t="shared" ref="P135" si="650">IF(C135=D135,0,((E135-D135)-(C135-E135))/(C135-D135))</f>
        <v>-0.67475728155339898</v>
      </c>
      <c r="Q135">
        <f t="shared" ref="Q135" si="651">F135*P135</f>
        <v>-6060738.7281553484</v>
      </c>
      <c r="R135">
        <f t="shared" ref="R135" si="652">R136+Q135</f>
        <v>-468413414.94760627</v>
      </c>
      <c r="S135">
        <f t="shared" ref="S135" si="653">R135/100000</f>
        <v>-4684.1341494760627</v>
      </c>
      <c r="T135">
        <f t="shared" ref="T135" si="654">S135/1000</f>
        <v>-4.6841341494760629</v>
      </c>
    </row>
    <row r="136" spans="1:20" x14ac:dyDescent="0.25">
      <c r="A136" s="5">
        <v>44457</v>
      </c>
      <c r="B136">
        <v>0.46760000000000002</v>
      </c>
      <c r="C136">
        <v>0.49669999999999997</v>
      </c>
      <c r="D136">
        <v>0.4587</v>
      </c>
      <c r="E136">
        <v>0.47770000000000001</v>
      </c>
      <c r="F136">
        <v>14333597</v>
      </c>
      <c r="G136">
        <v>0.47770000000000001</v>
      </c>
      <c r="L136" t="s">
        <v>7</v>
      </c>
      <c r="M136" t="s">
        <v>7</v>
      </c>
      <c r="N136" t="s">
        <v>8</v>
      </c>
      <c r="P136">
        <f t="shared" ref="P136" si="655">IF(C136=D136,0,((E136-D136)-(C136-E136))/(C136-D136))</f>
        <v>1.4608197692436279E-15</v>
      </c>
      <c r="Q136">
        <f t="shared" ref="Q136" si="656">F136*P136</f>
        <v>2.0938801861971157E-8</v>
      </c>
      <c r="R136">
        <f t="shared" ref="R136" si="657">R137+Q136</f>
        <v>-462352676.21945089</v>
      </c>
      <c r="S136">
        <f t="shared" ref="S136" si="658">R136/100000</f>
        <v>-4623.5267621945086</v>
      </c>
      <c r="T136">
        <f t="shared" ref="T136" si="659">S136/1000</f>
        <v>-4.6235267621945084</v>
      </c>
    </row>
    <row r="137" spans="1:20" x14ac:dyDescent="0.25">
      <c r="A137" s="5">
        <v>44456</v>
      </c>
      <c r="B137">
        <v>0.49890000000000001</v>
      </c>
      <c r="C137">
        <v>0.54900000000000004</v>
      </c>
      <c r="D137">
        <v>0.45789999999999997</v>
      </c>
      <c r="E137">
        <v>0.46760000000000002</v>
      </c>
      <c r="F137">
        <v>49250296</v>
      </c>
      <c r="G137">
        <v>0.46760000000000002</v>
      </c>
      <c r="L137" t="s">
        <v>8</v>
      </c>
      <c r="M137" t="s">
        <v>7</v>
      </c>
      <c r="N137" t="s">
        <v>8</v>
      </c>
      <c r="P137">
        <f t="shared" ref="P137" si="660">IF(C137=D137,0,((E137-D137)-(C137-E137))/(C137-D137))</f>
        <v>-0.78704720087815516</v>
      </c>
      <c r="Q137">
        <f t="shared" ref="Q137" si="661">F137*P137</f>
        <v>-38762307.609220602</v>
      </c>
      <c r="R137">
        <f t="shared" ref="R137" si="662">R138+Q137</f>
        <v>-462352676.21945089</v>
      </c>
      <c r="S137">
        <f t="shared" ref="S137" si="663">R137/100000</f>
        <v>-4623.5267621945086</v>
      </c>
      <c r="T137">
        <f t="shared" ref="T137" si="664">S137/1000</f>
        <v>-4.6235267621945084</v>
      </c>
    </row>
    <row r="138" spans="1:20" x14ac:dyDescent="0.25">
      <c r="A138" s="5">
        <v>44455</v>
      </c>
      <c r="B138">
        <v>0.48399999999999999</v>
      </c>
      <c r="C138">
        <v>0.50370000000000004</v>
      </c>
      <c r="D138">
        <v>0.4607</v>
      </c>
      <c r="E138">
        <v>0.49880000000000002</v>
      </c>
      <c r="F138">
        <v>27618153</v>
      </c>
      <c r="G138">
        <v>0.49880000000000002</v>
      </c>
      <c r="L138" t="s">
        <v>7</v>
      </c>
      <c r="M138" t="s">
        <v>8</v>
      </c>
      <c r="N138" t="s">
        <v>8</v>
      </c>
      <c r="P138">
        <f t="shared" ref="P138" si="665">IF(C138=D138,0,((E138-D138)-(C138-E138))/(C138-D138))</f>
        <v>0.77209302325581342</v>
      </c>
      <c r="Q138">
        <f t="shared" ref="Q138" si="666">F138*P138</f>
        <v>21323783.246511612</v>
      </c>
      <c r="R138">
        <f t="shared" ref="R138" si="667">R139+Q138</f>
        <v>-423590368.61023027</v>
      </c>
      <c r="S138">
        <f t="shared" ref="S138" si="668">R138/100000</f>
        <v>-4235.9036861023023</v>
      </c>
      <c r="T138">
        <f t="shared" ref="T138" si="669">S138/1000</f>
        <v>-4.2359036861023025</v>
      </c>
    </row>
    <row r="139" spans="1:20" x14ac:dyDescent="0.25">
      <c r="A139" s="5">
        <v>44454</v>
      </c>
      <c r="B139">
        <v>0.43190000000000001</v>
      </c>
      <c r="C139">
        <v>0.54900000000000004</v>
      </c>
      <c r="D139">
        <v>0.42730000000000001</v>
      </c>
      <c r="E139">
        <v>0.48349999999999999</v>
      </c>
      <c r="F139">
        <v>59725674</v>
      </c>
      <c r="G139">
        <v>0.48349999999999999</v>
      </c>
      <c r="L139" t="s">
        <v>8</v>
      </c>
      <c r="M139" t="s">
        <v>8</v>
      </c>
      <c r="N139" t="s">
        <v>8</v>
      </c>
      <c r="P139">
        <f t="shared" ref="P139" si="670">IF(C139=D139,0,((E139-D139)-(C139-E139))/(C139-D139))</f>
        <v>-7.6417419884963714E-2</v>
      </c>
      <c r="Q139">
        <f t="shared" ref="Q139" si="671">F139*P139</f>
        <v>-4564081.9079704601</v>
      </c>
      <c r="R139">
        <f t="shared" ref="R139" si="672">R140+Q139</f>
        <v>-444914151.85674191</v>
      </c>
      <c r="S139">
        <f t="shared" ref="S139" si="673">R139/100000</f>
        <v>-4449.1415185674186</v>
      </c>
      <c r="T139">
        <f t="shared" ref="T139" si="674">S139/1000</f>
        <v>-4.4491415185674184</v>
      </c>
    </row>
    <row r="140" spans="1:20" x14ac:dyDescent="0.25">
      <c r="A140" s="5">
        <v>44453</v>
      </c>
      <c r="B140">
        <v>0.41449999999999998</v>
      </c>
      <c r="C140">
        <v>0.43659999999999999</v>
      </c>
      <c r="D140">
        <v>0.40550000000000003</v>
      </c>
      <c r="E140">
        <v>0.43209999999999998</v>
      </c>
      <c r="F140">
        <v>15130369</v>
      </c>
      <c r="G140">
        <v>0.43209999999999998</v>
      </c>
      <c r="L140" t="s">
        <v>8</v>
      </c>
      <c r="M140" t="s">
        <v>7</v>
      </c>
      <c r="N140" t="s">
        <v>7</v>
      </c>
      <c r="P140">
        <f t="shared" ref="P140" si="675">IF(C140=D140,0,((E140-D140)-(C140-E140))/(C140-D140))</f>
        <v>0.71061093247588358</v>
      </c>
      <c r="Q140">
        <f t="shared" ref="Q140" si="676">F140*P140</f>
        <v>10751805.623794202</v>
      </c>
      <c r="R140">
        <f t="shared" ref="R140" si="677">R141+Q140</f>
        <v>-440350069.94877142</v>
      </c>
      <c r="S140">
        <f t="shared" ref="S140" si="678">R140/100000</f>
        <v>-4403.500699487714</v>
      </c>
      <c r="T140">
        <f t="shared" ref="T140" si="679">S140/1000</f>
        <v>-4.4035006994877142</v>
      </c>
    </row>
    <row r="141" spans="1:20" x14ac:dyDescent="0.25">
      <c r="A141" s="5">
        <v>44452</v>
      </c>
      <c r="B141">
        <v>0.435</v>
      </c>
      <c r="C141">
        <v>0.43969999999999998</v>
      </c>
      <c r="D141">
        <v>0.38030000000000003</v>
      </c>
      <c r="E141">
        <v>0.41570000000000001</v>
      </c>
      <c r="F141">
        <v>19445455</v>
      </c>
      <c r="G141">
        <v>0.41570000000000001</v>
      </c>
      <c r="L141" t="s">
        <v>7</v>
      </c>
      <c r="M141" t="s">
        <v>7</v>
      </c>
      <c r="N141" t="s">
        <v>7</v>
      </c>
      <c r="P141">
        <f t="shared" ref="P141" si="680">IF(C141=D141,0,((E141-D141)-(C141-E141))/(C141-D141))</f>
        <v>0.19191919191919243</v>
      </c>
      <c r="Q141">
        <f t="shared" ref="Q141" si="681">F141*P141</f>
        <v>3731956.0101010199</v>
      </c>
      <c r="R141">
        <f t="shared" ref="R141" si="682">R142+Q141</f>
        <v>-451101875.57256562</v>
      </c>
      <c r="S141">
        <f t="shared" ref="S141" si="683">R141/100000</f>
        <v>-4511.0187557256559</v>
      </c>
      <c r="T141">
        <f t="shared" ref="T141" si="684">S141/1000</f>
        <v>-4.5110187557256562</v>
      </c>
    </row>
    <row r="142" spans="1:20" x14ac:dyDescent="0.25">
      <c r="A142" s="5">
        <v>44451</v>
      </c>
      <c r="B142">
        <v>0.40710000000000002</v>
      </c>
      <c r="C142">
        <v>0.45789999999999997</v>
      </c>
      <c r="D142">
        <v>0.39050000000000001</v>
      </c>
      <c r="E142">
        <v>0.43530000000000002</v>
      </c>
      <c r="F142">
        <v>25237337</v>
      </c>
      <c r="G142">
        <v>0.43530000000000002</v>
      </c>
      <c r="L142" t="s">
        <v>8</v>
      </c>
      <c r="M142" t="s">
        <v>7</v>
      </c>
      <c r="N142" t="s">
        <v>7</v>
      </c>
      <c r="P142">
        <f t="shared" ref="P142" si="685">IF(C142=D142,0,((E142-D142)-(C142-E142))/(C142-D142))</f>
        <v>0.32937685459940752</v>
      </c>
      <c r="Q142">
        <f t="shared" ref="Q142" si="686">F142*P142</f>
        <v>8312594.6795252478</v>
      </c>
      <c r="R142">
        <f t="shared" ref="R142" si="687">R143+Q142</f>
        <v>-454833831.58266664</v>
      </c>
      <c r="S142">
        <f t="shared" ref="S142" si="688">R142/100000</f>
        <v>-4548.3383158266661</v>
      </c>
      <c r="T142">
        <f t="shared" ref="T142" si="689">S142/1000</f>
        <v>-4.5483383158266664</v>
      </c>
    </row>
    <row r="143" spans="1:20" x14ac:dyDescent="0.25">
      <c r="A143" s="5">
        <v>44450</v>
      </c>
      <c r="B143">
        <v>0.41010000000000002</v>
      </c>
      <c r="C143">
        <v>0.43240000000000001</v>
      </c>
      <c r="D143">
        <v>0.39950000000000002</v>
      </c>
      <c r="E143">
        <v>0.40720000000000001</v>
      </c>
      <c r="F143">
        <v>17236942</v>
      </c>
      <c r="G143">
        <v>0.40720000000000001</v>
      </c>
      <c r="L143" t="s">
        <v>8</v>
      </c>
      <c r="M143" t="s">
        <v>7</v>
      </c>
      <c r="N143" t="s">
        <v>7</v>
      </c>
      <c r="P143">
        <f t="shared" ref="P143" si="690">IF(C143=D143,0,((E143-D143)-(C143-E143))/(C143-D143))</f>
        <v>-0.53191489361702204</v>
      </c>
      <c r="Q143">
        <f t="shared" ref="Q143" si="691">F143*P143</f>
        <v>-9168586.1702127792</v>
      </c>
      <c r="R143">
        <f t="shared" ref="R143" si="692">R144+Q143</f>
        <v>-463146426.26219189</v>
      </c>
      <c r="S143">
        <f t="shared" ref="S143" si="693">R143/100000</f>
        <v>-4631.4642626219193</v>
      </c>
      <c r="T143">
        <f t="shared" ref="T143" si="694">S143/1000</f>
        <v>-4.6314642626219191</v>
      </c>
    </row>
    <row r="144" spans="1:20" x14ac:dyDescent="0.25">
      <c r="A144" s="5">
        <v>44449</v>
      </c>
      <c r="B144">
        <v>0.45219999999999999</v>
      </c>
      <c r="C144">
        <v>0.47</v>
      </c>
      <c r="D144">
        <v>0.39710000000000001</v>
      </c>
      <c r="E144">
        <v>0.41</v>
      </c>
      <c r="F144">
        <v>17466395</v>
      </c>
      <c r="G144">
        <v>0.41</v>
      </c>
      <c r="L144" t="s">
        <v>7</v>
      </c>
      <c r="M144" t="s">
        <v>7</v>
      </c>
      <c r="N144" t="s">
        <v>7</v>
      </c>
      <c r="P144">
        <f t="shared" ref="P144" si="695">IF(C144=D144,0,((E144-D144)-(C144-E144))/(C144-D144))</f>
        <v>-0.64609053497942459</v>
      </c>
      <c r="Q144">
        <f t="shared" ref="Q144" si="696">F144*P144</f>
        <v>-11284872.489711946</v>
      </c>
      <c r="R144">
        <f t="shared" ref="R144" si="697">R145+Q144</f>
        <v>-453977840.09197909</v>
      </c>
      <c r="S144">
        <f t="shared" ref="S144" si="698">R144/100000</f>
        <v>-4539.7784009197912</v>
      </c>
      <c r="T144">
        <f t="shared" ref="T144" si="699">S144/1000</f>
        <v>-4.5397784009197917</v>
      </c>
    </row>
    <row r="145" spans="1:20" x14ac:dyDescent="0.25">
      <c r="A145" s="5">
        <v>44448</v>
      </c>
      <c r="B145">
        <v>0.4461</v>
      </c>
      <c r="C145">
        <v>0.5</v>
      </c>
      <c r="D145">
        <v>0.44</v>
      </c>
      <c r="E145">
        <v>0.45240000000000002</v>
      </c>
      <c r="F145">
        <v>21773408</v>
      </c>
      <c r="G145">
        <v>0.45240000000000002</v>
      </c>
      <c r="L145" t="s">
        <v>7</v>
      </c>
      <c r="M145" t="s">
        <v>8</v>
      </c>
      <c r="N145" t="s">
        <v>7</v>
      </c>
      <c r="P145">
        <f t="shared" ref="P145" si="700">IF(C145=D145,0,((E145-D145)-(C145-E145))/(C145-D145))</f>
        <v>-0.58666666666666589</v>
      </c>
      <c r="Q145">
        <f t="shared" ref="Q145" si="701">F145*P145</f>
        <v>-12773732.693333317</v>
      </c>
      <c r="R145">
        <f t="shared" ref="R145" si="702">R146+Q145</f>
        <v>-442692967.60226715</v>
      </c>
      <c r="S145">
        <f t="shared" ref="S145" si="703">R145/100000</f>
        <v>-4426.9296760226716</v>
      </c>
      <c r="T145">
        <f t="shared" ref="T145" si="704">S145/1000</f>
        <v>-4.426929676022672</v>
      </c>
    </row>
    <row r="146" spans="1:20" x14ac:dyDescent="0.25">
      <c r="A146" s="5">
        <v>44447</v>
      </c>
      <c r="B146">
        <v>0.47220000000000001</v>
      </c>
      <c r="C146">
        <v>0.50329999999999997</v>
      </c>
      <c r="D146">
        <v>0.41</v>
      </c>
      <c r="E146">
        <v>0.44600000000000001</v>
      </c>
      <c r="F146">
        <v>29911001</v>
      </c>
      <c r="G146">
        <v>0.44600000000000001</v>
      </c>
      <c r="L146" t="s">
        <v>8</v>
      </c>
      <c r="M146" t="s">
        <v>8</v>
      </c>
      <c r="N146" t="s">
        <v>7</v>
      </c>
      <c r="P146">
        <f t="shared" ref="P146" si="705">IF(C146=D146,0,((E146-D146)-(C146-E146))/(C146-D146))</f>
        <v>-0.22829581993569059</v>
      </c>
      <c r="Q146">
        <f t="shared" ref="Q146" si="706">F146*P146</f>
        <v>-6828556.4983922616</v>
      </c>
      <c r="R146">
        <f t="shared" ref="R146" si="707">R147+Q146</f>
        <v>-429919234.90893382</v>
      </c>
      <c r="S146">
        <f t="shared" ref="S146" si="708">R146/100000</f>
        <v>-4299.1923490893378</v>
      </c>
      <c r="T146">
        <f t="shared" ref="T146" si="709">S146/1000</f>
        <v>-4.2991923490893376</v>
      </c>
    </row>
    <row r="147" spans="1:20" x14ac:dyDescent="0.25">
      <c r="A147" s="5">
        <v>44446</v>
      </c>
      <c r="B147">
        <v>0.62070000000000003</v>
      </c>
      <c r="C147">
        <v>0.64570000000000005</v>
      </c>
      <c r="D147">
        <v>0.38040000000000002</v>
      </c>
      <c r="E147">
        <v>0.47160000000000002</v>
      </c>
      <c r="F147">
        <v>95446700</v>
      </c>
      <c r="G147">
        <v>0.47160000000000002</v>
      </c>
      <c r="L147" t="s">
        <v>7</v>
      </c>
      <c r="M147" t="s">
        <v>7</v>
      </c>
      <c r="N147" t="s">
        <v>7</v>
      </c>
      <c r="P147">
        <f t="shared" ref="P147" si="710">IF(C147=D147,0,((E147-D147)-(C147-E147))/(C147-D147))</f>
        <v>-0.31247644176404077</v>
      </c>
      <c r="Q147">
        <f t="shared" ref="Q147" si="711">F147*P147</f>
        <v>-29824845.194119871</v>
      </c>
      <c r="R147">
        <f t="shared" ref="R147" si="712">R148+Q147</f>
        <v>-423090678.41054153</v>
      </c>
      <c r="S147">
        <f t="shared" ref="S147" si="713">R147/100000</f>
        <v>-4230.9067841054157</v>
      </c>
      <c r="T147">
        <f t="shared" ref="T147" si="714">S147/1000</f>
        <v>-4.2309067841054153</v>
      </c>
    </row>
    <row r="148" spans="1:20" x14ac:dyDescent="0.25">
      <c r="A148" s="5">
        <v>44445</v>
      </c>
      <c r="B148">
        <v>0.48080000000000001</v>
      </c>
      <c r="C148">
        <v>0.66269999999999996</v>
      </c>
      <c r="D148">
        <v>0.43619999999999998</v>
      </c>
      <c r="E148">
        <v>0.62070000000000003</v>
      </c>
      <c r="F148">
        <v>116827681</v>
      </c>
      <c r="G148">
        <v>0.62070000000000003</v>
      </c>
      <c r="L148" t="s">
        <v>8</v>
      </c>
      <c r="M148" t="s">
        <v>8</v>
      </c>
      <c r="N148" t="s">
        <v>8</v>
      </c>
      <c r="P148">
        <f t="shared" ref="P148" si="715">IF(C148=D148,0,((E148-D148)-(C148-E148))/(C148-D148))</f>
        <v>0.62913907284768278</v>
      </c>
      <c r="Q148">
        <f t="shared" ref="Q148" si="716">F148*P148</f>
        <v>73500858.907284841</v>
      </c>
      <c r="R148">
        <f t="shared" ref="R148" si="717">R149+Q148</f>
        <v>-393265833.21642166</v>
      </c>
      <c r="S148">
        <f t="shared" ref="S148" si="718">R148/100000</f>
        <v>-3932.6583321642165</v>
      </c>
      <c r="T148">
        <f t="shared" ref="T148" si="719">S148/1000</f>
        <v>-3.9326583321642166</v>
      </c>
    </row>
    <row r="149" spans="1:20" x14ac:dyDescent="0.25">
      <c r="A149" s="5">
        <v>44444</v>
      </c>
      <c r="B149">
        <v>0.4743</v>
      </c>
      <c r="C149">
        <v>0.48670000000000002</v>
      </c>
      <c r="D149">
        <v>0.46</v>
      </c>
      <c r="E149">
        <v>0.48110000000000003</v>
      </c>
      <c r="F149">
        <v>12377195</v>
      </c>
      <c r="G149">
        <v>0.48110000000000003</v>
      </c>
      <c r="L149" t="s">
        <v>8</v>
      </c>
      <c r="M149" t="s">
        <v>8</v>
      </c>
      <c r="N149" t="s">
        <v>8</v>
      </c>
      <c r="P149">
        <f t="shared" ref="P149" si="720">IF(C149=D149,0,((E149-D149)-(C149-E149))/(C149-D149))</f>
        <v>0.58052434456928892</v>
      </c>
      <c r="Q149">
        <f t="shared" ref="Q149" si="721">F149*P149</f>
        <v>7185263.0149812801</v>
      </c>
      <c r="R149">
        <f t="shared" ref="R149" si="722">R150+Q149</f>
        <v>-466766692.12370652</v>
      </c>
      <c r="S149">
        <f t="shared" ref="S149" si="723">R149/100000</f>
        <v>-4667.6669212370653</v>
      </c>
      <c r="T149">
        <f t="shared" ref="T149" si="724">S149/1000</f>
        <v>-4.6676669212370649</v>
      </c>
    </row>
    <row r="150" spans="1:20" x14ac:dyDescent="0.25">
      <c r="A150" s="5">
        <v>44443</v>
      </c>
      <c r="B150">
        <v>0.44950000000000001</v>
      </c>
      <c r="C150">
        <v>0.48659999999999998</v>
      </c>
      <c r="D150">
        <v>0.44080000000000003</v>
      </c>
      <c r="E150">
        <v>0.47349999999999998</v>
      </c>
      <c r="F150">
        <v>26038150</v>
      </c>
      <c r="G150">
        <v>0.47349999999999998</v>
      </c>
      <c r="L150" t="s">
        <v>8</v>
      </c>
      <c r="M150" t="s">
        <v>8</v>
      </c>
      <c r="N150" t="s">
        <v>8</v>
      </c>
      <c r="P150">
        <f t="shared" ref="P150" si="725">IF(C150=D150,0,((E150-D150)-(C150-E150))/(C150-D150))</f>
        <v>0.4279475982532745</v>
      </c>
      <c r="Q150">
        <f t="shared" ref="Q150" si="726">F150*P150</f>
        <v>11142963.7554585</v>
      </c>
      <c r="R150">
        <f t="shared" ref="R150" si="727">R151+Q150</f>
        <v>-473951955.13868779</v>
      </c>
      <c r="S150">
        <f t="shared" ref="S150" si="728">R150/100000</f>
        <v>-4739.5195513868775</v>
      </c>
      <c r="T150">
        <f t="shared" ref="T150" si="729">S150/1000</f>
        <v>-4.739519551386878</v>
      </c>
    </row>
    <row r="151" spans="1:20" x14ac:dyDescent="0.25">
      <c r="A151" s="5">
        <v>44442</v>
      </c>
      <c r="B151">
        <v>0.43709999999999999</v>
      </c>
      <c r="C151">
        <v>0.46300000000000002</v>
      </c>
      <c r="D151">
        <v>0.42849999999999999</v>
      </c>
      <c r="E151">
        <v>0.44900000000000001</v>
      </c>
      <c r="F151">
        <v>17715576</v>
      </c>
      <c r="G151">
        <v>0.44900000000000001</v>
      </c>
      <c r="L151" t="s">
        <v>8</v>
      </c>
      <c r="M151" t="s">
        <v>8</v>
      </c>
      <c r="N151" t="s">
        <v>8</v>
      </c>
      <c r="P151">
        <f t="shared" ref="P151" si="730">IF(C151=D151,0,((E151-D151)-(C151-E151))/(C151-D151))</f>
        <v>0.18840579710144928</v>
      </c>
      <c r="Q151">
        <f t="shared" ref="Q151" si="731">F151*P151</f>
        <v>3337717.2173913042</v>
      </c>
      <c r="R151">
        <f t="shared" ref="R151" si="732">R152+Q151</f>
        <v>-485094918.89414626</v>
      </c>
      <c r="S151">
        <f t="shared" ref="S151" si="733">R151/100000</f>
        <v>-4850.949188941463</v>
      </c>
      <c r="T151">
        <f t="shared" ref="T151" si="734">S151/1000</f>
        <v>-4.8509491889414633</v>
      </c>
    </row>
    <row r="152" spans="1:20" x14ac:dyDescent="0.25">
      <c r="A152" s="5">
        <v>44441</v>
      </c>
      <c r="B152">
        <v>0.44729999999999998</v>
      </c>
      <c r="C152">
        <v>0.45910000000000001</v>
      </c>
      <c r="D152">
        <v>0.42499999999999999</v>
      </c>
      <c r="E152">
        <v>0.43719999999999998</v>
      </c>
      <c r="F152">
        <v>18177869</v>
      </c>
      <c r="G152">
        <v>0.43719999999999998</v>
      </c>
      <c r="L152" t="s">
        <v>8</v>
      </c>
      <c r="M152" t="s">
        <v>8</v>
      </c>
      <c r="N152" t="s">
        <v>8</v>
      </c>
      <c r="P152">
        <f t="shared" ref="P152" si="735">IF(C152=D152,0,((E152-D152)-(C152-E152))/(C152-D152))</f>
        <v>-0.28445747800586618</v>
      </c>
      <c r="Q152">
        <f t="shared" ref="Q152" si="736">F152*P152</f>
        <v>-5170830.7712610168</v>
      </c>
      <c r="R152">
        <f t="shared" ref="R152" si="737">R153+Q152</f>
        <v>-488432636.11153758</v>
      </c>
      <c r="S152">
        <f t="shared" ref="S152" si="738">R152/100000</f>
        <v>-4884.3263611153761</v>
      </c>
      <c r="T152">
        <f t="shared" ref="T152" si="739">S152/1000</f>
        <v>-4.8843263611153764</v>
      </c>
    </row>
    <row r="153" spans="1:20" x14ac:dyDescent="0.25">
      <c r="A153" s="5">
        <v>44440</v>
      </c>
      <c r="B153">
        <v>0.4531</v>
      </c>
      <c r="C153">
        <v>0.46329999999999999</v>
      </c>
      <c r="D153">
        <v>0.42</v>
      </c>
      <c r="E153">
        <v>0.4471</v>
      </c>
      <c r="F153">
        <v>27452798</v>
      </c>
      <c r="G153">
        <v>0.4471</v>
      </c>
      <c r="L153" t="s">
        <v>7</v>
      </c>
      <c r="M153" t="s">
        <v>8</v>
      </c>
      <c r="N153" t="s">
        <v>8</v>
      </c>
      <c r="P153">
        <f t="shared" ref="P153" si="740">IF(C153=D153,0,((E153-D153)-(C153-E153))/(C153-D153))</f>
        <v>0.25173210161662862</v>
      </c>
      <c r="Q153">
        <f t="shared" ref="Q153" si="741">F153*P153</f>
        <v>6910750.5357967792</v>
      </c>
      <c r="R153">
        <f t="shared" ref="R153" si="742">R154+Q153</f>
        <v>-483261805.34027654</v>
      </c>
      <c r="S153">
        <f t="shared" ref="S153" si="743">R153/100000</f>
        <v>-4832.6180534027653</v>
      </c>
      <c r="T153">
        <f t="shared" ref="T153" si="744">S153/1000</f>
        <v>-4.832618053402765</v>
      </c>
    </row>
    <row r="154" spans="1:20" x14ac:dyDescent="0.25">
      <c r="A154" s="5">
        <v>44439</v>
      </c>
      <c r="B154">
        <v>0.39760000000000001</v>
      </c>
      <c r="C154">
        <v>0.46350000000000002</v>
      </c>
      <c r="D154">
        <v>0.3916</v>
      </c>
      <c r="E154">
        <v>0.45329999999999998</v>
      </c>
      <c r="F154">
        <v>51142054</v>
      </c>
      <c r="G154">
        <v>0.45329999999999998</v>
      </c>
      <c r="L154" t="s">
        <v>8</v>
      </c>
      <c r="M154" t="s">
        <v>8</v>
      </c>
      <c r="N154" t="s">
        <v>8</v>
      </c>
      <c r="P154">
        <f t="shared" ref="P154" si="745">IF(C154=D154,0,((E154-D154)-(C154-E154))/(C154-D154))</f>
        <v>0.71627260083449129</v>
      </c>
      <c r="Q154">
        <f t="shared" ref="Q154" si="746">F154*P154</f>
        <v>36631652.030598</v>
      </c>
      <c r="R154">
        <f t="shared" ref="R154" si="747">R155+Q154</f>
        <v>-490172555.8760733</v>
      </c>
      <c r="S154">
        <f t="shared" ref="S154" si="748">R154/100000</f>
        <v>-4901.7255587607333</v>
      </c>
      <c r="T154">
        <f t="shared" ref="T154" si="749">S154/1000</f>
        <v>-4.9017255587607336</v>
      </c>
    </row>
    <row r="155" spans="1:20" x14ac:dyDescent="0.25">
      <c r="A155" s="5">
        <v>44438</v>
      </c>
      <c r="B155">
        <v>0.40500000000000003</v>
      </c>
      <c r="C155">
        <v>0.42880000000000001</v>
      </c>
      <c r="D155">
        <v>0.38869999999999999</v>
      </c>
      <c r="E155">
        <v>0.39739999999999998</v>
      </c>
      <c r="F155">
        <v>25090463</v>
      </c>
      <c r="G155">
        <v>0.39739999999999998</v>
      </c>
      <c r="L155" t="s">
        <v>7</v>
      </c>
      <c r="M155" t="s">
        <v>8</v>
      </c>
      <c r="N155" t="s">
        <v>8</v>
      </c>
      <c r="P155">
        <f t="shared" ref="P155" si="750">IF(C155=D155,0,((E155-D155)-(C155-E155))/(C155-D155))</f>
        <v>-0.56608478802992612</v>
      </c>
      <c r="Q155">
        <f t="shared" ref="Q155" si="751">F155*P155</f>
        <v>-14203329.428927705</v>
      </c>
      <c r="R155">
        <f t="shared" ref="R155" si="752">R156+Q155</f>
        <v>-526804207.90667129</v>
      </c>
      <c r="S155">
        <f t="shared" ref="S155" si="753">R155/100000</f>
        <v>-5268.0420790667131</v>
      </c>
      <c r="T155">
        <f t="shared" ref="T155" si="754">S155/1000</f>
        <v>-5.2680420790667135</v>
      </c>
    </row>
    <row r="156" spans="1:20" x14ac:dyDescent="0.25">
      <c r="A156" s="5">
        <v>44437</v>
      </c>
      <c r="B156">
        <v>0.4148</v>
      </c>
      <c r="C156">
        <v>0.4244</v>
      </c>
      <c r="D156">
        <v>0.4</v>
      </c>
      <c r="E156">
        <v>0.40510000000000002</v>
      </c>
      <c r="F156">
        <v>11699263</v>
      </c>
      <c r="G156">
        <v>0.40510000000000002</v>
      </c>
      <c r="L156" t="s">
        <v>7</v>
      </c>
      <c r="M156" t="s">
        <v>8</v>
      </c>
      <c r="N156" t="s">
        <v>8</v>
      </c>
      <c r="P156">
        <f t="shared" ref="P156" si="755">IF(C156=D156,0,((E156-D156)-(C156-E156))/(C156-D156))</f>
        <v>-0.5819672131147543</v>
      </c>
      <c r="Q156">
        <f t="shared" ref="Q156" si="756">F156*P156</f>
        <v>-6808587.4836065602</v>
      </c>
      <c r="R156">
        <f t="shared" ref="R156" si="757">R157+Q156</f>
        <v>-512600878.47774357</v>
      </c>
      <c r="S156">
        <f t="shared" ref="S156" si="758">R156/100000</f>
        <v>-5126.0087847774357</v>
      </c>
      <c r="T156">
        <f t="shared" ref="T156" si="759">S156/1000</f>
        <v>-5.1260087847774356</v>
      </c>
    </row>
    <row r="157" spans="1:20" x14ac:dyDescent="0.25">
      <c r="A157" s="5">
        <v>44436</v>
      </c>
      <c r="B157">
        <v>0.42149999999999999</v>
      </c>
      <c r="C157">
        <v>0.43680000000000002</v>
      </c>
      <c r="D157">
        <v>0.40949999999999998</v>
      </c>
      <c r="E157">
        <v>0.41470000000000001</v>
      </c>
      <c r="F157">
        <v>19317566</v>
      </c>
      <c r="G157">
        <v>0.41470000000000001</v>
      </c>
      <c r="L157" t="s">
        <v>8</v>
      </c>
      <c r="M157" t="s">
        <v>8</v>
      </c>
      <c r="N157" t="s">
        <v>8</v>
      </c>
      <c r="P157">
        <f t="shared" ref="P157" si="760">IF(C157=D157,0,((E157-D157)-(C157-E157))/(C157-D157))</f>
        <v>-0.61904761904761696</v>
      </c>
      <c r="Q157">
        <f t="shared" ref="Q157" si="761">F157*P157</f>
        <v>-11958493.238095198</v>
      </c>
      <c r="R157">
        <f t="shared" ref="R157" si="762">R158+Q157</f>
        <v>-505792290.99413699</v>
      </c>
      <c r="S157">
        <f t="shared" ref="S157" si="763">R157/100000</f>
        <v>-5057.9229099413697</v>
      </c>
      <c r="T157">
        <f t="shared" ref="T157" si="764">S157/1000</f>
        <v>-5.0579229099413698</v>
      </c>
    </row>
    <row r="158" spans="1:20" x14ac:dyDescent="0.25">
      <c r="A158" s="5">
        <v>44435</v>
      </c>
      <c r="B158">
        <v>0.39040000000000002</v>
      </c>
      <c r="C158">
        <v>0.43059999999999998</v>
      </c>
      <c r="D158">
        <v>0.37790000000000001</v>
      </c>
      <c r="E158">
        <v>0.42120000000000002</v>
      </c>
      <c r="F158">
        <v>26607292</v>
      </c>
      <c r="G158">
        <v>0.42120000000000002</v>
      </c>
      <c r="L158" t="s">
        <v>8</v>
      </c>
      <c r="M158" t="s">
        <v>7</v>
      </c>
      <c r="N158" t="s">
        <v>8</v>
      </c>
      <c r="P158">
        <f t="shared" ref="P158" si="765">IF(C158=D158,0,((E158-D158)-(C158-E158))/(C158-D158))</f>
        <v>0.64326375711575068</v>
      </c>
      <c r="Q158">
        <f t="shared" ref="Q158" si="766">F158*P158</f>
        <v>17115506.618595857</v>
      </c>
      <c r="R158">
        <f t="shared" ref="R158" si="767">R159+Q158</f>
        <v>-493833797.75604177</v>
      </c>
      <c r="S158">
        <f t="shared" ref="S158" si="768">R158/100000</f>
        <v>-4938.337977560418</v>
      </c>
      <c r="T158">
        <f t="shared" ref="T158" si="769">S158/1000</f>
        <v>-4.9383379775604181</v>
      </c>
    </row>
    <row r="159" spans="1:20" x14ac:dyDescent="0.25">
      <c r="A159" s="5">
        <v>44434</v>
      </c>
      <c r="B159">
        <v>0.41899999999999998</v>
      </c>
      <c r="C159">
        <v>0.4345</v>
      </c>
      <c r="D159">
        <v>0.37080000000000002</v>
      </c>
      <c r="E159">
        <v>0.39040000000000002</v>
      </c>
      <c r="F159">
        <v>30503675</v>
      </c>
      <c r="G159">
        <v>0.39040000000000002</v>
      </c>
      <c r="L159" t="s">
        <v>7</v>
      </c>
      <c r="M159" t="s">
        <v>7</v>
      </c>
      <c r="N159" t="s">
        <v>8</v>
      </c>
      <c r="P159">
        <f t="shared" ref="P159" si="770">IF(C159=D159,0,((E159-D159)-(C159-E159))/(C159-D159))</f>
        <v>-0.38461538461538419</v>
      </c>
      <c r="Q159">
        <f t="shared" ref="Q159" si="771">F159*P159</f>
        <v>-11732182.692307679</v>
      </c>
      <c r="R159">
        <f t="shared" ref="R159" si="772">R160+Q159</f>
        <v>-510949304.3746376</v>
      </c>
      <c r="S159">
        <f t="shared" ref="S159" si="773">R159/100000</f>
        <v>-5109.4930437463763</v>
      </c>
      <c r="T159">
        <f t="shared" ref="T159" si="774">S159/1000</f>
        <v>-5.1094930437463759</v>
      </c>
    </row>
    <row r="160" spans="1:20" x14ac:dyDescent="0.25">
      <c r="A160" s="5">
        <v>44433</v>
      </c>
      <c r="B160">
        <v>0.40350000000000003</v>
      </c>
      <c r="C160">
        <v>0.43269999999999997</v>
      </c>
      <c r="D160">
        <v>0.39510000000000001</v>
      </c>
      <c r="E160">
        <v>0.41880000000000001</v>
      </c>
      <c r="F160">
        <v>28021896</v>
      </c>
      <c r="G160">
        <v>0.41880000000000001</v>
      </c>
      <c r="L160" t="s">
        <v>8</v>
      </c>
      <c r="M160" t="s">
        <v>8</v>
      </c>
      <c r="N160" t="s">
        <v>8</v>
      </c>
      <c r="P160">
        <f t="shared" ref="P160" si="775">IF(C160=D160,0,((E160-D160)-(C160-E160))/(C160-D160))</f>
        <v>0.2606382978723415</v>
      </c>
      <c r="Q160">
        <f t="shared" ref="Q160" si="776">F160*P160</f>
        <v>7303579.276595775</v>
      </c>
      <c r="R160">
        <f t="shared" ref="R160" si="777">R161+Q160</f>
        <v>-499217121.68232995</v>
      </c>
      <c r="S160">
        <f t="shared" ref="S160" si="778">R160/100000</f>
        <v>-4992.1712168232998</v>
      </c>
      <c r="T160">
        <f t="shared" ref="T160" si="779">S160/1000</f>
        <v>-4.9921712168232997</v>
      </c>
    </row>
    <row r="161" spans="1:20" x14ac:dyDescent="0.25">
      <c r="A161" s="5">
        <v>44432</v>
      </c>
      <c r="B161">
        <v>0.4224</v>
      </c>
      <c r="C161">
        <v>0.44269999999999998</v>
      </c>
      <c r="D161">
        <v>0.38890000000000002</v>
      </c>
      <c r="E161">
        <v>0.40350000000000003</v>
      </c>
      <c r="F161">
        <v>42158734</v>
      </c>
      <c r="G161">
        <v>0.40350000000000003</v>
      </c>
      <c r="L161" t="s">
        <v>7</v>
      </c>
      <c r="M161" t="s">
        <v>8</v>
      </c>
      <c r="N161" t="s">
        <v>8</v>
      </c>
      <c r="P161">
        <f t="shared" ref="P161" si="780">IF(C161=D161,0,((E161-D161)-(C161-E161))/(C161-D161))</f>
        <v>-0.45724907063196979</v>
      </c>
      <c r="Q161">
        <f t="shared" ref="Q161" si="781">F161*P161</f>
        <v>-19277041.940520424</v>
      </c>
      <c r="R161">
        <f t="shared" ref="R161" si="782">R162+Q161</f>
        <v>-506520700.95892572</v>
      </c>
      <c r="S161">
        <f t="shared" ref="S161" si="783">R161/100000</f>
        <v>-5065.2070095892568</v>
      </c>
      <c r="T161">
        <f t="shared" ref="T161" si="784">S161/1000</f>
        <v>-5.0652070095892565</v>
      </c>
    </row>
    <row r="162" spans="1:20" x14ac:dyDescent="0.25">
      <c r="A162" s="5">
        <v>44431</v>
      </c>
      <c r="B162">
        <v>0.44209999999999999</v>
      </c>
      <c r="C162">
        <v>0.4491</v>
      </c>
      <c r="D162">
        <v>0.4098</v>
      </c>
      <c r="E162">
        <v>0.42309999999999998</v>
      </c>
      <c r="F162">
        <v>26016727</v>
      </c>
      <c r="G162">
        <v>0.42309999999999998</v>
      </c>
      <c r="L162" t="s">
        <v>8</v>
      </c>
      <c r="M162" t="s">
        <v>8</v>
      </c>
      <c r="N162" t="s">
        <v>8</v>
      </c>
      <c r="P162">
        <f t="shared" ref="P162" si="785">IF(C162=D162,0,((E162-D162)-(C162-E162))/(C162-D162))</f>
        <v>-0.32315521628498839</v>
      </c>
      <c r="Q162">
        <f t="shared" ref="Q162" si="786">F162*P162</f>
        <v>-8407441.0407124963</v>
      </c>
      <c r="R162">
        <f t="shared" ref="R162" si="787">R163+Q162</f>
        <v>-487243659.01840532</v>
      </c>
      <c r="S162">
        <f t="shared" ref="S162" si="788">R162/100000</f>
        <v>-4872.4365901840529</v>
      </c>
      <c r="T162">
        <f t="shared" ref="T162" si="789">S162/1000</f>
        <v>-4.8724365901840532</v>
      </c>
    </row>
    <row r="163" spans="1:20" x14ac:dyDescent="0.25">
      <c r="A163" s="5">
        <v>44430</v>
      </c>
      <c r="B163">
        <v>0.43340000000000001</v>
      </c>
      <c r="C163">
        <v>0.43609999999999999</v>
      </c>
      <c r="D163">
        <v>0.40989999999999999</v>
      </c>
      <c r="E163">
        <v>0.42170000000000002</v>
      </c>
      <c r="F163">
        <v>7081450</v>
      </c>
      <c r="G163">
        <v>0.42170000000000002</v>
      </c>
      <c r="L163" t="s">
        <v>8</v>
      </c>
      <c r="M163" t="s">
        <v>8</v>
      </c>
      <c r="N163" t="s">
        <v>8</v>
      </c>
      <c r="P163">
        <f t="shared" ref="P163" si="790">IF(C163=D163,0,((E163-D163)-(C163-E163))/(C163-D163))</f>
        <v>-9.9236641221371588E-2</v>
      </c>
      <c r="Q163">
        <f t="shared" ref="Q163" si="791">F163*P163</f>
        <v>-702739.31297708186</v>
      </c>
      <c r="R163">
        <f t="shared" ref="R163" si="792">R164+Q163</f>
        <v>-478836217.97769284</v>
      </c>
      <c r="S163">
        <f t="shared" ref="S163" si="793">R163/100000</f>
        <v>-4788.3621797769283</v>
      </c>
      <c r="T163">
        <f t="shared" ref="T163" si="794">S163/1000</f>
        <v>-4.7883621797769287</v>
      </c>
    </row>
    <row r="164" spans="1:20" x14ac:dyDescent="0.25">
      <c r="A164" s="5">
        <v>44429</v>
      </c>
      <c r="B164">
        <v>0.39</v>
      </c>
      <c r="C164">
        <v>0.43490000000000001</v>
      </c>
      <c r="D164">
        <v>0.3745</v>
      </c>
      <c r="E164">
        <v>0.43340000000000001</v>
      </c>
      <c r="F164">
        <v>38371133</v>
      </c>
      <c r="G164">
        <v>0.43340000000000001</v>
      </c>
      <c r="L164" t="s">
        <v>8</v>
      </c>
      <c r="M164" t="s">
        <v>8</v>
      </c>
      <c r="N164" t="s">
        <v>8</v>
      </c>
      <c r="P164">
        <f t="shared" ref="P164" si="795">IF(C164=D164,0,((E164-D164)-(C164-E164))/(C164-D164))</f>
        <v>0.95033112582781454</v>
      </c>
      <c r="Q164">
        <f t="shared" ref="Q164" si="796">F164*P164</f>
        <v>36465282.023178808</v>
      </c>
      <c r="R164">
        <f t="shared" ref="R164" si="797">R165+Q164</f>
        <v>-478133478.66471577</v>
      </c>
      <c r="S164">
        <f t="shared" ref="S164" si="798">R164/100000</f>
        <v>-4781.3347866471577</v>
      </c>
      <c r="T164">
        <f t="shared" ref="T164" si="799">S164/1000</f>
        <v>-4.7813347866471574</v>
      </c>
    </row>
    <row r="165" spans="1:20" x14ac:dyDescent="0.25">
      <c r="A165" s="5">
        <v>44428</v>
      </c>
      <c r="B165">
        <v>0.37659999999999999</v>
      </c>
      <c r="C165">
        <v>0.39100000000000001</v>
      </c>
      <c r="D165">
        <v>0.3715</v>
      </c>
      <c r="E165">
        <v>0.38990000000000002</v>
      </c>
      <c r="F165">
        <v>15667880</v>
      </c>
      <c r="G165">
        <v>0.38990000000000002</v>
      </c>
      <c r="L165" t="s">
        <v>8</v>
      </c>
      <c r="M165" t="s">
        <v>7</v>
      </c>
      <c r="N165" t="s">
        <v>8</v>
      </c>
      <c r="P165">
        <f t="shared" ref="P165" si="800">IF(C165=D165,0,((E165-D165)-(C165-E165))/(C165-D165))</f>
        <v>0.88717948717948836</v>
      </c>
      <c r="Q165">
        <f t="shared" ref="Q165" si="801">F165*P165</f>
        <v>13900221.743589763</v>
      </c>
      <c r="R165">
        <f t="shared" ref="R165" si="802">R166+Q165</f>
        <v>-514598760.68789458</v>
      </c>
      <c r="S165">
        <f t="shared" ref="S165" si="803">R165/100000</f>
        <v>-5145.9876068789463</v>
      </c>
      <c r="T165">
        <f t="shared" ref="T165" si="804">S165/1000</f>
        <v>-5.1459876068789461</v>
      </c>
    </row>
    <row r="166" spans="1:20" x14ac:dyDescent="0.25">
      <c r="A166" s="5">
        <v>44427</v>
      </c>
      <c r="B166">
        <v>0.35239999999999999</v>
      </c>
      <c r="C166">
        <v>0.38</v>
      </c>
      <c r="D166">
        <v>0.34329999999999999</v>
      </c>
      <c r="E166">
        <v>0.3765</v>
      </c>
      <c r="F166">
        <v>23812963</v>
      </c>
      <c r="G166">
        <v>0.3765</v>
      </c>
      <c r="L166" t="s">
        <v>8</v>
      </c>
      <c r="M166" t="s">
        <v>7</v>
      </c>
      <c r="N166" t="s">
        <v>8</v>
      </c>
      <c r="P166">
        <f t="shared" ref="P166" si="805">IF(C166=D166,0,((E166-D166)-(C166-E166))/(C166-D166))</f>
        <v>0.80926430517711156</v>
      </c>
      <c r="Q166">
        <f t="shared" ref="Q166" si="806">F166*P166</f>
        <v>19270980.956403267</v>
      </c>
      <c r="R166">
        <f t="shared" ref="R166" si="807">R167+Q166</f>
        <v>-528498982.43148434</v>
      </c>
      <c r="S166">
        <f t="shared" ref="S166" si="808">R166/100000</f>
        <v>-5284.9898243148436</v>
      </c>
      <c r="T166">
        <f t="shared" ref="T166" si="809">S166/1000</f>
        <v>-5.2849898243148434</v>
      </c>
    </row>
    <row r="167" spans="1:20" x14ac:dyDescent="0.25">
      <c r="A167" s="5">
        <v>44426</v>
      </c>
      <c r="B167">
        <v>0.35420000000000001</v>
      </c>
      <c r="C167">
        <v>0.38</v>
      </c>
      <c r="D167">
        <v>0.32900000000000001</v>
      </c>
      <c r="E167">
        <v>0.3523</v>
      </c>
      <c r="F167">
        <v>33413103</v>
      </c>
      <c r="G167">
        <v>0.3523</v>
      </c>
      <c r="L167" t="s">
        <v>7</v>
      </c>
      <c r="M167" t="s">
        <v>7</v>
      </c>
      <c r="N167" t="s">
        <v>8</v>
      </c>
      <c r="P167">
        <f t="shared" ref="P167" si="810">IF(C167=D167,0,((E167-D167)-(C167-E167))/(C167-D167))</f>
        <v>-8.6274509803921887E-2</v>
      </c>
      <c r="Q167">
        <f t="shared" ref="Q167" si="811">F167*P167</f>
        <v>-2882699.0823529516</v>
      </c>
      <c r="R167">
        <f t="shared" ref="R167" si="812">R168+Q167</f>
        <v>-547769963.3878876</v>
      </c>
      <c r="S167">
        <f t="shared" ref="S167" si="813">R167/100000</f>
        <v>-5477.6996338788758</v>
      </c>
      <c r="T167">
        <f t="shared" ref="T167" si="814">S167/1000</f>
        <v>-5.4776996338788759</v>
      </c>
    </row>
    <row r="168" spans="1:20" x14ac:dyDescent="0.25">
      <c r="A168" s="5">
        <v>44425</v>
      </c>
      <c r="B168">
        <v>0.37630000000000002</v>
      </c>
      <c r="C168">
        <v>0.4047</v>
      </c>
      <c r="D168">
        <v>0.34989999999999999</v>
      </c>
      <c r="E168">
        <v>0.3543</v>
      </c>
      <c r="F168">
        <v>28718466</v>
      </c>
      <c r="G168">
        <v>0.3543</v>
      </c>
      <c r="L168" t="s">
        <v>7</v>
      </c>
      <c r="M168" t="s">
        <v>7</v>
      </c>
      <c r="N168" t="s">
        <v>8</v>
      </c>
      <c r="P168">
        <f t="shared" ref="P168" si="815">IF(C168=D168,0,((E168-D168)-(C168-E168))/(C168-D168))</f>
        <v>-0.83941605839416011</v>
      </c>
      <c r="Q168">
        <f t="shared" ref="Q168" si="816">F168*P168</f>
        <v>-24106741.5328467</v>
      </c>
      <c r="R168">
        <f t="shared" ref="R168" si="817">R169+Q168</f>
        <v>-544887264.3055346</v>
      </c>
      <c r="S168">
        <f t="shared" ref="S168" si="818">R168/100000</f>
        <v>-5448.8726430553461</v>
      </c>
      <c r="T168">
        <f t="shared" ref="T168" si="819">S168/1000</f>
        <v>-5.4488726430553465</v>
      </c>
    </row>
    <row r="169" spans="1:20" x14ac:dyDescent="0.25">
      <c r="A169" s="5">
        <v>44424</v>
      </c>
      <c r="B169">
        <v>0.3931</v>
      </c>
      <c r="C169">
        <v>0.41660000000000003</v>
      </c>
      <c r="D169">
        <v>0.37419999999999998</v>
      </c>
      <c r="E169">
        <v>0.37580000000000002</v>
      </c>
      <c r="F169">
        <v>27737049</v>
      </c>
      <c r="G169">
        <v>0.37580000000000002</v>
      </c>
      <c r="L169" t="s">
        <v>8</v>
      </c>
      <c r="M169" t="s">
        <v>8</v>
      </c>
      <c r="N169" t="s">
        <v>8</v>
      </c>
      <c r="P169">
        <f t="shared" ref="P169" si="820">IF(C169=D169,0,((E169-D169)-(C169-E169))/(C169-D169))</f>
        <v>-0.92452830188679036</v>
      </c>
      <c r="Q169">
        <f t="shared" ref="Q169" si="821">F169*P169</f>
        <v>-25643686.811320696</v>
      </c>
      <c r="R169">
        <f t="shared" ref="R169" si="822">R170+Q169</f>
        <v>-520780522.77268791</v>
      </c>
      <c r="S169">
        <f t="shared" ref="S169" si="823">R169/100000</f>
        <v>-5207.8052277268789</v>
      </c>
      <c r="T169">
        <f t="shared" ref="T169" si="824">S169/1000</f>
        <v>-5.2078052277268787</v>
      </c>
    </row>
    <row r="170" spans="1:20" x14ac:dyDescent="0.25">
      <c r="A170" s="5">
        <v>44423</v>
      </c>
      <c r="B170">
        <v>0.3916</v>
      </c>
      <c r="C170">
        <v>0.39929999999999999</v>
      </c>
      <c r="D170">
        <v>0.36799999999999999</v>
      </c>
      <c r="E170">
        <v>0.39229999999999998</v>
      </c>
      <c r="F170">
        <v>19214488</v>
      </c>
      <c r="G170">
        <v>0.39229999999999998</v>
      </c>
      <c r="L170" t="s">
        <v>8</v>
      </c>
      <c r="M170" t="s">
        <v>8</v>
      </c>
      <c r="N170" t="s">
        <v>8</v>
      </c>
      <c r="P170">
        <f t="shared" ref="P170" si="825">IF(C170=D170,0,((E170-D170)-(C170-E170))/(C170-D170))</f>
        <v>0.5527156549520762</v>
      </c>
      <c r="Q170">
        <f t="shared" ref="Q170" si="826">F170*P170</f>
        <v>10620148.319488809</v>
      </c>
      <c r="R170">
        <f t="shared" ref="R170" si="827">R171+Q170</f>
        <v>-495136835.96136719</v>
      </c>
      <c r="S170">
        <f t="shared" ref="S170" si="828">R170/100000</f>
        <v>-4951.3683596136716</v>
      </c>
      <c r="T170">
        <f t="shared" ref="T170" si="829">S170/1000</f>
        <v>-4.9513683596136717</v>
      </c>
    </row>
    <row r="171" spans="1:20" x14ac:dyDescent="0.25">
      <c r="A171" s="5">
        <v>44422</v>
      </c>
      <c r="B171">
        <v>0.39739999999999998</v>
      </c>
      <c r="C171">
        <v>0.41349999999999998</v>
      </c>
      <c r="D171">
        <v>0.36780000000000002</v>
      </c>
      <c r="E171">
        <v>0.39150000000000001</v>
      </c>
      <c r="F171">
        <v>34927795</v>
      </c>
      <c r="G171">
        <v>0.39150000000000001</v>
      </c>
      <c r="L171" t="s">
        <v>7</v>
      </c>
      <c r="M171" t="s">
        <v>8</v>
      </c>
      <c r="N171" t="s">
        <v>8</v>
      </c>
      <c r="P171">
        <f t="shared" ref="P171" si="830">IF(C171=D171,0,((E171-D171)-(C171-E171))/(C171-D171))</f>
        <v>3.7199124726477815E-2</v>
      </c>
      <c r="Q171">
        <f t="shared" ref="Q171" si="831">F171*P171</f>
        <v>1299283.4026258483</v>
      </c>
      <c r="R171">
        <f t="shared" ref="R171" si="832">R172+Q171</f>
        <v>-505756984.28085601</v>
      </c>
      <c r="S171">
        <f t="shared" ref="S171" si="833">R171/100000</f>
        <v>-5057.5698428085598</v>
      </c>
      <c r="T171">
        <f t="shared" ref="T171" si="834">S171/1000</f>
        <v>-5.0575698428085598</v>
      </c>
    </row>
    <row r="172" spans="1:20" x14ac:dyDescent="0.25">
      <c r="A172" s="5">
        <v>44421</v>
      </c>
      <c r="B172">
        <v>0.3417</v>
      </c>
      <c r="C172">
        <v>0.42</v>
      </c>
      <c r="D172">
        <v>0.33829999999999999</v>
      </c>
      <c r="E172">
        <v>0.39739999999999998</v>
      </c>
      <c r="F172">
        <v>48152759</v>
      </c>
      <c r="G172">
        <v>0.39739999999999998</v>
      </c>
      <c r="L172" t="s">
        <v>8</v>
      </c>
      <c r="M172" t="s">
        <v>8</v>
      </c>
      <c r="N172" t="s">
        <v>8</v>
      </c>
      <c r="P172">
        <f t="shared" ref="P172" si="835">IF(C172=D172,0,((E172-D172)-(C172-E172))/(C172-D172))</f>
        <v>0.44675642594859216</v>
      </c>
      <c r="Q172">
        <f t="shared" ref="Q172" si="836">F172*P172</f>
        <v>21512554.510403905</v>
      </c>
      <c r="R172">
        <f t="shared" ref="R172" si="837">R173+Q172</f>
        <v>-507056267.68348187</v>
      </c>
      <c r="S172">
        <f t="shared" ref="S172" si="838">R172/100000</f>
        <v>-5070.5626768348184</v>
      </c>
      <c r="T172">
        <f t="shared" ref="T172" si="839">S172/1000</f>
        <v>-5.0705626768348182</v>
      </c>
    </row>
    <row r="173" spans="1:20" x14ac:dyDescent="0.25">
      <c r="A173" s="5">
        <v>44420</v>
      </c>
      <c r="B173">
        <v>0.34179999999999999</v>
      </c>
      <c r="C173">
        <v>0.35949999999999999</v>
      </c>
      <c r="D173">
        <v>0.32</v>
      </c>
      <c r="E173">
        <v>0.34150000000000003</v>
      </c>
      <c r="F173">
        <v>35363759</v>
      </c>
      <c r="G173">
        <v>0.34150000000000003</v>
      </c>
      <c r="L173" t="s">
        <v>7</v>
      </c>
      <c r="M173" t="s">
        <v>7</v>
      </c>
      <c r="N173" t="s">
        <v>8</v>
      </c>
      <c r="P173">
        <f t="shared" ref="P173" si="840">IF(C173=D173,0,((E173-D173)-(C173-E173))/(C173-D173))</f>
        <v>8.8607594936710388E-2</v>
      </c>
      <c r="Q173">
        <f t="shared" ref="Q173" si="841">F173*P173</f>
        <v>3133497.6329114465</v>
      </c>
      <c r="R173">
        <f t="shared" ref="R173" si="842">R174+Q173</f>
        <v>-528568822.1938858</v>
      </c>
      <c r="S173">
        <f t="shared" ref="S173" si="843">R173/100000</f>
        <v>-5285.6882219388581</v>
      </c>
      <c r="T173">
        <f t="shared" ref="T173" si="844">S173/1000</f>
        <v>-5.2856882219388579</v>
      </c>
    </row>
    <row r="174" spans="1:20" x14ac:dyDescent="0.25">
      <c r="A174" s="5">
        <v>44419</v>
      </c>
      <c r="B174">
        <v>0.33260000000000001</v>
      </c>
      <c r="C174">
        <v>0.37440000000000001</v>
      </c>
      <c r="D174">
        <v>0.33250000000000002</v>
      </c>
      <c r="E174">
        <v>0.34139999999999998</v>
      </c>
      <c r="F174">
        <v>31454922</v>
      </c>
      <c r="G174">
        <v>0.34139999999999998</v>
      </c>
      <c r="L174" t="s">
        <v>7</v>
      </c>
      <c r="M174" t="s">
        <v>8</v>
      </c>
      <c r="N174" t="s">
        <v>8</v>
      </c>
      <c r="P174">
        <f t="shared" ref="P174" si="845">IF(C174=D174,0,((E174-D174)-(C174-E174))/(C174-D174))</f>
        <v>-0.57517899761336677</v>
      </c>
      <c r="Q174">
        <f t="shared" ref="Q174" si="846">F174*P174</f>
        <v>-18092210.505966637</v>
      </c>
      <c r="R174">
        <f t="shared" ref="R174" si="847">R175+Q174</f>
        <v>-531702319.82679725</v>
      </c>
      <c r="S174">
        <f t="shared" ref="S174" si="848">R174/100000</f>
        <v>-5317.0231982679725</v>
      </c>
      <c r="T174">
        <f t="shared" ref="T174" si="849">S174/1000</f>
        <v>-5.3170231982679725</v>
      </c>
    </row>
    <row r="175" spans="1:20" x14ac:dyDescent="0.25">
      <c r="A175" s="5">
        <v>44418</v>
      </c>
      <c r="B175">
        <v>0.33129999999999998</v>
      </c>
      <c r="C175">
        <v>0.37990000000000002</v>
      </c>
      <c r="D175">
        <v>0.32490000000000002</v>
      </c>
      <c r="E175">
        <v>0.33260000000000001</v>
      </c>
      <c r="F175">
        <v>68638044</v>
      </c>
      <c r="G175">
        <v>0.33260000000000001</v>
      </c>
      <c r="L175" t="s">
        <v>8</v>
      </c>
      <c r="M175" t="s">
        <v>8</v>
      </c>
      <c r="N175" t="s">
        <v>8</v>
      </c>
      <c r="P175">
        <f t="shared" ref="P175" si="850">IF(C175=D175,0,((E175-D175)-(C175-E175))/(C175-D175))</f>
        <v>-0.72000000000000053</v>
      </c>
      <c r="Q175">
        <f t="shared" ref="Q175" si="851">F175*P175</f>
        <v>-49419391.680000037</v>
      </c>
      <c r="R175">
        <f t="shared" ref="R175" si="852">R176+Q175</f>
        <v>-513610109.32083058</v>
      </c>
      <c r="S175">
        <f t="shared" ref="S175" si="853">R175/100000</f>
        <v>-5136.1010932083054</v>
      </c>
      <c r="T175">
        <f t="shared" ref="T175" si="854">S175/1000</f>
        <v>-5.1361010932083051</v>
      </c>
    </row>
    <row r="176" spans="1:20" x14ac:dyDescent="0.25">
      <c r="A176" s="5">
        <v>44417</v>
      </c>
      <c r="B176">
        <v>0.29470000000000002</v>
      </c>
      <c r="C176">
        <v>0.34699999999999998</v>
      </c>
      <c r="D176">
        <v>0.28520000000000001</v>
      </c>
      <c r="E176">
        <v>0.33129999999999998</v>
      </c>
      <c r="F176">
        <v>26894230</v>
      </c>
      <c r="G176">
        <v>0.33129999999999998</v>
      </c>
      <c r="L176" t="s">
        <v>7</v>
      </c>
      <c r="M176" t="s">
        <v>8</v>
      </c>
      <c r="N176" t="s">
        <v>8</v>
      </c>
      <c r="P176">
        <f t="shared" ref="P176" si="855">IF(C176=D176,0,((E176-D176)-(C176-E176))/(C176-D176))</f>
        <v>0.49190938511326859</v>
      </c>
      <c r="Q176">
        <f t="shared" ref="Q176" si="856">F176*P176</f>
        <v>13229524.142394822</v>
      </c>
      <c r="R176">
        <f t="shared" ref="R176" si="857">R177+Q176</f>
        <v>-464190717.64083052</v>
      </c>
      <c r="S176">
        <f t="shared" ref="S176" si="858">R176/100000</f>
        <v>-4641.9071764083055</v>
      </c>
      <c r="T176">
        <f t="shared" ref="T176" si="859">S176/1000</f>
        <v>-4.6419071764083055</v>
      </c>
    </row>
    <row r="177" spans="1:20" x14ac:dyDescent="0.25">
      <c r="A177" s="5">
        <v>44416</v>
      </c>
      <c r="B177">
        <v>0.31940000000000002</v>
      </c>
      <c r="C177">
        <v>0.32400000000000001</v>
      </c>
      <c r="D177">
        <v>0.28870000000000001</v>
      </c>
      <c r="E177">
        <v>0.29430000000000001</v>
      </c>
      <c r="F177">
        <v>21589436</v>
      </c>
      <c r="G177">
        <v>0.29430000000000001</v>
      </c>
      <c r="L177" t="s">
        <v>7</v>
      </c>
      <c r="M177" t="s">
        <v>8</v>
      </c>
      <c r="N177" t="s">
        <v>8</v>
      </c>
      <c r="P177">
        <f t="shared" ref="P177" si="860">IF(C177=D177,0,((E177-D177)-(C177-E177))/(C177-D177))</f>
        <v>-0.68271954674220992</v>
      </c>
      <c r="Q177">
        <f t="shared" ref="Q177" si="861">F177*P177</f>
        <v>-14739529.960339949</v>
      </c>
      <c r="R177">
        <f t="shared" ref="R177" si="862">R178+Q177</f>
        <v>-477420241.78322536</v>
      </c>
      <c r="S177">
        <f t="shared" ref="S177" si="863">R177/100000</f>
        <v>-4774.2024178322536</v>
      </c>
      <c r="T177">
        <f t="shared" ref="T177" si="864">S177/1000</f>
        <v>-4.774202417832254</v>
      </c>
    </row>
    <row r="178" spans="1:20" x14ac:dyDescent="0.25">
      <c r="A178" s="5">
        <v>44415</v>
      </c>
      <c r="B178">
        <v>0.31459999999999999</v>
      </c>
      <c r="C178">
        <v>0.34</v>
      </c>
      <c r="D178">
        <v>0.30070000000000002</v>
      </c>
      <c r="E178">
        <v>0.31940000000000002</v>
      </c>
      <c r="F178">
        <v>35885889</v>
      </c>
      <c r="G178">
        <v>0.31940000000000002</v>
      </c>
      <c r="L178" t="s">
        <v>8</v>
      </c>
      <c r="M178" t="s">
        <v>8</v>
      </c>
      <c r="N178" t="s">
        <v>8</v>
      </c>
      <c r="P178">
        <f t="shared" ref="P178" si="865">IF(C178=D178,0,((E178-D178)-(C178-E178))/(C178-D178))</f>
        <v>-4.8346055979644087E-2</v>
      </c>
      <c r="Q178">
        <f t="shared" ref="Q178" si="866">F178*P178</f>
        <v>-1734941.198473294</v>
      </c>
      <c r="R178">
        <f t="shared" ref="R178" si="867">R179+Q178</f>
        <v>-462680711.82288539</v>
      </c>
      <c r="S178">
        <f t="shared" ref="S178" si="868">R178/100000</f>
        <v>-4626.8071182288541</v>
      </c>
      <c r="T178">
        <f t="shared" ref="T178" si="869">S178/1000</f>
        <v>-4.6268071182288537</v>
      </c>
    </row>
    <row r="179" spans="1:20" x14ac:dyDescent="0.25">
      <c r="A179" s="5">
        <v>44414</v>
      </c>
      <c r="B179">
        <v>0.312</v>
      </c>
      <c r="C179">
        <v>0.33160000000000001</v>
      </c>
      <c r="D179">
        <v>0.30349999999999999</v>
      </c>
      <c r="E179">
        <v>0.31430000000000002</v>
      </c>
      <c r="F179">
        <v>25415321</v>
      </c>
      <c r="G179">
        <v>0.31430000000000002</v>
      </c>
      <c r="L179" t="s">
        <v>8</v>
      </c>
      <c r="M179" t="s">
        <v>8</v>
      </c>
      <c r="N179" t="s">
        <v>8</v>
      </c>
      <c r="P179">
        <f t="shared" ref="P179" si="870">IF(C179=D179,0,((E179-D179)-(C179-E179))/(C179-D179))</f>
        <v>-0.2313167259786458</v>
      </c>
      <c r="Q179">
        <f t="shared" ref="Q179" si="871">F179*P179</f>
        <v>-5878988.843416322</v>
      </c>
      <c r="R179">
        <f t="shared" ref="R179" si="872">R180+Q179</f>
        <v>-460945770.62441212</v>
      </c>
      <c r="S179">
        <f t="shared" ref="S179" si="873">R179/100000</f>
        <v>-4609.4577062441213</v>
      </c>
      <c r="T179">
        <f t="shared" ref="T179" si="874">S179/1000</f>
        <v>-4.6094577062441209</v>
      </c>
    </row>
    <row r="180" spans="1:20" x14ac:dyDescent="0.25">
      <c r="A180" s="5">
        <v>44413</v>
      </c>
      <c r="B180">
        <v>0.29220000000000002</v>
      </c>
      <c r="C180">
        <v>0.32</v>
      </c>
      <c r="D180">
        <v>0.2823</v>
      </c>
      <c r="E180">
        <v>0.31180000000000002</v>
      </c>
      <c r="F180">
        <v>33864690</v>
      </c>
      <c r="G180">
        <v>0.31180000000000002</v>
      </c>
      <c r="L180" t="s">
        <v>8</v>
      </c>
      <c r="M180" t="s">
        <v>7</v>
      </c>
      <c r="N180" t="s">
        <v>8</v>
      </c>
      <c r="P180">
        <f t="shared" ref="P180" si="875">IF(C180=D180,0,((E180-D180)-(C180-E180))/(C180-D180))</f>
        <v>0.5649867374005314</v>
      </c>
      <c r="Q180">
        <f t="shared" ref="Q180" si="876">F180*P180</f>
        <v>19133100.716180403</v>
      </c>
      <c r="R180">
        <f t="shared" ref="R180" si="877">R181+Q180</f>
        <v>-455066781.78099579</v>
      </c>
      <c r="S180">
        <f t="shared" ref="S180" si="878">R180/100000</f>
        <v>-4550.6678178099583</v>
      </c>
      <c r="T180">
        <f t="shared" ref="T180" si="879">S180/1000</f>
        <v>-4.5506678178099582</v>
      </c>
    </row>
    <row r="181" spans="1:20" x14ac:dyDescent="0.25">
      <c r="A181" s="5">
        <v>44412</v>
      </c>
      <c r="B181">
        <v>0.27910000000000001</v>
      </c>
      <c r="C181">
        <v>0.30740000000000001</v>
      </c>
      <c r="D181">
        <v>0.27239999999999998</v>
      </c>
      <c r="E181">
        <v>0.2918</v>
      </c>
      <c r="F181">
        <v>27496207</v>
      </c>
      <c r="G181">
        <v>0.2918</v>
      </c>
      <c r="L181" t="s">
        <v>8</v>
      </c>
      <c r="M181" t="s">
        <v>7</v>
      </c>
      <c r="N181" t="s">
        <v>8</v>
      </c>
      <c r="P181">
        <f t="shared" ref="P181" si="880">IF(C181=D181,0,((E181-D181)-(C181-E181))/(C181-D181))</f>
        <v>0.10857142857142921</v>
      </c>
      <c r="Q181">
        <f t="shared" ref="Q181" si="881">F181*P181</f>
        <v>2985302.4742857316</v>
      </c>
      <c r="R181">
        <f t="shared" ref="R181" si="882">R182+Q181</f>
        <v>-474199882.49717617</v>
      </c>
      <c r="S181">
        <f t="shared" ref="S181" si="883">R181/100000</f>
        <v>-4741.9988249717617</v>
      </c>
      <c r="T181">
        <f t="shared" ref="T181" si="884">S181/1000</f>
        <v>-4.7419988249717617</v>
      </c>
    </row>
    <row r="182" spans="1:20" x14ac:dyDescent="0.25">
      <c r="A182" s="5">
        <v>44411</v>
      </c>
      <c r="B182">
        <v>0.28050000000000003</v>
      </c>
      <c r="C182">
        <v>0.30299999999999999</v>
      </c>
      <c r="D182">
        <v>0.2752</v>
      </c>
      <c r="E182">
        <v>0.27860000000000001</v>
      </c>
      <c r="F182">
        <v>27116191</v>
      </c>
      <c r="G182">
        <v>0.27860000000000001</v>
      </c>
      <c r="L182" t="s">
        <v>8</v>
      </c>
      <c r="M182" t="s">
        <v>7</v>
      </c>
      <c r="N182" t="s">
        <v>8</v>
      </c>
      <c r="P182">
        <f t="shared" ref="P182" si="885">IF(C182=D182,0,((E182-D182)-(C182-E182))/(C182-D182))</f>
        <v>-0.75539568345323627</v>
      </c>
      <c r="Q182">
        <f t="shared" ref="Q182" si="886">F182*P182</f>
        <v>-20483453.633093495</v>
      </c>
      <c r="R182">
        <f t="shared" ref="R182" si="887">R183+Q182</f>
        <v>-477185184.97146189</v>
      </c>
      <c r="S182">
        <f t="shared" ref="S182" si="888">R182/100000</f>
        <v>-4771.8518497146188</v>
      </c>
      <c r="T182">
        <f t="shared" ref="T182" si="889">S182/1000</f>
        <v>-4.7718518497146185</v>
      </c>
    </row>
    <row r="183" spans="1:20" x14ac:dyDescent="0.25">
      <c r="A183" s="5">
        <v>44410</v>
      </c>
      <c r="B183">
        <v>0.27339999999999998</v>
      </c>
      <c r="C183">
        <v>0.29570000000000002</v>
      </c>
      <c r="D183">
        <v>0.27029999999999998</v>
      </c>
      <c r="E183">
        <v>0.28000000000000003</v>
      </c>
      <c r="F183">
        <v>19031252</v>
      </c>
      <c r="G183">
        <v>0.28000000000000003</v>
      </c>
      <c r="L183" t="s">
        <v>8</v>
      </c>
      <c r="M183" t="s">
        <v>7</v>
      </c>
      <c r="N183" t="s">
        <v>8</v>
      </c>
      <c r="P183">
        <f t="shared" ref="P183" si="890">IF(C183=D183,0,((E183-D183)-(C183-E183))/(C183-D183))</f>
        <v>-0.2362204724409426</v>
      </c>
      <c r="Q183">
        <f t="shared" ref="Q183" si="891">F183*P183</f>
        <v>-4495571.338582634</v>
      </c>
      <c r="R183">
        <f t="shared" ref="R183" si="892">R184+Q183</f>
        <v>-456701731.33836842</v>
      </c>
      <c r="S183">
        <f t="shared" ref="S183" si="893">R183/100000</f>
        <v>-4567.0173133836843</v>
      </c>
      <c r="T183">
        <f t="shared" ref="T183" si="894">S183/1000</f>
        <v>-4.5670173133836842</v>
      </c>
    </row>
    <row r="184" spans="1:20" x14ac:dyDescent="0.25">
      <c r="A184" s="5">
        <v>44409</v>
      </c>
      <c r="B184">
        <v>0.29520000000000002</v>
      </c>
      <c r="C184">
        <v>0.31330000000000002</v>
      </c>
      <c r="D184">
        <v>0.26840000000000003</v>
      </c>
      <c r="E184">
        <v>0.27339999999999998</v>
      </c>
      <c r="F184">
        <v>30938647</v>
      </c>
      <c r="G184">
        <v>0.27339999999999998</v>
      </c>
      <c r="L184" t="s">
        <v>7</v>
      </c>
      <c r="M184" t="s">
        <v>7</v>
      </c>
      <c r="N184" t="s">
        <v>8</v>
      </c>
      <c r="P184">
        <f t="shared" ref="P184" si="895">IF(C184=D184,0,((E184-D184)-(C184-E184))/(C184-D184))</f>
        <v>-0.77728285077951231</v>
      </c>
      <c r="Q184">
        <f t="shared" ref="Q184" si="896">F184*P184</f>
        <v>-24048079.739421006</v>
      </c>
      <c r="R184">
        <f t="shared" ref="R184" si="897">R185+Q184</f>
        <v>-452206159.99978578</v>
      </c>
      <c r="S184">
        <f t="shared" ref="S184" si="898">R184/100000</f>
        <v>-4522.0615999978581</v>
      </c>
      <c r="T184">
        <f t="shared" ref="T184" si="899">S184/1000</f>
        <v>-4.5220615999978584</v>
      </c>
    </row>
    <row r="185" spans="1:20" x14ac:dyDescent="0.25">
      <c r="A185" s="5">
        <v>44408</v>
      </c>
      <c r="B185">
        <v>0.27639999999999998</v>
      </c>
      <c r="C185">
        <v>0.3468</v>
      </c>
      <c r="D185">
        <v>0.27360000000000001</v>
      </c>
      <c r="E185">
        <v>0.29480000000000001</v>
      </c>
      <c r="F185">
        <v>50948144</v>
      </c>
      <c r="G185">
        <v>0.29480000000000001</v>
      </c>
      <c r="L185" t="s">
        <v>8</v>
      </c>
      <c r="M185" t="s">
        <v>8</v>
      </c>
      <c r="N185" t="s">
        <v>8</v>
      </c>
      <c r="P185">
        <f t="shared" ref="P185" si="900">IF(C185=D185,0,((E185-D185)-(C185-E185))/(C185-D185))</f>
        <v>-0.42076502732240434</v>
      </c>
      <c r="Q185">
        <f t="shared" ref="Q185" si="901">F185*P185</f>
        <v>-21437197.202185791</v>
      </c>
      <c r="R185">
        <f t="shared" ref="R185" si="902">R186+Q185</f>
        <v>-428158080.26036477</v>
      </c>
      <c r="S185">
        <f t="shared" ref="S185" si="903">R185/100000</f>
        <v>-4281.5808026036475</v>
      </c>
      <c r="T185">
        <f t="shared" ref="T185" si="904">S185/1000</f>
        <v>-4.2815808026036475</v>
      </c>
    </row>
    <row r="186" spans="1:20" x14ac:dyDescent="0.25">
      <c r="A186" s="5">
        <v>44407</v>
      </c>
      <c r="B186">
        <v>0.26150000000000001</v>
      </c>
      <c r="C186">
        <v>0.28499999999999998</v>
      </c>
      <c r="D186">
        <v>0.24229999999999999</v>
      </c>
      <c r="E186">
        <v>0.27660000000000001</v>
      </c>
      <c r="F186">
        <v>32281231</v>
      </c>
      <c r="G186">
        <v>0.27660000000000001</v>
      </c>
      <c r="L186" t="s">
        <v>8</v>
      </c>
      <c r="M186" t="s">
        <v>8</v>
      </c>
      <c r="N186" t="s">
        <v>7</v>
      </c>
      <c r="P186">
        <f t="shared" ref="P186" si="905">IF(C186=D186,0,((E186-D186)-(C186-E186))/(C186-D186))</f>
        <v>0.606557377049182</v>
      </c>
      <c r="Q186">
        <f t="shared" ref="Q186" si="906">F186*P186</f>
        <v>19580418.803278744</v>
      </c>
      <c r="R186">
        <f t="shared" ref="R186" si="907">R187+Q186</f>
        <v>-406720883.05817896</v>
      </c>
      <c r="S186">
        <f t="shared" ref="S186" si="908">R186/100000</f>
        <v>-4067.2088305817897</v>
      </c>
      <c r="T186">
        <f t="shared" ref="T186" si="909">S186/1000</f>
        <v>-4.0672088305817899</v>
      </c>
    </row>
    <row r="187" spans="1:20" x14ac:dyDescent="0.25">
      <c r="A187" s="5">
        <v>44406</v>
      </c>
      <c r="B187">
        <v>0.24709999999999999</v>
      </c>
      <c r="C187">
        <v>0.26290000000000002</v>
      </c>
      <c r="D187">
        <v>0.24129999999999999</v>
      </c>
      <c r="E187">
        <v>0.26140000000000002</v>
      </c>
      <c r="F187">
        <v>10846129</v>
      </c>
      <c r="G187">
        <v>0.26140000000000002</v>
      </c>
      <c r="L187" t="s">
        <v>8</v>
      </c>
      <c r="M187" t="s">
        <v>8</v>
      </c>
      <c r="N187" t="s">
        <v>7</v>
      </c>
      <c r="P187">
        <f t="shared" ref="P187" si="910">IF(C187=D187,0,((E187-D187)-(C187-E187))/(C187-D187))</f>
        <v>0.86111111111111127</v>
      </c>
      <c r="Q187">
        <f t="shared" ref="Q187" si="911">F187*P187</f>
        <v>9339722.1944444459</v>
      </c>
      <c r="R187">
        <f t="shared" ref="R187" si="912">R188+Q187</f>
        <v>-426301301.86145771</v>
      </c>
      <c r="S187">
        <f t="shared" ref="S187" si="913">R187/100000</f>
        <v>-4263.013018614577</v>
      </c>
      <c r="T187">
        <f t="shared" ref="T187" si="914">S187/1000</f>
        <v>-4.2630130186145774</v>
      </c>
    </row>
    <row r="188" spans="1:20" x14ac:dyDescent="0.25">
      <c r="A188" s="5">
        <v>44405</v>
      </c>
      <c r="B188">
        <v>0.25259999999999999</v>
      </c>
      <c r="C188">
        <v>0.25790000000000002</v>
      </c>
      <c r="D188">
        <v>0.24299999999999999</v>
      </c>
      <c r="E188">
        <v>0.247</v>
      </c>
      <c r="F188">
        <v>8663823</v>
      </c>
      <c r="G188">
        <v>0.247</v>
      </c>
      <c r="L188" t="s">
        <v>8</v>
      </c>
      <c r="M188" t="s">
        <v>8</v>
      </c>
      <c r="N188" t="s">
        <v>7</v>
      </c>
      <c r="P188">
        <f t="shared" ref="P188" si="915">IF(C188=D188,0,((E188-D188)-(C188-E188))/(C188-D188))</f>
        <v>-0.46308724832214804</v>
      </c>
      <c r="Q188">
        <f t="shared" ref="Q188" si="916">F188*P188</f>
        <v>-4012105.9530201377</v>
      </c>
      <c r="R188">
        <f t="shared" ref="R188" si="917">R189+Q188</f>
        <v>-435641024.05590212</v>
      </c>
      <c r="S188">
        <f t="shared" ref="S188" si="918">R188/100000</f>
        <v>-4356.4102405590211</v>
      </c>
      <c r="T188">
        <f t="shared" ref="T188" si="919">S188/1000</f>
        <v>-4.356410240559021</v>
      </c>
    </row>
    <row r="189" spans="1:20" x14ac:dyDescent="0.25">
      <c r="A189" s="5">
        <v>44404</v>
      </c>
      <c r="B189">
        <v>0.24490000000000001</v>
      </c>
      <c r="C189">
        <v>0.25969999999999999</v>
      </c>
      <c r="D189">
        <v>0.23200000000000001</v>
      </c>
      <c r="E189">
        <v>0.25240000000000001</v>
      </c>
      <c r="F189">
        <v>19079743</v>
      </c>
      <c r="G189">
        <v>0.25240000000000001</v>
      </c>
      <c r="L189" t="s">
        <v>7</v>
      </c>
      <c r="M189" t="s">
        <v>8</v>
      </c>
      <c r="N189" t="s">
        <v>7</v>
      </c>
      <c r="P189">
        <f t="shared" ref="P189" si="920">IF(C189=D189,0,((E189-D189)-(C189-E189))/(C189-D189))</f>
        <v>0.47292418772563322</v>
      </c>
      <c r="Q189">
        <f t="shared" ref="Q189" si="921">F189*P189</f>
        <v>9023271.9602888357</v>
      </c>
      <c r="R189">
        <f t="shared" ref="R189" si="922">R190+Q189</f>
        <v>-431628918.10288197</v>
      </c>
      <c r="S189">
        <f t="shared" ref="S189" si="923">R189/100000</f>
        <v>-4316.2891810288193</v>
      </c>
      <c r="T189">
        <f t="shared" ref="T189" si="924">S189/1000</f>
        <v>-4.3162891810288189</v>
      </c>
    </row>
    <row r="190" spans="1:20" x14ac:dyDescent="0.25">
      <c r="A190" s="5">
        <v>44403</v>
      </c>
      <c r="B190">
        <v>0.25280000000000002</v>
      </c>
      <c r="C190">
        <v>0.27429999999999999</v>
      </c>
      <c r="D190">
        <v>0.24440000000000001</v>
      </c>
      <c r="E190">
        <v>0.24490000000000001</v>
      </c>
      <c r="F190">
        <v>32323703</v>
      </c>
      <c r="G190">
        <v>0.24490000000000001</v>
      </c>
      <c r="L190" t="s">
        <v>8</v>
      </c>
      <c r="M190" t="s">
        <v>8</v>
      </c>
      <c r="N190" t="s">
        <v>7</v>
      </c>
      <c r="P190">
        <f t="shared" ref="P190" si="925">IF(C190=D190,0,((E190-D190)-(C190-E190))/(C190-D190))</f>
        <v>-0.96655518394648821</v>
      </c>
      <c r="Q190">
        <f t="shared" ref="Q190" si="926">F190*P190</f>
        <v>-31242642.698996652</v>
      </c>
      <c r="R190">
        <f t="shared" ref="R190" si="927">R191+Q190</f>
        <v>-440652190.06317079</v>
      </c>
      <c r="S190">
        <f t="shared" ref="S190" si="928">R190/100000</f>
        <v>-4406.5219006317075</v>
      </c>
      <c r="T190">
        <f t="shared" ref="T190" si="929">S190/1000</f>
        <v>-4.4065219006317076</v>
      </c>
    </row>
    <row r="191" spans="1:20" x14ac:dyDescent="0.25">
      <c r="A191" s="5">
        <v>44402</v>
      </c>
      <c r="B191">
        <v>0.24890000000000001</v>
      </c>
      <c r="C191">
        <v>0.25750000000000001</v>
      </c>
      <c r="D191">
        <v>0.24079999999999999</v>
      </c>
      <c r="E191">
        <v>0.253</v>
      </c>
      <c r="F191">
        <v>18744536</v>
      </c>
      <c r="G191">
        <v>0.253</v>
      </c>
      <c r="L191" t="s">
        <v>7</v>
      </c>
      <c r="M191" t="s">
        <v>8</v>
      </c>
      <c r="N191" t="s">
        <v>7</v>
      </c>
      <c r="P191">
        <f t="shared" ref="P191" si="930">IF(C191=D191,0,((E191-D191)-(C191-E191))/(C191-D191))</f>
        <v>0.46107784431137744</v>
      </c>
      <c r="Q191">
        <f t="shared" ref="Q191" si="931">F191*P191</f>
        <v>8642690.2514970098</v>
      </c>
      <c r="R191">
        <f t="shared" ref="R191" si="932">R192+Q191</f>
        <v>-409409547.36417413</v>
      </c>
      <c r="S191">
        <f t="shared" ref="S191" si="933">R191/100000</f>
        <v>-4094.0954736417411</v>
      </c>
      <c r="T191">
        <f t="shared" ref="T191:T197" si="934">S191/1000</f>
        <v>-4.0940954736417412</v>
      </c>
    </row>
    <row r="192" spans="1:20" x14ac:dyDescent="0.25">
      <c r="A192" s="5">
        <v>44401</v>
      </c>
      <c r="B192">
        <v>0.24629999999999999</v>
      </c>
      <c r="C192">
        <v>0.26900000000000002</v>
      </c>
      <c r="D192">
        <v>0.24199999999999999</v>
      </c>
      <c r="E192">
        <v>0.24890000000000001</v>
      </c>
      <c r="F192">
        <v>32255469</v>
      </c>
      <c r="G192">
        <v>0.24890000000000001</v>
      </c>
      <c r="L192" t="s">
        <v>8</v>
      </c>
      <c r="M192" t="s">
        <v>8</v>
      </c>
      <c r="N192" t="s">
        <v>7</v>
      </c>
      <c r="P192">
        <f t="shared" ref="P192" si="935">IF(C192=D192,0,((E192-D192)-(C192-E192))/(C192-D192))</f>
        <v>-0.48888888888888804</v>
      </c>
      <c r="Q192">
        <f t="shared" ref="Q192" si="936">F192*P192</f>
        <v>-15769340.399999972</v>
      </c>
      <c r="R192">
        <f t="shared" ref="R192" si="937">R193+Q192</f>
        <v>-418052237.61567116</v>
      </c>
      <c r="S192">
        <f t="shared" ref="S192" si="938">R192/100000</f>
        <v>-4180.5223761567113</v>
      </c>
      <c r="T192">
        <f t="shared" si="934"/>
        <v>-4.180522376156711</v>
      </c>
    </row>
    <row r="193" spans="1:20" x14ac:dyDescent="0.25">
      <c r="A193" s="5">
        <v>44400</v>
      </c>
      <c r="B193">
        <v>0.24829999999999999</v>
      </c>
      <c r="C193">
        <v>0.25409999999999999</v>
      </c>
      <c r="D193">
        <v>0.23130000000000001</v>
      </c>
      <c r="E193">
        <v>0.24610000000000001</v>
      </c>
      <c r="F193">
        <v>20111995</v>
      </c>
      <c r="G193">
        <v>0.24610000000000001</v>
      </c>
      <c r="L193" t="s">
        <v>7</v>
      </c>
      <c r="M193" t="s">
        <v>8</v>
      </c>
      <c r="N193" t="s">
        <v>7</v>
      </c>
      <c r="P193">
        <f t="shared" ref="P193" si="939">IF(C193=D193,0,((E193-D193)-(C193-E193))/(C193-D193))</f>
        <v>0.29824561403508915</v>
      </c>
      <c r="Q193">
        <f t="shared" ref="Q193" si="940">F193*P193</f>
        <v>5998314.2982456423</v>
      </c>
      <c r="R193">
        <f t="shared" ref="R193" si="941">R194+Q193</f>
        <v>-402282897.21567118</v>
      </c>
      <c r="S193">
        <f t="shared" ref="S193" si="942">R193/100000</f>
        <v>-4022.8289721567116</v>
      </c>
      <c r="T193">
        <f t="shared" si="934"/>
        <v>-4.0228289721567112</v>
      </c>
    </row>
    <row r="194" spans="1:20" x14ac:dyDescent="0.25">
      <c r="A194" s="5">
        <v>44399</v>
      </c>
      <c r="B194">
        <v>0.2392</v>
      </c>
      <c r="C194">
        <v>0.25669999999999998</v>
      </c>
      <c r="D194">
        <v>0.23050000000000001</v>
      </c>
      <c r="E194">
        <v>0.24779999999999999</v>
      </c>
      <c r="F194">
        <v>18868074</v>
      </c>
      <c r="G194">
        <v>0.24779999999999999</v>
      </c>
      <c r="L194" t="s">
        <v>8</v>
      </c>
      <c r="M194" t="s">
        <v>8</v>
      </c>
      <c r="N194" t="s">
        <v>7</v>
      </c>
      <c r="P194">
        <f t="shared" ref="P194" si="943">IF(C194=D194,0,((E194-D194)-(C194-E194))/(C194-D194))</f>
        <v>0.32061068702290074</v>
      </c>
      <c r="Q194">
        <f t="shared" ref="Q194" si="944">F194*P194</f>
        <v>6049306.1679389309</v>
      </c>
      <c r="R194">
        <f t="shared" ref="R194" si="945">R195+Q194</f>
        <v>-408281211.51391685</v>
      </c>
      <c r="S194">
        <f t="shared" ref="S194" si="946">R194/100000</f>
        <v>-4082.8121151391683</v>
      </c>
      <c r="T194">
        <f t="shared" si="934"/>
        <v>-4.0828121151391681</v>
      </c>
    </row>
    <row r="195" spans="1:20" x14ac:dyDescent="0.25">
      <c r="A195" s="5">
        <v>44398</v>
      </c>
      <c r="B195">
        <v>0.223</v>
      </c>
      <c r="C195">
        <v>0.24790000000000001</v>
      </c>
      <c r="D195">
        <v>0.21299999999999999</v>
      </c>
      <c r="E195">
        <v>0.23899999999999999</v>
      </c>
      <c r="F195">
        <v>13172748</v>
      </c>
      <c r="G195">
        <v>0.23899999999999999</v>
      </c>
      <c r="L195" t="s">
        <v>8</v>
      </c>
      <c r="M195" t="s">
        <v>7</v>
      </c>
      <c r="N195" t="s">
        <v>7</v>
      </c>
      <c r="P195">
        <f t="shared" ref="P195" si="947">IF(C195=D195,0,((E195-D195)-(C195-E195))/(C195-D195))</f>
        <v>0.48997134670487019</v>
      </c>
      <c r="Q195">
        <f t="shared" ref="Q195" si="948">F195*P195</f>
        <v>6454269.077363885</v>
      </c>
      <c r="R195">
        <f t="shared" ref="R195" si="949">R196+Q195</f>
        <v>-414330517.6818558</v>
      </c>
      <c r="S195">
        <f t="shared" ref="S195" si="950">R195/100000</f>
        <v>-4143.3051768185578</v>
      </c>
      <c r="T195">
        <f t="shared" si="934"/>
        <v>-4.1433051768185578</v>
      </c>
    </row>
    <row r="196" spans="1:20" x14ac:dyDescent="0.25">
      <c r="A196" s="5">
        <v>44397</v>
      </c>
      <c r="B196">
        <v>0.24740000000000001</v>
      </c>
      <c r="C196">
        <v>0.24829999999999999</v>
      </c>
      <c r="D196">
        <v>0.21129999999999999</v>
      </c>
      <c r="E196">
        <v>0.2223</v>
      </c>
      <c r="F196">
        <v>23195130</v>
      </c>
      <c r="G196">
        <v>0.2223</v>
      </c>
      <c r="L196" t="s">
        <v>7</v>
      </c>
      <c r="M196" t="s">
        <v>7</v>
      </c>
      <c r="N196" t="s">
        <v>7</v>
      </c>
      <c r="P196">
        <f t="shared" ref="P196" si="951">IF(C196=D196,0,((E196-D196)-(C196-E196))/(C196-D196))</f>
        <v>-0.40540540540540498</v>
      </c>
      <c r="Q196">
        <f t="shared" ref="Q196" si="952">F196*P196</f>
        <v>-9403431.0810810719</v>
      </c>
      <c r="R196">
        <f t="shared" ref="R196" si="953">R197+Q196</f>
        <v>-420784786.75921971</v>
      </c>
      <c r="S196">
        <f t="shared" ref="S196" si="954">R196/100000</f>
        <v>-4207.847867592197</v>
      </c>
      <c r="T196">
        <f t="shared" si="934"/>
        <v>-4.2078478675921973</v>
      </c>
    </row>
    <row r="197" spans="1:20" x14ac:dyDescent="0.25">
      <c r="A197" s="5">
        <v>44396</v>
      </c>
      <c r="B197">
        <v>0.2611</v>
      </c>
      <c r="C197">
        <v>0.26400000000000001</v>
      </c>
      <c r="D197">
        <v>0.24299999999999999</v>
      </c>
      <c r="E197">
        <v>0.2477</v>
      </c>
      <c r="F197">
        <v>7786934</v>
      </c>
      <c r="G197">
        <v>0</v>
      </c>
      <c r="L197" t="s">
        <v>7</v>
      </c>
      <c r="M197" t="s">
        <v>7</v>
      </c>
      <c r="N197" t="s">
        <v>7</v>
      </c>
      <c r="P197">
        <f t="shared" ref="P197" si="955">IF(C197=D197,0,((E197-D197)-(C197-E197))/(C197-D197))</f>
        <v>-0.55238095238095186</v>
      </c>
      <c r="Q197">
        <f t="shared" ref="Q197" si="956">F197*P197</f>
        <v>-4301354.0190476151</v>
      </c>
      <c r="R197">
        <f t="shared" ref="R197" si="957">R198+Q197</f>
        <v>-411381355.67813861</v>
      </c>
      <c r="S197">
        <f t="shared" ref="S197" si="958">R197/100000</f>
        <v>-4113.8135567813861</v>
      </c>
      <c r="T197">
        <f t="shared" si="934"/>
        <v>-4.1138135567813858</v>
      </c>
    </row>
    <row r="198" spans="1:20" x14ac:dyDescent="0.25">
      <c r="A198" s="5">
        <v>44395</v>
      </c>
      <c r="B198">
        <v>0.2616</v>
      </c>
      <c r="C198">
        <v>0.27360000000000001</v>
      </c>
      <c r="D198">
        <v>0.25609999999999999</v>
      </c>
      <c r="E198">
        <v>0.26090000000000002</v>
      </c>
      <c r="F198">
        <v>6355054</v>
      </c>
      <c r="G198">
        <v>0</v>
      </c>
      <c r="L198" t="s">
        <v>7</v>
      </c>
      <c r="M198" t="s">
        <v>7</v>
      </c>
      <c r="N198" t="s">
        <v>7</v>
      </c>
      <c r="P198">
        <f t="shared" ref="P198:P261" si="959">IF(C198=D198,0,((E198-D198)-(C198-E198))/(C198-D198))</f>
        <v>-0.4514285714285689</v>
      </c>
      <c r="Q198">
        <f t="shared" ref="Q198:Q261" si="960">F198*P198</f>
        <v>-2868852.9485714124</v>
      </c>
      <c r="R198">
        <f t="shared" ref="R198:R261" si="961">R199+Q198</f>
        <v>-407080001.659091</v>
      </c>
      <c r="S198">
        <f t="shared" ref="S198:S261" si="962">R198/100000</f>
        <v>-4070.8000165909098</v>
      </c>
      <c r="T198">
        <f t="shared" ref="T198:T261" si="963">S198/1000</f>
        <v>-4.0708000165909102</v>
      </c>
    </row>
    <row r="199" spans="1:20" x14ac:dyDescent="0.25">
      <c r="A199" s="5">
        <v>44394</v>
      </c>
      <c r="B199">
        <v>0.2671</v>
      </c>
      <c r="C199">
        <v>0.27279999999999999</v>
      </c>
      <c r="D199">
        <v>0.25659999999999999</v>
      </c>
      <c r="E199">
        <v>0.26169999999999999</v>
      </c>
      <c r="F199">
        <v>9441287</v>
      </c>
      <c r="G199">
        <v>0</v>
      </c>
      <c r="L199" t="s">
        <v>7</v>
      </c>
      <c r="M199" t="s">
        <v>7</v>
      </c>
      <c r="N199" t="s">
        <v>7</v>
      </c>
      <c r="P199">
        <f t="shared" si="959"/>
        <v>-0.3703703703703709</v>
      </c>
      <c r="Q199">
        <f t="shared" si="960"/>
        <v>-3496772.9629629678</v>
      </c>
      <c r="R199">
        <f t="shared" si="961"/>
        <v>-404211148.71051961</v>
      </c>
      <c r="S199">
        <f t="shared" si="962"/>
        <v>-4042.1114871051959</v>
      </c>
      <c r="T199">
        <f t="shared" si="963"/>
        <v>-4.0421114871051955</v>
      </c>
    </row>
    <row r="200" spans="1:20" x14ac:dyDescent="0.25">
      <c r="A200" s="5">
        <v>44393</v>
      </c>
      <c r="B200">
        <v>0.28039999999999998</v>
      </c>
      <c r="C200">
        <v>0.29430000000000001</v>
      </c>
      <c r="D200">
        <v>0.26500000000000001</v>
      </c>
      <c r="E200">
        <v>0.26769999999999999</v>
      </c>
      <c r="F200">
        <v>18397565</v>
      </c>
      <c r="G200">
        <v>0</v>
      </c>
      <c r="L200" t="s">
        <v>8</v>
      </c>
      <c r="M200" t="s">
        <v>7</v>
      </c>
      <c r="N200" t="s">
        <v>7</v>
      </c>
      <c r="P200">
        <f t="shared" si="959"/>
        <v>-0.81569965870307293</v>
      </c>
      <c r="Q200">
        <f t="shared" si="960"/>
        <v>-15006887.491467601</v>
      </c>
      <c r="R200">
        <f t="shared" si="961"/>
        <v>-400714375.74755663</v>
      </c>
      <c r="S200">
        <f t="shared" si="962"/>
        <v>-4007.1437574755664</v>
      </c>
      <c r="T200">
        <f t="shared" si="963"/>
        <v>-4.0071437574755668</v>
      </c>
    </row>
    <row r="201" spans="1:20" x14ac:dyDescent="0.25">
      <c r="A201" s="5">
        <v>44392</v>
      </c>
      <c r="B201">
        <v>0.29659999999999997</v>
      </c>
      <c r="C201">
        <v>0.30370000000000003</v>
      </c>
      <c r="D201">
        <v>0.26290000000000002</v>
      </c>
      <c r="E201">
        <v>0.28029999999999999</v>
      </c>
      <c r="F201">
        <v>31375084</v>
      </c>
      <c r="G201">
        <v>0</v>
      </c>
      <c r="L201" t="s">
        <v>7</v>
      </c>
      <c r="M201" t="s">
        <v>7</v>
      </c>
      <c r="N201" t="s">
        <v>7</v>
      </c>
      <c r="P201">
        <f t="shared" si="959"/>
        <v>-0.14705882352941324</v>
      </c>
      <c r="Q201">
        <f t="shared" si="960"/>
        <v>-4613982.9411765169</v>
      </c>
      <c r="R201">
        <f t="shared" si="961"/>
        <v>-385707488.25608903</v>
      </c>
      <c r="S201">
        <f t="shared" si="962"/>
        <v>-3857.0748825608903</v>
      </c>
      <c r="T201">
        <f t="shared" si="963"/>
        <v>-3.8570748825608905</v>
      </c>
    </row>
    <row r="202" spans="1:20" x14ac:dyDescent="0.25">
      <c r="A202" s="5">
        <v>44391</v>
      </c>
      <c r="B202">
        <v>0.2883</v>
      </c>
      <c r="C202">
        <v>0.32500000000000001</v>
      </c>
      <c r="D202">
        <v>0.27050000000000002</v>
      </c>
      <c r="E202">
        <v>0.29680000000000001</v>
      </c>
      <c r="F202">
        <v>31093220</v>
      </c>
      <c r="G202">
        <v>0</v>
      </c>
      <c r="L202" t="s">
        <v>7</v>
      </c>
      <c r="M202" t="s">
        <v>7</v>
      </c>
      <c r="N202" t="s">
        <v>7</v>
      </c>
      <c r="P202">
        <f t="shared" si="959"/>
        <v>-3.4862385321101155E-2</v>
      </c>
      <c r="Q202">
        <f t="shared" si="960"/>
        <v>-1083983.8165137689</v>
      </c>
      <c r="R202">
        <f t="shared" si="961"/>
        <v>-381093505.3149125</v>
      </c>
      <c r="S202">
        <f t="shared" si="962"/>
        <v>-3810.935053149125</v>
      </c>
      <c r="T202">
        <f t="shared" si="963"/>
        <v>-3.8109350531491248</v>
      </c>
    </row>
    <row r="203" spans="1:20" x14ac:dyDescent="0.25">
      <c r="A203" s="5">
        <v>44390</v>
      </c>
      <c r="B203">
        <v>0.29049999999999998</v>
      </c>
      <c r="C203">
        <v>0.313</v>
      </c>
      <c r="D203">
        <v>0.27489999999999998</v>
      </c>
      <c r="E203">
        <v>0.2883</v>
      </c>
      <c r="F203">
        <v>24138707</v>
      </c>
      <c r="G203">
        <v>0</v>
      </c>
      <c r="L203" t="s">
        <v>7</v>
      </c>
      <c r="M203" t="s">
        <v>7</v>
      </c>
      <c r="N203" t="s">
        <v>7</v>
      </c>
      <c r="P203">
        <f t="shared" si="959"/>
        <v>-0.29658792650918558</v>
      </c>
      <c r="Q203">
        <f t="shared" si="960"/>
        <v>-7159249.0577427633</v>
      </c>
      <c r="R203">
        <f t="shared" si="961"/>
        <v>-380009521.49839872</v>
      </c>
      <c r="S203">
        <f t="shared" si="962"/>
        <v>-3800.0952149839873</v>
      </c>
      <c r="T203">
        <f t="shared" si="963"/>
        <v>-3.8000952149839873</v>
      </c>
    </row>
    <row r="204" spans="1:20" x14ac:dyDescent="0.25">
      <c r="A204" s="5">
        <v>44389</v>
      </c>
      <c r="B204">
        <v>0.3095</v>
      </c>
      <c r="C204">
        <v>0.31269999999999998</v>
      </c>
      <c r="D204">
        <v>0.27800000000000002</v>
      </c>
      <c r="E204">
        <v>0.29049999999999998</v>
      </c>
      <c r="F204">
        <v>23683335</v>
      </c>
      <c r="G204">
        <v>0</v>
      </c>
      <c r="L204" t="s">
        <v>7</v>
      </c>
      <c r="M204" t="s">
        <v>7</v>
      </c>
      <c r="N204" t="s">
        <v>7</v>
      </c>
      <c r="P204">
        <f t="shared" si="959"/>
        <v>-0.27953890489913702</v>
      </c>
      <c r="Q204">
        <f t="shared" si="960"/>
        <v>-6620413.5302594034</v>
      </c>
      <c r="R204">
        <f t="shared" si="961"/>
        <v>-372850272.44065595</v>
      </c>
      <c r="S204">
        <f t="shared" si="962"/>
        <v>-3728.5027244065595</v>
      </c>
      <c r="T204">
        <f t="shared" si="963"/>
        <v>-3.7285027244065594</v>
      </c>
    </row>
    <row r="205" spans="1:20" x14ac:dyDescent="0.25">
      <c r="A205" s="5">
        <v>44388</v>
      </c>
      <c r="B205">
        <v>0.27989999999999998</v>
      </c>
      <c r="C205">
        <v>0.33710000000000001</v>
      </c>
      <c r="D205">
        <v>0.27939999999999998</v>
      </c>
      <c r="E205">
        <v>0.30969999999999998</v>
      </c>
      <c r="F205">
        <v>55198024</v>
      </c>
      <c r="G205">
        <v>0</v>
      </c>
      <c r="L205" t="s">
        <v>8</v>
      </c>
      <c r="M205" t="s">
        <v>8</v>
      </c>
      <c r="N205" t="s">
        <v>7</v>
      </c>
      <c r="P205">
        <f t="shared" si="959"/>
        <v>5.0259965337954189E-2</v>
      </c>
      <c r="Q205">
        <f t="shared" si="960"/>
        <v>2774250.7729635634</v>
      </c>
      <c r="R205">
        <f t="shared" si="961"/>
        <v>-366229858.91039652</v>
      </c>
      <c r="S205">
        <f t="shared" si="962"/>
        <v>-3662.2985891039652</v>
      </c>
      <c r="T205">
        <f t="shared" si="963"/>
        <v>-3.6622985891039654</v>
      </c>
    </row>
    <row r="206" spans="1:20" x14ac:dyDescent="0.25">
      <c r="A206" s="5">
        <v>44387</v>
      </c>
      <c r="B206">
        <v>0.28079999999999999</v>
      </c>
      <c r="C206">
        <v>0.29559999999999997</v>
      </c>
      <c r="D206">
        <v>0.27200000000000002</v>
      </c>
      <c r="E206">
        <v>0.28000000000000003</v>
      </c>
      <c r="F206">
        <v>23020724</v>
      </c>
      <c r="G206">
        <v>0</v>
      </c>
      <c r="L206" t="s">
        <v>8</v>
      </c>
      <c r="M206" t="s">
        <v>7</v>
      </c>
      <c r="N206" t="s">
        <v>7</v>
      </c>
      <c r="P206">
        <f t="shared" si="959"/>
        <v>-0.32203389830508283</v>
      </c>
      <c r="Q206">
        <f t="shared" si="960"/>
        <v>-7413453.4915253799</v>
      </c>
      <c r="R206">
        <f t="shared" si="961"/>
        <v>-369004109.6833601</v>
      </c>
      <c r="S206">
        <f t="shared" si="962"/>
        <v>-3690.0410968336009</v>
      </c>
      <c r="T206">
        <f t="shared" si="963"/>
        <v>-3.690041096833601</v>
      </c>
    </row>
    <row r="207" spans="1:20" x14ac:dyDescent="0.25">
      <c r="A207" s="5">
        <v>44386</v>
      </c>
      <c r="B207">
        <v>0.28270000000000001</v>
      </c>
      <c r="C207">
        <v>0.31240000000000001</v>
      </c>
      <c r="D207">
        <v>0.26679999999999998</v>
      </c>
      <c r="E207">
        <v>0.28089999999999998</v>
      </c>
      <c r="F207">
        <v>34612082</v>
      </c>
      <c r="G207">
        <v>0</v>
      </c>
      <c r="L207" t="s">
        <v>7</v>
      </c>
      <c r="M207" t="s">
        <v>7</v>
      </c>
      <c r="N207" t="s">
        <v>7</v>
      </c>
      <c r="P207">
        <f t="shared" si="959"/>
        <v>-0.38157894736842141</v>
      </c>
      <c r="Q207">
        <f t="shared" si="960"/>
        <v>-13207241.815789485</v>
      </c>
      <c r="R207">
        <f t="shared" si="961"/>
        <v>-361590656.19183475</v>
      </c>
      <c r="S207">
        <f t="shared" si="962"/>
        <v>-3615.9065619183475</v>
      </c>
      <c r="T207">
        <f t="shared" si="963"/>
        <v>-3.6159065619183477</v>
      </c>
    </row>
    <row r="208" spans="1:20" x14ac:dyDescent="0.25">
      <c r="A208" s="5">
        <v>44385</v>
      </c>
      <c r="B208">
        <v>0.31630000000000003</v>
      </c>
      <c r="C208">
        <v>0.32479999999999998</v>
      </c>
      <c r="D208">
        <v>0.27500000000000002</v>
      </c>
      <c r="E208">
        <v>0.28289999999999998</v>
      </c>
      <c r="F208">
        <v>47624116</v>
      </c>
      <c r="G208">
        <v>0</v>
      </c>
      <c r="L208" t="s">
        <v>7</v>
      </c>
      <c r="M208" t="s">
        <v>7</v>
      </c>
      <c r="N208" t="s">
        <v>7</v>
      </c>
      <c r="P208">
        <f t="shared" si="959"/>
        <v>-0.68273092369478039</v>
      </c>
      <c r="Q208">
        <f t="shared" si="960"/>
        <v>-32514456.706827369</v>
      </c>
      <c r="R208">
        <f t="shared" si="961"/>
        <v>-348383414.37604529</v>
      </c>
      <c r="S208">
        <f t="shared" si="962"/>
        <v>-3483.8341437604527</v>
      </c>
      <c r="T208">
        <f t="shared" si="963"/>
        <v>-3.4838341437604528</v>
      </c>
    </row>
    <row r="209" spans="1:20" x14ac:dyDescent="0.25">
      <c r="A209" s="5">
        <v>44384</v>
      </c>
      <c r="B209">
        <v>0.32529999999999998</v>
      </c>
      <c r="C209">
        <v>0.3896</v>
      </c>
      <c r="D209">
        <v>0.312</v>
      </c>
      <c r="E209">
        <v>0.3165</v>
      </c>
      <c r="F209">
        <v>101606908</v>
      </c>
      <c r="G209">
        <v>0</v>
      </c>
      <c r="L209" t="s">
        <v>8</v>
      </c>
      <c r="M209" t="s">
        <v>8</v>
      </c>
      <c r="N209" t="s">
        <v>8</v>
      </c>
      <c r="P209">
        <f t="shared" si="959"/>
        <v>-0.88402061855670089</v>
      </c>
      <c r="Q209">
        <f t="shared" si="960"/>
        <v>-89822601.659793794</v>
      </c>
      <c r="R209">
        <f t="shared" si="961"/>
        <v>-315868957.66921794</v>
      </c>
      <c r="S209">
        <f t="shared" si="962"/>
        <v>-3158.6895766921793</v>
      </c>
      <c r="T209">
        <f t="shared" si="963"/>
        <v>-3.1586895766921792</v>
      </c>
    </row>
    <row r="210" spans="1:20" x14ac:dyDescent="0.25">
      <c r="A210" s="5">
        <v>44383</v>
      </c>
      <c r="B210">
        <v>0.25840000000000002</v>
      </c>
      <c r="C210">
        <v>0.33029999999999998</v>
      </c>
      <c r="D210">
        <v>0.25559999999999999</v>
      </c>
      <c r="E210">
        <v>0.32550000000000001</v>
      </c>
      <c r="F210">
        <v>55955654</v>
      </c>
      <c r="G210">
        <v>0</v>
      </c>
      <c r="L210" t="s">
        <v>8</v>
      </c>
      <c r="M210" t="s">
        <v>8</v>
      </c>
      <c r="N210" t="s">
        <v>8</v>
      </c>
      <c r="P210">
        <f t="shared" si="959"/>
        <v>0.87148594377510114</v>
      </c>
      <c r="Q210">
        <f t="shared" si="960"/>
        <v>48764565.935743012</v>
      </c>
      <c r="R210">
        <f t="shared" si="961"/>
        <v>-226046356.00942412</v>
      </c>
      <c r="S210">
        <f t="shared" si="962"/>
        <v>-2260.4635600942411</v>
      </c>
      <c r="T210">
        <f t="shared" si="963"/>
        <v>-2.2604635600942409</v>
      </c>
    </row>
    <row r="211" spans="1:20" x14ac:dyDescent="0.25">
      <c r="A211" s="5">
        <v>44382</v>
      </c>
      <c r="B211">
        <v>0.27</v>
      </c>
      <c r="C211">
        <v>0.2712</v>
      </c>
      <c r="D211">
        <v>0.25180000000000002</v>
      </c>
      <c r="E211">
        <v>0.25840000000000002</v>
      </c>
      <c r="F211">
        <v>10763055</v>
      </c>
      <c r="G211">
        <v>0</v>
      </c>
      <c r="L211" t="s">
        <v>7</v>
      </c>
      <c r="M211" t="s">
        <v>8</v>
      </c>
      <c r="N211" t="s">
        <v>8</v>
      </c>
      <c r="P211">
        <f t="shared" si="959"/>
        <v>-0.31958762886597897</v>
      </c>
      <c r="Q211">
        <f t="shared" si="960"/>
        <v>-3439739.2268041191</v>
      </c>
      <c r="R211">
        <f t="shared" si="961"/>
        <v>-274810921.94516712</v>
      </c>
      <c r="S211">
        <f t="shared" si="962"/>
        <v>-2748.1092194516714</v>
      </c>
      <c r="T211">
        <f t="shared" si="963"/>
        <v>-2.7481092194516714</v>
      </c>
    </row>
    <row r="212" spans="1:20" x14ac:dyDescent="0.25">
      <c r="A212" s="5">
        <v>44381</v>
      </c>
      <c r="B212">
        <v>0.26390000000000002</v>
      </c>
      <c r="C212">
        <v>0.2823</v>
      </c>
      <c r="D212">
        <v>0.25659999999999999</v>
      </c>
      <c r="E212">
        <v>0.27010000000000001</v>
      </c>
      <c r="F212">
        <v>16242972</v>
      </c>
      <c r="G212">
        <v>0</v>
      </c>
      <c r="L212" t="s">
        <v>8</v>
      </c>
      <c r="M212" t="s">
        <v>8</v>
      </c>
      <c r="N212" t="s">
        <v>8</v>
      </c>
      <c r="P212">
        <f t="shared" si="959"/>
        <v>5.0583657587549548E-2</v>
      </c>
      <c r="Q212">
        <f t="shared" si="960"/>
        <v>821628.93385215488</v>
      </c>
      <c r="R212">
        <f t="shared" si="961"/>
        <v>-271371182.71836299</v>
      </c>
      <c r="S212">
        <f t="shared" si="962"/>
        <v>-2713.7118271836298</v>
      </c>
      <c r="T212">
        <f t="shared" si="963"/>
        <v>-2.7137118271836296</v>
      </c>
    </row>
    <row r="213" spans="1:20" x14ac:dyDescent="0.25">
      <c r="A213" s="5">
        <v>44380</v>
      </c>
      <c r="B213">
        <v>0.26129999999999998</v>
      </c>
      <c r="C213">
        <v>0.27600000000000002</v>
      </c>
      <c r="D213">
        <v>0.24970000000000001</v>
      </c>
      <c r="E213">
        <v>0.26350000000000001</v>
      </c>
      <c r="F213">
        <v>10065309</v>
      </c>
      <c r="G213">
        <v>0</v>
      </c>
      <c r="L213" t="s">
        <v>8</v>
      </c>
      <c r="M213" t="s">
        <v>7</v>
      </c>
      <c r="N213" t="s">
        <v>8</v>
      </c>
      <c r="P213">
        <f t="shared" si="959"/>
        <v>4.9429657794676604E-2</v>
      </c>
      <c r="Q213">
        <f t="shared" si="960"/>
        <v>497524.77946767857</v>
      </c>
      <c r="R213">
        <f t="shared" si="961"/>
        <v>-272192811.65221512</v>
      </c>
      <c r="S213">
        <f t="shared" si="962"/>
        <v>-2721.9281165221514</v>
      </c>
      <c r="T213">
        <f t="shared" si="963"/>
        <v>-2.7219281165221516</v>
      </c>
    </row>
    <row r="214" spans="1:20" x14ac:dyDescent="0.25">
      <c r="A214" s="5">
        <v>44379</v>
      </c>
      <c r="B214">
        <v>0.25169999999999998</v>
      </c>
      <c r="C214">
        <v>0.26860000000000001</v>
      </c>
      <c r="D214">
        <v>0.2417</v>
      </c>
      <c r="E214">
        <v>0.26100000000000001</v>
      </c>
      <c r="F214">
        <v>17085037</v>
      </c>
      <c r="G214">
        <v>0</v>
      </c>
      <c r="L214" t="s">
        <v>7</v>
      </c>
      <c r="M214" t="s">
        <v>7</v>
      </c>
      <c r="N214" t="s">
        <v>8</v>
      </c>
      <c r="P214">
        <f t="shared" si="959"/>
        <v>0.43494423791821607</v>
      </c>
      <c r="Q214">
        <f t="shared" si="960"/>
        <v>7431038.3977695247</v>
      </c>
      <c r="R214">
        <f t="shared" si="961"/>
        <v>-272690336.43168283</v>
      </c>
      <c r="S214">
        <f t="shared" si="962"/>
        <v>-2726.9033643168282</v>
      </c>
      <c r="T214">
        <f t="shared" si="963"/>
        <v>-2.7269033643168283</v>
      </c>
    </row>
    <row r="215" spans="1:20" x14ac:dyDescent="0.25">
      <c r="A215" s="5">
        <v>44378</v>
      </c>
      <c r="B215">
        <v>0.27100000000000002</v>
      </c>
      <c r="C215">
        <v>0.27139999999999997</v>
      </c>
      <c r="D215">
        <v>0.24729999999999999</v>
      </c>
      <c r="E215">
        <v>0.25209999999999999</v>
      </c>
      <c r="F215">
        <v>18778544</v>
      </c>
      <c r="G215">
        <v>0</v>
      </c>
      <c r="L215" t="s">
        <v>7</v>
      </c>
      <c r="M215" t="s">
        <v>7</v>
      </c>
      <c r="N215" t="s">
        <v>8</v>
      </c>
      <c r="P215">
        <f t="shared" si="959"/>
        <v>-0.60165975103734426</v>
      </c>
      <c r="Q215">
        <f t="shared" si="960"/>
        <v>-11298294.107883815</v>
      </c>
      <c r="R215">
        <f t="shared" si="961"/>
        <v>-280121374.82945234</v>
      </c>
      <c r="S215">
        <f t="shared" si="962"/>
        <v>-2801.2137482945232</v>
      </c>
      <c r="T215">
        <f t="shared" si="963"/>
        <v>-2.801213748294523</v>
      </c>
    </row>
    <row r="216" spans="1:20" x14ac:dyDescent="0.25">
      <c r="A216" s="5">
        <v>44377</v>
      </c>
      <c r="B216">
        <v>0.28599999999999998</v>
      </c>
      <c r="C216">
        <v>0.29210000000000003</v>
      </c>
      <c r="D216">
        <v>0.25659999999999999</v>
      </c>
      <c r="E216">
        <v>0.27100000000000002</v>
      </c>
      <c r="F216">
        <v>27625815</v>
      </c>
      <c r="G216">
        <v>0</v>
      </c>
      <c r="L216" t="s">
        <v>7</v>
      </c>
      <c r="M216" t="s">
        <v>7</v>
      </c>
      <c r="N216" t="s">
        <v>8</v>
      </c>
      <c r="P216">
        <f t="shared" si="959"/>
        <v>-0.18873239436619657</v>
      </c>
      <c r="Q216">
        <f t="shared" si="960"/>
        <v>-5213886.2112675887</v>
      </c>
      <c r="R216">
        <f t="shared" si="961"/>
        <v>-268823080.72156852</v>
      </c>
      <c r="S216">
        <f t="shared" si="962"/>
        <v>-2688.2308072156852</v>
      </c>
      <c r="T216">
        <f t="shared" si="963"/>
        <v>-2.6882308072156853</v>
      </c>
    </row>
    <row r="217" spans="1:20" x14ac:dyDescent="0.25">
      <c r="A217" s="5">
        <v>44376</v>
      </c>
      <c r="B217">
        <v>0.28439999999999999</v>
      </c>
      <c r="C217">
        <v>0.31669999999999998</v>
      </c>
      <c r="D217">
        <v>0.2767</v>
      </c>
      <c r="E217">
        <v>0.2858</v>
      </c>
      <c r="F217">
        <v>22749860</v>
      </c>
      <c r="G217">
        <v>0</v>
      </c>
      <c r="L217" t="s">
        <v>8</v>
      </c>
      <c r="M217" t="s">
        <v>7</v>
      </c>
      <c r="N217" t="s">
        <v>8</v>
      </c>
      <c r="P217">
        <f t="shared" si="959"/>
        <v>-0.54499999999999993</v>
      </c>
      <c r="Q217">
        <f t="shared" si="960"/>
        <v>-12398673.699999999</v>
      </c>
      <c r="R217">
        <f t="shared" si="961"/>
        <v>-263609194.51030093</v>
      </c>
      <c r="S217">
        <f t="shared" si="962"/>
        <v>-2636.0919451030095</v>
      </c>
      <c r="T217">
        <f t="shared" si="963"/>
        <v>-2.6360919451030096</v>
      </c>
    </row>
    <row r="218" spans="1:20" x14ac:dyDescent="0.25">
      <c r="A218" s="5">
        <v>44375</v>
      </c>
      <c r="B218">
        <v>0.2974</v>
      </c>
      <c r="C218">
        <v>0.29780000000000001</v>
      </c>
      <c r="D218">
        <v>0.27250000000000002</v>
      </c>
      <c r="E218">
        <v>0.2843</v>
      </c>
      <c r="F218">
        <v>26709176</v>
      </c>
      <c r="G218">
        <v>0</v>
      </c>
      <c r="L218" t="s">
        <v>7</v>
      </c>
      <c r="M218" t="s">
        <v>7</v>
      </c>
      <c r="N218" t="s">
        <v>8</v>
      </c>
      <c r="P218">
        <f t="shared" si="959"/>
        <v>-6.7193675889329466E-2</v>
      </c>
      <c r="Q218">
        <f t="shared" si="960"/>
        <v>-1794687.7154150573</v>
      </c>
      <c r="R218">
        <f t="shared" si="961"/>
        <v>-251210520.81030095</v>
      </c>
      <c r="S218">
        <f t="shared" si="962"/>
        <v>-2512.1052081030093</v>
      </c>
      <c r="T218">
        <f t="shared" si="963"/>
        <v>-2.5121052081030095</v>
      </c>
    </row>
    <row r="219" spans="1:20" x14ac:dyDescent="0.25">
      <c r="A219" s="5">
        <v>44374</v>
      </c>
      <c r="B219">
        <v>0.24529999999999999</v>
      </c>
      <c r="C219">
        <v>0.3266</v>
      </c>
      <c r="D219">
        <v>0.2427</v>
      </c>
      <c r="E219">
        <v>0.2974</v>
      </c>
      <c r="F219">
        <v>61549980</v>
      </c>
      <c r="G219">
        <v>0</v>
      </c>
      <c r="L219" t="s">
        <v>8</v>
      </c>
      <c r="M219" t="s">
        <v>8</v>
      </c>
      <c r="N219" t="s">
        <v>8</v>
      </c>
      <c r="P219">
        <f t="shared" si="959"/>
        <v>0.30393325387365905</v>
      </c>
      <c r="Q219">
        <f t="shared" si="960"/>
        <v>18707085.697258636</v>
      </c>
      <c r="R219">
        <f t="shared" si="961"/>
        <v>-249415833.09488589</v>
      </c>
      <c r="S219">
        <f t="shared" si="962"/>
        <v>-2494.1583309488587</v>
      </c>
      <c r="T219">
        <f t="shared" si="963"/>
        <v>-2.4941583309488586</v>
      </c>
    </row>
    <row r="220" spans="1:20" x14ac:dyDescent="0.25">
      <c r="A220" s="5">
        <v>44373</v>
      </c>
      <c r="B220">
        <v>0.2429</v>
      </c>
      <c r="C220">
        <v>0.26100000000000001</v>
      </c>
      <c r="D220">
        <v>0.22450000000000001</v>
      </c>
      <c r="E220">
        <v>0.24579999999999999</v>
      </c>
      <c r="F220">
        <v>22815156</v>
      </c>
      <c r="G220">
        <v>0</v>
      </c>
      <c r="L220" t="s">
        <v>7</v>
      </c>
      <c r="M220" t="s">
        <v>7</v>
      </c>
      <c r="N220" t="s">
        <v>7</v>
      </c>
      <c r="P220">
        <f t="shared" si="959"/>
        <v>0.16712328767123194</v>
      </c>
      <c r="Q220">
        <f t="shared" si="960"/>
        <v>3812943.8794520334</v>
      </c>
      <c r="R220">
        <f t="shared" si="961"/>
        <v>-268122918.79214451</v>
      </c>
      <c r="S220">
        <f t="shared" si="962"/>
        <v>-2681.2291879214449</v>
      </c>
      <c r="T220">
        <f t="shared" si="963"/>
        <v>-2.6812291879214447</v>
      </c>
    </row>
    <row r="221" spans="1:20" x14ac:dyDescent="0.25">
      <c r="A221" s="5">
        <v>44372</v>
      </c>
      <c r="B221">
        <v>0.27010000000000001</v>
      </c>
      <c r="C221">
        <v>0.28670000000000001</v>
      </c>
      <c r="D221">
        <v>0.24279999999999999</v>
      </c>
      <c r="E221">
        <v>0.24279999999999999</v>
      </c>
      <c r="F221">
        <v>24749314</v>
      </c>
      <c r="G221">
        <v>0</v>
      </c>
      <c r="L221" t="s">
        <v>7</v>
      </c>
      <c r="M221" t="s">
        <v>7</v>
      </c>
      <c r="N221" t="s">
        <v>7</v>
      </c>
      <c r="P221">
        <f t="shared" si="959"/>
        <v>-1</v>
      </c>
      <c r="Q221">
        <f t="shared" si="960"/>
        <v>-24749314</v>
      </c>
      <c r="R221">
        <f t="shared" si="961"/>
        <v>-271935862.67159653</v>
      </c>
      <c r="S221">
        <f t="shared" si="962"/>
        <v>-2719.3586267159653</v>
      </c>
      <c r="T221">
        <f t="shared" si="963"/>
        <v>-2.7193586267159655</v>
      </c>
    </row>
    <row r="222" spans="1:20" x14ac:dyDescent="0.25">
      <c r="A222" s="5">
        <v>44371</v>
      </c>
      <c r="B222">
        <v>0.27150000000000002</v>
      </c>
      <c r="C222">
        <v>0.28710000000000002</v>
      </c>
      <c r="D222">
        <v>0.25530000000000003</v>
      </c>
      <c r="E222">
        <v>0.27039999999999997</v>
      </c>
      <c r="F222">
        <v>18811543</v>
      </c>
      <c r="G222">
        <v>0</v>
      </c>
      <c r="L222" t="s">
        <v>7</v>
      </c>
      <c r="M222" t="s">
        <v>7</v>
      </c>
      <c r="N222" t="s">
        <v>7</v>
      </c>
      <c r="P222">
        <f t="shared" si="959"/>
        <v>-5.0314465408808226E-2</v>
      </c>
      <c r="Q222">
        <f t="shared" si="960"/>
        <v>-946492.7295598085</v>
      </c>
      <c r="R222">
        <f t="shared" si="961"/>
        <v>-247186548.67159656</v>
      </c>
      <c r="S222">
        <f t="shared" si="962"/>
        <v>-2471.8654867159657</v>
      </c>
      <c r="T222">
        <f t="shared" si="963"/>
        <v>-2.471865486715966</v>
      </c>
    </row>
    <row r="223" spans="1:20" x14ac:dyDescent="0.25">
      <c r="A223" s="5">
        <v>44370</v>
      </c>
      <c r="B223">
        <v>0.2525</v>
      </c>
      <c r="C223">
        <v>0.31769999999999998</v>
      </c>
      <c r="D223">
        <v>0.2414</v>
      </c>
      <c r="E223">
        <v>0.27150000000000002</v>
      </c>
      <c r="F223">
        <v>33819460</v>
      </c>
      <c r="G223">
        <v>0</v>
      </c>
      <c r="L223" t="s">
        <v>8</v>
      </c>
      <c r="M223" t="s">
        <v>8</v>
      </c>
      <c r="N223" t="s">
        <v>7</v>
      </c>
      <c r="P223">
        <f t="shared" si="959"/>
        <v>-0.21100917431192598</v>
      </c>
      <c r="Q223">
        <f t="shared" si="960"/>
        <v>-7136216.3302752078</v>
      </c>
      <c r="R223">
        <f t="shared" si="961"/>
        <v>-246240055.94203675</v>
      </c>
      <c r="S223">
        <f t="shared" si="962"/>
        <v>-2462.4005594203677</v>
      </c>
      <c r="T223">
        <f t="shared" si="963"/>
        <v>-2.4624005594203675</v>
      </c>
    </row>
    <row r="224" spans="1:20" x14ac:dyDescent="0.25">
      <c r="A224" s="5">
        <v>44369</v>
      </c>
      <c r="B224">
        <v>0.30099999999999999</v>
      </c>
      <c r="C224">
        <v>0.33</v>
      </c>
      <c r="D224">
        <v>0.2389</v>
      </c>
      <c r="E224">
        <v>0.2525</v>
      </c>
      <c r="F224">
        <v>51257025</v>
      </c>
      <c r="G224">
        <v>0</v>
      </c>
      <c r="L224" t="s">
        <v>7</v>
      </c>
      <c r="M224" t="s">
        <v>7</v>
      </c>
      <c r="N224" t="s">
        <v>7</v>
      </c>
      <c r="P224">
        <f t="shared" si="959"/>
        <v>-0.70142700329308449</v>
      </c>
      <c r="Q224">
        <f t="shared" si="960"/>
        <v>-35953061.443468712</v>
      </c>
      <c r="R224">
        <f t="shared" si="961"/>
        <v>-239103839.61176154</v>
      </c>
      <c r="S224">
        <f t="shared" si="962"/>
        <v>-2391.0383961176153</v>
      </c>
      <c r="T224">
        <f t="shared" si="963"/>
        <v>-2.3910383961176152</v>
      </c>
    </row>
    <row r="225" spans="1:20" x14ac:dyDescent="0.25">
      <c r="A225" s="5">
        <v>44368</v>
      </c>
      <c r="B225">
        <v>0.41539999999999999</v>
      </c>
      <c r="C225">
        <v>0.41539999999999999</v>
      </c>
      <c r="D225">
        <v>0.29499999999999998</v>
      </c>
      <c r="E225">
        <v>0.30149999999999999</v>
      </c>
      <c r="F225">
        <v>26637814</v>
      </c>
      <c r="G225">
        <v>0</v>
      </c>
      <c r="L225" t="s">
        <v>7</v>
      </c>
      <c r="M225" t="s">
        <v>7</v>
      </c>
      <c r="N225" t="s">
        <v>7</v>
      </c>
      <c r="P225">
        <f t="shared" si="959"/>
        <v>-0.8920265780730896</v>
      </c>
      <c r="Q225">
        <f t="shared" si="960"/>
        <v>-23761638.069767438</v>
      </c>
      <c r="R225">
        <f t="shared" si="961"/>
        <v>-203150778.16829282</v>
      </c>
      <c r="S225">
        <f t="shared" si="962"/>
        <v>-2031.5077816829282</v>
      </c>
      <c r="T225">
        <f t="shared" si="963"/>
        <v>-2.0315077816829281</v>
      </c>
    </row>
    <row r="226" spans="1:20" x14ac:dyDescent="0.25">
      <c r="A226" s="5">
        <v>44367</v>
      </c>
      <c r="B226">
        <v>0.45689999999999997</v>
      </c>
      <c r="C226">
        <v>0.47270000000000001</v>
      </c>
      <c r="D226">
        <v>0.39410000000000001</v>
      </c>
      <c r="E226">
        <v>0.41549999999999998</v>
      </c>
      <c r="F226">
        <v>19914773</v>
      </c>
      <c r="G226">
        <v>0</v>
      </c>
      <c r="L226" t="s">
        <v>7</v>
      </c>
      <c r="M226" t="s">
        <v>7</v>
      </c>
      <c r="N226" t="s">
        <v>7</v>
      </c>
      <c r="P226">
        <f t="shared" si="959"/>
        <v>-0.45547073791348669</v>
      </c>
      <c r="Q226">
        <f t="shared" si="960"/>
        <v>-9070596.3536895812</v>
      </c>
      <c r="R226">
        <f t="shared" si="961"/>
        <v>-179389140.09852538</v>
      </c>
      <c r="S226">
        <f t="shared" si="962"/>
        <v>-1793.8914009852538</v>
      </c>
      <c r="T226">
        <f t="shared" si="963"/>
        <v>-1.7938914009852538</v>
      </c>
    </row>
    <row r="227" spans="1:20" x14ac:dyDescent="0.25">
      <c r="A227" s="5">
        <v>44366</v>
      </c>
      <c r="B227">
        <v>0.52390000000000003</v>
      </c>
      <c r="C227">
        <v>0.52800000000000002</v>
      </c>
      <c r="D227">
        <v>0.443</v>
      </c>
      <c r="E227">
        <v>0.4556</v>
      </c>
      <c r="F227">
        <v>29685523</v>
      </c>
      <c r="G227">
        <v>0</v>
      </c>
      <c r="L227" t="s">
        <v>7</v>
      </c>
      <c r="M227" t="s">
        <v>7</v>
      </c>
      <c r="N227" t="s">
        <v>7</v>
      </c>
      <c r="P227">
        <f t="shared" si="959"/>
        <v>-0.70352941176470596</v>
      </c>
      <c r="Q227">
        <f t="shared" si="960"/>
        <v>-20884638.53411765</v>
      </c>
      <c r="R227">
        <f t="shared" si="961"/>
        <v>-170318543.74483579</v>
      </c>
      <c r="S227">
        <f t="shared" si="962"/>
        <v>-1703.185437448358</v>
      </c>
      <c r="T227">
        <f t="shared" si="963"/>
        <v>-1.7031854374483579</v>
      </c>
    </row>
    <row r="228" spans="1:20" x14ac:dyDescent="0.25">
      <c r="A228" s="5">
        <v>44365</v>
      </c>
      <c r="B228">
        <v>0.62629999999999997</v>
      </c>
      <c r="C228">
        <v>0.63490000000000002</v>
      </c>
      <c r="D228">
        <v>0.49919999999999998</v>
      </c>
      <c r="E228">
        <v>0.52390000000000003</v>
      </c>
      <c r="F228">
        <v>42135708</v>
      </c>
      <c r="G228">
        <v>0</v>
      </c>
      <c r="L228" t="s">
        <v>7</v>
      </c>
      <c r="M228" t="s">
        <v>7</v>
      </c>
      <c r="N228" t="s">
        <v>7</v>
      </c>
      <c r="P228">
        <f t="shared" si="959"/>
        <v>-0.63596168017686006</v>
      </c>
      <c r="Q228">
        <f t="shared" si="960"/>
        <v>-26796695.655121565</v>
      </c>
      <c r="R228">
        <f t="shared" si="961"/>
        <v>-149433905.21071815</v>
      </c>
      <c r="S228">
        <f t="shared" si="962"/>
        <v>-1494.3390521071815</v>
      </c>
      <c r="T228">
        <f t="shared" si="963"/>
        <v>-1.4943390521071815</v>
      </c>
    </row>
    <row r="229" spans="1:20" x14ac:dyDescent="0.25">
      <c r="A229" s="5">
        <v>44364</v>
      </c>
      <c r="B229">
        <v>0.53859999999999997</v>
      </c>
      <c r="C229">
        <v>1.08</v>
      </c>
      <c r="D229">
        <v>0.53859999999999997</v>
      </c>
      <c r="E229">
        <v>0.627</v>
      </c>
      <c r="F229">
        <v>182105829</v>
      </c>
      <c r="G229">
        <v>0</v>
      </c>
      <c r="P229">
        <f t="shared" si="959"/>
        <v>-0.67343923162172137</v>
      </c>
      <c r="Q229">
        <f t="shared" si="960"/>
        <v>-122637209.55559659</v>
      </c>
      <c r="R229">
        <f t="shared" si="961"/>
        <v>-122637209.55559659</v>
      </c>
      <c r="S229">
        <f t="shared" si="962"/>
        <v>-1226.3720955559659</v>
      </c>
      <c r="T229">
        <f t="shared" si="963"/>
        <v>-1.2263720955559658</v>
      </c>
    </row>
    <row r="230" spans="1:20" x14ac:dyDescent="0.25">
      <c r="A230" s="5"/>
      <c r="B230" s="1"/>
      <c r="C230" s="2"/>
      <c r="D230" s="2"/>
      <c r="E230" s="1"/>
      <c r="F230" s="1"/>
      <c r="P230">
        <f t="shared" si="959"/>
        <v>0</v>
      </c>
      <c r="Q230">
        <f t="shared" si="960"/>
        <v>0</v>
      </c>
      <c r="R230">
        <f t="shared" si="961"/>
        <v>0</v>
      </c>
      <c r="S230">
        <f t="shared" si="962"/>
        <v>0</v>
      </c>
      <c r="T230">
        <f t="shared" si="963"/>
        <v>0</v>
      </c>
    </row>
    <row r="231" spans="1:20" x14ac:dyDescent="0.25">
      <c r="A231" s="5"/>
      <c r="B231" s="1"/>
      <c r="C231" s="2"/>
      <c r="D231" s="2"/>
      <c r="E231" s="1"/>
      <c r="F231" s="1"/>
      <c r="P231">
        <f t="shared" si="959"/>
        <v>0</v>
      </c>
      <c r="Q231">
        <f t="shared" si="960"/>
        <v>0</v>
      </c>
      <c r="R231">
        <f t="shared" si="961"/>
        <v>0</v>
      </c>
      <c r="S231">
        <f t="shared" si="962"/>
        <v>0</v>
      </c>
      <c r="T231">
        <f t="shared" si="963"/>
        <v>0</v>
      </c>
    </row>
    <row r="232" spans="1:20" x14ac:dyDescent="0.25">
      <c r="A232" s="5"/>
      <c r="B232" s="1"/>
      <c r="C232" s="2"/>
      <c r="D232" s="2"/>
      <c r="E232" s="1"/>
      <c r="F232" s="1"/>
      <c r="P232">
        <f t="shared" si="959"/>
        <v>0</v>
      </c>
      <c r="Q232">
        <f t="shared" si="960"/>
        <v>0</v>
      </c>
      <c r="R232">
        <f t="shared" si="961"/>
        <v>0</v>
      </c>
      <c r="S232">
        <f t="shared" si="962"/>
        <v>0</v>
      </c>
      <c r="T232">
        <f t="shared" si="963"/>
        <v>0</v>
      </c>
    </row>
    <row r="233" spans="1:20" x14ac:dyDescent="0.25">
      <c r="A233" s="5"/>
      <c r="B233" s="1"/>
      <c r="C233" s="2"/>
      <c r="D233" s="2"/>
      <c r="E233" s="1"/>
      <c r="F233" s="1"/>
      <c r="P233">
        <f t="shared" si="959"/>
        <v>0</v>
      </c>
      <c r="Q233">
        <f t="shared" si="960"/>
        <v>0</v>
      </c>
      <c r="R233">
        <f t="shared" si="961"/>
        <v>0</v>
      </c>
      <c r="S233">
        <f t="shared" si="962"/>
        <v>0</v>
      </c>
      <c r="T233">
        <f t="shared" si="963"/>
        <v>0</v>
      </c>
    </row>
    <row r="234" spans="1:20" x14ac:dyDescent="0.25">
      <c r="A234" s="5"/>
      <c r="B234" s="1"/>
      <c r="C234" s="2"/>
      <c r="D234" s="2"/>
      <c r="E234" s="1"/>
      <c r="F234" s="1"/>
      <c r="P234">
        <f t="shared" si="959"/>
        <v>0</v>
      </c>
      <c r="Q234">
        <f t="shared" si="960"/>
        <v>0</v>
      </c>
      <c r="R234">
        <f t="shared" si="961"/>
        <v>0</v>
      </c>
      <c r="S234">
        <f t="shared" si="962"/>
        <v>0</v>
      </c>
      <c r="T234">
        <f t="shared" si="963"/>
        <v>0</v>
      </c>
    </row>
    <row r="235" spans="1:20" x14ac:dyDescent="0.25">
      <c r="A235" s="5"/>
      <c r="B235" s="1"/>
      <c r="C235" s="2"/>
      <c r="D235" s="2"/>
      <c r="E235" s="1"/>
      <c r="F235" s="1"/>
      <c r="P235">
        <f t="shared" si="959"/>
        <v>0</v>
      </c>
      <c r="Q235">
        <f t="shared" si="960"/>
        <v>0</v>
      </c>
      <c r="R235">
        <f t="shared" si="961"/>
        <v>0</v>
      </c>
      <c r="S235">
        <f t="shared" si="962"/>
        <v>0</v>
      </c>
      <c r="T235">
        <f t="shared" si="963"/>
        <v>0</v>
      </c>
    </row>
    <row r="236" spans="1:20" x14ac:dyDescent="0.25">
      <c r="A236" s="5"/>
      <c r="B236" s="1"/>
      <c r="C236" s="2"/>
      <c r="D236" s="2"/>
      <c r="E236" s="1"/>
      <c r="F236" s="1"/>
      <c r="P236">
        <f t="shared" si="959"/>
        <v>0</v>
      </c>
      <c r="Q236">
        <f t="shared" si="960"/>
        <v>0</v>
      </c>
      <c r="R236">
        <f t="shared" si="961"/>
        <v>0</v>
      </c>
      <c r="S236">
        <f t="shared" si="962"/>
        <v>0</v>
      </c>
      <c r="T236">
        <f t="shared" si="963"/>
        <v>0</v>
      </c>
    </row>
    <row r="237" spans="1:20" x14ac:dyDescent="0.25">
      <c r="A237" s="5"/>
      <c r="B237" s="1"/>
      <c r="C237" s="2"/>
      <c r="D237" s="2"/>
      <c r="E237" s="1"/>
      <c r="F237" s="1"/>
      <c r="P237">
        <f t="shared" si="959"/>
        <v>0</v>
      </c>
      <c r="Q237">
        <f t="shared" si="960"/>
        <v>0</v>
      </c>
      <c r="R237">
        <f t="shared" si="961"/>
        <v>0</v>
      </c>
      <c r="S237">
        <f t="shared" si="962"/>
        <v>0</v>
      </c>
      <c r="T237">
        <f t="shared" si="963"/>
        <v>0</v>
      </c>
    </row>
    <row r="238" spans="1:20" x14ac:dyDescent="0.25">
      <c r="A238" s="5"/>
      <c r="B238" s="1"/>
      <c r="C238" s="2"/>
      <c r="D238" s="2"/>
      <c r="E238" s="1"/>
      <c r="F238" s="1"/>
      <c r="P238">
        <f t="shared" si="959"/>
        <v>0</v>
      </c>
      <c r="Q238">
        <f t="shared" si="960"/>
        <v>0</v>
      </c>
      <c r="R238">
        <f t="shared" si="961"/>
        <v>0</v>
      </c>
      <c r="S238">
        <f t="shared" si="962"/>
        <v>0</v>
      </c>
      <c r="T238">
        <f t="shared" si="963"/>
        <v>0</v>
      </c>
    </row>
    <row r="239" spans="1:20" x14ac:dyDescent="0.25">
      <c r="A239" s="5"/>
      <c r="B239" s="1"/>
      <c r="C239" s="2"/>
      <c r="D239" s="2"/>
      <c r="E239" s="1"/>
      <c r="F239" s="1"/>
      <c r="P239">
        <f t="shared" si="959"/>
        <v>0</v>
      </c>
      <c r="Q239">
        <f t="shared" si="960"/>
        <v>0</v>
      </c>
      <c r="R239">
        <f t="shared" si="961"/>
        <v>0</v>
      </c>
      <c r="S239">
        <f t="shared" si="962"/>
        <v>0</v>
      </c>
      <c r="T239">
        <f t="shared" si="963"/>
        <v>0</v>
      </c>
    </row>
    <row r="240" spans="1:20" x14ac:dyDescent="0.25">
      <c r="A240" s="5"/>
      <c r="B240" s="1"/>
      <c r="C240" s="2"/>
      <c r="D240" s="2"/>
      <c r="E240" s="1"/>
      <c r="F240" s="1"/>
      <c r="P240">
        <f t="shared" si="959"/>
        <v>0</v>
      </c>
      <c r="Q240">
        <f t="shared" si="960"/>
        <v>0</v>
      </c>
      <c r="R240">
        <f t="shared" si="961"/>
        <v>0</v>
      </c>
      <c r="S240">
        <f t="shared" si="962"/>
        <v>0</v>
      </c>
      <c r="T240">
        <f t="shared" si="963"/>
        <v>0</v>
      </c>
    </row>
    <row r="241" spans="1:20" x14ac:dyDescent="0.25">
      <c r="A241" s="5"/>
      <c r="B241" s="1"/>
      <c r="C241" s="2"/>
      <c r="D241" s="2"/>
      <c r="E241" s="1"/>
      <c r="F241" s="1"/>
      <c r="P241">
        <f t="shared" si="959"/>
        <v>0</v>
      </c>
      <c r="Q241">
        <f t="shared" si="960"/>
        <v>0</v>
      </c>
      <c r="R241">
        <f t="shared" si="961"/>
        <v>0</v>
      </c>
      <c r="S241">
        <f t="shared" si="962"/>
        <v>0</v>
      </c>
      <c r="T241">
        <f t="shared" si="963"/>
        <v>0</v>
      </c>
    </row>
    <row r="242" spans="1:20" x14ac:dyDescent="0.25">
      <c r="A242" s="5"/>
      <c r="B242" s="1"/>
      <c r="C242" s="2"/>
      <c r="D242" s="2"/>
      <c r="E242" s="1"/>
      <c r="F242" s="1"/>
      <c r="P242">
        <f t="shared" si="959"/>
        <v>0</v>
      </c>
      <c r="Q242">
        <f t="shared" si="960"/>
        <v>0</v>
      </c>
      <c r="R242">
        <f t="shared" si="961"/>
        <v>0</v>
      </c>
      <c r="S242">
        <f t="shared" si="962"/>
        <v>0</v>
      </c>
      <c r="T242">
        <f t="shared" si="963"/>
        <v>0</v>
      </c>
    </row>
    <row r="243" spans="1:20" x14ac:dyDescent="0.25">
      <c r="A243" s="5"/>
      <c r="B243" s="1"/>
      <c r="C243" s="2"/>
      <c r="D243" s="2"/>
      <c r="E243" s="1"/>
      <c r="F243" s="1"/>
      <c r="P243">
        <f t="shared" si="959"/>
        <v>0</v>
      </c>
      <c r="Q243">
        <f t="shared" si="960"/>
        <v>0</v>
      </c>
      <c r="R243">
        <f t="shared" si="961"/>
        <v>0</v>
      </c>
      <c r="S243">
        <f t="shared" si="962"/>
        <v>0</v>
      </c>
      <c r="T243">
        <f t="shared" si="963"/>
        <v>0</v>
      </c>
    </row>
    <row r="244" spans="1:20" x14ac:dyDescent="0.25">
      <c r="A244" s="5"/>
      <c r="B244" s="1"/>
      <c r="C244" s="2"/>
      <c r="D244" s="2"/>
      <c r="E244" s="1"/>
      <c r="F244" s="1"/>
      <c r="P244">
        <f t="shared" si="959"/>
        <v>0</v>
      </c>
      <c r="Q244">
        <f t="shared" si="960"/>
        <v>0</v>
      </c>
      <c r="R244">
        <f t="shared" si="961"/>
        <v>0</v>
      </c>
      <c r="S244">
        <f t="shared" si="962"/>
        <v>0</v>
      </c>
      <c r="T244">
        <f t="shared" si="963"/>
        <v>0</v>
      </c>
    </row>
    <row r="245" spans="1:20" x14ac:dyDescent="0.25">
      <c r="A245" s="5"/>
      <c r="B245" s="1"/>
      <c r="C245" s="2"/>
      <c r="D245" s="2"/>
      <c r="E245" s="1"/>
      <c r="F245" s="1"/>
      <c r="P245">
        <f t="shared" si="959"/>
        <v>0</v>
      </c>
      <c r="Q245">
        <f t="shared" si="960"/>
        <v>0</v>
      </c>
      <c r="R245">
        <f t="shared" si="961"/>
        <v>0</v>
      </c>
      <c r="S245">
        <f t="shared" si="962"/>
        <v>0</v>
      </c>
      <c r="T245">
        <f t="shared" si="963"/>
        <v>0</v>
      </c>
    </row>
    <row r="246" spans="1:20" x14ac:dyDescent="0.25">
      <c r="A246" s="5"/>
      <c r="B246" s="1"/>
      <c r="C246" s="2"/>
      <c r="D246" s="2"/>
      <c r="E246" s="1"/>
      <c r="F246" s="1"/>
      <c r="P246">
        <f t="shared" si="959"/>
        <v>0</v>
      </c>
      <c r="Q246">
        <f t="shared" si="960"/>
        <v>0</v>
      </c>
      <c r="R246">
        <f t="shared" si="961"/>
        <v>0</v>
      </c>
      <c r="S246">
        <f t="shared" si="962"/>
        <v>0</v>
      </c>
      <c r="T246">
        <f t="shared" si="963"/>
        <v>0</v>
      </c>
    </row>
    <row r="247" spans="1:20" x14ac:dyDescent="0.25">
      <c r="A247" s="5"/>
      <c r="B247" s="1"/>
      <c r="C247" s="2"/>
      <c r="D247" s="2"/>
      <c r="E247" s="1"/>
      <c r="F247" s="1"/>
      <c r="P247">
        <f t="shared" si="959"/>
        <v>0</v>
      </c>
      <c r="Q247">
        <f t="shared" si="960"/>
        <v>0</v>
      </c>
      <c r="R247">
        <f t="shared" si="961"/>
        <v>0</v>
      </c>
      <c r="S247">
        <f t="shared" si="962"/>
        <v>0</v>
      </c>
      <c r="T247">
        <f t="shared" si="963"/>
        <v>0</v>
      </c>
    </row>
    <row r="248" spans="1:20" x14ac:dyDescent="0.25">
      <c r="A248" s="5"/>
      <c r="B248" s="1"/>
      <c r="C248" s="2"/>
      <c r="D248" s="2"/>
      <c r="E248" s="1"/>
      <c r="F248" s="1"/>
      <c r="P248">
        <f t="shared" si="959"/>
        <v>0</v>
      </c>
      <c r="Q248">
        <f t="shared" si="960"/>
        <v>0</v>
      </c>
      <c r="R248">
        <f t="shared" si="961"/>
        <v>0</v>
      </c>
      <c r="S248">
        <f t="shared" si="962"/>
        <v>0</v>
      </c>
      <c r="T248">
        <f t="shared" si="963"/>
        <v>0</v>
      </c>
    </row>
    <row r="249" spans="1:20" x14ac:dyDescent="0.25">
      <c r="A249" s="5"/>
      <c r="B249" s="1"/>
      <c r="C249" s="2"/>
      <c r="D249" s="2"/>
      <c r="E249" s="1"/>
      <c r="F249" s="1"/>
      <c r="P249">
        <f t="shared" si="959"/>
        <v>0</v>
      </c>
      <c r="Q249">
        <f t="shared" si="960"/>
        <v>0</v>
      </c>
      <c r="R249">
        <f t="shared" si="961"/>
        <v>0</v>
      </c>
      <c r="S249">
        <f t="shared" si="962"/>
        <v>0</v>
      </c>
      <c r="T249">
        <f t="shared" si="963"/>
        <v>0</v>
      </c>
    </row>
    <row r="250" spans="1:20" x14ac:dyDescent="0.25">
      <c r="A250" s="5"/>
      <c r="B250" s="1"/>
      <c r="C250" s="2"/>
      <c r="D250" s="2"/>
      <c r="E250" s="1"/>
      <c r="F250" s="1"/>
      <c r="P250">
        <f t="shared" si="959"/>
        <v>0</v>
      </c>
      <c r="Q250">
        <f t="shared" si="960"/>
        <v>0</v>
      </c>
      <c r="R250">
        <f t="shared" si="961"/>
        <v>0</v>
      </c>
      <c r="S250">
        <f t="shared" si="962"/>
        <v>0</v>
      </c>
      <c r="T250">
        <f t="shared" si="963"/>
        <v>0</v>
      </c>
    </row>
    <row r="251" spans="1:20" x14ac:dyDescent="0.25">
      <c r="A251" s="5"/>
      <c r="B251" s="1"/>
      <c r="C251" s="2"/>
      <c r="D251" s="2"/>
      <c r="E251" s="1"/>
      <c r="F251" s="1"/>
      <c r="P251">
        <f t="shared" si="959"/>
        <v>0</v>
      </c>
      <c r="Q251">
        <f t="shared" si="960"/>
        <v>0</v>
      </c>
      <c r="R251">
        <f t="shared" si="961"/>
        <v>0</v>
      </c>
      <c r="S251">
        <f t="shared" si="962"/>
        <v>0</v>
      </c>
      <c r="T251">
        <f t="shared" si="963"/>
        <v>0</v>
      </c>
    </row>
    <row r="252" spans="1:20" x14ac:dyDescent="0.25">
      <c r="A252" s="5"/>
      <c r="B252" s="1"/>
      <c r="C252" s="2"/>
      <c r="D252" s="2"/>
      <c r="E252" s="1"/>
      <c r="F252" s="1"/>
      <c r="P252">
        <f t="shared" si="959"/>
        <v>0</v>
      </c>
      <c r="Q252">
        <f t="shared" si="960"/>
        <v>0</v>
      </c>
      <c r="R252">
        <f t="shared" si="961"/>
        <v>0</v>
      </c>
      <c r="S252">
        <f t="shared" si="962"/>
        <v>0</v>
      </c>
      <c r="T252">
        <f t="shared" si="963"/>
        <v>0</v>
      </c>
    </row>
    <row r="253" spans="1:20" x14ac:dyDescent="0.25">
      <c r="A253" s="5"/>
      <c r="B253" s="1"/>
      <c r="C253" s="2"/>
      <c r="D253" s="2"/>
      <c r="E253" s="1"/>
      <c r="F253" s="1"/>
      <c r="P253">
        <f t="shared" si="959"/>
        <v>0</v>
      </c>
      <c r="Q253">
        <f t="shared" si="960"/>
        <v>0</v>
      </c>
      <c r="R253">
        <f t="shared" si="961"/>
        <v>0</v>
      </c>
      <c r="S253">
        <f t="shared" si="962"/>
        <v>0</v>
      </c>
      <c r="T253">
        <f t="shared" si="963"/>
        <v>0</v>
      </c>
    </row>
    <row r="254" spans="1:20" x14ac:dyDescent="0.25">
      <c r="A254" s="5"/>
      <c r="B254" s="1"/>
      <c r="C254" s="2"/>
      <c r="D254" s="2"/>
      <c r="E254" s="1"/>
      <c r="F254" s="1"/>
      <c r="P254">
        <f t="shared" si="959"/>
        <v>0</v>
      </c>
      <c r="Q254">
        <f t="shared" si="960"/>
        <v>0</v>
      </c>
      <c r="R254">
        <f t="shared" si="961"/>
        <v>0</v>
      </c>
      <c r="S254">
        <f t="shared" si="962"/>
        <v>0</v>
      </c>
      <c r="T254">
        <f t="shared" si="963"/>
        <v>0</v>
      </c>
    </row>
    <row r="255" spans="1:20" x14ac:dyDescent="0.25">
      <c r="A255" s="5"/>
      <c r="B255" s="1"/>
      <c r="C255" s="2"/>
      <c r="D255" s="2"/>
      <c r="E255" s="1"/>
      <c r="F255" s="1"/>
      <c r="P255">
        <f t="shared" si="959"/>
        <v>0</v>
      </c>
      <c r="Q255">
        <f t="shared" si="960"/>
        <v>0</v>
      </c>
      <c r="R255">
        <f t="shared" si="961"/>
        <v>0</v>
      </c>
      <c r="S255">
        <f t="shared" si="962"/>
        <v>0</v>
      </c>
      <c r="T255">
        <f t="shared" si="963"/>
        <v>0</v>
      </c>
    </row>
    <row r="256" spans="1:20" x14ac:dyDescent="0.25">
      <c r="A256" s="5"/>
      <c r="B256" s="1"/>
      <c r="C256" s="2"/>
      <c r="D256" s="2"/>
      <c r="E256" s="1"/>
      <c r="F256" s="1"/>
      <c r="P256">
        <f t="shared" si="959"/>
        <v>0</v>
      </c>
      <c r="Q256">
        <f t="shared" si="960"/>
        <v>0</v>
      </c>
      <c r="R256">
        <f t="shared" si="961"/>
        <v>0</v>
      </c>
      <c r="S256">
        <f t="shared" si="962"/>
        <v>0</v>
      </c>
      <c r="T256">
        <f t="shared" si="963"/>
        <v>0</v>
      </c>
    </row>
    <row r="257" spans="1:20" x14ac:dyDescent="0.25">
      <c r="A257" s="5"/>
      <c r="B257" s="1"/>
      <c r="C257" s="2"/>
      <c r="D257" s="2"/>
      <c r="E257" s="1"/>
      <c r="F257" s="1"/>
      <c r="P257">
        <f t="shared" si="959"/>
        <v>0</v>
      </c>
      <c r="Q257">
        <f t="shared" si="960"/>
        <v>0</v>
      </c>
      <c r="R257">
        <f t="shared" si="961"/>
        <v>0</v>
      </c>
      <c r="S257">
        <f t="shared" si="962"/>
        <v>0</v>
      </c>
      <c r="T257">
        <f t="shared" si="963"/>
        <v>0</v>
      </c>
    </row>
    <row r="258" spans="1:20" x14ac:dyDescent="0.25">
      <c r="A258" s="5"/>
      <c r="B258" s="1"/>
      <c r="C258" s="2"/>
      <c r="D258" s="2"/>
      <c r="E258" s="1"/>
      <c r="F258" s="1"/>
      <c r="P258">
        <f t="shared" si="959"/>
        <v>0</v>
      </c>
      <c r="Q258">
        <f t="shared" si="960"/>
        <v>0</v>
      </c>
      <c r="R258">
        <f t="shared" si="961"/>
        <v>0</v>
      </c>
      <c r="S258">
        <f t="shared" si="962"/>
        <v>0</v>
      </c>
      <c r="T258">
        <f t="shared" si="963"/>
        <v>0</v>
      </c>
    </row>
    <row r="259" spans="1:20" x14ac:dyDescent="0.25">
      <c r="A259" s="5"/>
      <c r="B259" s="1"/>
      <c r="C259" s="2"/>
      <c r="D259" s="2"/>
      <c r="E259" s="1"/>
      <c r="F259" s="1"/>
      <c r="P259">
        <f t="shared" si="959"/>
        <v>0</v>
      </c>
      <c r="Q259">
        <f t="shared" si="960"/>
        <v>0</v>
      </c>
      <c r="R259">
        <f t="shared" si="961"/>
        <v>0</v>
      </c>
      <c r="S259">
        <f t="shared" si="962"/>
        <v>0</v>
      </c>
      <c r="T259">
        <f t="shared" si="963"/>
        <v>0</v>
      </c>
    </row>
    <row r="260" spans="1:20" x14ac:dyDescent="0.25">
      <c r="A260" s="5"/>
      <c r="B260" s="1"/>
      <c r="C260" s="2"/>
      <c r="D260" s="2"/>
      <c r="E260" s="1"/>
      <c r="F260" s="1"/>
      <c r="P260">
        <f t="shared" si="959"/>
        <v>0</v>
      </c>
      <c r="Q260">
        <f t="shared" si="960"/>
        <v>0</v>
      </c>
      <c r="R260">
        <f t="shared" si="961"/>
        <v>0</v>
      </c>
      <c r="S260">
        <f t="shared" si="962"/>
        <v>0</v>
      </c>
      <c r="T260">
        <f t="shared" si="963"/>
        <v>0</v>
      </c>
    </row>
    <row r="261" spans="1:20" x14ac:dyDescent="0.25">
      <c r="A261" s="5"/>
      <c r="B261" s="1"/>
      <c r="C261" s="2"/>
      <c r="D261" s="2"/>
      <c r="E261" s="1"/>
      <c r="F261" s="1"/>
      <c r="P261">
        <f t="shared" si="959"/>
        <v>0</v>
      </c>
      <c r="Q261">
        <f t="shared" si="960"/>
        <v>0</v>
      </c>
      <c r="R261">
        <f t="shared" si="961"/>
        <v>0</v>
      </c>
      <c r="S261">
        <f t="shared" si="962"/>
        <v>0</v>
      </c>
      <c r="T261">
        <f t="shared" si="963"/>
        <v>0</v>
      </c>
    </row>
    <row r="262" spans="1:20" x14ac:dyDescent="0.25">
      <c r="A262" s="5"/>
      <c r="B262" s="1"/>
      <c r="C262" s="2"/>
      <c r="D262" s="2"/>
      <c r="E262" s="1"/>
      <c r="F262" s="1"/>
      <c r="P262">
        <f t="shared" ref="P262:P325" si="964">IF(C262=D262,0,((E262-D262)-(C262-E262))/(C262-D262))</f>
        <v>0</v>
      </c>
      <c r="Q262">
        <f t="shared" ref="Q262:Q325" si="965">F262*P262</f>
        <v>0</v>
      </c>
      <c r="R262">
        <f t="shared" ref="R262:R325" si="966">R263+Q262</f>
        <v>0</v>
      </c>
      <c r="S262">
        <f t="shared" ref="S262:S325" si="967">R262/100000</f>
        <v>0</v>
      </c>
      <c r="T262">
        <f t="shared" ref="T262:T325" si="968">S262/1000</f>
        <v>0</v>
      </c>
    </row>
    <row r="263" spans="1:20" x14ac:dyDescent="0.25">
      <c r="A263" s="5"/>
      <c r="B263" s="1"/>
      <c r="C263" s="2"/>
      <c r="D263" s="2"/>
      <c r="E263" s="1"/>
      <c r="F263" s="1"/>
      <c r="P263">
        <f t="shared" si="964"/>
        <v>0</v>
      </c>
      <c r="Q263">
        <f t="shared" si="965"/>
        <v>0</v>
      </c>
      <c r="R263">
        <f t="shared" si="966"/>
        <v>0</v>
      </c>
      <c r="S263">
        <f t="shared" si="967"/>
        <v>0</v>
      </c>
      <c r="T263">
        <f t="shared" si="968"/>
        <v>0</v>
      </c>
    </row>
    <row r="264" spans="1:20" x14ac:dyDescent="0.25">
      <c r="A264" s="5"/>
      <c r="B264" s="1"/>
      <c r="C264" s="2"/>
      <c r="D264" s="2"/>
      <c r="E264" s="1"/>
      <c r="F264" s="1"/>
      <c r="P264">
        <f t="shared" si="964"/>
        <v>0</v>
      </c>
      <c r="Q264">
        <f t="shared" si="965"/>
        <v>0</v>
      </c>
      <c r="R264">
        <f t="shared" si="966"/>
        <v>0</v>
      </c>
      <c r="S264">
        <f t="shared" si="967"/>
        <v>0</v>
      </c>
      <c r="T264">
        <f t="shared" si="968"/>
        <v>0</v>
      </c>
    </row>
    <row r="265" spans="1:20" x14ac:dyDescent="0.25">
      <c r="A265" s="5"/>
      <c r="B265" s="1"/>
      <c r="C265" s="2"/>
      <c r="D265" s="2"/>
      <c r="E265" s="1"/>
      <c r="F265" s="1"/>
      <c r="P265">
        <f t="shared" si="964"/>
        <v>0</v>
      </c>
      <c r="Q265">
        <f t="shared" si="965"/>
        <v>0</v>
      </c>
      <c r="R265">
        <f t="shared" si="966"/>
        <v>0</v>
      </c>
      <c r="S265">
        <f t="shared" si="967"/>
        <v>0</v>
      </c>
      <c r="T265">
        <f t="shared" si="968"/>
        <v>0</v>
      </c>
    </row>
    <row r="266" spans="1:20" x14ac:dyDescent="0.25">
      <c r="A266" s="5"/>
      <c r="B266" s="1"/>
      <c r="C266" s="2"/>
      <c r="D266" s="2"/>
      <c r="E266" s="1"/>
      <c r="F266" s="1"/>
      <c r="P266">
        <f t="shared" si="964"/>
        <v>0</v>
      </c>
      <c r="Q266">
        <f t="shared" si="965"/>
        <v>0</v>
      </c>
      <c r="R266">
        <f t="shared" si="966"/>
        <v>0</v>
      </c>
      <c r="S266">
        <f t="shared" si="967"/>
        <v>0</v>
      </c>
      <c r="T266">
        <f t="shared" si="968"/>
        <v>0</v>
      </c>
    </row>
    <row r="267" spans="1:20" x14ac:dyDescent="0.25">
      <c r="A267" s="5"/>
      <c r="B267" s="1"/>
      <c r="C267" s="2"/>
      <c r="D267" s="2"/>
      <c r="E267" s="1"/>
      <c r="F267" s="1"/>
      <c r="P267">
        <f t="shared" si="964"/>
        <v>0</v>
      </c>
      <c r="Q267">
        <f t="shared" si="965"/>
        <v>0</v>
      </c>
      <c r="R267">
        <f t="shared" si="966"/>
        <v>0</v>
      </c>
      <c r="S267">
        <f t="shared" si="967"/>
        <v>0</v>
      </c>
      <c r="T267">
        <f t="shared" si="968"/>
        <v>0</v>
      </c>
    </row>
    <row r="268" spans="1:20" x14ac:dyDescent="0.25">
      <c r="A268" s="5"/>
      <c r="B268" s="1"/>
      <c r="C268" s="2"/>
      <c r="D268" s="2"/>
      <c r="E268" s="1"/>
      <c r="F268" s="1"/>
      <c r="P268">
        <f t="shared" si="964"/>
        <v>0</v>
      </c>
      <c r="Q268">
        <f t="shared" si="965"/>
        <v>0</v>
      </c>
      <c r="R268">
        <f t="shared" si="966"/>
        <v>0</v>
      </c>
      <c r="S268">
        <f t="shared" si="967"/>
        <v>0</v>
      </c>
      <c r="T268">
        <f t="shared" si="968"/>
        <v>0</v>
      </c>
    </row>
    <row r="269" spans="1:20" x14ac:dyDescent="0.25">
      <c r="A269" s="5"/>
      <c r="B269" s="1"/>
      <c r="C269" s="2"/>
      <c r="D269" s="2"/>
      <c r="E269" s="1"/>
      <c r="F269" s="1"/>
      <c r="P269">
        <f t="shared" si="964"/>
        <v>0</v>
      </c>
      <c r="Q269">
        <f t="shared" si="965"/>
        <v>0</v>
      </c>
      <c r="R269">
        <f t="shared" si="966"/>
        <v>0</v>
      </c>
      <c r="S269">
        <f t="shared" si="967"/>
        <v>0</v>
      </c>
      <c r="T269">
        <f t="shared" si="968"/>
        <v>0</v>
      </c>
    </row>
    <row r="270" spans="1:20" x14ac:dyDescent="0.25">
      <c r="A270" s="5"/>
      <c r="B270" s="1"/>
      <c r="C270" s="2"/>
      <c r="D270" s="2"/>
      <c r="E270" s="1"/>
      <c r="F270" s="1"/>
      <c r="P270">
        <f t="shared" si="964"/>
        <v>0</v>
      </c>
      <c r="Q270">
        <f t="shared" si="965"/>
        <v>0</v>
      </c>
      <c r="R270">
        <f t="shared" si="966"/>
        <v>0</v>
      </c>
      <c r="S270">
        <f t="shared" si="967"/>
        <v>0</v>
      </c>
      <c r="T270">
        <f t="shared" si="968"/>
        <v>0</v>
      </c>
    </row>
    <row r="271" spans="1:20" x14ac:dyDescent="0.25">
      <c r="A271" s="5"/>
      <c r="B271" s="1"/>
      <c r="C271" s="2"/>
      <c r="D271" s="2"/>
      <c r="E271" s="1"/>
      <c r="F271" s="1"/>
      <c r="P271">
        <f t="shared" si="964"/>
        <v>0</v>
      </c>
      <c r="Q271">
        <f t="shared" si="965"/>
        <v>0</v>
      </c>
      <c r="R271">
        <f t="shared" si="966"/>
        <v>0</v>
      </c>
      <c r="S271">
        <f t="shared" si="967"/>
        <v>0</v>
      </c>
      <c r="T271">
        <f t="shared" si="968"/>
        <v>0</v>
      </c>
    </row>
    <row r="272" spans="1:20" x14ac:dyDescent="0.25">
      <c r="A272" s="5"/>
      <c r="B272" s="1"/>
      <c r="C272" s="2"/>
      <c r="D272" s="2"/>
      <c r="E272" s="1"/>
      <c r="F272" s="1"/>
      <c r="P272">
        <f t="shared" si="964"/>
        <v>0</v>
      </c>
      <c r="Q272">
        <f t="shared" si="965"/>
        <v>0</v>
      </c>
      <c r="R272">
        <f t="shared" si="966"/>
        <v>0</v>
      </c>
      <c r="S272">
        <f t="shared" si="967"/>
        <v>0</v>
      </c>
      <c r="T272">
        <f t="shared" si="968"/>
        <v>0</v>
      </c>
    </row>
    <row r="273" spans="1:20" x14ac:dyDescent="0.25">
      <c r="A273" s="5"/>
      <c r="B273" s="1"/>
      <c r="C273" s="2"/>
      <c r="D273" s="2"/>
      <c r="E273" s="1"/>
      <c r="F273" s="1"/>
      <c r="P273">
        <f t="shared" si="964"/>
        <v>0</v>
      </c>
      <c r="Q273">
        <f t="shared" si="965"/>
        <v>0</v>
      </c>
      <c r="R273">
        <f t="shared" si="966"/>
        <v>0</v>
      </c>
      <c r="S273">
        <f t="shared" si="967"/>
        <v>0</v>
      </c>
      <c r="T273">
        <f t="shared" si="968"/>
        <v>0</v>
      </c>
    </row>
    <row r="274" spans="1:20" x14ac:dyDescent="0.25">
      <c r="A274" s="5"/>
      <c r="B274" s="1"/>
      <c r="C274" s="2"/>
      <c r="D274" s="2"/>
      <c r="E274" s="1"/>
      <c r="F274" s="1"/>
      <c r="P274">
        <f t="shared" si="964"/>
        <v>0</v>
      </c>
      <c r="Q274">
        <f t="shared" si="965"/>
        <v>0</v>
      </c>
      <c r="R274">
        <f t="shared" si="966"/>
        <v>0</v>
      </c>
      <c r="S274">
        <f t="shared" si="967"/>
        <v>0</v>
      </c>
      <c r="T274">
        <f t="shared" si="968"/>
        <v>0</v>
      </c>
    </row>
    <row r="275" spans="1:20" x14ac:dyDescent="0.25">
      <c r="A275" s="5"/>
      <c r="B275" s="1"/>
      <c r="C275" s="2"/>
      <c r="D275" s="2"/>
      <c r="E275" s="1"/>
      <c r="F275" s="1"/>
      <c r="P275">
        <f t="shared" si="964"/>
        <v>0</v>
      </c>
      <c r="Q275">
        <f t="shared" si="965"/>
        <v>0</v>
      </c>
      <c r="R275">
        <f t="shared" si="966"/>
        <v>0</v>
      </c>
      <c r="S275">
        <f t="shared" si="967"/>
        <v>0</v>
      </c>
      <c r="T275">
        <f t="shared" si="968"/>
        <v>0</v>
      </c>
    </row>
    <row r="276" spans="1:20" x14ac:dyDescent="0.25">
      <c r="A276" s="5"/>
      <c r="B276" s="1"/>
      <c r="C276" s="2"/>
      <c r="D276" s="2"/>
      <c r="E276" s="1"/>
      <c r="F276" s="1"/>
      <c r="P276">
        <f t="shared" si="964"/>
        <v>0</v>
      </c>
      <c r="Q276">
        <f t="shared" si="965"/>
        <v>0</v>
      </c>
      <c r="R276">
        <f t="shared" si="966"/>
        <v>0</v>
      </c>
      <c r="S276">
        <f t="shared" si="967"/>
        <v>0</v>
      </c>
      <c r="T276">
        <f t="shared" si="968"/>
        <v>0</v>
      </c>
    </row>
    <row r="277" spans="1:20" x14ac:dyDescent="0.25">
      <c r="A277" s="5"/>
      <c r="B277" s="1"/>
      <c r="C277" s="2"/>
      <c r="D277" s="2"/>
      <c r="E277" s="1"/>
      <c r="F277" s="1"/>
      <c r="P277">
        <f t="shared" si="964"/>
        <v>0</v>
      </c>
      <c r="Q277">
        <f t="shared" si="965"/>
        <v>0</v>
      </c>
      <c r="R277">
        <f t="shared" si="966"/>
        <v>0</v>
      </c>
      <c r="S277">
        <f t="shared" si="967"/>
        <v>0</v>
      </c>
      <c r="T277">
        <f t="shared" si="968"/>
        <v>0</v>
      </c>
    </row>
    <row r="278" spans="1:20" x14ac:dyDescent="0.25">
      <c r="A278" s="5"/>
      <c r="B278" s="1"/>
      <c r="C278" s="2"/>
      <c r="D278" s="2"/>
      <c r="E278" s="1"/>
      <c r="F278" s="1"/>
      <c r="P278">
        <f t="shared" si="964"/>
        <v>0</v>
      </c>
      <c r="Q278">
        <f t="shared" si="965"/>
        <v>0</v>
      </c>
      <c r="R278">
        <f t="shared" si="966"/>
        <v>0</v>
      </c>
      <c r="S278">
        <f t="shared" si="967"/>
        <v>0</v>
      </c>
      <c r="T278">
        <f t="shared" si="968"/>
        <v>0</v>
      </c>
    </row>
    <row r="279" spans="1:20" x14ac:dyDescent="0.25">
      <c r="A279" s="5"/>
      <c r="B279" s="1"/>
      <c r="C279" s="2"/>
      <c r="D279" s="2"/>
      <c r="E279" s="1"/>
      <c r="F279" s="1"/>
      <c r="P279">
        <f t="shared" si="964"/>
        <v>0</v>
      </c>
      <c r="Q279">
        <f t="shared" si="965"/>
        <v>0</v>
      </c>
      <c r="R279">
        <f t="shared" si="966"/>
        <v>0</v>
      </c>
      <c r="S279">
        <f t="shared" si="967"/>
        <v>0</v>
      </c>
      <c r="T279">
        <f t="shared" si="968"/>
        <v>0</v>
      </c>
    </row>
    <row r="280" spans="1:20" x14ac:dyDescent="0.25">
      <c r="A280" s="5"/>
      <c r="B280" s="1"/>
      <c r="C280" s="2"/>
      <c r="D280" s="2"/>
      <c r="E280" s="1"/>
      <c r="F280" s="1"/>
      <c r="P280">
        <f t="shared" si="964"/>
        <v>0</v>
      </c>
      <c r="Q280">
        <f t="shared" si="965"/>
        <v>0</v>
      </c>
      <c r="R280">
        <f t="shared" si="966"/>
        <v>0</v>
      </c>
      <c r="S280">
        <f t="shared" si="967"/>
        <v>0</v>
      </c>
      <c r="T280">
        <f t="shared" si="968"/>
        <v>0</v>
      </c>
    </row>
    <row r="281" spans="1:20" x14ac:dyDescent="0.25">
      <c r="A281" s="5"/>
      <c r="B281" s="1"/>
      <c r="C281" s="2"/>
      <c r="D281" s="2"/>
      <c r="E281" s="1"/>
      <c r="F281" s="1"/>
      <c r="P281">
        <f t="shared" si="964"/>
        <v>0</v>
      </c>
      <c r="Q281">
        <f t="shared" si="965"/>
        <v>0</v>
      </c>
      <c r="R281">
        <f t="shared" si="966"/>
        <v>0</v>
      </c>
      <c r="S281">
        <f t="shared" si="967"/>
        <v>0</v>
      </c>
      <c r="T281">
        <f t="shared" si="968"/>
        <v>0</v>
      </c>
    </row>
    <row r="282" spans="1:20" x14ac:dyDescent="0.25">
      <c r="A282" s="5"/>
      <c r="B282" s="1"/>
      <c r="C282" s="2"/>
      <c r="D282" s="2"/>
      <c r="E282" s="1"/>
      <c r="F282" s="1"/>
      <c r="P282">
        <f t="shared" si="964"/>
        <v>0</v>
      </c>
      <c r="Q282">
        <f t="shared" si="965"/>
        <v>0</v>
      </c>
      <c r="R282">
        <f t="shared" si="966"/>
        <v>0</v>
      </c>
      <c r="S282">
        <f t="shared" si="967"/>
        <v>0</v>
      </c>
      <c r="T282">
        <f t="shared" si="968"/>
        <v>0</v>
      </c>
    </row>
    <row r="283" spans="1:20" x14ac:dyDescent="0.25">
      <c r="A283" s="5"/>
      <c r="B283" s="1"/>
      <c r="C283" s="2"/>
      <c r="D283" s="2"/>
      <c r="E283" s="1"/>
      <c r="F283" s="1"/>
      <c r="P283">
        <f t="shared" si="964"/>
        <v>0</v>
      </c>
      <c r="Q283">
        <f t="shared" si="965"/>
        <v>0</v>
      </c>
      <c r="R283">
        <f t="shared" si="966"/>
        <v>0</v>
      </c>
      <c r="S283">
        <f t="shared" si="967"/>
        <v>0</v>
      </c>
      <c r="T283">
        <f t="shared" si="968"/>
        <v>0</v>
      </c>
    </row>
    <row r="284" spans="1:20" x14ac:dyDescent="0.25">
      <c r="A284" s="5"/>
      <c r="B284" s="1"/>
      <c r="C284" s="2"/>
      <c r="D284" s="2"/>
      <c r="E284" s="1"/>
      <c r="F284" s="1"/>
      <c r="P284">
        <f t="shared" si="964"/>
        <v>0</v>
      </c>
      <c r="Q284">
        <f t="shared" si="965"/>
        <v>0</v>
      </c>
      <c r="R284">
        <f t="shared" si="966"/>
        <v>0</v>
      </c>
      <c r="S284">
        <f t="shared" si="967"/>
        <v>0</v>
      </c>
      <c r="T284">
        <f t="shared" si="968"/>
        <v>0</v>
      </c>
    </row>
    <row r="285" spans="1:20" x14ac:dyDescent="0.25">
      <c r="A285" s="5"/>
      <c r="B285" s="1"/>
      <c r="C285" s="2"/>
      <c r="D285" s="2"/>
      <c r="E285" s="1"/>
      <c r="F285" s="1"/>
      <c r="P285">
        <f t="shared" si="964"/>
        <v>0</v>
      </c>
      <c r="Q285">
        <f t="shared" si="965"/>
        <v>0</v>
      </c>
      <c r="R285">
        <f t="shared" si="966"/>
        <v>0</v>
      </c>
      <c r="S285">
        <f t="shared" si="967"/>
        <v>0</v>
      </c>
      <c r="T285">
        <f t="shared" si="968"/>
        <v>0</v>
      </c>
    </row>
    <row r="286" spans="1:20" x14ac:dyDescent="0.25">
      <c r="A286" s="5"/>
      <c r="B286" s="1"/>
      <c r="C286" s="2"/>
      <c r="D286" s="2"/>
      <c r="E286" s="1"/>
      <c r="F286" s="1"/>
      <c r="P286">
        <f t="shared" si="964"/>
        <v>0</v>
      </c>
      <c r="Q286">
        <f t="shared" si="965"/>
        <v>0</v>
      </c>
      <c r="R286">
        <f t="shared" si="966"/>
        <v>0</v>
      </c>
      <c r="S286">
        <f t="shared" si="967"/>
        <v>0</v>
      </c>
      <c r="T286">
        <f t="shared" si="968"/>
        <v>0</v>
      </c>
    </row>
    <row r="287" spans="1:20" x14ac:dyDescent="0.25">
      <c r="A287" s="5"/>
      <c r="B287" s="1"/>
      <c r="C287" s="2"/>
      <c r="D287" s="2"/>
      <c r="E287" s="1"/>
      <c r="F287" s="1"/>
      <c r="P287">
        <f t="shared" si="964"/>
        <v>0</v>
      </c>
      <c r="Q287">
        <f t="shared" si="965"/>
        <v>0</v>
      </c>
      <c r="R287">
        <f t="shared" si="966"/>
        <v>0</v>
      </c>
      <c r="S287">
        <f t="shared" si="967"/>
        <v>0</v>
      </c>
      <c r="T287">
        <f t="shared" si="968"/>
        <v>0</v>
      </c>
    </row>
    <row r="288" spans="1:20" x14ac:dyDescent="0.25">
      <c r="A288" s="5"/>
      <c r="B288" s="1"/>
      <c r="C288" s="2"/>
      <c r="D288" s="2"/>
      <c r="E288" s="1"/>
      <c r="F288" s="1"/>
      <c r="P288">
        <f t="shared" si="964"/>
        <v>0</v>
      </c>
      <c r="Q288">
        <f t="shared" si="965"/>
        <v>0</v>
      </c>
      <c r="R288">
        <f t="shared" si="966"/>
        <v>0</v>
      </c>
      <c r="S288">
        <f t="shared" si="967"/>
        <v>0</v>
      </c>
      <c r="T288">
        <f t="shared" si="968"/>
        <v>0</v>
      </c>
    </row>
    <row r="289" spans="1:20" x14ac:dyDescent="0.25">
      <c r="A289" s="5"/>
      <c r="B289" s="1"/>
      <c r="C289" s="2"/>
      <c r="D289" s="2"/>
      <c r="E289" s="1"/>
      <c r="F289" s="1"/>
      <c r="P289">
        <f t="shared" si="964"/>
        <v>0</v>
      </c>
      <c r="Q289">
        <f t="shared" si="965"/>
        <v>0</v>
      </c>
      <c r="R289">
        <f t="shared" si="966"/>
        <v>0</v>
      </c>
      <c r="S289">
        <f t="shared" si="967"/>
        <v>0</v>
      </c>
      <c r="T289">
        <f t="shared" si="968"/>
        <v>0</v>
      </c>
    </row>
    <row r="290" spans="1:20" x14ac:dyDescent="0.25">
      <c r="A290" s="5"/>
      <c r="B290" s="1"/>
      <c r="C290" s="2"/>
      <c r="D290" s="2"/>
      <c r="E290" s="1"/>
      <c r="F290" s="1"/>
      <c r="P290">
        <f t="shared" si="964"/>
        <v>0</v>
      </c>
      <c r="Q290">
        <f t="shared" si="965"/>
        <v>0</v>
      </c>
      <c r="R290">
        <f t="shared" si="966"/>
        <v>0</v>
      </c>
      <c r="S290">
        <f t="shared" si="967"/>
        <v>0</v>
      </c>
      <c r="T290">
        <f t="shared" si="968"/>
        <v>0</v>
      </c>
    </row>
    <row r="291" spans="1:20" x14ac:dyDescent="0.25">
      <c r="A291" s="5"/>
      <c r="B291" s="1"/>
      <c r="C291" s="2"/>
      <c r="D291" s="2"/>
      <c r="E291" s="1"/>
      <c r="F291" s="1"/>
      <c r="P291">
        <f t="shared" si="964"/>
        <v>0</v>
      </c>
      <c r="Q291">
        <f t="shared" si="965"/>
        <v>0</v>
      </c>
      <c r="R291">
        <f t="shared" si="966"/>
        <v>0</v>
      </c>
      <c r="S291">
        <f t="shared" si="967"/>
        <v>0</v>
      </c>
      <c r="T291">
        <f t="shared" si="968"/>
        <v>0</v>
      </c>
    </row>
    <row r="292" spans="1:20" x14ac:dyDescent="0.25">
      <c r="A292" s="5"/>
      <c r="B292" s="1"/>
      <c r="C292" s="2"/>
      <c r="D292" s="2"/>
      <c r="E292" s="1"/>
      <c r="F292" s="1"/>
      <c r="P292">
        <f t="shared" si="964"/>
        <v>0</v>
      </c>
      <c r="Q292">
        <f t="shared" si="965"/>
        <v>0</v>
      </c>
      <c r="R292">
        <f t="shared" si="966"/>
        <v>0</v>
      </c>
      <c r="S292">
        <f t="shared" si="967"/>
        <v>0</v>
      </c>
      <c r="T292">
        <f t="shared" si="968"/>
        <v>0</v>
      </c>
    </row>
    <row r="293" spans="1:20" x14ac:dyDescent="0.25">
      <c r="A293" s="5"/>
      <c r="B293" s="1"/>
      <c r="C293" s="2"/>
      <c r="D293" s="2"/>
      <c r="E293" s="1"/>
      <c r="F293" s="1"/>
      <c r="P293">
        <f t="shared" si="964"/>
        <v>0</v>
      </c>
      <c r="Q293">
        <f t="shared" si="965"/>
        <v>0</v>
      </c>
      <c r="R293">
        <f t="shared" si="966"/>
        <v>0</v>
      </c>
      <c r="S293">
        <f t="shared" si="967"/>
        <v>0</v>
      </c>
      <c r="T293">
        <f t="shared" si="968"/>
        <v>0</v>
      </c>
    </row>
    <row r="294" spans="1:20" x14ac:dyDescent="0.25">
      <c r="A294" s="5"/>
      <c r="B294" s="1"/>
      <c r="C294" s="2"/>
      <c r="D294" s="2"/>
      <c r="E294" s="1"/>
      <c r="F294" s="1"/>
      <c r="P294">
        <f t="shared" si="964"/>
        <v>0</v>
      </c>
      <c r="Q294">
        <f t="shared" si="965"/>
        <v>0</v>
      </c>
      <c r="R294">
        <f t="shared" si="966"/>
        <v>0</v>
      </c>
      <c r="S294">
        <f t="shared" si="967"/>
        <v>0</v>
      </c>
      <c r="T294">
        <f t="shared" si="968"/>
        <v>0</v>
      </c>
    </row>
    <row r="295" spans="1:20" x14ac:dyDescent="0.25">
      <c r="A295" s="5"/>
      <c r="B295" s="1"/>
      <c r="C295" s="2"/>
      <c r="D295" s="2"/>
      <c r="E295" s="1"/>
      <c r="F295" s="1"/>
      <c r="P295">
        <f t="shared" si="964"/>
        <v>0</v>
      </c>
      <c r="Q295">
        <f t="shared" si="965"/>
        <v>0</v>
      </c>
      <c r="R295">
        <f t="shared" si="966"/>
        <v>0</v>
      </c>
      <c r="S295">
        <f t="shared" si="967"/>
        <v>0</v>
      </c>
      <c r="T295">
        <f t="shared" si="968"/>
        <v>0</v>
      </c>
    </row>
    <row r="296" spans="1:20" x14ac:dyDescent="0.25">
      <c r="A296" s="5"/>
      <c r="B296" s="1"/>
      <c r="C296" s="2"/>
      <c r="D296" s="2"/>
      <c r="E296" s="1"/>
      <c r="F296" s="1"/>
      <c r="P296">
        <f t="shared" si="964"/>
        <v>0</v>
      </c>
      <c r="Q296">
        <f t="shared" si="965"/>
        <v>0</v>
      </c>
      <c r="R296">
        <f t="shared" si="966"/>
        <v>0</v>
      </c>
      <c r="S296">
        <f t="shared" si="967"/>
        <v>0</v>
      </c>
      <c r="T296">
        <f t="shared" si="968"/>
        <v>0</v>
      </c>
    </row>
    <row r="297" spans="1:20" x14ac:dyDescent="0.25">
      <c r="A297" s="5"/>
      <c r="B297" s="1"/>
      <c r="C297" s="2"/>
      <c r="D297" s="2"/>
      <c r="E297" s="1"/>
      <c r="F297" s="1"/>
      <c r="P297">
        <f t="shared" si="964"/>
        <v>0</v>
      </c>
      <c r="Q297">
        <f t="shared" si="965"/>
        <v>0</v>
      </c>
      <c r="R297">
        <f t="shared" si="966"/>
        <v>0</v>
      </c>
      <c r="S297">
        <f t="shared" si="967"/>
        <v>0</v>
      </c>
      <c r="T297">
        <f t="shared" si="968"/>
        <v>0</v>
      </c>
    </row>
    <row r="298" spans="1:20" x14ac:dyDescent="0.25">
      <c r="A298" s="5"/>
      <c r="B298" s="1"/>
      <c r="C298" s="2"/>
      <c r="D298" s="2"/>
      <c r="E298" s="1"/>
      <c r="F298" s="1"/>
      <c r="P298">
        <f t="shared" si="964"/>
        <v>0</v>
      </c>
      <c r="Q298">
        <f t="shared" si="965"/>
        <v>0</v>
      </c>
      <c r="R298">
        <f t="shared" si="966"/>
        <v>0</v>
      </c>
      <c r="S298">
        <f t="shared" si="967"/>
        <v>0</v>
      </c>
      <c r="T298">
        <f t="shared" si="968"/>
        <v>0</v>
      </c>
    </row>
    <row r="299" spans="1:20" x14ac:dyDescent="0.25">
      <c r="A299" s="5"/>
      <c r="B299" s="1"/>
      <c r="C299" s="2"/>
      <c r="D299" s="2"/>
      <c r="E299" s="1"/>
      <c r="F299" s="1"/>
      <c r="P299">
        <f t="shared" si="964"/>
        <v>0</v>
      </c>
      <c r="Q299">
        <f t="shared" si="965"/>
        <v>0</v>
      </c>
      <c r="R299">
        <f t="shared" si="966"/>
        <v>0</v>
      </c>
      <c r="S299">
        <f t="shared" si="967"/>
        <v>0</v>
      </c>
      <c r="T299">
        <f t="shared" si="968"/>
        <v>0</v>
      </c>
    </row>
    <row r="300" spans="1:20" x14ac:dyDescent="0.25">
      <c r="A300" s="5"/>
      <c r="B300" s="1"/>
      <c r="C300" s="2"/>
      <c r="D300" s="2"/>
      <c r="E300" s="1"/>
      <c r="F300" s="1"/>
      <c r="P300">
        <f t="shared" si="964"/>
        <v>0</v>
      </c>
      <c r="Q300">
        <f t="shared" si="965"/>
        <v>0</v>
      </c>
      <c r="R300">
        <f t="shared" si="966"/>
        <v>0</v>
      </c>
      <c r="S300">
        <f t="shared" si="967"/>
        <v>0</v>
      </c>
      <c r="T300">
        <f t="shared" si="968"/>
        <v>0</v>
      </c>
    </row>
    <row r="301" spans="1:20" x14ac:dyDescent="0.25">
      <c r="A301" s="5"/>
      <c r="B301" s="1"/>
      <c r="C301" s="2"/>
      <c r="D301" s="2"/>
      <c r="E301" s="1"/>
      <c r="F301" s="1"/>
      <c r="P301">
        <f t="shared" si="964"/>
        <v>0</v>
      </c>
      <c r="Q301">
        <f t="shared" si="965"/>
        <v>0</v>
      </c>
      <c r="R301">
        <f t="shared" si="966"/>
        <v>0</v>
      </c>
      <c r="S301">
        <f t="shared" si="967"/>
        <v>0</v>
      </c>
      <c r="T301">
        <f t="shared" si="968"/>
        <v>0</v>
      </c>
    </row>
    <row r="302" spans="1:20" x14ac:dyDescent="0.25">
      <c r="A302" s="5"/>
      <c r="B302" s="1"/>
      <c r="C302" s="2"/>
      <c r="D302" s="2"/>
      <c r="E302" s="1"/>
      <c r="F302" s="1"/>
      <c r="P302">
        <f t="shared" si="964"/>
        <v>0</v>
      </c>
      <c r="Q302">
        <f t="shared" si="965"/>
        <v>0</v>
      </c>
      <c r="R302">
        <f t="shared" si="966"/>
        <v>0</v>
      </c>
      <c r="S302">
        <f t="shared" si="967"/>
        <v>0</v>
      </c>
      <c r="T302">
        <f t="shared" si="968"/>
        <v>0</v>
      </c>
    </row>
    <row r="303" spans="1:20" x14ac:dyDescent="0.25">
      <c r="A303" s="5"/>
      <c r="B303" s="1"/>
      <c r="C303" s="2"/>
      <c r="D303" s="2"/>
      <c r="E303" s="1"/>
      <c r="F303" s="1"/>
      <c r="P303">
        <f t="shared" si="964"/>
        <v>0</v>
      </c>
      <c r="Q303">
        <f t="shared" si="965"/>
        <v>0</v>
      </c>
      <c r="R303">
        <f t="shared" si="966"/>
        <v>0</v>
      </c>
      <c r="S303">
        <f t="shared" si="967"/>
        <v>0</v>
      </c>
      <c r="T303">
        <f t="shared" si="968"/>
        <v>0</v>
      </c>
    </row>
    <row r="304" spans="1:20" x14ac:dyDescent="0.25">
      <c r="A304" s="5"/>
      <c r="B304" s="1"/>
      <c r="C304" s="2"/>
      <c r="D304" s="2"/>
      <c r="E304" s="1"/>
      <c r="F304" s="1"/>
      <c r="P304">
        <f t="shared" si="964"/>
        <v>0</v>
      </c>
      <c r="Q304">
        <f t="shared" si="965"/>
        <v>0</v>
      </c>
      <c r="R304">
        <f t="shared" si="966"/>
        <v>0</v>
      </c>
      <c r="S304">
        <f t="shared" si="967"/>
        <v>0</v>
      </c>
      <c r="T304">
        <f t="shared" si="968"/>
        <v>0</v>
      </c>
    </row>
    <row r="305" spans="1:20" x14ac:dyDescent="0.25">
      <c r="A305" s="5"/>
      <c r="B305" s="1"/>
      <c r="C305" s="2"/>
      <c r="D305" s="2"/>
      <c r="E305" s="1"/>
      <c r="F305" s="1"/>
      <c r="P305">
        <f t="shared" si="964"/>
        <v>0</v>
      </c>
      <c r="Q305">
        <f t="shared" si="965"/>
        <v>0</v>
      </c>
      <c r="R305">
        <f t="shared" si="966"/>
        <v>0</v>
      </c>
      <c r="S305">
        <f t="shared" si="967"/>
        <v>0</v>
      </c>
      <c r="T305">
        <f t="shared" si="968"/>
        <v>0</v>
      </c>
    </row>
    <row r="306" spans="1:20" x14ac:dyDescent="0.25">
      <c r="A306" s="5"/>
      <c r="B306" s="1"/>
      <c r="C306" s="2"/>
      <c r="D306" s="2"/>
      <c r="E306" s="1"/>
      <c r="F306" s="1"/>
      <c r="P306">
        <f t="shared" si="964"/>
        <v>0</v>
      </c>
      <c r="Q306">
        <f t="shared" si="965"/>
        <v>0</v>
      </c>
      <c r="R306">
        <f t="shared" si="966"/>
        <v>0</v>
      </c>
      <c r="S306">
        <f t="shared" si="967"/>
        <v>0</v>
      </c>
      <c r="T306">
        <f t="shared" si="968"/>
        <v>0</v>
      </c>
    </row>
    <row r="307" spans="1:20" x14ac:dyDescent="0.25">
      <c r="A307" s="5"/>
      <c r="B307" s="1"/>
      <c r="C307" s="2"/>
      <c r="D307" s="2"/>
      <c r="E307" s="1"/>
      <c r="F307" s="1"/>
      <c r="P307">
        <f t="shared" si="964"/>
        <v>0</v>
      </c>
      <c r="Q307">
        <f t="shared" si="965"/>
        <v>0</v>
      </c>
      <c r="R307">
        <f t="shared" si="966"/>
        <v>0</v>
      </c>
      <c r="S307">
        <f t="shared" si="967"/>
        <v>0</v>
      </c>
      <c r="T307">
        <f t="shared" si="968"/>
        <v>0</v>
      </c>
    </row>
    <row r="308" spans="1:20" x14ac:dyDescent="0.25">
      <c r="A308" s="5"/>
      <c r="B308" s="1"/>
      <c r="C308" s="2"/>
      <c r="D308" s="2"/>
      <c r="E308" s="1"/>
      <c r="F308" s="1"/>
      <c r="P308">
        <f t="shared" si="964"/>
        <v>0</v>
      </c>
      <c r="Q308">
        <f t="shared" si="965"/>
        <v>0</v>
      </c>
      <c r="R308">
        <f t="shared" si="966"/>
        <v>0</v>
      </c>
      <c r="S308">
        <f t="shared" si="967"/>
        <v>0</v>
      </c>
      <c r="T308">
        <f t="shared" si="968"/>
        <v>0</v>
      </c>
    </row>
    <row r="309" spans="1:20" x14ac:dyDescent="0.25">
      <c r="A309" s="5"/>
      <c r="B309" s="1"/>
      <c r="C309" s="2"/>
      <c r="D309" s="2"/>
      <c r="E309" s="1"/>
      <c r="F309" s="1"/>
      <c r="P309">
        <f t="shared" si="964"/>
        <v>0</v>
      </c>
      <c r="Q309">
        <f t="shared" si="965"/>
        <v>0</v>
      </c>
      <c r="R309">
        <f t="shared" si="966"/>
        <v>0</v>
      </c>
      <c r="S309">
        <f t="shared" si="967"/>
        <v>0</v>
      </c>
      <c r="T309">
        <f t="shared" si="968"/>
        <v>0</v>
      </c>
    </row>
    <row r="310" spans="1:20" x14ac:dyDescent="0.25">
      <c r="A310" s="5"/>
      <c r="B310" s="1"/>
      <c r="C310" s="2"/>
      <c r="D310" s="2"/>
      <c r="E310" s="1"/>
      <c r="F310" s="1"/>
      <c r="P310">
        <f t="shared" si="964"/>
        <v>0</v>
      </c>
      <c r="Q310">
        <f t="shared" si="965"/>
        <v>0</v>
      </c>
      <c r="R310">
        <f t="shared" si="966"/>
        <v>0</v>
      </c>
      <c r="S310">
        <f t="shared" si="967"/>
        <v>0</v>
      </c>
      <c r="T310">
        <f t="shared" si="968"/>
        <v>0</v>
      </c>
    </row>
    <row r="311" spans="1:20" x14ac:dyDescent="0.25">
      <c r="A311" s="5"/>
      <c r="B311" s="1"/>
      <c r="C311" s="2"/>
      <c r="D311" s="2"/>
      <c r="E311" s="1"/>
      <c r="F311" s="1"/>
      <c r="P311">
        <f t="shared" si="964"/>
        <v>0</v>
      </c>
      <c r="Q311">
        <f t="shared" si="965"/>
        <v>0</v>
      </c>
      <c r="R311">
        <f t="shared" si="966"/>
        <v>0</v>
      </c>
      <c r="S311">
        <f t="shared" si="967"/>
        <v>0</v>
      </c>
      <c r="T311">
        <f t="shared" si="968"/>
        <v>0</v>
      </c>
    </row>
    <row r="312" spans="1:20" x14ac:dyDescent="0.25">
      <c r="A312" s="5"/>
      <c r="B312" s="1"/>
      <c r="C312" s="2"/>
      <c r="D312" s="2"/>
      <c r="E312" s="1"/>
      <c r="F312" s="1"/>
      <c r="P312">
        <f t="shared" si="964"/>
        <v>0</v>
      </c>
      <c r="Q312">
        <f t="shared" si="965"/>
        <v>0</v>
      </c>
      <c r="R312">
        <f t="shared" si="966"/>
        <v>0</v>
      </c>
      <c r="S312">
        <f t="shared" si="967"/>
        <v>0</v>
      </c>
      <c r="T312">
        <f t="shared" si="968"/>
        <v>0</v>
      </c>
    </row>
    <row r="313" spans="1:20" x14ac:dyDescent="0.25">
      <c r="A313" s="5"/>
      <c r="B313" s="1"/>
      <c r="C313" s="2"/>
      <c r="D313" s="2"/>
      <c r="E313" s="1"/>
      <c r="F313" s="1"/>
      <c r="P313">
        <f t="shared" si="964"/>
        <v>0</v>
      </c>
      <c r="Q313">
        <f t="shared" si="965"/>
        <v>0</v>
      </c>
      <c r="R313">
        <f t="shared" si="966"/>
        <v>0</v>
      </c>
      <c r="S313">
        <f t="shared" si="967"/>
        <v>0</v>
      </c>
      <c r="T313">
        <f t="shared" si="968"/>
        <v>0</v>
      </c>
    </row>
    <row r="314" spans="1:20" x14ac:dyDescent="0.25">
      <c r="A314" s="5"/>
      <c r="P314">
        <f t="shared" si="964"/>
        <v>0</v>
      </c>
      <c r="Q314">
        <f t="shared" si="965"/>
        <v>0</v>
      </c>
      <c r="R314">
        <f t="shared" si="966"/>
        <v>0</v>
      </c>
      <c r="S314">
        <f t="shared" si="967"/>
        <v>0</v>
      </c>
      <c r="T314">
        <f t="shared" si="968"/>
        <v>0</v>
      </c>
    </row>
    <row r="315" spans="1:20" x14ac:dyDescent="0.25">
      <c r="A315" s="5"/>
      <c r="P315">
        <f t="shared" si="964"/>
        <v>0</v>
      </c>
      <c r="Q315">
        <f t="shared" si="965"/>
        <v>0</v>
      </c>
      <c r="R315">
        <f t="shared" si="966"/>
        <v>0</v>
      </c>
      <c r="S315">
        <f t="shared" si="967"/>
        <v>0</v>
      </c>
      <c r="T315">
        <f t="shared" si="968"/>
        <v>0</v>
      </c>
    </row>
    <row r="316" spans="1:20" x14ac:dyDescent="0.25">
      <c r="A316" s="5"/>
      <c r="P316">
        <f t="shared" si="964"/>
        <v>0</v>
      </c>
      <c r="Q316">
        <f t="shared" si="965"/>
        <v>0</v>
      </c>
      <c r="R316">
        <f t="shared" si="966"/>
        <v>0</v>
      </c>
      <c r="S316">
        <f t="shared" si="967"/>
        <v>0</v>
      </c>
      <c r="T316">
        <f t="shared" si="968"/>
        <v>0</v>
      </c>
    </row>
    <row r="317" spans="1:20" x14ac:dyDescent="0.25">
      <c r="A317" s="5"/>
      <c r="P317">
        <f t="shared" si="964"/>
        <v>0</v>
      </c>
      <c r="Q317">
        <f t="shared" si="965"/>
        <v>0</v>
      </c>
      <c r="R317">
        <f t="shared" si="966"/>
        <v>0</v>
      </c>
      <c r="S317">
        <f t="shared" si="967"/>
        <v>0</v>
      </c>
      <c r="T317">
        <f t="shared" si="968"/>
        <v>0</v>
      </c>
    </row>
    <row r="318" spans="1:20" x14ac:dyDescent="0.25">
      <c r="A318" s="5"/>
      <c r="P318">
        <f t="shared" si="964"/>
        <v>0</v>
      </c>
      <c r="Q318">
        <f t="shared" si="965"/>
        <v>0</v>
      </c>
      <c r="R318">
        <f t="shared" si="966"/>
        <v>0</v>
      </c>
      <c r="S318">
        <f t="shared" si="967"/>
        <v>0</v>
      </c>
      <c r="T318">
        <f t="shared" si="968"/>
        <v>0</v>
      </c>
    </row>
    <row r="319" spans="1:20" x14ac:dyDescent="0.25">
      <c r="A319" s="5"/>
      <c r="P319">
        <f t="shared" si="964"/>
        <v>0</v>
      </c>
      <c r="Q319">
        <f t="shared" si="965"/>
        <v>0</v>
      </c>
      <c r="R319">
        <f t="shared" si="966"/>
        <v>0</v>
      </c>
      <c r="S319">
        <f t="shared" si="967"/>
        <v>0</v>
      </c>
      <c r="T319">
        <f t="shared" si="968"/>
        <v>0</v>
      </c>
    </row>
    <row r="320" spans="1:20" x14ac:dyDescent="0.25">
      <c r="A320" s="5"/>
      <c r="P320">
        <f t="shared" si="964"/>
        <v>0</v>
      </c>
      <c r="Q320">
        <f t="shared" si="965"/>
        <v>0</v>
      </c>
      <c r="R320">
        <f t="shared" si="966"/>
        <v>0</v>
      </c>
      <c r="S320">
        <f t="shared" si="967"/>
        <v>0</v>
      </c>
      <c r="T320">
        <f t="shared" si="968"/>
        <v>0</v>
      </c>
    </row>
    <row r="321" spans="1:20" x14ac:dyDescent="0.25">
      <c r="A321" s="5"/>
      <c r="P321">
        <f t="shared" si="964"/>
        <v>0</v>
      </c>
      <c r="Q321">
        <f t="shared" si="965"/>
        <v>0</v>
      </c>
      <c r="R321">
        <f t="shared" si="966"/>
        <v>0</v>
      </c>
      <c r="S321">
        <f t="shared" si="967"/>
        <v>0</v>
      </c>
      <c r="T321">
        <f t="shared" si="968"/>
        <v>0</v>
      </c>
    </row>
    <row r="322" spans="1:20" x14ac:dyDescent="0.25">
      <c r="A322" s="5"/>
      <c r="P322">
        <f t="shared" si="964"/>
        <v>0</v>
      </c>
      <c r="Q322">
        <f t="shared" si="965"/>
        <v>0</v>
      </c>
      <c r="R322">
        <f t="shared" si="966"/>
        <v>0</v>
      </c>
      <c r="S322">
        <f t="shared" si="967"/>
        <v>0</v>
      </c>
      <c r="T322">
        <f t="shared" si="968"/>
        <v>0</v>
      </c>
    </row>
    <row r="323" spans="1:20" x14ac:dyDescent="0.25">
      <c r="A323" s="5"/>
      <c r="P323">
        <f t="shared" si="964"/>
        <v>0</v>
      </c>
      <c r="Q323">
        <f t="shared" si="965"/>
        <v>0</v>
      </c>
      <c r="R323">
        <f t="shared" si="966"/>
        <v>0</v>
      </c>
      <c r="S323">
        <f t="shared" si="967"/>
        <v>0</v>
      </c>
      <c r="T323">
        <f t="shared" si="968"/>
        <v>0</v>
      </c>
    </row>
    <row r="324" spans="1:20" x14ac:dyDescent="0.25">
      <c r="A324" s="5"/>
      <c r="P324">
        <f t="shared" si="964"/>
        <v>0</v>
      </c>
      <c r="Q324">
        <f t="shared" si="965"/>
        <v>0</v>
      </c>
      <c r="R324">
        <f t="shared" si="966"/>
        <v>0</v>
      </c>
      <c r="S324">
        <f t="shared" si="967"/>
        <v>0</v>
      </c>
      <c r="T324">
        <f t="shared" si="968"/>
        <v>0</v>
      </c>
    </row>
    <row r="325" spans="1:20" x14ac:dyDescent="0.25">
      <c r="A325" s="5"/>
      <c r="C325"/>
      <c r="D325"/>
      <c r="P325">
        <f t="shared" si="964"/>
        <v>0</v>
      </c>
      <c r="Q325">
        <f t="shared" si="965"/>
        <v>0</v>
      </c>
      <c r="R325">
        <f t="shared" si="966"/>
        <v>0</v>
      </c>
      <c r="S325">
        <f t="shared" si="967"/>
        <v>0</v>
      </c>
      <c r="T325">
        <f t="shared" si="968"/>
        <v>0</v>
      </c>
    </row>
    <row r="326" spans="1:20" x14ac:dyDescent="0.25">
      <c r="A326" s="5"/>
      <c r="C326"/>
      <c r="D326"/>
      <c r="P326">
        <f t="shared" ref="P326:P389" si="969">IF(C326=D326,0,((E326-D326)-(C326-E326))/(C326-D326))</f>
        <v>0</v>
      </c>
      <c r="Q326">
        <f t="shared" ref="Q326:Q389" si="970">F326*P326</f>
        <v>0</v>
      </c>
      <c r="R326">
        <f t="shared" ref="R326:R389" si="971">R327+Q326</f>
        <v>0</v>
      </c>
      <c r="S326">
        <f t="shared" ref="S326:S389" si="972">R326/100000</f>
        <v>0</v>
      </c>
      <c r="T326">
        <f t="shared" ref="T326:T389" si="973">S326/1000</f>
        <v>0</v>
      </c>
    </row>
    <row r="327" spans="1:20" x14ac:dyDescent="0.25">
      <c r="A327" s="5"/>
      <c r="C327"/>
      <c r="D327"/>
      <c r="P327">
        <f t="shared" si="969"/>
        <v>0</v>
      </c>
      <c r="Q327">
        <f t="shared" si="970"/>
        <v>0</v>
      </c>
      <c r="R327">
        <f t="shared" si="971"/>
        <v>0</v>
      </c>
      <c r="S327">
        <f t="shared" si="972"/>
        <v>0</v>
      </c>
      <c r="T327">
        <f t="shared" si="973"/>
        <v>0</v>
      </c>
    </row>
    <row r="328" spans="1:20" x14ac:dyDescent="0.25">
      <c r="A328" s="5"/>
      <c r="C328"/>
      <c r="D328"/>
      <c r="P328">
        <f t="shared" si="969"/>
        <v>0</v>
      </c>
      <c r="Q328">
        <f t="shared" si="970"/>
        <v>0</v>
      </c>
      <c r="R328">
        <f t="shared" si="971"/>
        <v>0</v>
      </c>
      <c r="S328">
        <f t="shared" si="972"/>
        <v>0</v>
      </c>
      <c r="T328">
        <f t="shared" si="973"/>
        <v>0</v>
      </c>
    </row>
    <row r="329" spans="1:20" x14ac:dyDescent="0.25">
      <c r="A329" s="5"/>
      <c r="C329"/>
      <c r="D329"/>
      <c r="P329">
        <f t="shared" si="969"/>
        <v>0</v>
      </c>
      <c r="Q329">
        <f t="shared" si="970"/>
        <v>0</v>
      </c>
      <c r="R329">
        <f t="shared" si="971"/>
        <v>0</v>
      </c>
      <c r="S329">
        <f t="shared" si="972"/>
        <v>0</v>
      </c>
      <c r="T329">
        <f t="shared" si="973"/>
        <v>0</v>
      </c>
    </row>
    <row r="330" spans="1:20" x14ac:dyDescent="0.25">
      <c r="A330" s="5"/>
      <c r="C330"/>
      <c r="D330"/>
      <c r="P330">
        <f t="shared" si="969"/>
        <v>0</v>
      </c>
      <c r="Q330">
        <f t="shared" si="970"/>
        <v>0</v>
      </c>
      <c r="R330">
        <f t="shared" si="971"/>
        <v>0</v>
      </c>
      <c r="S330">
        <f t="shared" si="972"/>
        <v>0</v>
      </c>
      <c r="T330">
        <f t="shared" si="973"/>
        <v>0</v>
      </c>
    </row>
    <row r="331" spans="1:20" x14ac:dyDescent="0.25">
      <c r="A331" s="5"/>
      <c r="C331"/>
      <c r="D331"/>
      <c r="P331">
        <f t="shared" si="969"/>
        <v>0</v>
      </c>
      <c r="Q331">
        <f t="shared" si="970"/>
        <v>0</v>
      </c>
      <c r="R331">
        <f t="shared" si="971"/>
        <v>0</v>
      </c>
      <c r="S331">
        <f t="shared" si="972"/>
        <v>0</v>
      </c>
      <c r="T331">
        <f t="shared" si="973"/>
        <v>0</v>
      </c>
    </row>
    <row r="332" spans="1:20" x14ac:dyDescent="0.25">
      <c r="A332" s="5"/>
      <c r="C332"/>
      <c r="D332"/>
      <c r="P332">
        <f t="shared" si="969"/>
        <v>0</v>
      </c>
      <c r="Q332">
        <f t="shared" si="970"/>
        <v>0</v>
      </c>
      <c r="R332">
        <f t="shared" si="971"/>
        <v>0</v>
      </c>
      <c r="S332">
        <f t="shared" si="972"/>
        <v>0</v>
      </c>
      <c r="T332">
        <f t="shared" si="973"/>
        <v>0</v>
      </c>
    </row>
    <row r="333" spans="1:20" x14ac:dyDescent="0.25">
      <c r="A333" s="5"/>
      <c r="C333"/>
      <c r="D333"/>
      <c r="P333">
        <f t="shared" si="969"/>
        <v>0</v>
      </c>
      <c r="Q333">
        <f t="shared" si="970"/>
        <v>0</v>
      </c>
      <c r="R333">
        <f t="shared" si="971"/>
        <v>0</v>
      </c>
      <c r="S333">
        <f t="shared" si="972"/>
        <v>0</v>
      </c>
      <c r="T333">
        <f t="shared" si="973"/>
        <v>0</v>
      </c>
    </row>
    <row r="334" spans="1:20" x14ac:dyDescent="0.25">
      <c r="A334" s="5"/>
      <c r="C334"/>
      <c r="D334"/>
      <c r="P334">
        <f t="shared" si="969"/>
        <v>0</v>
      </c>
      <c r="Q334">
        <f t="shared" si="970"/>
        <v>0</v>
      </c>
      <c r="R334">
        <f t="shared" si="971"/>
        <v>0</v>
      </c>
      <c r="S334">
        <f t="shared" si="972"/>
        <v>0</v>
      </c>
      <c r="T334">
        <f t="shared" si="973"/>
        <v>0</v>
      </c>
    </row>
    <row r="335" spans="1:20" x14ac:dyDescent="0.25">
      <c r="A335" s="5"/>
      <c r="C335"/>
      <c r="D335"/>
      <c r="P335">
        <f t="shared" si="969"/>
        <v>0</v>
      </c>
      <c r="Q335">
        <f t="shared" si="970"/>
        <v>0</v>
      </c>
      <c r="R335">
        <f t="shared" si="971"/>
        <v>0</v>
      </c>
      <c r="S335">
        <f t="shared" si="972"/>
        <v>0</v>
      </c>
      <c r="T335">
        <f t="shared" si="973"/>
        <v>0</v>
      </c>
    </row>
    <row r="336" spans="1:20" x14ac:dyDescent="0.25">
      <c r="A336" s="5"/>
      <c r="C336"/>
      <c r="D336"/>
      <c r="P336">
        <f t="shared" si="969"/>
        <v>0</v>
      </c>
      <c r="Q336">
        <f t="shared" si="970"/>
        <v>0</v>
      </c>
      <c r="R336">
        <f t="shared" si="971"/>
        <v>0</v>
      </c>
      <c r="S336">
        <f t="shared" si="972"/>
        <v>0</v>
      </c>
      <c r="T336">
        <f t="shared" si="973"/>
        <v>0</v>
      </c>
    </row>
    <row r="337" spans="1:20" x14ac:dyDescent="0.25">
      <c r="A337" s="5"/>
      <c r="C337"/>
      <c r="D337"/>
      <c r="P337">
        <f t="shared" si="969"/>
        <v>0</v>
      </c>
      <c r="Q337">
        <f t="shared" si="970"/>
        <v>0</v>
      </c>
      <c r="R337">
        <f t="shared" si="971"/>
        <v>0</v>
      </c>
      <c r="S337">
        <f t="shared" si="972"/>
        <v>0</v>
      </c>
      <c r="T337">
        <f t="shared" si="973"/>
        <v>0</v>
      </c>
    </row>
    <row r="338" spans="1:20" x14ac:dyDescent="0.25">
      <c r="A338" s="5"/>
      <c r="C338"/>
      <c r="D338"/>
      <c r="P338">
        <f t="shared" si="969"/>
        <v>0</v>
      </c>
      <c r="Q338">
        <f t="shared" si="970"/>
        <v>0</v>
      </c>
      <c r="R338">
        <f t="shared" si="971"/>
        <v>0</v>
      </c>
      <c r="S338">
        <f t="shared" si="972"/>
        <v>0</v>
      </c>
      <c r="T338">
        <f t="shared" si="973"/>
        <v>0</v>
      </c>
    </row>
    <row r="339" spans="1:20" x14ac:dyDescent="0.25">
      <c r="A339" s="5"/>
      <c r="C339"/>
      <c r="D339"/>
      <c r="P339">
        <f t="shared" si="969"/>
        <v>0</v>
      </c>
      <c r="Q339">
        <f t="shared" si="970"/>
        <v>0</v>
      </c>
      <c r="R339">
        <f t="shared" si="971"/>
        <v>0</v>
      </c>
      <c r="S339">
        <f t="shared" si="972"/>
        <v>0</v>
      </c>
      <c r="T339">
        <f t="shared" si="973"/>
        <v>0</v>
      </c>
    </row>
    <row r="340" spans="1:20" x14ac:dyDescent="0.25">
      <c r="A340" s="5"/>
      <c r="C340"/>
      <c r="D340"/>
      <c r="P340">
        <f t="shared" si="969"/>
        <v>0</v>
      </c>
      <c r="Q340">
        <f t="shared" si="970"/>
        <v>0</v>
      </c>
      <c r="R340">
        <f t="shared" si="971"/>
        <v>0</v>
      </c>
      <c r="S340">
        <f t="shared" si="972"/>
        <v>0</v>
      </c>
      <c r="T340">
        <f t="shared" si="973"/>
        <v>0</v>
      </c>
    </row>
    <row r="341" spans="1:20" x14ac:dyDescent="0.25">
      <c r="A341" s="5"/>
      <c r="C341"/>
      <c r="D341"/>
      <c r="P341">
        <f t="shared" si="969"/>
        <v>0</v>
      </c>
      <c r="Q341">
        <f t="shared" si="970"/>
        <v>0</v>
      </c>
      <c r="R341">
        <f t="shared" si="971"/>
        <v>0</v>
      </c>
      <c r="S341">
        <f t="shared" si="972"/>
        <v>0</v>
      </c>
      <c r="T341">
        <f t="shared" si="973"/>
        <v>0</v>
      </c>
    </row>
    <row r="342" spans="1:20" x14ac:dyDescent="0.25">
      <c r="A342" s="5"/>
      <c r="C342"/>
      <c r="D342"/>
      <c r="P342">
        <f t="shared" si="969"/>
        <v>0</v>
      </c>
      <c r="Q342">
        <f t="shared" si="970"/>
        <v>0</v>
      </c>
      <c r="R342">
        <f t="shared" si="971"/>
        <v>0</v>
      </c>
      <c r="S342">
        <f t="shared" si="972"/>
        <v>0</v>
      </c>
      <c r="T342">
        <f t="shared" si="973"/>
        <v>0</v>
      </c>
    </row>
    <row r="343" spans="1:20" x14ac:dyDescent="0.25">
      <c r="A343" s="5"/>
      <c r="C343"/>
      <c r="D343"/>
      <c r="P343">
        <f t="shared" si="969"/>
        <v>0</v>
      </c>
      <c r="Q343">
        <f t="shared" si="970"/>
        <v>0</v>
      </c>
      <c r="R343">
        <f t="shared" si="971"/>
        <v>0</v>
      </c>
      <c r="S343">
        <f t="shared" si="972"/>
        <v>0</v>
      </c>
      <c r="T343">
        <f t="shared" si="973"/>
        <v>0</v>
      </c>
    </row>
    <row r="344" spans="1:20" x14ac:dyDescent="0.25">
      <c r="A344" s="5"/>
      <c r="C344"/>
      <c r="D344"/>
      <c r="P344">
        <f t="shared" si="969"/>
        <v>0</v>
      </c>
      <c r="Q344">
        <f t="shared" si="970"/>
        <v>0</v>
      </c>
      <c r="R344">
        <f t="shared" si="971"/>
        <v>0</v>
      </c>
      <c r="S344">
        <f t="shared" si="972"/>
        <v>0</v>
      </c>
      <c r="T344">
        <f t="shared" si="973"/>
        <v>0</v>
      </c>
    </row>
    <row r="345" spans="1:20" x14ac:dyDescent="0.25">
      <c r="A345" s="5"/>
      <c r="C345"/>
      <c r="D345"/>
      <c r="P345">
        <f t="shared" si="969"/>
        <v>0</v>
      </c>
      <c r="Q345">
        <f t="shared" si="970"/>
        <v>0</v>
      </c>
      <c r="R345">
        <f t="shared" si="971"/>
        <v>0</v>
      </c>
      <c r="S345">
        <f t="shared" si="972"/>
        <v>0</v>
      </c>
      <c r="T345">
        <f t="shared" si="973"/>
        <v>0</v>
      </c>
    </row>
    <row r="346" spans="1:20" x14ac:dyDescent="0.25">
      <c r="A346" s="5"/>
      <c r="C346"/>
      <c r="D346"/>
      <c r="P346">
        <f t="shared" si="969"/>
        <v>0</v>
      </c>
      <c r="Q346">
        <f t="shared" si="970"/>
        <v>0</v>
      </c>
      <c r="R346">
        <f t="shared" si="971"/>
        <v>0</v>
      </c>
      <c r="S346">
        <f t="shared" si="972"/>
        <v>0</v>
      </c>
      <c r="T346">
        <f t="shared" si="973"/>
        <v>0</v>
      </c>
    </row>
    <row r="347" spans="1:20" x14ac:dyDescent="0.25">
      <c r="A347" s="5"/>
      <c r="C347"/>
      <c r="D347"/>
      <c r="P347">
        <f t="shared" si="969"/>
        <v>0</v>
      </c>
      <c r="Q347">
        <f t="shared" si="970"/>
        <v>0</v>
      </c>
      <c r="R347">
        <f t="shared" si="971"/>
        <v>0</v>
      </c>
      <c r="S347">
        <f t="shared" si="972"/>
        <v>0</v>
      </c>
      <c r="T347">
        <f t="shared" si="973"/>
        <v>0</v>
      </c>
    </row>
    <row r="348" spans="1:20" x14ac:dyDescent="0.25">
      <c r="A348" s="5"/>
      <c r="C348"/>
      <c r="D348"/>
      <c r="P348">
        <f t="shared" si="969"/>
        <v>0</v>
      </c>
      <c r="Q348">
        <f t="shared" si="970"/>
        <v>0</v>
      </c>
      <c r="R348">
        <f t="shared" si="971"/>
        <v>0</v>
      </c>
      <c r="S348">
        <f t="shared" si="972"/>
        <v>0</v>
      </c>
      <c r="T348">
        <f t="shared" si="973"/>
        <v>0</v>
      </c>
    </row>
    <row r="349" spans="1:20" x14ac:dyDescent="0.25">
      <c r="A349" s="5"/>
      <c r="C349"/>
      <c r="D349"/>
      <c r="P349">
        <f t="shared" si="969"/>
        <v>0</v>
      </c>
      <c r="Q349">
        <f t="shared" si="970"/>
        <v>0</v>
      </c>
      <c r="R349">
        <f t="shared" si="971"/>
        <v>0</v>
      </c>
      <c r="S349">
        <f t="shared" si="972"/>
        <v>0</v>
      </c>
      <c r="T349">
        <f t="shared" si="973"/>
        <v>0</v>
      </c>
    </row>
    <row r="350" spans="1:20" x14ac:dyDescent="0.25">
      <c r="A350" s="5"/>
      <c r="C350"/>
      <c r="D350"/>
      <c r="P350">
        <f t="shared" si="969"/>
        <v>0</v>
      </c>
      <c r="Q350">
        <f t="shared" si="970"/>
        <v>0</v>
      </c>
      <c r="R350">
        <f t="shared" si="971"/>
        <v>0</v>
      </c>
      <c r="S350">
        <f t="shared" si="972"/>
        <v>0</v>
      </c>
      <c r="T350">
        <f t="shared" si="973"/>
        <v>0</v>
      </c>
    </row>
    <row r="351" spans="1:20" x14ac:dyDescent="0.25">
      <c r="A351" s="5"/>
      <c r="C351"/>
      <c r="D351"/>
      <c r="P351">
        <f t="shared" si="969"/>
        <v>0</v>
      </c>
      <c r="Q351">
        <f t="shared" si="970"/>
        <v>0</v>
      </c>
      <c r="R351">
        <f t="shared" si="971"/>
        <v>0</v>
      </c>
      <c r="S351">
        <f t="shared" si="972"/>
        <v>0</v>
      </c>
      <c r="T351">
        <f t="shared" si="973"/>
        <v>0</v>
      </c>
    </row>
    <row r="352" spans="1:20" x14ac:dyDescent="0.25">
      <c r="A352" s="5"/>
      <c r="C352"/>
      <c r="D352"/>
      <c r="P352">
        <f t="shared" si="969"/>
        <v>0</v>
      </c>
      <c r="Q352">
        <f t="shared" si="970"/>
        <v>0</v>
      </c>
      <c r="R352">
        <f t="shared" si="971"/>
        <v>0</v>
      </c>
      <c r="S352">
        <f t="shared" si="972"/>
        <v>0</v>
      </c>
      <c r="T352">
        <f t="shared" si="973"/>
        <v>0</v>
      </c>
    </row>
    <row r="353" spans="1:20" x14ac:dyDescent="0.25">
      <c r="A353" s="5"/>
      <c r="C353"/>
      <c r="D353"/>
      <c r="P353">
        <f t="shared" si="969"/>
        <v>0</v>
      </c>
      <c r="Q353">
        <f t="shared" si="970"/>
        <v>0</v>
      </c>
      <c r="R353">
        <f t="shared" si="971"/>
        <v>0</v>
      </c>
      <c r="S353">
        <f t="shared" si="972"/>
        <v>0</v>
      </c>
      <c r="T353">
        <f t="shared" si="973"/>
        <v>0</v>
      </c>
    </row>
    <row r="354" spans="1:20" x14ac:dyDescent="0.25">
      <c r="A354" s="5"/>
      <c r="C354"/>
      <c r="D354"/>
      <c r="P354">
        <f t="shared" si="969"/>
        <v>0</v>
      </c>
      <c r="Q354">
        <f t="shared" si="970"/>
        <v>0</v>
      </c>
      <c r="R354">
        <f t="shared" si="971"/>
        <v>0</v>
      </c>
      <c r="S354">
        <f t="shared" si="972"/>
        <v>0</v>
      </c>
      <c r="T354">
        <f t="shared" si="973"/>
        <v>0</v>
      </c>
    </row>
    <row r="355" spans="1:20" x14ac:dyDescent="0.25">
      <c r="A355" s="5"/>
      <c r="C355"/>
      <c r="D355"/>
      <c r="P355">
        <f t="shared" si="969"/>
        <v>0</v>
      </c>
      <c r="Q355">
        <f t="shared" si="970"/>
        <v>0</v>
      </c>
      <c r="R355">
        <f t="shared" si="971"/>
        <v>0</v>
      </c>
      <c r="S355">
        <f t="shared" si="972"/>
        <v>0</v>
      </c>
      <c r="T355">
        <f t="shared" si="973"/>
        <v>0</v>
      </c>
    </row>
    <row r="356" spans="1:20" x14ac:dyDescent="0.25">
      <c r="A356" s="5"/>
      <c r="C356"/>
      <c r="D356"/>
      <c r="P356">
        <f t="shared" si="969"/>
        <v>0</v>
      </c>
      <c r="Q356">
        <f t="shared" si="970"/>
        <v>0</v>
      </c>
      <c r="R356">
        <f t="shared" si="971"/>
        <v>0</v>
      </c>
      <c r="S356">
        <f t="shared" si="972"/>
        <v>0</v>
      </c>
      <c r="T356">
        <f t="shared" si="973"/>
        <v>0</v>
      </c>
    </row>
    <row r="357" spans="1:20" x14ac:dyDescent="0.25">
      <c r="A357" s="5"/>
      <c r="C357"/>
      <c r="D357"/>
      <c r="P357">
        <f t="shared" si="969"/>
        <v>0</v>
      </c>
      <c r="Q357">
        <f t="shared" si="970"/>
        <v>0</v>
      </c>
      <c r="R357">
        <f t="shared" si="971"/>
        <v>0</v>
      </c>
      <c r="S357">
        <f t="shared" si="972"/>
        <v>0</v>
      </c>
      <c r="T357">
        <f t="shared" si="973"/>
        <v>0</v>
      </c>
    </row>
    <row r="358" spans="1:20" x14ac:dyDescent="0.25">
      <c r="A358" s="5"/>
      <c r="C358"/>
      <c r="D358"/>
      <c r="P358">
        <f t="shared" si="969"/>
        <v>0</v>
      </c>
      <c r="Q358">
        <f t="shared" si="970"/>
        <v>0</v>
      </c>
      <c r="R358">
        <f t="shared" si="971"/>
        <v>0</v>
      </c>
      <c r="S358">
        <f t="shared" si="972"/>
        <v>0</v>
      </c>
      <c r="T358">
        <f t="shared" si="973"/>
        <v>0</v>
      </c>
    </row>
    <row r="359" spans="1:20" x14ac:dyDescent="0.25">
      <c r="A359" s="5"/>
      <c r="C359"/>
      <c r="D359"/>
      <c r="P359">
        <f t="shared" si="969"/>
        <v>0</v>
      </c>
      <c r="Q359">
        <f t="shared" si="970"/>
        <v>0</v>
      </c>
      <c r="R359">
        <f t="shared" si="971"/>
        <v>0</v>
      </c>
      <c r="S359">
        <f t="shared" si="972"/>
        <v>0</v>
      </c>
      <c r="T359">
        <f t="shared" si="973"/>
        <v>0</v>
      </c>
    </row>
    <row r="360" spans="1:20" x14ac:dyDescent="0.25">
      <c r="A360" s="5"/>
      <c r="C360"/>
      <c r="D360"/>
      <c r="P360">
        <f t="shared" si="969"/>
        <v>0</v>
      </c>
      <c r="Q360">
        <f t="shared" si="970"/>
        <v>0</v>
      </c>
      <c r="R360">
        <f t="shared" si="971"/>
        <v>0</v>
      </c>
      <c r="S360">
        <f t="shared" si="972"/>
        <v>0</v>
      </c>
      <c r="T360">
        <f t="shared" si="973"/>
        <v>0</v>
      </c>
    </row>
    <row r="361" spans="1:20" x14ac:dyDescent="0.25">
      <c r="A361" s="5"/>
      <c r="C361"/>
      <c r="D361"/>
      <c r="P361">
        <f t="shared" si="969"/>
        <v>0</v>
      </c>
      <c r="Q361">
        <f t="shared" si="970"/>
        <v>0</v>
      </c>
      <c r="R361">
        <f t="shared" si="971"/>
        <v>0</v>
      </c>
      <c r="S361">
        <f t="shared" si="972"/>
        <v>0</v>
      </c>
      <c r="T361">
        <f t="shared" si="973"/>
        <v>0</v>
      </c>
    </row>
    <row r="362" spans="1:20" x14ac:dyDescent="0.25">
      <c r="A362" s="5"/>
      <c r="C362"/>
      <c r="D362"/>
      <c r="P362">
        <f t="shared" si="969"/>
        <v>0</v>
      </c>
      <c r="Q362">
        <f t="shared" si="970"/>
        <v>0</v>
      </c>
      <c r="R362">
        <f t="shared" si="971"/>
        <v>0</v>
      </c>
      <c r="S362">
        <f t="shared" si="972"/>
        <v>0</v>
      </c>
      <c r="T362">
        <f t="shared" si="973"/>
        <v>0</v>
      </c>
    </row>
    <row r="363" spans="1:20" x14ac:dyDescent="0.25">
      <c r="A363" s="5"/>
      <c r="C363"/>
      <c r="D363"/>
      <c r="P363">
        <f t="shared" si="969"/>
        <v>0</v>
      </c>
      <c r="Q363">
        <f t="shared" si="970"/>
        <v>0</v>
      </c>
      <c r="R363">
        <f t="shared" si="971"/>
        <v>0</v>
      </c>
      <c r="S363">
        <f t="shared" si="972"/>
        <v>0</v>
      </c>
      <c r="T363">
        <f t="shared" si="973"/>
        <v>0</v>
      </c>
    </row>
    <row r="364" spans="1:20" x14ac:dyDescent="0.25">
      <c r="A364" s="5"/>
      <c r="C364"/>
      <c r="D364"/>
      <c r="P364">
        <f t="shared" si="969"/>
        <v>0</v>
      </c>
      <c r="Q364">
        <f t="shared" si="970"/>
        <v>0</v>
      </c>
      <c r="R364">
        <f t="shared" si="971"/>
        <v>0</v>
      </c>
      <c r="S364">
        <f t="shared" si="972"/>
        <v>0</v>
      </c>
      <c r="T364">
        <f t="shared" si="973"/>
        <v>0</v>
      </c>
    </row>
    <row r="365" spans="1:20" x14ac:dyDescent="0.25">
      <c r="A365" s="5"/>
      <c r="C365"/>
      <c r="D365"/>
      <c r="P365">
        <f t="shared" si="969"/>
        <v>0</v>
      </c>
      <c r="Q365">
        <f t="shared" si="970"/>
        <v>0</v>
      </c>
      <c r="R365">
        <f t="shared" si="971"/>
        <v>0</v>
      </c>
      <c r="S365">
        <f t="shared" si="972"/>
        <v>0</v>
      </c>
      <c r="T365">
        <f t="shared" si="973"/>
        <v>0</v>
      </c>
    </row>
    <row r="366" spans="1:20" x14ac:dyDescent="0.25">
      <c r="A366" s="5"/>
      <c r="C366"/>
      <c r="D366"/>
      <c r="P366">
        <f t="shared" si="969"/>
        <v>0</v>
      </c>
      <c r="Q366">
        <f t="shared" si="970"/>
        <v>0</v>
      </c>
      <c r="R366">
        <f t="shared" si="971"/>
        <v>0</v>
      </c>
      <c r="S366">
        <f t="shared" si="972"/>
        <v>0</v>
      </c>
      <c r="T366">
        <f t="shared" si="973"/>
        <v>0</v>
      </c>
    </row>
    <row r="367" spans="1:20" x14ac:dyDescent="0.25">
      <c r="A367" s="5"/>
      <c r="C367"/>
      <c r="D367"/>
      <c r="P367">
        <f t="shared" si="969"/>
        <v>0</v>
      </c>
      <c r="Q367">
        <f t="shared" si="970"/>
        <v>0</v>
      </c>
      <c r="R367">
        <f t="shared" si="971"/>
        <v>0</v>
      </c>
      <c r="S367">
        <f t="shared" si="972"/>
        <v>0</v>
      </c>
      <c r="T367">
        <f t="shared" si="973"/>
        <v>0</v>
      </c>
    </row>
    <row r="368" spans="1:20" x14ac:dyDescent="0.25">
      <c r="A368" s="5"/>
      <c r="C368"/>
      <c r="D368"/>
      <c r="P368">
        <f t="shared" si="969"/>
        <v>0</v>
      </c>
      <c r="Q368">
        <f t="shared" si="970"/>
        <v>0</v>
      </c>
      <c r="R368">
        <f t="shared" si="971"/>
        <v>0</v>
      </c>
      <c r="S368">
        <f t="shared" si="972"/>
        <v>0</v>
      </c>
      <c r="T368">
        <f t="shared" si="973"/>
        <v>0</v>
      </c>
    </row>
    <row r="369" spans="1:20" x14ac:dyDescent="0.25">
      <c r="A369" s="5"/>
      <c r="C369"/>
      <c r="D369"/>
      <c r="P369">
        <f t="shared" si="969"/>
        <v>0</v>
      </c>
      <c r="Q369">
        <f t="shared" si="970"/>
        <v>0</v>
      </c>
      <c r="R369">
        <f t="shared" si="971"/>
        <v>0</v>
      </c>
      <c r="S369">
        <f t="shared" si="972"/>
        <v>0</v>
      </c>
      <c r="T369">
        <f t="shared" si="973"/>
        <v>0</v>
      </c>
    </row>
    <row r="370" spans="1:20" x14ac:dyDescent="0.25">
      <c r="A370" s="5"/>
      <c r="C370"/>
      <c r="D370"/>
      <c r="P370">
        <f t="shared" si="969"/>
        <v>0</v>
      </c>
      <c r="Q370">
        <f t="shared" si="970"/>
        <v>0</v>
      </c>
      <c r="R370">
        <f t="shared" si="971"/>
        <v>0</v>
      </c>
      <c r="S370">
        <f t="shared" si="972"/>
        <v>0</v>
      </c>
      <c r="T370">
        <f t="shared" si="973"/>
        <v>0</v>
      </c>
    </row>
    <row r="371" spans="1:20" x14ac:dyDescent="0.25">
      <c r="A371" s="5"/>
      <c r="C371"/>
      <c r="D371"/>
      <c r="P371">
        <f t="shared" si="969"/>
        <v>0</v>
      </c>
      <c r="Q371">
        <f t="shared" si="970"/>
        <v>0</v>
      </c>
      <c r="R371">
        <f t="shared" si="971"/>
        <v>0</v>
      </c>
      <c r="S371">
        <f t="shared" si="972"/>
        <v>0</v>
      </c>
      <c r="T371">
        <f t="shared" si="973"/>
        <v>0</v>
      </c>
    </row>
    <row r="372" spans="1:20" x14ac:dyDescent="0.25">
      <c r="A372" s="5"/>
      <c r="C372"/>
      <c r="D372"/>
      <c r="P372">
        <f t="shared" si="969"/>
        <v>0</v>
      </c>
      <c r="Q372">
        <f t="shared" si="970"/>
        <v>0</v>
      </c>
      <c r="R372">
        <f t="shared" si="971"/>
        <v>0</v>
      </c>
      <c r="S372">
        <f t="shared" si="972"/>
        <v>0</v>
      </c>
      <c r="T372">
        <f t="shared" si="973"/>
        <v>0</v>
      </c>
    </row>
    <row r="373" spans="1:20" x14ac:dyDescent="0.25">
      <c r="A373" s="5"/>
      <c r="C373"/>
      <c r="D373"/>
      <c r="P373">
        <f t="shared" si="969"/>
        <v>0</v>
      </c>
      <c r="Q373">
        <f t="shared" si="970"/>
        <v>0</v>
      </c>
      <c r="R373">
        <f t="shared" si="971"/>
        <v>0</v>
      </c>
      <c r="S373">
        <f t="shared" si="972"/>
        <v>0</v>
      </c>
      <c r="T373">
        <f t="shared" si="973"/>
        <v>0</v>
      </c>
    </row>
    <row r="374" spans="1:20" x14ac:dyDescent="0.25">
      <c r="A374" s="5"/>
      <c r="C374"/>
      <c r="D374"/>
      <c r="P374">
        <f t="shared" si="969"/>
        <v>0</v>
      </c>
      <c r="Q374">
        <f t="shared" si="970"/>
        <v>0</v>
      </c>
      <c r="R374">
        <f t="shared" si="971"/>
        <v>0</v>
      </c>
      <c r="S374">
        <f t="shared" si="972"/>
        <v>0</v>
      </c>
      <c r="T374">
        <f t="shared" si="973"/>
        <v>0</v>
      </c>
    </row>
    <row r="375" spans="1:20" x14ac:dyDescent="0.25">
      <c r="A375" s="5"/>
      <c r="C375"/>
      <c r="D375"/>
      <c r="P375">
        <f t="shared" si="969"/>
        <v>0</v>
      </c>
      <c r="Q375">
        <f t="shared" si="970"/>
        <v>0</v>
      </c>
      <c r="R375">
        <f t="shared" si="971"/>
        <v>0</v>
      </c>
      <c r="S375">
        <f t="shared" si="972"/>
        <v>0</v>
      </c>
      <c r="T375">
        <f t="shared" si="973"/>
        <v>0</v>
      </c>
    </row>
    <row r="376" spans="1:20" x14ac:dyDescent="0.25">
      <c r="A376" s="5"/>
      <c r="C376"/>
      <c r="D376"/>
      <c r="P376">
        <f t="shared" si="969"/>
        <v>0</v>
      </c>
      <c r="Q376">
        <f t="shared" si="970"/>
        <v>0</v>
      </c>
      <c r="R376">
        <f t="shared" si="971"/>
        <v>0</v>
      </c>
      <c r="S376">
        <f t="shared" si="972"/>
        <v>0</v>
      </c>
      <c r="T376">
        <f t="shared" si="973"/>
        <v>0</v>
      </c>
    </row>
    <row r="377" spans="1:20" x14ac:dyDescent="0.25">
      <c r="A377" s="5"/>
      <c r="C377"/>
      <c r="D377"/>
      <c r="P377">
        <f t="shared" si="969"/>
        <v>0</v>
      </c>
      <c r="Q377">
        <f t="shared" si="970"/>
        <v>0</v>
      </c>
      <c r="R377">
        <f t="shared" si="971"/>
        <v>0</v>
      </c>
      <c r="S377">
        <f t="shared" si="972"/>
        <v>0</v>
      </c>
      <c r="T377">
        <f t="shared" si="973"/>
        <v>0</v>
      </c>
    </row>
    <row r="378" spans="1:20" x14ac:dyDescent="0.25">
      <c r="A378" s="5"/>
      <c r="C378"/>
      <c r="D378"/>
      <c r="P378">
        <f t="shared" si="969"/>
        <v>0</v>
      </c>
      <c r="Q378">
        <f t="shared" si="970"/>
        <v>0</v>
      </c>
      <c r="R378">
        <f t="shared" si="971"/>
        <v>0</v>
      </c>
      <c r="S378">
        <f t="shared" si="972"/>
        <v>0</v>
      </c>
      <c r="T378">
        <f t="shared" si="973"/>
        <v>0</v>
      </c>
    </row>
    <row r="379" spans="1:20" x14ac:dyDescent="0.25">
      <c r="A379" s="5"/>
      <c r="C379"/>
      <c r="D379"/>
      <c r="P379">
        <f t="shared" si="969"/>
        <v>0</v>
      </c>
      <c r="Q379">
        <f t="shared" si="970"/>
        <v>0</v>
      </c>
      <c r="R379">
        <f t="shared" si="971"/>
        <v>0</v>
      </c>
      <c r="S379">
        <f t="shared" si="972"/>
        <v>0</v>
      </c>
      <c r="T379">
        <f t="shared" si="973"/>
        <v>0</v>
      </c>
    </row>
    <row r="380" spans="1:20" x14ac:dyDescent="0.25">
      <c r="A380" s="5"/>
      <c r="C380"/>
      <c r="D380"/>
      <c r="P380">
        <f t="shared" si="969"/>
        <v>0</v>
      </c>
      <c r="Q380">
        <f t="shared" si="970"/>
        <v>0</v>
      </c>
      <c r="R380">
        <f t="shared" si="971"/>
        <v>0</v>
      </c>
      <c r="S380">
        <f t="shared" si="972"/>
        <v>0</v>
      </c>
      <c r="T380">
        <f t="shared" si="973"/>
        <v>0</v>
      </c>
    </row>
    <row r="381" spans="1:20" x14ac:dyDescent="0.25">
      <c r="A381" s="5"/>
      <c r="C381"/>
      <c r="D381"/>
      <c r="P381">
        <f t="shared" si="969"/>
        <v>0</v>
      </c>
      <c r="Q381">
        <f t="shared" si="970"/>
        <v>0</v>
      </c>
      <c r="R381">
        <f t="shared" si="971"/>
        <v>0</v>
      </c>
      <c r="S381">
        <f t="shared" si="972"/>
        <v>0</v>
      </c>
      <c r="T381">
        <f t="shared" si="973"/>
        <v>0</v>
      </c>
    </row>
    <row r="382" spans="1:20" x14ac:dyDescent="0.25">
      <c r="A382" s="5"/>
      <c r="C382"/>
      <c r="D382"/>
      <c r="P382">
        <f t="shared" si="969"/>
        <v>0</v>
      </c>
      <c r="Q382">
        <f t="shared" si="970"/>
        <v>0</v>
      </c>
      <c r="R382">
        <f t="shared" si="971"/>
        <v>0</v>
      </c>
      <c r="S382">
        <f t="shared" si="972"/>
        <v>0</v>
      </c>
      <c r="T382">
        <f t="shared" si="973"/>
        <v>0</v>
      </c>
    </row>
    <row r="383" spans="1:20" x14ac:dyDescent="0.25">
      <c r="A383" s="5"/>
      <c r="C383"/>
      <c r="D383"/>
      <c r="P383">
        <f t="shared" si="969"/>
        <v>0</v>
      </c>
      <c r="Q383">
        <f t="shared" si="970"/>
        <v>0</v>
      </c>
      <c r="R383">
        <f t="shared" si="971"/>
        <v>0</v>
      </c>
      <c r="S383">
        <f t="shared" si="972"/>
        <v>0</v>
      </c>
      <c r="T383">
        <f t="shared" si="973"/>
        <v>0</v>
      </c>
    </row>
    <row r="384" spans="1:20" x14ac:dyDescent="0.25">
      <c r="A384" s="5"/>
      <c r="C384"/>
      <c r="D384"/>
      <c r="P384">
        <f t="shared" si="969"/>
        <v>0</v>
      </c>
      <c r="Q384">
        <f t="shared" si="970"/>
        <v>0</v>
      </c>
      <c r="R384">
        <f t="shared" si="971"/>
        <v>0</v>
      </c>
      <c r="S384">
        <f t="shared" si="972"/>
        <v>0</v>
      </c>
      <c r="T384">
        <f t="shared" si="973"/>
        <v>0</v>
      </c>
    </row>
    <row r="385" spans="1:20" x14ac:dyDescent="0.25">
      <c r="A385" s="5"/>
      <c r="C385"/>
      <c r="D385"/>
      <c r="P385">
        <f t="shared" si="969"/>
        <v>0</v>
      </c>
      <c r="Q385">
        <f t="shared" si="970"/>
        <v>0</v>
      </c>
      <c r="R385">
        <f t="shared" si="971"/>
        <v>0</v>
      </c>
      <c r="S385">
        <f t="shared" si="972"/>
        <v>0</v>
      </c>
      <c r="T385">
        <f t="shared" si="973"/>
        <v>0</v>
      </c>
    </row>
    <row r="386" spans="1:20" x14ac:dyDescent="0.25">
      <c r="A386" s="5"/>
      <c r="C386"/>
      <c r="D386"/>
      <c r="P386">
        <f t="shared" si="969"/>
        <v>0</v>
      </c>
      <c r="Q386">
        <f t="shared" si="970"/>
        <v>0</v>
      </c>
      <c r="R386">
        <f t="shared" si="971"/>
        <v>0</v>
      </c>
      <c r="S386">
        <f t="shared" si="972"/>
        <v>0</v>
      </c>
      <c r="T386">
        <f t="shared" si="973"/>
        <v>0</v>
      </c>
    </row>
    <row r="387" spans="1:20" x14ac:dyDescent="0.25">
      <c r="A387" s="5"/>
      <c r="C387"/>
      <c r="D387"/>
      <c r="P387">
        <f t="shared" si="969"/>
        <v>0</v>
      </c>
      <c r="Q387">
        <f t="shared" si="970"/>
        <v>0</v>
      </c>
      <c r="R387">
        <f t="shared" si="971"/>
        <v>0</v>
      </c>
      <c r="S387">
        <f t="shared" si="972"/>
        <v>0</v>
      </c>
      <c r="T387">
        <f t="shared" si="973"/>
        <v>0</v>
      </c>
    </row>
    <row r="388" spans="1:20" x14ac:dyDescent="0.25">
      <c r="A388" s="5"/>
      <c r="C388"/>
      <c r="D388"/>
      <c r="P388">
        <f t="shared" si="969"/>
        <v>0</v>
      </c>
      <c r="Q388">
        <f t="shared" si="970"/>
        <v>0</v>
      </c>
      <c r="R388">
        <f t="shared" si="971"/>
        <v>0</v>
      </c>
      <c r="S388">
        <f t="shared" si="972"/>
        <v>0</v>
      </c>
      <c r="T388">
        <f t="shared" si="973"/>
        <v>0</v>
      </c>
    </row>
    <row r="389" spans="1:20" x14ac:dyDescent="0.25">
      <c r="A389" s="5"/>
      <c r="C389"/>
      <c r="D389"/>
      <c r="P389">
        <f t="shared" si="969"/>
        <v>0</v>
      </c>
      <c r="Q389">
        <f t="shared" si="970"/>
        <v>0</v>
      </c>
      <c r="R389">
        <f t="shared" si="971"/>
        <v>0</v>
      </c>
      <c r="S389">
        <f t="shared" si="972"/>
        <v>0</v>
      </c>
      <c r="T389">
        <f t="shared" si="973"/>
        <v>0</v>
      </c>
    </row>
    <row r="390" spans="1:20" x14ac:dyDescent="0.25">
      <c r="A390" s="5"/>
      <c r="C390"/>
      <c r="D390"/>
      <c r="P390">
        <f t="shared" ref="P390:P453" si="974">IF(C390=D390,0,((E390-D390)-(C390-E390))/(C390-D390))</f>
        <v>0</v>
      </c>
      <c r="Q390">
        <f t="shared" ref="Q390:Q453" si="975">F390*P390</f>
        <v>0</v>
      </c>
      <c r="R390">
        <f t="shared" ref="R390:R453" si="976">R391+Q390</f>
        <v>0</v>
      </c>
      <c r="S390">
        <f t="shared" ref="S390:S453" si="977">R390/100000</f>
        <v>0</v>
      </c>
      <c r="T390">
        <f t="shared" ref="T390:T453" si="978">S390/1000</f>
        <v>0</v>
      </c>
    </row>
    <row r="391" spans="1:20" x14ac:dyDescent="0.25">
      <c r="A391" s="5"/>
      <c r="C391"/>
      <c r="D391"/>
      <c r="P391">
        <f t="shared" si="974"/>
        <v>0</v>
      </c>
      <c r="Q391">
        <f t="shared" si="975"/>
        <v>0</v>
      </c>
      <c r="R391">
        <f t="shared" si="976"/>
        <v>0</v>
      </c>
      <c r="S391">
        <f t="shared" si="977"/>
        <v>0</v>
      </c>
      <c r="T391">
        <f t="shared" si="978"/>
        <v>0</v>
      </c>
    </row>
    <row r="392" spans="1:20" x14ac:dyDescent="0.25">
      <c r="A392" s="5"/>
      <c r="C392"/>
      <c r="D392"/>
      <c r="P392">
        <f t="shared" si="974"/>
        <v>0</v>
      </c>
      <c r="Q392">
        <f t="shared" si="975"/>
        <v>0</v>
      </c>
      <c r="R392">
        <f t="shared" si="976"/>
        <v>0</v>
      </c>
      <c r="S392">
        <f t="shared" si="977"/>
        <v>0</v>
      </c>
      <c r="T392">
        <f t="shared" si="978"/>
        <v>0</v>
      </c>
    </row>
    <row r="393" spans="1:20" x14ac:dyDescent="0.25">
      <c r="A393" s="5"/>
      <c r="C393"/>
      <c r="D393"/>
      <c r="P393">
        <f t="shared" si="974"/>
        <v>0</v>
      </c>
      <c r="Q393">
        <f t="shared" si="975"/>
        <v>0</v>
      </c>
      <c r="R393">
        <f t="shared" si="976"/>
        <v>0</v>
      </c>
      <c r="S393">
        <f t="shared" si="977"/>
        <v>0</v>
      </c>
      <c r="T393">
        <f t="shared" si="978"/>
        <v>0</v>
      </c>
    </row>
    <row r="394" spans="1:20" x14ac:dyDescent="0.25">
      <c r="A394" s="5"/>
      <c r="C394"/>
      <c r="D394"/>
      <c r="P394">
        <f t="shared" si="974"/>
        <v>0</v>
      </c>
      <c r="Q394">
        <f t="shared" si="975"/>
        <v>0</v>
      </c>
      <c r="R394">
        <f t="shared" si="976"/>
        <v>0</v>
      </c>
      <c r="S394">
        <f t="shared" si="977"/>
        <v>0</v>
      </c>
      <c r="T394">
        <f t="shared" si="978"/>
        <v>0</v>
      </c>
    </row>
    <row r="395" spans="1:20" x14ac:dyDescent="0.25">
      <c r="A395" s="5"/>
      <c r="C395"/>
      <c r="D395"/>
      <c r="P395">
        <f t="shared" si="974"/>
        <v>0</v>
      </c>
      <c r="Q395">
        <f t="shared" si="975"/>
        <v>0</v>
      </c>
      <c r="R395">
        <f t="shared" si="976"/>
        <v>0</v>
      </c>
      <c r="S395">
        <f t="shared" si="977"/>
        <v>0</v>
      </c>
      <c r="T395">
        <f t="shared" si="978"/>
        <v>0</v>
      </c>
    </row>
    <row r="396" spans="1:20" x14ac:dyDescent="0.25">
      <c r="A396" s="5"/>
      <c r="C396"/>
      <c r="D396"/>
      <c r="P396">
        <f t="shared" si="974"/>
        <v>0</v>
      </c>
      <c r="Q396">
        <f t="shared" si="975"/>
        <v>0</v>
      </c>
      <c r="R396">
        <f t="shared" si="976"/>
        <v>0</v>
      </c>
      <c r="S396">
        <f t="shared" si="977"/>
        <v>0</v>
      </c>
      <c r="T396">
        <f t="shared" si="978"/>
        <v>0</v>
      </c>
    </row>
    <row r="397" spans="1:20" x14ac:dyDescent="0.25">
      <c r="A397" s="5"/>
      <c r="C397"/>
      <c r="D397"/>
      <c r="P397">
        <f t="shared" si="974"/>
        <v>0</v>
      </c>
      <c r="Q397">
        <f t="shared" si="975"/>
        <v>0</v>
      </c>
      <c r="R397">
        <f t="shared" si="976"/>
        <v>0</v>
      </c>
      <c r="S397">
        <f t="shared" si="977"/>
        <v>0</v>
      </c>
      <c r="T397">
        <f t="shared" si="978"/>
        <v>0</v>
      </c>
    </row>
    <row r="398" spans="1:20" x14ac:dyDescent="0.25">
      <c r="A398" s="5"/>
      <c r="C398"/>
      <c r="D398"/>
      <c r="P398">
        <f t="shared" si="974"/>
        <v>0</v>
      </c>
      <c r="Q398">
        <f t="shared" si="975"/>
        <v>0</v>
      </c>
      <c r="R398">
        <f t="shared" si="976"/>
        <v>0</v>
      </c>
      <c r="S398">
        <f t="shared" si="977"/>
        <v>0</v>
      </c>
      <c r="T398">
        <f t="shared" si="978"/>
        <v>0</v>
      </c>
    </row>
    <row r="399" spans="1:20" x14ac:dyDescent="0.25">
      <c r="A399" s="5"/>
      <c r="C399"/>
      <c r="D399"/>
      <c r="P399">
        <f t="shared" si="974"/>
        <v>0</v>
      </c>
      <c r="Q399">
        <f t="shared" si="975"/>
        <v>0</v>
      </c>
      <c r="R399">
        <f t="shared" si="976"/>
        <v>0</v>
      </c>
      <c r="S399">
        <f t="shared" si="977"/>
        <v>0</v>
      </c>
      <c r="T399">
        <f t="shared" si="978"/>
        <v>0</v>
      </c>
    </row>
    <row r="400" spans="1:20" x14ac:dyDescent="0.25">
      <c r="A400" s="5"/>
      <c r="C400"/>
      <c r="D400"/>
      <c r="P400">
        <f t="shared" si="974"/>
        <v>0</v>
      </c>
      <c r="Q400">
        <f t="shared" si="975"/>
        <v>0</v>
      </c>
      <c r="R400">
        <f t="shared" si="976"/>
        <v>0</v>
      </c>
      <c r="S400">
        <f t="shared" si="977"/>
        <v>0</v>
      </c>
      <c r="T400">
        <f t="shared" si="978"/>
        <v>0</v>
      </c>
    </row>
    <row r="401" spans="1:20" x14ac:dyDescent="0.25">
      <c r="A401" s="5"/>
      <c r="C401"/>
      <c r="D401"/>
      <c r="P401">
        <f t="shared" si="974"/>
        <v>0</v>
      </c>
      <c r="Q401">
        <f t="shared" si="975"/>
        <v>0</v>
      </c>
      <c r="R401">
        <f t="shared" si="976"/>
        <v>0</v>
      </c>
      <c r="S401">
        <f t="shared" si="977"/>
        <v>0</v>
      </c>
      <c r="T401">
        <f t="shared" si="978"/>
        <v>0</v>
      </c>
    </row>
    <row r="402" spans="1:20" x14ac:dyDescent="0.25">
      <c r="A402" s="5"/>
      <c r="C402"/>
      <c r="D402"/>
      <c r="P402">
        <f t="shared" si="974"/>
        <v>0</v>
      </c>
      <c r="Q402">
        <f t="shared" si="975"/>
        <v>0</v>
      </c>
      <c r="R402">
        <f t="shared" si="976"/>
        <v>0</v>
      </c>
      <c r="S402">
        <f t="shared" si="977"/>
        <v>0</v>
      </c>
      <c r="T402">
        <f t="shared" si="978"/>
        <v>0</v>
      </c>
    </row>
    <row r="403" spans="1:20" x14ac:dyDescent="0.25">
      <c r="A403" s="5"/>
      <c r="C403"/>
      <c r="D403"/>
      <c r="P403">
        <f t="shared" si="974"/>
        <v>0</v>
      </c>
      <c r="Q403">
        <f t="shared" si="975"/>
        <v>0</v>
      </c>
      <c r="R403">
        <f t="shared" si="976"/>
        <v>0</v>
      </c>
      <c r="S403">
        <f t="shared" si="977"/>
        <v>0</v>
      </c>
      <c r="T403">
        <f t="shared" si="978"/>
        <v>0</v>
      </c>
    </row>
    <row r="404" spans="1:20" x14ac:dyDescent="0.25">
      <c r="A404" s="5"/>
      <c r="C404"/>
      <c r="D404"/>
      <c r="P404">
        <f t="shared" si="974"/>
        <v>0</v>
      </c>
      <c r="Q404">
        <f t="shared" si="975"/>
        <v>0</v>
      </c>
      <c r="R404">
        <f t="shared" si="976"/>
        <v>0</v>
      </c>
      <c r="S404">
        <f t="shared" si="977"/>
        <v>0</v>
      </c>
      <c r="T404">
        <f t="shared" si="978"/>
        <v>0</v>
      </c>
    </row>
    <row r="405" spans="1:20" x14ac:dyDescent="0.25">
      <c r="A405" s="5"/>
      <c r="C405"/>
      <c r="D405"/>
      <c r="P405">
        <f t="shared" si="974"/>
        <v>0</v>
      </c>
      <c r="Q405">
        <f t="shared" si="975"/>
        <v>0</v>
      </c>
      <c r="R405">
        <f t="shared" si="976"/>
        <v>0</v>
      </c>
      <c r="S405">
        <f t="shared" si="977"/>
        <v>0</v>
      </c>
      <c r="T405">
        <f t="shared" si="978"/>
        <v>0</v>
      </c>
    </row>
    <row r="406" spans="1:20" x14ac:dyDescent="0.25">
      <c r="A406" s="5"/>
      <c r="C406"/>
      <c r="D406"/>
      <c r="P406">
        <f t="shared" si="974"/>
        <v>0</v>
      </c>
      <c r="Q406">
        <f t="shared" si="975"/>
        <v>0</v>
      </c>
      <c r="R406">
        <f t="shared" si="976"/>
        <v>0</v>
      </c>
      <c r="S406">
        <f t="shared" si="977"/>
        <v>0</v>
      </c>
      <c r="T406">
        <f t="shared" si="978"/>
        <v>0</v>
      </c>
    </row>
    <row r="407" spans="1:20" x14ac:dyDescent="0.25">
      <c r="A407" s="5"/>
      <c r="C407"/>
      <c r="D407"/>
      <c r="P407">
        <f t="shared" si="974"/>
        <v>0</v>
      </c>
      <c r="Q407">
        <f t="shared" si="975"/>
        <v>0</v>
      </c>
      <c r="R407">
        <f t="shared" si="976"/>
        <v>0</v>
      </c>
      <c r="S407">
        <f t="shared" si="977"/>
        <v>0</v>
      </c>
      <c r="T407">
        <f t="shared" si="978"/>
        <v>0</v>
      </c>
    </row>
    <row r="408" spans="1:20" x14ac:dyDescent="0.25">
      <c r="A408" s="5"/>
      <c r="C408"/>
      <c r="D408"/>
      <c r="P408">
        <f t="shared" si="974"/>
        <v>0</v>
      </c>
      <c r="Q408">
        <f t="shared" si="975"/>
        <v>0</v>
      </c>
      <c r="R408">
        <f t="shared" si="976"/>
        <v>0</v>
      </c>
      <c r="S408">
        <f t="shared" si="977"/>
        <v>0</v>
      </c>
      <c r="T408">
        <f t="shared" si="978"/>
        <v>0</v>
      </c>
    </row>
    <row r="409" spans="1:20" x14ac:dyDescent="0.25">
      <c r="A409" s="5"/>
      <c r="C409"/>
      <c r="D409"/>
      <c r="P409">
        <f t="shared" si="974"/>
        <v>0</v>
      </c>
      <c r="Q409">
        <f t="shared" si="975"/>
        <v>0</v>
      </c>
      <c r="R409">
        <f t="shared" si="976"/>
        <v>0</v>
      </c>
      <c r="S409">
        <f t="shared" si="977"/>
        <v>0</v>
      </c>
      <c r="T409">
        <f t="shared" si="978"/>
        <v>0</v>
      </c>
    </row>
    <row r="410" spans="1:20" x14ac:dyDescent="0.25">
      <c r="A410" s="5"/>
      <c r="C410"/>
      <c r="D410"/>
      <c r="P410">
        <f t="shared" si="974"/>
        <v>0</v>
      </c>
      <c r="Q410">
        <f t="shared" si="975"/>
        <v>0</v>
      </c>
      <c r="R410">
        <f t="shared" si="976"/>
        <v>0</v>
      </c>
      <c r="S410">
        <f t="shared" si="977"/>
        <v>0</v>
      </c>
      <c r="T410">
        <f t="shared" si="978"/>
        <v>0</v>
      </c>
    </row>
    <row r="411" spans="1:20" x14ac:dyDescent="0.25">
      <c r="A411" s="5"/>
      <c r="C411"/>
      <c r="D411"/>
      <c r="P411">
        <f t="shared" si="974"/>
        <v>0</v>
      </c>
      <c r="Q411">
        <f t="shared" si="975"/>
        <v>0</v>
      </c>
      <c r="R411">
        <f t="shared" si="976"/>
        <v>0</v>
      </c>
      <c r="S411">
        <f t="shared" si="977"/>
        <v>0</v>
      </c>
      <c r="T411">
        <f t="shared" si="978"/>
        <v>0</v>
      </c>
    </row>
    <row r="412" spans="1:20" x14ac:dyDescent="0.25">
      <c r="A412" s="5"/>
      <c r="C412"/>
      <c r="D412"/>
      <c r="P412">
        <f t="shared" si="974"/>
        <v>0</v>
      </c>
      <c r="Q412">
        <f t="shared" si="975"/>
        <v>0</v>
      </c>
      <c r="R412">
        <f t="shared" si="976"/>
        <v>0</v>
      </c>
      <c r="S412">
        <f t="shared" si="977"/>
        <v>0</v>
      </c>
      <c r="T412">
        <f t="shared" si="978"/>
        <v>0</v>
      </c>
    </row>
    <row r="413" spans="1:20" x14ac:dyDescent="0.25">
      <c r="A413" s="5"/>
      <c r="C413"/>
      <c r="D413"/>
      <c r="P413">
        <f t="shared" si="974"/>
        <v>0</v>
      </c>
      <c r="Q413">
        <f t="shared" si="975"/>
        <v>0</v>
      </c>
      <c r="R413">
        <f t="shared" si="976"/>
        <v>0</v>
      </c>
      <c r="S413">
        <f t="shared" si="977"/>
        <v>0</v>
      </c>
      <c r="T413">
        <f t="shared" si="978"/>
        <v>0</v>
      </c>
    </row>
    <row r="414" spans="1:20" x14ac:dyDescent="0.25">
      <c r="A414" s="5"/>
      <c r="C414"/>
      <c r="D414"/>
      <c r="P414">
        <f t="shared" si="974"/>
        <v>0</v>
      </c>
      <c r="Q414">
        <f t="shared" si="975"/>
        <v>0</v>
      </c>
      <c r="R414">
        <f t="shared" si="976"/>
        <v>0</v>
      </c>
      <c r="S414">
        <f t="shared" si="977"/>
        <v>0</v>
      </c>
      <c r="T414">
        <f t="shared" si="978"/>
        <v>0</v>
      </c>
    </row>
    <row r="415" spans="1:20" x14ac:dyDescent="0.25">
      <c r="A415" s="5"/>
      <c r="C415"/>
      <c r="D415"/>
      <c r="P415">
        <f t="shared" si="974"/>
        <v>0</v>
      </c>
      <c r="Q415">
        <f t="shared" si="975"/>
        <v>0</v>
      </c>
      <c r="R415">
        <f t="shared" si="976"/>
        <v>0</v>
      </c>
      <c r="S415">
        <f t="shared" si="977"/>
        <v>0</v>
      </c>
      <c r="T415">
        <f t="shared" si="978"/>
        <v>0</v>
      </c>
    </row>
    <row r="416" spans="1:20" x14ac:dyDescent="0.25">
      <c r="A416" s="5"/>
      <c r="C416"/>
      <c r="D416"/>
      <c r="P416">
        <f t="shared" si="974"/>
        <v>0</v>
      </c>
      <c r="Q416">
        <f t="shared" si="975"/>
        <v>0</v>
      </c>
      <c r="R416">
        <f t="shared" si="976"/>
        <v>0</v>
      </c>
      <c r="S416">
        <f t="shared" si="977"/>
        <v>0</v>
      </c>
      <c r="T416">
        <f t="shared" si="978"/>
        <v>0</v>
      </c>
    </row>
    <row r="417" spans="1:20" x14ac:dyDescent="0.25">
      <c r="A417" s="5"/>
      <c r="C417"/>
      <c r="D417"/>
      <c r="P417">
        <f t="shared" si="974"/>
        <v>0</v>
      </c>
      <c r="Q417">
        <f t="shared" si="975"/>
        <v>0</v>
      </c>
      <c r="R417">
        <f t="shared" si="976"/>
        <v>0</v>
      </c>
      <c r="S417">
        <f t="shared" si="977"/>
        <v>0</v>
      </c>
      <c r="T417">
        <f t="shared" si="978"/>
        <v>0</v>
      </c>
    </row>
    <row r="418" spans="1:20" x14ac:dyDescent="0.25">
      <c r="A418" s="5"/>
      <c r="C418"/>
      <c r="D418"/>
      <c r="P418">
        <f t="shared" si="974"/>
        <v>0</v>
      </c>
      <c r="Q418">
        <f t="shared" si="975"/>
        <v>0</v>
      </c>
      <c r="R418">
        <f t="shared" si="976"/>
        <v>0</v>
      </c>
      <c r="S418">
        <f t="shared" si="977"/>
        <v>0</v>
      </c>
      <c r="T418">
        <f t="shared" si="978"/>
        <v>0</v>
      </c>
    </row>
    <row r="419" spans="1:20" x14ac:dyDescent="0.25">
      <c r="A419" s="5"/>
      <c r="C419"/>
      <c r="D419"/>
      <c r="P419">
        <f t="shared" si="974"/>
        <v>0</v>
      </c>
      <c r="Q419">
        <f t="shared" si="975"/>
        <v>0</v>
      </c>
      <c r="R419">
        <f t="shared" si="976"/>
        <v>0</v>
      </c>
      <c r="S419">
        <f t="shared" si="977"/>
        <v>0</v>
      </c>
      <c r="T419">
        <f t="shared" si="978"/>
        <v>0</v>
      </c>
    </row>
    <row r="420" spans="1:20" x14ac:dyDescent="0.25">
      <c r="A420" s="5"/>
      <c r="C420"/>
      <c r="D420"/>
      <c r="P420">
        <f t="shared" si="974"/>
        <v>0</v>
      </c>
      <c r="Q420">
        <f t="shared" si="975"/>
        <v>0</v>
      </c>
      <c r="R420">
        <f t="shared" si="976"/>
        <v>0</v>
      </c>
      <c r="S420">
        <f t="shared" si="977"/>
        <v>0</v>
      </c>
      <c r="T420">
        <f t="shared" si="978"/>
        <v>0</v>
      </c>
    </row>
    <row r="421" spans="1:20" x14ac:dyDescent="0.25">
      <c r="A421" s="5"/>
      <c r="C421"/>
      <c r="D421"/>
      <c r="P421">
        <f t="shared" si="974"/>
        <v>0</v>
      </c>
      <c r="Q421">
        <f t="shared" si="975"/>
        <v>0</v>
      </c>
      <c r="R421">
        <f t="shared" si="976"/>
        <v>0</v>
      </c>
      <c r="S421">
        <f t="shared" si="977"/>
        <v>0</v>
      </c>
      <c r="T421">
        <f t="shared" si="978"/>
        <v>0</v>
      </c>
    </row>
    <row r="422" spans="1:20" x14ac:dyDescent="0.25">
      <c r="A422" s="5"/>
      <c r="C422"/>
      <c r="D422"/>
      <c r="P422">
        <f t="shared" si="974"/>
        <v>0</v>
      </c>
      <c r="Q422">
        <f t="shared" si="975"/>
        <v>0</v>
      </c>
      <c r="R422">
        <f t="shared" si="976"/>
        <v>0</v>
      </c>
      <c r="S422">
        <f t="shared" si="977"/>
        <v>0</v>
      </c>
      <c r="T422">
        <f t="shared" si="978"/>
        <v>0</v>
      </c>
    </row>
    <row r="423" spans="1:20" x14ac:dyDescent="0.25">
      <c r="A423" s="5"/>
      <c r="C423"/>
      <c r="D423"/>
      <c r="P423">
        <f t="shared" si="974"/>
        <v>0</v>
      </c>
      <c r="Q423">
        <f t="shared" si="975"/>
        <v>0</v>
      </c>
      <c r="R423">
        <f t="shared" si="976"/>
        <v>0</v>
      </c>
      <c r="S423">
        <f t="shared" si="977"/>
        <v>0</v>
      </c>
      <c r="T423">
        <f t="shared" si="978"/>
        <v>0</v>
      </c>
    </row>
    <row r="424" spans="1:20" x14ac:dyDescent="0.25">
      <c r="A424" s="5"/>
      <c r="C424"/>
      <c r="D424"/>
      <c r="P424">
        <f t="shared" si="974"/>
        <v>0</v>
      </c>
      <c r="Q424">
        <f t="shared" si="975"/>
        <v>0</v>
      </c>
      <c r="R424">
        <f t="shared" si="976"/>
        <v>0</v>
      </c>
      <c r="S424">
        <f t="shared" si="977"/>
        <v>0</v>
      </c>
      <c r="T424">
        <f t="shared" si="978"/>
        <v>0</v>
      </c>
    </row>
    <row r="425" spans="1:20" x14ac:dyDescent="0.25">
      <c r="A425" s="5"/>
      <c r="C425"/>
      <c r="D425"/>
      <c r="P425">
        <f t="shared" si="974"/>
        <v>0</v>
      </c>
      <c r="Q425">
        <f t="shared" si="975"/>
        <v>0</v>
      </c>
      <c r="R425">
        <f t="shared" si="976"/>
        <v>0</v>
      </c>
      <c r="S425">
        <f t="shared" si="977"/>
        <v>0</v>
      </c>
      <c r="T425">
        <f t="shared" si="978"/>
        <v>0</v>
      </c>
    </row>
    <row r="426" spans="1:20" x14ac:dyDescent="0.25">
      <c r="A426" s="5"/>
      <c r="C426"/>
      <c r="D426"/>
      <c r="P426">
        <f t="shared" si="974"/>
        <v>0</v>
      </c>
      <c r="Q426">
        <f t="shared" si="975"/>
        <v>0</v>
      </c>
      <c r="R426">
        <f t="shared" si="976"/>
        <v>0</v>
      </c>
      <c r="S426">
        <f t="shared" si="977"/>
        <v>0</v>
      </c>
      <c r="T426">
        <f t="shared" si="978"/>
        <v>0</v>
      </c>
    </row>
    <row r="427" spans="1:20" x14ac:dyDescent="0.25">
      <c r="A427" s="5"/>
      <c r="C427"/>
      <c r="D427"/>
      <c r="P427">
        <f t="shared" si="974"/>
        <v>0</v>
      </c>
      <c r="Q427">
        <f t="shared" si="975"/>
        <v>0</v>
      </c>
      <c r="R427">
        <f t="shared" si="976"/>
        <v>0</v>
      </c>
      <c r="S427">
        <f t="shared" si="977"/>
        <v>0</v>
      </c>
      <c r="T427">
        <f t="shared" si="978"/>
        <v>0</v>
      </c>
    </row>
    <row r="428" spans="1:20" x14ac:dyDescent="0.25">
      <c r="A428" s="5"/>
      <c r="C428"/>
      <c r="D428"/>
      <c r="P428">
        <f t="shared" si="974"/>
        <v>0</v>
      </c>
      <c r="Q428">
        <f t="shared" si="975"/>
        <v>0</v>
      </c>
      <c r="R428">
        <f t="shared" si="976"/>
        <v>0</v>
      </c>
      <c r="S428">
        <f t="shared" si="977"/>
        <v>0</v>
      </c>
      <c r="T428">
        <f t="shared" si="978"/>
        <v>0</v>
      </c>
    </row>
    <row r="429" spans="1:20" x14ac:dyDescent="0.25">
      <c r="A429" s="5"/>
      <c r="C429"/>
      <c r="D429"/>
      <c r="P429">
        <f t="shared" si="974"/>
        <v>0</v>
      </c>
      <c r="Q429">
        <f t="shared" si="975"/>
        <v>0</v>
      </c>
      <c r="R429">
        <f t="shared" si="976"/>
        <v>0</v>
      </c>
      <c r="S429">
        <f t="shared" si="977"/>
        <v>0</v>
      </c>
      <c r="T429">
        <f t="shared" si="978"/>
        <v>0</v>
      </c>
    </row>
    <row r="430" spans="1:20" x14ac:dyDescent="0.25">
      <c r="A430" s="5"/>
      <c r="C430"/>
      <c r="D430"/>
      <c r="P430">
        <f t="shared" si="974"/>
        <v>0</v>
      </c>
      <c r="Q430">
        <f t="shared" si="975"/>
        <v>0</v>
      </c>
      <c r="R430">
        <f t="shared" si="976"/>
        <v>0</v>
      </c>
      <c r="S430">
        <f t="shared" si="977"/>
        <v>0</v>
      </c>
      <c r="T430">
        <f t="shared" si="978"/>
        <v>0</v>
      </c>
    </row>
    <row r="431" spans="1:20" x14ac:dyDescent="0.25">
      <c r="A431" s="5"/>
      <c r="C431"/>
      <c r="D431"/>
      <c r="P431">
        <f t="shared" si="974"/>
        <v>0</v>
      </c>
      <c r="Q431">
        <f t="shared" si="975"/>
        <v>0</v>
      </c>
      <c r="R431">
        <f t="shared" si="976"/>
        <v>0</v>
      </c>
      <c r="S431">
        <f t="shared" si="977"/>
        <v>0</v>
      </c>
      <c r="T431">
        <f t="shared" si="978"/>
        <v>0</v>
      </c>
    </row>
    <row r="432" spans="1:20" x14ac:dyDescent="0.25">
      <c r="A432" s="5"/>
      <c r="C432"/>
      <c r="D432"/>
      <c r="P432">
        <f t="shared" si="974"/>
        <v>0</v>
      </c>
      <c r="Q432">
        <f t="shared" si="975"/>
        <v>0</v>
      </c>
      <c r="R432">
        <f t="shared" si="976"/>
        <v>0</v>
      </c>
      <c r="S432">
        <f t="shared" si="977"/>
        <v>0</v>
      </c>
      <c r="T432">
        <f t="shared" si="978"/>
        <v>0</v>
      </c>
    </row>
    <row r="433" spans="1:20" x14ac:dyDescent="0.25">
      <c r="A433" s="5"/>
      <c r="C433"/>
      <c r="D433"/>
      <c r="P433">
        <f t="shared" si="974"/>
        <v>0</v>
      </c>
      <c r="Q433">
        <f t="shared" si="975"/>
        <v>0</v>
      </c>
      <c r="R433">
        <f t="shared" si="976"/>
        <v>0</v>
      </c>
      <c r="S433">
        <f t="shared" si="977"/>
        <v>0</v>
      </c>
      <c r="T433">
        <f t="shared" si="978"/>
        <v>0</v>
      </c>
    </row>
    <row r="434" spans="1:20" x14ac:dyDescent="0.25">
      <c r="A434" s="5"/>
      <c r="C434"/>
      <c r="D434"/>
      <c r="P434">
        <f t="shared" si="974"/>
        <v>0</v>
      </c>
      <c r="Q434">
        <f t="shared" si="975"/>
        <v>0</v>
      </c>
      <c r="R434">
        <f t="shared" si="976"/>
        <v>0</v>
      </c>
      <c r="S434">
        <f t="shared" si="977"/>
        <v>0</v>
      </c>
      <c r="T434">
        <f t="shared" si="978"/>
        <v>0</v>
      </c>
    </row>
    <row r="435" spans="1:20" x14ac:dyDescent="0.25">
      <c r="A435" s="5"/>
      <c r="C435"/>
      <c r="D435"/>
      <c r="P435">
        <f t="shared" si="974"/>
        <v>0</v>
      </c>
      <c r="Q435">
        <f t="shared" si="975"/>
        <v>0</v>
      </c>
      <c r="R435">
        <f t="shared" si="976"/>
        <v>0</v>
      </c>
      <c r="S435">
        <f t="shared" si="977"/>
        <v>0</v>
      </c>
      <c r="T435">
        <f t="shared" si="978"/>
        <v>0</v>
      </c>
    </row>
    <row r="436" spans="1:20" x14ac:dyDescent="0.25">
      <c r="A436" s="5"/>
      <c r="C436"/>
      <c r="D436"/>
      <c r="P436">
        <f t="shared" si="974"/>
        <v>0</v>
      </c>
      <c r="Q436">
        <f t="shared" si="975"/>
        <v>0</v>
      </c>
      <c r="R436">
        <f t="shared" si="976"/>
        <v>0</v>
      </c>
      <c r="S436">
        <f t="shared" si="977"/>
        <v>0</v>
      </c>
      <c r="T436">
        <f t="shared" si="978"/>
        <v>0</v>
      </c>
    </row>
    <row r="437" spans="1:20" x14ac:dyDescent="0.25">
      <c r="A437" s="5"/>
      <c r="C437"/>
      <c r="D437"/>
      <c r="P437">
        <f t="shared" si="974"/>
        <v>0</v>
      </c>
      <c r="Q437">
        <f t="shared" si="975"/>
        <v>0</v>
      </c>
      <c r="R437">
        <f t="shared" si="976"/>
        <v>0</v>
      </c>
      <c r="S437">
        <f t="shared" si="977"/>
        <v>0</v>
      </c>
      <c r="T437">
        <f t="shared" si="978"/>
        <v>0</v>
      </c>
    </row>
    <row r="438" spans="1:20" x14ac:dyDescent="0.25">
      <c r="A438" s="5"/>
      <c r="C438"/>
      <c r="D438"/>
      <c r="P438">
        <f t="shared" si="974"/>
        <v>0</v>
      </c>
      <c r="Q438">
        <f t="shared" si="975"/>
        <v>0</v>
      </c>
      <c r="R438">
        <f t="shared" si="976"/>
        <v>0</v>
      </c>
      <c r="S438">
        <f t="shared" si="977"/>
        <v>0</v>
      </c>
      <c r="T438">
        <f t="shared" si="978"/>
        <v>0</v>
      </c>
    </row>
    <row r="439" spans="1:20" x14ac:dyDescent="0.25">
      <c r="A439" s="5"/>
      <c r="C439"/>
      <c r="D439"/>
      <c r="P439">
        <f t="shared" si="974"/>
        <v>0</v>
      </c>
      <c r="Q439">
        <f t="shared" si="975"/>
        <v>0</v>
      </c>
      <c r="R439">
        <f t="shared" si="976"/>
        <v>0</v>
      </c>
      <c r="S439">
        <f t="shared" si="977"/>
        <v>0</v>
      </c>
      <c r="T439">
        <f t="shared" si="978"/>
        <v>0</v>
      </c>
    </row>
    <row r="440" spans="1:20" x14ac:dyDescent="0.25">
      <c r="A440" s="5"/>
      <c r="C440"/>
      <c r="D440"/>
      <c r="P440">
        <f t="shared" si="974"/>
        <v>0</v>
      </c>
      <c r="Q440">
        <f t="shared" si="975"/>
        <v>0</v>
      </c>
      <c r="R440">
        <f t="shared" si="976"/>
        <v>0</v>
      </c>
      <c r="S440">
        <f t="shared" si="977"/>
        <v>0</v>
      </c>
      <c r="T440">
        <f t="shared" si="978"/>
        <v>0</v>
      </c>
    </row>
    <row r="441" spans="1:20" x14ac:dyDescent="0.25">
      <c r="A441" s="5"/>
      <c r="C441"/>
      <c r="D441"/>
      <c r="P441">
        <f t="shared" si="974"/>
        <v>0</v>
      </c>
      <c r="Q441">
        <f t="shared" si="975"/>
        <v>0</v>
      </c>
      <c r="R441">
        <f t="shared" si="976"/>
        <v>0</v>
      </c>
      <c r="S441">
        <f t="shared" si="977"/>
        <v>0</v>
      </c>
      <c r="T441">
        <f t="shared" si="978"/>
        <v>0</v>
      </c>
    </row>
    <row r="442" spans="1:20" x14ac:dyDescent="0.25">
      <c r="A442" s="5"/>
      <c r="C442"/>
      <c r="D442"/>
      <c r="P442">
        <f t="shared" si="974"/>
        <v>0</v>
      </c>
      <c r="Q442">
        <f t="shared" si="975"/>
        <v>0</v>
      </c>
      <c r="R442">
        <f t="shared" si="976"/>
        <v>0</v>
      </c>
      <c r="S442">
        <f t="shared" si="977"/>
        <v>0</v>
      </c>
      <c r="T442">
        <f t="shared" si="978"/>
        <v>0</v>
      </c>
    </row>
    <row r="443" spans="1:20" x14ac:dyDescent="0.25">
      <c r="A443" s="5"/>
      <c r="C443"/>
      <c r="D443"/>
      <c r="P443">
        <f t="shared" si="974"/>
        <v>0</v>
      </c>
      <c r="Q443">
        <f t="shared" si="975"/>
        <v>0</v>
      </c>
      <c r="R443">
        <f t="shared" si="976"/>
        <v>0</v>
      </c>
      <c r="S443">
        <f t="shared" si="977"/>
        <v>0</v>
      </c>
      <c r="T443">
        <f t="shared" si="978"/>
        <v>0</v>
      </c>
    </row>
    <row r="444" spans="1:20" x14ac:dyDescent="0.25">
      <c r="A444" s="5"/>
      <c r="C444"/>
      <c r="D444"/>
      <c r="P444">
        <f t="shared" si="974"/>
        <v>0</v>
      </c>
      <c r="Q444">
        <f t="shared" si="975"/>
        <v>0</v>
      </c>
      <c r="R444">
        <f t="shared" si="976"/>
        <v>0</v>
      </c>
      <c r="S444">
        <f t="shared" si="977"/>
        <v>0</v>
      </c>
      <c r="T444">
        <f t="shared" si="978"/>
        <v>0</v>
      </c>
    </row>
    <row r="445" spans="1:20" x14ac:dyDescent="0.25">
      <c r="A445" s="5"/>
      <c r="C445"/>
      <c r="D445"/>
      <c r="P445">
        <f t="shared" si="974"/>
        <v>0</v>
      </c>
      <c r="Q445">
        <f t="shared" si="975"/>
        <v>0</v>
      </c>
      <c r="R445">
        <f t="shared" si="976"/>
        <v>0</v>
      </c>
      <c r="S445">
        <f t="shared" si="977"/>
        <v>0</v>
      </c>
      <c r="T445">
        <f t="shared" si="978"/>
        <v>0</v>
      </c>
    </row>
    <row r="446" spans="1:20" x14ac:dyDescent="0.25">
      <c r="A446" s="5"/>
      <c r="C446"/>
      <c r="D446"/>
      <c r="P446">
        <f t="shared" si="974"/>
        <v>0</v>
      </c>
      <c r="Q446">
        <f t="shared" si="975"/>
        <v>0</v>
      </c>
      <c r="R446">
        <f t="shared" si="976"/>
        <v>0</v>
      </c>
      <c r="S446">
        <f t="shared" si="977"/>
        <v>0</v>
      </c>
      <c r="T446">
        <f t="shared" si="978"/>
        <v>0</v>
      </c>
    </row>
    <row r="447" spans="1:20" x14ac:dyDescent="0.25">
      <c r="A447" s="5"/>
      <c r="C447"/>
      <c r="D447"/>
      <c r="P447">
        <f t="shared" si="974"/>
        <v>0</v>
      </c>
      <c r="Q447">
        <f t="shared" si="975"/>
        <v>0</v>
      </c>
      <c r="R447">
        <f t="shared" si="976"/>
        <v>0</v>
      </c>
      <c r="S447">
        <f t="shared" si="977"/>
        <v>0</v>
      </c>
      <c r="T447">
        <f t="shared" si="978"/>
        <v>0</v>
      </c>
    </row>
    <row r="448" spans="1:20" x14ac:dyDescent="0.25">
      <c r="A448" s="5"/>
      <c r="C448"/>
      <c r="D448"/>
      <c r="P448">
        <f t="shared" si="974"/>
        <v>0</v>
      </c>
      <c r="Q448">
        <f t="shared" si="975"/>
        <v>0</v>
      </c>
      <c r="R448">
        <f t="shared" si="976"/>
        <v>0</v>
      </c>
      <c r="S448">
        <f t="shared" si="977"/>
        <v>0</v>
      </c>
      <c r="T448">
        <f t="shared" si="978"/>
        <v>0</v>
      </c>
    </row>
    <row r="449" spans="1:20" x14ac:dyDescent="0.25">
      <c r="A449" s="5"/>
      <c r="C449"/>
      <c r="D449"/>
      <c r="P449">
        <f t="shared" si="974"/>
        <v>0</v>
      </c>
      <c r="Q449">
        <f t="shared" si="975"/>
        <v>0</v>
      </c>
      <c r="R449">
        <f t="shared" si="976"/>
        <v>0</v>
      </c>
      <c r="S449">
        <f t="shared" si="977"/>
        <v>0</v>
      </c>
      <c r="T449">
        <f t="shared" si="978"/>
        <v>0</v>
      </c>
    </row>
    <row r="450" spans="1:20" x14ac:dyDescent="0.25">
      <c r="A450" s="5"/>
      <c r="C450"/>
      <c r="D450"/>
      <c r="P450">
        <f t="shared" si="974"/>
        <v>0</v>
      </c>
      <c r="Q450">
        <f t="shared" si="975"/>
        <v>0</v>
      </c>
      <c r="R450">
        <f t="shared" si="976"/>
        <v>0</v>
      </c>
      <c r="S450">
        <f t="shared" si="977"/>
        <v>0</v>
      </c>
      <c r="T450">
        <f t="shared" si="978"/>
        <v>0</v>
      </c>
    </row>
    <row r="451" spans="1:20" x14ac:dyDescent="0.25">
      <c r="A451" s="5"/>
      <c r="C451"/>
      <c r="D451"/>
      <c r="P451">
        <f t="shared" si="974"/>
        <v>0</v>
      </c>
      <c r="Q451">
        <f t="shared" si="975"/>
        <v>0</v>
      </c>
      <c r="R451">
        <f t="shared" si="976"/>
        <v>0</v>
      </c>
      <c r="S451">
        <f t="shared" si="977"/>
        <v>0</v>
      </c>
      <c r="T451">
        <f t="shared" si="978"/>
        <v>0</v>
      </c>
    </row>
    <row r="452" spans="1:20" x14ac:dyDescent="0.25">
      <c r="A452" s="5"/>
      <c r="C452"/>
      <c r="D452"/>
      <c r="P452">
        <f t="shared" si="974"/>
        <v>0</v>
      </c>
      <c r="Q452">
        <f t="shared" si="975"/>
        <v>0</v>
      </c>
      <c r="R452">
        <f t="shared" si="976"/>
        <v>0</v>
      </c>
      <c r="S452">
        <f t="shared" si="977"/>
        <v>0</v>
      </c>
      <c r="T452">
        <f t="shared" si="978"/>
        <v>0</v>
      </c>
    </row>
    <row r="453" spans="1:20" x14ac:dyDescent="0.25">
      <c r="A453" s="5"/>
      <c r="C453"/>
      <c r="D453"/>
      <c r="P453">
        <f t="shared" si="974"/>
        <v>0</v>
      </c>
      <c r="Q453">
        <f t="shared" si="975"/>
        <v>0</v>
      </c>
      <c r="R453">
        <f t="shared" si="976"/>
        <v>0</v>
      </c>
      <c r="S453">
        <f t="shared" si="977"/>
        <v>0</v>
      </c>
      <c r="T453">
        <f t="shared" si="978"/>
        <v>0</v>
      </c>
    </row>
    <row r="454" spans="1:20" x14ac:dyDescent="0.25">
      <c r="A454" s="5"/>
      <c r="C454"/>
      <c r="D454"/>
      <c r="P454">
        <f t="shared" ref="P454:P517" si="979">IF(C454=D454,0,((E454-D454)-(C454-E454))/(C454-D454))</f>
        <v>0</v>
      </c>
      <c r="Q454">
        <f t="shared" ref="Q454:Q517" si="980">F454*P454</f>
        <v>0</v>
      </c>
      <c r="R454">
        <f t="shared" ref="R454:R517" si="981">R455+Q454</f>
        <v>0</v>
      </c>
      <c r="S454">
        <f t="shared" ref="S454:S517" si="982">R454/100000</f>
        <v>0</v>
      </c>
      <c r="T454">
        <f t="shared" ref="T454:T517" si="983">S454/1000</f>
        <v>0</v>
      </c>
    </row>
    <row r="455" spans="1:20" x14ac:dyDescent="0.25">
      <c r="A455" s="5"/>
      <c r="C455"/>
      <c r="D455"/>
      <c r="P455">
        <f t="shared" si="979"/>
        <v>0</v>
      </c>
      <c r="Q455">
        <f t="shared" si="980"/>
        <v>0</v>
      </c>
      <c r="R455">
        <f t="shared" si="981"/>
        <v>0</v>
      </c>
      <c r="S455">
        <f t="shared" si="982"/>
        <v>0</v>
      </c>
      <c r="T455">
        <f t="shared" si="983"/>
        <v>0</v>
      </c>
    </row>
    <row r="456" spans="1:20" x14ac:dyDescent="0.25">
      <c r="A456" s="5"/>
      <c r="C456"/>
      <c r="D456"/>
      <c r="P456">
        <f t="shared" si="979"/>
        <v>0</v>
      </c>
      <c r="Q456">
        <f t="shared" si="980"/>
        <v>0</v>
      </c>
      <c r="R456">
        <f t="shared" si="981"/>
        <v>0</v>
      </c>
      <c r="S456">
        <f t="shared" si="982"/>
        <v>0</v>
      </c>
      <c r="T456">
        <f t="shared" si="983"/>
        <v>0</v>
      </c>
    </row>
    <row r="457" spans="1:20" x14ac:dyDescent="0.25">
      <c r="A457" s="5"/>
      <c r="C457"/>
      <c r="D457"/>
      <c r="P457">
        <f t="shared" si="979"/>
        <v>0</v>
      </c>
      <c r="Q457">
        <f t="shared" si="980"/>
        <v>0</v>
      </c>
      <c r="R457">
        <f t="shared" si="981"/>
        <v>0</v>
      </c>
      <c r="S457">
        <f t="shared" si="982"/>
        <v>0</v>
      </c>
      <c r="T457">
        <f t="shared" si="983"/>
        <v>0</v>
      </c>
    </row>
    <row r="458" spans="1:20" x14ac:dyDescent="0.25">
      <c r="A458" s="5"/>
      <c r="C458"/>
      <c r="D458"/>
      <c r="P458">
        <f t="shared" si="979"/>
        <v>0</v>
      </c>
      <c r="Q458">
        <f t="shared" si="980"/>
        <v>0</v>
      </c>
      <c r="R458">
        <f t="shared" si="981"/>
        <v>0</v>
      </c>
      <c r="S458">
        <f t="shared" si="982"/>
        <v>0</v>
      </c>
      <c r="T458">
        <f t="shared" si="983"/>
        <v>0</v>
      </c>
    </row>
    <row r="459" spans="1:20" x14ac:dyDescent="0.25">
      <c r="A459" s="5"/>
      <c r="C459"/>
      <c r="D459"/>
      <c r="P459">
        <f t="shared" si="979"/>
        <v>0</v>
      </c>
      <c r="Q459">
        <f t="shared" si="980"/>
        <v>0</v>
      </c>
      <c r="R459">
        <f t="shared" si="981"/>
        <v>0</v>
      </c>
      <c r="S459">
        <f t="shared" si="982"/>
        <v>0</v>
      </c>
      <c r="T459">
        <f t="shared" si="983"/>
        <v>0</v>
      </c>
    </row>
    <row r="460" spans="1:20" x14ac:dyDescent="0.25">
      <c r="A460" s="5"/>
      <c r="C460"/>
      <c r="D460"/>
      <c r="P460">
        <f t="shared" si="979"/>
        <v>0</v>
      </c>
      <c r="Q460">
        <f t="shared" si="980"/>
        <v>0</v>
      </c>
      <c r="R460">
        <f t="shared" si="981"/>
        <v>0</v>
      </c>
      <c r="S460">
        <f t="shared" si="982"/>
        <v>0</v>
      </c>
      <c r="T460">
        <f t="shared" si="983"/>
        <v>0</v>
      </c>
    </row>
    <row r="461" spans="1:20" x14ac:dyDescent="0.25">
      <c r="A461" s="5"/>
      <c r="C461"/>
      <c r="D461"/>
      <c r="P461">
        <f t="shared" si="979"/>
        <v>0</v>
      </c>
      <c r="Q461">
        <f t="shared" si="980"/>
        <v>0</v>
      </c>
      <c r="R461">
        <f t="shared" si="981"/>
        <v>0</v>
      </c>
      <c r="S461">
        <f t="shared" si="982"/>
        <v>0</v>
      </c>
      <c r="T461">
        <f t="shared" si="983"/>
        <v>0</v>
      </c>
    </row>
    <row r="462" spans="1:20" x14ac:dyDescent="0.25">
      <c r="A462" s="5"/>
      <c r="C462"/>
      <c r="D462"/>
      <c r="P462">
        <f t="shared" si="979"/>
        <v>0</v>
      </c>
      <c r="Q462">
        <f t="shared" si="980"/>
        <v>0</v>
      </c>
      <c r="R462">
        <f t="shared" si="981"/>
        <v>0</v>
      </c>
      <c r="S462">
        <f t="shared" si="982"/>
        <v>0</v>
      </c>
      <c r="T462">
        <f t="shared" si="983"/>
        <v>0</v>
      </c>
    </row>
    <row r="463" spans="1:20" x14ac:dyDescent="0.25">
      <c r="A463" s="5"/>
      <c r="C463"/>
      <c r="D463"/>
      <c r="P463">
        <f t="shared" si="979"/>
        <v>0</v>
      </c>
      <c r="Q463">
        <f t="shared" si="980"/>
        <v>0</v>
      </c>
      <c r="R463">
        <f t="shared" si="981"/>
        <v>0</v>
      </c>
      <c r="S463">
        <f t="shared" si="982"/>
        <v>0</v>
      </c>
      <c r="T463">
        <f t="shared" si="983"/>
        <v>0</v>
      </c>
    </row>
    <row r="464" spans="1:20" x14ac:dyDescent="0.25">
      <c r="A464" s="5"/>
      <c r="C464"/>
      <c r="D464"/>
      <c r="P464">
        <f t="shared" si="979"/>
        <v>0</v>
      </c>
      <c r="Q464">
        <f t="shared" si="980"/>
        <v>0</v>
      </c>
      <c r="R464">
        <f t="shared" si="981"/>
        <v>0</v>
      </c>
      <c r="S464">
        <f t="shared" si="982"/>
        <v>0</v>
      </c>
      <c r="T464">
        <f t="shared" si="983"/>
        <v>0</v>
      </c>
    </row>
    <row r="465" spans="1:20" x14ac:dyDescent="0.25">
      <c r="A465" s="5"/>
      <c r="C465"/>
      <c r="D465"/>
      <c r="P465">
        <f t="shared" si="979"/>
        <v>0</v>
      </c>
      <c r="Q465">
        <f t="shared" si="980"/>
        <v>0</v>
      </c>
      <c r="R465">
        <f t="shared" si="981"/>
        <v>0</v>
      </c>
      <c r="S465">
        <f t="shared" si="982"/>
        <v>0</v>
      </c>
      <c r="T465">
        <f t="shared" si="983"/>
        <v>0</v>
      </c>
    </row>
    <row r="466" spans="1:20" x14ac:dyDescent="0.25">
      <c r="A466" s="5"/>
      <c r="C466"/>
      <c r="D466"/>
      <c r="P466">
        <f t="shared" si="979"/>
        <v>0</v>
      </c>
      <c r="Q466">
        <f t="shared" si="980"/>
        <v>0</v>
      </c>
      <c r="R466">
        <f t="shared" si="981"/>
        <v>0</v>
      </c>
      <c r="S466">
        <f t="shared" si="982"/>
        <v>0</v>
      </c>
      <c r="T466">
        <f t="shared" si="983"/>
        <v>0</v>
      </c>
    </row>
    <row r="467" spans="1:20" x14ac:dyDescent="0.25">
      <c r="A467" s="5"/>
      <c r="C467"/>
      <c r="D467"/>
      <c r="P467">
        <f t="shared" si="979"/>
        <v>0</v>
      </c>
      <c r="Q467">
        <f t="shared" si="980"/>
        <v>0</v>
      </c>
      <c r="R467">
        <f t="shared" si="981"/>
        <v>0</v>
      </c>
      <c r="S467">
        <f t="shared" si="982"/>
        <v>0</v>
      </c>
      <c r="T467">
        <f t="shared" si="983"/>
        <v>0</v>
      </c>
    </row>
    <row r="468" spans="1:20" x14ac:dyDescent="0.25">
      <c r="A468" s="5"/>
      <c r="C468"/>
      <c r="D468"/>
      <c r="P468">
        <f t="shared" si="979"/>
        <v>0</v>
      </c>
      <c r="Q468">
        <f t="shared" si="980"/>
        <v>0</v>
      </c>
      <c r="R468">
        <f t="shared" si="981"/>
        <v>0</v>
      </c>
      <c r="S468">
        <f t="shared" si="982"/>
        <v>0</v>
      </c>
      <c r="T468">
        <f t="shared" si="983"/>
        <v>0</v>
      </c>
    </row>
    <row r="469" spans="1:20" x14ac:dyDescent="0.25">
      <c r="A469" s="5"/>
      <c r="C469"/>
      <c r="D469"/>
      <c r="P469">
        <f t="shared" si="979"/>
        <v>0</v>
      </c>
      <c r="Q469">
        <f t="shared" si="980"/>
        <v>0</v>
      </c>
      <c r="R469">
        <f t="shared" si="981"/>
        <v>0</v>
      </c>
      <c r="S469">
        <f t="shared" si="982"/>
        <v>0</v>
      </c>
      <c r="T469">
        <f t="shared" si="983"/>
        <v>0</v>
      </c>
    </row>
    <row r="470" spans="1:20" x14ac:dyDescent="0.25">
      <c r="A470" s="5"/>
      <c r="C470"/>
      <c r="D470"/>
      <c r="P470">
        <f t="shared" si="979"/>
        <v>0</v>
      </c>
      <c r="Q470">
        <f t="shared" si="980"/>
        <v>0</v>
      </c>
      <c r="R470">
        <f t="shared" si="981"/>
        <v>0</v>
      </c>
      <c r="S470">
        <f t="shared" si="982"/>
        <v>0</v>
      </c>
      <c r="T470">
        <f t="shared" si="983"/>
        <v>0</v>
      </c>
    </row>
    <row r="471" spans="1:20" x14ac:dyDescent="0.25">
      <c r="A471" s="5"/>
      <c r="C471"/>
      <c r="D471"/>
      <c r="P471">
        <f t="shared" si="979"/>
        <v>0</v>
      </c>
      <c r="Q471">
        <f t="shared" si="980"/>
        <v>0</v>
      </c>
      <c r="R471">
        <f t="shared" si="981"/>
        <v>0</v>
      </c>
      <c r="S471">
        <f t="shared" si="982"/>
        <v>0</v>
      </c>
      <c r="T471">
        <f t="shared" si="983"/>
        <v>0</v>
      </c>
    </row>
    <row r="472" spans="1:20" x14ac:dyDescent="0.25">
      <c r="A472" s="5"/>
      <c r="C472"/>
      <c r="D472"/>
      <c r="P472">
        <f t="shared" si="979"/>
        <v>0</v>
      </c>
      <c r="Q472">
        <f t="shared" si="980"/>
        <v>0</v>
      </c>
      <c r="R472">
        <f t="shared" si="981"/>
        <v>0</v>
      </c>
      <c r="S472">
        <f t="shared" si="982"/>
        <v>0</v>
      </c>
      <c r="T472">
        <f t="shared" si="983"/>
        <v>0</v>
      </c>
    </row>
    <row r="473" spans="1:20" x14ac:dyDescent="0.25">
      <c r="A473" s="5"/>
      <c r="C473"/>
      <c r="D473"/>
      <c r="P473">
        <f t="shared" si="979"/>
        <v>0</v>
      </c>
      <c r="Q473">
        <f t="shared" si="980"/>
        <v>0</v>
      </c>
      <c r="R473">
        <f t="shared" si="981"/>
        <v>0</v>
      </c>
      <c r="S473">
        <f t="shared" si="982"/>
        <v>0</v>
      </c>
      <c r="T473">
        <f t="shared" si="983"/>
        <v>0</v>
      </c>
    </row>
    <row r="474" spans="1:20" x14ac:dyDescent="0.25">
      <c r="A474" s="5"/>
      <c r="C474"/>
      <c r="D474"/>
      <c r="P474">
        <f t="shared" si="979"/>
        <v>0</v>
      </c>
      <c r="Q474">
        <f t="shared" si="980"/>
        <v>0</v>
      </c>
      <c r="R474">
        <f t="shared" si="981"/>
        <v>0</v>
      </c>
      <c r="S474">
        <f t="shared" si="982"/>
        <v>0</v>
      </c>
      <c r="T474">
        <f t="shared" si="983"/>
        <v>0</v>
      </c>
    </row>
    <row r="475" spans="1:20" x14ac:dyDescent="0.25">
      <c r="A475" s="5"/>
      <c r="C475"/>
      <c r="D475"/>
      <c r="P475">
        <f t="shared" si="979"/>
        <v>0</v>
      </c>
      <c r="Q475">
        <f t="shared" si="980"/>
        <v>0</v>
      </c>
      <c r="R475">
        <f t="shared" si="981"/>
        <v>0</v>
      </c>
      <c r="S475">
        <f t="shared" si="982"/>
        <v>0</v>
      </c>
      <c r="T475">
        <f t="shared" si="983"/>
        <v>0</v>
      </c>
    </row>
    <row r="476" spans="1:20" x14ac:dyDescent="0.25">
      <c r="A476" s="5"/>
      <c r="C476"/>
      <c r="D476"/>
      <c r="P476">
        <f t="shared" si="979"/>
        <v>0</v>
      </c>
      <c r="Q476">
        <f t="shared" si="980"/>
        <v>0</v>
      </c>
      <c r="R476">
        <f t="shared" si="981"/>
        <v>0</v>
      </c>
      <c r="S476">
        <f t="shared" si="982"/>
        <v>0</v>
      </c>
      <c r="T476">
        <f t="shared" si="983"/>
        <v>0</v>
      </c>
    </row>
    <row r="477" spans="1:20" x14ac:dyDescent="0.25">
      <c r="A477" s="5"/>
      <c r="C477"/>
      <c r="D477"/>
      <c r="P477">
        <f t="shared" si="979"/>
        <v>0</v>
      </c>
      <c r="Q477">
        <f t="shared" si="980"/>
        <v>0</v>
      </c>
      <c r="R477">
        <f t="shared" si="981"/>
        <v>0</v>
      </c>
      <c r="S477">
        <f t="shared" si="982"/>
        <v>0</v>
      </c>
      <c r="T477">
        <f t="shared" si="983"/>
        <v>0</v>
      </c>
    </row>
    <row r="478" spans="1:20" x14ac:dyDescent="0.25">
      <c r="A478" s="5"/>
      <c r="C478"/>
      <c r="D478"/>
      <c r="P478">
        <f t="shared" si="979"/>
        <v>0</v>
      </c>
      <c r="Q478">
        <f t="shared" si="980"/>
        <v>0</v>
      </c>
      <c r="R478">
        <f t="shared" si="981"/>
        <v>0</v>
      </c>
      <c r="S478">
        <f t="shared" si="982"/>
        <v>0</v>
      </c>
      <c r="T478">
        <f t="shared" si="983"/>
        <v>0</v>
      </c>
    </row>
    <row r="479" spans="1:20" x14ac:dyDescent="0.25">
      <c r="A479" s="5"/>
      <c r="C479"/>
      <c r="D479"/>
      <c r="P479">
        <f t="shared" si="979"/>
        <v>0</v>
      </c>
      <c r="Q479">
        <f t="shared" si="980"/>
        <v>0</v>
      </c>
      <c r="R479">
        <f t="shared" si="981"/>
        <v>0</v>
      </c>
      <c r="S479">
        <f t="shared" si="982"/>
        <v>0</v>
      </c>
      <c r="T479">
        <f t="shared" si="983"/>
        <v>0</v>
      </c>
    </row>
    <row r="480" spans="1:20" x14ac:dyDescent="0.25">
      <c r="A480" s="5"/>
      <c r="C480"/>
      <c r="D480"/>
      <c r="P480">
        <f t="shared" si="979"/>
        <v>0</v>
      </c>
      <c r="Q480">
        <f t="shared" si="980"/>
        <v>0</v>
      </c>
      <c r="R480">
        <f t="shared" si="981"/>
        <v>0</v>
      </c>
      <c r="S480">
        <f t="shared" si="982"/>
        <v>0</v>
      </c>
      <c r="T480">
        <f t="shared" si="983"/>
        <v>0</v>
      </c>
    </row>
    <row r="481" spans="1:20" x14ac:dyDescent="0.25">
      <c r="A481" s="5"/>
      <c r="C481"/>
      <c r="D481"/>
      <c r="P481">
        <f t="shared" si="979"/>
        <v>0</v>
      </c>
      <c r="Q481">
        <f t="shared" si="980"/>
        <v>0</v>
      </c>
      <c r="R481">
        <f t="shared" si="981"/>
        <v>0</v>
      </c>
      <c r="S481">
        <f t="shared" si="982"/>
        <v>0</v>
      </c>
      <c r="T481">
        <f t="shared" si="983"/>
        <v>0</v>
      </c>
    </row>
    <row r="482" spans="1:20" x14ac:dyDescent="0.25">
      <c r="A482" s="5"/>
      <c r="C482"/>
      <c r="D482"/>
      <c r="P482">
        <f t="shared" si="979"/>
        <v>0</v>
      </c>
      <c r="Q482">
        <f t="shared" si="980"/>
        <v>0</v>
      </c>
      <c r="R482">
        <f t="shared" si="981"/>
        <v>0</v>
      </c>
      <c r="S482">
        <f t="shared" si="982"/>
        <v>0</v>
      </c>
      <c r="T482">
        <f t="shared" si="983"/>
        <v>0</v>
      </c>
    </row>
    <row r="483" spans="1:20" x14ac:dyDescent="0.25">
      <c r="A483" s="5"/>
      <c r="C483"/>
      <c r="D483"/>
      <c r="P483">
        <f t="shared" si="979"/>
        <v>0</v>
      </c>
      <c r="Q483">
        <f t="shared" si="980"/>
        <v>0</v>
      </c>
      <c r="R483">
        <f t="shared" si="981"/>
        <v>0</v>
      </c>
      <c r="S483">
        <f t="shared" si="982"/>
        <v>0</v>
      </c>
      <c r="T483">
        <f t="shared" si="983"/>
        <v>0</v>
      </c>
    </row>
    <row r="484" spans="1:20" x14ac:dyDescent="0.25">
      <c r="A484" s="5"/>
      <c r="C484"/>
      <c r="D484"/>
      <c r="P484">
        <f t="shared" si="979"/>
        <v>0</v>
      </c>
      <c r="Q484">
        <f t="shared" si="980"/>
        <v>0</v>
      </c>
      <c r="R484">
        <f t="shared" si="981"/>
        <v>0</v>
      </c>
      <c r="S484">
        <f t="shared" si="982"/>
        <v>0</v>
      </c>
      <c r="T484">
        <f t="shared" si="983"/>
        <v>0</v>
      </c>
    </row>
    <row r="485" spans="1:20" x14ac:dyDescent="0.25">
      <c r="A485" s="5"/>
      <c r="C485"/>
      <c r="D485"/>
      <c r="P485">
        <f t="shared" si="979"/>
        <v>0</v>
      </c>
      <c r="Q485">
        <f t="shared" si="980"/>
        <v>0</v>
      </c>
      <c r="R485">
        <f t="shared" si="981"/>
        <v>0</v>
      </c>
      <c r="S485">
        <f t="shared" si="982"/>
        <v>0</v>
      </c>
      <c r="T485">
        <f t="shared" si="983"/>
        <v>0</v>
      </c>
    </row>
    <row r="486" spans="1:20" x14ac:dyDescent="0.25">
      <c r="A486" s="5"/>
      <c r="C486"/>
      <c r="D486"/>
      <c r="P486">
        <f t="shared" si="979"/>
        <v>0</v>
      </c>
      <c r="Q486">
        <f t="shared" si="980"/>
        <v>0</v>
      </c>
      <c r="R486">
        <f t="shared" si="981"/>
        <v>0</v>
      </c>
      <c r="S486">
        <f t="shared" si="982"/>
        <v>0</v>
      </c>
      <c r="T486">
        <f t="shared" si="983"/>
        <v>0</v>
      </c>
    </row>
    <row r="487" spans="1:20" x14ac:dyDescent="0.25">
      <c r="A487" s="5"/>
      <c r="C487"/>
      <c r="D487"/>
      <c r="P487">
        <f t="shared" si="979"/>
        <v>0</v>
      </c>
      <c r="Q487">
        <f t="shared" si="980"/>
        <v>0</v>
      </c>
      <c r="R487">
        <f t="shared" si="981"/>
        <v>0</v>
      </c>
      <c r="S487">
        <f t="shared" si="982"/>
        <v>0</v>
      </c>
      <c r="T487">
        <f t="shared" si="983"/>
        <v>0</v>
      </c>
    </row>
    <row r="488" spans="1:20" x14ac:dyDescent="0.25">
      <c r="A488" s="5"/>
      <c r="C488"/>
      <c r="D488"/>
      <c r="P488">
        <f t="shared" si="979"/>
        <v>0</v>
      </c>
      <c r="Q488">
        <f t="shared" si="980"/>
        <v>0</v>
      </c>
      <c r="R488">
        <f t="shared" si="981"/>
        <v>0</v>
      </c>
      <c r="S488">
        <f t="shared" si="982"/>
        <v>0</v>
      </c>
      <c r="T488">
        <f t="shared" si="983"/>
        <v>0</v>
      </c>
    </row>
    <row r="489" spans="1:20" x14ac:dyDescent="0.25">
      <c r="A489" s="5"/>
      <c r="C489"/>
      <c r="D489"/>
      <c r="P489">
        <f t="shared" si="979"/>
        <v>0</v>
      </c>
      <c r="Q489">
        <f t="shared" si="980"/>
        <v>0</v>
      </c>
      <c r="R489">
        <f t="shared" si="981"/>
        <v>0</v>
      </c>
      <c r="S489">
        <f t="shared" si="982"/>
        <v>0</v>
      </c>
      <c r="T489">
        <f t="shared" si="983"/>
        <v>0</v>
      </c>
    </row>
    <row r="490" spans="1:20" x14ac:dyDescent="0.25">
      <c r="A490" s="5"/>
      <c r="C490"/>
      <c r="D490"/>
      <c r="P490">
        <f t="shared" si="979"/>
        <v>0</v>
      </c>
      <c r="Q490">
        <f t="shared" si="980"/>
        <v>0</v>
      </c>
      <c r="R490">
        <f t="shared" si="981"/>
        <v>0</v>
      </c>
      <c r="S490">
        <f t="shared" si="982"/>
        <v>0</v>
      </c>
      <c r="T490">
        <f t="shared" si="983"/>
        <v>0</v>
      </c>
    </row>
    <row r="491" spans="1:20" x14ac:dyDescent="0.25">
      <c r="A491" s="5"/>
      <c r="C491"/>
      <c r="D491"/>
      <c r="P491">
        <f t="shared" si="979"/>
        <v>0</v>
      </c>
      <c r="Q491">
        <f t="shared" si="980"/>
        <v>0</v>
      </c>
      <c r="R491">
        <f t="shared" si="981"/>
        <v>0</v>
      </c>
      <c r="S491">
        <f t="shared" si="982"/>
        <v>0</v>
      </c>
      <c r="T491">
        <f t="shared" si="983"/>
        <v>0</v>
      </c>
    </row>
    <row r="492" spans="1:20" x14ac:dyDescent="0.25">
      <c r="A492" s="5"/>
      <c r="C492"/>
      <c r="D492"/>
      <c r="P492">
        <f t="shared" si="979"/>
        <v>0</v>
      </c>
      <c r="Q492">
        <f t="shared" si="980"/>
        <v>0</v>
      </c>
      <c r="R492">
        <f t="shared" si="981"/>
        <v>0</v>
      </c>
      <c r="S492">
        <f t="shared" si="982"/>
        <v>0</v>
      </c>
      <c r="T492">
        <f t="shared" si="983"/>
        <v>0</v>
      </c>
    </row>
    <row r="493" spans="1:20" x14ac:dyDescent="0.25">
      <c r="A493" s="5"/>
      <c r="C493"/>
      <c r="D493"/>
      <c r="P493">
        <f t="shared" si="979"/>
        <v>0</v>
      </c>
      <c r="Q493">
        <f t="shared" si="980"/>
        <v>0</v>
      </c>
      <c r="R493">
        <f t="shared" si="981"/>
        <v>0</v>
      </c>
      <c r="S493">
        <f t="shared" si="982"/>
        <v>0</v>
      </c>
      <c r="T493">
        <f t="shared" si="983"/>
        <v>0</v>
      </c>
    </row>
    <row r="494" spans="1:20" x14ac:dyDescent="0.25">
      <c r="A494" s="5"/>
      <c r="C494"/>
      <c r="D494"/>
      <c r="P494">
        <f t="shared" si="979"/>
        <v>0</v>
      </c>
      <c r="Q494">
        <f t="shared" si="980"/>
        <v>0</v>
      </c>
      <c r="R494">
        <f t="shared" si="981"/>
        <v>0</v>
      </c>
      <c r="S494">
        <f t="shared" si="982"/>
        <v>0</v>
      </c>
      <c r="T494">
        <f t="shared" si="983"/>
        <v>0</v>
      </c>
    </row>
    <row r="495" spans="1:20" x14ac:dyDescent="0.25">
      <c r="A495" s="5"/>
      <c r="C495"/>
      <c r="D495"/>
      <c r="P495">
        <f t="shared" si="979"/>
        <v>0</v>
      </c>
      <c r="Q495">
        <f t="shared" si="980"/>
        <v>0</v>
      </c>
      <c r="R495">
        <f t="shared" si="981"/>
        <v>0</v>
      </c>
      <c r="S495">
        <f t="shared" si="982"/>
        <v>0</v>
      </c>
      <c r="T495">
        <f t="shared" si="983"/>
        <v>0</v>
      </c>
    </row>
    <row r="496" spans="1:20" x14ac:dyDescent="0.25">
      <c r="A496" s="5"/>
      <c r="C496"/>
      <c r="D496"/>
      <c r="P496">
        <f t="shared" si="979"/>
        <v>0</v>
      </c>
      <c r="Q496">
        <f t="shared" si="980"/>
        <v>0</v>
      </c>
      <c r="R496">
        <f t="shared" si="981"/>
        <v>0</v>
      </c>
      <c r="S496">
        <f t="shared" si="982"/>
        <v>0</v>
      </c>
      <c r="T496">
        <f t="shared" si="983"/>
        <v>0</v>
      </c>
    </row>
    <row r="497" spans="1:20" x14ac:dyDescent="0.25">
      <c r="A497" s="5"/>
      <c r="C497"/>
      <c r="D497"/>
      <c r="P497">
        <f t="shared" si="979"/>
        <v>0</v>
      </c>
      <c r="Q497">
        <f t="shared" si="980"/>
        <v>0</v>
      </c>
      <c r="R497">
        <f t="shared" si="981"/>
        <v>0</v>
      </c>
      <c r="S497">
        <f t="shared" si="982"/>
        <v>0</v>
      </c>
      <c r="T497">
        <f t="shared" si="983"/>
        <v>0</v>
      </c>
    </row>
    <row r="498" spans="1:20" x14ac:dyDescent="0.25">
      <c r="A498" s="5"/>
      <c r="C498"/>
      <c r="D498"/>
      <c r="P498">
        <f t="shared" si="979"/>
        <v>0</v>
      </c>
      <c r="Q498">
        <f t="shared" si="980"/>
        <v>0</v>
      </c>
      <c r="R498">
        <f t="shared" si="981"/>
        <v>0</v>
      </c>
      <c r="S498">
        <f t="shared" si="982"/>
        <v>0</v>
      </c>
      <c r="T498">
        <f t="shared" si="983"/>
        <v>0</v>
      </c>
    </row>
    <row r="499" spans="1:20" x14ac:dyDescent="0.25">
      <c r="A499" s="5"/>
      <c r="C499"/>
      <c r="D499"/>
      <c r="P499">
        <f t="shared" si="979"/>
        <v>0</v>
      </c>
      <c r="Q499">
        <f t="shared" si="980"/>
        <v>0</v>
      </c>
      <c r="R499">
        <f t="shared" si="981"/>
        <v>0</v>
      </c>
      <c r="S499">
        <f t="shared" si="982"/>
        <v>0</v>
      </c>
      <c r="T499">
        <f t="shared" si="983"/>
        <v>0</v>
      </c>
    </row>
    <row r="500" spans="1:20" x14ac:dyDescent="0.25">
      <c r="A500" s="5"/>
      <c r="C500"/>
      <c r="D500"/>
      <c r="P500">
        <f t="shared" si="979"/>
        <v>0</v>
      </c>
      <c r="Q500">
        <f t="shared" si="980"/>
        <v>0</v>
      </c>
      <c r="R500">
        <f t="shared" si="981"/>
        <v>0</v>
      </c>
      <c r="S500">
        <f t="shared" si="982"/>
        <v>0</v>
      </c>
      <c r="T500">
        <f t="shared" si="983"/>
        <v>0</v>
      </c>
    </row>
    <row r="501" spans="1:20" x14ac:dyDescent="0.25">
      <c r="A501" s="5"/>
      <c r="C501"/>
      <c r="D501"/>
      <c r="P501">
        <f t="shared" si="979"/>
        <v>0</v>
      </c>
      <c r="Q501">
        <f t="shared" si="980"/>
        <v>0</v>
      </c>
      <c r="R501">
        <f t="shared" si="981"/>
        <v>0</v>
      </c>
      <c r="S501">
        <f t="shared" si="982"/>
        <v>0</v>
      </c>
      <c r="T501">
        <f t="shared" si="983"/>
        <v>0</v>
      </c>
    </row>
    <row r="502" spans="1:20" x14ac:dyDescent="0.25">
      <c r="A502" s="5"/>
      <c r="C502"/>
      <c r="D502"/>
      <c r="P502">
        <f t="shared" si="979"/>
        <v>0</v>
      </c>
      <c r="Q502">
        <f t="shared" si="980"/>
        <v>0</v>
      </c>
      <c r="R502">
        <f t="shared" si="981"/>
        <v>0</v>
      </c>
      <c r="S502">
        <f t="shared" si="982"/>
        <v>0</v>
      </c>
      <c r="T502">
        <f t="shared" si="983"/>
        <v>0</v>
      </c>
    </row>
    <row r="503" spans="1:20" x14ac:dyDescent="0.25">
      <c r="A503" s="5"/>
      <c r="C503"/>
      <c r="D503"/>
      <c r="P503">
        <f t="shared" si="979"/>
        <v>0</v>
      </c>
      <c r="Q503">
        <f t="shared" si="980"/>
        <v>0</v>
      </c>
      <c r="R503">
        <f t="shared" si="981"/>
        <v>0</v>
      </c>
      <c r="S503">
        <f t="shared" si="982"/>
        <v>0</v>
      </c>
      <c r="T503">
        <f t="shared" si="983"/>
        <v>0</v>
      </c>
    </row>
    <row r="504" spans="1:20" x14ac:dyDescent="0.25">
      <c r="A504" s="5"/>
      <c r="C504"/>
      <c r="D504"/>
      <c r="P504">
        <f t="shared" si="979"/>
        <v>0</v>
      </c>
      <c r="Q504">
        <f t="shared" si="980"/>
        <v>0</v>
      </c>
      <c r="R504">
        <f t="shared" si="981"/>
        <v>0</v>
      </c>
      <c r="S504">
        <f t="shared" si="982"/>
        <v>0</v>
      </c>
      <c r="T504">
        <f t="shared" si="983"/>
        <v>0</v>
      </c>
    </row>
    <row r="505" spans="1:20" x14ac:dyDescent="0.25">
      <c r="A505" s="5"/>
      <c r="C505"/>
      <c r="D505"/>
      <c r="P505">
        <f t="shared" si="979"/>
        <v>0</v>
      </c>
      <c r="Q505">
        <f t="shared" si="980"/>
        <v>0</v>
      </c>
      <c r="R505">
        <f t="shared" si="981"/>
        <v>0</v>
      </c>
      <c r="S505">
        <f t="shared" si="982"/>
        <v>0</v>
      </c>
      <c r="T505">
        <f t="shared" si="983"/>
        <v>0</v>
      </c>
    </row>
    <row r="506" spans="1:20" x14ac:dyDescent="0.25">
      <c r="A506" s="5"/>
      <c r="C506"/>
      <c r="D506"/>
      <c r="P506">
        <f t="shared" si="979"/>
        <v>0</v>
      </c>
      <c r="Q506">
        <f t="shared" si="980"/>
        <v>0</v>
      </c>
      <c r="R506">
        <f t="shared" si="981"/>
        <v>0</v>
      </c>
      <c r="S506">
        <f t="shared" si="982"/>
        <v>0</v>
      </c>
      <c r="T506">
        <f t="shared" si="983"/>
        <v>0</v>
      </c>
    </row>
    <row r="507" spans="1:20" x14ac:dyDescent="0.25">
      <c r="A507" s="5"/>
      <c r="C507"/>
      <c r="D507"/>
      <c r="P507">
        <f t="shared" si="979"/>
        <v>0</v>
      </c>
      <c r="Q507">
        <f t="shared" si="980"/>
        <v>0</v>
      </c>
      <c r="R507">
        <f t="shared" si="981"/>
        <v>0</v>
      </c>
      <c r="S507">
        <f t="shared" si="982"/>
        <v>0</v>
      </c>
      <c r="T507">
        <f t="shared" si="983"/>
        <v>0</v>
      </c>
    </row>
    <row r="508" spans="1:20" x14ac:dyDescent="0.25">
      <c r="A508" s="5"/>
      <c r="C508"/>
      <c r="D508"/>
      <c r="P508">
        <f t="shared" si="979"/>
        <v>0</v>
      </c>
      <c r="Q508">
        <f t="shared" si="980"/>
        <v>0</v>
      </c>
      <c r="R508">
        <f t="shared" si="981"/>
        <v>0</v>
      </c>
      <c r="S508">
        <f t="shared" si="982"/>
        <v>0</v>
      </c>
      <c r="T508">
        <f t="shared" si="983"/>
        <v>0</v>
      </c>
    </row>
    <row r="509" spans="1:20" x14ac:dyDescent="0.25">
      <c r="A509" s="5"/>
      <c r="C509"/>
      <c r="D509"/>
      <c r="P509">
        <f t="shared" si="979"/>
        <v>0</v>
      </c>
      <c r="Q509">
        <f t="shared" si="980"/>
        <v>0</v>
      </c>
      <c r="R509">
        <f t="shared" si="981"/>
        <v>0</v>
      </c>
      <c r="S509">
        <f t="shared" si="982"/>
        <v>0</v>
      </c>
      <c r="T509">
        <f t="shared" si="983"/>
        <v>0</v>
      </c>
    </row>
    <row r="510" spans="1:20" x14ac:dyDescent="0.25">
      <c r="A510" s="5"/>
      <c r="C510"/>
      <c r="D510"/>
      <c r="P510">
        <f t="shared" si="979"/>
        <v>0</v>
      </c>
      <c r="Q510">
        <f t="shared" si="980"/>
        <v>0</v>
      </c>
      <c r="R510">
        <f t="shared" si="981"/>
        <v>0</v>
      </c>
      <c r="S510">
        <f t="shared" si="982"/>
        <v>0</v>
      </c>
      <c r="T510">
        <f t="shared" si="983"/>
        <v>0</v>
      </c>
    </row>
    <row r="511" spans="1:20" x14ac:dyDescent="0.25">
      <c r="A511" s="5"/>
      <c r="C511"/>
      <c r="D511"/>
      <c r="P511">
        <f t="shared" si="979"/>
        <v>0</v>
      </c>
      <c r="Q511">
        <f t="shared" si="980"/>
        <v>0</v>
      </c>
      <c r="R511">
        <f t="shared" si="981"/>
        <v>0</v>
      </c>
      <c r="S511">
        <f t="shared" si="982"/>
        <v>0</v>
      </c>
      <c r="T511">
        <f t="shared" si="983"/>
        <v>0</v>
      </c>
    </row>
    <row r="512" spans="1:20" x14ac:dyDescent="0.25">
      <c r="A512" s="5"/>
      <c r="C512"/>
      <c r="D512"/>
      <c r="P512">
        <f t="shared" si="979"/>
        <v>0</v>
      </c>
      <c r="Q512">
        <f t="shared" si="980"/>
        <v>0</v>
      </c>
      <c r="R512">
        <f t="shared" si="981"/>
        <v>0</v>
      </c>
      <c r="S512">
        <f t="shared" si="982"/>
        <v>0</v>
      </c>
      <c r="T512">
        <f t="shared" si="983"/>
        <v>0</v>
      </c>
    </row>
    <row r="513" spans="1:20" x14ac:dyDescent="0.25">
      <c r="A513" s="5"/>
      <c r="C513"/>
      <c r="D513"/>
      <c r="P513">
        <f t="shared" si="979"/>
        <v>0</v>
      </c>
      <c r="Q513">
        <f t="shared" si="980"/>
        <v>0</v>
      </c>
      <c r="R513">
        <f t="shared" si="981"/>
        <v>0</v>
      </c>
      <c r="S513">
        <f t="shared" si="982"/>
        <v>0</v>
      </c>
      <c r="T513">
        <f t="shared" si="983"/>
        <v>0</v>
      </c>
    </row>
    <row r="514" spans="1:20" x14ac:dyDescent="0.25">
      <c r="A514" s="5"/>
      <c r="C514"/>
      <c r="D514"/>
      <c r="P514">
        <f t="shared" si="979"/>
        <v>0</v>
      </c>
      <c r="Q514">
        <f t="shared" si="980"/>
        <v>0</v>
      </c>
      <c r="R514">
        <f t="shared" si="981"/>
        <v>0</v>
      </c>
      <c r="S514">
        <f t="shared" si="982"/>
        <v>0</v>
      </c>
      <c r="T514">
        <f t="shared" si="983"/>
        <v>0</v>
      </c>
    </row>
    <row r="515" spans="1:20" x14ac:dyDescent="0.25">
      <c r="A515" s="5"/>
      <c r="C515"/>
      <c r="D515"/>
      <c r="P515">
        <f t="shared" si="979"/>
        <v>0</v>
      </c>
      <c r="Q515">
        <f t="shared" si="980"/>
        <v>0</v>
      </c>
      <c r="R515">
        <f t="shared" si="981"/>
        <v>0</v>
      </c>
      <c r="S515">
        <f t="shared" si="982"/>
        <v>0</v>
      </c>
      <c r="T515">
        <f t="shared" si="983"/>
        <v>0</v>
      </c>
    </row>
    <row r="516" spans="1:20" x14ac:dyDescent="0.25">
      <c r="A516" s="5"/>
      <c r="C516"/>
      <c r="D516"/>
      <c r="P516">
        <f t="shared" si="979"/>
        <v>0</v>
      </c>
      <c r="Q516">
        <f t="shared" si="980"/>
        <v>0</v>
      </c>
      <c r="R516">
        <f t="shared" si="981"/>
        <v>0</v>
      </c>
      <c r="S516">
        <f t="shared" si="982"/>
        <v>0</v>
      </c>
      <c r="T516">
        <f t="shared" si="983"/>
        <v>0</v>
      </c>
    </row>
    <row r="517" spans="1:20" x14ac:dyDescent="0.25">
      <c r="A517" s="5"/>
      <c r="C517"/>
      <c r="D517"/>
      <c r="P517">
        <f t="shared" si="979"/>
        <v>0</v>
      </c>
      <c r="Q517">
        <f t="shared" si="980"/>
        <v>0</v>
      </c>
      <c r="R517">
        <f t="shared" si="981"/>
        <v>0</v>
      </c>
      <c r="S517">
        <f t="shared" si="982"/>
        <v>0</v>
      </c>
      <c r="T517">
        <f t="shared" si="983"/>
        <v>0</v>
      </c>
    </row>
    <row r="518" spans="1:20" x14ac:dyDescent="0.25">
      <c r="A518" s="5"/>
      <c r="C518"/>
      <c r="D518"/>
      <c r="P518">
        <f t="shared" ref="P518:P581" si="984">IF(C518=D518,0,((E518-D518)-(C518-E518))/(C518-D518))</f>
        <v>0</v>
      </c>
      <c r="Q518">
        <f t="shared" ref="Q518:Q581" si="985">F518*P518</f>
        <v>0</v>
      </c>
      <c r="R518">
        <f t="shared" ref="R518:R581" si="986">R519+Q518</f>
        <v>0</v>
      </c>
      <c r="S518">
        <f t="shared" ref="S518:S581" si="987">R518/100000</f>
        <v>0</v>
      </c>
      <c r="T518">
        <f t="shared" ref="T518:T581" si="988">S518/1000</f>
        <v>0</v>
      </c>
    </row>
    <row r="519" spans="1:20" x14ac:dyDescent="0.25">
      <c r="A519" s="5"/>
      <c r="C519"/>
      <c r="D519"/>
      <c r="P519">
        <f t="shared" si="984"/>
        <v>0</v>
      </c>
      <c r="Q519">
        <f t="shared" si="985"/>
        <v>0</v>
      </c>
      <c r="R519">
        <f t="shared" si="986"/>
        <v>0</v>
      </c>
      <c r="S519">
        <f t="shared" si="987"/>
        <v>0</v>
      </c>
      <c r="T519">
        <f t="shared" si="988"/>
        <v>0</v>
      </c>
    </row>
    <row r="520" spans="1:20" x14ac:dyDescent="0.25">
      <c r="A520" s="5"/>
      <c r="C520"/>
      <c r="D520"/>
      <c r="P520">
        <f t="shared" si="984"/>
        <v>0</v>
      </c>
      <c r="Q520">
        <f t="shared" si="985"/>
        <v>0</v>
      </c>
      <c r="R520">
        <f t="shared" si="986"/>
        <v>0</v>
      </c>
      <c r="S520">
        <f t="shared" si="987"/>
        <v>0</v>
      </c>
      <c r="T520">
        <f t="shared" si="988"/>
        <v>0</v>
      </c>
    </row>
    <row r="521" spans="1:20" x14ac:dyDescent="0.25">
      <c r="A521" s="5"/>
      <c r="C521"/>
      <c r="D521"/>
      <c r="P521">
        <f t="shared" si="984"/>
        <v>0</v>
      </c>
      <c r="Q521">
        <f t="shared" si="985"/>
        <v>0</v>
      </c>
      <c r="R521">
        <f t="shared" si="986"/>
        <v>0</v>
      </c>
      <c r="S521">
        <f t="shared" si="987"/>
        <v>0</v>
      </c>
      <c r="T521">
        <f t="shared" si="988"/>
        <v>0</v>
      </c>
    </row>
    <row r="522" spans="1:20" x14ac:dyDescent="0.25">
      <c r="A522" s="5"/>
      <c r="C522"/>
      <c r="D522"/>
      <c r="P522">
        <f t="shared" si="984"/>
        <v>0</v>
      </c>
      <c r="Q522">
        <f t="shared" si="985"/>
        <v>0</v>
      </c>
      <c r="R522">
        <f t="shared" si="986"/>
        <v>0</v>
      </c>
      <c r="S522">
        <f t="shared" si="987"/>
        <v>0</v>
      </c>
      <c r="T522">
        <f t="shared" si="988"/>
        <v>0</v>
      </c>
    </row>
    <row r="523" spans="1:20" x14ac:dyDescent="0.25">
      <c r="A523" s="5"/>
      <c r="C523"/>
      <c r="D523"/>
      <c r="P523">
        <f t="shared" si="984"/>
        <v>0</v>
      </c>
      <c r="Q523">
        <f t="shared" si="985"/>
        <v>0</v>
      </c>
      <c r="R523">
        <f t="shared" si="986"/>
        <v>0</v>
      </c>
      <c r="S523">
        <f t="shared" si="987"/>
        <v>0</v>
      </c>
      <c r="T523">
        <f t="shared" si="988"/>
        <v>0</v>
      </c>
    </row>
    <row r="524" spans="1:20" x14ac:dyDescent="0.25">
      <c r="A524" s="5"/>
      <c r="C524"/>
      <c r="D524"/>
      <c r="P524">
        <f t="shared" si="984"/>
        <v>0</v>
      </c>
      <c r="Q524">
        <f t="shared" si="985"/>
        <v>0</v>
      </c>
      <c r="R524">
        <f t="shared" si="986"/>
        <v>0</v>
      </c>
      <c r="S524">
        <f t="shared" si="987"/>
        <v>0</v>
      </c>
      <c r="T524">
        <f t="shared" si="988"/>
        <v>0</v>
      </c>
    </row>
    <row r="525" spans="1:20" x14ac:dyDescent="0.25">
      <c r="A525" s="5"/>
      <c r="C525"/>
      <c r="D525"/>
      <c r="P525">
        <f t="shared" si="984"/>
        <v>0</v>
      </c>
      <c r="Q525">
        <f t="shared" si="985"/>
        <v>0</v>
      </c>
      <c r="R525">
        <f t="shared" si="986"/>
        <v>0</v>
      </c>
      <c r="S525">
        <f t="shared" si="987"/>
        <v>0</v>
      </c>
      <c r="T525">
        <f t="shared" si="988"/>
        <v>0</v>
      </c>
    </row>
    <row r="526" spans="1:20" x14ac:dyDescent="0.25">
      <c r="A526" s="5"/>
      <c r="C526"/>
      <c r="D526"/>
      <c r="P526">
        <f t="shared" si="984"/>
        <v>0</v>
      </c>
      <c r="Q526">
        <f t="shared" si="985"/>
        <v>0</v>
      </c>
      <c r="R526">
        <f t="shared" si="986"/>
        <v>0</v>
      </c>
      <c r="S526">
        <f t="shared" si="987"/>
        <v>0</v>
      </c>
      <c r="T526">
        <f t="shared" si="988"/>
        <v>0</v>
      </c>
    </row>
    <row r="527" spans="1:20" x14ac:dyDescent="0.25">
      <c r="A527" s="5"/>
      <c r="C527"/>
      <c r="D527"/>
      <c r="P527">
        <f t="shared" si="984"/>
        <v>0</v>
      </c>
      <c r="Q527">
        <f t="shared" si="985"/>
        <v>0</v>
      </c>
      <c r="R527">
        <f t="shared" si="986"/>
        <v>0</v>
      </c>
      <c r="S527">
        <f t="shared" si="987"/>
        <v>0</v>
      </c>
      <c r="T527">
        <f t="shared" si="988"/>
        <v>0</v>
      </c>
    </row>
    <row r="528" spans="1:20" x14ac:dyDescent="0.25">
      <c r="A528" s="5"/>
      <c r="C528"/>
      <c r="D528"/>
      <c r="P528">
        <f t="shared" si="984"/>
        <v>0</v>
      </c>
      <c r="Q528">
        <f t="shared" si="985"/>
        <v>0</v>
      </c>
      <c r="R528">
        <f t="shared" si="986"/>
        <v>0</v>
      </c>
      <c r="S528">
        <f t="shared" si="987"/>
        <v>0</v>
      </c>
      <c r="T528">
        <f t="shared" si="988"/>
        <v>0</v>
      </c>
    </row>
    <row r="529" spans="1:20" x14ac:dyDescent="0.25">
      <c r="A529" s="5"/>
      <c r="C529"/>
      <c r="D529"/>
      <c r="P529">
        <f t="shared" si="984"/>
        <v>0</v>
      </c>
      <c r="Q529">
        <f t="shared" si="985"/>
        <v>0</v>
      </c>
      <c r="R529">
        <f t="shared" si="986"/>
        <v>0</v>
      </c>
      <c r="S529">
        <f t="shared" si="987"/>
        <v>0</v>
      </c>
      <c r="T529">
        <f t="shared" si="988"/>
        <v>0</v>
      </c>
    </row>
    <row r="530" spans="1:20" x14ac:dyDescent="0.25">
      <c r="A530" s="5"/>
      <c r="C530"/>
      <c r="D530"/>
      <c r="P530">
        <f t="shared" si="984"/>
        <v>0</v>
      </c>
      <c r="Q530">
        <f t="shared" si="985"/>
        <v>0</v>
      </c>
      <c r="R530">
        <f t="shared" si="986"/>
        <v>0</v>
      </c>
      <c r="S530">
        <f t="shared" si="987"/>
        <v>0</v>
      </c>
      <c r="T530">
        <f t="shared" si="988"/>
        <v>0</v>
      </c>
    </row>
    <row r="531" spans="1:20" x14ac:dyDescent="0.25">
      <c r="A531" s="5"/>
      <c r="C531"/>
      <c r="D531"/>
      <c r="P531">
        <f t="shared" si="984"/>
        <v>0</v>
      </c>
      <c r="Q531">
        <f t="shared" si="985"/>
        <v>0</v>
      </c>
      <c r="R531">
        <f t="shared" si="986"/>
        <v>0</v>
      </c>
      <c r="S531">
        <f t="shared" si="987"/>
        <v>0</v>
      </c>
      <c r="T531">
        <f t="shared" si="988"/>
        <v>0</v>
      </c>
    </row>
    <row r="532" spans="1:20" x14ac:dyDescent="0.25">
      <c r="A532" s="5"/>
      <c r="C532"/>
      <c r="D532"/>
      <c r="P532">
        <f t="shared" si="984"/>
        <v>0</v>
      </c>
      <c r="Q532">
        <f t="shared" si="985"/>
        <v>0</v>
      </c>
      <c r="R532">
        <f t="shared" si="986"/>
        <v>0</v>
      </c>
      <c r="S532">
        <f t="shared" si="987"/>
        <v>0</v>
      </c>
      <c r="T532">
        <f t="shared" si="988"/>
        <v>0</v>
      </c>
    </row>
    <row r="533" spans="1:20" x14ac:dyDescent="0.25">
      <c r="A533" s="5"/>
      <c r="C533"/>
      <c r="D533"/>
      <c r="P533">
        <f t="shared" si="984"/>
        <v>0</v>
      </c>
      <c r="Q533">
        <f t="shared" si="985"/>
        <v>0</v>
      </c>
      <c r="R533">
        <f t="shared" si="986"/>
        <v>0</v>
      </c>
      <c r="S533">
        <f t="shared" si="987"/>
        <v>0</v>
      </c>
      <c r="T533">
        <f t="shared" si="988"/>
        <v>0</v>
      </c>
    </row>
    <row r="534" spans="1:20" x14ac:dyDescent="0.25">
      <c r="A534" s="5"/>
      <c r="C534"/>
      <c r="D534"/>
      <c r="P534">
        <f t="shared" si="984"/>
        <v>0</v>
      </c>
      <c r="Q534">
        <f t="shared" si="985"/>
        <v>0</v>
      </c>
      <c r="R534">
        <f t="shared" si="986"/>
        <v>0</v>
      </c>
      <c r="S534">
        <f t="shared" si="987"/>
        <v>0</v>
      </c>
      <c r="T534">
        <f t="shared" si="988"/>
        <v>0</v>
      </c>
    </row>
    <row r="535" spans="1:20" x14ac:dyDescent="0.25">
      <c r="A535" s="5"/>
      <c r="C535"/>
      <c r="D535"/>
      <c r="P535">
        <f t="shared" si="984"/>
        <v>0</v>
      </c>
      <c r="Q535">
        <f t="shared" si="985"/>
        <v>0</v>
      </c>
      <c r="R535">
        <f t="shared" si="986"/>
        <v>0</v>
      </c>
      <c r="S535">
        <f t="shared" si="987"/>
        <v>0</v>
      </c>
      <c r="T535">
        <f t="shared" si="988"/>
        <v>0</v>
      </c>
    </row>
    <row r="536" spans="1:20" x14ac:dyDescent="0.25">
      <c r="A536" s="5"/>
      <c r="C536"/>
      <c r="D536"/>
      <c r="P536">
        <f t="shared" si="984"/>
        <v>0</v>
      </c>
      <c r="Q536">
        <f t="shared" si="985"/>
        <v>0</v>
      </c>
      <c r="R536">
        <f t="shared" si="986"/>
        <v>0</v>
      </c>
      <c r="S536">
        <f t="shared" si="987"/>
        <v>0</v>
      </c>
      <c r="T536">
        <f t="shared" si="988"/>
        <v>0</v>
      </c>
    </row>
    <row r="537" spans="1:20" x14ac:dyDescent="0.25">
      <c r="A537" s="5"/>
      <c r="C537"/>
      <c r="D537"/>
      <c r="P537">
        <f t="shared" si="984"/>
        <v>0</v>
      </c>
      <c r="Q537">
        <f t="shared" si="985"/>
        <v>0</v>
      </c>
      <c r="R537">
        <f t="shared" si="986"/>
        <v>0</v>
      </c>
      <c r="S537">
        <f t="shared" si="987"/>
        <v>0</v>
      </c>
      <c r="T537">
        <f t="shared" si="988"/>
        <v>0</v>
      </c>
    </row>
    <row r="538" spans="1:20" x14ac:dyDescent="0.25">
      <c r="A538" s="5"/>
      <c r="C538"/>
      <c r="D538"/>
      <c r="P538">
        <f t="shared" si="984"/>
        <v>0</v>
      </c>
      <c r="Q538">
        <f t="shared" si="985"/>
        <v>0</v>
      </c>
      <c r="R538">
        <f t="shared" si="986"/>
        <v>0</v>
      </c>
      <c r="S538">
        <f t="shared" si="987"/>
        <v>0</v>
      </c>
      <c r="T538">
        <f t="shared" si="988"/>
        <v>0</v>
      </c>
    </row>
    <row r="539" spans="1:20" x14ac:dyDescent="0.25">
      <c r="A539" s="5"/>
      <c r="C539"/>
      <c r="D539"/>
      <c r="P539">
        <f t="shared" si="984"/>
        <v>0</v>
      </c>
      <c r="Q539">
        <f t="shared" si="985"/>
        <v>0</v>
      </c>
      <c r="R539">
        <f t="shared" si="986"/>
        <v>0</v>
      </c>
      <c r="S539">
        <f t="shared" si="987"/>
        <v>0</v>
      </c>
      <c r="T539">
        <f t="shared" si="988"/>
        <v>0</v>
      </c>
    </row>
    <row r="540" spans="1:20" x14ac:dyDescent="0.25">
      <c r="A540" s="5"/>
      <c r="C540"/>
      <c r="D540"/>
      <c r="P540">
        <f t="shared" si="984"/>
        <v>0</v>
      </c>
      <c r="Q540">
        <f t="shared" si="985"/>
        <v>0</v>
      </c>
      <c r="R540">
        <f t="shared" si="986"/>
        <v>0</v>
      </c>
      <c r="S540">
        <f t="shared" si="987"/>
        <v>0</v>
      </c>
      <c r="T540">
        <f t="shared" si="988"/>
        <v>0</v>
      </c>
    </row>
    <row r="541" spans="1:20" x14ac:dyDescent="0.25">
      <c r="A541" s="5"/>
      <c r="C541"/>
      <c r="D541"/>
      <c r="P541">
        <f t="shared" si="984"/>
        <v>0</v>
      </c>
      <c r="Q541">
        <f t="shared" si="985"/>
        <v>0</v>
      </c>
      <c r="R541">
        <f t="shared" si="986"/>
        <v>0</v>
      </c>
      <c r="S541">
        <f t="shared" si="987"/>
        <v>0</v>
      </c>
      <c r="T541">
        <f t="shared" si="988"/>
        <v>0</v>
      </c>
    </row>
    <row r="542" spans="1:20" x14ac:dyDescent="0.25">
      <c r="A542" s="5"/>
      <c r="C542"/>
      <c r="D542"/>
      <c r="P542">
        <f t="shared" si="984"/>
        <v>0</v>
      </c>
      <c r="Q542">
        <f t="shared" si="985"/>
        <v>0</v>
      </c>
      <c r="R542">
        <f t="shared" si="986"/>
        <v>0</v>
      </c>
      <c r="S542">
        <f t="shared" si="987"/>
        <v>0</v>
      </c>
      <c r="T542">
        <f t="shared" si="988"/>
        <v>0</v>
      </c>
    </row>
    <row r="543" spans="1:20" x14ac:dyDescent="0.25">
      <c r="A543" s="5"/>
      <c r="C543"/>
      <c r="D543"/>
      <c r="P543">
        <f t="shared" si="984"/>
        <v>0</v>
      </c>
      <c r="Q543">
        <f t="shared" si="985"/>
        <v>0</v>
      </c>
      <c r="R543">
        <f t="shared" si="986"/>
        <v>0</v>
      </c>
      <c r="S543">
        <f t="shared" si="987"/>
        <v>0</v>
      </c>
      <c r="T543">
        <f t="shared" si="988"/>
        <v>0</v>
      </c>
    </row>
    <row r="544" spans="1:20" x14ac:dyDescent="0.25">
      <c r="A544" s="5"/>
      <c r="C544"/>
      <c r="D544"/>
      <c r="P544">
        <f t="shared" si="984"/>
        <v>0</v>
      </c>
      <c r="Q544">
        <f t="shared" si="985"/>
        <v>0</v>
      </c>
      <c r="R544">
        <f t="shared" si="986"/>
        <v>0</v>
      </c>
      <c r="S544">
        <f t="shared" si="987"/>
        <v>0</v>
      </c>
      <c r="T544">
        <f t="shared" si="988"/>
        <v>0</v>
      </c>
    </row>
    <row r="545" spans="1:20" x14ac:dyDescent="0.25">
      <c r="A545" s="5"/>
      <c r="C545"/>
      <c r="D545"/>
      <c r="P545">
        <f t="shared" si="984"/>
        <v>0</v>
      </c>
      <c r="Q545">
        <f t="shared" si="985"/>
        <v>0</v>
      </c>
      <c r="R545">
        <f t="shared" si="986"/>
        <v>0</v>
      </c>
      <c r="S545">
        <f t="shared" si="987"/>
        <v>0</v>
      </c>
      <c r="T545">
        <f t="shared" si="988"/>
        <v>0</v>
      </c>
    </row>
    <row r="546" spans="1:20" x14ac:dyDescent="0.25">
      <c r="A546" s="5"/>
      <c r="C546"/>
      <c r="D546"/>
      <c r="P546">
        <f t="shared" si="984"/>
        <v>0</v>
      </c>
      <c r="Q546">
        <f t="shared" si="985"/>
        <v>0</v>
      </c>
      <c r="R546">
        <f t="shared" si="986"/>
        <v>0</v>
      </c>
      <c r="S546">
        <f t="shared" si="987"/>
        <v>0</v>
      </c>
      <c r="T546">
        <f t="shared" si="988"/>
        <v>0</v>
      </c>
    </row>
    <row r="547" spans="1:20" x14ac:dyDescent="0.25">
      <c r="A547" s="5"/>
      <c r="C547"/>
      <c r="D547"/>
      <c r="P547">
        <f t="shared" si="984"/>
        <v>0</v>
      </c>
      <c r="Q547">
        <f t="shared" si="985"/>
        <v>0</v>
      </c>
      <c r="R547">
        <f t="shared" si="986"/>
        <v>0</v>
      </c>
      <c r="S547">
        <f t="shared" si="987"/>
        <v>0</v>
      </c>
      <c r="T547">
        <f t="shared" si="988"/>
        <v>0</v>
      </c>
    </row>
    <row r="548" spans="1:20" x14ac:dyDescent="0.25">
      <c r="A548" s="5"/>
      <c r="C548"/>
      <c r="D548"/>
      <c r="P548">
        <f t="shared" si="984"/>
        <v>0</v>
      </c>
      <c r="Q548">
        <f t="shared" si="985"/>
        <v>0</v>
      </c>
      <c r="R548">
        <f t="shared" si="986"/>
        <v>0</v>
      </c>
      <c r="S548">
        <f t="shared" si="987"/>
        <v>0</v>
      </c>
      <c r="T548">
        <f t="shared" si="988"/>
        <v>0</v>
      </c>
    </row>
    <row r="549" spans="1:20" x14ac:dyDescent="0.25">
      <c r="A549" s="5"/>
      <c r="P549">
        <f t="shared" si="984"/>
        <v>0</v>
      </c>
      <c r="Q549">
        <f t="shared" si="985"/>
        <v>0</v>
      </c>
      <c r="R549">
        <f t="shared" si="986"/>
        <v>0</v>
      </c>
      <c r="S549">
        <f t="shared" si="987"/>
        <v>0</v>
      </c>
      <c r="T549">
        <f t="shared" si="988"/>
        <v>0</v>
      </c>
    </row>
    <row r="550" spans="1:20" x14ac:dyDescent="0.25">
      <c r="A550" s="5"/>
      <c r="P550">
        <f t="shared" si="984"/>
        <v>0</v>
      </c>
      <c r="Q550">
        <f t="shared" si="985"/>
        <v>0</v>
      </c>
      <c r="R550">
        <f t="shared" si="986"/>
        <v>0</v>
      </c>
      <c r="S550">
        <f t="shared" si="987"/>
        <v>0</v>
      </c>
      <c r="T550">
        <f t="shared" si="988"/>
        <v>0</v>
      </c>
    </row>
    <row r="551" spans="1:20" x14ac:dyDescent="0.25">
      <c r="A551" s="5"/>
      <c r="P551">
        <f t="shared" si="984"/>
        <v>0</v>
      </c>
      <c r="Q551">
        <f t="shared" si="985"/>
        <v>0</v>
      </c>
      <c r="R551">
        <f t="shared" si="986"/>
        <v>0</v>
      </c>
      <c r="S551">
        <f t="shared" si="987"/>
        <v>0</v>
      </c>
      <c r="T551">
        <f t="shared" si="988"/>
        <v>0</v>
      </c>
    </row>
    <row r="552" spans="1:20" x14ac:dyDescent="0.25">
      <c r="A552" s="5"/>
      <c r="P552">
        <f t="shared" si="984"/>
        <v>0</v>
      </c>
      <c r="Q552">
        <f t="shared" si="985"/>
        <v>0</v>
      </c>
      <c r="R552">
        <f t="shared" si="986"/>
        <v>0</v>
      </c>
      <c r="S552">
        <f t="shared" si="987"/>
        <v>0</v>
      </c>
      <c r="T552">
        <f t="shared" si="988"/>
        <v>0</v>
      </c>
    </row>
    <row r="553" spans="1:20" x14ac:dyDescent="0.25">
      <c r="A553" s="5"/>
      <c r="P553">
        <f t="shared" si="984"/>
        <v>0</v>
      </c>
      <c r="Q553">
        <f t="shared" si="985"/>
        <v>0</v>
      </c>
      <c r="R553">
        <f t="shared" si="986"/>
        <v>0</v>
      </c>
      <c r="S553">
        <f t="shared" si="987"/>
        <v>0</v>
      </c>
      <c r="T553">
        <f t="shared" si="988"/>
        <v>0</v>
      </c>
    </row>
    <row r="554" spans="1:20" x14ac:dyDescent="0.25">
      <c r="A554" s="5"/>
      <c r="P554">
        <f t="shared" si="984"/>
        <v>0</v>
      </c>
      <c r="Q554">
        <f t="shared" si="985"/>
        <v>0</v>
      </c>
      <c r="R554">
        <f t="shared" si="986"/>
        <v>0</v>
      </c>
      <c r="S554">
        <f t="shared" si="987"/>
        <v>0</v>
      </c>
      <c r="T554">
        <f t="shared" si="988"/>
        <v>0</v>
      </c>
    </row>
    <row r="555" spans="1:20" x14ac:dyDescent="0.25">
      <c r="A555" s="5"/>
      <c r="P555">
        <f t="shared" si="984"/>
        <v>0</v>
      </c>
      <c r="Q555">
        <f t="shared" si="985"/>
        <v>0</v>
      </c>
      <c r="R555">
        <f t="shared" si="986"/>
        <v>0</v>
      </c>
      <c r="S555">
        <f t="shared" si="987"/>
        <v>0</v>
      </c>
      <c r="T555">
        <f t="shared" si="988"/>
        <v>0</v>
      </c>
    </row>
    <row r="556" spans="1:20" x14ac:dyDescent="0.25">
      <c r="A556" s="5"/>
      <c r="P556">
        <f t="shared" si="984"/>
        <v>0</v>
      </c>
      <c r="Q556">
        <f t="shared" si="985"/>
        <v>0</v>
      </c>
      <c r="R556">
        <f t="shared" si="986"/>
        <v>0</v>
      </c>
      <c r="S556">
        <f t="shared" si="987"/>
        <v>0</v>
      </c>
      <c r="T556">
        <f t="shared" si="988"/>
        <v>0</v>
      </c>
    </row>
    <row r="557" spans="1:20" x14ac:dyDescent="0.25">
      <c r="A557" s="5"/>
      <c r="P557">
        <f t="shared" si="984"/>
        <v>0</v>
      </c>
      <c r="Q557">
        <f t="shared" si="985"/>
        <v>0</v>
      </c>
      <c r="R557">
        <f t="shared" si="986"/>
        <v>0</v>
      </c>
      <c r="S557">
        <f t="shared" si="987"/>
        <v>0</v>
      </c>
      <c r="T557">
        <f t="shared" si="988"/>
        <v>0</v>
      </c>
    </row>
    <row r="558" spans="1:20" x14ac:dyDescent="0.25">
      <c r="A558" s="5"/>
      <c r="P558">
        <f t="shared" si="984"/>
        <v>0</v>
      </c>
      <c r="Q558">
        <f t="shared" si="985"/>
        <v>0</v>
      </c>
      <c r="R558">
        <f t="shared" si="986"/>
        <v>0</v>
      </c>
      <c r="S558">
        <f t="shared" si="987"/>
        <v>0</v>
      </c>
      <c r="T558">
        <f t="shared" si="988"/>
        <v>0</v>
      </c>
    </row>
    <row r="559" spans="1:20" x14ac:dyDescent="0.25">
      <c r="A559" s="5"/>
      <c r="P559">
        <f t="shared" si="984"/>
        <v>0</v>
      </c>
      <c r="Q559">
        <f t="shared" si="985"/>
        <v>0</v>
      </c>
      <c r="R559">
        <f t="shared" si="986"/>
        <v>0</v>
      </c>
      <c r="S559">
        <f t="shared" si="987"/>
        <v>0</v>
      </c>
      <c r="T559">
        <f t="shared" si="988"/>
        <v>0</v>
      </c>
    </row>
    <row r="560" spans="1:20" x14ac:dyDescent="0.25">
      <c r="A560" s="5"/>
      <c r="P560">
        <f t="shared" si="984"/>
        <v>0</v>
      </c>
      <c r="Q560">
        <f t="shared" si="985"/>
        <v>0</v>
      </c>
      <c r="R560">
        <f t="shared" si="986"/>
        <v>0</v>
      </c>
      <c r="S560">
        <f t="shared" si="987"/>
        <v>0</v>
      </c>
      <c r="T560">
        <f t="shared" si="988"/>
        <v>0</v>
      </c>
    </row>
    <row r="561" spans="1:104" x14ac:dyDescent="0.25">
      <c r="A561" s="5"/>
      <c r="P561">
        <f t="shared" si="984"/>
        <v>0</v>
      </c>
      <c r="Q561">
        <f t="shared" si="985"/>
        <v>0</v>
      </c>
      <c r="R561">
        <f t="shared" si="986"/>
        <v>0</v>
      </c>
      <c r="S561">
        <f t="shared" si="987"/>
        <v>0</v>
      </c>
      <c r="T561">
        <f t="shared" si="988"/>
        <v>0</v>
      </c>
      <c r="CZ561" t="s">
        <v>7</v>
      </c>
    </row>
    <row r="562" spans="1:104" x14ac:dyDescent="0.25">
      <c r="A562" s="5"/>
      <c r="P562">
        <f t="shared" si="984"/>
        <v>0</v>
      </c>
      <c r="Q562">
        <f t="shared" si="985"/>
        <v>0</v>
      </c>
      <c r="R562">
        <f t="shared" si="986"/>
        <v>0</v>
      </c>
      <c r="S562">
        <f t="shared" si="987"/>
        <v>0</v>
      </c>
      <c r="T562">
        <f t="shared" si="988"/>
        <v>0</v>
      </c>
      <c r="CZ562" t="s">
        <v>7</v>
      </c>
    </row>
    <row r="563" spans="1:104" x14ac:dyDescent="0.25">
      <c r="A563" s="5"/>
      <c r="P563">
        <f t="shared" si="984"/>
        <v>0</v>
      </c>
      <c r="Q563">
        <f t="shared" si="985"/>
        <v>0</v>
      </c>
      <c r="R563">
        <f t="shared" si="986"/>
        <v>0</v>
      </c>
      <c r="S563">
        <f t="shared" si="987"/>
        <v>0</v>
      </c>
      <c r="T563">
        <f t="shared" si="988"/>
        <v>0</v>
      </c>
      <c r="CZ563" t="s">
        <v>7</v>
      </c>
    </row>
    <row r="564" spans="1:104" x14ac:dyDescent="0.25">
      <c r="A564" s="5"/>
      <c r="P564">
        <f t="shared" si="984"/>
        <v>0</v>
      </c>
      <c r="Q564">
        <f t="shared" si="985"/>
        <v>0</v>
      </c>
      <c r="R564">
        <f t="shared" si="986"/>
        <v>0</v>
      </c>
      <c r="S564">
        <f t="shared" si="987"/>
        <v>0</v>
      </c>
      <c r="T564">
        <f t="shared" si="988"/>
        <v>0</v>
      </c>
    </row>
    <row r="565" spans="1:104" x14ac:dyDescent="0.25">
      <c r="A565" s="5"/>
      <c r="C565"/>
      <c r="D565"/>
      <c r="P565">
        <f t="shared" si="984"/>
        <v>0</v>
      </c>
      <c r="Q565">
        <f t="shared" si="985"/>
        <v>0</v>
      </c>
      <c r="R565">
        <f t="shared" si="986"/>
        <v>0</v>
      </c>
      <c r="S565">
        <f t="shared" si="987"/>
        <v>0</v>
      </c>
      <c r="T565">
        <f t="shared" si="988"/>
        <v>0</v>
      </c>
    </row>
    <row r="566" spans="1:104" x14ac:dyDescent="0.25">
      <c r="A566" s="5"/>
      <c r="C566"/>
      <c r="D566"/>
      <c r="P566">
        <f t="shared" si="984"/>
        <v>0</v>
      </c>
      <c r="Q566">
        <f t="shared" si="985"/>
        <v>0</v>
      </c>
      <c r="R566">
        <f t="shared" si="986"/>
        <v>0</v>
      </c>
      <c r="S566">
        <f t="shared" si="987"/>
        <v>0</v>
      </c>
      <c r="T566">
        <f t="shared" si="988"/>
        <v>0</v>
      </c>
    </row>
    <row r="567" spans="1:104" x14ac:dyDescent="0.25">
      <c r="A567" s="5"/>
      <c r="C567"/>
      <c r="D567"/>
      <c r="P567">
        <f t="shared" si="984"/>
        <v>0</v>
      </c>
      <c r="Q567">
        <f t="shared" si="985"/>
        <v>0</v>
      </c>
      <c r="R567">
        <f t="shared" si="986"/>
        <v>0</v>
      </c>
      <c r="S567">
        <f t="shared" si="987"/>
        <v>0</v>
      </c>
      <c r="T567">
        <f t="shared" si="988"/>
        <v>0</v>
      </c>
    </row>
    <row r="568" spans="1:104" x14ac:dyDescent="0.25">
      <c r="A568" s="5"/>
      <c r="C568"/>
      <c r="D568"/>
      <c r="P568">
        <f t="shared" si="984"/>
        <v>0</v>
      </c>
      <c r="Q568">
        <f t="shared" si="985"/>
        <v>0</v>
      </c>
      <c r="R568">
        <f t="shared" si="986"/>
        <v>0</v>
      </c>
      <c r="S568">
        <f t="shared" si="987"/>
        <v>0</v>
      </c>
      <c r="T568">
        <f t="shared" si="988"/>
        <v>0</v>
      </c>
    </row>
    <row r="569" spans="1:104" x14ac:dyDescent="0.25">
      <c r="A569" s="5"/>
      <c r="C569"/>
      <c r="D569"/>
      <c r="P569">
        <f t="shared" si="984"/>
        <v>0</v>
      </c>
      <c r="Q569">
        <f t="shared" si="985"/>
        <v>0</v>
      </c>
      <c r="R569">
        <f t="shared" si="986"/>
        <v>0</v>
      </c>
      <c r="S569">
        <f t="shared" si="987"/>
        <v>0</v>
      </c>
      <c r="T569">
        <f t="shared" si="988"/>
        <v>0</v>
      </c>
    </row>
    <row r="570" spans="1:104" x14ac:dyDescent="0.25">
      <c r="A570" s="5"/>
      <c r="C570"/>
      <c r="D570"/>
      <c r="P570">
        <f t="shared" si="984"/>
        <v>0</v>
      </c>
      <c r="Q570">
        <f t="shared" si="985"/>
        <v>0</v>
      </c>
      <c r="R570">
        <f t="shared" si="986"/>
        <v>0</v>
      </c>
      <c r="S570">
        <f t="shared" si="987"/>
        <v>0</v>
      </c>
      <c r="T570">
        <f t="shared" si="988"/>
        <v>0</v>
      </c>
    </row>
    <row r="571" spans="1:104" x14ac:dyDescent="0.25">
      <c r="A571" s="5"/>
      <c r="C571"/>
      <c r="D571"/>
      <c r="P571">
        <f t="shared" si="984"/>
        <v>0</v>
      </c>
      <c r="Q571">
        <f t="shared" si="985"/>
        <v>0</v>
      </c>
      <c r="R571">
        <f t="shared" si="986"/>
        <v>0</v>
      </c>
      <c r="S571">
        <f t="shared" si="987"/>
        <v>0</v>
      </c>
      <c r="T571">
        <f t="shared" si="988"/>
        <v>0</v>
      </c>
    </row>
    <row r="572" spans="1:104" x14ac:dyDescent="0.25">
      <c r="A572" s="5"/>
      <c r="C572"/>
      <c r="D572"/>
      <c r="P572">
        <f t="shared" si="984"/>
        <v>0</v>
      </c>
      <c r="Q572">
        <f t="shared" si="985"/>
        <v>0</v>
      </c>
      <c r="R572">
        <f t="shared" si="986"/>
        <v>0</v>
      </c>
      <c r="S572">
        <f t="shared" si="987"/>
        <v>0</v>
      </c>
      <c r="T572">
        <f t="shared" si="988"/>
        <v>0</v>
      </c>
    </row>
    <row r="573" spans="1:104" x14ac:dyDescent="0.25">
      <c r="A573" s="5"/>
      <c r="C573"/>
      <c r="D573"/>
      <c r="P573">
        <f t="shared" si="984"/>
        <v>0</v>
      </c>
      <c r="Q573">
        <f t="shared" si="985"/>
        <v>0</v>
      </c>
      <c r="R573">
        <f t="shared" si="986"/>
        <v>0</v>
      </c>
      <c r="S573">
        <f t="shared" si="987"/>
        <v>0</v>
      </c>
      <c r="T573">
        <f t="shared" si="988"/>
        <v>0</v>
      </c>
    </row>
    <row r="574" spans="1:104" x14ac:dyDescent="0.25">
      <c r="A574" s="5"/>
      <c r="C574"/>
      <c r="D574"/>
      <c r="P574">
        <f t="shared" si="984"/>
        <v>0</v>
      </c>
      <c r="Q574">
        <f t="shared" si="985"/>
        <v>0</v>
      </c>
      <c r="R574">
        <f t="shared" si="986"/>
        <v>0</v>
      </c>
      <c r="S574">
        <f t="shared" si="987"/>
        <v>0</v>
      </c>
      <c r="T574">
        <f t="shared" si="988"/>
        <v>0</v>
      </c>
    </row>
    <row r="575" spans="1:104" x14ac:dyDescent="0.25">
      <c r="A575" s="5"/>
      <c r="C575"/>
      <c r="D575"/>
      <c r="P575">
        <f t="shared" si="984"/>
        <v>0</v>
      </c>
      <c r="Q575">
        <f t="shared" si="985"/>
        <v>0</v>
      </c>
      <c r="R575">
        <f t="shared" si="986"/>
        <v>0</v>
      </c>
      <c r="S575">
        <f t="shared" si="987"/>
        <v>0</v>
      </c>
      <c r="T575">
        <f t="shared" si="988"/>
        <v>0</v>
      </c>
    </row>
    <row r="576" spans="1:104" x14ac:dyDescent="0.25">
      <c r="A576" s="5"/>
      <c r="C576"/>
      <c r="D576"/>
      <c r="P576">
        <f t="shared" si="984"/>
        <v>0</v>
      </c>
      <c r="Q576">
        <f t="shared" si="985"/>
        <v>0</v>
      </c>
      <c r="R576">
        <f t="shared" si="986"/>
        <v>0</v>
      </c>
      <c r="S576">
        <f t="shared" si="987"/>
        <v>0</v>
      </c>
      <c r="T576">
        <f t="shared" si="988"/>
        <v>0</v>
      </c>
    </row>
    <row r="577" spans="1:20" x14ac:dyDescent="0.25">
      <c r="A577" s="5"/>
      <c r="C577"/>
      <c r="D577"/>
      <c r="P577">
        <f t="shared" si="984"/>
        <v>0</v>
      </c>
      <c r="Q577">
        <f t="shared" si="985"/>
        <v>0</v>
      </c>
      <c r="R577">
        <f t="shared" si="986"/>
        <v>0</v>
      </c>
      <c r="S577">
        <f t="shared" si="987"/>
        <v>0</v>
      </c>
      <c r="T577">
        <f t="shared" si="988"/>
        <v>0</v>
      </c>
    </row>
    <row r="578" spans="1:20" x14ac:dyDescent="0.25">
      <c r="A578" s="5"/>
      <c r="C578"/>
      <c r="D578"/>
      <c r="P578">
        <f t="shared" si="984"/>
        <v>0</v>
      </c>
      <c r="Q578">
        <f t="shared" si="985"/>
        <v>0</v>
      </c>
      <c r="R578">
        <f t="shared" si="986"/>
        <v>0</v>
      </c>
      <c r="S578">
        <f t="shared" si="987"/>
        <v>0</v>
      </c>
      <c r="T578">
        <f t="shared" si="988"/>
        <v>0</v>
      </c>
    </row>
    <row r="579" spans="1:20" x14ac:dyDescent="0.25">
      <c r="A579" s="5"/>
      <c r="C579"/>
      <c r="D579"/>
      <c r="P579">
        <f t="shared" si="984"/>
        <v>0</v>
      </c>
      <c r="Q579">
        <f t="shared" si="985"/>
        <v>0</v>
      </c>
      <c r="R579">
        <f t="shared" si="986"/>
        <v>0</v>
      </c>
      <c r="S579">
        <f t="shared" si="987"/>
        <v>0</v>
      </c>
      <c r="T579">
        <f t="shared" si="988"/>
        <v>0</v>
      </c>
    </row>
    <row r="580" spans="1:20" x14ac:dyDescent="0.25">
      <c r="A580" s="5"/>
      <c r="C580"/>
      <c r="D580"/>
      <c r="P580">
        <f t="shared" si="984"/>
        <v>0</v>
      </c>
      <c r="Q580">
        <f t="shared" si="985"/>
        <v>0</v>
      </c>
      <c r="R580">
        <f t="shared" si="986"/>
        <v>0</v>
      </c>
      <c r="S580">
        <f t="shared" si="987"/>
        <v>0</v>
      </c>
      <c r="T580">
        <f t="shared" si="988"/>
        <v>0</v>
      </c>
    </row>
    <row r="581" spans="1:20" x14ac:dyDescent="0.25">
      <c r="A581" s="5"/>
      <c r="C581"/>
      <c r="D581"/>
      <c r="P581">
        <f t="shared" si="984"/>
        <v>0</v>
      </c>
      <c r="Q581">
        <f t="shared" si="985"/>
        <v>0</v>
      </c>
      <c r="R581">
        <f t="shared" si="986"/>
        <v>0</v>
      </c>
      <c r="S581">
        <f t="shared" si="987"/>
        <v>0</v>
      </c>
      <c r="T581">
        <f t="shared" si="988"/>
        <v>0</v>
      </c>
    </row>
    <row r="582" spans="1:20" x14ac:dyDescent="0.25">
      <c r="A582" s="5"/>
      <c r="C582"/>
      <c r="D582"/>
      <c r="P582">
        <f t="shared" ref="P582:P645" si="989">IF(C582=D582,0,((E582-D582)-(C582-E582))/(C582-D582))</f>
        <v>0</v>
      </c>
      <c r="Q582">
        <f t="shared" ref="Q582:Q645" si="990">F582*P582</f>
        <v>0</v>
      </c>
      <c r="R582">
        <f t="shared" ref="R582:R645" si="991">R583+Q582</f>
        <v>0</v>
      </c>
      <c r="S582">
        <f t="shared" ref="S582:S645" si="992">R582/100000</f>
        <v>0</v>
      </c>
      <c r="T582">
        <f t="shared" ref="T582:T645" si="993">S582/1000</f>
        <v>0</v>
      </c>
    </row>
    <row r="583" spans="1:20" x14ac:dyDescent="0.25">
      <c r="A583" s="5"/>
      <c r="C583"/>
      <c r="D583"/>
      <c r="P583">
        <f t="shared" si="989"/>
        <v>0</v>
      </c>
      <c r="Q583">
        <f t="shared" si="990"/>
        <v>0</v>
      </c>
      <c r="R583">
        <f t="shared" si="991"/>
        <v>0</v>
      </c>
      <c r="S583">
        <f t="shared" si="992"/>
        <v>0</v>
      </c>
      <c r="T583">
        <f t="shared" si="993"/>
        <v>0</v>
      </c>
    </row>
    <row r="584" spans="1:20" x14ac:dyDescent="0.25">
      <c r="A584" s="5"/>
      <c r="C584"/>
      <c r="D584"/>
      <c r="P584">
        <f t="shared" si="989"/>
        <v>0</v>
      </c>
      <c r="Q584">
        <f t="shared" si="990"/>
        <v>0</v>
      </c>
      <c r="R584">
        <f t="shared" si="991"/>
        <v>0</v>
      </c>
      <c r="S584">
        <f t="shared" si="992"/>
        <v>0</v>
      </c>
      <c r="T584">
        <f t="shared" si="993"/>
        <v>0</v>
      </c>
    </row>
    <row r="585" spans="1:20" x14ac:dyDescent="0.25">
      <c r="A585" s="5"/>
      <c r="C585"/>
      <c r="D585"/>
      <c r="P585">
        <f t="shared" si="989"/>
        <v>0</v>
      </c>
      <c r="Q585">
        <f t="shared" si="990"/>
        <v>0</v>
      </c>
      <c r="R585">
        <f t="shared" si="991"/>
        <v>0</v>
      </c>
      <c r="S585">
        <f t="shared" si="992"/>
        <v>0</v>
      </c>
      <c r="T585">
        <f t="shared" si="993"/>
        <v>0</v>
      </c>
    </row>
    <row r="586" spans="1:20" x14ac:dyDescent="0.25">
      <c r="A586" s="5"/>
      <c r="C586"/>
      <c r="D586"/>
      <c r="P586">
        <f t="shared" si="989"/>
        <v>0</v>
      </c>
      <c r="Q586">
        <f t="shared" si="990"/>
        <v>0</v>
      </c>
      <c r="R586">
        <f t="shared" si="991"/>
        <v>0</v>
      </c>
      <c r="S586">
        <f t="shared" si="992"/>
        <v>0</v>
      </c>
      <c r="T586">
        <f t="shared" si="993"/>
        <v>0</v>
      </c>
    </row>
    <row r="587" spans="1:20" x14ac:dyDescent="0.25">
      <c r="A587" s="5"/>
      <c r="C587"/>
      <c r="D587"/>
      <c r="P587">
        <f t="shared" si="989"/>
        <v>0</v>
      </c>
      <c r="Q587">
        <f t="shared" si="990"/>
        <v>0</v>
      </c>
      <c r="R587">
        <f t="shared" si="991"/>
        <v>0</v>
      </c>
      <c r="S587">
        <f t="shared" si="992"/>
        <v>0</v>
      </c>
      <c r="T587">
        <f t="shared" si="993"/>
        <v>0</v>
      </c>
    </row>
    <row r="588" spans="1:20" x14ac:dyDescent="0.25">
      <c r="A588" s="5"/>
      <c r="C588"/>
      <c r="D588"/>
      <c r="P588">
        <f t="shared" si="989"/>
        <v>0</v>
      </c>
      <c r="Q588">
        <f t="shared" si="990"/>
        <v>0</v>
      </c>
      <c r="R588">
        <f t="shared" si="991"/>
        <v>0</v>
      </c>
      <c r="S588">
        <f t="shared" si="992"/>
        <v>0</v>
      </c>
      <c r="T588">
        <f t="shared" si="993"/>
        <v>0</v>
      </c>
    </row>
    <row r="589" spans="1:20" x14ac:dyDescent="0.25">
      <c r="A589" s="5"/>
      <c r="C589"/>
      <c r="D589"/>
      <c r="P589">
        <f t="shared" si="989"/>
        <v>0</v>
      </c>
      <c r="Q589">
        <f t="shared" si="990"/>
        <v>0</v>
      </c>
      <c r="R589">
        <f t="shared" si="991"/>
        <v>0</v>
      </c>
      <c r="S589">
        <f t="shared" si="992"/>
        <v>0</v>
      </c>
      <c r="T589">
        <f t="shared" si="993"/>
        <v>0</v>
      </c>
    </row>
    <row r="590" spans="1:20" x14ac:dyDescent="0.25">
      <c r="A590" s="5"/>
      <c r="C590"/>
      <c r="D590"/>
      <c r="P590">
        <f t="shared" si="989"/>
        <v>0</v>
      </c>
      <c r="Q590">
        <f t="shared" si="990"/>
        <v>0</v>
      </c>
      <c r="R590">
        <f t="shared" si="991"/>
        <v>0</v>
      </c>
      <c r="S590">
        <f t="shared" si="992"/>
        <v>0</v>
      </c>
      <c r="T590">
        <f t="shared" si="993"/>
        <v>0</v>
      </c>
    </row>
    <row r="591" spans="1:20" x14ac:dyDescent="0.25">
      <c r="A591" s="5"/>
      <c r="C591"/>
      <c r="D591"/>
      <c r="P591">
        <f t="shared" si="989"/>
        <v>0</v>
      </c>
      <c r="Q591">
        <f t="shared" si="990"/>
        <v>0</v>
      </c>
      <c r="R591">
        <f t="shared" si="991"/>
        <v>0</v>
      </c>
      <c r="S591">
        <f t="shared" si="992"/>
        <v>0</v>
      </c>
      <c r="T591">
        <f t="shared" si="993"/>
        <v>0</v>
      </c>
    </row>
    <row r="592" spans="1:20" x14ac:dyDescent="0.25">
      <c r="A592" s="5"/>
      <c r="C592"/>
      <c r="D592"/>
      <c r="P592">
        <f t="shared" si="989"/>
        <v>0</v>
      </c>
      <c r="Q592">
        <f t="shared" si="990"/>
        <v>0</v>
      </c>
      <c r="R592">
        <f t="shared" si="991"/>
        <v>0</v>
      </c>
      <c r="S592">
        <f t="shared" si="992"/>
        <v>0</v>
      </c>
      <c r="T592">
        <f t="shared" si="993"/>
        <v>0</v>
      </c>
    </row>
    <row r="593" spans="1:20" x14ac:dyDescent="0.25">
      <c r="A593" s="5"/>
      <c r="C593"/>
      <c r="D593"/>
      <c r="P593">
        <f t="shared" si="989"/>
        <v>0</v>
      </c>
      <c r="Q593">
        <f t="shared" si="990"/>
        <v>0</v>
      </c>
      <c r="R593">
        <f t="shared" si="991"/>
        <v>0</v>
      </c>
      <c r="S593">
        <f t="shared" si="992"/>
        <v>0</v>
      </c>
      <c r="T593">
        <f t="shared" si="993"/>
        <v>0</v>
      </c>
    </row>
    <row r="594" spans="1:20" x14ac:dyDescent="0.25">
      <c r="A594" s="5"/>
      <c r="C594"/>
      <c r="D594"/>
      <c r="P594">
        <f t="shared" si="989"/>
        <v>0</v>
      </c>
      <c r="Q594">
        <f t="shared" si="990"/>
        <v>0</v>
      </c>
      <c r="R594">
        <f t="shared" si="991"/>
        <v>0</v>
      </c>
      <c r="S594">
        <f t="shared" si="992"/>
        <v>0</v>
      </c>
      <c r="T594">
        <f t="shared" si="993"/>
        <v>0</v>
      </c>
    </row>
    <row r="595" spans="1:20" x14ac:dyDescent="0.25">
      <c r="A595" s="5"/>
      <c r="C595"/>
      <c r="D595"/>
      <c r="P595">
        <f t="shared" si="989"/>
        <v>0</v>
      </c>
      <c r="Q595">
        <f t="shared" si="990"/>
        <v>0</v>
      </c>
      <c r="R595">
        <f t="shared" si="991"/>
        <v>0</v>
      </c>
      <c r="S595">
        <f t="shared" si="992"/>
        <v>0</v>
      </c>
      <c r="T595">
        <f t="shared" si="993"/>
        <v>0</v>
      </c>
    </row>
    <row r="596" spans="1:20" x14ac:dyDescent="0.25">
      <c r="A596" s="5"/>
      <c r="C596"/>
      <c r="D596"/>
      <c r="P596">
        <f t="shared" si="989"/>
        <v>0</v>
      </c>
      <c r="Q596">
        <f t="shared" si="990"/>
        <v>0</v>
      </c>
      <c r="R596">
        <f t="shared" si="991"/>
        <v>0</v>
      </c>
      <c r="S596">
        <f t="shared" si="992"/>
        <v>0</v>
      </c>
      <c r="T596">
        <f t="shared" si="993"/>
        <v>0</v>
      </c>
    </row>
    <row r="597" spans="1:20" x14ac:dyDescent="0.25">
      <c r="A597" s="5"/>
      <c r="C597"/>
      <c r="D597"/>
      <c r="P597">
        <f t="shared" si="989"/>
        <v>0</v>
      </c>
      <c r="Q597">
        <f t="shared" si="990"/>
        <v>0</v>
      </c>
      <c r="R597">
        <f t="shared" si="991"/>
        <v>0</v>
      </c>
      <c r="S597">
        <f t="shared" si="992"/>
        <v>0</v>
      </c>
      <c r="T597">
        <f t="shared" si="993"/>
        <v>0</v>
      </c>
    </row>
    <row r="598" spans="1:20" x14ac:dyDescent="0.25">
      <c r="A598" s="5"/>
      <c r="C598"/>
      <c r="D598"/>
      <c r="P598">
        <f t="shared" si="989"/>
        <v>0</v>
      </c>
      <c r="Q598">
        <f t="shared" si="990"/>
        <v>0</v>
      </c>
      <c r="R598">
        <f t="shared" si="991"/>
        <v>0</v>
      </c>
      <c r="S598">
        <f t="shared" si="992"/>
        <v>0</v>
      </c>
      <c r="T598">
        <f t="shared" si="993"/>
        <v>0</v>
      </c>
    </row>
    <row r="599" spans="1:20" x14ac:dyDescent="0.25">
      <c r="A599" s="5"/>
      <c r="C599"/>
      <c r="D599"/>
      <c r="P599">
        <f t="shared" si="989"/>
        <v>0</v>
      </c>
      <c r="Q599">
        <f t="shared" si="990"/>
        <v>0</v>
      </c>
      <c r="R599">
        <f t="shared" si="991"/>
        <v>0</v>
      </c>
      <c r="S599">
        <f t="shared" si="992"/>
        <v>0</v>
      </c>
      <c r="T599">
        <f t="shared" si="993"/>
        <v>0</v>
      </c>
    </row>
    <row r="600" spans="1:20" x14ac:dyDescent="0.25">
      <c r="A600" s="5"/>
      <c r="C600"/>
      <c r="D600"/>
      <c r="P600">
        <f t="shared" si="989"/>
        <v>0</v>
      </c>
      <c r="Q600">
        <f t="shared" si="990"/>
        <v>0</v>
      </c>
      <c r="R600">
        <f t="shared" si="991"/>
        <v>0</v>
      </c>
      <c r="S600">
        <f t="shared" si="992"/>
        <v>0</v>
      </c>
      <c r="T600">
        <f t="shared" si="993"/>
        <v>0</v>
      </c>
    </row>
    <row r="601" spans="1:20" x14ac:dyDescent="0.25">
      <c r="A601" s="5"/>
      <c r="C601"/>
      <c r="D601"/>
      <c r="P601">
        <f t="shared" si="989"/>
        <v>0</v>
      </c>
      <c r="Q601">
        <f t="shared" si="990"/>
        <v>0</v>
      </c>
      <c r="R601">
        <f t="shared" si="991"/>
        <v>0</v>
      </c>
      <c r="S601">
        <f t="shared" si="992"/>
        <v>0</v>
      </c>
      <c r="T601">
        <f t="shared" si="993"/>
        <v>0</v>
      </c>
    </row>
    <row r="602" spans="1:20" x14ac:dyDescent="0.25">
      <c r="A602" s="5"/>
      <c r="C602"/>
      <c r="D602"/>
      <c r="P602">
        <f t="shared" si="989"/>
        <v>0</v>
      </c>
      <c r="Q602">
        <f t="shared" si="990"/>
        <v>0</v>
      </c>
      <c r="R602">
        <f t="shared" si="991"/>
        <v>0</v>
      </c>
      <c r="S602">
        <f t="shared" si="992"/>
        <v>0</v>
      </c>
      <c r="T602">
        <f t="shared" si="993"/>
        <v>0</v>
      </c>
    </row>
    <row r="603" spans="1:20" x14ac:dyDescent="0.25">
      <c r="A603" s="5"/>
      <c r="C603"/>
      <c r="D603"/>
      <c r="P603">
        <f t="shared" si="989"/>
        <v>0</v>
      </c>
      <c r="Q603">
        <f t="shared" si="990"/>
        <v>0</v>
      </c>
      <c r="R603">
        <f t="shared" si="991"/>
        <v>0</v>
      </c>
      <c r="S603">
        <f t="shared" si="992"/>
        <v>0</v>
      </c>
      <c r="T603">
        <f t="shared" si="993"/>
        <v>0</v>
      </c>
    </row>
    <row r="604" spans="1:20" x14ac:dyDescent="0.25">
      <c r="A604" s="5"/>
      <c r="C604"/>
      <c r="D604"/>
      <c r="P604">
        <f t="shared" si="989"/>
        <v>0</v>
      </c>
      <c r="Q604">
        <f t="shared" si="990"/>
        <v>0</v>
      </c>
      <c r="R604">
        <f t="shared" si="991"/>
        <v>0</v>
      </c>
      <c r="S604">
        <f t="shared" si="992"/>
        <v>0</v>
      </c>
      <c r="T604">
        <f t="shared" si="993"/>
        <v>0</v>
      </c>
    </row>
    <row r="605" spans="1:20" x14ac:dyDescent="0.25">
      <c r="A605" s="5"/>
      <c r="C605"/>
      <c r="D605"/>
      <c r="P605">
        <f t="shared" si="989"/>
        <v>0</v>
      </c>
      <c r="Q605">
        <f t="shared" si="990"/>
        <v>0</v>
      </c>
      <c r="R605">
        <f t="shared" si="991"/>
        <v>0</v>
      </c>
      <c r="S605">
        <f t="shared" si="992"/>
        <v>0</v>
      </c>
      <c r="T605">
        <f t="shared" si="993"/>
        <v>0</v>
      </c>
    </row>
    <row r="606" spans="1:20" x14ac:dyDescent="0.25">
      <c r="A606" s="5"/>
      <c r="C606"/>
      <c r="D606"/>
      <c r="P606">
        <f t="shared" si="989"/>
        <v>0</v>
      </c>
      <c r="Q606">
        <f t="shared" si="990"/>
        <v>0</v>
      </c>
      <c r="R606">
        <f t="shared" si="991"/>
        <v>0</v>
      </c>
      <c r="S606">
        <f t="shared" si="992"/>
        <v>0</v>
      </c>
      <c r="T606">
        <f t="shared" si="993"/>
        <v>0</v>
      </c>
    </row>
    <row r="607" spans="1:20" x14ac:dyDescent="0.25">
      <c r="A607" s="5"/>
      <c r="C607"/>
      <c r="D607"/>
      <c r="P607">
        <f t="shared" si="989"/>
        <v>0</v>
      </c>
      <c r="Q607">
        <f t="shared" si="990"/>
        <v>0</v>
      </c>
      <c r="R607">
        <f t="shared" si="991"/>
        <v>0</v>
      </c>
      <c r="S607">
        <f t="shared" si="992"/>
        <v>0</v>
      </c>
      <c r="T607">
        <f t="shared" si="993"/>
        <v>0</v>
      </c>
    </row>
    <row r="608" spans="1:20" x14ac:dyDescent="0.25">
      <c r="A608" s="5"/>
      <c r="C608"/>
      <c r="D608"/>
      <c r="P608">
        <f t="shared" si="989"/>
        <v>0</v>
      </c>
      <c r="Q608">
        <f t="shared" si="990"/>
        <v>0</v>
      </c>
      <c r="R608">
        <f t="shared" si="991"/>
        <v>0</v>
      </c>
      <c r="S608">
        <f t="shared" si="992"/>
        <v>0</v>
      </c>
      <c r="T608">
        <f t="shared" si="993"/>
        <v>0</v>
      </c>
    </row>
    <row r="609" spans="1:20" x14ac:dyDescent="0.25">
      <c r="A609" s="5"/>
      <c r="C609"/>
      <c r="D609"/>
      <c r="P609">
        <f t="shared" si="989"/>
        <v>0</v>
      </c>
      <c r="Q609">
        <f t="shared" si="990"/>
        <v>0</v>
      </c>
      <c r="R609">
        <f t="shared" si="991"/>
        <v>0</v>
      </c>
      <c r="S609">
        <f t="shared" si="992"/>
        <v>0</v>
      </c>
      <c r="T609">
        <f t="shared" si="993"/>
        <v>0</v>
      </c>
    </row>
    <row r="610" spans="1:20" x14ac:dyDescent="0.25">
      <c r="A610" s="5"/>
      <c r="C610"/>
      <c r="D610"/>
      <c r="P610">
        <f t="shared" si="989"/>
        <v>0</v>
      </c>
      <c r="Q610">
        <f t="shared" si="990"/>
        <v>0</v>
      </c>
      <c r="R610">
        <f t="shared" si="991"/>
        <v>0</v>
      </c>
      <c r="S610">
        <f t="shared" si="992"/>
        <v>0</v>
      </c>
      <c r="T610">
        <f t="shared" si="993"/>
        <v>0</v>
      </c>
    </row>
    <row r="611" spans="1:20" x14ac:dyDescent="0.25">
      <c r="A611" s="5"/>
      <c r="C611"/>
      <c r="D611"/>
      <c r="P611">
        <f t="shared" si="989"/>
        <v>0</v>
      </c>
      <c r="Q611">
        <f t="shared" si="990"/>
        <v>0</v>
      </c>
      <c r="R611">
        <f t="shared" si="991"/>
        <v>0</v>
      </c>
      <c r="S611">
        <f t="shared" si="992"/>
        <v>0</v>
      </c>
      <c r="T611">
        <f t="shared" si="993"/>
        <v>0</v>
      </c>
    </row>
    <row r="612" spans="1:20" x14ac:dyDescent="0.25">
      <c r="A612" s="5"/>
      <c r="C612"/>
      <c r="D612"/>
      <c r="P612">
        <f t="shared" si="989"/>
        <v>0</v>
      </c>
      <c r="Q612">
        <f t="shared" si="990"/>
        <v>0</v>
      </c>
      <c r="R612">
        <f t="shared" si="991"/>
        <v>0</v>
      </c>
      <c r="S612">
        <f t="shared" si="992"/>
        <v>0</v>
      </c>
      <c r="T612">
        <f t="shared" si="993"/>
        <v>0</v>
      </c>
    </row>
    <row r="613" spans="1:20" x14ac:dyDescent="0.25">
      <c r="A613" s="5"/>
      <c r="C613"/>
      <c r="D613"/>
      <c r="P613">
        <f t="shared" si="989"/>
        <v>0</v>
      </c>
      <c r="Q613">
        <f t="shared" si="990"/>
        <v>0</v>
      </c>
      <c r="R613">
        <f t="shared" si="991"/>
        <v>0</v>
      </c>
      <c r="S613">
        <f t="shared" si="992"/>
        <v>0</v>
      </c>
      <c r="T613">
        <f t="shared" si="993"/>
        <v>0</v>
      </c>
    </row>
    <row r="614" spans="1:20" x14ac:dyDescent="0.25">
      <c r="A614" s="5"/>
      <c r="C614"/>
      <c r="D614"/>
      <c r="P614">
        <f t="shared" si="989"/>
        <v>0</v>
      </c>
      <c r="Q614">
        <f t="shared" si="990"/>
        <v>0</v>
      </c>
      <c r="R614">
        <f t="shared" si="991"/>
        <v>0</v>
      </c>
      <c r="S614">
        <f t="shared" si="992"/>
        <v>0</v>
      </c>
      <c r="T614">
        <f t="shared" si="993"/>
        <v>0</v>
      </c>
    </row>
    <row r="615" spans="1:20" x14ac:dyDescent="0.25">
      <c r="A615" s="5"/>
      <c r="C615"/>
      <c r="D615"/>
      <c r="P615">
        <f t="shared" si="989"/>
        <v>0</v>
      </c>
      <c r="Q615">
        <f t="shared" si="990"/>
        <v>0</v>
      </c>
      <c r="R615">
        <f t="shared" si="991"/>
        <v>0</v>
      </c>
      <c r="S615">
        <f t="shared" si="992"/>
        <v>0</v>
      </c>
      <c r="T615">
        <f t="shared" si="993"/>
        <v>0</v>
      </c>
    </row>
    <row r="616" spans="1:20" x14ac:dyDescent="0.25">
      <c r="A616" s="5"/>
      <c r="C616"/>
      <c r="D616"/>
      <c r="P616">
        <f t="shared" si="989"/>
        <v>0</v>
      </c>
      <c r="Q616">
        <f t="shared" si="990"/>
        <v>0</v>
      </c>
      <c r="R616">
        <f t="shared" si="991"/>
        <v>0</v>
      </c>
      <c r="S616">
        <f t="shared" si="992"/>
        <v>0</v>
      </c>
      <c r="T616">
        <f t="shared" si="993"/>
        <v>0</v>
      </c>
    </row>
    <row r="617" spans="1:20" x14ac:dyDescent="0.25">
      <c r="A617" s="5"/>
      <c r="C617"/>
      <c r="D617"/>
      <c r="P617">
        <f t="shared" si="989"/>
        <v>0</v>
      </c>
      <c r="Q617">
        <f t="shared" si="990"/>
        <v>0</v>
      </c>
      <c r="R617">
        <f t="shared" si="991"/>
        <v>0</v>
      </c>
      <c r="S617">
        <f t="shared" si="992"/>
        <v>0</v>
      </c>
      <c r="T617">
        <f t="shared" si="993"/>
        <v>0</v>
      </c>
    </row>
    <row r="618" spans="1:20" x14ac:dyDescent="0.25">
      <c r="A618" s="5"/>
      <c r="C618"/>
      <c r="D618"/>
      <c r="P618">
        <f t="shared" si="989"/>
        <v>0</v>
      </c>
      <c r="Q618">
        <f t="shared" si="990"/>
        <v>0</v>
      </c>
      <c r="R618">
        <f t="shared" si="991"/>
        <v>0</v>
      </c>
      <c r="S618">
        <f t="shared" si="992"/>
        <v>0</v>
      </c>
      <c r="T618">
        <f t="shared" si="993"/>
        <v>0</v>
      </c>
    </row>
    <row r="619" spans="1:20" x14ac:dyDescent="0.25">
      <c r="A619" s="5"/>
      <c r="C619"/>
      <c r="D619"/>
      <c r="P619">
        <f t="shared" si="989"/>
        <v>0</v>
      </c>
      <c r="Q619">
        <f t="shared" si="990"/>
        <v>0</v>
      </c>
      <c r="R619">
        <f t="shared" si="991"/>
        <v>0</v>
      </c>
      <c r="S619">
        <f t="shared" si="992"/>
        <v>0</v>
      </c>
      <c r="T619">
        <f t="shared" si="993"/>
        <v>0</v>
      </c>
    </row>
    <row r="620" spans="1:20" x14ac:dyDescent="0.25">
      <c r="A620" s="5"/>
      <c r="C620"/>
      <c r="D620"/>
      <c r="P620">
        <f t="shared" si="989"/>
        <v>0</v>
      </c>
      <c r="Q620">
        <f t="shared" si="990"/>
        <v>0</v>
      </c>
      <c r="R620">
        <f t="shared" si="991"/>
        <v>0</v>
      </c>
      <c r="S620">
        <f t="shared" si="992"/>
        <v>0</v>
      </c>
      <c r="T620">
        <f t="shared" si="993"/>
        <v>0</v>
      </c>
    </row>
    <row r="621" spans="1:20" x14ac:dyDescent="0.25">
      <c r="A621" s="5"/>
      <c r="C621"/>
      <c r="D621"/>
      <c r="P621">
        <f t="shared" si="989"/>
        <v>0</v>
      </c>
      <c r="Q621">
        <f t="shared" si="990"/>
        <v>0</v>
      </c>
      <c r="R621">
        <f t="shared" si="991"/>
        <v>0</v>
      </c>
      <c r="S621">
        <f t="shared" si="992"/>
        <v>0</v>
      </c>
      <c r="T621">
        <f t="shared" si="993"/>
        <v>0</v>
      </c>
    </row>
    <row r="622" spans="1:20" x14ac:dyDescent="0.25">
      <c r="A622" s="5"/>
      <c r="C622"/>
      <c r="D622"/>
      <c r="P622">
        <f t="shared" si="989"/>
        <v>0</v>
      </c>
      <c r="Q622">
        <f t="shared" si="990"/>
        <v>0</v>
      </c>
      <c r="R622">
        <f t="shared" si="991"/>
        <v>0</v>
      </c>
      <c r="S622">
        <f t="shared" si="992"/>
        <v>0</v>
      </c>
      <c r="T622">
        <f t="shared" si="993"/>
        <v>0</v>
      </c>
    </row>
    <row r="623" spans="1:20" x14ac:dyDescent="0.25">
      <c r="A623" s="5"/>
      <c r="C623"/>
      <c r="D623"/>
      <c r="P623">
        <f t="shared" si="989"/>
        <v>0</v>
      </c>
      <c r="Q623">
        <f t="shared" si="990"/>
        <v>0</v>
      </c>
      <c r="R623">
        <f t="shared" si="991"/>
        <v>0</v>
      </c>
      <c r="S623">
        <f t="shared" si="992"/>
        <v>0</v>
      </c>
      <c r="T623">
        <f t="shared" si="993"/>
        <v>0</v>
      </c>
    </row>
    <row r="624" spans="1:20" x14ac:dyDescent="0.25">
      <c r="A624" s="5"/>
      <c r="C624"/>
      <c r="D624"/>
      <c r="P624">
        <f t="shared" si="989"/>
        <v>0</v>
      </c>
      <c r="Q624">
        <f t="shared" si="990"/>
        <v>0</v>
      </c>
      <c r="R624">
        <f t="shared" si="991"/>
        <v>0</v>
      </c>
      <c r="S624">
        <f t="shared" si="992"/>
        <v>0</v>
      </c>
      <c r="T624">
        <f t="shared" si="993"/>
        <v>0</v>
      </c>
    </row>
    <row r="625" spans="1:20" x14ac:dyDescent="0.25">
      <c r="A625" s="5"/>
      <c r="C625"/>
      <c r="D625"/>
      <c r="P625">
        <f t="shared" si="989"/>
        <v>0</v>
      </c>
      <c r="Q625">
        <f t="shared" si="990"/>
        <v>0</v>
      </c>
      <c r="R625">
        <f t="shared" si="991"/>
        <v>0</v>
      </c>
      <c r="S625">
        <f t="shared" si="992"/>
        <v>0</v>
      </c>
      <c r="T625">
        <f t="shared" si="993"/>
        <v>0</v>
      </c>
    </row>
    <row r="626" spans="1:20" x14ac:dyDescent="0.25">
      <c r="A626" s="5"/>
      <c r="C626"/>
      <c r="D626"/>
      <c r="P626">
        <f t="shared" si="989"/>
        <v>0</v>
      </c>
      <c r="Q626">
        <f t="shared" si="990"/>
        <v>0</v>
      </c>
      <c r="R626">
        <f t="shared" si="991"/>
        <v>0</v>
      </c>
      <c r="S626">
        <f t="shared" si="992"/>
        <v>0</v>
      </c>
      <c r="T626">
        <f t="shared" si="993"/>
        <v>0</v>
      </c>
    </row>
    <row r="627" spans="1:20" x14ac:dyDescent="0.25">
      <c r="A627" s="5"/>
      <c r="C627"/>
      <c r="D627"/>
      <c r="P627">
        <f t="shared" si="989"/>
        <v>0</v>
      </c>
      <c r="Q627">
        <f t="shared" si="990"/>
        <v>0</v>
      </c>
      <c r="R627">
        <f t="shared" si="991"/>
        <v>0</v>
      </c>
      <c r="S627">
        <f t="shared" si="992"/>
        <v>0</v>
      </c>
      <c r="T627">
        <f t="shared" si="993"/>
        <v>0</v>
      </c>
    </row>
    <row r="628" spans="1:20" x14ac:dyDescent="0.25">
      <c r="A628" s="5"/>
      <c r="C628"/>
      <c r="D628"/>
      <c r="P628">
        <f t="shared" si="989"/>
        <v>0</v>
      </c>
      <c r="Q628">
        <f t="shared" si="990"/>
        <v>0</v>
      </c>
      <c r="R628">
        <f t="shared" si="991"/>
        <v>0</v>
      </c>
      <c r="S628">
        <f t="shared" si="992"/>
        <v>0</v>
      </c>
      <c r="T628">
        <f t="shared" si="993"/>
        <v>0</v>
      </c>
    </row>
    <row r="629" spans="1:20" x14ac:dyDescent="0.25">
      <c r="A629" s="5"/>
      <c r="C629"/>
      <c r="D629"/>
      <c r="P629">
        <f t="shared" si="989"/>
        <v>0</v>
      </c>
      <c r="Q629">
        <f t="shared" si="990"/>
        <v>0</v>
      </c>
      <c r="R629">
        <f t="shared" si="991"/>
        <v>0</v>
      </c>
      <c r="S629">
        <f t="shared" si="992"/>
        <v>0</v>
      </c>
      <c r="T629">
        <f t="shared" si="993"/>
        <v>0</v>
      </c>
    </row>
    <row r="630" spans="1:20" x14ac:dyDescent="0.25">
      <c r="A630" s="5"/>
      <c r="C630"/>
      <c r="D630"/>
      <c r="P630">
        <f t="shared" si="989"/>
        <v>0</v>
      </c>
      <c r="Q630">
        <f t="shared" si="990"/>
        <v>0</v>
      </c>
      <c r="R630">
        <f t="shared" si="991"/>
        <v>0</v>
      </c>
      <c r="S630">
        <f t="shared" si="992"/>
        <v>0</v>
      </c>
      <c r="T630">
        <f t="shared" si="993"/>
        <v>0</v>
      </c>
    </row>
    <row r="631" spans="1:20" x14ac:dyDescent="0.25">
      <c r="A631" s="5"/>
      <c r="C631"/>
      <c r="D631"/>
      <c r="P631">
        <f t="shared" si="989"/>
        <v>0</v>
      </c>
      <c r="Q631">
        <f t="shared" si="990"/>
        <v>0</v>
      </c>
      <c r="R631">
        <f t="shared" si="991"/>
        <v>0</v>
      </c>
      <c r="S631">
        <f t="shared" si="992"/>
        <v>0</v>
      </c>
      <c r="T631">
        <f t="shared" si="993"/>
        <v>0</v>
      </c>
    </row>
    <row r="632" spans="1:20" x14ac:dyDescent="0.25">
      <c r="A632" s="5"/>
      <c r="C632"/>
      <c r="D632"/>
      <c r="P632">
        <f t="shared" si="989"/>
        <v>0</v>
      </c>
      <c r="Q632">
        <f t="shared" si="990"/>
        <v>0</v>
      </c>
      <c r="R632">
        <f t="shared" si="991"/>
        <v>0</v>
      </c>
      <c r="S632">
        <f t="shared" si="992"/>
        <v>0</v>
      </c>
      <c r="T632">
        <f t="shared" si="993"/>
        <v>0</v>
      </c>
    </row>
    <row r="633" spans="1:20" x14ac:dyDescent="0.25">
      <c r="A633" s="5"/>
      <c r="C633"/>
      <c r="D633"/>
      <c r="P633">
        <f t="shared" si="989"/>
        <v>0</v>
      </c>
      <c r="Q633">
        <f t="shared" si="990"/>
        <v>0</v>
      </c>
      <c r="R633">
        <f t="shared" si="991"/>
        <v>0</v>
      </c>
      <c r="S633">
        <f t="shared" si="992"/>
        <v>0</v>
      </c>
      <c r="T633">
        <f t="shared" si="993"/>
        <v>0</v>
      </c>
    </row>
    <row r="634" spans="1:20" x14ac:dyDescent="0.25">
      <c r="A634" s="5"/>
      <c r="C634"/>
      <c r="D634"/>
      <c r="P634">
        <f t="shared" si="989"/>
        <v>0</v>
      </c>
      <c r="Q634">
        <f t="shared" si="990"/>
        <v>0</v>
      </c>
      <c r="R634">
        <f t="shared" si="991"/>
        <v>0</v>
      </c>
      <c r="S634">
        <f t="shared" si="992"/>
        <v>0</v>
      </c>
      <c r="T634">
        <f t="shared" si="993"/>
        <v>0</v>
      </c>
    </row>
    <row r="635" spans="1:20" x14ac:dyDescent="0.25">
      <c r="A635" s="5"/>
      <c r="C635"/>
      <c r="D635"/>
      <c r="P635">
        <f t="shared" si="989"/>
        <v>0</v>
      </c>
      <c r="Q635">
        <f t="shared" si="990"/>
        <v>0</v>
      </c>
      <c r="R635">
        <f t="shared" si="991"/>
        <v>0</v>
      </c>
      <c r="S635">
        <f t="shared" si="992"/>
        <v>0</v>
      </c>
      <c r="T635">
        <f t="shared" si="993"/>
        <v>0</v>
      </c>
    </row>
    <row r="636" spans="1:20" x14ac:dyDescent="0.25">
      <c r="A636" s="5"/>
      <c r="C636"/>
      <c r="D636"/>
      <c r="P636">
        <f t="shared" si="989"/>
        <v>0</v>
      </c>
      <c r="Q636">
        <f t="shared" si="990"/>
        <v>0</v>
      </c>
      <c r="R636">
        <f t="shared" si="991"/>
        <v>0</v>
      </c>
      <c r="S636">
        <f t="shared" si="992"/>
        <v>0</v>
      </c>
      <c r="T636">
        <f t="shared" si="993"/>
        <v>0</v>
      </c>
    </row>
    <row r="637" spans="1:20" x14ac:dyDescent="0.25">
      <c r="A637" s="5"/>
      <c r="C637"/>
      <c r="D637"/>
      <c r="P637">
        <f t="shared" si="989"/>
        <v>0</v>
      </c>
      <c r="Q637">
        <f t="shared" si="990"/>
        <v>0</v>
      </c>
      <c r="R637">
        <f t="shared" si="991"/>
        <v>0</v>
      </c>
      <c r="S637">
        <f t="shared" si="992"/>
        <v>0</v>
      </c>
      <c r="T637">
        <f t="shared" si="993"/>
        <v>0</v>
      </c>
    </row>
    <row r="638" spans="1:20" x14ac:dyDescent="0.25">
      <c r="A638" s="5"/>
      <c r="C638"/>
      <c r="D638"/>
      <c r="P638">
        <f t="shared" si="989"/>
        <v>0</v>
      </c>
      <c r="Q638">
        <f t="shared" si="990"/>
        <v>0</v>
      </c>
      <c r="R638">
        <f t="shared" si="991"/>
        <v>0</v>
      </c>
      <c r="S638">
        <f t="shared" si="992"/>
        <v>0</v>
      </c>
      <c r="T638">
        <f t="shared" si="993"/>
        <v>0</v>
      </c>
    </row>
    <row r="639" spans="1:20" x14ac:dyDescent="0.25">
      <c r="A639" s="5"/>
      <c r="C639"/>
      <c r="D639"/>
      <c r="P639">
        <f t="shared" si="989"/>
        <v>0</v>
      </c>
      <c r="Q639">
        <f t="shared" si="990"/>
        <v>0</v>
      </c>
      <c r="R639">
        <f t="shared" si="991"/>
        <v>0</v>
      </c>
      <c r="S639">
        <f t="shared" si="992"/>
        <v>0</v>
      </c>
      <c r="T639">
        <f t="shared" si="993"/>
        <v>0</v>
      </c>
    </row>
    <row r="640" spans="1:20" x14ac:dyDescent="0.25">
      <c r="A640" s="5"/>
      <c r="C640"/>
      <c r="D640"/>
      <c r="P640">
        <f t="shared" si="989"/>
        <v>0</v>
      </c>
      <c r="Q640">
        <f t="shared" si="990"/>
        <v>0</v>
      </c>
      <c r="R640">
        <f t="shared" si="991"/>
        <v>0</v>
      </c>
      <c r="S640">
        <f t="shared" si="992"/>
        <v>0</v>
      </c>
      <c r="T640">
        <f t="shared" si="993"/>
        <v>0</v>
      </c>
    </row>
    <row r="641" spans="1:20" x14ac:dyDescent="0.25">
      <c r="A641" s="5"/>
      <c r="C641"/>
      <c r="D641"/>
      <c r="P641">
        <f t="shared" si="989"/>
        <v>0</v>
      </c>
      <c r="Q641">
        <f t="shared" si="990"/>
        <v>0</v>
      </c>
      <c r="R641">
        <f t="shared" si="991"/>
        <v>0</v>
      </c>
      <c r="S641">
        <f t="shared" si="992"/>
        <v>0</v>
      </c>
      <c r="T641">
        <f t="shared" si="993"/>
        <v>0</v>
      </c>
    </row>
    <row r="642" spans="1:20" x14ac:dyDescent="0.25">
      <c r="A642" s="5"/>
      <c r="C642"/>
      <c r="D642"/>
      <c r="P642">
        <f t="shared" si="989"/>
        <v>0</v>
      </c>
      <c r="Q642">
        <f t="shared" si="990"/>
        <v>0</v>
      </c>
      <c r="R642">
        <f t="shared" si="991"/>
        <v>0</v>
      </c>
      <c r="S642">
        <f t="shared" si="992"/>
        <v>0</v>
      </c>
      <c r="T642">
        <f t="shared" si="993"/>
        <v>0</v>
      </c>
    </row>
    <row r="643" spans="1:20" x14ac:dyDescent="0.25">
      <c r="A643" s="5"/>
      <c r="C643"/>
      <c r="D643"/>
      <c r="P643">
        <f t="shared" si="989"/>
        <v>0</v>
      </c>
      <c r="Q643">
        <f t="shared" si="990"/>
        <v>0</v>
      </c>
      <c r="R643">
        <f t="shared" si="991"/>
        <v>0</v>
      </c>
      <c r="S643">
        <f t="shared" si="992"/>
        <v>0</v>
      </c>
      <c r="T643">
        <f t="shared" si="993"/>
        <v>0</v>
      </c>
    </row>
    <row r="644" spans="1:20" x14ac:dyDescent="0.25">
      <c r="A644" s="5"/>
      <c r="C644"/>
      <c r="D644"/>
      <c r="P644">
        <f t="shared" si="989"/>
        <v>0</v>
      </c>
      <c r="Q644">
        <f t="shared" si="990"/>
        <v>0</v>
      </c>
      <c r="R644">
        <f t="shared" si="991"/>
        <v>0</v>
      </c>
      <c r="S644">
        <f t="shared" si="992"/>
        <v>0</v>
      </c>
      <c r="T644">
        <f t="shared" si="993"/>
        <v>0</v>
      </c>
    </row>
    <row r="645" spans="1:20" x14ac:dyDescent="0.25">
      <c r="A645" s="5"/>
      <c r="C645"/>
      <c r="D645"/>
      <c r="P645">
        <f t="shared" si="989"/>
        <v>0</v>
      </c>
      <c r="Q645">
        <f t="shared" si="990"/>
        <v>0</v>
      </c>
      <c r="R645">
        <f t="shared" si="991"/>
        <v>0</v>
      </c>
      <c r="S645">
        <f t="shared" si="992"/>
        <v>0</v>
      </c>
      <c r="T645">
        <f t="shared" si="993"/>
        <v>0</v>
      </c>
    </row>
    <row r="646" spans="1:20" x14ac:dyDescent="0.25">
      <c r="A646" s="5"/>
      <c r="C646"/>
      <c r="D646"/>
      <c r="P646">
        <f t="shared" ref="P646:P709" si="994">IF(C646=D646,0,((E646-D646)-(C646-E646))/(C646-D646))</f>
        <v>0</v>
      </c>
      <c r="Q646">
        <f t="shared" ref="Q646:Q709" si="995">F646*P646</f>
        <v>0</v>
      </c>
      <c r="R646">
        <f t="shared" ref="R646:R709" si="996">R647+Q646</f>
        <v>0</v>
      </c>
      <c r="S646">
        <f t="shared" ref="S646:S709" si="997">R646/100000</f>
        <v>0</v>
      </c>
      <c r="T646">
        <f t="shared" ref="T646:T709" si="998">S646/1000</f>
        <v>0</v>
      </c>
    </row>
    <row r="647" spans="1:20" x14ac:dyDescent="0.25">
      <c r="A647" s="5"/>
      <c r="C647"/>
      <c r="D647"/>
      <c r="P647">
        <f t="shared" si="994"/>
        <v>0</v>
      </c>
      <c r="Q647">
        <f t="shared" si="995"/>
        <v>0</v>
      </c>
      <c r="R647">
        <f t="shared" si="996"/>
        <v>0</v>
      </c>
      <c r="S647">
        <f t="shared" si="997"/>
        <v>0</v>
      </c>
      <c r="T647">
        <f t="shared" si="998"/>
        <v>0</v>
      </c>
    </row>
    <row r="648" spans="1:20" x14ac:dyDescent="0.25">
      <c r="A648" s="5"/>
      <c r="C648"/>
      <c r="D648"/>
      <c r="P648">
        <f t="shared" si="994"/>
        <v>0</v>
      </c>
      <c r="Q648">
        <f t="shared" si="995"/>
        <v>0</v>
      </c>
      <c r="R648">
        <f t="shared" si="996"/>
        <v>0</v>
      </c>
      <c r="S648">
        <f t="shared" si="997"/>
        <v>0</v>
      </c>
      <c r="T648">
        <f t="shared" si="998"/>
        <v>0</v>
      </c>
    </row>
    <row r="649" spans="1:20" x14ac:dyDescent="0.25">
      <c r="A649" s="5"/>
      <c r="C649"/>
      <c r="D649"/>
      <c r="P649">
        <f t="shared" si="994"/>
        <v>0</v>
      </c>
      <c r="Q649">
        <f t="shared" si="995"/>
        <v>0</v>
      </c>
      <c r="R649">
        <f t="shared" si="996"/>
        <v>0</v>
      </c>
      <c r="S649">
        <f t="shared" si="997"/>
        <v>0</v>
      </c>
      <c r="T649">
        <f t="shared" si="998"/>
        <v>0</v>
      </c>
    </row>
    <row r="650" spans="1:20" x14ac:dyDescent="0.25">
      <c r="A650" s="5"/>
      <c r="C650"/>
      <c r="D650"/>
      <c r="P650">
        <f t="shared" si="994"/>
        <v>0</v>
      </c>
      <c r="Q650">
        <f t="shared" si="995"/>
        <v>0</v>
      </c>
      <c r="R650">
        <f t="shared" si="996"/>
        <v>0</v>
      </c>
      <c r="S650">
        <f t="shared" si="997"/>
        <v>0</v>
      </c>
      <c r="T650">
        <f t="shared" si="998"/>
        <v>0</v>
      </c>
    </row>
    <row r="651" spans="1:20" x14ac:dyDescent="0.25">
      <c r="A651" s="5"/>
      <c r="C651"/>
      <c r="D651"/>
      <c r="P651">
        <f t="shared" si="994"/>
        <v>0</v>
      </c>
      <c r="Q651">
        <f t="shared" si="995"/>
        <v>0</v>
      </c>
      <c r="R651">
        <f t="shared" si="996"/>
        <v>0</v>
      </c>
      <c r="S651">
        <f t="shared" si="997"/>
        <v>0</v>
      </c>
      <c r="T651">
        <f t="shared" si="998"/>
        <v>0</v>
      </c>
    </row>
    <row r="652" spans="1:20" x14ac:dyDescent="0.25">
      <c r="A652" s="5"/>
      <c r="C652"/>
      <c r="D652"/>
      <c r="P652">
        <f t="shared" si="994"/>
        <v>0</v>
      </c>
      <c r="Q652">
        <f t="shared" si="995"/>
        <v>0</v>
      </c>
      <c r="R652">
        <f t="shared" si="996"/>
        <v>0</v>
      </c>
      <c r="S652">
        <f t="shared" si="997"/>
        <v>0</v>
      </c>
      <c r="T652">
        <f t="shared" si="998"/>
        <v>0</v>
      </c>
    </row>
    <row r="653" spans="1:20" x14ac:dyDescent="0.25">
      <c r="A653" s="5"/>
      <c r="C653"/>
      <c r="D653"/>
      <c r="P653">
        <f t="shared" si="994"/>
        <v>0</v>
      </c>
      <c r="Q653">
        <f t="shared" si="995"/>
        <v>0</v>
      </c>
      <c r="R653">
        <f t="shared" si="996"/>
        <v>0</v>
      </c>
      <c r="S653">
        <f t="shared" si="997"/>
        <v>0</v>
      </c>
      <c r="T653">
        <f t="shared" si="998"/>
        <v>0</v>
      </c>
    </row>
    <row r="654" spans="1:20" x14ac:dyDescent="0.25">
      <c r="A654" s="5"/>
      <c r="C654"/>
      <c r="D654"/>
      <c r="P654">
        <f t="shared" si="994"/>
        <v>0</v>
      </c>
      <c r="Q654">
        <f t="shared" si="995"/>
        <v>0</v>
      </c>
      <c r="R654">
        <f t="shared" si="996"/>
        <v>0</v>
      </c>
      <c r="S654">
        <f t="shared" si="997"/>
        <v>0</v>
      </c>
      <c r="T654">
        <f t="shared" si="998"/>
        <v>0</v>
      </c>
    </row>
    <row r="655" spans="1:20" x14ac:dyDescent="0.25">
      <c r="A655" s="5"/>
      <c r="C655"/>
      <c r="D655"/>
      <c r="P655">
        <f t="shared" si="994"/>
        <v>0</v>
      </c>
      <c r="Q655">
        <f t="shared" si="995"/>
        <v>0</v>
      </c>
      <c r="R655">
        <f t="shared" si="996"/>
        <v>0</v>
      </c>
      <c r="S655">
        <f t="shared" si="997"/>
        <v>0</v>
      </c>
      <c r="T655">
        <f t="shared" si="998"/>
        <v>0</v>
      </c>
    </row>
    <row r="656" spans="1:20" x14ac:dyDescent="0.25">
      <c r="A656" s="5"/>
      <c r="C656"/>
      <c r="D656"/>
      <c r="P656">
        <f t="shared" si="994"/>
        <v>0</v>
      </c>
      <c r="Q656">
        <f t="shared" si="995"/>
        <v>0</v>
      </c>
      <c r="R656">
        <f t="shared" si="996"/>
        <v>0</v>
      </c>
      <c r="S656">
        <f t="shared" si="997"/>
        <v>0</v>
      </c>
      <c r="T656">
        <f t="shared" si="998"/>
        <v>0</v>
      </c>
    </row>
    <row r="657" spans="1:20" x14ac:dyDescent="0.25">
      <c r="A657" s="5"/>
      <c r="C657"/>
      <c r="D657"/>
      <c r="P657">
        <f t="shared" si="994"/>
        <v>0</v>
      </c>
      <c r="Q657">
        <f t="shared" si="995"/>
        <v>0</v>
      </c>
      <c r="R657">
        <f t="shared" si="996"/>
        <v>0</v>
      </c>
      <c r="S657">
        <f t="shared" si="997"/>
        <v>0</v>
      </c>
      <c r="T657">
        <f t="shared" si="998"/>
        <v>0</v>
      </c>
    </row>
    <row r="658" spans="1:20" x14ac:dyDescent="0.25">
      <c r="A658" s="5"/>
      <c r="C658"/>
      <c r="D658"/>
      <c r="P658">
        <f t="shared" si="994"/>
        <v>0</v>
      </c>
      <c r="Q658">
        <f t="shared" si="995"/>
        <v>0</v>
      </c>
      <c r="R658">
        <f t="shared" si="996"/>
        <v>0</v>
      </c>
      <c r="S658">
        <f t="shared" si="997"/>
        <v>0</v>
      </c>
      <c r="T658">
        <f t="shared" si="998"/>
        <v>0</v>
      </c>
    </row>
    <row r="659" spans="1:20" x14ac:dyDescent="0.25">
      <c r="A659" s="5"/>
      <c r="C659"/>
      <c r="D659"/>
      <c r="P659">
        <f t="shared" si="994"/>
        <v>0</v>
      </c>
      <c r="Q659">
        <f t="shared" si="995"/>
        <v>0</v>
      </c>
      <c r="R659">
        <f t="shared" si="996"/>
        <v>0</v>
      </c>
      <c r="S659">
        <f t="shared" si="997"/>
        <v>0</v>
      </c>
      <c r="T659">
        <f t="shared" si="998"/>
        <v>0</v>
      </c>
    </row>
    <row r="660" spans="1:20" x14ac:dyDescent="0.25">
      <c r="A660" s="5"/>
      <c r="C660"/>
      <c r="D660"/>
      <c r="P660">
        <f t="shared" si="994"/>
        <v>0</v>
      </c>
      <c r="Q660">
        <f t="shared" si="995"/>
        <v>0</v>
      </c>
      <c r="R660">
        <f t="shared" si="996"/>
        <v>0</v>
      </c>
      <c r="S660">
        <f t="shared" si="997"/>
        <v>0</v>
      </c>
      <c r="T660">
        <f t="shared" si="998"/>
        <v>0</v>
      </c>
    </row>
    <row r="661" spans="1:20" x14ac:dyDescent="0.25">
      <c r="A661" s="5"/>
      <c r="P661">
        <f t="shared" si="994"/>
        <v>0</v>
      </c>
      <c r="Q661">
        <f t="shared" si="995"/>
        <v>0</v>
      </c>
      <c r="R661">
        <f t="shared" si="996"/>
        <v>0</v>
      </c>
      <c r="S661">
        <f t="shared" si="997"/>
        <v>0</v>
      </c>
      <c r="T661">
        <f t="shared" si="998"/>
        <v>0</v>
      </c>
    </row>
    <row r="662" spans="1:20" x14ac:dyDescent="0.25">
      <c r="A662" s="5"/>
      <c r="P662">
        <f t="shared" si="994"/>
        <v>0</v>
      </c>
      <c r="Q662">
        <f t="shared" si="995"/>
        <v>0</v>
      </c>
      <c r="R662">
        <f t="shared" si="996"/>
        <v>0</v>
      </c>
      <c r="S662">
        <f t="shared" si="997"/>
        <v>0</v>
      </c>
      <c r="T662">
        <f t="shared" si="998"/>
        <v>0</v>
      </c>
    </row>
    <row r="663" spans="1:20" x14ac:dyDescent="0.25">
      <c r="A663" s="5"/>
      <c r="P663">
        <f t="shared" si="994"/>
        <v>0</v>
      </c>
      <c r="Q663">
        <f t="shared" si="995"/>
        <v>0</v>
      </c>
      <c r="R663">
        <f t="shared" si="996"/>
        <v>0</v>
      </c>
      <c r="S663">
        <f t="shared" si="997"/>
        <v>0</v>
      </c>
      <c r="T663">
        <f t="shared" si="998"/>
        <v>0</v>
      </c>
    </row>
    <row r="664" spans="1:20" x14ac:dyDescent="0.25">
      <c r="A664" s="5"/>
      <c r="C664" s="4"/>
      <c r="D664" s="4"/>
      <c r="P664">
        <f t="shared" si="994"/>
        <v>0</v>
      </c>
      <c r="Q664">
        <f t="shared" si="995"/>
        <v>0</v>
      </c>
      <c r="R664">
        <f t="shared" si="996"/>
        <v>0</v>
      </c>
      <c r="S664">
        <f t="shared" si="997"/>
        <v>0</v>
      </c>
      <c r="T664">
        <f t="shared" si="998"/>
        <v>0</v>
      </c>
    </row>
    <row r="665" spans="1:20" x14ac:dyDescent="0.25">
      <c r="A665" s="5"/>
      <c r="C665" s="4"/>
      <c r="D665" s="4"/>
      <c r="P665">
        <f t="shared" si="994"/>
        <v>0</v>
      </c>
      <c r="Q665">
        <f t="shared" si="995"/>
        <v>0</v>
      </c>
      <c r="R665">
        <f t="shared" si="996"/>
        <v>0</v>
      </c>
      <c r="S665">
        <f t="shared" si="997"/>
        <v>0</v>
      </c>
      <c r="T665">
        <f t="shared" si="998"/>
        <v>0</v>
      </c>
    </row>
    <row r="666" spans="1:20" x14ac:dyDescent="0.25">
      <c r="A666" s="5"/>
      <c r="C666" s="4"/>
      <c r="D666" s="4"/>
      <c r="P666">
        <f t="shared" si="994"/>
        <v>0</v>
      </c>
      <c r="Q666">
        <f t="shared" si="995"/>
        <v>0</v>
      </c>
      <c r="R666">
        <f t="shared" si="996"/>
        <v>0</v>
      </c>
      <c r="S666">
        <f t="shared" si="997"/>
        <v>0</v>
      </c>
      <c r="T666">
        <f t="shared" si="998"/>
        <v>0</v>
      </c>
    </row>
    <row r="667" spans="1:20" x14ac:dyDescent="0.25">
      <c r="A667" s="5"/>
      <c r="C667" s="4"/>
      <c r="D667" s="4"/>
      <c r="P667">
        <f t="shared" si="994"/>
        <v>0</v>
      </c>
      <c r="Q667">
        <f t="shared" si="995"/>
        <v>0</v>
      </c>
      <c r="R667">
        <f t="shared" si="996"/>
        <v>0</v>
      </c>
      <c r="S667">
        <f t="shared" si="997"/>
        <v>0</v>
      </c>
      <c r="T667">
        <f t="shared" si="998"/>
        <v>0</v>
      </c>
    </row>
    <row r="668" spans="1:20" x14ac:dyDescent="0.25">
      <c r="A668" s="5"/>
      <c r="C668" s="4"/>
      <c r="D668" s="4"/>
      <c r="P668">
        <f t="shared" si="994"/>
        <v>0</v>
      </c>
      <c r="Q668">
        <f t="shared" si="995"/>
        <v>0</v>
      </c>
      <c r="R668">
        <f t="shared" si="996"/>
        <v>0</v>
      </c>
      <c r="S668">
        <f t="shared" si="997"/>
        <v>0</v>
      </c>
      <c r="T668">
        <f t="shared" si="998"/>
        <v>0</v>
      </c>
    </row>
    <row r="669" spans="1:20" x14ac:dyDescent="0.25">
      <c r="A669" s="5"/>
      <c r="C669" s="4"/>
      <c r="D669" s="4"/>
      <c r="P669">
        <f t="shared" si="994"/>
        <v>0</v>
      </c>
      <c r="Q669">
        <f t="shared" si="995"/>
        <v>0</v>
      </c>
      <c r="R669">
        <f t="shared" si="996"/>
        <v>0</v>
      </c>
      <c r="S669">
        <f t="shared" si="997"/>
        <v>0</v>
      </c>
      <c r="T669">
        <f t="shared" si="998"/>
        <v>0</v>
      </c>
    </row>
    <row r="670" spans="1:20" x14ac:dyDescent="0.25">
      <c r="A670" s="5"/>
      <c r="C670" s="4"/>
      <c r="D670" s="4"/>
      <c r="P670">
        <f t="shared" si="994"/>
        <v>0</v>
      </c>
      <c r="Q670">
        <f t="shared" si="995"/>
        <v>0</v>
      </c>
      <c r="R670">
        <f t="shared" si="996"/>
        <v>0</v>
      </c>
      <c r="S670">
        <f t="shared" si="997"/>
        <v>0</v>
      </c>
      <c r="T670">
        <f t="shared" si="998"/>
        <v>0</v>
      </c>
    </row>
    <row r="671" spans="1:20" x14ac:dyDescent="0.25">
      <c r="A671" s="5"/>
      <c r="C671" s="4"/>
      <c r="D671" s="4"/>
      <c r="P671">
        <f t="shared" si="994"/>
        <v>0</v>
      </c>
      <c r="Q671">
        <f t="shared" si="995"/>
        <v>0</v>
      </c>
      <c r="R671">
        <f t="shared" si="996"/>
        <v>0</v>
      </c>
      <c r="S671">
        <f t="shared" si="997"/>
        <v>0</v>
      </c>
      <c r="T671">
        <f t="shared" si="998"/>
        <v>0</v>
      </c>
    </row>
    <row r="672" spans="1:20" x14ac:dyDescent="0.25">
      <c r="A672" s="5"/>
      <c r="C672" s="4"/>
      <c r="D672" s="4"/>
      <c r="P672">
        <f t="shared" si="994"/>
        <v>0</v>
      </c>
      <c r="Q672">
        <f t="shared" si="995"/>
        <v>0</v>
      </c>
      <c r="R672">
        <f t="shared" si="996"/>
        <v>0</v>
      </c>
      <c r="S672">
        <f t="shared" si="997"/>
        <v>0</v>
      </c>
      <c r="T672">
        <f t="shared" si="998"/>
        <v>0</v>
      </c>
    </row>
    <row r="673" spans="1:20" x14ac:dyDescent="0.25">
      <c r="A673" s="5"/>
      <c r="C673" s="4"/>
      <c r="D673" s="4"/>
      <c r="P673">
        <f t="shared" si="994"/>
        <v>0</v>
      </c>
      <c r="Q673">
        <f t="shared" si="995"/>
        <v>0</v>
      </c>
      <c r="R673">
        <f t="shared" si="996"/>
        <v>0</v>
      </c>
      <c r="S673">
        <f t="shared" si="997"/>
        <v>0</v>
      </c>
      <c r="T673">
        <f t="shared" si="998"/>
        <v>0</v>
      </c>
    </row>
    <row r="674" spans="1:20" x14ac:dyDescent="0.25">
      <c r="A674" s="5"/>
      <c r="C674" s="4"/>
      <c r="D674" s="4"/>
      <c r="P674">
        <f t="shared" si="994"/>
        <v>0</v>
      </c>
      <c r="Q674">
        <f t="shared" si="995"/>
        <v>0</v>
      </c>
      <c r="R674">
        <f t="shared" si="996"/>
        <v>0</v>
      </c>
      <c r="S674">
        <f t="shared" si="997"/>
        <v>0</v>
      </c>
      <c r="T674">
        <f t="shared" si="998"/>
        <v>0</v>
      </c>
    </row>
    <row r="675" spans="1:20" x14ac:dyDescent="0.25">
      <c r="A675" s="5"/>
      <c r="C675" s="4"/>
      <c r="D675" s="4"/>
      <c r="P675">
        <f t="shared" si="994"/>
        <v>0</v>
      </c>
      <c r="Q675">
        <f t="shared" si="995"/>
        <v>0</v>
      </c>
      <c r="R675">
        <f t="shared" si="996"/>
        <v>0</v>
      </c>
      <c r="S675">
        <f t="shared" si="997"/>
        <v>0</v>
      </c>
      <c r="T675">
        <f t="shared" si="998"/>
        <v>0</v>
      </c>
    </row>
    <row r="676" spans="1:20" x14ac:dyDescent="0.25">
      <c r="A676" s="5"/>
      <c r="C676" s="4"/>
      <c r="D676" s="4"/>
      <c r="P676">
        <f t="shared" si="994"/>
        <v>0</v>
      </c>
      <c r="Q676">
        <f t="shared" si="995"/>
        <v>0</v>
      </c>
      <c r="R676">
        <f t="shared" si="996"/>
        <v>0</v>
      </c>
      <c r="S676">
        <f t="shared" si="997"/>
        <v>0</v>
      </c>
      <c r="T676">
        <f t="shared" si="998"/>
        <v>0</v>
      </c>
    </row>
    <row r="677" spans="1:20" x14ac:dyDescent="0.25">
      <c r="A677" s="5"/>
      <c r="C677" s="4"/>
      <c r="D677" s="4"/>
      <c r="P677">
        <f t="shared" si="994"/>
        <v>0</v>
      </c>
      <c r="Q677">
        <f t="shared" si="995"/>
        <v>0</v>
      </c>
      <c r="R677">
        <f t="shared" si="996"/>
        <v>0</v>
      </c>
      <c r="S677">
        <f t="shared" si="997"/>
        <v>0</v>
      </c>
      <c r="T677">
        <f t="shared" si="998"/>
        <v>0</v>
      </c>
    </row>
    <row r="678" spans="1:20" x14ac:dyDescent="0.25">
      <c r="A678" s="5"/>
      <c r="C678" s="4"/>
      <c r="D678" s="4"/>
      <c r="P678">
        <f t="shared" si="994"/>
        <v>0</v>
      </c>
      <c r="Q678">
        <f t="shared" si="995"/>
        <v>0</v>
      </c>
      <c r="R678">
        <f t="shared" si="996"/>
        <v>0</v>
      </c>
      <c r="S678">
        <f t="shared" si="997"/>
        <v>0</v>
      </c>
      <c r="T678">
        <f t="shared" si="998"/>
        <v>0</v>
      </c>
    </row>
    <row r="679" spans="1:20" x14ac:dyDescent="0.25">
      <c r="A679" s="5"/>
      <c r="C679" s="4"/>
      <c r="D679" s="4"/>
      <c r="P679">
        <f t="shared" si="994"/>
        <v>0</v>
      </c>
      <c r="Q679">
        <f t="shared" si="995"/>
        <v>0</v>
      </c>
      <c r="R679">
        <f t="shared" si="996"/>
        <v>0</v>
      </c>
      <c r="S679">
        <f t="shared" si="997"/>
        <v>0</v>
      </c>
      <c r="T679">
        <f t="shared" si="998"/>
        <v>0</v>
      </c>
    </row>
    <row r="680" spans="1:20" x14ac:dyDescent="0.25">
      <c r="A680" s="5"/>
      <c r="C680" s="4"/>
      <c r="D680" s="4"/>
      <c r="P680">
        <f t="shared" si="994"/>
        <v>0</v>
      </c>
      <c r="Q680">
        <f t="shared" si="995"/>
        <v>0</v>
      </c>
      <c r="R680">
        <f t="shared" si="996"/>
        <v>0</v>
      </c>
      <c r="S680">
        <f t="shared" si="997"/>
        <v>0</v>
      </c>
      <c r="T680">
        <f t="shared" si="998"/>
        <v>0</v>
      </c>
    </row>
    <row r="681" spans="1:20" x14ac:dyDescent="0.25">
      <c r="A681" s="5"/>
      <c r="C681" s="4"/>
      <c r="D681" s="4"/>
      <c r="P681">
        <f t="shared" si="994"/>
        <v>0</v>
      </c>
      <c r="Q681">
        <f t="shared" si="995"/>
        <v>0</v>
      </c>
      <c r="R681">
        <f t="shared" si="996"/>
        <v>0</v>
      </c>
      <c r="S681">
        <f t="shared" si="997"/>
        <v>0</v>
      </c>
      <c r="T681">
        <f t="shared" si="998"/>
        <v>0</v>
      </c>
    </row>
    <row r="682" spans="1:20" x14ac:dyDescent="0.25">
      <c r="A682" s="5"/>
      <c r="C682" s="4"/>
      <c r="D682" s="4"/>
      <c r="P682">
        <f t="shared" si="994"/>
        <v>0</v>
      </c>
      <c r="Q682">
        <f t="shared" si="995"/>
        <v>0</v>
      </c>
      <c r="R682">
        <f t="shared" si="996"/>
        <v>0</v>
      </c>
      <c r="S682">
        <f t="shared" si="997"/>
        <v>0</v>
      </c>
      <c r="T682">
        <f t="shared" si="998"/>
        <v>0</v>
      </c>
    </row>
    <row r="683" spans="1:20" x14ac:dyDescent="0.25">
      <c r="A683" s="5"/>
      <c r="C683" s="4"/>
      <c r="D683" s="4"/>
      <c r="P683">
        <f t="shared" si="994"/>
        <v>0</v>
      </c>
      <c r="Q683">
        <f t="shared" si="995"/>
        <v>0</v>
      </c>
      <c r="R683">
        <f t="shared" si="996"/>
        <v>0</v>
      </c>
      <c r="S683">
        <f t="shared" si="997"/>
        <v>0</v>
      </c>
      <c r="T683">
        <f t="shared" si="998"/>
        <v>0</v>
      </c>
    </row>
    <row r="684" spans="1:20" x14ac:dyDescent="0.25">
      <c r="A684" s="5"/>
      <c r="C684" s="4"/>
      <c r="D684" s="4"/>
      <c r="P684">
        <f t="shared" si="994"/>
        <v>0</v>
      </c>
      <c r="Q684">
        <f t="shared" si="995"/>
        <v>0</v>
      </c>
      <c r="R684">
        <f t="shared" si="996"/>
        <v>0</v>
      </c>
      <c r="S684">
        <f t="shared" si="997"/>
        <v>0</v>
      </c>
      <c r="T684">
        <f t="shared" si="998"/>
        <v>0</v>
      </c>
    </row>
    <row r="685" spans="1:20" x14ac:dyDescent="0.25">
      <c r="A685" s="5"/>
      <c r="C685" s="4"/>
      <c r="D685" s="4"/>
      <c r="P685">
        <f t="shared" si="994"/>
        <v>0</v>
      </c>
      <c r="Q685">
        <f t="shared" si="995"/>
        <v>0</v>
      </c>
      <c r="R685">
        <f t="shared" si="996"/>
        <v>0</v>
      </c>
      <c r="S685">
        <f t="shared" si="997"/>
        <v>0</v>
      </c>
      <c r="T685">
        <f t="shared" si="998"/>
        <v>0</v>
      </c>
    </row>
    <row r="686" spans="1:20" x14ac:dyDescent="0.25">
      <c r="A686" s="5"/>
      <c r="C686" s="4"/>
      <c r="D686" s="4"/>
      <c r="P686">
        <f t="shared" si="994"/>
        <v>0</v>
      </c>
      <c r="Q686">
        <f t="shared" si="995"/>
        <v>0</v>
      </c>
      <c r="R686">
        <f t="shared" si="996"/>
        <v>0</v>
      </c>
      <c r="S686">
        <f t="shared" si="997"/>
        <v>0</v>
      </c>
      <c r="T686">
        <f t="shared" si="998"/>
        <v>0</v>
      </c>
    </row>
    <row r="687" spans="1:20" x14ac:dyDescent="0.25">
      <c r="A687" s="5"/>
      <c r="C687" s="4"/>
      <c r="D687" s="4"/>
      <c r="P687">
        <f t="shared" si="994"/>
        <v>0</v>
      </c>
      <c r="Q687">
        <f t="shared" si="995"/>
        <v>0</v>
      </c>
      <c r="R687">
        <f t="shared" si="996"/>
        <v>0</v>
      </c>
      <c r="S687">
        <f t="shared" si="997"/>
        <v>0</v>
      </c>
      <c r="T687">
        <f t="shared" si="998"/>
        <v>0</v>
      </c>
    </row>
    <row r="688" spans="1:20" x14ac:dyDescent="0.25">
      <c r="A688" s="5"/>
      <c r="C688" s="4"/>
      <c r="D688" s="4"/>
      <c r="P688">
        <f t="shared" si="994"/>
        <v>0</v>
      </c>
      <c r="Q688">
        <f t="shared" si="995"/>
        <v>0</v>
      </c>
      <c r="R688">
        <f t="shared" si="996"/>
        <v>0</v>
      </c>
      <c r="S688">
        <f t="shared" si="997"/>
        <v>0</v>
      </c>
      <c r="T688">
        <f t="shared" si="998"/>
        <v>0</v>
      </c>
    </row>
    <row r="689" spans="1:20" x14ac:dyDescent="0.25">
      <c r="A689" s="5"/>
      <c r="C689" s="4"/>
      <c r="D689" s="4"/>
      <c r="P689">
        <f t="shared" si="994"/>
        <v>0</v>
      </c>
      <c r="Q689">
        <f t="shared" si="995"/>
        <v>0</v>
      </c>
      <c r="R689">
        <f t="shared" si="996"/>
        <v>0</v>
      </c>
      <c r="S689">
        <f t="shared" si="997"/>
        <v>0</v>
      </c>
      <c r="T689">
        <f t="shared" si="998"/>
        <v>0</v>
      </c>
    </row>
    <row r="690" spans="1:20" x14ac:dyDescent="0.25">
      <c r="A690" s="5"/>
      <c r="C690" s="4"/>
      <c r="D690" s="4"/>
      <c r="P690">
        <f t="shared" si="994"/>
        <v>0</v>
      </c>
      <c r="Q690">
        <f t="shared" si="995"/>
        <v>0</v>
      </c>
      <c r="R690">
        <f t="shared" si="996"/>
        <v>0</v>
      </c>
      <c r="S690">
        <f t="shared" si="997"/>
        <v>0</v>
      </c>
      <c r="T690">
        <f t="shared" si="998"/>
        <v>0</v>
      </c>
    </row>
    <row r="691" spans="1:20" x14ac:dyDescent="0.25">
      <c r="A691" s="5"/>
      <c r="C691" s="4"/>
      <c r="D691" s="4"/>
      <c r="P691">
        <f t="shared" si="994"/>
        <v>0</v>
      </c>
      <c r="Q691">
        <f t="shared" si="995"/>
        <v>0</v>
      </c>
      <c r="R691">
        <f t="shared" si="996"/>
        <v>0</v>
      </c>
      <c r="S691">
        <f t="shared" si="997"/>
        <v>0</v>
      </c>
      <c r="T691">
        <f t="shared" si="998"/>
        <v>0</v>
      </c>
    </row>
    <row r="692" spans="1:20" x14ac:dyDescent="0.25">
      <c r="A692" s="5"/>
      <c r="C692" s="4"/>
      <c r="D692" s="4"/>
      <c r="P692">
        <f t="shared" si="994"/>
        <v>0</v>
      </c>
      <c r="Q692">
        <f t="shared" si="995"/>
        <v>0</v>
      </c>
      <c r="R692">
        <f t="shared" si="996"/>
        <v>0</v>
      </c>
      <c r="S692">
        <f t="shared" si="997"/>
        <v>0</v>
      </c>
      <c r="T692">
        <f t="shared" si="998"/>
        <v>0</v>
      </c>
    </row>
    <row r="693" spans="1:20" x14ac:dyDescent="0.25">
      <c r="A693" s="5"/>
      <c r="C693" s="4"/>
      <c r="D693" s="4"/>
      <c r="P693">
        <f t="shared" si="994"/>
        <v>0</v>
      </c>
      <c r="Q693">
        <f t="shared" si="995"/>
        <v>0</v>
      </c>
      <c r="R693">
        <f t="shared" si="996"/>
        <v>0</v>
      </c>
      <c r="S693">
        <f t="shared" si="997"/>
        <v>0</v>
      </c>
      <c r="T693">
        <f t="shared" si="998"/>
        <v>0</v>
      </c>
    </row>
    <row r="694" spans="1:20" x14ac:dyDescent="0.25">
      <c r="A694" s="5"/>
      <c r="C694" s="4"/>
      <c r="D694" s="4"/>
      <c r="P694">
        <f t="shared" si="994"/>
        <v>0</v>
      </c>
      <c r="Q694">
        <f t="shared" si="995"/>
        <v>0</v>
      </c>
      <c r="R694">
        <f t="shared" si="996"/>
        <v>0</v>
      </c>
      <c r="S694">
        <f t="shared" si="997"/>
        <v>0</v>
      </c>
      <c r="T694">
        <f t="shared" si="998"/>
        <v>0</v>
      </c>
    </row>
    <row r="695" spans="1:20" x14ac:dyDescent="0.25">
      <c r="A695" s="5"/>
      <c r="C695" s="4"/>
      <c r="D695" s="4"/>
      <c r="P695">
        <f t="shared" si="994"/>
        <v>0</v>
      </c>
      <c r="Q695">
        <f t="shared" si="995"/>
        <v>0</v>
      </c>
      <c r="R695">
        <f t="shared" si="996"/>
        <v>0</v>
      </c>
      <c r="S695">
        <f t="shared" si="997"/>
        <v>0</v>
      </c>
      <c r="T695">
        <f t="shared" si="998"/>
        <v>0</v>
      </c>
    </row>
    <row r="696" spans="1:20" x14ac:dyDescent="0.25">
      <c r="A696" s="5"/>
      <c r="C696" s="4"/>
      <c r="D696" s="4"/>
      <c r="P696">
        <f t="shared" si="994"/>
        <v>0</v>
      </c>
      <c r="Q696">
        <f t="shared" si="995"/>
        <v>0</v>
      </c>
      <c r="R696">
        <f t="shared" si="996"/>
        <v>0</v>
      </c>
      <c r="S696">
        <f t="shared" si="997"/>
        <v>0</v>
      </c>
      <c r="T696">
        <f t="shared" si="998"/>
        <v>0</v>
      </c>
    </row>
    <row r="697" spans="1:20" x14ac:dyDescent="0.25">
      <c r="A697" s="5"/>
      <c r="C697" s="4"/>
      <c r="D697" s="4"/>
      <c r="P697">
        <f t="shared" si="994"/>
        <v>0</v>
      </c>
      <c r="Q697">
        <f t="shared" si="995"/>
        <v>0</v>
      </c>
      <c r="R697">
        <f t="shared" si="996"/>
        <v>0</v>
      </c>
      <c r="S697">
        <f t="shared" si="997"/>
        <v>0</v>
      </c>
      <c r="T697">
        <f t="shared" si="998"/>
        <v>0</v>
      </c>
    </row>
    <row r="698" spans="1:20" x14ac:dyDescent="0.25">
      <c r="A698" s="5"/>
      <c r="C698" s="4"/>
      <c r="D698" s="4"/>
      <c r="P698">
        <f t="shared" si="994"/>
        <v>0</v>
      </c>
      <c r="Q698">
        <f t="shared" si="995"/>
        <v>0</v>
      </c>
      <c r="R698">
        <f t="shared" si="996"/>
        <v>0</v>
      </c>
      <c r="S698">
        <f t="shared" si="997"/>
        <v>0</v>
      </c>
      <c r="T698">
        <f t="shared" si="998"/>
        <v>0</v>
      </c>
    </row>
    <row r="699" spans="1:20" x14ac:dyDescent="0.25">
      <c r="A699" s="5"/>
      <c r="C699" s="4"/>
      <c r="D699" s="4"/>
      <c r="P699">
        <f t="shared" si="994"/>
        <v>0</v>
      </c>
      <c r="Q699">
        <f t="shared" si="995"/>
        <v>0</v>
      </c>
      <c r="R699">
        <f t="shared" si="996"/>
        <v>0</v>
      </c>
      <c r="S699">
        <f t="shared" si="997"/>
        <v>0</v>
      </c>
      <c r="T699">
        <f t="shared" si="998"/>
        <v>0</v>
      </c>
    </row>
    <row r="700" spans="1:20" x14ac:dyDescent="0.25">
      <c r="A700" s="5"/>
      <c r="C700" s="4"/>
      <c r="D700" s="4"/>
      <c r="P700">
        <f t="shared" si="994"/>
        <v>0</v>
      </c>
      <c r="Q700">
        <f t="shared" si="995"/>
        <v>0</v>
      </c>
      <c r="R700">
        <f t="shared" si="996"/>
        <v>0</v>
      </c>
      <c r="S700">
        <f t="shared" si="997"/>
        <v>0</v>
      </c>
      <c r="T700">
        <f t="shared" si="998"/>
        <v>0</v>
      </c>
    </row>
    <row r="701" spans="1:20" x14ac:dyDescent="0.25">
      <c r="A701" s="5"/>
      <c r="C701" s="4"/>
      <c r="D701" s="4"/>
      <c r="P701">
        <f t="shared" si="994"/>
        <v>0</v>
      </c>
      <c r="Q701">
        <f t="shared" si="995"/>
        <v>0</v>
      </c>
      <c r="R701">
        <f t="shared" si="996"/>
        <v>0</v>
      </c>
      <c r="S701">
        <f t="shared" si="997"/>
        <v>0</v>
      </c>
      <c r="T701">
        <f t="shared" si="998"/>
        <v>0</v>
      </c>
    </row>
    <row r="702" spans="1:20" x14ac:dyDescent="0.25">
      <c r="A702" s="5"/>
      <c r="C702" s="4"/>
      <c r="D702" s="4"/>
      <c r="P702">
        <f t="shared" si="994"/>
        <v>0</v>
      </c>
      <c r="Q702">
        <f t="shared" si="995"/>
        <v>0</v>
      </c>
      <c r="R702">
        <f t="shared" si="996"/>
        <v>0</v>
      </c>
      <c r="S702">
        <f t="shared" si="997"/>
        <v>0</v>
      </c>
      <c r="T702">
        <f t="shared" si="998"/>
        <v>0</v>
      </c>
    </row>
    <row r="703" spans="1:20" x14ac:dyDescent="0.25">
      <c r="A703" s="5"/>
      <c r="C703" s="4"/>
      <c r="D703" s="4"/>
      <c r="P703">
        <f t="shared" si="994"/>
        <v>0</v>
      </c>
      <c r="Q703">
        <f t="shared" si="995"/>
        <v>0</v>
      </c>
      <c r="R703">
        <f t="shared" si="996"/>
        <v>0</v>
      </c>
      <c r="S703">
        <f t="shared" si="997"/>
        <v>0</v>
      </c>
      <c r="T703">
        <f t="shared" si="998"/>
        <v>0</v>
      </c>
    </row>
    <row r="704" spans="1:20" x14ac:dyDescent="0.25">
      <c r="A704" s="5"/>
      <c r="C704" s="4"/>
      <c r="D704" s="4"/>
      <c r="P704">
        <f t="shared" si="994"/>
        <v>0</v>
      </c>
      <c r="Q704">
        <f t="shared" si="995"/>
        <v>0</v>
      </c>
      <c r="R704">
        <f t="shared" si="996"/>
        <v>0</v>
      </c>
      <c r="S704">
        <f t="shared" si="997"/>
        <v>0</v>
      </c>
      <c r="T704">
        <f t="shared" si="998"/>
        <v>0</v>
      </c>
    </row>
    <row r="705" spans="1:20" x14ac:dyDescent="0.25">
      <c r="A705" s="5"/>
      <c r="C705" s="4"/>
      <c r="D705" s="4"/>
      <c r="P705">
        <f t="shared" si="994"/>
        <v>0</v>
      </c>
      <c r="Q705">
        <f t="shared" si="995"/>
        <v>0</v>
      </c>
      <c r="R705">
        <f t="shared" si="996"/>
        <v>0</v>
      </c>
      <c r="S705">
        <f t="shared" si="997"/>
        <v>0</v>
      </c>
      <c r="T705">
        <f t="shared" si="998"/>
        <v>0</v>
      </c>
    </row>
    <row r="706" spans="1:20" x14ac:dyDescent="0.25">
      <c r="A706" s="5"/>
      <c r="C706" s="4"/>
      <c r="D706" s="4"/>
      <c r="P706">
        <f t="shared" si="994"/>
        <v>0</v>
      </c>
      <c r="Q706">
        <f t="shared" si="995"/>
        <v>0</v>
      </c>
      <c r="R706">
        <f t="shared" si="996"/>
        <v>0</v>
      </c>
      <c r="S706">
        <f t="shared" si="997"/>
        <v>0</v>
      </c>
      <c r="T706">
        <f t="shared" si="998"/>
        <v>0</v>
      </c>
    </row>
    <row r="707" spans="1:20" x14ac:dyDescent="0.25">
      <c r="A707" s="5"/>
      <c r="C707" s="4"/>
      <c r="D707" s="4"/>
      <c r="P707">
        <f t="shared" si="994"/>
        <v>0</v>
      </c>
      <c r="Q707">
        <f t="shared" si="995"/>
        <v>0</v>
      </c>
      <c r="R707">
        <f t="shared" si="996"/>
        <v>0</v>
      </c>
      <c r="S707">
        <f t="shared" si="997"/>
        <v>0</v>
      </c>
      <c r="T707">
        <f t="shared" si="998"/>
        <v>0</v>
      </c>
    </row>
    <row r="708" spans="1:20" x14ac:dyDescent="0.25">
      <c r="A708" s="5"/>
      <c r="C708" s="4"/>
      <c r="D708" s="4"/>
      <c r="P708">
        <f t="shared" si="994"/>
        <v>0</v>
      </c>
      <c r="Q708">
        <f t="shared" si="995"/>
        <v>0</v>
      </c>
      <c r="R708">
        <f t="shared" si="996"/>
        <v>0</v>
      </c>
      <c r="S708">
        <f t="shared" si="997"/>
        <v>0</v>
      </c>
      <c r="T708">
        <f t="shared" si="998"/>
        <v>0</v>
      </c>
    </row>
    <row r="709" spans="1:20" x14ac:dyDescent="0.25">
      <c r="A709" s="5"/>
      <c r="C709" s="4"/>
      <c r="D709" s="4"/>
      <c r="P709">
        <f t="shared" si="994"/>
        <v>0</v>
      </c>
      <c r="Q709">
        <f t="shared" si="995"/>
        <v>0</v>
      </c>
      <c r="R709">
        <f t="shared" si="996"/>
        <v>0</v>
      </c>
      <c r="S709">
        <f t="shared" si="997"/>
        <v>0</v>
      </c>
      <c r="T709">
        <f t="shared" si="998"/>
        <v>0</v>
      </c>
    </row>
    <row r="710" spans="1:20" x14ac:dyDescent="0.25">
      <c r="A710" s="5"/>
      <c r="C710" s="4"/>
      <c r="D710" s="4"/>
      <c r="P710">
        <f t="shared" ref="P710:P766" si="999">IF(C710=D710,0,((E710-D710)-(C710-E710))/(C710-D710))</f>
        <v>0</v>
      </c>
      <c r="Q710">
        <f t="shared" ref="Q710:Q766" si="1000">F710*P710</f>
        <v>0</v>
      </c>
      <c r="R710">
        <f t="shared" ref="R710:R766" si="1001">R711+Q710</f>
        <v>0</v>
      </c>
      <c r="S710">
        <f t="shared" ref="S710:S766" si="1002">R710/100000</f>
        <v>0</v>
      </c>
      <c r="T710">
        <f t="shared" ref="T710:T766" si="1003">S710/1000</f>
        <v>0</v>
      </c>
    </row>
    <row r="711" spans="1:20" x14ac:dyDescent="0.25">
      <c r="A711" s="5"/>
      <c r="C711" s="4"/>
      <c r="D711" s="4"/>
      <c r="P711">
        <f t="shared" si="999"/>
        <v>0</v>
      </c>
      <c r="Q711">
        <f t="shared" si="1000"/>
        <v>0</v>
      </c>
      <c r="R711">
        <f t="shared" si="1001"/>
        <v>0</v>
      </c>
      <c r="S711">
        <f t="shared" si="1002"/>
        <v>0</v>
      </c>
      <c r="T711">
        <f t="shared" si="1003"/>
        <v>0</v>
      </c>
    </row>
    <row r="712" spans="1:20" x14ac:dyDescent="0.25">
      <c r="A712" s="5"/>
      <c r="C712" s="4"/>
      <c r="D712" s="4"/>
      <c r="P712">
        <f t="shared" si="999"/>
        <v>0</v>
      </c>
      <c r="Q712">
        <f t="shared" si="1000"/>
        <v>0</v>
      </c>
      <c r="R712">
        <f t="shared" si="1001"/>
        <v>0</v>
      </c>
      <c r="S712">
        <f t="shared" si="1002"/>
        <v>0</v>
      </c>
      <c r="T712">
        <f t="shared" si="1003"/>
        <v>0</v>
      </c>
    </row>
    <row r="713" spans="1:20" x14ac:dyDescent="0.25">
      <c r="A713" s="5"/>
      <c r="C713" s="4"/>
      <c r="D713" s="4"/>
      <c r="P713">
        <f t="shared" si="999"/>
        <v>0</v>
      </c>
      <c r="Q713">
        <f t="shared" si="1000"/>
        <v>0</v>
      </c>
      <c r="R713">
        <f t="shared" si="1001"/>
        <v>0</v>
      </c>
      <c r="S713">
        <f t="shared" si="1002"/>
        <v>0</v>
      </c>
      <c r="T713">
        <f t="shared" si="1003"/>
        <v>0</v>
      </c>
    </row>
    <row r="714" spans="1:20" x14ac:dyDescent="0.25">
      <c r="A714" s="5"/>
      <c r="C714" s="4"/>
      <c r="D714" s="4"/>
      <c r="P714">
        <f t="shared" si="999"/>
        <v>0</v>
      </c>
      <c r="Q714">
        <f t="shared" si="1000"/>
        <v>0</v>
      </c>
      <c r="R714">
        <f t="shared" si="1001"/>
        <v>0</v>
      </c>
      <c r="S714">
        <f t="shared" si="1002"/>
        <v>0</v>
      </c>
      <c r="T714">
        <f t="shared" si="1003"/>
        <v>0</v>
      </c>
    </row>
    <row r="715" spans="1:20" x14ac:dyDescent="0.25">
      <c r="A715" s="5"/>
      <c r="C715" s="4"/>
      <c r="D715" s="4"/>
      <c r="P715">
        <f t="shared" si="999"/>
        <v>0</v>
      </c>
      <c r="Q715">
        <f t="shared" si="1000"/>
        <v>0</v>
      </c>
      <c r="R715">
        <f t="shared" si="1001"/>
        <v>0</v>
      </c>
      <c r="S715">
        <f t="shared" si="1002"/>
        <v>0</v>
      </c>
      <c r="T715">
        <f t="shared" si="1003"/>
        <v>0</v>
      </c>
    </row>
    <row r="716" spans="1:20" x14ac:dyDescent="0.25">
      <c r="A716" s="5"/>
      <c r="C716" s="4"/>
      <c r="D716" s="4"/>
      <c r="P716">
        <f t="shared" si="999"/>
        <v>0</v>
      </c>
      <c r="Q716">
        <f t="shared" si="1000"/>
        <v>0</v>
      </c>
      <c r="R716">
        <f t="shared" si="1001"/>
        <v>0</v>
      </c>
      <c r="S716">
        <f t="shared" si="1002"/>
        <v>0</v>
      </c>
      <c r="T716">
        <f t="shared" si="1003"/>
        <v>0</v>
      </c>
    </row>
    <row r="717" spans="1:20" x14ac:dyDescent="0.25">
      <c r="A717" s="5"/>
      <c r="C717" s="4"/>
      <c r="D717" s="4"/>
      <c r="P717">
        <f t="shared" si="999"/>
        <v>0</v>
      </c>
      <c r="Q717">
        <f t="shared" si="1000"/>
        <v>0</v>
      </c>
      <c r="R717">
        <f t="shared" si="1001"/>
        <v>0</v>
      </c>
      <c r="S717">
        <f t="shared" si="1002"/>
        <v>0</v>
      </c>
      <c r="T717">
        <f t="shared" si="1003"/>
        <v>0</v>
      </c>
    </row>
    <row r="718" spans="1:20" x14ac:dyDescent="0.25">
      <c r="A718" s="5"/>
      <c r="C718" s="4"/>
      <c r="D718" s="4"/>
      <c r="P718">
        <f t="shared" si="999"/>
        <v>0</v>
      </c>
      <c r="Q718">
        <f t="shared" si="1000"/>
        <v>0</v>
      </c>
      <c r="R718">
        <f t="shared" si="1001"/>
        <v>0</v>
      </c>
      <c r="S718">
        <f t="shared" si="1002"/>
        <v>0</v>
      </c>
      <c r="T718">
        <f t="shared" si="1003"/>
        <v>0</v>
      </c>
    </row>
    <row r="719" spans="1:20" x14ac:dyDescent="0.25">
      <c r="A719" s="5"/>
      <c r="C719" s="4"/>
      <c r="D719" s="4"/>
      <c r="P719">
        <f t="shared" si="999"/>
        <v>0</v>
      </c>
      <c r="Q719">
        <f t="shared" si="1000"/>
        <v>0</v>
      </c>
      <c r="R719">
        <f t="shared" si="1001"/>
        <v>0</v>
      </c>
      <c r="S719">
        <f t="shared" si="1002"/>
        <v>0</v>
      </c>
      <c r="T719">
        <f t="shared" si="1003"/>
        <v>0</v>
      </c>
    </row>
    <row r="720" spans="1:20" x14ac:dyDescent="0.25">
      <c r="A720" s="5"/>
      <c r="C720" s="4"/>
      <c r="D720" s="4"/>
      <c r="P720">
        <f t="shared" si="999"/>
        <v>0</v>
      </c>
      <c r="Q720">
        <f t="shared" si="1000"/>
        <v>0</v>
      </c>
      <c r="R720">
        <f t="shared" si="1001"/>
        <v>0</v>
      </c>
      <c r="S720">
        <f t="shared" si="1002"/>
        <v>0</v>
      </c>
      <c r="T720">
        <f t="shared" si="1003"/>
        <v>0</v>
      </c>
    </row>
    <row r="721" spans="1:20" x14ac:dyDescent="0.25">
      <c r="A721" s="5"/>
      <c r="C721" s="4"/>
      <c r="D721" s="4"/>
      <c r="P721">
        <f t="shared" si="999"/>
        <v>0</v>
      </c>
      <c r="Q721">
        <f t="shared" si="1000"/>
        <v>0</v>
      </c>
      <c r="R721">
        <f t="shared" si="1001"/>
        <v>0</v>
      </c>
      <c r="S721">
        <f t="shared" si="1002"/>
        <v>0</v>
      </c>
      <c r="T721">
        <f t="shared" si="1003"/>
        <v>0</v>
      </c>
    </row>
    <row r="722" spans="1:20" x14ac:dyDescent="0.25">
      <c r="A722" s="5"/>
      <c r="C722" s="4"/>
      <c r="D722" s="4"/>
      <c r="P722">
        <f t="shared" si="999"/>
        <v>0</v>
      </c>
      <c r="Q722">
        <f t="shared" si="1000"/>
        <v>0</v>
      </c>
      <c r="R722">
        <f t="shared" si="1001"/>
        <v>0</v>
      </c>
      <c r="S722">
        <f t="shared" si="1002"/>
        <v>0</v>
      </c>
      <c r="T722">
        <f t="shared" si="1003"/>
        <v>0</v>
      </c>
    </row>
    <row r="723" spans="1:20" x14ac:dyDescent="0.25">
      <c r="A723" s="5"/>
      <c r="C723" s="4"/>
      <c r="D723" s="4"/>
      <c r="P723">
        <f t="shared" si="999"/>
        <v>0</v>
      </c>
      <c r="Q723">
        <f t="shared" si="1000"/>
        <v>0</v>
      </c>
      <c r="R723">
        <f t="shared" si="1001"/>
        <v>0</v>
      </c>
      <c r="S723">
        <f t="shared" si="1002"/>
        <v>0</v>
      </c>
      <c r="T723">
        <f t="shared" si="1003"/>
        <v>0</v>
      </c>
    </row>
    <row r="724" spans="1:20" x14ac:dyDescent="0.25">
      <c r="A724" s="5"/>
      <c r="C724" s="4"/>
      <c r="D724" s="4"/>
      <c r="P724">
        <f t="shared" si="999"/>
        <v>0</v>
      </c>
      <c r="Q724">
        <f t="shared" si="1000"/>
        <v>0</v>
      </c>
      <c r="R724">
        <f t="shared" si="1001"/>
        <v>0</v>
      </c>
      <c r="S724">
        <f t="shared" si="1002"/>
        <v>0</v>
      </c>
      <c r="T724">
        <f t="shared" si="1003"/>
        <v>0</v>
      </c>
    </row>
    <row r="725" spans="1:20" x14ac:dyDescent="0.25">
      <c r="A725" s="5"/>
      <c r="C725" s="4"/>
      <c r="D725" s="4"/>
      <c r="P725">
        <f t="shared" si="999"/>
        <v>0</v>
      </c>
      <c r="Q725">
        <f t="shared" si="1000"/>
        <v>0</v>
      </c>
      <c r="R725">
        <f t="shared" si="1001"/>
        <v>0</v>
      </c>
      <c r="S725">
        <f t="shared" si="1002"/>
        <v>0</v>
      </c>
      <c r="T725">
        <f t="shared" si="1003"/>
        <v>0</v>
      </c>
    </row>
    <row r="726" spans="1:20" x14ac:dyDescent="0.25">
      <c r="A726" s="5"/>
      <c r="C726" s="4"/>
      <c r="D726" s="4"/>
      <c r="P726">
        <f t="shared" si="999"/>
        <v>0</v>
      </c>
      <c r="Q726">
        <f t="shared" si="1000"/>
        <v>0</v>
      </c>
      <c r="R726">
        <f t="shared" si="1001"/>
        <v>0</v>
      </c>
      <c r="S726">
        <f t="shared" si="1002"/>
        <v>0</v>
      </c>
      <c r="T726">
        <f t="shared" si="1003"/>
        <v>0</v>
      </c>
    </row>
    <row r="727" spans="1:20" x14ac:dyDescent="0.25">
      <c r="A727" s="5"/>
      <c r="C727" s="4"/>
      <c r="D727" s="4"/>
      <c r="P727">
        <f t="shared" si="999"/>
        <v>0</v>
      </c>
      <c r="Q727">
        <f t="shared" si="1000"/>
        <v>0</v>
      </c>
      <c r="R727">
        <f t="shared" si="1001"/>
        <v>0</v>
      </c>
      <c r="S727">
        <f t="shared" si="1002"/>
        <v>0</v>
      </c>
      <c r="T727">
        <f t="shared" si="1003"/>
        <v>0</v>
      </c>
    </row>
    <row r="728" spans="1:20" x14ac:dyDescent="0.25">
      <c r="A728" s="5"/>
      <c r="C728" s="4"/>
      <c r="D728" s="4"/>
      <c r="P728">
        <f t="shared" si="999"/>
        <v>0</v>
      </c>
      <c r="Q728">
        <f t="shared" si="1000"/>
        <v>0</v>
      </c>
      <c r="R728">
        <f t="shared" si="1001"/>
        <v>0</v>
      </c>
      <c r="S728">
        <f t="shared" si="1002"/>
        <v>0</v>
      </c>
      <c r="T728">
        <f t="shared" si="1003"/>
        <v>0</v>
      </c>
    </row>
    <row r="729" spans="1:20" x14ac:dyDescent="0.25">
      <c r="A729" s="5"/>
      <c r="C729" s="4"/>
      <c r="D729" s="4"/>
      <c r="P729">
        <f t="shared" si="999"/>
        <v>0</v>
      </c>
      <c r="Q729">
        <f t="shared" si="1000"/>
        <v>0</v>
      </c>
      <c r="R729">
        <f t="shared" si="1001"/>
        <v>0</v>
      </c>
      <c r="S729">
        <f t="shared" si="1002"/>
        <v>0</v>
      </c>
      <c r="T729">
        <f t="shared" si="1003"/>
        <v>0</v>
      </c>
    </row>
    <row r="730" spans="1:20" x14ac:dyDescent="0.25">
      <c r="A730" s="5"/>
      <c r="C730" s="4"/>
      <c r="D730" s="4"/>
      <c r="P730">
        <f t="shared" si="999"/>
        <v>0</v>
      </c>
      <c r="Q730">
        <f t="shared" si="1000"/>
        <v>0</v>
      </c>
      <c r="R730">
        <f t="shared" si="1001"/>
        <v>0</v>
      </c>
      <c r="S730">
        <f t="shared" si="1002"/>
        <v>0</v>
      </c>
      <c r="T730">
        <f t="shared" si="1003"/>
        <v>0</v>
      </c>
    </row>
    <row r="731" spans="1:20" x14ac:dyDescent="0.25">
      <c r="A731" s="5"/>
      <c r="C731" s="4"/>
      <c r="D731" s="4"/>
      <c r="P731">
        <f t="shared" si="999"/>
        <v>0</v>
      </c>
      <c r="Q731">
        <f t="shared" si="1000"/>
        <v>0</v>
      </c>
      <c r="R731">
        <f t="shared" si="1001"/>
        <v>0</v>
      </c>
      <c r="S731">
        <f t="shared" si="1002"/>
        <v>0</v>
      </c>
      <c r="T731">
        <f t="shared" si="1003"/>
        <v>0</v>
      </c>
    </row>
    <row r="732" spans="1:20" x14ac:dyDescent="0.25">
      <c r="A732" s="5"/>
      <c r="C732" s="4"/>
      <c r="D732" s="4"/>
      <c r="P732">
        <f t="shared" si="999"/>
        <v>0</v>
      </c>
      <c r="Q732">
        <f t="shared" si="1000"/>
        <v>0</v>
      </c>
      <c r="R732">
        <f t="shared" si="1001"/>
        <v>0</v>
      </c>
      <c r="S732">
        <f t="shared" si="1002"/>
        <v>0</v>
      </c>
      <c r="T732">
        <f t="shared" si="1003"/>
        <v>0</v>
      </c>
    </row>
    <row r="733" spans="1:20" x14ac:dyDescent="0.25">
      <c r="A733" s="5"/>
      <c r="C733" s="4"/>
      <c r="D733" s="4"/>
      <c r="P733">
        <f t="shared" si="999"/>
        <v>0</v>
      </c>
      <c r="Q733">
        <f t="shared" si="1000"/>
        <v>0</v>
      </c>
      <c r="R733">
        <f t="shared" si="1001"/>
        <v>0</v>
      </c>
      <c r="S733">
        <f t="shared" si="1002"/>
        <v>0</v>
      </c>
      <c r="T733">
        <f t="shared" si="1003"/>
        <v>0</v>
      </c>
    </row>
    <row r="734" spans="1:20" x14ac:dyDescent="0.25">
      <c r="A734" s="5"/>
      <c r="C734" s="4"/>
      <c r="D734" s="4"/>
      <c r="P734">
        <f t="shared" si="999"/>
        <v>0</v>
      </c>
      <c r="Q734">
        <f t="shared" si="1000"/>
        <v>0</v>
      </c>
      <c r="R734">
        <f t="shared" si="1001"/>
        <v>0</v>
      </c>
      <c r="S734">
        <f t="shared" si="1002"/>
        <v>0</v>
      </c>
      <c r="T734">
        <f t="shared" si="1003"/>
        <v>0</v>
      </c>
    </row>
    <row r="735" spans="1:20" x14ac:dyDescent="0.25">
      <c r="A735" s="5"/>
      <c r="C735" s="4"/>
      <c r="D735" s="4"/>
      <c r="P735">
        <f t="shared" si="999"/>
        <v>0</v>
      </c>
      <c r="Q735">
        <f t="shared" si="1000"/>
        <v>0</v>
      </c>
      <c r="R735">
        <f t="shared" si="1001"/>
        <v>0</v>
      </c>
      <c r="S735">
        <f t="shared" si="1002"/>
        <v>0</v>
      </c>
      <c r="T735">
        <f t="shared" si="1003"/>
        <v>0</v>
      </c>
    </row>
    <row r="736" spans="1:20" x14ac:dyDescent="0.25">
      <c r="A736" s="5"/>
      <c r="C736" s="4"/>
      <c r="D736" s="4"/>
      <c r="P736">
        <f t="shared" si="999"/>
        <v>0</v>
      </c>
      <c r="Q736">
        <f t="shared" si="1000"/>
        <v>0</v>
      </c>
      <c r="R736">
        <f t="shared" si="1001"/>
        <v>0</v>
      </c>
      <c r="S736">
        <f t="shared" si="1002"/>
        <v>0</v>
      </c>
      <c r="T736">
        <f t="shared" si="1003"/>
        <v>0</v>
      </c>
    </row>
    <row r="737" spans="1:20" x14ac:dyDescent="0.25">
      <c r="A737" s="5"/>
      <c r="C737" s="4"/>
      <c r="D737" s="4"/>
      <c r="P737">
        <f t="shared" si="999"/>
        <v>0</v>
      </c>
      <c r="Q737">
        <f t="shared" si="1000"/>
        <v>0</v>
      </c>
      <c r="R737">
        <f t="shared" si="1001"/>
        <v>0</v>
      </c>
      <c r="S737">
        <f t="shared" si="1002"/>
        <v>0</v>
      </c>
      <c r="T737">
        <f t="shared" si="1003"/>
        <v>0</v>
      </c>
    </row>
    <row r="738" spans="1:20" x14ac:dyDescent="0.25">
      <c r="A738" s="5"/>
      <c r="C738" s="4"/>
      <c r="D738" s="4"/>
      <c r="P738">
        <f t="shared" si="999"/>
        <v>0</v>
      </c>
      <c r="Q738">
        <f t="shared" si="1000"/>
        <v>0</v>
      </c>
      <c r="R738">
        <f t="shared" si="1001"/>
        <v>0</v>
      </c>
      <c r="S738">
        <f t="shared" si="1002"/>
        <v>0</v>
      </c>
      <c r="T738">
        <f t="shared" si="1003"/>
        <v>0</v>
      </c>
    </row>
    <row r="739" spans="1:20" x14ac:dyDescent="0.25">
      <c r="A739" s="5"/>
      <c r="C739" s="4"/>
      <c r="D739" s="4"/>
      <c r="P739">
        <f t="shared" si="999"/>
        <v>0</v>
      </c>
      <c r="Q739">
        <f t="shared" si="1000"/>
        <v>0</v>
      </c>
      <c r="R739">
        <f t="shared" si="1001"/>
        <v>0</v>
      </c>
      <c r="S739">
        <f t="shared" si="1002"/>
        <v>0</v>
      </c>
      <c r="T739">
        <f t="shared" si="1003"/>
        <v>0</v>
      </c>
    </row>
    <row r="740" spans="1:20" x14ac:dyDescent="0.25">
      <c r="A740" s="5"/>
      <c r="C740" s="4"/>
      <c r="D740" s="4"/>
      <c r="P740">
        <f t="shared" si="999"/>
        <v>0</v>
      </c>
      <c r="Q740">
        <f t="shared" si="1000"/>
        <v>0</v>
      </c>
      <c r="R740">
        <f t="shared" si="1001"/>
        <v>0</v>
      </c>
      <c r="S740">
        <f t="shared" si="1002"/>
        <v>0</v>
      </c>
      <c r="T740">
        <f t="shared" si="1003"/>
        <v>0</v>
      </c>
    </row>
    <row r="741" spans="1:20" x14ac:dyDescent="0.25">
      <c r="A741" s="5"/>
      <c r="C741" s="4"/>
      <c r="D741" s="4"/>
      <c r="P741">
        <f t="shared" si="999"/>
        <v>0</v>
      </c>
      <c r="Q741">
        <f t="shared" si="1000"/>
        <v>0</v>
      </c>
      <c r="R741">
        <f t="shared" si="1001"/>
        <v>0</v>
      </c>
      <c r="S741">
        <f t="shared" si="1002"/>
        <v>0</v>
      </c>
      <c r="T741">
        <f t="shared" si="1003"/>
        <v>0</v>
      </c>
    </row>
    <row r="742" spans="1:20" x14ac:dyDescent="0.25">
      <c r="A742" s="5"/>
      <c r="C742" s="4"/>
      <c r="D742" s="4"/>
      <c r="P742">
        <f t="shared" si="999"/>
        <v>0</v>
      </c>
      <c r="Q742">
        <f t="shared" si="1000"/>
        <v>0</v>
      </c>
      <c r="R742">
        <f t="shared" si="1001"/>
        <v>0</v>
      </c>
      <c r="S742">
        <f t="shared" si="1002"/>
        <v>0</v>
      </c>
      <c r="T742">
        <f t="shared" si="1003"/>
        <v>0</v>
      </c>
    </row>
    <row r="743" spans="1:20" x14ac:dyDescent="0.25">
      <c r="A743" s="5"/>
      <c r="C743" s="4"/>
      <c r="D743" s="4"/>
      <c r="P743">
        <f t="shared" si="999"/>
        <v>0</v>
      </c>
      <c r="Q743">
        <f t="shared" si="1000"/>
        <v>0</v>
      </c>
      <c r="R743">
        <f t="shared" si="1001"/>
        <v>0</v>
      </c>
      <c r="S743">
        <f t="shared" si="1002"/>
        <v>0</v>
      </c>
      <c r="T743">
        <f t="shared" si="1003"/>
        <v>0</v>
      </c>
    </row>
    <row r="744" spans="1:20" x14ac:dyDescent="0.25">
      <c r="A744" s="5"/>
      <c r="C744" s="4"/>
      <c r="D744" s="4"/>
      <c r="P744">
        <f t="shared" si="999"/>
        <v>0</v>
      </c>
      <c r="Q744">
        <f t="shared" si="1000"/>
        <v>0</v>
      </c>
      <c r="R744">
        <f t="shared" si="1001"/>
        <v>0</v>
      </c>
      <c r="S744">
        <f t="shared" si="1002"/>
        <v>0</v>
      </c>
      <c r="T744">
        <f t="shared" si="1003"/>
        <v>0</v>
      </c>
    </row>
    <row r="745" spans="1:20" x14ac:dyDescent="0.25">
      <c r="A745" s="5"/>
      <c r="C745" s="4"/>
      <c r="D745" s="4"/>
      <c r="P745">
        <f t="shared" si="999"/>
        <v>0</v>
      </c>
      <c r="Q745">
        <f t="shared" si="1000"/>
        <v>0</v>
      </c>
      <c r="R745">
        <f t="shared" si="1001"/>
        <v>0</v>
      </c>
      <c r="S745">
        <f t="shared" si="1002"/>
        <v>0</v>
      </c>
      <c r="T745">
        <f t="shared" si="1003"/>
        <v>0</v>
      </c>
    </row>
    <row r="746" spans="1:20" x14ac:dyDescent="0.25">
      <c r="A746" s="5"/>
      <c r="C746" s="4"/>
      <c r="D746" s="4"/>
      <c r="P746">
        <f t="shared" si="999"/>
        <v>0</v>
      </c>
      <c r="Q746">
        <f t="shared" si="1000"/>
        <v>0</v>
      </c>
      <c r="R746">
        <f t="shared" si="1001"/>
        <v>0</v>
      </c>
      <c r="S746">
        <f t="shared" si="1002"/>
        <v>0</v>
      </c>
      <c r="T746">
        <f t="shared" si="1003"/>
        <v>0</v>
      </c>
    </row>
    <row r="747" spans="1:20" x14ac:dyDescent="0.25">
      <c r="A747" s="5"/>
      <c r="C747" s="4"/>
      <c r="D747" s="4"/>
      <c r="P747">
        <f t="shared" si="999"/>
        <v>0</v>
      </c>
      <c r="Q747">
        <f t="shared" si="1000"/>
        <v>0</v>
      </c>
      <c r="R747">
        <f t="shared" si="1001"/>
        <v>0</v>
      </c>
      <c r="S747">
        <f t="shared" si="1002"/>
        <v>0</v>
      </c>
      <c r="T747">
        <f t="shared" si="1003"/>
        <v>0</v>
      </c>
    </row>
    <row r="748" spans="1:20" x14ac:dyDescent="0.25">
      <c r="A748" s="5"/>
      <c r="C748" s="4"/>
      <c r="D748" s="4"/>
      <c r="P748">
        <f t="shared" si="999"/>
        <v>0</v>
      </c>
      <c r="Q748">
        <f t="shared" si="1000"/>
        <v>0</v>
      </c>
      <c r="R748">
        <f t="shared" si="1001"/>
        <v>0</v>
      </c>
      <c r="S748">
        <f t="shared" si="1002"/>
        <v>0</v>
      </c>
      <c r="T748">
        <f t="shared" si="1003"/>
        <v>0</v>
      </c>
    </row>
    <row r="749" spans="1:20" x14ac:dyDescent="0.25">
      <c r="A749" s="5"/>
      <c r="C749" s="4"/>
      <c r="D749" s="4"/>
      <c r="P749">
        <f t="shared" si="999"/>
        <v>0</v>
      </c>
      <c r="Q749">
        <f t="shared" si="1000"/>
        <v>0</v>
      </c>
      <c r="R749">
        <f t="shared" si="1001"/>
        <v>0</v>
      </c>
      <c r="S749">
        <f t="shared" si="1002"/>
        <v>0</v>
      </c>
      <c r="T749">
        <f t="shared" si="1003"/>
        <v>0</v>
      </c>
    </row>
    <row r="750" spans="1:20" x14ac:dyDescent="0.25">
      <c r="A750" s="5"/>
      <c r="C750" s="4"/>
      <c r="D750" s="4"/>
      <c r="P750">
        <f t="shared" si="999"/>
        <v>0</v>
      </c>
      <c r="Q750">
        <f t="shared" si="1000"/>
        <v>0</v>
      </c>
      <c r="R750">
        <f t="shared" si="1001"/>
        <v>0</v>
      </c>
      <c r="S750">
        <f t="shared" si="1002"/>
        <v>0</v>
      </c>
      <c r="T750">
        <f t="shared" si="1003"/>
        <v>0</v>
      </c>
    </row>
    <row r="751" spans="1:20" x14ac:dyDescent="0.25">
      <c r="A751" s="5"/>
      <c r="C751" s="4"/>
      <c r="D751" s="4"/>
      <c r="P751">
        <f t="shared" si="999"/>
        <v>0</v>
      </c>
      <c r="Q751">
        <f t="shared" si="1000"/>
        <v>0</v>
      </c>
      <c r="R751">
        <f t="shared" si="1001"/>
        <v>0</v>
      </c>
      <c r="S751">
        <f t="shared" si="1002"/>
        <v>0</v>
      </c>
      <c r="T751">
        <f t="shared" si="1003"/>
        <v>0</v>
      </c>
    </row>
    <row r="752" spans="1:20" x14ac:dyDescent="0.25">
      <c r="A752" s="5"/>
      <c r="C752" s="4"/>
      <c r="D752" s="4"/>
      <c r="P752">
        <f t="shared" si="999"/>
        <v>0</v>
      </c>
      <c r="Q752">
        <f t="shared" si="1000"/>
        <v>0</v>
      </c>
      <c r="R752">
        <f t="shared" si="1001"/>
        <v>0</v>
      </c>
      <c r="S752">
        <f t="shared" si="1002"/>
        <v>0</v>
      </c>
      <c r="T752">
        <f t="shared" si="1003"/>
        <v>0</v>
      </c>
    </row>
    <row r="753" spans="1:20" x14ac:dyDescent="0.25">
      <c r="A753" s="5"/>
      <c r="C753" s="4"/>
      <c r="D753" s="4"/>
      <c r="P753">
        <f t="shared" si="999"/>
        <v>0</v>
      </c>
      <c r="Q753">
        <f t="shared" si="1000"/>
        <v>0</v>
      </c>
      <c r="R753">
        <f t="shared" si="1001"/>
        <v>0</v>
      </c>
      <c r="S753">
        <f t="shared" si="1002"/>
        <v>0</v>
      </c>
      <c r="T753">
        <f t="shared" si="1003"/>
        <v>0</v>
      </c>
    </row>
    <row r="754" spans="1:20" x14ac:dyDescent="0.25">
      <c r="A754" s="5"/>
      <c r="C754" s="4"/>
      <c r="D754" s="4"/>
      <c r="P754">
        <f t="shared" si="999"/>
        <v>0</v>
      </c>
      <c r="Q754">
        <f t="shared" si="1000"/>
        <v>0</v>
      </c>
      <c r="R754">
        <f t="shared" si="1001"/>
        <v>0</v>
      </c>
      <c r="S754">
        <f t="shared" si="1002"/>
        <v>0</v>
      </c>
      <c r="T754">
        <f t="shared" si="1003"/>
        <v>0</v>
      </c>
    </row>
    <row r="755" spans="1:20" x14ac:dyDescent="0.25">
      <c r="A755" s="5"/>
      <c r="C755" s="4"/>
      <c r="D755" s="4"/>
      <c r="P755">
        <f t="shared" si="999"/>
        <v>0</v>
      </c>
      <c r="Q755">
        <f t="shared" si="1000"/>
        <v>0</v>
      </c>
      <c r="R755">
        <f t="shared" si="1001"/>
        <v>0</v>
      </c>
      <c r="S755">
        <f t="shared" si="1002"/>
        <v>0</v>
      </c>
      <c r="T755">
        <f t="shared" si="1003"/>
        <v>0</v>
      </c>
    </row>
    <row r="756" spans="1:20" x14ac:dyDescent="0.25">
      <c r="A756" s="5"/>
      <c r="C756" s="4"/>
      <c r="D756" s="4"/>
      <c r="P756">
        <f t="shared" si="999"/>
        <v>0</v>
      </c>
      <c r="Q756">
        <f t="shared" si="1000"/>
        <v>0</v>
      </c>
      <c r="R756">
        <f t="shared" si="1001"/>
        <v>0</v>
      </c>
      <c r="S756">
        <f t="shared" si="1002"/>
        <v>0</v>
      </c>
      <c r="T756">
        <f t="shared" si="1003"/>
        <v>0</v>
      </c>
    </row>
    <row r="757" spans="1:20" x14ac:dyDescent="0.25">
      <c r="A757" s="5"/>
      <c r="C757" s="4"/>
      <c r="D757" s="4"/>
      <c r="P757">
        <f t="shared" si="999"/>
        <v>0</v>
      </c>
      <c r="Q757">
        <f t="shared" si="1000"/>
        <v>0</v>
      </c>
      <c r="R757">
        <f t="shared" si="1001"/>
        <v>0</v>
      </c>
      <c r="S757">
        <f t="shared" si="1002"/>
        <v>0</v>
      </c>
      <c r="T757">
        <f t="shared" si="1003"/>
        <v>0</v>
      </c>
    </row>
    <row r="758" spans="1:20" x14ac:dyDescent="0.25">
      <c r="A758" s="5"/>
      <c r="C758" s="4"/>
      <c r="D758" s="4"/>
      <c r="P758">
        <f t="shared" si="999"/>
        <v>0</v>
      </c>
      <c r="Q758">
        <f t="shared" si="1000"/>
        <v>0</v>
      </c>
      <c r="R758">
        <f t="shared" si="1001"/>
        <v>0</v>
      </c>
      <c r="S758">
        <f t="shared" si="1002"/>
        <v>0</v>
      </c>
      <c r="T758">
        <f t="shared" si="1003"/>
        <v>0</v>
      </c>
    </row>
    <row r="759" spans="1:20" x14ac:dyDescent="0.25">
      <c r="A759" s="5"/>
      <c r="C759" s="4"/>
      <c r="D759" s="4"/>
      <c r="P759">
        <f t="shared" si="999"/>
        <v>0</v>
      </c>
      <c r="Q759">
        <f t="shared" si="1000"/>
        <v>0</v>
      </c>
      <c r="R759">
        <f t="shared" si="1001"/>
        <v>0</v>
      </c>
      <c r="S759">
        <f t="shared" si="1002"/>
        <v>0</v>
      </c>
      <c r="T759">
        <f t="shared" si="1003"/>
        <v>0</v>
      </c>
    </row>
    <row r="760" spans="1:20" x14ac:dyDescent="0.25">
      <c r="A760" s="5"/>
      <c r="C760" s="4"/>
      <c r="D760" s="4"/>
      <c r="P760">
        <f t="shared" si="999"/>
        <v>0</v>
      </c>
      <c r="Q760">
        <f t="shared" si="1000"/>
        <v>0</v>
      </c>
      <c r="R760">
        <f t="shared" si="1001"/>
        <v>0</v>
      </c>
      <c r="S760">
        <f t="shared" si="1002"/>
        <v>0</v>
      </c>
      <c r="T760">
        <f t="shared" si="1003"/>
        <v>0</v>
      </c>
    </row>
    <row r="761" spans="1:20" x14ac:dyDescent="0.25">
      <c r="A761" s="5"/>
      <c r="C761" s="4"/>
      <c r="D761" s="4"/>
      <c r="P761">
        <f t="shared" si="999"/>
        <v>0</v>
      </c>
      <c r="Q761">
        <f t="shared" si="1000"/>
        <v>0</v>
      </c>
      <c r="R761">
        <f t="shared" si="1001"/>
        <v>0</v>
      </c>
      <c r="S761">
        <f t="shared" si="1002"/>
        <v>0</v>
      </c>
      <c r="T761">
        <f t="shared" si="1003"/>
        <v>0</v>
      </c>
    </row>
    <row r="762" spans="1:20" x14ac:dyDescent="0.25">
      <c r="A762" s="5"/>
      <c r="C762" s="4"/>
      <c r="D762" s="4"/>
      <c r="P762">
        <f t="shared" si="999"/>
        <v>0</v>
      </c>
      <c r="Q762">
        <f t="shared" si="1000"/>
        <v>0</v>
      </c>
      <c r="R762">
        <f t="shared" si="1001"/>
        <v>0</v>
      </c>
      <c r="S762">
        <f t="shared" si="1002"/>
        <v>0</v>
      </c>
      <c r="T762">
        <f t="shared" si="1003"/>
        <v>0</v>
      </c>
    </row>
    <row r="763" spans="1:20" x14ac:dyDescent="0.25">
      <c r="A763" s="5"/>
      <c r="C763" s="4"/>
      <c r="D763" s="4"/>
      <c r="P763">
        <f t="shared" si="999"/>
        <v>0</v>
      </c>
      <c r="Q763">
        <f t="shared" si="1000"/>
        <v>0</v>
      </c>
      <c r="R763">
        <f t="shared" si="1001"/>
        <v>0</v>
      </c>
      <c r="S763">
        <f t="shared" si="1002"/>
        <v>0</v>
      </c>
      <c r="T763">
        <f t="shared" si="1003"/>
        <v>0</v>
      </c>
    </row>
    <row r="764" spans="1:20" x14ac:dyDescent="0.25">
      <c r="A764" s="5"/>
      <c r="C764" s="4"/>
      <c r="D764" s="4"/>
      <c r="P764">
        <f t="shared" si="999"/>
        <v>0</v>
      </c>
      <c r="Q764">
        <f t="shared" si="1000"/>
        <v>0</v>
      </c>
      <c r="R764">
        <f t="shared" si="1001"/>
        <v>0</v>
      </c>
      <c r="S764">
        <f t="shared" si="1002"/>
        <v>0</v>
      </c>
      <c r="T764">
        <f t="shared" si="1003"/>
        <v>0</v>
      </c>
    </row>
    <row r="765" spans="1:20" x14ac:dyDescent="0.25">
      <c r="A765" s="5"/>
      <c r="C765" s="4"/>
      <c r="D765" s="4"/>
      <c r="P765">
        <f t="shared" si="999"/>
        <v>0</v>
      </c>
      <c r="Q765">
        <f t="shared" si="1000"/>
        <v>0</v>
      </c>
      <c r="R765">
        <f t="shared" si="1001"/>
        <v>0</v>
      </c>
      <c r="S765">
        <f t="shared" si="1002"/>
        <v>0</v>
      </c>
      <c r="T765">
        <f t="shared" si="1003"/>
        <v>0</v>
      </c>
    </row>
    <row r="766" spans="1:20" x14ac:dyDescent="0.25">
      <c r="A766" s="5"/>
      <c r="C766" s="4"/>
      <c r="D766" s="4"/>
      <c r="P766">
        <f t="shared" si="999"/>
        <v>0</v>
      </c>
      <c r="Q766">
        <f t="shared" si="1000"/>
        <v>0</v>
      </c>
      <c r="R766">
        <f t="shared" si="1001"/>
        <v>0</v>
      </c>
      <c r="S766">
        <f t="shared" si="1002"/>
        <v>0</v>
      </c>
      <c r="T766">
        <f t="shared" si="1003"/>
        <v>0</v>
      </c>
    </row>
    <row r="767" spans="1:20" x14ac:dyDescent="0.25">
      <c r="A767" s="5"/>
      <c r="C767" s="4"/>
      <c r="D767" s="4"/>
    </row>
    <row r="768" spans="1:20" x14ac:dyDescent="0.25">
      <c r="A768" s="5"/>
      <c r="C768" s="4"/>
      <c r="D768" s="4"/>
    </row>
    <row r="769" spans="1:4" x14ac:dyDescent="0.25">
      <c r="A769" s="5"/>
      <c r="C769" s="4"/>
      <c r="D769" s="4"/>
    </row>
    <row r="770" spans="1:4" x14ac:dyDescent="0.25">
      <c r="A770" s="5"/>
      <c r="C770" s="4"/>
      <c r="D770" s="4"/>
    </row>
    <row r="771" spans="1:4" x14ac:dyDescent="0.25">
      <c r="A771" s="5"/>
      <c r="C771" s="4"/>
      <c r="D771" s="4"/>
    </row>
    <row r="772" spans="1:4" x14ac:dyDescent="0.25">
      <c r="A772" s="5"/>
      <c r="C772" s="4"/>
      <c r="D772" s="4"/>
    </row>
    <row r="773" spans="1:4" x14ac:dyDescent="0.25">
      <c r="A773" s="5"/>
      <c r="C773" s="4"/>
      <c r="D773" s="4"/>
    </row>
    <row r="774" spans="1:4" x14ac:dyDescent="0.25">
      <c r="A774" s="5"/>
      <c r="C774" s="4"/>
      <c r="D774" s="4"/>
    </row>
    <row r="775" spans="1:4" x14ac:dyDescent="0.25">
      <c r="A775" s="5"/>
      <c r="C775" s="4"/>
      <c r="D775" s="4"/>
    </row>
    <row r="776" spans="1:4" x14ac:dyDescent="0.25">
      <c r="A776" s="5"/>
      <c r="C776" s="4"/>
      <c r="D776" s="4"/>
    </row>
    <row r="777" spans="1:4" x14ac:dyDescent="0.25">
      <c r="A777" s="5"/>
      <c r="C777" s="4"/>
      <c r="D777" s="4"/>
    </row>
    <row r="778" spans="1:4" x14ac:dyDescent="0.25">
      <c r="A778" s="5"/>
      <c r="C778" s="4"/>
      <c r="D778" s="4"/>
    </row>
    <row r="779" spans="1:4" x14ac:dyDescent="0.25">
      <c r="A779" s="5"/>
      <c r="C779" s="4"/>
      <c r="D779" s="4"/>
    </row>
    <row r="780" spans="1:4" x14ac:dyDescent="0.25">
      <c r="A780" s="5"/>
      <c r="C780" s="4"/>
      <c r="D780" s="4"/>
    </row>
    <row r="781" spans="1:4" x14ac:dyDescent="0.25">
      <c r="A781" s="5"/>
      <c r="C781" s="4"/>
      <c r="D781" s="4"/>
    </row>
    <row r="782" spans="1:4" x14ac:dyDescent="0.25">
      <c r="A782" s="5"/>
      <c r="C782" s="4"/>
      <c r="D782" s="4"/>
    </row>
    <row r="783" spans="1:4" x14ac:dyDescent="0.25">
      <c r="A783" s="5"/>
      <c r="C783" s="4"/>
      <c r="D783" s="4"/>
    </row>
    <row r="784" spans="1:4" x14ac:dyDescent="0.25">
      <c r="A784" s="5"/>
      <c r="C784" s="4"/>
      <c r="D784" s="4"/>
    </row>
    <row r="785" spans="1:4" x14ac:dyDescent="0.25">
      <c r="A785" s="5"/>
      <c r="C785" s="4"/>
      <c r="D785" s="4"/>
    </row>
    <row r="786" spans="1:4" x14ac:dyDescent="0.25">
      <c r="A786" s="5"/>
      <c r="C786" s="4"/>
      <c r="D786" s="4"/>
    </row>
    <row r="787" spans="1:4" x14ac:dyDescent="0.25">
      <c r="A787" s="5"/>
      <c r="C787" s="4"/>
      <c r="D787" s="4"/>
    </row>
    <row r="788" spans="1:4" x14ac:dyDescent="0.25">
      <c r="A788" s="5"/>
      <c r="C788" s="4"/>
      <c r="D788" s="4"/>
    </row>
    <row r="789" spans="1:4" x14ac:dyDescent="0.25">
      <c r="A789" s="5"/>
      <c r="C789" s="4"/>
      <c r="D789" s="4"/>
    </row>
    <row r="790" spans="1:4" x14ac:dyDescent="0.25">
      <c r="A790" s="5"/>
      <c r="C790" s="4"/>
      <c r="D790" s="4"/>
    </row>
    <row r="791" spans="1:4" x14ac:dyDescent="0.25">
      <c r="A791" s="5"/>
      <c r="C791" s="4"/>
      <c r="D791" s="4"/>
    </row>
    <row r="792" spans="1:4" x14ac:dyDescent="0.25">
      <c r="A792" s="5"/>
      <c r="C792" s="4"/>
      <c r="D792" s="4"/>
    </row>
    <row r="793" spans="1:4" x14ac:dyDescent="0.25">
      <c r="A793" s="5"/>
      <c r="C793" s="4"/>
      <c r="D793" s="4"/>
    </row>
    <row r="794" spans="1:4" x14ac:dyDescent="0.25">
      <c r="A794" s="5"/>
      <c r="C794" s="4"/>
      <c r="D794" s="4"/>
    </row>
    <row r="795" spans="1:4" x14ac:dyDescent="0.25">
      <c r="A795" s="5"/>
      <c r="C795" s="4"/>
      <c r="D795" s="4"/>
    </row>
    <row r="796" spans="1:4" x14ac:dyDescent="0.25">
      <c r="A796" s="5"/>
      <c r="C796" s="4"/>
      <c r="D796" s="4"/>
    </row>
    <row r="797" spans="1:4" x14ac:dyDescent="0.25">
      <c r="A797" s="5"/>
      <c r="C797" s="4"/>
      <c r="D797" s="4"/>
    </row>
    <row r="798" spans="1:4" x14ac:dyDescent="0.25">
      <c r="A798" s="5"/>
      <c r="C798" s="4"/>
      <c r="D798" s="4"/>
    </row>
    <row r="799" spans="1:4" x14ac:dyDescent="0.25">
      <c r="A799" s="5"/>
      <c r="C799" s="4"/>
      <c r="D799" s="4"/>
    </row>
    <row r="800" spans="1:4" x14ac:dyDescent="0.25">
      <c r="A800" s="5"/>
      <c r="C800" s="4"/>
      <c r="D800" s="4"/>
    </row>
    <row r="801" spans="1:4" x14ac:dyDescent="0.25">
      <c r="A801" s="5"/>
      <c r="C801" s="4"/>
      <c r="D801" s="4"/>
    </row>
    <row r="802" spans="1:4" x14ac:dyDescent="0.25">
      <c r="A802" s="5"/>
      <c r="C802" s="4"/>
      <c r="D802" s="4"/>
    </row>
    <row r="803" spans="1:4" x14ac:dyDescent="0.25">
      <c r="A803" s="5"/>
      <c r="C803" s="4"/>
      <c r="D803" s="4"/>
    </row>
    <row r="804" spans="1:4" x14ac:dyDescent="0.25">
      <c r="A804" s="5"/>
      <c r="C804" s="4"/>
      <c r="D804" s="4"/>
    </row>
    <row r="805" spans="1:4" x14ac:dyDescent="0.25">
      <c r="A805" s="5"/>
      <c r="C805" s="4"/>
      <c r="D805" s="4"/>
    </row>
    <row r="806" spans="1:4" x14ac:dyDescent="0.25">
      <c r="A806" s="5"/>
      <c r="C806" s="4"/>
      <c r="D806" s="4"/>
    </row>
    <row r="807" spans="1:4" x14ac:dyDescent="0.25">
      <c r="A807" s="5"/>
      <c r="C807" s="4"/>
      <c r="D807" s="4"/>
    </row>
    <row r="808" spans="1:4" x14ac:dyDescent="0.25">
      <c r="A808" s="5"/>
      <c r="C808" s="4"/>
      <c r="D808" s="4"/>
    </row>
    <row r="809" spans="1:4" x14ac:dyDescent="0.25">
      <c r="A809" s="5"/>
      <c r="C809" s="4"/>
      <c r="D809" s="4"/>
    </row>
    <row r="810" spans="1:4" x14ac:dyDescent="0.25">
      <c r="A810" s="5"/>
      <c r="C810" s="4"/>
      <c r="D810" s="4"/>
    </row>
    <row r="811" spans="1:4" x14ac:dyDescent="0.25">
      <c r="A811" s="5"/>
      <c r="C811" s="4"/>
      <c r="D811" s="4"/>
    </row>
    <row r="812" spans="1:4" x14ac:dyDescent="0.25">
      <c r="A812" s="5"/>
      <c r="C812" s="4"/>
      <c r="D812" s="4"/>
    </row>
    <row r="813" spans="1:4" x14ac:dyDescent="0.25">
      <c r="A813" s="5"/>
      <c r="C813" s="4"/>
      <c r="D813" s="4"/>
    </row>
    <row r="814" spans="1:4" x14ac:dyDescent="0.25">
      <c r="A814" s="5"/>
      <c r="C814" s="4"/>
      <c r="D814" s="4"/>
    </row>
    <row r="815" spans="1:4" x14ac:dyDescent="0.25">
      <c r="A815" s="5"/>
      <c r="C815" s="4"/>
      <c r="D815" s="4"/>
    </row>
    <row r="816" spans="1:4" x14ac:dyDescent="0.25">
      <c r="A816" s="5"/>
      <c r="C816" s="4"/>
      <c r="D816" s="4"/>
    </row>
    <row r="817" spans="1:4" x14ac:dyDescent="0.25">
      <c r="A817" s="5"/>
      <c r="C817" s="4"/>
      <c r="D817" s="4"/>
    </row>
    <row r="818" spans="1:4" x14ac:dyDescent="0.25">
      <c r="A818" s="5"/>
      <c r="C818" s="4"/>
      <c r="D818" s="4"/>
    </row>
    <row r="819" spans="1:4" x14ac:dyDescent="0.25">
      <c r="A819" s="5"/>
      <c r="C819" s="4"/>
      <c r="D819" s="4"/>
    </row>
    <row r="820" spans="1:4" x14ac:dyDescent="0.25">
      <c r="A820" s="5"/>
      <c r="C820" s="4"/>
      <c r="D820" s="4"/>
    </row>
    <row r="821" spans="1:4" x14ac:dyDescent="0.25">
      <c r="A821" s="5"/>
      <c r="C821" s="4"/>
      <c r="D821" s="4"/>
    </row>
    <row r="822" spans="1:4" x14ac:dyDescent="0.25">
      <c r="A822" s="5"/>
      <c r="C822" s="4"/>
      <c r="D822" s="4"/>
    </row>
    <row r="823" spans="1:4" x14ac:dyDescent="0.25">
      <c r="A823" s="5"/>
      <c r="C823" s="4"/>
      <c r="D823" s="4"/>
    </row>
    <row r="824" spans="1:4" x14ac:dyDescent="0.25">
      <c r="A824" s="5"/>
      <c r="C824" s="4"/>
      <c r="D824" s="4"/>
    </row>
    <row r="825" spans="1:4" x14ac:dyDescent="0.25">
      <c r="A825" s="5"/>
      <c r="C825" s="4"/>
      <c r="D825" s="4"/>
    </row>
    <row r="826" spans="1:4" x14ac:dyDescent="0.25">
      <c r="A826" s="5"/>
      <c r="C826" s="4"/>
      <c r="D826" s="4"/>
    </row>
    <row r="827" spans="1:4" x14ac:dyDescent="0.25">
      <c r="A827" s="5"/>
      <c r="C827" s="4"/>
      <c r="D827" s="4"/>
    </row>
    <row r="828" spans="1:4" x14ac:dyDescent="0.25">
      <c r="A828" s="5"/>
      <c r="C828" s="4"/>
      <c r="D828" s="4"/>
    </row>
    <row r="829" spans="1:4" x14ac:dyDescent="0.25">
      <c r="A829" s="5"/>
      <c r="C829" s="4"/>
      <c r="D829" s="4"/>
    </row>
    <row r="830" spans="1:4" x14ac:dyDescent="0.25">
      <c r="A830" s="5"/>
      <c r="C830" s="4"/>
      <c r="D830" s="4"/>
    </row>
    <row r="831" spans="1:4" x14ac:dyDescent="0.25">
      <c r="A831" s="5"/>
      <c r="C831" s="4"/>
      <c r="D831" s="4"/>
    </row>
    <row r="832" spans="1:4" x14ac:dyDescent="0.25">
      <c r="A832" s="5"/>
      <c r="C832" s="4"/>
      <c r="D832" s="4"/>
    </row>
    <row r="833" spans="1:4" x14ac:dyDescent="0.25">
      <c r="A833" s="5"/>
      <c r="C833" s="4"/>
      <c r="D833" s="4"/>
    </row>
    <row r="834" spans="1:4" x14ac:dyDescent="0.25">
      <c r="A834" s="5"/>
      <c r="C834" s="4"/>
      <c r="D834" s="4"/>
    </row>
    <row r="835" spans="1:4" x14ac:dyDescent="0.25">
      <c r="A835" s="5"/>
      <c r="C835" s="4"/>
      <c r="D835" s="4"/>
    </row>
    <row r="836" spans="1:4" x14ac:dyDescent="0.25">
      <c r="A836" s="5"/>
      <c r="C836" s="4"/>
      <c r="D836" s="4"/>
    </row>
    <row r="837" spans="1:4" x14ac:dyDescent="0.25">
      <c r="A837" s="5"/>
      <c r="C837" s="4"/>
      <c r="D837" s="4"/>
    </row>
    <row r="838" spans="1:4" x14ac:dyDescent="0.25">
      <c r="A838" s="5"/>
      <c r="C838" s="4"/>
      <c r="D838" s="4"/>
    </row>
    <row r="839" spans="1:4" x14ac:dyDescent="0.25">
      <c r="A839" s="5"/>
      <c r="C839" s="4"/>
      <c r="D839" s="4"/>
    </row>
    <row r="840" spans="1:4" x14ac:dyDescent="0.25">
      <c r="A840" s="5"/>
      <c r="C840" s="4"/>
      <c r="D840" s="4"/>
    </row>
    <row r="841" spans="1:4" x14ac:dyDescent="0.25">
      <c r="A841" s="5"/>
      <c r="C841" s="4"/>
      <c r="D841" s="4"/>
    </row>
    <row r="842" spans="1:4" x14ac:dyDescent="0.25">
      <c r="A842" s="5"/>
      <c r="C842" s="4"/>
      <c r="D842" s="4"/>
    </row>
    <row r="843" spans="1:4" x14ac:dyDescent="0.25">
      <c r="A843" s="5"/>
      <c r="C843" s="4"/>
      <c r="D843" s="4"/>
    </row>
    <row r="844" spans="1:4" x14ac:dyDescent="0.25">
      <c r="A844" s="5"/>
      <c r="C844" s="4"/>
      <c r="D844" s="4"/>
    </row>
    <row r="845" spans="1:4" x14ac:dyDescent="0.25">
      <c r="A845" s="5"/>
      <c r="C845" s="4"/>
      <c r="D845" s="4"/>
    </row>
    <row r="846" spans="1:4" x14ac:dyDescent="0.25">
      <c r="A846" s="5"/>
      <c r="C846" s="4"/>
      <c r="D846" s="4"/>
    </row>
    <row r="847" spans="1:4" x14ac:dyDescent="0.25">
      <c r="A847" s="5"/>
      <c r="C847" s="4"/>
      <c r="D847" s="4"/>
    </row>
    <row r="848" spans="1:4" x14ac:dyDescent="0.25">
      <c r="A848" s="5"/>
      <c r="C848" s="4"/>
      <c r="D848" s="4"/>
    </row>
    <row r="849" spans="1:4" x14ac:dyDescent="0.25">
      <c r="A849" s="5"/>
      <c r="C849" s="4"/>
      <c r="D849" s="4"/>
    </row>
    <row r="850" spans="1:4" x14ac:dyDescent="0.25">
      <c r="A850" s="5"/>
      <c r="C850" s="4"/>
      <c r="D850" s="4"/>
    </row>
    <row r="851" spans="1:4" x14ac:dyDescent="0.25">
      <c r="A851" s="5"/>
      <c r="C851" s="4"/>
      <c r="D851" s="4"/>
    </row>
    <row r="852" spans="1:4" x14ac:dyDescent="0.25">
      <c r="A852" s="5"/>
      <c r="C852" s="4"/>
      <c r="D852" s="4"/>
    </row>
    <row r="853" spans="1:4" x14ac:dyDescent="0.25">
      <c r="A853" s="5"/>
      <c r="C853" s="4"/>
      <c r="D853" s="4"/>
    </row>
    <row r="854" spans="1:4" x14ac:dyDescent="0.25">
      <c r="A854" s="5"/>
      <c r="C854" s="4"/>
      <c r="D854" s="4"/>
    </row>
    <row r="855" spans="1:4" x14ac:dyDescent="0.25">
      <c r="A855" s="5"/>
      <c r="C855" s="4"/>
      <c r="D855" s="4"/>
    </row>
    <row r="856" spans="1:4" x14ac:dyDescent="0.25">
      <c r="A856" s="5"/>
      <c r="C856" s="4"/>
      <c r="D856" s="4"/>
    </row>
    <row r="857" spans="1:4" x14ac:dyDescent="0.25">
      <c r="A857" s="5"/>
      <c r="C857" s="4"/>
      <c r="D857" s="4"/>
    </row>
    <row r="858" spans="1:4" x14ac:dyDescent="0.25">
      <c r="A858" s="5"/>
      <c r="C858" s="4"/>
      <c r="D858" s="4"/>
    </row>
    <row r="859" spans="1:4" x14ac:dyDescent="0.25">
      <c r="A859" s="5"/>
      <c r="C859" s="4"/>
      <c r="D859" s="4"/>
    </row>
    <row r="860" spans="1:4" x14ac:dyDescent="0.25">
      <c r="A860" s="5"/>
      <c r="C860" s="4"/>
      <c r="D860" s="4"/>
    </row>
    <row r="861" spans="1:4" x14ac:dyDescent="0.25">
      <c r="A861" s="5"/>
      <c r="C861" s="4"/>
      <c r="D861" s="4"/>
    </row>
    <row r="862" spans="1:4" x14ac:dyDescent="0.25">
      <c r="A862" s="5"/>
      <c r="C862" s="4"/>
      <c r="D862" s="4"/>
    </row>
    <row r="863" spans="1:4" x14ac:dyDescent="0.25">
      <c r="A863" s="5"/>
      <c r="C863" s="4"/>
      <c r="D863" s="4"/>
    </row>
    <row r="864" spans="1:4" x14ac:dyDescent="0.25">
      <c r="A864" s="5"/>
      <c r="C864" s="4"/>
      <c r="D864" s="4"/>
    </row>
    <row r="865" spans="1:4" x14ac:dyDescent="0.25">
      <c r="A865" s="5"/>
      <c r="C865" s="4"/>
      <c r="D865" s="4"/>
    </row>
    <row r="866" spans="1:4" x14ac:dyDescent="0.25">
      <c r="A866" s="5"/>
      <c r="C866" s="4"/>
      <c r="D866" s="4"/>
    </row>
    <row r="867" spans="1:4" x14ac:dyDescent="0.25">
      <c r="A867" s="5"/>
      <c r="C867" s="4"/>
      <c r="D867" s="4"/>
    </row>
    <row r="868" spans="1:4" x14ac:dyDescent="0.25">
      <c r="A868" s="5"/>
      <c r="C868" s="4"/>
      <c r="D868" s="4"/>
    </row>
    <row r="869" spans="1:4" x14ac:dyDescent="0.25">
      <c r="A869" s="5"/>
      <c r="C869" s="4"/>
      <c r="D869" s="4"/>
    </row>
    <row r="870" spans="1:4" x14ac:dyDescent="0.25">
      <c r="A870" s="5"/>
      <c r="C870" s="4"/>
      <c r="D870" s="4"/>
    </row>
    <row r="871" spans="1:4" x14ac:dyDescent="0.25">
      <c r="A871" s="5"/>
      <c r="C871" s="4"/>
      <c r="D871" s="4"/>
    </row>
    <row r="872" spans="1:4" x14ac:dyDescent="0.25">
      <c r="A872" s="5"/>
      <c r="C872" s="4"/>
      <c r="D872" s="4"/>
    </row>
    <row r="873" spans="1:4" x14ac:dyDescent="0.25">
      <c r="A873" s="5"/>
      <c r="C873" s="4"/>
      <c r="D873" s="4"/>
    </row>
    <row r="874" spans="1:4" x14ac:dyDescent="0.25">
      <c r="A874" s="5"/>
      <c r="C874" s="4"/>
      <c r="D874" s="4"/>
    </row>
    <row r="875" spans="1:4" x14ac:dyDescent="0.25">
      <c r="A875" s="5"/>
      <c r="C875" s="4"/>
      <c r="D875" s="4"/>
    </row>
    <row r="876" spans="1:4" x14ac:dyDescent="0.25">
      <c r="A876" s="5"/>
      <c r="C876" s="4"/>
      <c r="D876" s="4"/>
    </row>
    <row r="877" spans="1:4" x14ac:dyDescent="0.25">
      <c r="A877" s="5"/>
      <c r="C877" s="4"/>
      <c r="D877" s="4"/>
    </row>
    <row r="878" spans="1:4" x14ac:dyDescent="0.25">
      <c r="A878" s="5"/>
      <c r="C878" s="4"/>
      <c r="D878" s="4"/>
    </row>
    <row r="879" spans="1:4" x14ac:dyDescent="0.25">
      <c r="A879" s="5"/>
      <c r="C879" s="4"/>
      <c r="D879" s="4"/>
    </row>
    <row r="880" spans="1:4" x14ac:dyDescent="0.25">
      <c r="A880" s="5"/>
      <c r="C880" s="4"/>
      <c r="D880" s="4"/>
    </row>
    <row r="881" spans="1:4" x14ac:dyDescent="0.25">
      <c r="A881" s="5"/>
      <c r="C881" s="4"/>
      <c r="D881" s="4"/>
    </row>
    <row r="882" spans="1:4" x14ac:dyDescent="0.25">
      <c r="A882" s="5"/>
      <c r="C882" s="4"/>
      <c r="D882" s="4"/>
    </row>
    <row r="883" spans="1:4" x14ac:dyDescent="0.25">
      <c r="A883" s="5"/>
      <c r="C883" s="4"/>
      <c r="D883" s="4"/>
    </row>
    <row r="884" spans="1:4" x14ac:dyDescent="0.25">
      <c r="A884" s="5"/>
      <c r="C884" s="4"/>
      <c r="D884" s="4"/>
    </row>
    <row r="885" spans="1:4" x14ac:dyDescent="0.25">
      <c r="A885" s="5"/>
      <c r="C885" s="4"/>
      <c r="D885" s="4"/>
    </row>
    <row r="886" spans="1:4" x14ac:dyDescent="0.25">
      <c r="A886" s="5"/>
      <c r="C886" s="4"/>
      <c r="D886" s="4"/>
    </row>
    <row r="887" spans="1:4" x14ac:dyDescent="0.25">
      <c r="A887" s="5"/>
      <c r="C887" s="4"/>
      <c r="D887" s="4"/>
    </row>
    <row r="888" spans="1:4" x14ac:dyDescent="0.25">
      <c r="A888" s="5"/>
      <c r="C888" s="4"/>
      <c r="D888" s="4"/>
    </row>
    <row r="889" spans="1:4" x14ac:dyDescent="0.25">
      <c r="A889" s="5"/>
      <c r="C889" s="4"/>
      <c r="D889" s="4"/>
    </row>
    <row r="890" spans="1:4" x14ac:dyDescent="0.25">
      <c r="A890" s="5"/>
      <c r="C890" s="4"/>
      <c r="D890" s="4"/>
    </row>
    <row r="891" spans="1:4" x14ac:dyDescent="0.25">
      <c r="A891" s="5"/>
      <c r="C891" s="4"/>
      <c r="D891" s="4"/>
    </row>
    <row r="892" spans="1:4" x14ac:dyDescent="0.25">
      <c r="A892" s="5"/>
      <c r="C892" s="4"/>
      <c r="D892" s="4"/>
    </row>
    <row r="893" spans="1:4" x14ac:dyDescent="0.25">
      <c r="A893" s="5"/>
      <c r="C893" s="4"/>
      <c r="D893" s="4"/>
    </row>
    <row r="894" spans="1:4" x14ac:dyDescent="0.25">
      <c r="A894" s="5"/>
      <c r="C894" s="4"/>
      <c r="D894" s="4"/>
    </row>
    <row r="895" spans="1:4" x14ac:dyDescent="0.25">
      <c r="A895" s="5"/>
      <c r="C895" s="4"/>
      <c r="D895" s="4"/>
    </row>
    <row r="896" spans="1:4" x14ac:dyDescent="0.25">
      <c r="A896" s="5"/>
      <c r="C896" s="4"/>
      <c r="D896" s="4"/>
    </row>
    <row r="897" spans="1:4" x14ac:dyDescent="0.25">
      <c r="A897" s="5"/>
      <c r="C897" s="4"/>
      <c r="D897" s="4"/>
    </row>
    <row r="898" spans="1:4" x14ac:dyDescent="0.25">
      <c r="A898" s="5"/>
      <c r="C898" s="4"/>
      <c r="D898" s="4"/>
    </row>
    <row r="899" spans="1:4" x14ac:dyDescent="0.25">
      <c r="A899" s="5"/>
      <c r="C899" s="4"/>
      <c r="D899" s="4"/>
    </row>
    <row r="900" spans="1:4" x14ac:dyDescent="0.25">
      <c r="A900" s="5"/>
      <c r="C900" s="4"/>
      <c r="D900" s="4"/>
    </row>
    <row r="901" spans="1:4" x14ac:dyDescent="0.25">
      <c r="A901" s="5"/>
      <c r="C901" s="4"/>
      <c r="D901" s="4"/>
    </row>
    <row r="902" spans="1:4" x14ac:dyDescent="0.25">
      <c r="A902" s="5"/>
      <c r="C902" s="4"/>
      <c r="D902" s="4"/>
    </row>
    <row r="903" spans="1:4" x14ac:dyDescent="0.25">
      <c r="A903" s="5"/>
      <c r="C903" s="4"/>
      <c r="D903" s="4"/>
    </row>
    <row r="904" spans="1:4" x14ac:dyDescent="0.25">
      <c r="A904" s="5"/>
      <c r="C904" s="4"/>
      <c r="D904" s="4"/>
    </row>
    <row r="905" spans="1:4" x14ac:dyDescent="0.25">
      <c r="A905" s="5"/>
      <c r="C905" s="4"/>
      <c r="D905" s="4"/>
    </row>
    <row r="906" spans="1:4" x14ac:dyDescent="0.25">
      <c r="A906" s="5"/>
      <c r="C906" s="4"/>
      <c r="D906" s="4"/>
    </row>
    <row r="907" spans="1:4" x14ac:dyDescent="0.25">
      <c r="A907" s="5"/>
      <c r="C907" s="4"/>
      <c r="D907" s="4"/>
    </row>
    <row r="908" spans="1:4" x14ac:dyDescent="0.25">
      <c r="A908" s="5"/>
      <c r="C908" s="4"/>
      <c r="D908" s="4"/>
    </row>
    <row r="909" spans="1:4" x14ac:dyDescent="0.25">
      <c r="A909" s="5"/>
      <c r="C909" s="4"/>
      <c r="D909" s="4"/>
    </row>
    <row r="910" spans="1:4" x14ac:dyDescent="0.25">
      <c r="A910" s="5"/>
      <c r="C910" s="4"/>
      <c r="D910" s="4"/>
    </row>
    <row r="911" spans="1:4" x14ac:dyDescent="0.25">
      <c r="A911" s="5"/>
      <c r="C911" s="4"/>
      <c r="D911" s="4"/>
    </row>
    <row r="912" spans="1:4" x14ac:dyDescent="0.25">
      <c r="A912" s="5"/>
      <c r="C912" s="4"/>
      <c r="D912" s="4"/>
    </row>
    <row r="913" spans="1:4" x14ac:dyDescent="0.25">
      <c r="A913" s="5"/>
      <c r="C913" s="4"/>
      <c r="D913" s="4"/>
    </row>
    <row r="914" spans="1:4" x14ac:dyDescent="0.25">
      <c r="A914" s="5"/>
      <c r="C914" s="4"/>
      <c r="D914" s="4"/>
    </row>
    <row r="915" spans="1:4" x14ac:dyDescent="0.25">
      <c r="A915" s="5"/>
      <c r="C915" s="4"/>
      <c r="D915" s="4"/>
    </row>
    <row r="916" spans="1:4" x14ac:dyDescent="0.25">
      <c r="A916" s="5"/>
      <c r="C916" s="4"/>
      <c r="D916" s="4"/>
    </row>
    <row r="917" spans="1:4" x14ac:dyDescent="0.25">
      <c r="A917" s="5"/>
      <c r="C917" s="4"/>
      <c r="D917" s="4"/>
    </row>
    <row r="918" spans="1:4" x14ac:dyDescent="0.25">
      <c r="A918" s="5"/>
      <c r="C918" s="4"/>
      <c r="D918" s="4"/>
    </row>
    <row r="919" spans="1:4" x14ac:dyDescent="0.25">
      <c r="A919" s="5"/>
      <c r="C919" s="4"/>
      <c r="D919" s="4"/>
    </row>
    <row r="920" spans="1:4" x14ac:dyDescent="0.25">
      <c r="A920" s="5"/>
      <c r="C920" s="4"/>
      <c r="D920" s="4"/>
    </row>
    <row r="921" spans="1:4" x14ac:dyDescent="0.25">
      <c r="A921" s="5"/>
      <c r="C921" s="4"/>
      <c r="D921" s="4"/>
    </row>
    <row r="922" spans="1:4" x14ac:dyDescent="0.25">
      <c r="A922" s="5"/>
      <c r="C922" s="4"/>
      <c r="D922" s="4"/>
    </row>
    <row r="923" spans="1:4" x14ac:dyDescent="0.25">
      <c r="A923" s="5"/>
      <c r="C923" s="4"/>
      <c r="D923" s="4"/>
    </row>
    <row r="924" spans="1:4" x14ac:dyDescent="0.25">
      <c r="A924" s="5"/>
      <c r="C924" s="4"/>
      <c r="D924" s="4"/>
    </row>
    <row r="925" spans="1:4" x14ac:dyDescent="0.25">
      <c r="A925" s="5"/>
      <c r="C925" s="4"/>
      <c r="D925" s="4"/>
    </row>
    <row r="926" spans="1:4" x14ac:dyDescent="0.25">
      <c r="A926" s="5"/>
      <c r="C926" s="4"/>
      <c r="D926" s="4"/>
    </row>
    <row r="927" spans="1:4" x14ac:dyDescent="0.25">
      <c r="A927" s="5"/>
      <c r="C927" s="4"/>
      <c r="D927" s="4"/>
    </row>
    <row r="928" spans="1:4" x14ac:dyDescent="0.25">
      <c r="A928" s="5"/>
      <c r="C928" s="4"/>
      <c r="D928" s="4"/>
    </row>
    <row r="929" spans="1:4" x14ac:dyDescent="0.25">
      <c r="A929" s="5"/>
      <c r="C929" s="4"/>
      <c r="D929" s="4"/>
    </row>
    <row r="930" spans="1:4" x14ac:dyDescent="0.25">
      <c r="A930" s="5"/>
      <c r="C930" s="4"/>
      <c r="D930" s="4"/>
    </row>
    <row r="931" spans="1:4" x14ac:dyDescent="0.25">
      <c r="A931" s="5"/>
      <c r="C931" s="4"/>
      <c r="D931" s="4"/>
    </row>
    <row r="932" spans="1:4" x14ac:dyDescent="0.25">
      <c r="A932" s="5"/>
      <c r="C932" s="4"/>
      <c r="D932" s="4"/>
    </row>
    <row r="933" spans="1:4" x14ac:dyDescent="0.25">
      <c r="A933" s="5"/>
      <c r="C933" s="4"/>
      <c r="D933" s="4"/>
    </row>
    <row r="934" spans="1:4" x14ac:dyDescent="0.25">
      <c r="A934" s="5"/>
      <c r="C934" s="4"/>
      <c r="D934" s="4"/>
    </row>
    <row r="935" spans="1:4" x14ac:dyDescent="0.25">
      <c r="A935" s="5"/>
      <c r="C935" s="4"/>
      <c r="D935" s="4"/>
    </row>
    <row r="936" spans="1:4" x14ac:dyDescent="0.25">
      <c r="A936" s="5"/>
      <c r="C936" s="4"/>
      <c r="D936" s="4"/>
    </row>
    <row r="937" spans="1:4" x14ac:dyDescent="0.25">
      <c r="A937" s="5"/>
      <c r="C937" s="4"/>
      <c r="D937" s="4"/>
    </row>
    <row r="938" spans="1:4" x14ac:dyDescent="0.25">
      <c r="A938" s="5"/>
      <c r="C938" s="4"/>
      <c r="D938" s="4"/>
    </row>
    <row r="939" spans="1:4" x14ac:dyDescent="0.25">
      <c r="A939" s="5"/>
      <c r="C939" s="4"/>
      <c r="D939" s="4"/>
    </row>
    <row r="940" spans="1:4" x14ac:dyDescent="0.25">
      <c r="A940" s="5"/>
      <c r="C940" s="4"/>
      <c r="D940" s="4"/>
    </row>
    <row r="941" spans="1:4" x14ac:dyDescent="0.25">
      <c r="A941" s="5"/>
      <c r="C941" s="4"/>
      <c r="D941" s="4"/>
    </row>
    <row r="942" spans="1:4" x14ac:dyDescent="0.25">
      <c r="A942" s="5"/>
      <c r="C942" s="4"/>
      <c r="D942" s="4"/>
    </row>
    <row r="943" spans="1:4" x14ac:dyDescent="0.25">
      <c r="A943" s="5"/>
      <c r="C943" s="4"/>
      <c r="D943" s="4"/>
    </row>
    <row r="944" spans="1:4" x14ac:dyDescent="0.25">
      <c r="A944" s="5"/>
      <c r="C944" s="4"/>
      <c r="D944" s="4"/>
    </row>
    <row r="945" spans="1:4" x14ac:dyDescent="0.25">
      <c r="A945" s="5"/>
      <c r="C945" s="4"/>
      <c r="D945" s="4"/>
    </row>
    <row r="946" spans="1:4" x14ac:dyDescent="0.25">
      <c r="A946" s="5"/>
      <c r="C946" s="4"/>
      <c r="D946" s="4"/>
    </row>
    <row r="947" spans="1:4" x14ac:dyDescent="0.25">
      <c r="A947" s="5"/>
      <c r="C947" s="4"/>
      <c r="D947" s="4"/>
    </row>
    <row r="948" spans="1:4" x14ac:dyDescent="0.25">
      <c r="A948" s="5"/>
      <c r="C948" s="4"/>
      <c r="D948" s="4"/>
    </row>
    <row r="949" spans="1:4" x14ac:dyDescent="0.25">
      <c r="A949" s="5"/>
      <c r="C949" s="4"/>
      <c r="D949" s="4"/>
    </row>
    <row r="950" spans="1:4" x14ac:dyDescent="0.25">
      <c r="A950" s="5"/>
      <c r="C950" s="4"/>
      <c r="D950" s="4"/>
    </row>
    <row r="951" spans="1:4" x14ac:dyDescent="0.25">
      <c r="A951" s="5"/>
      <c r="C951" s="4"/>
      <c r="D951" s="4"/>
    </row>
    <row r="952" spans="1:4" x14ac:dyDescent="0.25">
      <c r="A952" s="5"/>
      <c r="C952" s="4"/>
      <c r="D952" s="4"/>
    </row>
    <row r="953" spans="1:4" x14ac:dyDescent="0.25">
      <c r="A953" s="5"/>
    </row>
    <row r="954" spans="1:4" x14ac:dyDescent="0.25">
      <c r="A954" s="5"/>
    </row>
    <row r="955" spans="1:4" x14ac:dyDescent="0.25">
      <c r="A955" s="5"/>
    </row>
    <row r="956" spans="1:4" x14ac:dyDescent="0.25">
      <c r="A956" s="5"/>
    </row>
    <row r="957" spans="1:4" x14ac:dyDescent="0.25">
      <c r="A957" s="5"/>
    </row>
    <row r="958" spans="1:4" x14ac:dyDescent="0.25">
      <c r="A958" s="5"/>
    </row>
    <row r="959" spans="1:4" x14ac:dyDescent="0.25">
      <c r="A959" s="5"/>
    </row>
    <row r="960" spans="1:4" x14ac:dyDescent="0.25">
      <c r="A960" s="5"/>
    </row>
    <row r="961" spans="1:4" x14ac:dyDescent="0.25">
      <c r="A961" s="5"/>
    </row>
    <row r="962" spans="1:4" x14ac:dyDescent="0.25">
      <c r="A962" s="5"/>
    </row>
    <row r="963" spans="1:4" x14ac:dyDescent="0.25">
      <c r="A963" s="5"/>
    </row>
    <row r="964" spans="1:4" x14ac:dyDescent="0.25">
      <c r="A964" s="5"/>
    </row>
    <row r="965" spans="1:4" x14ac:dyDescent="0.25">
      <c r="A965" s="5"/>
      <c r="C965"/>
      <c r="D965"/>
    </row>
    <row r="966" spans="1:4" x14ac:dyDescent="0.25">
      <c r="A966" s="5"/>
      <c r="C966"/>
      <c r="D966"/>
    </row>
    <row r="967" spans="1:4" x14ac:dyDescent="0.25">
      <c r="A967" s="5"/>
      <c r="C967"/>
      <c r="D967"/>
    </row>
    <row r="968" spans="1:4" x14ac:dyDescent="0.25">
      <c r="A968" s="5"/>
      <c r="C968"/>
      <c r="D968"/>
    </row>
    <row r="969" spans="1:4" x14ac:dyDescent="0.25">
      <c r="A969" s="5"/>
      <c r="C969"/>
      <c r="D969"/>
    </row>
    <row r="970" spans="1:4" x14ac:dyDescent="0.25">
      <c r="A970" s="5"/>
      <c r="C970"/>
      <c r="D970"/>
    </row>
    <row r="971" spans="1:4" x14ac:dyDescent="0.25">
      <c r="A971" s="5"/>
      <c r="C971"/>
      <c r="D971"/>
    </row>
    <row r="972" spans="1:4" x14ac:dyDescent="0.25">
      <c r="A972" s="5"/>
      <c r="C972"/>
      <c r="D972"/>
    </row>
    <row r="973" spans="1:4" x14ac:dyDescent="0.25">
      <c r="A973" s="5"/>
      <c r="C973"/>
      <c r="D973"/>
    </row>
    <row r="974" spans="1:4" x14ac:dyDescent="0.25">
      <c r="A974" s="5"/>
      <c r="C974"/>
      <c r="D974"/>
    </row>
    <row r="975" spans="1:4" x14ac:dyDescent="0.25">
      <c r="A975" s="5"/>
      <c r="C975"/>
      <c r="D975"/>
    </row>
    <row r="976" spans="1:4" x14ac:dyDescent="0.25">
      <c r="A976" s="5"/>
      <c r="C976"/>
      <c r="D976"/>
    </row>
    <row r="977" spans="1:4" x14ac:dyDescent="0.25">
      <c r="A977" s="5"/>
      <c r="C977"/>
      <c r="D977"/>
    </row>
    <row r="978" spans="1:4" x14ac:dyDescent="0.25">
      <c r="A978" s="5"/>
      <c r="C978"/>
      <c r="D978"/>
    </row>
    <row r="979" spans="1:4" x14ac:dyDescent="0.25">
      <c r="A979" s="5"/>
      <c r="C979"/>
      <c r="D979"/>
    </row>
    <row r="980" spans="1:4" x14ac:dyDescent="0.25">
      <c r="A980" s="5"/>
      <c r="C980"/>
      <c r="D980"/>
    </row>
    <row r="981" spans="1:4" x14ac:dyDescent="0.25">
      <c r="A981" s="5"/>
      <c r="C981"/>
      <c r="D981"/>
    </row>
    <row r="982" spans="1:4" x14ac:dyDescent="0.25">
      <c r="A982" s="5"/>
      <c r="C982"/>
      <c r="D982"/>
    </row>
    <row r="983" spans="1:4" x14ac:dyDescent="0.25">
      <c r="A983" s="5"/>
      <c r="C983"/>
      <c r="D983"/>
    </row>
    <row r="984" spans="1:4" x14ac:dyDescent="0.25">
      <c r="A984" s="5"/>
      <c r="C984"/>
      <c r="D984"/>
    </row>
    <row r="985" spans="1:4" x14ac:dyDescent="0.25">
      <c r="A985" s="5"/>
      <c r="C985"/>
      <c r="D985"/>
    </row>
    <row r="986" spans="1:4" x14ac:dyDescent="0.25">
      <c r="A986" s="5"/>
      <c r="C986"/>
      <c r="D986"/>
    </row>
    <row r="987" spans="1:4" x14ac:dyDescent="0.25">
      <c r="A987" s="5"/>
      <c r="C987"/>
      <c r="D987"/>
    </row>
    <row r="988" spans="1:4" x14ac:dyDescent="0.25">
      <c r="A988" s="5"/>
      <c r="C988"/>
      <c r="D988"/>
    </row>
    <row r="989" spans="1:4" x14ac:dyDescent="0.25">
      <c r="A989" s="5"/>
      <c r="C989"/>
      <c r="D989"/>
    </row>
    <row r="990" spans="1:4" x14ac:dyDescent="0.25">
      <c r="A990" s="5"/>
      <c r="C990"/>
      <c r="D990"/>
    </row>
    <row r="991" spans="1:4" x14ac:dyDescent="0.25">
      <c r="A991" s="5"/>
      <c r="C991"/>
      <c r="D991"/>
    </row>
    <row r="992" spans="1:4" x14ac:dyDescent="0.25">
      <c r="A992" s="5"/>
      <c r="C992"/>
      <c r="D992"/>
    </row>
    <row r="993" spans="1:4" x14ac:dyDescent="0.25">
      <c r="A993" s="5"/>
      <c r="C993"/>
      <c r="D993"/>
    </row>
    <row r="994" spans="1:4" x14ac:dyDescent="0.25">
      <c r="A994" s="5"/>
      <c r="C994"/>
      <c r="D994"/>
    </row>
    <row r="995" spans="1:4" x14ac:dyDescent="0.25">
      <c r="A995" s="5"/>
      <c r="C995"/>
      <c r="D995"/>
    </row>
    <row r="996" spans="1:4" x14ac:dyDescent="0.25">
      <c r="A996" s="5"/>
      <c r="C996"/>
      <c r="D996"/>
    </row>
    <row r="997" spans="1:4" x14ac:dyDescent="0.25">
      <c r="A997" s="5"/>
      <c r="C997"/>
      <c r="D997"/>
    </row>
    <row r="998" spans="1:4" x14ac:dyDescent="0.25">
      <c r="A998" s="5"/>
      <c r="C998"/>
      <c r="D998"/>
    </row>
    <row r="999" spans="1:4" x14ac:dyDescent="0.25">
      <c r="A999" s="5"/>
      <c r="C999"/>
      <c r="D999"/>
    </row>
    <row r="1000" spans="1:4" x14ac:dyDescent="0.25">
      <c r="A1000" s="5"/>
      <c r="C1000"/>
      <c r="D1000"/>
    </row>
    <row r="1001" spans="1:4" x14ac:dyDescent="0.25">
      <c r="A1001" s="5"/>
      <c r="C1001"/>
      <c r="D1001"/>
    </row>
    <row r="1002" spans="1:4" x14ac:dyDescent="0.25">
      <c r="A1002" s="5"/>
      <c r="C1002"/>
      <c r="D1002"/>
    </row>
    <row r="1003" spans="1:4" x14ac:dyDescent="0.25">
      <c r="A1003" s="5"/>
      <c r="C1003"/>
      <c r="D1003"/>
    </row>
    <row r="1004" spans="1:4" x14ac:dyDescent="0.25">
      <c r="A1004" s="5"/>
      <c r="C1004"/>
      <c r="D1004"/>
    </row>
    <row r="1005" spans="1:4" x14ac:dyDescent="0.25">
      <c r="A1005" s="5"/>
      <c r="C1005"/>
      <c r="D1005"/>
    </row>
    <row r="1006" spans="1:4" x14ac:dyDescent="0.25">
      <c r="A1006" s="5"/>
      <c r="C1006"/>
      <c r="D1006"/>
    </row>
    <row r="1007" spans="1:4" x14ac:dyDescent="0.25">
      <c r="A1007" s="5"/>
      <c r="C1007"/>
      <c r="D1007"/>
    </row>
    <row r="1008" spans="1:4" x14ac:dyDescent="0.25">
      <c r="A1008" s="5"/>
      <c r="C1008"/>
      <c r="D1008"/>
    </row>
    <row r="1009" spans="1:4" x14ac:dyDescent="0.25">
      <c r="A1009" s="5"/>
      <c r="C1009"/>
      <c r="D1009"/>
    </row>
    <row r="1010" spans="1:4" x14ac:dyDescent="0.25">
      <c r="A1010" s="5"/>
      <c r="C1010"/>
      <c r="D1010"/>
    </row>
    <row r="1011" spans="1:4" x14ac:dyDescent="0.25">
      <c r="A1011" s="5"/>
      <c r="C1011"/>
      <c r="D1011"/>
    </row>
    <row r="1012" spans="1:4" x14ac:dyDescent="0.25">
      <c r="A1012" s="5"/>
      <c r="C1012"/>
      <c r="D1012"/>
    </row>
    <row r="1013" spans="1:4" x14ac:dyDescent="0.25">
      <c r="A1013" s="5"/>
      <c r="C1013"/>
      <c r="D1013"/>
    </row>
    <row r="1014" spans="1:4" x14ac:dyDescent="0.25">
      <c r="A1014" s="5"/>
      <c r="C1014"/>
      <c r="D1014"/>
    </row>
    <row r="1015" spans="1:4" x14ac:dyDescent="0.25">
      <c r="A1015" s="5"/>
      <c r="C1015"/>
      <c r="D1015"/>
    </row>
    <row r="1016" spans="1:4" x14ac:dyDescent="0.25">
      <c r="A1016" s="5"/>
      <c r="C1016"/>
      <c r="D1016"/>
    </row>
    <row r="1017" spans="1:4" x14ac:dyDescent="0.25">
      <c r="A1017" s="5"/>
      <c r="C1017"/>
      <c r="D1017"/>
    </row>
    <row r="1018" spans="1:4" x14ac:dyDescent="0.25">
      <c r="A1018" s="5"/>
      <c r="C1018"/>
      <c r="D1018"/>
    </row>
    <row r="1019" spans="1:4" x14ac:dyDescent="0.25">
      <c r="A1019" s="5"/>
      <c r="C1019"/>
      <c r="D1019"/>
    </row>
    <row r="1020" spans="1:4" x14ac:dyDescent="0.25">
      <c r="A1020" s="5"/>
      <c r="C1020"/>
      <c r="D1020"/>
    </row>
    <row r="1021" spans="1:4" x14ac:dyDescent="0.25">
      <c r="A1021" s="5"/>
      <c r="C1021"/>
      <c r="D1021"/>
    </row>
    <row r="1022" spans="1:4" x14ac:dyDescent="0.25">
      <c r="A1022" s="5"/>
      <c r="C1022"/>
      <c r="D1022"/>
    </row>
    <row r="1023" spans="1:4" x14ac:dyDescent="0.25">
      <c r="A1023" s="5"/>
      <c r="C1023"/>
      <c r="D1023"/>
    </row>
    <row r="1024" spans="1:4" x14ac:dyDescent="0.25">
      <c r="A1024" s="5"/>
      <c r="C1024"/>
      <c r="D1024"/>
    </row>
    <row r="1025" spans="1:4" x14ac:dyDescent="0.25">
      <c r="A1025" s="5"/>
      <c r="C1025"/>
      <c r="D1025"/>
    </row>
    <row r="1026" spans="1:4" x14ac:dyDescent="0.25">
      <c r="A1026" s="5"/>
      <c r="C1026"/>
      <c r="D1026"/>
    </row>
    <row r="1027" spans="1:4" x14ac:dyDescent="0.25">
      <c r="A1027" s="5"/>
      <c r="C1027"/>
      <c r="D1027"/>
    </row>
    <row r="1028" spans="1:4" x14ac:dyDescent="0.25">
      <c r="A1028" s="5"/>
      <c r="C1028"/>
      <c r="D1028"/>
    </row>
    <row r="1029" spans="1:4" x14ac:dyDescent="0.25">
      <c r="A1029" s="5"/>
      <c r="C1029"/>
      <c r="D1029"/>
    </row>
    <row r="1030" spans="1:4" x14ac:dyDescent="0.25">
      <c r="A1030" s="5"/>
      <c r="C1030"/>
      <c r="D1030"/>
    </row>
    <row r="1031" spans="1:4" x14ac:dyDescent="0.25">
      <c r="A1031" s="5"/>
      <c r="C1031"/>
      <c r="D1031"/>
    </row>
    <row r="1032" spans="1:4" x14ac:dyDescent="0.25">
      <c r="A1032" s="5"/>
      <c r="C1032"/>
      <c r="D1032"/>
    </row>
    <row r="1033" spans="1:4" x14ac:dyDescent="0.25">
      <c r="A1033" s="5"/>
      <c r="C1033"/>
      <c r="D1033"/>
    </row>
    <row r="1034" spans="1:4" x14ac:dyDescent="0.25">
      <c r="A1034" s="5"/>
      <c r="C1034"/>
      <c r="D1034"/>
    </row>
    <row r="1035" spans="1:4" x14ac:dyDescent="0.25">
      <c r="A1035" s="5"/>
      <c r="C1035"/>
      <c r="D1035"/>
    </row>
    <row r="1036" spans="1:4" x14ac:dyDescent="0.25">
      <c r="A1036" s="5"/>
      <c r="C1036"/>
      <c r="D1036"/>
    </row>
    <row r="1037" spans="1:4" x14ac:dyDescent="0.25">
      <c r="A1037" s="5"/>
      <c r="C1037"/>
      <c r="D1037"/>
    </row>
    <row r="1038" spans="1:4" x14ac:dyDescent="0.25">
      <c r="A1038" s="5"/>
      <c r="C1038"/>
      <c r="D1038"/>
    </row>
    <row r="1039" spans="1:4" x14ac:dyDescent="0.25">
      <c r="A1039" s="5"/>
      <c r="C1039"/>
      <c r="D1039"/>
    </row>
    <row r="1040" spans="1:4" x14ac:dyDescent="0.25">
      <c r="A1040" s="5"/>
      <c r="C1040"/>
      <c r="D1040"/>
    </row>
    <row r="1041" spans="1:4" x14ac:dyDescent="0.25">
      <c r="A1041" s="5"/>
      <c r="C1041"/>
      <c r="D1041"/>
    </row>
    <row r="1042" spans="1:4" x14ac:dyDescent="0.25">
      <c r="A1042" s="5"/>
      <c r="C1042"/>
      <c r="D1042"/>
    </row>
    <row r="1043" spans="1:4" x14ac:dyDescent="0.25">
      <c r="A1043" s="5"/>
      <c r="C1043"/>
      <c r="D1043"/>
    </row>
    <row r="1044" spans="1:4" x14ac:dyDescent="0.25">
      <c r="A1044" s="5"/>
      <c r="C1044"/>
      <c r="D1044"/>
    </row>
    <row r="1045" spans="1:4" x14ac:dyDescent="0.25">
      <c r="A1045" s="5"/>
      <c r="C1045"/>
      <c r="D1045"/>
    </row>
    <row r="1046" spans="1:4" x14ac:dyDescent="0.25">
      <c r="A1046" s="5"/>
      <c r="C1046"/>
      <c r="D1046"/>
    </row>
    <row r="1047" spans="1:4" x14ac:dyDescent="0.25">
      <c r="A1047" s="5"/>
      <c r="C1047"/>
      <c r="D1047"/>
    </row>
    <row r="1048" spans="1:4" x14ac:dyDescent="0.25">
      <c r="A1048" s="5"/>
      <c r="C1048"/>
      <c r="D1048"/>
    </row>
    <row r="1049" spans="1:4" x14ac:dyDescent="0.25">
      <c r="A1049" s="5"/>
      <c r="C1049"/>
      <c r="D1049"/>
    </row>
    <row r="1050" spans="1:4" x14ac:dyDescent="0.25">
      <c r="A1050" s="5"/>
      <c r="C1050"/>
      <c r="D1050"/>
    </row>
    <row r="1051" spans="1:4" x14ac:dyDescent="0.25">
      <c r="A1051" s="5"/>
      <c r="C1051"/>
      <c r="D1051"/>
    </row>
    <row r="1052" spans="1:4" x14ac:dyDescent="0.25">
      <c r="A1052" s="5"/>
      <c r="C1052"/>
      <c r="D1052"/>
    </row>
    <row r="1053" spans="1:4" x14ac:dyDescent="0.25">
      <c r="A1053" s="5"/>
      <c r="C1053"/>
      <c r="D1053"/>
    </row>
    <row r="1054" spans="1:4" x14ac:dyDescent="0.25">
      <c r="A1054" s="5"/>
      <c r="C1054"/>
      <c r="D1054"/>
    </row>
    <row r="1055" spans="1:4" x14ac:dyDescent="0.25">
      <c r="A1055" s="5"/>
      <c r="C1055"/>
      <c r="D1055"/>
    </row>
    <row r="1056" spans="1:4" x14ac:dyDescent="0.25">
      <c r="A1056" s="5"/>
      <c r="C1056"/>
      <c r="D1056"/>
    </row>
    <row r="1057" spans="1:4" x14ac:dyDescent="0.25">
      <c r="A1057" s="5"/>
      <c r="C1057"/>
      <c r="D1057"/>
    </row>
    <row r="1058" spans="1:4" x14ac:dyDescent="0.25">
      <c r="A1058" s="5"/>
      <c r="C1058"/>
      <c r="D1058"/>
    </row>
    <row r="1059" spans="1:4" x14ac:dyDescent="0.25">
      <c r="A1059" s="5"/>
      <c r="C1059"/>
      <c r="D1059"/>
    </row>
    <row r="1060" spans="1:4" x14ac:dyDescent="0.25">
      <c r="A1060" s="5"/>
      <c r="C1060"/>
      <c r="D1060"/>
    </row>
    <row r="1061" spans="1:4" x14ac:dyDescent="0.25">
      <c r="A1061" s="5"/>
      <c r="C1061"/>
      <c r="D1061"/>
    </row>
    <row r="1062" spans="1:4" x14ac:dyDescent="0.25">
      <c r="A1062" s="5"/>
      <c r="C1062"/>
      <c r="D1062"/>
    </row>
    <row r="1063" spans="1:4" x14ac:dyDescent="0.25">
      <c r="A1063" s="5"/>
      <c r="C1063"/>
      <c r="D1063"/>
    </row>
    <row r="1064" spans="1:4" x14ac:dyDescent="0.25">
      <c r="A1064" s="5"/>
      <c r="C1064"/>
      <c r="D1064"/>
    </row>
    <row r="1065" spans="1:4" x14ac:dyDescent="0.25">
      <c r="A1065" s="5"/>
      <c r="C1065"/>
      <c r="D1065"/>
    </row>
    <row r="1066" spans="1:4" x14ac:dyDescent="0.25">
      <c r="A1066" s="5"/>
      <c r="C1066"/>
      <c r="D1066"/>
    </row>
    <row r="1067" spans="1:4" x14ac:dyDescent="0.25">
      <c r="A1067" s="5"/>
      <c r="C1067"/>
      <c r="D1067"/>
    </row>
    <row r="1068" spans="1:4" x14ac:dyDescent="0.25">
      <c r="A1068" s="5"/>
      <c r="C1068"/>
      <c r="D1068"/>
    </row>
    <row r="1069" spans="1:4" x14ac:dyDescent="0.25">
      <c r="A1069" s="5"/>
      <c r="C1069"/>
      <c r="D1069"/>
    </row>
    <row r="1070" spans="1:4" x14ac:dyDescent="0.25">
      <c r="A1070" s="5"/>
      <c r="C1070"/>
      <c r="D1070"/>
    </row>
    <row r="1071" spans="1:4" x14ac:dyDescent="0.25">
      <c r="A1071" s="5"/>
      <c r="C1071"/>
      <c r="D1071"/>
    </row>
    <row r="1072" spans="1:4" x14ac:dyDescent="0.25">
      <c r="A1072" s="5"/>
      <c r="C1072"/>
      <c r="D1072"/>
    </row>
    <row r="1073" spans="1:4" x14ac:dyDescent="0.25">
      <c r="A1073" s="5"/>
      <c r="C1073"/>
      <c r="D1073"/>
    </row>
    <row r="1074" spans="1:4" x14ac:dyDescent="0.25">
      <c r="A1074" s="5"/>
      <c r="C1074"/>
      <c r="D1074"/>
    </row>
    <row r="1075" spans="1:4" x14ac:dyDescent="0.25">
      <c r="A1075" s="5"/>
      <c r="C1075"/>
      <c r="D1075"/>
    </row>
    <row r="1076" spans="1:4" x14ac:dyDescent="0.25">
      <c r="A1076" s="5"/>
      <c r="C1076"/>
      <c r="D1076"/>
    </row>
    <row r="1077" spans="1:4" x14ac:dyDescent="0.25">
      <c r="A1077" s="5"/>
      <c r="C1077"/>
      <c r="D1077"/>
    </row>
    <row r="1078" spans="1:4" x14ac:dyDescent="0.25">
      <c r="A1078" s="5"/>
      <c r="C1078"/>
      <c r="D1078"/>
    </row>
    <row r="1079" spans="1:4" x14ac:dyDescent="0.25">
      <c r="A1079" s="5"/>
      <c r="C1079"/>
      <c r="D1079"/>
    </row>
    <row r="1080" spans="1:4" x14ac:dyDescent="0.25">
      <c r="A1080" s="5"/>
      <c r="C1080"/>
      <c r="D1080"/>
    </row>
    <row r="1081" spans="1:4" x14ac:dyDescent="0.25">
      <c r="A1081" s="5"/>
      <c r="C1081"/>
      <c r="D1081"/>
    </row>
    <row r="1082" spans="1:4" x14ac:dyDescent="0.25">
      <c r="A1082" s="5"/>
      <c r="C1082"/>
      <c r="D1082"/>
    </row>
    <row r="1083" spans="1:4" x14ac:dyDescent="0.25">
      <c r="A1083" s="5"/>
      <c r="C1083"/>
      <c r="D1083"/>
    </row>
    <row r="1084" spans="1:4" x14ac:dyDescent="0.25">
      <c r="A1084" s="5"/>
      <c r="C1084"/>
      <c r="D1084"/>
    </row>
    <row r="1085" spans="1:4" x14ac:dyDescent="0.25">
      <c r="A1085" s="5"/>
      <c r="C1085"/>
      <c r="D1085"/>
    </row>
    <row r="1086" spans="1:4" x14ac:dyDescent="0.25">
      <c r="A1086" s="5"/>
      <c r="C1086"/>
      <c r="D1086"/>
    </row>
    <row r="1087" spans="1:4" x14ac:dyDescent="0.25">
      <c r="A1087" s="5"/>
      <c r="C1087"/>
      <c r="D1087"/>
    </row>
    <row r="1088" spans="1:4" x14ac:dyDescent="0.25">
      <c r="A1088" s="5"/>
      <c r="C1088"/>
      <c r="D1088"/>
    </row>
    <row r="1089" spans="1:4" x14ac:dyDescent="0.25">
      <c r="A1089" s="5"/>
      <c r="C1089"/>
      <c r="D1089"/>
    </row>
    <row r="1090" spans="1:4" x14ac:dyDescent="0.25">
      <c r="A1090" s="5"/>
      <c r="C1090"/>
      <c r="D1090"/>
    </row>
    <row r="1091" spans="1:4" x14ac:dyDescent="0.25">
      <c r="A1091" s="5"/>
      <c r="C1091"/>
      <c r="D1091"/>
    </row>
    <row r="1092" spans="1:4" x14ac:dyDescent="0.25">
      <c r="A1092" s="5"/>
      <c r="C1092"/>
      <c r="D1092"/>
    </row>
    <row r="1093" spans="1:4" x14ac:dyDescent="0.25">
      <c r="A1093" s="5"/>
      <c r="C1093"/>
      <c r="D1093"/>
    </row>
    <row r="1094" spans="1:4" x14ac:dyDescent="0.25">
      <c r="A1094" s="5"/>
      <c r="C1094"/>
      <c r="D1094"/>
    </row>
    <row r="1095" spans="1:4" x14ac:dyDescent="0.25">
      <c r="A1095" s="5"/>
      <c r="C1095"/>
      <c r="D1095"/>
    </row>
    <row r="1096" spans="1:4" x14ac:dyDescent="0.25">
      <c r="A1096" s="5"/>
      <c r="C1096"/>
      <c r="D1096"/>
    </row>
    <row r="1097" spans="1:4" x14ac:dyDescent="0.25">
      <c r="A1097" s="5"/>
      <c r="C1097"/>
      <c r="D1097"/>
    </row>
    <row r="1098" spans="1:4" x14ac:dyDescent="0.25">
      <c r="A1098" s="5"/>
      <c r="C1098"/>
      <c r="D1098"/>
    </row>
    <row r="1099" spans="1:4" x14ac:dyDescent="0.25">
      <c r="A1099" s="5"/>
      <c r="C1099"/>
      <c r="D1099"/>
    </row>
    <row r="1100" spans="1:4" x14ac:dyDescent="0.25">
      <c r="A1100" s="5"/>
      <c r="C1100"/>
      <c r="D1100"/>
    </row>
    <row r="1101" spans="1:4" x14ac:dyDescent="0.25">
      <c r="A1101" s="5"/>
      <c r="C1101"/>
      <c r="D1101"/>
    </row>
    <row r="1102" spans="1:4" x14ac:dyDescent="0.25">
      <c r="A1102" s="5"/>
      <c r="C1102"/>
      <c r="D1102"/>
    </row>
    <row r="1103" spans="1:4" x14ac:dyDescent="0.25">
      <c r="A1103" s="5"/>
      <c r="C1103"/>
      <c r="D1103"/>
    </row>
    <row r="1104" spans="1:4" x14ac:dyDescent="0.25">
      <c r="A1104" s="5"/>
      <c r="C1104"/>
      <c r="D1104"/>
    </row>
    <row r="1105" spans="1:4" x14ac:dyDescent="0.25">
      <c r="A1105" s="5"/>
      <c r="C1105"/>
      <c r="D1105"/>
    </row>
    <row r="1106" spans="1:4" x14ac:dyDescent="0.25">
      <c r="A1106" s="5"/>
      <c r="C1106"/>
      <c r="D1106"/>
    </row>
    <row r="1107" spans="1:4" x14ac:dyDescent="0.25">
      <c r="A1107" s="5"/>
      <c r="C1107"/>
      <c r="D1107"/>
    </row>
    <row r="1108" spans="1:4" x14ac:dyDescent="0.25">
      <c r="A1108" s="5"/>
      <c r="C1108"/>
      <c r="D1108"/>
    </row>
    <row r="1109" spans="1:4" x14ac:dyDescent="0.25">
      <c r="A1109" s="5"/>
      <c r="C1109"/>
      <c r="D1109"/>
    </row>
    <row r="1110" spans="1:4" x14ac:dyDescent="0.25">
      <c r="A1110" s="5"/>
      <c r="C1110"/>
      <c r="D1110"/>
    </row>
    <row r="1111" spans="1:4" x14ac:dyDescent="0.25">
      <c r="A1111" s="5"/>
      <c r="C1111"/>
      <c r="D1111"/>
    </row>
    <row r="1112" spans="1:4" x14ac:dyDescent="0.25">
      <c r="A1112" s="5"/>
      <c r="C1112"/>
      <c r="D1112"/>
    </row>
    <row r="1113" spans="1:4" x14ac:dyDescent="0.25">
      <c r="A1113" s="5"/>
      <c r="C1113"/>
      <c r="D1113"/>
    </row>
    <row r="1114" spans="1:4" x14ac:dyDescent="0.25">
      <c r="A1114" s="5"/>
      <c r="C1114"/>
      <c r="D1114"/>
    </row>
    <row r="1115" spans="1:4" x14ac:dyDescent="0.25">
      <c r="A1115" s="5"/>
      <c r="C1115"/>
      <c r="D1115"/>
    </row>
    <row r="1116" spans="1:4" x14ac:dyDescent="0.25">
      <c r="A1116" s="5"/>
      <c r="C1116"/>
      <c r="D1116"/>
    </row>
    <row r="1117" spans="1:4" x14ac:dyDescent="0.25">
      <c r="A1117" s="5"/>
      <c r="C1117"/>
      <c r="D1117"/>
    </row>
    <row r="1118" spans="1:4" x14ac:dyDescent="0.25">
      <c r="A1118" s="5"/>
      <c r="C1118"/>
      <c r="D1118"/>
    </row>
    <row r="1119" spans="1:4" x14ac:dyDescent="0.25">
      <c r="A1119" s="5"/>
      <c r="C1119"/>
      <c r="D1119"/>
    </row>
    <row r="1120" spans="1:4" x14ac:dyDescent="0.25">
      <c r="A1120" s="5"/>
      <c r="C1120"/>
      <c r="D1120"/>
    </row>
    <row r="1121" spans="1:4" x14ac:dyDescent="0.25">
      <c r="A1121" s="5"/>
      <c r="C1121"/>
      <c r="D1121"/>
    </row>
    <row r="1122" spans="1:4" x14ac:dyDescent="0.25">
      <c r="A1122" s="5"/>
      <c r="C1122"/>
      <c r="D1122"/>
    </row>
    <row r="1123" spans="1:4" x14ac:dyDescent="0.25">
      <c r="A1123" s="5"/>
      <c r="C1123"/>
      <c r="D1123"/>
    </row>
    <row r="1124" spans="1:4" x14ac:dyDescent="0.25">
      <c r="A1124" s="5"/>
      <c r="C1124"/>
      <c r="D1124"/>
    </row>
    <row r="1125" spans="1:4" x14ac:dyDescent="0.25">
      <c r="A1125" s="5"/>
      <c r="C1125"/>
      <c r="D1125"/>
    </row>
    <row r="1126" spans="1:4" x14ac:dyDescent="0.25">
      <c r="A1126" s="5"/>
      <c r="C1126"/>
      <c r="D1126"/>
    </row>
    <row r="1127" spans="1:4" x14ac:dyDescent="0.25">
      <c r="A1127" s="5"/>
      <c r="C1127"/>
      <c r="D1127"/>
    </row>
    <row r="1128" spans="1:4" x14ac:dyDescent="0.25">
      <c r="A1128" s="5"/>
      <c r="C1128"/>
      <c r="D1128"/>
    </row>
    <row r="1129" spans="1:4" x14ac:dyDescent="0.25">
      <c r="A1129" s="5"/>
      <c r="C1129"/>
      <c r="D1129"/>
    </row>
    <row r="1130" spans="1:4" x14ac:dyDescent="0.25">
      <c r="A1130" s="5"/>
      <c r="C1130"/>
      <c r="D1130"/>
    </row>
    <row r="1131" spans="1:4" x14ac:dyDescent="0.25">
      <c r="A1131" s="5"/>
      <c r="C1131"/>
      <c r="D1131"/>
    </row>
    <row r="1132" spans="1:4" x14ac:dyDescent="0.25">
      <c r="A1132" s="5"/>
      <c r="C1132"/>
      <c r="D1132"/>
    </row>
    <row r="1133" spans="1:4" x14ac:dyDescent="0.25">
      <c r="A1133" s="5"/>
      <c r="C1133"/>
      <c r="D1133"/>
    </row>
    <row r="1134" spans="1:4" x14ac:dyDescent="0.25">
      <c r="A1134" s="5"/>
      <c r="C1134"/>
      <c r="D1134"/>
    </row>
    <row r="1135" spans="1:4" x14ac:dyDescent="0.25">
      <c r="A1135" s="5"/>
      <c r="C1135"/>
      <c r="D1135"/>
    </row>
    <row r="1136" spans="1:4" x14ac:dyDescent="0.25">
      <c r="A1136" s="5"/>
      <c r="C1136"/>
      <c r="D1136"/>
    </row>
    <row r="1137" spans="1:4" x14ac:dyDescent="0.25">
      <c r="A1137" s="5"/>
      <c r="C1137"/>
      <c r="D1137"/>
    </row>
    <row r="1138" spans="1:4" x14ac:dyDescent="0.25">
      <c r="A1138" s="5"/>
      <c r="C1138"/>
      <c r="D1138"/>
    </row>
    <row r="1139" spans="1:4" x14ac:dyDescent="0.25">
      <c r="A1139" s="5"/>
      <c r="C1139"/>
      <c r="D1139"/>
    </row>
    <row r="1140" spans="1:4" x14ac:dyDescent="0.25">
      <c r="A1140" s="5"/>
      <c r="C1140"/>
      <c r="D1140"/>
    </row>
    <row r="1141" spans="1:4" x14ac:dyDescent="0.25">
      <c r="A1141" s="5"/>
      <c r="C1141"/>
      <c r="D1141"/>
    </row>
    <row r="1142" spans="1:4" x14ac:dyDescent="0.25">
      <c r="A1142" s="5"/>
      <c r="C1142"/>
      <c r="D1142"/>
    </row>
    <row r="1143" spans="1:4" x14ac:dyDescent="0.25">
      <c r="A1143" s="5"/>
      <c r="C1143"/>
      <c r="D1143"/>
    </row>
    <row r="1144" spans="1:4" x14ac:dyDescent="0.25">
      <c r="A1144" s="5"/>
      <c r="C1144"/>
      <c r="D1144"/>
    </row>
    <row r="1145" spans="1:4" x14ac:dyDescent="0.25">
      <c r="A1145" s="5"/>
      <c r="C1145"/>
      <c r="D1145"/>
    </row>
    <row r="1146" spans="1:4" x14ac:dyDescent="0.25">
      <c r="A1146" s="5"/>
      <c r="C1146"/>
      <c r="D1146"/>
    </row>
    <row r="1147" spans="1:4" x14ac:dyDescent="0.25">
      <c r="A1147" s="5"/>
      <c r="C1147"/>
      <c r="D1147"/>
    </row>
    <row r="1148" spans="1:4" x14ac:dyDescent="0.25">
      <c r="A1148" s="5"/>
      <c r="C1148"/>
      <c r="D1148"/>
    </row>
    <row r="1149" spans="1:4" x14ac:dyDescent="0.25">
      <c r="A1149" s="5"/>
      <c r="C1149"/>
      <c r="D1149"/>
    </row>
    <row r="1150" spans="1:4" x14ac:dyDescent="0.25">
      <c r="A1150" s="5"/>
      <c r="C1150"/>
      <c r="D1150"/>
    </row>
    <row r="1151" spans="1:4" x14ac:dyDescent="0.25">
      <c r="A1151" s="5"/>
      <c r="C1151"/>
      <c r="D1151"/>
    </row>
    <row r="1152" spans="1:4" x14ac:dyDescent="0.25">
      <c r="A1152" s="5"/>
      <c r="C1152"/>
      <c r="D1152"/>
    </row>
    <row r="1153" spans="1:4" x14ac:dyDescent="0.25">
      <c r="A1153" s="5"/>
      <c r="C1153"/>
      <c r="D1153"/>
    </row>
    <row r="1154" spans="1:4" x14ac:dyDescent="0.25">
      <c r="A1154" s="5"/>
      <c r="C1154"/>
      <c r="D1154"/>
    </row>
    <row r="1155" spans="1:4" x14ac:dyDescent="0.25">
      <c r="A1155" s="5"/>
      <c r="C1155"/>
      <c r="D1155"/>
    </row>
    <row r="1156" spans="1:4" x14ac:dyDescent="0.25">
      <c r="A1156" s="5"/>
      <c r="C1156"/>
      <c r="D1156"/>
    </row>
    <row r="1157" spans="1:4" x14ac:dyDescent="0.25">
      <c r="A1157" s="5"/>
      <c r="C1157"/>
      <c r="D1157"/>
    </row>
    <row r="1158" spans="1:4" x14ac:dyDescent="0.25">
      <c r="A1158" s="5"/>
      <c r="C1158"/>
      <c r="D1158"/>
    </row>
    <row r="1159" spans="1:4" x14ac:dyDescent="0.25">
      <c r="A1159" s="5"/>
      <c r="C1159"/>
      <c r="D1159"/>
    </row>
    <row r="1160" spans="1:4" x14ac:dyDescent="0.25">
      <c r="A1160" s="5"/>
      <c r="C1160"/>
      <c r="D1160"/>
    </row>
    <row r="1161" spans="1:4" x14ac:dyDescent="0.25">
      <c r="A1161" s="5"/>
      <c r="C1161"/>
      <c r="D1161"/>
    </row>
    <row r="1162" spans="1:4" x14ac:dyDescent="0.25">
      <c r="A1162" s="5"/>
      <c r="C1162"/>
      <c r="D1162"/>
    </row>
    <row r="1163" spans="1:4" x14ac:dyDescent="0.25">
      <c r="A1163" s="5"/>
      <c r="C1163"/>
      <c r="D1163"/>
    </row>
    <row r="1164" spans="1:4" x14ac:dyDescent="0.25">
      <c r="A1164" s="5"/>
      <c r="C1164"/>
      <c r="D1164"/>
    </row>
    <row r="1165" spans="1:4" x14ac:dyDescent="0.25">
      <c r="A1165" s="5"/>
      <c r="C1165"/>
      <c r="D1165"/>
    </row>
    <row r="1166" spans="1:4" x14ac:dyDescent="0.25">
      <c r="A1166" s="5"/>
      <c r="C1166"/>
      <c r="D1166"/>
    </row>
    <row r="1167" spans="1:4" x14ac:dyDescent="0.25">
      <c r="A1167" s="5"/>
      <c r="C1167"/>
      <c r="D1167"/>
    </row>
    <row r="1168" spans="1:4" x14ac:dyDescent="0.25">
      <c r="A1168" s="5"/>
      <c r="C1168"/>
      <c r="D1168"/>
    </row>
    <row r="1169" spans="1:4" x14ac:dyDescent="0.25">
      <c r="A1169" s="5"/>
      <c r="C1169"/>
      <c r="D1169"/>
    </row>
    <row r="1170" spans="1:4" x14ac:dyDescent="0.25">
      <c r="A1170" s="5"/>
      <c r="C1170"/>
      <c r="D1170"/>
    </row>
    <row r="1171" spans="1:4" x14ac:dyDescent="0.25">
      <c r="A1171" s="5"/>
      <c r="C1171"/>
      <c r="D1171"/>
    </row>
    <row r="1172" spans="1:4" x14ac:dyDescent="0.25">
      <c r="A1172" s="5"/>
      <c r="C1172"/>
      <c r="D1172"/>
    </row>
    <row r="1173" spans="1:4" x14ac:dyDescent="0.25">
      <c r="A1173" s="5"/>
      <c r="C1173"/>
      <c r="D1173"/>
    </row>
    <row r="1174" spans="1:4" x14ac:dyDescent="0.25">
      <c r="A1174" s="5"/>
      <c r="C1174"/>
      <c r="D1174"/>
    </row>
    <row r="1175" spans="1:4" x14ac:dyDescent="0.25">
      <c r="A1175" s="5"/>
      <c r="C1175"/>
      <c r="D1175"/>
    </row>
    <row r="1176" spans="1:4" x14ac:dyDescent="0.25">
      <c r="A1176" s="5"/>
      <c r="C1176"/>
      <c r="D1176"/>
    </row>
    <row r="1177" spans="1:4" x14ac:dyDescent="0.25">
      <c r="A1177" s="5"/>
      <c r="C1177"/>
      <c r="D1177"/>
    </row>
    <row r="1178" spans="1:4" x14ac:dyDescent="0.25">
      <c r="A1178" s="5"/>
      <c r="C1178"/>
      <c r="D1178"/>
    </row>
    <row r="1179" spans="1:4" x14ac:dyDescent="0.25">
      <c r="A1179" s="5"/>
      <c r="C1179"/>
      <c r="D1179"/>
    </row>
    <row r="1180" spans="1:4" x14ac:dyDescent="0.25">
      <c r="A1180" s="5"/>
      <c r="C1180"/>
      <c r="D1180"/>
    </row>
    <row r="1181" spans="1:4" x14ac:dyDescent="0.25">
      <c r="A1181" s="5"/>
      <c r="C1181"/>
      <c r="D1181"/>
    </row>
    <row r="1182" spans="1:4" x14ac:dyDescent="0.25">
      <c r="A1182" s="5"/>
      <c r="C1182"/>
      <c r="D1182"/>
    </row>
    <row r="1183" spans="1:4" x14ac:dyDescent="0.25">
      <c r="A1183" s="5"/>
      <c r="C1183"/>
      <c r="D1183"/>
    </row>
    <row r="1184" spans="1:4" x14ac:dyDescent="0.25">
      <c r="A1184" s="5"/>
      <c r="C1184"/>
      <c r="D1184"/>
    </row>
    <row r="1185" spans="1:4" x14ac:dyDescent="0.25">
      <c r="A1185" s="5"/>
      <c r="C1185"/>
      <c r="D1185"/>
    </row>
    <row r="1186" spans="1:4" x14ac:dyDescent="0.25">
      <c r="A1186" s="5"/>
      <c r="C1186"/>
      <c r="D1186"/>
    </row>
    <row r="1187" spans="1:4" x14ac:dyDescent="0.25">
      <c r="A1187" s="5"/>
      <c r="C1187"/>
      <c r="D1187"/>
    </row>
    <row r="1188" spans="1:4" x14ac:dyDescent="0.25">
      <c r="A1188" s="5"/>
      <c r="C1188"/>
      <c r="D1188"/>
    </row>
    <row r="1189" spans="1:4" x14ac:dyDescent="0.25">
      <c r="A1189" s="5"/>
      <c r="C1189"/>
      <c r="D1189"/>
    </row>
    <row r="1190" spans="1:4" x14ac:dyDescent="0.25">
      <c r="A1190" s="5"/>
      <c r="C1190"/>
      <c r="D1190"/>
    </row>
    <row r="1191" spans="1:4" x14ac:dyDescent="0.25">
      <c r="A1191" s="5"/>
      <c r="C1191"/>
      <c r="D1191"/>
    </row>
    <row r="1192" spans="1:4" x14ac:dyDescent="0.25">
      <c r="A1192" s="5"/>
      <c r="C1192"/>
      <c r="D1192"/>
    </row>
    <row r="1193" spans="1:4" x14ac:dyDescent="0.25">
      <c r="A1193" s="5"/>
      <c r="C1193"/>
      <c r="D1193"/>
    </row>
    <row r="1194" spans="1:4" x14ac:dyDescent="0.25">
      <c r="A1194" s="5"/>
      <c r="C1194"/>
      <c r="D1194"/>
    </row>
    <row r="1195" spans="1:4" x14ac:dyDescent="0.25">
      <c r="A1195" s="5"/>
      <c r="C1195"/>
      <c r="D1195"/>
    </row>
    <row r="1196" spans="1:4" x14ac:dyDescent="0.25">
      <c r="A1196" s="5"/>
      <c r="C1196"/>
      <c r="D1196"/>
    </row>
    <row r="1197" spans="1:4" x14ac:dyDescent="0.25">
      <c r="A1197" s="5"/>
      <c r="C1197"/>
      <c r="D1197"/>
    </row>
    <row r="1198" spans="1:4" x14ac:dyDescent="0.25">
      <c r="A1198" s="5"/>
      <c r="C1198"/>
      <c r="D1198"/>
    </row>
    <row r="1199" spans="1:4" x14ac:dyDescent="0.25">
      <c r="A1199" s="5"/>
      <c r="C1199"/>
      <c r="D1199"/>
    </row>
    <row r="1200" spans="1:4" x14ac:dyDescent="0.25">
      <c r="A1200" s="5"/>
      <c r="C1200"/>
      <c r="D1200"/>
    </row>
    <row r="1201" spans="1:4" x14ac:dyDescent="0.25">
      <c r="A1201" s="5"/>
      <c r="C1201"/>
      <c r="D1201"/>
    </row>
    <row r="1202" spans="1:4" x14ac:dyDescent="0.25">
      <c r="A1202" s="5"/>
      <c r="C1202"/>
      <c r="D1202"/>
    </row>
    <row r="1203" spans="1:4" x14ac:dyDescent="0.25">
      <c r="A1203" s="5"/>
      <c r="C1203"/>
      <c r="D1203"/>
    </row>
    <row r="1204" spans="1:4" x14ac:dyDescent="0.25">
      <c r="A1204" s="5"/>
      <c r="C1204"/>
      <c r="D1204"/>
    </row>
    <row r="1205" spans="1:4" x14ac:dyDescent="0.25">
      <c r="A1205" s="5"/>
      <c r="C1205"/>
      <c r="D1205"/>
    </row>
    <row r="1206" spans="1:4" x14ac:dyDescent="0.25">
      <c r="A1206" s="5"/>
      <c r="C1206"/>
      <c r="D1206"/>
    </row>
    <row r="1207" spans="1:4" x14ac:dyDescent="0.25">
      <c r="A1207" s="5"/>
      <c r="C1207"/>
      <c r="D1207"/>
    </row>
    <row r="1208" spans="1:4" x14ac:dyDescent="0.25">
      <c r="A1208" s="5"/>
      <c r="C1208"/>
      <c r="D1208"/>
    </row>
    <row r="1209" spans="1:4" x14ac:dyDescent="0.25">
      <c r="A1209" s="5"/>
      <c r="C1209"/>
      <c r="D1209"/>
    </row>
    <row r="1210" spans="1:4" x14ac:dyDescent="0.25">
      <c r="A1210" s="5"/>
      <c r="C1210"/>
      <c r="D1210"/>
    </row>
    <row r="1211" spans="1:4" x14ac:dyDescent="0.25">
      <c r="A1211" s="5"/>
      <c r="C1211"/>
      <c r="D1211"/>
    </row>
    <row r="1212" spans="1:4" x14ac:dyDescent="0.25">
      <c r="A1212" s="5"/>
      <c r="C1212"/>
      <c r="D1212"/>
    </row>
    <row r="1213" spans="1:4" x14ac:dyDescent="0.25">
      <c r="A1213" s="5"/>
      <c r="C1213"/>
      <c r="D1213"/>
    </row>
    <row r="1214" spans="1:4" x14ac:dyDescent="0.25">
      <c r="A1214" s="5"/>
      <c r="C1214"/>
      <c r="D1214"/>
    </row>
    <row r="1215" spans="1:4" x14ac:dyDescent="0.25">
      <c r="A1215" s="5"/>
      <c r="C1215"/>
      <c r="D1215"/>
    </row>
    <row r="1216" spans="1:4" x14ac:dyDescent="0.25">
      <c r="A1216" s="5"/>
      <c r="C1216"/>
      <c r="D1216"/>
    </row>
    <row r="1217" spans="1:4" x14ac:dyDescent="0.25">
      <c r="A1217" s="5"/>
      <c r="C1217"/>
      <c r="D1217"/>
    </row>
    <row r="1218" spans="1:4" x14ac:dyDescent="0.25">
      <c r="A1218" s="5"/>
      <c r="C1218"/>
      <c r="D1218"/>
    </row>
    <row r="1219" spans="1:4" x14ac:dyDescent="0.25">
      <c r="A1219" s="5"/>
      <c r="C1219"/>
      <c r="D1219"/>
    </row>
    <row r="1220" spans="1:4" x14ac:dyDescent="0.25">
      <c r="A1220" s="5"/>
      <c r="C1220"/>
      <c r="D1220"/>
    </row>
    <row r="1221" spans="1:4" x14ac:dyDescent="0.25">
      <c r="A1221" s="5"/>
      <c r="C1221"/>
      <c r="D1221"/>
    </row>
    <row r="1222" spans="1:4" x14ac:dyDescent="0.25">
      <c r="A1222" s="5"/>
      <c r="C1222"/>
      <c r="D1222"/>
    </row>
    <row r="1223" spans="1:4" x14ac:dyDescent="0.25">
      <c r="A1223" s="5"/>
      <c r="C1223"/>
      <c r="D1223"/>
    </row>
    <row r="1224" spans="1:4" x14ac:dyDescent="0.25">
      <c r="A1224" s="5"/>
      <c r="C1224"/>
      <c r="D1224"/>
    </row>
    <row r="1225" spans="1:4" x14ac:dyDescent="0.25">
      <c r="A1225" s="5"/>
      <c r="C1225"/>
      <c r="D1225"/>
    </row>
    <row r="1226" spans="1:4" x14ac:dyDescent="0.25">
      <c r="A1226" s="5"/>
      <c r="C1226"/>
      <c r="D1226"/>
    </row>
    <row r="1227" spans="1:4" x14ac:dyDescent="0.25">
      <c r="A1227" s="5"/>
      <c r="C1227"/>
      <c r="D1227"/>
    </row>
    <row r="1228" spans="1:4" x14ac:dyDescent="0.25">
      <c r="A1228" s="5"/>
      <c r="C1228"/>
      <c r="D1228"/>
    </row>
    <row r="1229" spans="1:4" x14ac:dyDescent="0.25">
      <c r="A1229" s="5"/>
      <c r="C1229"/>
      <c r="D1229"/>
    </row>
    <row r="1230" spans="1:4" x14ac:dyDescent="0.25">
      <c r="A1230" s="5"/>
      <c r="C1230"/>
      <c r="D1230"/>
    </row>
    <row r="1231" spans="1:4" x14ac:dyDescent="0.25">
      <c r="A1231" s="5"/>
      <c r="C1231"/>
      <c r="D1231"/>
    </row>
    <row r="1232" spans="1:4" x14ac:dyDescent="0.25">
      <c r="A1232" s="5"/>
      <c r="C1232"/>
      <c r="D1232"/>
    </row>
    <row r="1233" spans="1:4" x14ac:dyDescent="0.25">
      <c r="A1233" s="5"/>
      <c r="C1233"/>
      <c r="D1233"/>
    </row>
    <row r="1234" spans="1:4" x14ac:dyDescent="0.25">
      <c r="A1234" s="5"/>
      <c r="C1234"/>
      <c r="D1234"/>
    </row>
    <row r="1235" spans="1:4" x14ac:dyDescent="0.25">
      <c r="A1235" s="5"/>
      <c r="C1235"/>
      <c r="D1235"/>
    </row>
    <row r="1236" spans="1:4" x14ac:dyDescent="0.25">
      <c r="A1236" s="5"/>
      <c r="C1236"/>
      <c r="D1236"/>
    </row>
    <row r="1237" spans="1:4" x14ac:dyDescent="0.25">
      <c r="A1237" s="5"/>
      <c r="C1237"/>
      <c r="D1237"/>
    </row>
    <row r="1238" spans="1:4" x14ac:dyDescent="0.25">
      <c r="A1238" s="5"/>
      <c r="C1238"/>
      <c r="D1238"/>
    </row>
    <row r="1239" spans="1:4" x14ac:dyDescent="0.25">
      <c r="A1239" s="5"/>
      <c r="C1239"/>
      <c r="D1239"/>
    </row>
    <row r="1240" spans="1:4" x14ac:dyDescent="0.25">
      <c r="A1240" s="5"/>
      <c r="C1240"/>
      <c r="D1240"/>
    </row>
    <row r="1241" spans="1:4" x14ac:dyDescent="0.25">
      <c r="A1241" s="5"/>
      <c r="C1241"/>
      <c r="D1241"/>
    </row>
    <row r="1242" spans="1:4" x14ac:dyDescent="0.25">
      <c r="A1242" s="5"/>
      <c r="C1242"/>
      <c r="D1242"/>
    </row>
    <row r="1243" spans="1:4" x14ac:dyDescent="0.25">
      <c r="A1243" s="5"/>
      <c r="C1243"/>
      <c r="D1243"/>
    </row>
    <row r="1244" spans="1:4" x14ac:dyDescent="0.25">
      <c r="A1244" s="5"/>
      <c r="C1244"/>
      <c r="D1244"/>
    </row>
    <row r="1245" spans="1:4" x14ac:dyDescent="0.25">
      <c r="A1245" s="5"/>
      <c r="C1245"/>
      <c r="D1245"/>
    </row>
    <row r="1246" spans="1:4" x14ac:dyDescent="0.25">
      <c r="A1246" s="5"/>
      <c r="C1246"/>
      <c r="D1246"/>
    </row>
    <row r="1247" spans="1:4" x14ac:dyDescent="0.25">
      <c r="A1247" s="5"/>
      <c r="C1247"/>
      <c r="D1247"/>
    </row>
    <row r="1248" spans="1:4" x14ac:dyDescent="0.25">
      <c r="A1248" s="5"/>
      <c r="C1248"/>
      <c r="D1248"/>
    </row>
    <row r="1249" spans="1:4" x14ac:dyDescent="0.25">
      <c r="A1249" s="5"/>
      <c r="C1249"/>
      <c r="D1249"/>
    </row>
    <row r="1250" spans="1:4" x14ac:dyDescent="0.25">
      <c r="A1250" s="5"/>
      <c r="C1250"/>
      <c r="D1250"/>
    </row>
    <row r="1251" spans="1:4" x14ac:dyDescent="0.25">
      <c r="A1251" s="5"/>
      <c r="C1251"/>
      <c r="D1251"/>
    </row>
    <row r="1252" spans="1:4" x14ac:dyDescent="0.25">
      <c r="A1252" s="5"/>
      <c r="C1252"/>
      <c r="D1252"/>
    </row>
    <row r="1253" spans="1:4" x14ac:dyDescent="0.25">
      <c r="A1253" s="5"/>
      <c r="C1253"/>
      <c r="D1253"/>
    </row>
    <row r="1254" spans="1:4" x14ac:dyDescent="0.25">
      <c r="A1254" s="5"/>
      <c r="C1254"/>
      <c r="D1254"/>
    </row>
    <row r="1255" spans="1:4" x14ac:dyDescent="0.25">
      <c r="A1255" s="5"/>
      <c r="C1255"/>
      <c r="D1255"/>
    </row>
    <row r="1256" spans="1:4" x14ac:dyDescent="0.25">
      <c r="A1256" s="5"/>
      <c r="C1256"/>
      <c r="D1256"/>
    </row>
    <row r="1257" spans="1:4" x14ac:dyDescent="0.25">
      <c r="A1257" s="5"/>
      <c r="C1257"/>
      <c r="D1257"/>
    </row>
    <row r="1258" spans="1:4" x14ac:dyDescent="0.25">
      <c r="A1258" s="5"/>
      <c r="C1258"/>
      <c r="D1258"/>
    </row>
    <row r="1259" spans="1:4" x14ac:dyDescent="0.25">
      <c r="A1259" s="5"/>
      <c r="C1259"/>
      <c r="D1259"/>
    </row>
    <row r="1260" spans="1:4" x14ac:dyDescent="0.25">
      <c r="A1260" s="5"/>
      <c r="C1260"/>
      <c r="D1260"/>
    </row>
    <row r="1261" spans="1:4" x14ac:dyDescent="0.25">
      <c r="A1261" s="5"/>
      <c r="C1261"/>
      <c r="D1261"/>
    </row>
    <row r="1262" spans="1:4" x14ac:dyDescent="0.25">
      <c r="A1262" s="5"/>
      <c r="C1262"/>
      <c r="D1262"/>
    </row>
    <row r="1263" spans="1:4" x14ac:dyDescent="0.25">
      <c r="A1263" s="5"/>
      <c r="C1263"/>
      <c r="D1263"/>
    </row>
    <row r="1264" spans="1:4" x14ac:dyDescent="0.25">
      <c r="A1264" s="5"/>
      <c r="C1264"/>
      <c r="D1264"/>
    </row>
    <row r="1265" spans="1:4" x14ac:dyDescent="0.25">
      <c r="A1265" s="5"/>
      <c r="C1265"/>
      <c r="D1265"/>
    </row>
    <row r="1266" spans="1:4" x14ac:dyDescent="0.25">
      <c r="A1266" s="5"/>
      <c r="C1266"/>
      <c r="D1266"/>
    </row>
    <row r="1267" spans="1:4" x14ac:dyDescent="0.25">
      <c r="A1267" s="5"/>
      <c r="C1267"/>
      <c r="D1267"/>
    </row>
    <row r="1268" spans="1:4" x14ac:dyDescent="0.25">
      <c r="A1268" s="5"/>
      <c r="C1268"/>
      <c r="D1268"/>
    </row>
    <row r="1269" spans="1:4" x14ac:dyDescent="0.25">
      <c r="A1269" s="5"/>
      <c r="C1269"/>
      <c r="D1269"/>
    </row>
    <row r="1270" spans="1:4" x14ac:dyDescent="0.25">
      <c r="A1270" s="5"/>
      <c r="C1270"/>
      <c r="D1270"/>
    </row>
    <row r="1271" spans="1:4" x14ac:dyDescent="0.25">
      <c r="A1271" s="5"/>
      <c r="C1271"/>
      <c r="D1271"/>
    </row>
    <row r="1272" spans="1:4" x14ac:dyDescent="0.25">
      <c r="A1272" s="5"/>
      <c r="C1272"/>
      <c r="D1272"/>
    </row>
    <row r="1273" spans="1:4" x14ac:dyDescent="0.25">
      <c r="A1273" s="5"/>
      <c r="C1273"/>
      <c r="D1273"/>
    </row>
    <row r="1274" spans="1:4" x14ac:dyDescent="0.25">
      <c r="A1274" s="5"/>
      <c r="C1274"/>
      <c r="D1274"/>
    </row>
    <row r="1275" spans="1:4" x14ac:dyDescent="0.25">
      <c r="A1275" s="5"/>
      <c r="C1275"/>
      <c r="D1275"/>
    </row>
    <row r="1276" spans="1:4" x14ac:dyDescent="0.25">
      <c r="A1276" s="5"/>
      <c r="C1276"/>
      <c r="D1276"/>
    </row>
    <row r="1277" spans="1:4" x14ac:dyDescent="0.25">
      <c r="A1277" s="5"/>
      <c r="C1277"/>
      <c r="D1277"/>
    </row>
    <row r="1278" spans="1:4" x14ac:dyDescent="0.25">
      <c r="A1278" s="5"/>
      <c r="C1278"/>
      <c r="D1278"/>
    </row>
    <row r="1279" spans="1:4" x14ac:dyDescent="0.25">
      <c r="A1279" s="5"/>
      <c r="C1279"/>
      <c r="D1279"/>
    </row>
    <row r="1280" spans="1:4" x14ac:dyDescent="0.25">
      <c r="A1280" s="5"/>
      <c r="C1280"/>
      <c r="D1280"/>
    </row>
    <row r="1281" spans="1:4" x14ac:dyDescent="0.25">
      <c r="A1281" s="5"/>
      <c r="C1281"/>
      <c r="D1281"/>
    </row>
    <row r="1282" spans="1:4" x14ac:dyDescent="0.25">
      <c r="A1282" s="5"/>
      <c r="C1282"/>
      <c r="D1282"/>
    </row>
    <row r="1283" spans="1:4" x14ac:dyDescent="0.25">
      <c r="A1283" s="5"/>
      <c r="C1283"/>
      <c r="D1283"/>
    </row>
    <row r="1284" spans="1:4" x14ac:dyDescent="0.25">
      <c r="A1284" s="5"/>
      <c r="C1284"/>
      <c r="D1284"/>
    </row>
    <row r="1285" spans="1:4" x14ac:dyDescent="0.25">
      <c r="A1285" s="5"/>
      <c r="C1285"/>
      <c r="D1285"/>
    </row>
    <row r="1286" spans="1:4" x14ac:dyDescent="0.25">
      <c r="A1286" s="5"/>
      <c r="C1286"/>
      <c r="D1286"/>
    </row>
    <row r="1287" spans="1:4" x14ac:dyDescent="0.25">
      <c r="A1287" s="5"/>
      <c r="C1287"/>
      <c r="D1287"/>
    </row>
    <row r="1288" spans="1:4" x14ac:dyDescent="0.25">
      <c r="A1288" s="5"/>
      <c r="C1288"/>
      <c r="D1288"/>
    </row>
    <row r="1289" spans="1:4" x14ac:dyDescent="0.25">
      <c r="A1289" s="5"/>
      <c r="C1289"/>
      <c r="D1289"/>
    </row>
    <row r="1290" spans="1:4" x14ac:dyDescent="0.25">
      <c r="A1290" s="5"/>
      <c r="C1290"/>
      <c r="D1290"/>
    </row>
    <row r="1291" spans="1:4" x14ac:dyDescent="0.25">
      <c r="A1291" s="5"/>
      <c r="C1291"/>
      <c r="D1291"/>
    </row>
    <row r="1292" spans="1:4" x14ac:dyDescent="0.25">
      <c r="A1292" s="5"/>
      <c r="C1292"/>
      <c r="D1292"/>
    </row>
    <row r="1293" spans="1:4" x14ac:dyDescent="0.25">
      <c r="A1293" s="5"/>
      <c r="C1293"/>
      <c r="D1293"/>
    </row>
    <row r="1294" spans="1:4" x14ac:dyDescent="0.25">
      <c r="A1294" s="5"/>
      <c r="C1294"/>
      <c r="D1294"/>
    </row>
    <row r="1295" spans="1:4" x14ac:dyDescent="0.25">
      <c r="A1295" s="5"/>
      <c r="C1295"/>
      <c r="D1295"/>
    </row>
    <row r="1296" spans="1:4" x14ac:dyDescent="0.25">
      <c r="A1296" s="5"/>
      <c r="C1296"/>
      <c r="D1296"/>
    </row>
    <row r="1297" spans="1:4" x14ac:dyDescent="0.25">
      <c r="A1297" s="5"/>
      <c r="C1297"/>
      <c r="D1297"/>
    </row>
    <row r="1298" spans="1:4" x14ac:dyDescent="0.25">
      <c r="A1298" s="5"/>
      <c r="C1298"/>
      <c r="D1298"/>
    </row>
    <row r="1299" spans="1:4" x14ac:dyDescent="0.25">
      <c r="A1299" s="5"/>
      <c r="C1299"/>
      <c r="D1299"/>
    </row>
    <row r="1300" spans="1:4" x14ac:dyDescent="0.25">
      <c r="A1300" s="5"/>
      <c r="C1300"/>
      <c r="D1300"/>
    </row>
    <row r="1301" spans="1:4" x14ac:dyDescent="0.25">
      <c r="A1301" s="5"/>
      <c r="C1301"/>
      <c r="D1301"/>
    </row>
    <row r="1302" spans="1:4" x14ac:dyDescent="0.25">
      <c r="A1302" s="5"/>
      <c r="C1302"/>
      <c r="D1302"/>
    </row>
    <row r="1303" spans="1:4" x14ac:dyDescent="0.25">
      <c r="A1303" s="5"/>
      <c r="C1303"/>
      <c r="D1303"/>
    </row>
    <row r="1304" spans="1:4" x14ac:dyDescent="0.25">
      <c r="A1304" s="5"/>
      <c r="C1304"/>
      <c r="D1304"/>
    </row>
    <row r="1305" spans="1:4" x14ac:dyDescent="0.25">
      <c r="A1305" s="5"/>
      <c r="C1305"/>
      <c r="D1305"/>
    </row>
    <row r="1306" spans="1:4" x14ac:dyDescent="0.25">
      <c r="A1306" s="5"/>
      <c r="C1306"/>
      <c r="D1306"/>
    </row>
    <row r="1307" spans="1:4" x14ac:dyDescent="0.25">
      <c r="A1307" s="5"/>
      <c r="C1307"/>
      <c r="D1307"/>
    </row>
    <row r="1308" spans="1:4" x14ac:dyDescent="0.25">
      <c r="A1308" s="5"/>
      <c r="C1308"/>
      <c r="D1308"/>
    </row>
    <row r="1309" spans="1:4" x14ac:dyDescent="0.25">
      <c r="A1309" s="5"/>
      <c r="C1309"/>
      <c r="D1309"/>
    </row>
    <row r="1310" spans="1:4" x14ac:dyDescent="0.25">
      <c r="A1310" s="5"/>
      <c r="C1310"/>
      <c r="D1310"/>
    </row>
    <row r="1311" spans="1:4" x14ac:dyDescent="0.25">
      <c r="A1311" s="5"/>
      <c r="C1311"/>
      <c r="D1311"/>
    </row>
    <row r="1312" spans="1:4" x14ac:dyDescent="0.25">
      <c r="A1312" s="5"/>
      <c r="C1312"/>
      <c r="D1312"/>
    </row>
    <row r="1313" spans="1:4" x14ac:dyDescent="0.25">
      <c r="A1313" s="5"/>
      <c r="C1313"/>
      <c r="D1313"/>
    </row>
    <row r="1314" spans="1:4" x14ac:dyDescent="0.25">
      <c r="A1314" s="5"/>
      <c r="C1314"/>
      <c r="D1314"/>
    </row>
    <row r="1315" spans="1:4" x14ac:dyDescent="0.25">
      <c r="A1315" s="5"/>
      <c r="C1315"/>
      <c r="D1315"/>
    </row>
    <row r="1316" spans="1:4" x14ac:dyDescent="0.25">
      <c r="A1316" s="5"/>
      <c r="C1316"/>
      <c r="D1316"/>
    </row>
    <row r="1317" spans="1:4" x14ac:dyDescent="0.25">
      <c r="A1317" s="5"/>
      <c r="C1317"/>
      <c r="D1317"/>
    </row>
    <row r="1318" spans="1:4" x14ac:dyDescent="0.25">
      <c r="A1318" s="5"/>
      <c r="C1318"/>
      <c r="D1318"/>
    </row>
    <row r="1319" spans="1:4" x14ac:dyDescent="0.25">
      <c r="A1319" s="5"/>
      <c r="C1319"/>
      <c r="D1319"/>
    </row>
    <row r="1320" spans="1:4" x14ac:dyDescent="0.25">
      <c r="A1320" s="5"/>
      <c r="C1320"/>
      <c r="D1320"/>
    </row>
    <row r="1321" spans="1:4" x14ac:dyDescent="0.25">
      <c r="A1321" s="5"/>
      <c r="C1321"/>
      <c r="D1321"/>
    </row>
    <row r="1322" spans="1:4" x14ac:dyDescent="0.25">
      <c r="A1322" s="5"/>
      <c r="C1322"/>
      <c r="D1322"/>
    </row>
    <row r="1323" spans="1:4" x14ac:dyDescent="0.25">
      <c r="A1323" s="5"/>
      <c r="C1323"/>
      <c r="D1323"/>
    </row>
    <row r="1324" spans="1:4" x14ac:dyDescent="0.25">
      <c r="A1324" s="5"/>
      <c r="C1324"/>
      <c r="D1324"/>
    </row>
    <row r="1325" spans="1:4" x14ac:dyDescent="0.25">
      <c r="A1325" s="5"/>
      <c r="C1325"/>
      <c r="D1325"/>
    </row>
    <row r="1326" spans="1:4" x14ac:dyDescent="0.25">
      <c r="A1326" s="5"/>
      <c r="C1326"/>
      <c r="D1326"/>
    </row>
    <row r="1327" spans="1:4" x14ac:dyDescent="0.25">
      <c r="A1327" s="5"/>
      <c r="C1327"/>
      <c r="D1327"/>
    </row>
    <row r="1328" spans="1:4" x14ac:dyDescent="0.25">
      <c r="A1328" s="5"/>
      <c r="C1328"/>
      <c r="D1328"/>
    </row>
    <row r="1329" spans="1:4" x14ac:dyDescent="0.25">
      <c r="A1329" s="5"/>
      <c r="C1329"/>
      <c r="D1329"/>
    </row>
    <row r="1330" spans="1:4" x14ac:dyDescent="0.25">
      <c r="A1330" s="5"/>
      <c r="C1330"/>
      <c r="D1330"/>
    </row>
    <row r="1331" spans="1:4" x14ac:dyDescent="0.25">
      <c r="A1331" s="5"/>
      <c r="C1331"/>
      <c r="D1331"/>
    </row>
    <row r="1332" spans="1:4" x14ac:dyDescent="0.25">
      <c r="A1332" s="5"/>
      <c r="C1332"/>
      <c r="D1332"/>
    </row>
    <row r="1333" spans="1:4" x14ac:dyDescent="0.25">
      <c r="A1333" s="5"/>
      <c r="C1333"/>
      <c r="D1333"/>
    </row>
    <row r="1334" spans="1:4" x14ac:dyDescent="0.25">
      <c r="A1334" s="5"/>
      <c r="C1334"/>
      <c r="D1334"/>
    </row>
    <row r="1335" spans="1:4" x14ac:dyDescent="0.25">
      <c r="A1335" s="5"/>
      <c r="C1335"/>
      <c r="D1335"/>
    </row>
    <row r="1336" spans="1:4" x14ac:dyDescent="0.25">
      <c r="A1336" s="5"/>
      <c r="C1336"/>
      <c r="D1336"/>
    </row>
    <row r="1337" spans="1:4" x14ac:dyDescent="0.25">
      <c r="A1337" s="5"/>
      <c r="C1337"/>
      <c r="D1337"/>
    </row>
    <row r="1338" spans="1:4" x14ac:dyDescent="0.25">
      <c r="A1338" s="5"/>
      <c r="C1338"/>
      <c r="D1338"/>
    </row>
    <row r="1339" spans="1:4" x14ac:dyDescent="0.25">
      <c r="A1339" s="5"/>
      <c r="C1339"/>
      <c r="D1339"/>
    </row>
    <row r="1340" spans="1:4" x14ac:dyDescent="0.25">
      <c r="A1340" s="5"/>
      <c r="C1340"/>
      <c r="D1340"/>
    </row>
    <row r="1341" spans="1:4" x14ac:dyDescent="0.25">
      <c r="A1341" s="5"/>
      <c r="C1341"/>
      <c r="D1341"/>
    </row>
    <row r="1342" spans="1:4" x14ac:dyDescent="0.25">
      <c r="A1342" s="5"/>
      <c r="C1342"/>
      <c r="D1342"/>
    </row>
    <row r="1343" spans="1:4" x14ac:dyDescent="0.25">
      <c r="A1343" s="5"/>
      <c r="C1343"/>
      <c r="D1343"/>
    </row>
    <row r="1344" spans="1:4" x14ac:dyDescent="0.25">
      <c r="A1344" s="5"/>
      <c r="C1344"/>
      <c r="D1344"/>
    </row>
    <row r="1345" spans="1:4" x14ac:dyDescent="0.25">
      <c r="A1345" s="5"/>
      <c r="C1345"/>
      <c r="D1345"/>
    </row>
    <row r="1346" spans="1:4" x14ac:dyDescent="0.25">
      <c r="A1346" s="5"/>
      <c r="C1346"/>
      <c r="D1346"/>
    </row>
    <row r="1347" spans="1:4" x14ac:dyDescent="0.25">
      <c r="A1347" s="5"/>
      <c r="C1347"/>
      <c r="D1347"/>
    </row>
    <row r="1348" spans="1:4" x14ac:dyDescent="0.25">
      <c r="A1348" s="5"/>
      <c r="C1348"/>
      <c r="D1348"/>
    </row>
    <row r="1349" spans="1:4" x14ac:dyDescent="0.25">
      <c r="A1349" s="5"/>
      <c r="C1349"/>
      <c r="D1349"/>
    </row>
    <row r="1350" spans="1:4" x14ac:dyDescent="0.25">
      <c r="A1350" s="5"/>
      <c r="C1350"/>
      <c r="D1350"/>
    </row>
    <row r="1351" spans="1:4" x14ac:dyDescent="0.25">
      <c r="A1351" s="5"/>
      <c r="C1351"/>
      <c r="D1351"/>
    </row>
    <row r="1352" spans="1:4" x14ac:dyDescent="0.25">
      <c r="A1352" s="5"/>
      <c r="C1352"/>
      <c r="D1352"/>
    </row>
    <row r="1353" spans="1:4" x14ac:dyDescent="0.25">
      <c r="A1353" s="5"/>
      <c r="C1353"/>
      <c r="D1353"/>
    </row>
    <row r="1354" spans="1:4" x14ac:dyDescent="0.25">
      <c r="A1354" s="5"/>
      <c r="C1354"/>
      <c r="D1354"/>
    </row>
    <row r="1355" spans="1:4" x14ac:dyDescent="0.25">
      <c r="A1355" s="5"/>
      <c r="C1355"/>
      <c r="D1355"/>
    </row>
    <row r="1356" spans="1:4" x14ac:dyDescent="0.25">
      <c r="A1356" s="5"/>
      <c r="C1356"/>
      <c r="D1356"/>
    </row>
    <row r="1357" spans="1:4" x14ac:dyDescent="0.25">
      <c r="A1357" s="5"/>
      <c r="C1357"/>
      <c r="D1357"/>
    </row>
    <row r="1358" spans="1:4" x14ac:dyDescent="0.25">
      <c r="A1358" s="5"/>
      <c r="C1358"/>
      <c r="D1358"/>
    </row>
    <row r="1359" spans="1:4" x14ac:dyDescent="0.25">
      <c r="A1359" s="5"/>
      <c r="C1359"/>
      <c r="D1359"/>
    </row>
    <row r="1360" spans="1:4" x14ac:dyDescent="0.25">
      <c r="A1360" s="5"/>
      <c r="C1360"/>
      <c r="D1360"/>
    </row>
    <row r="1361" spans="1:4" x14ac:dyDescent="0.25">
      <c r="A1361" s="5"/>
      <c r="C1361"/>
      <c r="D1361"/>
    </row>
    <row r="1362" spans="1:4" x14ac:dyDescent="0.25">
      <c r="A1362" s="5"/>
      <c r="C1362"/>
      <c r="D1362"/>
    </row>
    <row r="1363" spans="1:4" x14ac:dyDescent="0.25">
      <c r="A1363" s="5"/>
      <c r="C1363"/>
      <c r="D1363"/>
    </row>
    <row r="1364" spans="1:4" x14ac:dyDescent="0.25">
      <c r="A1364" s="5"/>
      <c r="C1364"/>
      <c r="D1364"/>
    </row>
    <row r="1365" spans="1:4" x14ac:dyDescent="0.25">
      <c r="A1365" s="5"/>
      <c r="C1365"/>
      <c r="D1365"/>
    </row>
    <row r="1366" spans="1:4" x14ac:dyDescent="0.25">
      <c r="A1366" s="5"/>
      <c r="C1366"/>
      <c r="D1366"/>
    </row>
    <row r="1367" spans="1:4" x14ac:dyDescent="0.25">
      <c r="A1367" s="5"/>
      <c r="C1367"/>
      <c r="D1367"/>
    </row>
    <row r="1368" spans="1:4" x14ac:dyDescent="0.25">
      <c r="A1368" s="5"/>
      <c r="C1368"/>
      <c r="D1368"/>
    </row>
    <row r="1369" spans="1:4" x14ac:dyDescent="0.25">
      <c r="A1369" s="5"/>
      <c r="C1369"/>
      <c r="D1369"/>
    </row>
    <row r="1370" spans="1:4" x14ac:dyDescent="0.25">
      <c r="A1370" s="5"/>
      <c r="C1370"/>
      <c r="D1370"/>
    </row>
    <row r="1371" spans="1:4" x14ac:dyDescent="0.25">
      <c r="A1371" s="5"/>
      <c r="C1371"/>
      <c r="D1371"/>
    </row>
    <row r="1372" spans="1:4" x14ac:dyDescent="0.25">
      <c r="A1372" s="5"/>
      <c r="C1372"/>
      <c r="D1372"/>
    </row>
    <row r="1373" spans="1:4" x14ac:dyDescent="0.25">
      <c r="A1373" s="5"/>
      <c r="C1373"/>
      <c r="D1373"/>
    </row>
    <row r="1374" spans="1:4" x14ac:dyDescent="0.25">
      <c r="A1374" s="5"/>
      <c r="C1374"/>
      <c r="D1374"/>
    </row>
    <row r="1375" spans="1:4" x14ac:dyDescent="0.25">
      <c r="A1375" s="5"/>
      <c r="C1375"/>
      <c r="D1375"/>
    </row>
    <row r="1376" spans="1:4" x14ac:dyDescent="0.25">
      <c r="A1376" s="5"/>
      <c r="C1376"/>
      <c r="D1376"/>
    </row>
    <row r="1377" spans="1:4" x14ac:dyDescent="0.25">
      <c r="A1377" s="5"/>
      <c r="C1377"/>
      <c r="D1377"/>
    </row>
    <row r="1378" spans="1:4" x14ac:dyDescent="0.25">
      <c r="A1378" s="5"/>
      <c r="C1378"/>
      <c r="D1378"/>
    </row>
    <row r="1379" spans="1:4" x14ac:dyDescent="0.25">
      <c r="A1379" s="5"/>
      <c r="C1379"/>
      <c r="D1379"/>
    </row>
    <row r="1380" spans="1:4" x14ac:dyDescent="0.25">
      <c r="A1380" s="5"/>
      <c r="C1380"/>
      <c r="D1380"/>
    </row>
    <row r="1381" spans="1:4" x14ac:dyDescent="0.25">
      <c r="A1381" s="5"/>
      <c r="C1381"/>
      <c r="D1381"/>
    </row>
    <row r="1382" spans="1:4" x14ac:dyDescent="0.25">
      <c r="A1382" s="5"/>
      <c r="C1382"/>
      <c r="D1382"/>
    </row>
    <row r="1383" spans="1:4" x14ac:dyDescent="0.25">
      <c r="A1383" s="5"/>
      <c r="C1383"/>
      <c r="D1383"/>
    </row>
    <row r="1384" spans="1:4" x14ac:dyDescent="0.25">
      <c r="A1384" s="5"/>
      <c r="C1384"/>
      <c r="D1384"/>
    </row>
    <row r="1385" spans="1:4" x14ac:dyDescent="0.25">
      <c r="A1385" s="5"/>
      <c r="C1385"/>
      <c r="D1385"/>
    </row>
    <row r="1386" spans="1:4" x14ac:dyDescent="0.25">
      <c r="A1386" s="5"/>
      <c r="C1386"/>
      <c r="D1386"/>
    </row>
    <row r="1387" spans="1:4" x14ac:dyDescent="0.25">
      <c r="A1387" s="5"/>
      <c r="C1387"/>
      <c r="D1387"/>
    </row>
    <row r="1388" spans="1:4" x14ac:dyDescent="0.25">
      <c r="A1388" s="5"/>
      <c r="C1388"/>
      <c r="D1388"/>
    </row>
    <row r="1389" spans="1:4" x14ac:dyDescent="0.25">
      <c r="A1389" s="5"/>
      <c r="C1389"/>
      <c r="D1389"/>
    </row>
    <row r="1390" spans="1:4" x14ac:dyDescent="0.25">
      <c r="A1390" s="5"/>
      <c r="C1390"/>
      <c r="D1390"/>
    </row>
    <row r="1391" spans="1:4" x14ac:dyDescent="0.25">
      <c r="A1391" s="5"/>
      <c r="C1391"/>
      <c r="D1391"/>
    </row>
    <row r="1392" spans="1:4" x14ac:dyDescent="0.25">
      <c r="A1392" s="5"/>
      <c r="C1392"/>
      <c r="D1392"/>
    </row>
    <row r="1393" spans="1:4" x14ac:dyDescent="0.25">
      <c r="A1393" s="5"/>
      <c r="C1393"/>
      <c r="D1393"/>
    </row>
    <row r="1394" spans="1:4" x14ac:dyDescent="0.25">
      <c r="A1394" s="5"/>
      <c r="C1394"/>
      <c r="D1394"/>
    </row>
    <row r="1395" spans="1:4" x14ac:dyDescent="0.25">
      <c r="A1395" s="5"/>
      <c r="C1395"/>
      <c r="D1395"/>
    </row>
    <row r="1396" spans="1:4" x14ac:dyDescent="0.25">
      <c r="A1396" s="5"/>
      <c r="C1396"/>
      <c r="D1396"/>
    </row>
    <row r="1397" spans="1:4" x14ac:dyDescent="0.25">
      <c r="A1397" s="5"/>
      <c r="C1397"/>
      <c r="D1397"/>
    </row>
    <row r="1398" spans="1:4" x14ac:dyDescent="0.25">
      <c r="A1398" s="5"/>
      <c r="C1398"/>
      <c r="D1398"/>
    </row>
    <row r="1399" spans="1:4" x14ac:dyDescent="0.25">
      <c r="A1399" s="5"/>
      <c r="C1399"/>
      <c r="D1399"/>
    </row>
    <row r="1400" spans="1:4" x14ac:dyDescent="0.25">
      <c r="A1400" s="5"/>
      <c r="C1400"/>
      <c r="D1400"/>
    </row>
    <row r="1401" spans="1:4" x14ac:dyDescent="0.25">
      <c r="A1401" s="5"/>
      <c r="C1401"/>
      <c r="D1401"/>
    </row>
    <row r="1402" spans="1:4" x14ac:dyDescent="0.25">
      <c r="A1402" s="5"/>
      <c r="C1402"/>
      <c r="D1402"/>
    </row>
    <row r="1403" spans="1:4" x14ac:dyDescent="0.25">
      <c r="A1403" s="5"/>
      <c r="C1403"/>
      <c r="D1403"/>
    </row>
    <row r="1404" spans="1:4" x14ac:dyDescent="0.25">
      <c r="A1404" s="5"/>
      <c r="C1404"/>
      <c r="D1404"/>
    </row>
    <row r="1405" spans="1:4" x14ac:dyDescent="0.25">
      <c r="A1405" s="5"/>
      <c r="C1405"/>
      <c r="D1405"/>
    </row>
    <row r="1406" spans="1:4" x14ac:dyDescent="0.25">
      <c r="A1406" s="5"/>
      <c r="C1406"/>
      <c r="D1406"/>
    </row>
    <row r="1407" spans="1:4" x14ac:dyDescent="0.25">
      <c r="A1407" s="5"/>
      <c r="C1407"/>
      <c r="D1407"/>
    </row>
    <row r="1408" spans="1:4" x14ac:dyDescent="0.25">
      <c r="A1408" s="5"/>
      <c r="C1408"/>
      <c r="D1408"/>
    </row>
    <row r="1409" spans="1:4" x14ac:dyDescent="0.25">
      <c r="A1409" s="5"/>
      <c r="C1409"/>
      <c r="D1409"/>
    </row>
    <row r="1410" spans="1:4" x14ac:dyDescent="0.25">
      <c r="A1410" s="5"/>
      <c r="C1410"/>
      <c r="D1410"/>
    </row>
    <row r="1411" spans="1:4" x14ac:dyDescent="0.25">
      <c r="A1411" s="5"/>
      <c r="C1411"/>
      <c r="D1411"/>
    </row>
    <row r="1412" spans="1:4" x14ac:dyDescent="0.25">
      <c r="A1412" s="5"/>
      <c r="C1412"/>
      <c r="D1412"/>
    </row>
    <row r="1413" spans="1:4" x14ac:dyDescent="0.25">
      <c r="A1413" s="5"/>
      <c r="C1413"/>
      <c r="D1413"/>
    </row>
    <row r="1414" spans="1:4" x14ac:dyDescent="0.25">
      <c r="A1414" s="5"/>
      <c r="C1414"/>
      <c r="D1414"/>
    </row>
    <row r="1415" spans="1:4" x14ac:dyDescent="0.25">
      <c r="A1415" s="5"/>
      <c r="C1415"/>
      <c r="D1415"/>
    </row>
    <row r="1416" spans="1:4" x14ac:dyDescent="0.25">
      <c r="A1416" s="5"/>
      <c r="C1416"/>
      <c r="D1416"/>
    </row>
    <row r="1417" spans="1:4" x14ac:dyDescent="0.25">
      <c r="A1417" s="5"/>
      <c r="C1417"/>
      <c r="D1417"/>
    </row>
    <row r="1418" spans="1:4" x14ac:dyDescent="0.25">
      <c r="A1418" s="5"/>
      <c r="C1418"/>
      <c r="D1418"/>
    </row>
    <row r="1419" spans="1:4" x14ac:dyDescent="0.25">
      <c r="A1419" s="5"/>
      <c r="C1419"/>
      <c r="D1419"/>
    </row>
    <row r="1420" spans="1:4" x14ac:dyDescent="0.25">
      <c r="A1420" s="5"/>
      <c r="C1420"/>
      <c r="D1420"/>
    </row>
    <row r="1421" spans="1:4" x14ac:dyDescent="0.25">
      <c r="A1421" s="5"/>
      <c r="C1421"/>
      <c r="D1421"/>
    </row>
    <row r="1422" spans="1:4" x14ac:dyDescent="0.25">
      <c r="A1422" s="5"/>
      <c r="C1422"/>
      <c r="D1422"/>
    </row>
    <row r="1423" spans="1:4" x14ac:dyDescent="0.25">
      <c r="A1423" s="5"/>
      <c r="C1423"/>
      <c r="D1423"/>
    </row>
    <row r="1424" spans="1:4" x14ac:dyDescent="0.25">
      <c r="A1424" s="5"/>
      <c r="C1424"/>
      <c r="D1424"/>
    </row>
    <row r="1425" spans="1:4" x14ac:dyDescent="0.25">
      <c r="A1425" s="5"/>
      <c r="C1425"/>
      <c r="D1425"/>
    </row>
    <row r="1426" spans="1:4" x14ac:dyDescent="0.25">
      <c r="A1426" s="5"/>
      <c r="C1426"/>
      <c r="D1426"/>
    </row>
    <row r="1427" spans="1:4" x14ac:dyDescent="0.25">
      <c r="A1427" s="5"/>
      <c r="C1427"/>
      <c r="D1427"/>
    </row>
    <row r="1428" spans="1:4" x14ac:dyDescent="0.25">
      <c r="A1428" s="5"/>
      <c r="C1428"/>
      <c r="D1428"/>
    </row>
    <row r="1429" spans="1:4" x14ac:dyDescent="0.25">
      <c r="A1429" s="5"/>
      <c r="C1429"/>
      <c r="D1429"/>
    </row>
    <row r="1430" spans="1:4" x14ac:dyDescent="0.25">
      <c r="A1430" s="5"/>
      <c r="C1430"/>
      <c r="D1430"/>
    </row>
    <row r="1431" spans="1:4" x14ac:dyDescent="0.25">
      <c r="A1431" s="5"/>
      <c r="C1431"/>
      <c r="D1431"/>
    </row>
    <row r="1432" spans="1:4" x14ac:dyDescent="0.25">
      <c r="A1432" s="5"/>
      <c r="C1432"/>
      <c r="D1432"/>
    </row>
    <row r="1433" spans="1:4" x14ac:dyDescent="0.25">
      <c r="A1433" s="5"/>
      <c r="C1433"/>
      <c r="D1433"/>
    </row>
    <row r="1434" spans="1:4" x14ac:dyDescent="0.25">
      <c r="A1434" s="5"/>
      <c r="C1434"/>
      <c r="D1434"/>
    </row>
    <row r="1435" spans="1:4" x14ac:dyDescent="0.25">
      <c r="A1435" s="5"/>
      <c r="C1435"/>
      <c r="D1435"/>
    </row>
    <row r="1436" spans="1:4" x14ac:dyDescent="0.25">
      <c r="A1436" s="5"/>
      <c r="C1436"/>
      <c r="D1436"/>
    </row>
    <row r="1437" spans="1:4" x14ac:dyDescent="0.25">
      <c r="A1437" s="5"/>
      <c r="C1437"/>
      <c r="D1437"/>
    </row>
    <row r="1438" spans="1:4" x14ac:dyDescent="0.25">
      <c r="A1438" s="5"/>
      <c r="C1438"/>
      <c r="D1438"/>
    </row>
    <row r="1439" spans="1:4" x14ac:dyDescent="0.25">
      <c r="A1439" s="5"/>
      <c r="C1439"/>
      <c r="D1439"/>
    </row>
    <row r="1440" spans="1:4" x14ac:dyDescent="0.25">
      <c r="A1440" s="5"/>
      <c r="C1440"/>
      <c r="D1440"/>
    </row>
    <row r="1441" spans="1:4" x14ac:dyDescent="0.25">
      <c r="A1441" s="5"/>
      <c r="C1441"/>
      <c r="D1441"/>
    </row>
    <row r="1442" spans="1:4" x14ac:dyDescent="0.25">
      <c r="A1442" s="5"/>
      <c r="C1442"/>
      <c r="D1442"/>
    </row>
    <row r="1443" spans="1:4" x14ac:dyDescent="0.25">
      <c r="A1443" s="5"/>
      <c r="C1443"/>
      <c r="D1443"/>
    </row>
    <row r="1444" spans="1:4" x14ac:dyDescent="0.25">
      <c r="A1444" s="5"/>
      <c r="C1444"/>
      <c r="D1444"/>
    </row>
    <row r="1445" spans="1:4" x14ac:dyDescent="0.25">
      <c r="A1445" s="5"/>
      <c r="C1445"/>
      <c r="D1445"/>
    </row>
    <row r="1446" spans="1:4" x14ac:dyDescent="0.25">
      <c r="A1446" s="5"/>
      <c r="C1446"/>
      <c r="D1446"/>
    </row>
    <row r="1447" spans="1:4" x14ac:dyDescent="0.25">
      <c r="A1447" s="5"/>
      <c r="C1447"/>
      <c r="D1447"/>
    </row>
    <row r="1448" spans="1:4" x14ac:dyDescent="0.25">
      <c r="A1448" s="5"/>
      <c r="C1448"/>
      <c r="D1448"/>
    </row>
    <row r="1449" spans="1:4" x14ac:dyDescent="0.25">
      <c r="A1449" s="5"/>
      <c r="C1449"/>
      <c r="D1449"/>
    </row>
    <row r="1450" spans="1:4" x14ac:dyDescent="0.25">
      <c r="A1450" s="5"/>
      <c r="C1450"/>
      <c r="D1450"/>
    </row>
    <row r="1451" spans="1:4" x14ac:dyDescent="0.25">
      <c r="A1451" s="5"/>
      <c r="C1451"/>
      <c r="D1451"/>
    </row>
    <row r="1452" spans="1:4" x14ac:dyDescent="0.25">
      <c r="A1452" s="5"/>
      <c r="C1452"/>
      <c r="D1452"/>
    </row>
    <row r="1453" spans="1:4" x14ac:dyDescent="0.25">
      <c r="A1453" s="5"/>
      <c r="C1453"/>
      <c r="D1453"/>
    </row>
    <row r="1454" spans="1:4" x14ac:dyDescent="0.25">
      <c r="A1454" s="5"/>
      <c r="C1454"/>
      <c r="D1454"/>
    </row>
    <row r="1455" spans="1:4" x14ac:dyDescent="0.25">
      <c r="A1455" s="5"/>
      <c r="C1455"/>
      <c r="D1455"/>
    </row>
    <row r="1456" spans="1:4" x14ac:dyDescent="0.25">
      <c r="A1456" s="5"/>
      <c r="C1456"/>
      <c r="D1456"/>
    </row>
    <row r="1457" spans="1:4" x14ac:dyDescent="0.25">
      <c r="A1457" s="5"/>
      <c r="C1457"/>
      <c r="D1457"/>
    </row>
    <row r="1458" spans="1:4" x14ac:dyDescent="0.25">
      <c r="A1458" s="5"/>
      <c r="C1458"/>
      <c r="D1458"/>
    </row>
    <row r="1459" spans="1:4" x14ac:dyDescent="0.25">
      <c r="A1459" s="5"/>
      <c r="C1459"/>
      <c r="D1459"/>
    </row>
    <row r="1460" spans="1:4" x14ac:dyDescent="0.25">
      <c r="A1460" s="5"/>
      <c r="C1460"/>
      <c r="D1460"/>
    </row>
    <row r="1461" spans="1:4" x14ac:dyDescent="0.25">
      <c r="A1461" s="5"/>
      <c r="C1461"/>
      <c r="D1461"/>
    </row>
    <row r="1462" spans="1:4" x14ac:dyDescent="0.25">
      <c r="A1462" s="5"/>
      <c r="C1462"/>
      <c r="D1462"/>
    </row>
    <row r="1463" spans="1:4" x14ac:dyDescent="0.25">
      <c r="A1463" s="5"/>
      <c r="C1463"/>
      <c r="D1463"/>
    </row>
    <row r="1464" spans="1:4" x14ac:dyDescent="0.25">
      <c r="A1464" s="5"/>
      <c r="C1464"/>
      <c r="D1464"/>
    </row>
    <row r="1465" spans="1:4" x14ac:dyDescent="0.25">
      <c r="A1465" s="5"/>
      <c r="C1465"/>
      <c r="D1465"/>
    </row>
    <row r="1466" spans="1:4" x14ac:dyDescent="0.25">
      <c r="A1466" s="5"/>
      <c r="C1466"/>
      <c r="D1466"/>
    </row>
    <row r="1467" spans="1:4" x14ac:dyDescent="0.25">
      <c r="A1467" s="5"/>
      <c r="C1467"/>
      <c r="D1467"/>
    </row>
    <row r="1468" spans="1:4" x14ac:dyDescent="0.25">
      <c r="A1468" s="5"/>
      <c r="C1468"/>
      <c r="D1468"/>
    </row>
    <row r="1469" spans="1:4" x14ac:dyDescent="0.25">
      <c r="A1469" s="5"/>
      <c r="C1469"/>
      <c r="D1469"/>
    </row>
    <row r="1470" spans="1:4" x14ac:dyDescent="0.25">
      <c r="A1470" s="5"/>
      <c r="C1470"/>
      <c r="D1470"/>
    </row>
    <row r="1471" spans="1:4" x14ac:dyDescent="0.25">
      <c r="A1471" s="5"/>
      <c r="C1471"/>
      <c r="D1471"/>
    </row>
    <row r="1472" spans="1:4" x14ac:dyDescent="0.25">
      <c r="A1472" s="5"/>
      <c r="C1472"/>
      <c r="D1472"/>
    </row>
    <row r="1473" spans="1:4" x14ac:dyDescent="0.25">
      <c r="A1473" s="5"/>
      <c r="C1473"/>
      <c r="D1473"/>
    </row>
    <row r="1474" spans="1:4" x14ac:dyDescent="0.25">
      <c r="A1474" s="5"/>
      <c r="C1474"/>
      <c r="D1474"/>
    </row>
    <row r="1475" spans="1:4" x14ac:dyDescent="0.25">
      <c r="A1475" s="5"/>
      <c r="C1475"/>
      <c r="D1475"/>
    </row>
    <row r="1476" spans="1:4" x14ac:dyDescent="0.25">
      <c r="A1476" s="5"/>
      <c r="C1476"/>
      <c r="D1476"/>
    </row>
    <row r="1477" spans="1:4" x14ac:dyDescent="0.25">
      <c r="A1477" s="5"/>
      <c r="C1477"/>
      <c r="D1477"/>
    </row>
    <row r="1478" spans="1:4" x14ac:dyDescent="0.25">
      <c r="A1478" s="5"/>
      <c r="C1478"/>
      <c r="D1478"/>
    </row>
    <row r="1479" spans="1:4" x14ac:dyDescent="0.25">
      <c r="A1479" s="5"/>
      <c r="C1479"/>
      <c r="D1479"/>
    </row>
    <row r="1480" spans="1:4" x14ac:dyDescent="0.25">
      <c r="A1480" s="5"/>
      <c r="C1480"/>
      <c r="D1480"/>
    </row>
    <row r="1481" spans="1:4" x14ac:dyDescent="0.25">
      <c r="A1481" s="5"/>
      <c r="C1481"/>
      <c r="D1481"/>
    </row>
    <row r="1482" spans="1:4" x14ac:dyDescent="0.25">
      <c r="A1482" s="5"/>
      <c r="C1482"/>
      <c r="D1482"/>
    </row>
    <row r="1483" spans="1:4" x14ac:dyDescent="0.25">
      <c r="A1483" s="5"/>
      <c r="C1483"/>
      <c r="D1483"/>
    </row>
    <row r="1484" spans="1:4" x14ac:dyDescent="0.25">
      <c r="A1484" s="5"/>
      <c r="C1484"/>
      <c r="D1484"/>
    </row>
    <row r="1485" spans="1:4" x14ac:dyDescent="0.25">
      <c r="A1485" s="5"/>
      <c r="C1485"/>
      <c r="D1485"/>
    </row>
    <row r="1486" spans="1:4" x14ac:dyDescent="0.25">
      <c r="A1486" s="5"/>
      <c r="C1486"/>
      <c r="D1486"/>
    </row>
    <row r="1487" spans="1:4" x14ac:dyDescent="0.25">
      <c r="A1487" s="5"/>
      <c r="C1487"/>
      <c r="D1487"/>
    </row>
    <row r="1488" spans="1:4" x14ac:dyDescent="0.25">
      <c r="A1488" s="5"/>
      <c r="C1488"/>
      <c r="D1488"/>
    </row>
    <row r="1489" spans="1:4" x14ac:dyDescent="0.25">
      <c r="A1489" s="5"/>
      <c r="C1489"/>
      <c r="D1489"/>
    </row>
    <row r="1490" spans="1:4" x14ac:dyDescent="0.25">
      <c r="A1490" s="5"/>
      <c r="C1490"/>
      <c r="D1490"/>
    </row>
    <row r="1491" spans="1:4" x14ac:dyDescent="0.25">
      <c r="A1491" s="5"/>
      <c r="C1491"/>
      <c r="D1491"/>
    </row>
    <row r="1492" spans="1:4" x14ac:dyDescent="0.25">
      <c r="A1492" s="5"/>
      <c r="C1492"/>
      <c r="D1492"/>
    </row>
    <row r="1493" spans="1:4" x14ac:dyDescent="0.25">
      <c r="A1493" s="5"/>
      <c r="C1493"/>
      <c r="D1493"/>
    </row>
    <row r="1494" spans="1:4" x14ac:dyDescent="0.25">
      <c r="A1494" s="5"/>
      <c r="C1494"/>
      <c r="D1494"/>
    </row>
    <row r="1495" spans="1:4" x14ac:dyDescent="0.25">
      <c r="A1495" s="5"/>
      <c r="C1495"/>
      <c r="D1495"/>
    </row>
    <row r="1496" spans="1:4" x14ac:dyDescent="0.25">
      <c r="A1496" s="5"/>
      <c r="C1496"/>
      <c r="D1496"/>
    </row>
    <row r="1497" spans="1:4" x14ac:dyDescent="0.25">
      <c r="A1497" s="5"/>
      <c r="C1497"/>
      <c r="D1497"/>
    </row>
    <row r="1498" spans="1:4" x14ac:dyDescent="0.25">
      <c r="A1498" s="5"/>
      <c r="C1498"/>
      <c r="D1498"/>
    </row>
    <row r="1499" spans="1:4" x14ac:dyDescent="0.25">
      <c r="A1499" s="5"/>
      <c r="C1499"/>
      <c r="D1499"/>
    </row>
    <row r="1500" spans="1:4" x14ac:dyDescent="0.25">
      <c r="A1500" s="5"/>
      <c r="C1500"/>
      <c r="D1500"/>
    </row>
    <row r="1501" spans="1:4" x14ac:dyDescent="0.25">
      <c r="A1501" s="5"/>
      <c r="C1501"/>
      <c r="D1501"/>
    </row>
    <row r="1502" spans="1:4" x14ac:dyDescent="0.25">
      <c r="A1502" s="5"/>
      <c r="C1502"/>
      <c r="D1502"/>
    </row>
    <row r="1503" spans="1:4" x14ac:dyDescent="0.25">
      <c r="A1503" s="5"/>
      <c r="C1503"/>
      <c r="D1503"/>
    </row>
    <row r="1504" spans="1:4" x14ac:dyDescent="0.25">
      <c r="A1504" s="5"/>
      <c r="C1504"/>
      <c r="D1504"/>
    </row>
    <row r="1505" spans="1:4" x14ac:dyDescent="0.25">
      <c r="A1505" s="5"/>
      <c r="C1505"/>
      <c r="D1505"/>
    </row>
    <row r="1506" spans="1:4" x14ac:dyDescent="0.25">
      <c r="A1506" s="5"/>
      <c r="C1506"/>
      <c r="D1506"/>
    </row>
    <row r="1507" spans="1:4" x14ac:dyDescent="0.25">
      <c r="A1507" s="5"/>
      <c r="C1507"/>
      <c r="D1507"/>
    </row>
    <row r="1508" spans="1:4" x14ac:dyDescent="0.25">
      <c r="A1508" s="5"/>
      <c r="C1508"/>
      <c r="D1508"/>
    </row>
    <row r="1509" spans="1:4" x14ac:dyDescent="0.25">
      <c r="A1509" s="5"/>
      <c r="C1509"/>
      <c r="D1509"/>
    </row>
    <row r="1510" spans="1:4" x14ac:dyDescent="0.25">
      <c r="A1510" s="5"/>
      <c r="C1510"/>
      <c r="D1510"/>
    </row>
    <row r="1511" spans="1:4" x14ac:dyDescent="0.25">
      <c r="A1511" s="5"/>
      <c r="C1511"/>
      <c r="D1511"/>
    </row>
    <row r="1512" spans="1:4" x14ac:dyDescent="0.25">
      <c r="A1512" s="5"/>
      <c r="C1512"/>
      <c r="D1512"/>
    </row>
    <row r="1513" spans="1:4" x14ac:dyDescent="0.25">
      <c r="A1513" s="5"/>
      <c r="C1513"/>
      <c r="D1513"/>
    </row>
    <row r="1514" spans="1:4" x14ac:dyDescent="0.25">
      <c r="A1514" s="5"/>
      <c r="C1514"/>
      <c r="D1514"/>
    </row>
    <row r="1515" spans="1:4" x14ac:dyDescent="0.25">
      <c r="A1515" s="5"/>
      <c r="C1515"/>
      <c r="D1515"/>
    </row>
    <row r="1516" spans="1:4" x14ac:dyDescent="0.25">
      <c r="A1516" s="5"/>
      <c r="C1516"/>
      <c r="D1516"/>
    </row>
    <row r="1517" spans="1:4" x14ac:dyDescent="0.25">
      <c r="A1517" s="5"/>
      <c r="C1517"/>
      <c r="D1517"/>
    </row>
    <row r="1518" spans="1:4" x14ac:dyDescent="0.25">
      <c r="A1518" s="5"/>
      <c r="C1518"/>
      <c r="D1518"/>
    </row>
    <row r="1519" spans="1:4" x14ac:dyDescent="0.25">
      <c r="A1519" s="5"/>
      <c r="C1519"/>
      <c r="D1519"/>
    </row>
    <row r="1520" spans="1:4" x14ac:dyDescent="0.25">
      <c r="A1520" s="5"/>
      <c r="C1520"/>
      <c r="D1520"/>
    </row>
    <row r="1521" spans="1:4" x14ac:dyDescent="0.25">
      <c r="A1521" s="5"/>
      <c r="C1521"/>
      <c r="D1521"/>
    </row>
    <row r="1522" spans="1:4" x14ac:dyDescent="0.25">
      <c r="A1522" s="5"/>
      <c r="C1522"/>
      <c r="D1522"/>
    </row>
    <row r="1523" spans="1:4" x14ac:dyDescent="0.25">
      <c r="A1523" s="5"/>
      <c r="C1523"/>
      <c r="D1523"/>
    </row>
    <row r="1524" spans="1:4" x14ac:dyDescent="0.25">
      <c r="A1524" s="5"/>
      <c r="C1524"/>
      <c r="D1524"/>
    </row>
    <row r="1525" spans="1:4" x14ac:dyDescent="0.25">
      <c r="A1525" s="5"/>
      <c r="C1525"/>
      <c r="D1525"/>
    </row>
    <row r="1526" spans="1:4" x14ac:dyDescent="0.25">
      <c r="A1526" s="5"/>
      <c r="C1526"/>
      <c r="D1526"/>
    </row>
    <row r="1527" spans="1:4" x14ac:dyDescent="0.25">
      <c r="A1527" s="5"/>
      <c r="C1527"/>
      <c r="D1527"/>
    </row>
    <row r="1528" spans="1:4" x14ac:dyDescent="0.25">
      <c r="A1528" s="5"/>
      <c r="C1528"/>
      <c r="D1528"/>
    </row>
    <row r="1529" spans="1:4" x14ac:dyDescent="0.25">
      <c r="A1529" s="5"/>
      <c r="C1529"/>
      <c r="D1529"/>
    </row>
    <row r="1530" spans="1:4" x14ac:dyDescent="0.25">
      <c r="A1530" s="5"/>
      <c r="C1530"/>
      <c r="D1530"/>
    </row>
    <row r="1531" spans="1:4" x14ac:dyDescent="0.25">
      <c r="A1531" s="5"/>
      <c r="C1531"/>
      <c r="D1531"/>
    </row>
    <row r="1532" spans="1:4" x14ac:dyDescent="0.25">
      <c r="A1532" s="5"/>
      <c r="C1532"/>
      <c r="D1532"/>
    </row>
    <row r="1533" spans="1:4" x14ac:dyDescent="0.25">
      <c r="A1533" s="5"/>
      <c r="C1533"/>
      <c r="D1533"/>
    </row>
    <row r="1534" spans="1:4" x14ac:dyDescent="0.25">
      <c r="A1534" s="5"/>
      <c r="C1534"/>
      <c r="D1534"/>
    </row>
    <row r="1535" spans="1:4" x14ac:dyDescent="0.25">
      <c r="A1535" s="5"/>
      <c r="C1535"/>
      <c r="D1535"/>
    </row>
    <row r="1536" spans="1:4" x14ac:dyDescent="0.25">
      <c r="A1536" s="5"/>
      <c r="C1536"/>
      <c r="D1536"/>
    </row>
    <row r="1537" spans="1:4" x14ac:dyDescent="0.25">
      <c r="A1537" s="5"/>
      <c r="C1537"/>
      <c r="D1537"/>
    </row>
    <row r="1538" spans="1:4" x14ac:dyDescent="0.25">
      <c r="A1538" s="5"/>
      <c r="C1538"/>
      <c r="D1538"/>
    </row>
    <row r="1539" spans="1:4" x14ac:dyDescent="0.25">
      <c r="A1539" s="5"/>
      <c r="C1539"/>
      <c r="D1539"/>
    </row>
    <row r="1540" spans="1:4" x14ac:dyDescent="0.25">
      <c r="A1540" s="5"/>
      <c r="C1540"/>
      <c r="D1540"/>
    </row>
    <row r="1541" spans="1:4" x14ac:dyDescent="0.25">
      <c r="A1541" s="5"/>
      <c r="C1541"/>
      <c r="D1541"/>
    </row>
    <row r="1542" spans="1:4" x14ac:dyDescent="0.25">
      <c r="A1542" s="5"/>
      <c r="C1542"/>
      <c r="D1542"/>
    </row>
    <row r="1543" spans="1:4" x14ac:dyDescent="0.25">
      <c r="A1543" s="5"/>
      <c r="C1543"/>
      <c r="D1543"/>
    </row>
    <row r="1544" spans="1:4" x14ac:dyDescent="0.25">
      <c r="A1544" s="5"/>
      <c r="C1544"/>
      <c r="D1544"/>
    </row>
    <row r="1545" spans="1:4" x14ac:dyDescent="0.25">
      <c r="A1545" s="5"/>
      <c r="C1545"/>
      <c r="D1545"/>
    </row>
    <row r="1546" spans="1:4" x14ac:dyDescent="0.25">
      <c r="A1546" s="5"/>
      <c r="C1546"/>
      <c r="D1546"/>
    </row>
    <row r="1547" spans="1:4" x14ac:dyDescent="0.25">
      <c r="A1547" s="5"/>
      <c r="C1547"/>
      <c r="D1547"/>
    </row>
    <row r="1548" spans="1:4" x14ac:dyDescent="0.25">
      <c r="A1548" s="5"/>
      <c r="C1548"/>
      <c r="D1548"/>
    </row>
    <row r="1549" spans="1:4" x14ac:dyDescent="0.25">
      <c r="A1549" s="5"/>
      <c r="C1549"/>
      <c r="D1549"/>
    </row>
    <row r="1550" spans="1:4" x14ac:dyDescent="0.25">
      <c r="A1550" s="5"/>
      <c r="C1550"/>
      <c r="D1550"/>
    </row>
    <row r="1551" spans="1:4" x14ac:dyDescent="0.25">
      <c r="A1551" s="5"/>
      <c r="C1551"/>
      <c r="D1551"/>
    </row>
    <row r="1552" spans="1:4" x14ac:dyDescent="0.25">
      <c r="A1552" s="5"/>
      <c r="C1552"/>
      <c r="D1552"/>
    </row>
    <row r="1553" spans="1:4" x14ac:dyDescent="0.25">
      <c r="A1553" s="5"/>
      <c r="C1553"/>
      <c r="D1553"/>
    </row>
    <row r="1554" spans="1:4" x14ac:dyDescent="0.25">
      <c r="A1554" s="5"/>
      <c r="C1554"/>
      <c r="D1554"/>
    </row>
    <row r="1555" spans="1:4" x14ac:dyDescent="0.25">
      <c r="A1555" s="5"/>
      <c r="C1555"/>
      <c r="D1555"/>
    </row>
    <row r="1556" spans="1:4" x14ac:dyDescent="0.25">
      <c r="A1556" s="5"/>
      <c r="C1556"/>
      <c r="D1556"/>
    </row>
    <row r="1557" spans="1:4" x14ac:dyDescent="0.25">
      <c r="A1557" s="5"/>
      <c r="C1557"/>
      <c r="D1557"/>
    </row>
    <row r="1558" spans="1:4" x14ac:dyDescent="0.25">
      <c r="A1558" s="5"/>
      <c r="C1558"/>
      <c r="D1558"/>
    </row>
    <row r="1559" spans="1:4" x14ac:dyDescent="0.25">
      <c r="A1559" s="5"/>
      <c r="C1559"/>
      <c r="D1559"/>
    </row>
    <row r="1560" spans="1:4" x14ac:dyDescent="0.25">
      <c r="A1560" s="5"/>
      <c r="C1560"/>
      <c r="D1560"/>
    </row>
    <row r="1561" spans="1:4" x14ac:dyDescent="0.25">
      <c r="A1561" s="5"/>
      <c r="C1561"/>
      <c r="D1561"/>
    </row>
    <row r="1562" spans="1:4" x14ac:dyDescent="0.25">
      <c r="A1562" s="5"/>
      <c r="C1562"/>
      <c r="D1562"/>
    </row>
    <row r="1563" spans="1:4" x14ac:dyDescent="0.25">
      <c r="A1563" s="5"/>
      <c r="C1563"/>
      <c r="D1563"/>
    </row>
    <row r="1564" spans="1:4" x14ac:dyDescent="0.25">
      <c r="A1564" s="5"/>
      <c r="C1564"/>
      <c r="D1564"/>
    </row>
    <row r="1565" spans="1:4" x14ac:dyDescent="0.25">
      <c r="A1565" s="5"/>
      <c r="C1565"/>
      <c r="D1565"/>
    </row>
    <row r="1566" spans="1:4" x14ac:dyDescent="0.25">
      <c r="A1566" s="5"/>
      <c r="C1566"/>
      <c r="D1566"/>
    </row>
    <row r="1567" spans="1:4" x14ac:dyDescent="0.25">
      <c r="A1567" s="5"/>
      <c r="C1567"/>
      <c r="D1567"/>
    </row>
    <row r="1568" spans="1:4" x14ac:dyDescent="0.25">
      <c r="A1568" s="5"/>
      <c r="C1568"/>
      <c r="D1568"/>
    </row>
    <row r="1569" spans="1:4" x14ac:dyDescent="0.25">
      <c r="A1569" s="5"/>
      <c r="C1569"/>
      <c r="D1569"/>
    </row>
    <row r="1570" spans="1:4" x14ac:dyDescent="0.25">
      <c r="A1570" s="5"/>
      <c r="C1570"/>
      <c r="D1570"/>
    </row>
    <row r="1571" spans="1:4" x14ac:dyDescent="0.25">
      <c r="A1571" s="5"/>
      <c r="C1571"/>
      <c r="D1571"/>
    </row>
    <row r="1572" spans="1:4" x14ac:dyDescent="0.25">
      <c r="A1572" s="5"/>
      <c r="C1572"/>
      <c r="D1572"/>
    </row>
    <row r="1573" spans="1:4" x14ac:dyDescent="0.25">
      <c r="A1573" s="5"/>
      <c r="C1573"/>
      <c r="D1573"/>
    </row>
    <row r="1574" spans="1:4" x14ac:dyDescent="0.25">
      <c r="A1574" s="5"/>
      <c r="C1574"/>
      <c r="D1574"/>
    </row>
    <row r="1575" spans="1:4" x14ac:dyDescent="0.25">
      <c r="A1575" s="5"/>
      <c r="C1575"/>
      <c r="D1575"/>
    </row>
    <row r="1576" spans="1:4" x14ac:dyDescent="0.25">
      <c r="A1576" s="5"/>
      <c r="C1576"/>
      <c r="D1576"/>
    </row>
    <row r="1577" spans="1:4" x14ac:dyDescent="0.25">
      <c r="A1577" s="5"/>
      <c r="C1577"/>
      <c r="D1577"/>
    </row>
    <row r="1578" spans="1:4" x14ac:dyDescent="0.25">
      <c r="A1578" s="5"/>
      <c r="C1578"/>
      <c r="D1578"/>
    </row>
    <row r="1579" spans="1:4" x14ac:dyDescent="0.25">
      <c r="A1579" s="5"/>
      <c r="C1579"/>
      <c r="D1579"/>
    </row>
    <row r="1580" spans="1:4" x14ac:dyDescent="0.25">
      <c r="A1580" s="5"/>
      <c r="C1580"/>
      <c r="D1580"/>
    </row>
    <row r="1581" spans="1:4" x14ac:dyDescent="0.25">
      <c r="A1581" s="5"/>
      <c r="C1581"/>
      <c r="D1581"/>
    </row>
    <row r="1582" spans="1:4" x14ac:dyDescent="0.25">
      <c r="A1582" s="5"/>
      <c r="C1582"/>
      <c r="D1582"/>
    </row>
    <row r="1583" spans="1:4" x14ac:dyDescent="0.25">
      <c r="A1583" s="5"/>
      <c r="C1583"/>
      <c r="D1583"/>
    </row>
    <row r="1584" spans="1:4" x14ac:dyDescent="0.25">
      <c r="A1584" s="5"/>
      <c r="C1584"/>
      <c r="D1584"/>
    </row>
    <row r="1585" spans="1:4" x14ac:dyDescent="0.25">
      <c r="A1585" s="5"/>
      <c r="C1585"/>
      <c r="D1585"/>
    </row>
    <row r="1586" spans="1:4" x14ac:dyDescent="0.25">
      <c r="A1586" s="5"/>
      <c r="C1586"/>
      <c r="D1586"/>
    </row>
    <row r="1587" spans="1:4" x14ac:dyDescent="0.25">
      <c r="A1587" s="5"/>
      <c r="C1587"/>
      <c r="D1587"/>
    </row>
    <row r="1588" spans="1:4" x14ac:dyDescent="0.25">
      <c r="A1588" s="5"/>
      <c r="C1588"/>
      <c r="D1588"/>
    </row>
    <row r="1589" spans="1:4" x14ac:dyDescent="0.25">
      <c r="A1589" s="5"/>
      <c r="C1589"/>
      <c r="D1589"/>
    </row>
    <row r="1590" spans="1:4" x14ac:dyDescent="0.25">
      <c r="A1590" s="5"/>
      <c r="C1590"/>
      <c r="D1590"/>
    </row>
    <row r="1591" spans="1:4" x14ac:dyDescent="0.25">
      <c r="A1591" s="5"/>
      <c r="C1591"/>
      <c r="D1591"/>
    </row>
    <row r="1592" spans="1:4" x14ac:dyDescent="0.25">
      <c r="A1592" s="5"/>
      <c r="C1592"/>
      <c r="D1592"/>
    </row>
    <row r="1593" spans="1:4" x14ac:dyDescent="0.25">
      <c r="A1593" s="5"/>
      <c r="C1593"/>
      <c r="D1593"/>
    </row>
    <row r="1594" spans="1:4" x14ac:dyDescent="0.25">
      <c r="A1594" s="5"/>
      <c r="C1594"/>
      <c r="D1594"/>
    </row>
    <row r="1595" spans="1:4" x14ac:dyDescent="0.25">
      <c r="A1595" s="5"/>
      <c r="C1595"/>
      <c r="D1595"/>
    </row>
    <row r="1596" spans="1:4" x14ac:dyDescent="0.25">
      <c r="A1596" s="5"/>
      <c r="C1596"/>
      <c r="D1596"/>
    </row>
    <row r="1597" spans="1:4" x14ac:dyDescent="0.25">
      <c r="A1597" s="5"/>
      <c r="C1597"/>
      <c r="D1597"/>
    </row>
    <row r="1598" spans="1:4" x14ac:dyDescent="0.25">
      <c r="A1598" s="5"/>
      <c r="C1598"/>
      <c r="D1598"/>
    </row>
    <row r="1599" spans="1:4" x14ac:dyDescent="0.25">
      <c r="A1599" s="5"/>
      <c r="C1599"/>
      <c r="D1599"/>
    </row>
    <row r="1600" spans="1:4" x14ac:dyDescent="0.25">
      <c r="A1600" s="5"/>
      <c r="C1600"/>
      <c r="D1600"/>
    </row>
    <row r="1601" spans="1:4" x14ac:dyDescent="0.25">
      <c r="A1601" s="5"/>
      <c r="C1601"/>
      <c r="D1601"/>
    </row>
    <row r="1602" spans="1:4" x14ac:dyDescent="0.25">
      <c r="A1602" s="5"/>
      <c r="C1602"/>
      <c r="D1602"/>
    </row>
    <row r="1603" spans="1:4" x14ac:dyDescent="0.25">
      <c r="A1603" s="5"/>
      <c r="C1603"/>
      <c r="D1603"/>
    </row>
    <row r="1604" spans="1:4" x14ac:dyDescent="0.25">
      <c r="A1604" s="5"/>
      <c r="C1604"/>
      <c r="D1604"/>
    </row>
    <row r="1605" spans="1:4" x14ac:dyDescent="0.25">
      <c r="A1605" s="5"/>
      <c r="C1605"/>
      <c r="D1605"/>
    </row>
    <row r="1606" spans="1:4" x14ac:dyDescent="0.25">
      <c r="A1606" s="5"/>
      <c r="C1606"/>
      <c r="D1606"/>
    </row>
    <row r="1607" spans="1:4" x14ac:dyDescent="0.25">
      <c r="A1607" s="5"/>
      <c r="C1607"/>
      <c r="D1607"/>
    </row>
    <row r="1608" spans="1:4" x14ac:dyDescent="0.25">
      <c r="A1608" s="5"/>
      <c r="C1608"/>
      <c r="D1608"/>
    </row>
    <row r="1609" spans="1:4" x14ac:dyDescent="0.25">
      <c r="A1609" s="5"/>
      <c r="C1609"/>
      <c r="D1609"/>
    </row>
    <row r="1610" spans="1:4" x14ac:dyDescent="0.25">
      <c r="A1610" s="5"/>
      <c r="C1610"/>
      <c r="D1610"/>
    </row>
    <row r="1611" spans="1:4" x14ac:dyDescent="0.25">
      <c r="A1611" s="5"/>
      <c r="C1611"/>
      <c r="D1611"/>
    </row>
    <row r="1612" spans="1:4" x14ac:dyDescent="0.25">
      <c r="A1612" s="5"/>
      <c r="C1612"/>
      <c r="D1612"/>
    </row>
    <row r="1613" spans="1:4" x14ac:dyDescent="0.25">
      <c r="A1613" s="5"/>
      <c r="C1613"/>
      <c r="D1613"/>
    </row>
    <row r="1614" spans="1:4" x14ac:dyDescent="0.25">
      <c r="A1614" s="5"/>
      <c r="C1614"/>
      <c r="D1614"/>
    </row>
    <row r="1615" spans="1:4" x14ac:dyDescent="0.25">
      <c r="A1615" s="5"/>
      <c r="C1615"/>
      <c r="D1615"/>
    </row>
    <row r="1616" spans="1:4" x14ac:dyDescent="0.25">
      <c r="A1616" s="5"/>
      <c r="C1616"/>
      <c r="D1616"/>
    </row>
    <row r="1617" spans="1:4" x14ac:dyDescent="0.25">
      <c r="A1617" s="5"/>
      <c r="C1617"/>
      <c r="D1617"/>
    </row>
    <row r="1618" spans="1:4" x14ac:dyDescent="0.25">
      <c r="A1618" s="5"/>
      <c r="C1618"/>
      <c r="D1618"/>
    </row>
    <row r="1619" spans="1:4" x14ac:dyDescent="0.25">
      <c r="A1619" s="5"/>
      <c r="C1619"/>
      <c r="D1619"/>
    </row>
    <row r="1620" spans="1:4" x14ac:dyDescent="0.25">
      <c r="A1620" s="5"/>
      <c r="C1620"/>
      <c r="D1620"/>
    </row>
    <row r="1621" spans="1:4" x14ac:dyDescent="0.25">
      <c r="A1621" s="5"/>
      <c r="C1621"/>
      <c r="D1621"/>
    </row>
    <row r="1622" spans="1:4" x14ac:dyDescent="0.25">
      <c r="A1622" s="5"/>
      <c r="C1622"/>
      <c r="D1622"/>
    </row>
    <row r="1623" spans="1:4" x14ac:dyDescent="0.25">
      <c r="A1623" s="5"/>
      <c r="C1623"/>
      <c r="D1623"/>
    </row>
    <row r="1624" spans="1:4" x14ac:dyDescent="0.25">
      <c r="A1624" s="5"/>
      <c r="C1624"/>
      <c r="D1624"/>
    </row>
    <row r="1625" spans="1:4" x14ac:dyDescent="0.25">
      <c r="A1625" s="5"/>
      <c r="C1625"/>
      <c r="D1625"/>
    </row>
    <row r="1626" spans="1:4" x14ac:dyDescent="0.25">
      <c r="A1626" s="5"/>
      <c r="C1626"/>
      <c r="D1626"/>
    </row>
    <row r="1627" spans="1:4" x14ac:dyDescent="0.25">
      <c r="A1627" s="5"/>
      <c r="C1627"/>
      <c r="D1627"/>
    </row>
    <row r="1628" spans="1:4" x14ac:dyDescent="0.25">
      <c r="A1628" s="5"/>
      <c r="C1628"/>
      <c r="D1628"/>
    </row>
    <row r="1629" spans="1:4" x14ac:dyDescent="0.25">
      <c r="A1629" s="5"/>
      <c r="C1629"/>
      <c r="D1629"/>
    </row>
    <row r="1630" spans="1:4" x14ac:dyDescent="0.25">
      <c r="A1630" s="5"/>
      <c r="C1630"/>
      <c r="D1630"/>
    </row>
    <row r="1631" spans="1:4" x14ac:dyDescent="0.25">
      <c r="A1631" s="5"/>
      <c r="C1631"/>
      <c r="D1631"/>
    </row>
    <row r="1632" spans="1:4" x14ac:dyDescent="0.25">
      <c r="A1632" s="5"/>
      <c r="C1632"/>
      <c r="D1632"/>
    </row>
    <row r="1633" spans="1:4" x14ac:dyDescent="0.25">
      <c r="A1633" s="5"/>
      <c r="C1633"/>
      <c r="D1633"/>
    </row>
    <row r="1634" spans="1:4" x14ac:dyDescent="0.25">
      <c r="A1634" s="5"/>
      <c r="C1634"/>
      <c r="D1634"/>
    </row>
    <row r="1635" spans="1:4" x14ac:dyDescent="0.25">
      <c r="A1635" s="5"/>
      <c r="C1635"/>
      <c r="D1635"/>
    </row>
    <row r="1636" spans="1:4" x14ac:dyDescent="0.25">
      <c r="A1636" s="5"/>
      <c r="C1636"/>
      <c r="D1636"/>
    </row>
    <row r="1637" spans="1:4" x14ac:dyDescent="0.25">
      <c r="A1637" s="5"/>
      <c r="C1637"/>
      <c r="D1637"/>
    </row>
    <row r="1638" spans="1:4" x14ac:dyDescent="0.25">
      <c r="A1638" s="5"/>
      <c r="C1638"/>
      <c r="D1638"/>
    </row>
    <row r="1639" spans="1:4" x14ac:dyDescent="0.25">
      <c r="A1639" s="5"/>
      <c r="C1639"/>
      <c r="D1639"/>
    </row>
    <row r="1640" spans="1:4" x14ac:dyDescent="0.25">
      <c r="A1640" s="5"/>
      <c r="C1640"/>
      <c r="D1640"/>
    </row>
    <row r="1641" spans="1:4" x14ac:dyDescent="0.25">
      <c r="A1641" s="5"/>
      <c r="C1641"/>
      <c r="D1641"/>
    </row>
    <row r="1642" spans="1:4" x14ac:dyDescent="0.25">
      <c r="A1642" s="5"/>
      <c r="C1642"/>
      <c r="D1642"/>
    </row>
    <row r="1643" spans="1:4" x14ac:dyDescent="0.25">
      <c r="A1643" s="5"/>
      <c r="C1643"/>
      <c r="D1643"/>
    </row>
    <row r="1644" spans="1:4" x14ac:dyDescent="0.25">
      <c r="A1644" s="5"/>
      <c r="C1644"/>
      <c r="D1644"/>
    </row>
    <row r="1645" spans="1:4" x14ac:dyDescent="0.25">
      <c r="A1645" s="5"/>
      <c r="C1645"/>
      <c r="D1645"/>
    </row>
    <row r="1646" spans="1:4" x14ac:dyDescent="0.25">
      <c r="A1646" s="5"/>
      <c r="C1646"/>
      <c r="D1646"/>
    </row>
    <row r="1647" spans="1:4" x14ac:dyDescent="0.25">
      <c r="A1647" s="5"/>
      <c r="C1647"/>
      <c r="D1647"/>
    </row>
    <row r="1648" spans="1:4" x14ac:dyDescent="0.25">
      <c r="A1648" s="5"/>
      <c r="C1648"/>
      <c r="D1648"/>
    </row>
    <row r="1649" spans="1:4" x14ac:dyDescent="0.25">
      <c r="A1649" s="5"/>
      <c r="C1649"/>
      <c r="D1649"/>
    </row>
    <row r="1650" spans="1:4" x14ac:dyDescent="0.25">
      <c r="A1650" s="5"/>
      <c r="C1650"/>
      <c r="D1650"/>
    </row>
    <row r="1651" spans="1:4" x14ac:dyDescent="0.25">
      <c r="A1651" s="5"/>
      <c r="C1651"/>
      <c r="D1651"/>
    </row>
    <row r="1652" spans="1:4" x14ac:dyDescent="0.25">
      <c r="A1652" s="5"/>
      <c r="C1652"/>
      <c r="D1652"/>
    </row>
    <row r="1653" spans="1:4" x14ac:dyDescent="0.25">
      <c r="A1653" s="5"/>
      <c r="C1653"/>
      <c r="D1653"/>
    </row>
    <row r="1654" spans="1:4" x14ac:dyDescent="0.25">
      <c r="A1654" s="5"/>
      <c r="C1654"/>
      <c r="D1654"/>
    </row>
    <row r="1655" spans="1:4" x14ac:dyDescent="0.25">
      <c r="A1655" s="5"/>
      <c r="C1655"/>
      <c r="D1655"/>
    </row>
    <row r="1656" spans="1:4" x14ac:dyDescent="0.25">
      <c r="A1656" s="5"/>
      <c r="C1656"/>
      <c r="D1656"/>
    </row>
    <row r="1657" spans="1:4" x14ac:dyDescent="0.25">
      <c r="A1657" s="5"/>
      <c r="C1657"/>
      <c r="D1657"/>
    </row>
    <row r="1658" spans="1:4" x14ac:dyDescent="0.25">
      <c r="A1658" s="5"/>
      <c r="C1658"/>
      <c r="D1658"/>
    </row>
    <row r="1659" spans="1:4" x14ac:dyDescent="0.25">
      <c r="A1659" s="5"/>
      <c r="C1659"/>
      <c r="D1659"/>
    </row>
    <row r="1660" spans="1:4" x14ac:dyDescent="0.25">
      <c r="A1660" s="5"/>
      <c r="C1660"/>
      <c r="D1660"/>
    </row>
    <row r="1661" spans="1:4" x14ac:dyDescent="0.25">
      <c r="A1661" s="5"/>
      <c r="C1661"/>
      <c r="D1661"/>
    </row>
    <row r="1662" spans="1:4" x14ac:dyDescent="0.25">
      <c r="A1662" s="5"/>
      <c r="C1662"/>
      <c r="D1662"/>
    </row>
    <row r="1663" spans="1:4" x14ac:dyDescent="0.25">
      <c r="A1663" s="5"/>
      <c r="C1663"/>
      <c r="D1663"/>
    </row>
    <row r="1664" spans="1:4" x14ac:dyDescent="0.25">
      <c r="A1664" s="5"/>
      <c r="C1664"/>
      <c r="D1664"/>
    </row>
    <row r="1665" spans="1:4" x14ac:dyDescent="0.25">
      <c r="A1665" s="5"/>
      <c r="C1665"/>
      <c r="D1665"/>
    </row>
    <row r="1666" spans="1:4" x14ac:dyDescent="0.25">
      <c r="A1666" s="5"/>
      <c r="C1666"/>
      <c r="D1666"/>
    </row>
    <row r="1667" spans="1:4" x14ac:dyDescent="0.25">
      <c r="A1667" s="5"/>
      <c r="C1667"/>
      <c r="D1667"/>
    </row>
    <row r="1668" spans="1:4" x14ac:dyDescent="0.25">
      <c r="A1668" s="5"/>
      <c r="C1668"/>
      <c r="D1668"/>
    </row>
    <row r="1669" spans="1:4" x14ac:dyDescent="0.25">
      <c r="A1669" s="5"/>
      <c r="C1669"/>
      <c r="D1669"/>
    </row>
    <row r="1670" spans="1:4" x14ac:dyDescent="0.25">
      <c r="A1670" s="5"/>
      <c r="C1670"/>
      <c r="D1670"/>
    </row>
    <row r="1671" spans="1:4" x14ac:dyDescent="0.25">
      <c r="A1671" s="5"/>
      <c r="C1671"/>
      <c r="D1671"/>
    </row>
    <row r="1672" spans="1:4" x14ac:dyDescent="0.25">
      <c r="A1672" s="5"/>
      <c r="C1672"/>
      <c r="D1672"/>
    </row>
    <row r="1673" spans="1:4" x14ac:dyDescent="0.25">
      <c r="A1673" s="5"/>
      <c r="C1673"/>
      <c r="D1673"/>
    </row>
    <row r="1674" spans="1:4" x14ac:dyDescent="0.25">
      <c r="A1674" s="5"/>
      <c r="C1674"/>
      <c r="D1674"/>
    </row>
    <row r="1675" spans="1:4" x14ac:dyDescent="0.25">
      <c r="A1675" s="5"/>
      <c r="C1675"/>
      <c r="D1675"/>
    </row>
    <row r="1676" spans="1:4" x14ac:dyDescent="0.25">
      <c r="A1676" s="5"/>
      <c r="C1676"/>
      <c r="D1676"/>
    </row>
    <row r="1677" spans="1:4" x14ac:dyDescent="0.25">
      <c r="A1677" s="5"/>
      <c r="C1677"/>
      <c r="D1677"/>
    </row>
    <row r="1678" spans="1:4" x14ac:dyDescent="0.25">
      <c r="A1678" s="5"/>
      <c r="C1678"/>
      <c r="D1678"/>
    </row>
    <row r="1679" spans="1:4" x14ac:dyDescent="0.25">
      <c r="A1679" s="5"/>
      <c r="C1679"/>
      <c r="D1679"/>
    </row>
    <row r="1680" spans="1:4" x14ac:dyDescent="0.25">
      <c r="A1680" s="5"/>
      <c r="C1680"/>
      <c r="D1680"/>
    </row>
    <row r="1681" spans="1:4" x14ac:dyDescent="0.25">
      <c r="A1681" s="5"/>
      <c r="C1681"/>
      <c r="D1681"/>
    </row>
    <row r="1682" spans="1:4" x14ac:dyDescent="0.25">
      <c r="A1682" s="5"/>
      <c r="C1682"/>
      <c r="D1682"/>
    </row>
    <row r="1683" spans="1:4" x14ac:dyDescent="0.25">
      <c r="A1683" s="5"/>
      <c r="C1683"/>
      <c r="D1683"/>
    </row>
    <row r="1684" spans="1:4" x14ac:dyDescent="0.25">
      <c r="A1684" s="5"/>
      <c r="C1684"/>
      <c r="D1684"/>
    </row>
    <row r="1685" spans="1:4" x14ac:dyDescent="0.25">
      <c r="A1685" s="5"/>
      <c r="C1685"/>
      <c r="D1685"/>
    </row>
    <row r="1686" spans="1:4" x14ac:dyDescent="0.25">
      <c r="A1686" s="5"/>
      <c r="C1686"/>
      <c r="D1686"/>
    </row>
    <row r="1687" spans="1:4" x14ac:dyDescent="0.25">
      <c r="A1687" s="5"/>
      <c r="C1687"/>
      <c r="D1687"/>
    </row>
    <row r="1688" spans="1:4" x14ac:dyDescent="0.25">
      <c r="A1688" s="5"/>
      <c r="C1688"/>
      <c r="D1688"/>
    </row>
    <row r="1689" spans="1:4" x14ac:dyDescent="0.25">
      <c r="A1689" s="5"/>
      <c r="C1689"/>
      <c r="D1689"/>
    </row>
    <row r="1690" spans="1:4" x14ac:dyDescent="0.25">
      <c r="A1690" s="5"/>
      <c r="C1690"/>
      <c r="D1690"/>
    </row>
    <row r="1691" spans="1:4" x14ac:dyDescent="0.25">
      <c r="A1691" s="5"/>
      <c r="C1691"/>
      <c r="D1691"/>
    </row>
    <row r="1692" spans="1:4" x14ac:dyDescent="0.25">
      <c r="A1692" s="5"/>
      <c r="C1692"/>
      <c r="D1692"/>
    </row>
    <row r="1693" spans="1:4" x14ac:dyDescent="0.25">
      <c r="A1693" s="5"/>
      <c r="C1693"/>
      <c r="D1693"/>
    </row>
    <row r="1694" spans="1:4" x14ac:dyDescent="0.25">
      <c r="A1694" s="5"/>
      <c r="C1694"/>
      <c r="D1694"/>
    </row>
    <row r="1695" spans="1:4" x14ac:dyDescent="0.25">
      <c r="A1695" s="5"/>
      <c r="C1695"/>
      <c r="D1695"/>
    </row>
    <row r="1696" spans="1:4" x14ac:dyDescent="0.25">
      <c r="A1696" s="5"/>
      <c r="C1696"/>
      <c r="D1696"/>
    </row>
    <row r="1697" spans="1:4" x14ac:dyDescent="0.25">
      <c r="A1697" s="5"/>
      <c r="C1697"/>
      <c r="D1697"/>
    </row>
    <row r="1698" spans="1:4" x14ac:dyDescent="0.25">
      <c r="A1698" s="5"/>
      <c r="C1698"/>
      <c r="D1698"/>
    </row>
    <row r="1699" spans="1:4" x14ac:dyDescent="0.25">
      <c r="A1699" s="5"/>
      <c r="C1699"/>
      <c r="D1699"/>
    </row>
    <row r="1700" spans="1:4" x14ac:dyDescent="0.25">
      <c r="A1700" s="5"/>
      <c r="C1700"/>
      <c r="D1700"/>
    </row>
    <row r="1701" spans="1:4" x14ac:dyDescent="0.25">
      <c r="A1701" s="5"/>
      <c r="C1701"/>
      <c r="D1701"/>
    </row>
    <row r="1702" spans="1:4" x14ac:dyDescent="0.25">
      <c r="A1702" s="5"/>
      <c r="C1702"/>
      <c r="D1702"/>
    </row>
    <row r="1703" spans="1:4" x14ac:dyDescent="0.25">
      <c r="A1703" s="5"/>
      <c r="C1703"/>
      <c r="D1703"/>
    </row>
    <row r="1704" spans="1:4" x14ac:dyDescent="0.25">
      <c r="A1704" s="5"/>
      <c r="C1704"/>
      <c r="D1704"/>
    </row>
    <row r="1705" spans="1:4" x14ac:dyDescent="0.25">
      <c r="A1705" s="5"/>
      <c r="C1705"/>
      <c r="D1705"/>
    </row>
    <row r="1706" spans="1:4" x14ac:dyDescent="0.25">
      <c r="A1706" s="5"/>
      <c r="C1706"/>
      <c r="D1706"/>
    </row>
    <row r="1707" spans="1:4" x14ac:dyDescent="0.25">
      <c r="A1707" s="5"/>
      <c r="C1707"/>
      <c r="D1707"/>
    </row>
    <row r="1708" spans="1:4" x14ac:dyDescent="0.25">
      <c r="A1708" s="5"/>
      <c r="C1708"/>
      <c r="D1708"/>
    </row>
    <row r="1709" spans="1:4" x14ac:dyDescent="0.25">
      <c r="A1709" s="5"/>
      <c r="C1709"/>
      <c r="D1709"/>
    </row>
    <row r="1710" spans="1:4" x14ac:dyDescent="0.25">
      <c r="A1710" s="5"/>
      <c r="C1710"/>
      <c r="D1710"/>
    </row>
    <row r="1711" spans="1:4" x14ac:dyDescent="0.25">
      <c r="A1711" s="5"/>
      <c r="C1711"/>
      <c r="D1711"/>
    </row>
    <row r="1712" spans="1:4" x14ac:dyDescent="0.25">
      <c r="A1712" s="5"/>
      <c r="C1712"/>
      <c r="D1712"/>
    </row>
    <row r="1713" spans="1:4" x14ac:dyDescent="0.25">
      <c r="A1713" s="5"/>
      <c r="C1713"/>
      <c r="D1713"/>
    </row>
    <row r="1714" spans="1:4" x14ac:dyDescent="0.25">
      <c r="A1714" s="5"/>
      <c r="C1714"/>
      <c r="D1714"/>
    </row>
    <row r="1715" spans="1:4" x14ac:dyDescent="0.25">
      <c r="A1715" s="5"/>
      <c r="C1715"/>
      <c r="D1715"/>
    </row>
    <row r="1716" spans="1:4" x14ac:dyDescent="0.25">
      <c r="A1716" s="5"/>
    </row>
    <row r="1717" spans="1:4" x14ac:dyDescent="0.25">
      <c r="A1717" s="5"/>
    </row>
    <row r="1718" spans="1:4" x14ac:dyDescent="0.25">
      <c r="A1718" s="5"/>
    </row>
    <row r="1719" spans="1:4" x14ac:dyDescent="0.25">
      <c r="A1719" s="5"/>
    </row>
    <row r="1720" spans="1:4" x14ac:dyDescent="0.25">
      <c r="A1720" s="5"/>
    </row>
    <row r="1721" spans="1:4" x14ac:dyDescent="0.25">
      <c r="A1721" s="5"/>
    </row>
    <row r="1722" spans="1:4" x14ac:dyDescent="0.25">
      <c r="A1722" s="5"/>
    </row>
    <row r="1723" spans="1:4" x14ac:dyDescent="0.25">
      <c r="A1723" s="5"/>
    </row>
    <row r="1724" spans="1:4" x14ac:dyDescent="0.25">
      <c r="A1724" s="5"/>
    </row>
    <row r="1725" spans="1:4" x14ac:dyDescent="0.25">
      <c r="A1725" s="5"/>
    </row>
    <row r="1726" spans="1:4" x14ac:dyDescent="0.25">
      <c r="A1726" s="5"/>
    </row>
    <row r="1727" spans="1:4" x14ac:dyDescent="0.25">
      <c r="A1727" s="5"/>
    </row>
    <row r="1728" spans="1:4" x14ac:dyDescent="0.25">
      <c r="A1728" s="5"/>
    </row>
    <row r="1729" spans="1:1" x14ac:dyDescent="0.25">
      <c r="A1729" s="5"/>
    </row>
    <row r="1730" spans="1:1" x14ac:dyDescent="0.25">
      <c r="A1730" s="5"/>
    </row>
    <row r="1731" spans="1:1" x14ac:dyDescent="0.25">
      <c r="A1731" s="5"/>
    </row>
    <row r="1732" spans="1:1" x14ac:dyDescent="0.25">
      <c r="A1732" s="5"/>
    </row>
    <row r="1733" spans="1:1" x14ac:dyDescent="0.25">
      <c r="A1733" s="5"/>
    </row>
    <row r="1734" spans="1:1" x14ac:dyDescent="0.25">
      <c r="A1734" s="5"/>
    </row>
    <row r="1735" spans="1:1" x14ac:dyDescent="0.25">
      <c r="A1735" s="5"/>
    </row>
    <row r="1736" spans="1:1" x14ac:dyDescent="0.25">
      <c r="A1736" s="5"/>
    </row>
    <row r="1737" spans="1:1" x14ac:dyDescent="0.25">
      <c r="A1737" s="5"/>
    </row>
    <row r="1738" spans="1:1" x14ac:dyDescent="0.25">
      <c r="A1738" s="5"/>
    </row>
    <row r="1739" spans="1:1" x14ac:dyDescent="0.25">
      <c r="A1739" s="5"/>
    </row>
    <row r="1740" spans="1:1" x14ac:dyDescent="0.25">
      <c r="A1740" s="5"/>
    </row>
    <row r="1741" spans="1:1" x14ac:dyDescent="0.25">
      <c r="A1741" s="5"/>
    </row>
    <row r="1742" spans="1:1" x14ac:dyDescent="0.25">
      <c r="A1742" s="5"/>
    </row>
    <row r="1743" spans="1:1" x14ac:dyDescent="0.25">
      <c r="A1743" s="5"/>
    </row>
    <row r="1744" spans="1:1" x14ac:dyDescent="0.25">
      <c r="A1744" s="5"/>
    </row>
    <row r="1745" spans="1:1" x14ac:dyDescent="0.25">
      <c r="A1745" s="5"/>
    </row>
    <row r="1746" spans="1:1" x14ac:dyDescent="0.25">
      <c r="A1746" s="5"/>
    </row>
    <row r="1747" spans="1:1" x14ac:dyDescent="0.25">
      <c r="A1747" s="5"/>
    </row>
    <row r="1748" spans="1:1" x14ac:dyDescent="0.25">
      <c r="A1748" s="5"/>
    </row>
    <row r="1749" spans="1:1" x14ac:dyDescent="0.25">
      <c r="A1749" s="5"/>
    </row>
    <row r="1750" spans="1:1" x14ac:dyDescent="0.25">
      <c r="A1750" s="5"/>
    </row>
    <row r="1751" spans="1:1" x14ac:dyDescent="0.25">
      <c r="A1751" s="5"/>
    </row>
    <row r="1752" spans="1:1" x14ac:dyDescent="0.25">
      <c r="A1752" s="5"/>
    </row>
    <row r="1753" spans="1:1" x14ac:dyDescent="0.25">
      <c r="A1753" s="5"/>
    </row>
    <row r="1754" spans="1:1" x14ac:dyDescent="0.25">
      <c r="A1754" s="5"/>
    </row>
    <row r="1755" spans="1:1" x14ac:dyDescent="0.25">
      <c r="A1755" s="5"/>
    </row>
    <row r="1756" spans="1:1" x14ac:dyDescent="0.25">
      <c r="A1756" s="5"/>
    </row>
    <row r="1757" spans="1:1" x14ac:dyDescent="0.25">
      <c r="A1757" s="5"/>
    </row>
    <row r="1758" spans="1:1" x14ac:dyDescent="0.25">
      <c r="A1758" s="5"/>
    </row>
    <row r="1759" spans="1:1" x14ac:dyDescent="0.25">
      <c r="A1759" s="5"/>
    </row>
    <row r="1760" spans="1:1" x14ac:dyDescent="0.25">
      <c r="A1760" s="5"/>
    </row>
    <row r="1761" spans="1:1" x14ac:dyDescent="0.25">
      <c r="A1761" s="5"/>
    </row>
    <row r="1762" spans="1:1" x14ac:dyDescent="0.25">
      <c r="A1762" s="5"/>
    </row>
    <row r="1763" spans="1:1" x14ac:dyDescent="0.25">
      <c r="A1763" s="5"/>
    </row>
    <row r="1764" spans="1:1" x14ac:dyDescent="0.25">
      <c r="A1764" s="5"/>
    </row>
    <row r="1765" spans="1:1" x14ac:dyDescent="0.25">
      <c r="A1765" s="5"/>
    </row>
    <row r="1766" spans="1:1" x14ac:dyDescent="0.25">
      <c r="A1766" s="5"/>
    </row>
    <row r="1767" spans="1:1" x14ac:dyDescent="0.25">
      <c r="A1767" s="5"/>
    </row>
    <row r="1768" spans="1:1" x14ac:dyDescent="0.25">
      <c r="A1768" s="5"/>
    </row>
    <row r="1769" spans="1:1" x14ac:dyDescent="0.25">
      <c r="A1769" s="5"/>
    </row>
    <row r="1770" spans="1:1" x14ac:dyDescent="0.25">
      <c r="A1770" s="5"/>
    </row>
    <row r="1771" spans="1:1" x14ac:dyDescent="0.25">
      <c r="A1771" s="5"/>
    </row>
    <row r="1772" spans="1:1" x14ac:dyDescent="0.25">
      <c r="A1772" s="5"/>
    </row>
    <row r="1773" spans="1:1" x14ac:dyDescent="0.25">
      <c r="A1773" s="5"/>
    </row>
    <row r="1774" spans="1:1" x14ac:dyDescent="0.25">
      <c r="A1774" s="5"/>
    </row>
    <row r="1775" spans="1:1" x14ac:dyDescent="0.25">
      <c r="A1775" s="5"/>
    </row>
    <row r="1776" spans="1:1" x14ac:dyDescent="0.25">
      <c r="A1776" s="5"/>
    </row>
    <row r="1777" spans="1:1" x14ac:dyDescent="0.25">
      <c r="A1777" s="5"/>
    </row>
    <row r="1778" spans="1:1" x14ac:dyDescent="0.25">
      <c r="A1778" s="5"/>
    </row>
    <row r="1779" spans="1:1" x14ac:dyDescent="0.25">
      <c r="A1779" s="5"/>
    </row>
    <row r="1780" spans="1:1" x14ac:dyDescent="0.25">
      <c r="A1780" s="5"/>
    </row>
    <row r="1781" spans="1:1" x14ac:dyDescent="0.25">
      <c r="A1781" s="5"/>
    </row>
    <row r="1782" spans="1:1" x14ac:dyDescent="0.25">
      <c r="A1782" s="5"/>
    </row>
    <row r="1783" spans="1:1" x14ac:dyDescent="0.25">
      <c r="A1783" s="5"/>
    </row>
    <row r="1784" spans="1:1" x14ac:dyDescent="0.25">
      <c r="A1784" s="5"/>
    </row>
    <row r="1785" spans="1:1" x14ac:dyDescent="0.25">
      <c r="A1785" s="5"/>
    </row>
    <row r="1786" spans="1:1" x14ac:dyDescent="0.25">
      <c r="A1786" s="5"/>
    </row>
    <row r="1787" spans="1:1" x14ac:dyDescent="0.25">
      <c r="A1787" s="5"/>
    </row>
    <row r="1788" spans="1:1" x14ac:dyDescent="0.25">
      <c r="A1788" s="5"/>
    </row>
    <row r="1789" spans="1:1" x14ac:dyDescent="0.25">
      <c r="A1789" s="5"/>
    </row>
    <row r="1790" spans="1:1" x14ac:dyDescent="0.25">
      <c r="A1790" s="5"/>
    </row>
    <row r="1791" spans="1:1" x14ac:dyDescent="0.25">
      <c r="A1791" s="5"/>
    </row>
    <row r="1792" spans="1:1" x14ac:dyDescent="0.25">
      <c r="A1792" s="5"/>
    </row>
    <row r="1793" spans="1:1" x14ac:dyDescent="0.25">
      <c r="A1793" s="5"/>
    </row>
    <row r="1794" spans="1:1" x14ac:dyDescent="0.25">
      <c r="A1794" s="5"/>
    </row>
    <row r="1795" spans="1:1" x14ac:dyDescent="0.25">
      <c r="A1795" s="5"/>
    </row>
    <row r="1796" spans="1:1" x14ac:dyDescent="0.25">
      <c r="A1796" s="5"/>
    </row>
    <row r="1797" spans="1:1" x14ac:dyDescent="0.25">
      <c r="A1797" s="5"/>
    </row>
    <row r="1798" spans="1:1" x14ac:dyDescent="0.25">
      <c r="A1798" s="5"/>
    </row>
    <row r="1799" spans="1:1" x14ac:dyDescent="0.25">
      <c r="A1799" s="5"/>
    </row>
    <row r="1800" spans="1:1" x14ac:dyDescent="0.25">
      <c r="A1800" s="5"/>
    </row>
    <row r="1801" spans="1:1" x14ac:dyDescent="0.25">
      <c r="A1801" s="5"/>
    </row>
    <row r="1802" spans="1:1" x14ac:dyDescent="0.25">
      <c r="A1802" s="5"/>
    </row>
    <row r="1803" spans="1:1" x14ac:dyDescent="0.25">
      <c r="A1803" s="5"/>
    </row>
    <row r="1804" spans="1:1" x14ac:dyDescent="0.25">
      <c r="A1804" s="5"/>
    </row>
    <row r="1805" spans="1:1" x14ac:dyDescent="0.25">
      <c r="A1805" s="5"/>
    </row>
    <row r="1806" spans="1:1" x14ac:dyDescent="0.25">
      <c r="A1806" s="5"/>
    </row>
    <row r="1807" spans="1:1" x14ac:dyDescent="0.25">
      <c r="A1807" s="5"/>
    </row>
    <row r="1808" spans="1:1" x14ac:dyDescent="0.25">
      <c r="A1808" s="5"/>
    </row>
    <row r="1809" spans="1:1" x14ac:dyDescent="0.25">
      <c r="A1809" s="5"/>
    </row>
    <row r="1810" spans="1:1" x14ac:dyDescent="0.25">
      <c r="A1810" s="5"/>
    </row>
    <row r="1811" spans="1:1" x14ac:dyDescent="0.25">
      <c r="A1811" s="5"/>
    </row>
    <row r="1812" spans="1:1" x14ac:dyDescent="0.25">
      <c r="A1812" s="5"/>
    </row>
    <row r="1813" spans="1:1" x14ac:dyDescent="0.25">
      <c r="A1813" s="5"/>
    </row>
    <row r="1814" spans="1:1" x14ac:dyDescent="0.25">
      <c r="A1814" s="5"/>
    </row>
    <row r="1815" spans="1:1" x14ac:dyDescent="0.25">
      <c r="A1815" s="5"/>
    </row>
    <row r="1816" spans="1:1" x14ac:dyDescent="0.25">
      <c r="A1816" s="5"/>
    </row>
    <row r="1817" spans="1:1" x14ac:dyDescent="0.25">
      <c r="A1817" s="5"/>
    </row>
    <row r="1818" spans="1:1" x14ac:dyDescent="0.25">
      <c r="A1818" s="5"/>
    </row>
    <row r="1819" spans="1:1" x14ac:dyDescent="0.25">
      <c r="A1819" s="5"/>
    </row>
    <row r="1820" spans="1:1" x14ac:dyDescent="0.25">
      <c r="A1820" s="5"/>
    </row>
    <row r="1821" spans="1:1" x14ac:dyDescent="0.25">
      <c r="A1821" s="5"/>
    </row>
    <row r="1822" spans="1:1" x14ac:dyDescent="0.25">
      <c r="A1822" s="5"/>
    </row>
    <row r="1823" spans="1:1" x14ac:dyDescent="0.25">
      <c r="A1823" s="5"/>
    </row>
    <row r="1824" spans="1:1" x14ac:dyDescent="0.25">
      <c r="A1824" s="5"/>
    </row>
    <row r="1825" spans="1:1" x14ac:dyDescent="0.25">
      <c r="A1825" s="5"/>
    </row>
    <row r="1826" spans="1:1" x14ac:dyDescent="0.25">
      <c r="A1826" s="5"/>
    </row>
    <row r="1827" spans="1:1" x14ac:dyDescent="0.25">
      <c r="A1827" s="5"/>
    </row>
    <row r="1828" spans="1:1" x14ac:dyDescent="0.25">
      <c r="A1828" s="5"/>
    </row>
    <row r="1829" spans="1:1" x14ac:dyDescent="0.25">
      <c r="A1829" s="5"/>
    </row>
    <row r="1830" spans="1:1" x14ac:dyDescent="0.25">
      <c r="A1830" s="5"/>
    </row>
    <row r="1831" spans="1:1" x14ac:dyDescent="0.25">
      <c r="A1831" s="5"/>
    </row>
    <row r="1832" spans="1:1" x14ac:dyDescent="0.25">
      <c r="A1832" s="5"/>
    </row>
    <row r="1833" spans="1:1" x14ac:dyDescent="0.25">
      <c r="A1833" s="5"/>
    </row>
    <row r="1834" spans="1:1" x14ac:dyDescent="0.25">
      <c r="A1834" s="5"/>
    </row>
    <row r="1835" spans="1:1" x14ac:dyDescent="0.25">
      <c r="A1835" s="5"/>
    </row>
    <row r="1836" spans="1:1" x14ac:dyDescent="0.25">
      <c r="A1836" s="5"/>
    </row>
    <row r="1837" spans="1:1" x14ac:dyDescent="0.25">
      <c r="A1837" s="5"/>
    </row>
    <row r="1838" spans="1:1" x14ac:dyDescent="0.25">
      <c r="A1838" s="5"/>
    </row>
    <row r="1839" spans="1:1" x14ac:dyDescent="0.25">
      <c r="A1839" s="5"/>
    </row>
    <row r="1840" spans="1:1" x14ac:dyDescent="0.25">
      <c r="A1840" s="5"/>
    </row>
    <row r="1841" spans="1:1" x14ac:dyDescent="0.25">
      <c r="A1841" s="5"/>
    </row>
    <row r="1842" spans="1:1" x14ac:dyDescent="0.25">
      <c r="A1842" s="5"/>
    </row>
    <row r="1843" spans="1:1" x14ac:dyDescent="0.25">
      <c r="A1843" s="5"/>
    </row>
    <row r="1844" spans="1:1" x14ac:dyDescent="0.25">
      <c r="A1844" s="5"/>
    </row>
    <row r="1845" spans="1:1" x14ac:dyDescent="0.25">
      <c r="A1845" s="5"/>
    </row>
    <row r="1846" spans="1:1" x14ac:dyDescent="0.25">
      <c r="A1846" s="5"/>
    </row>
    <row r="1847" spans="1:1" x14ac:dyDescent="0.25">
      <c r="A1847" s="5"/>
    </row>
    <row r="1848" spans="1:1" x14ac:dyDescent="0.25">
      <c r="A1848" s="5"/>
    </row>
    <row r="1849" spans="1:1" x14ac:dyDescent="0.25">
      <c r="A1849" s="5"/>
    </row>
    <row r="1850" spans="1:1" x14ac:dyDescent="0.25">
      <c r="A1850" s="5"/>
    </row>
    <row r="1851" spans="1:1" x14ac:dyDescent="0.25">
      <c r="A1851" s="5"/>
    </row>
    <row r="1852" spans="1:1" x14ac:dyDescent="0.25">
      <c r="A1852" s="5"/>
    </row>
    <row r="1853" spans="1:1" x14ac:dyDescent="0.25">
      <c r="A1853" s="5"/>
    </row>
    <row r="1854" spans="1:1" x14ac:dyDescent="0.25">
      <c r="A1854" s="5"/>
    </row>
    <row r="1855" spans="1:1" x14ac:dyDescent="0.25">
      <c r="A1855" s="5"/>
    </row>
    <row r="1856" spans="1:1" x14ac:dyDescent="0.25">
      <c r="A1856" s="5"/>
    </row>
    <row r="1857" spans="1:1" x14ac:dyDescent="0.25">
      <c r="A1857" s="5"/>
    </row>
    <row r="1858" spans="1:1" x14ac:dyDescent="0.25">
      <c r="A1858" s="5"/>
    </row>
    <row r="1859" spans="1:1" x14ac:dyDescent="0.25">
      <c r="A1859" s="5"/>
    </row>
    <row r="1860" spans="1:1" x14ac:dyDescent="0.25">
      <c r="A1860" s="5"/>
    </row>
    <row r="1861" spans="1:1" x14ac:dyDescent="0.25">
      <c r="A1861" s="5"/>
    </row>
    <row r="1862" spans="1:1" x14ac:dyDescent="0.25">
      <c r="A1862" s="5"/>
    </row>
    <row r="1863" spans="1:1" x14ac:dyDescent="0.25">
      <c r="A1863" s="5"/>
    </row>
    <row r="1864" spans="1:1" x14ac:dyDescent="0.25">
      <c r="A1864" s="5"/>
    </row>
    <row r="1865" spans="1:1" x14ac:dyDescent="0.25">
      <c r="A1865" s="5"/>
    </row>
    <row r="1866" spans="1:1" x14ac:dyDescent="0.25">
      <c r="A1866" s="5"/>
    </row>
    <row r="1867" spans="1:1" x14ac:dyDescent="0.25">
      <c r="A1867" s="5"/>
    </row>
    <row r="1868" spans="1:1" x14ac:dyDescent="0.25">
      <c r="A1868" s="5"/>
    </row>
    <row r="1869" spans="1:1" x14ac:dyDescent="0.25">
      <c r="A1869" s="5"/>
    </row>
    <row r="1870" spans="1:1" x14ac:dyDescent="0.25">
      <c r="A1870" s="5"/>
    </row>
    <row r="1871" spans="1:1" x14ac:dyDescent="0.25">
      <c r="A1871" s="5"/>
    </row>
    <row r="1872" spans="1:1" x14ac:dyDescent="0.25">
      <c r="A1872" s="5"/>
    </row>
    <row r="1873" spans="1:1" x14ac:dyDescent="0.25">
      <c r="A1873" s="5"/>
    </row>
    <row r="1874" spans="1:1" x14ac:dyDescent="0.25">
      <c r="A1874" s="5"/>
    </row>
    <row r="1875" spans="1:1" x14ac:dyDescent="0.25">
      <c r="A1875" s="5"/>
    </row>
    <row r="1876" spans="1:1" x14ac:dyDescent="0.25">
      <c r="A1876" s="5"/>
    </row>
    <row r="1877" spans="1:1" x14ac:dyDescent="0.25">
      <c r="A1877" s="5"/>
    </row>
    <row r="1878" spans="1:1" x14ac:dyDescent="0.25">
      <c r="A1878" s="5"/>
    </row>
    <row r="1879" spans="1:1" x14ac:dyDescent="0.25">
      <c r="A1879" s="5"/>
    </row>
    <row r="1880" spans="1:1" x14ac:dyDescent="0.25">
      <c r="A1880" s="5"/>
    </row>
    <row r="1881" spans="1:1" x14ac:dyDescent="0.25">
      <c r="A1881" s="5"/>
    </row>
    <row r="1882" spans="1:1" x14ac:dyDescent="0.25">
      <c r="A1882" s="5"/>
    </row>
    <row r="1883" spans="1:1" x14ac:dyDescent="0.25">
      <c r="A1883" s="5"/>
    </row>
    <row r="1884" spans="1:1" x14ac:dyDescent="0.25">
      <c r="A1884" s="5"/>
    </row>
    <row r="1885" spans="1:1" x14ac:dyDescent="0.25">
      <c r="A1885" s="5"/>
    </row>
    <row r="1886" spans="1:1" x14ac:dyDescent="0.25">
      <c r="A1886" s="5"/>
    </row>
    <row r="1887" spans="1:1" x14ac:dyDescent="0.25">
      <c r="A1887" s="5"/>
    </row>
    <row r="1888" spans="1:1" x14ac:dyDescent="0.25">
      <c r="A1888" s="5"/>
    </row>
    <row r="1889" spans="1:1" x14ac:dyDescent="0.25">
      <c r="A1889" s="5"/>
    </row>
    <row r="1890" spans="1:1" x14ac:dyDescent="0.25">
      <c r="A1890" s="5"/>
    </row>
    <row r="1891" spans="1:1" x14ac:dyDescent="0.25">
      <c r="A1891" s="5"/>
    </row>
    <row r="1892" spans="1:1" x14ac:dyDescent="0.25">
      <c r="A1892" s="5"/>
    </row>
    <row r="1893" spans="1:1" x14ac:dyDescent="0.25">
      <c r="A1893" s="5"/>
    </row>
    <row r="1894" spans="1:1" x14ac:dyDescent="0.25">
      <c r="A1894" s="5"/>
    </row>
    <row r="1895" spans="1:1" x14ac:dyDescent="0.25">
      <c r="A1895" s="5"/>
    </row>
    <row r="1896" spans="1:1" x14ac:dyDescent="0.25">
      <c r="A1896" s="5"/>
    </row>
    <row r="1897" spans="1:1" x14ac:dyDescent="0.25">
      <c r="A1897" s="5"/>
    </row>
    <row r="1898" spans="1:1" x14ac:dyDescent="0.25">
      <c r="A1898" s="5"/>
    </row>
    <row r="1899" spans="1:1" x14ac:dyDescent="0.25">
      <c r="A1899" s="5"/>
    </row>
    <row r="1900" spans="1:1" x14ac:dyDescent="0.25">
      <c r="A1900" s="5"/>
    </row>
    <row r="1901" spans="1:1" x14ac:dyDescent="0.25">
      <c r="A1901" s="5"/>
    </row>
    <row r="1902" spans="1:1" x14ac:dyDescent="0.25">
      <c r="A1902" s="5"/>
    </row>
    <row r="1903" spans="1:1" x14ac:dyDescent="0.25">
      <c r="A1903" s="5"/>
    </row>
    <row r="1904" spans="1:1" x14ac:dyDescent="0.25">
      <c r="A1904" s="5"/>
    </row>
    <row r="1905" spans="1:1" x14ac:dyDescent="0.25">
      <c r="A1905" s="5"/>
    </row>
    <row r="1906" spans="1:1" x14ac:dyDescent="0.25">
      <c r="A1906" s="5"/>
    </row>
    <row r="1907" spans="1:1" x14ac:dyDescent="0.25">
      <c r="A1907" s="5"/>
    </row>
    <row r="1908" spans="1:1" x14ac:dyDescent="0.25">
      <c r="A1908" s="5"/>
    </row>
    <row r="1909" spans="1:1" x14ac:dyDescent="0.25">
      <c r="A1909" s="5"/>
    </row>
    <row r="1910" spans="1:1" x14ac:dyDescent="0.25">
      <c r="A1910" s="5"/>
    </row>
    <row r="1911" spans="1:1" x14ac:dyDescent="0.25">
      <c r="A1911" s="5"/>
    </row>
    <row r="1912" spans="1:1" x14ac:dyDescent="0.25">
      <c r="A1912" s="5"/>
    </row>
    <row r="1913" spans="1:1" x14ac:dyDescent="0.25">
      <c r="A1913" s="5"/>
    </row>
    <row r="1914" spans="1:1" x14ac:dyDescent="0.25">
      <c r="A1914" s="5"/>
    </row>
    <row r="1915" spans="1:1" x14ac:dyDescent="0.25">
      <c r="A1915" s="5"/>
    </row>
    <row r="1916" spans="1:1" x14ac:dyDescent="0.25">
      <c r="A1916" s="5"/>
    </row>
    <row r="1917" spans="1:1" x14ac:dyDescent="0.25">
      <c r="A1917" s="5"/>
    </row>
    <row r="1918" spans="1:1" x14ac:dyDescent="0.25">
      <c r="A1918" s="5"/>
    </row>
    <row r="1919" spans="1:1" x14ac:dyDescent="0.25">
      <c r="A1919" s="5"/>
    </row>
    <row r="1920" spans="1:1" x14ac:dyDescent="0.25">
      <c r="A1920" s="5"/>
    </row>
    <row r="1921" spans="1:1" x14ac:dyDescent="0.25">
      <c r="A1921" s="5"/>
    </row>
    <row r="1922" spans="1:1" x14ac:dyDescent="0.25">
      <c r="A1922" s="5"/>
    </row>
    <row r="1923" spans="1:1" x14ac:dyDescent="0.25">
      <c r="A1923" s="5"/>
    </row>
    <row r="1924" spans="1:1" x14ac:dyDescent="0.25">
      <c r="A1924" s="5"/>
    </row>
    <row r="1925" spans="1:1" x14ac:dyDescent="0.25">
      <c r="A1925" s="5"/>
    </row>
    <row r="1926" spans="1:1" x14ac:dyDescent="0.25">
      <c r="A1926" s="5"/>
    </row>
    <row r="1927" spans="1:1" x14ac:dyDescent="0.25">
      <c r="A1927" s="5"/>
    </row>
    <row r="1928" spans="1:1" x14ac:dyDescent="0.25">
      <c r="A1928" s="5"/>
    </row>
    <row r="1929" spans="1:1" x14ac:dyDescent="0.25">
      <c r="A1929" s="5"/>
    </row>
    <row r="1930" spans="1:1" x14ac:dyDescent="0.25">
      <c r="A1930" s="5"/>
    </row>
    <row r="1931" spans="1:1" x14ac:dyDescent="0.25">
      <c r="A1931" s="5"/>
    </row>
    <row r="1932" spans="1:1" x14ac:dyDescent="0.25">
      <c r="A1932" s="5"/>
    </row>
    <row r="1933" spans="1:1" x14ac:dyDescent="0.25">
      <c r="A1933" s="5"/>
    </row>
    <row r="1934" spans="1:1" x14ac:dyDescent="0.25">
      <c r="A1934" s="5"/>
    </row>
    <row r="1935" spans="1:1" x14ac:dyDescent="0.25">
      <c r="A1935" s="5"/>
    </row>
    <row r="1936" spans="1:1" x14ac:dyDescent="0.25">
      <c r="A1936" s="5"/>
    </row>
    <row r="1937" spans="1:1" x14ac:dyDescent="0.25">
      <c r="A1937" s="5"/>
    </row>
    <row r="1938" spans="1:1" x14ac:dyDescent="0.25">
      <c r="A1938" s="5"/>
    </row>
    <row r="1939" spans="1:1" x14ac:dyDescent="0.25">
      <c r="A1939" s="5"/>
    </row>
    <row r="1940" spans="1:1" x14ac:dyDescent="0.25">
      <c r="A1940" s="5"/>
    </row>
    <row r="1941" spans="1:1" x14ac:dyDescent="0.25">
      <c r="A1941" s="5"/>
    </row>
    <row r="1942" spans="1:1" x14ac:dyDescent="0.25">
      <c r="A1942" s="5"/>
    </row>
    <row r="1943" spans="1:1" x14ac:dyDescent="0.25">
      <c r="A1943" s="5"/>
    </row>
    <row r="1944" spans="1:1" x14ac:dyDescent="0.25">
      <c r="A1944" s="5"/>
    </row>
    <row r="1945" spans="1:1" x14ac:dyDescent="0.25">
      <c r="A1945" s="5"/>
    </row>
    <row r="1946" spans="1:1" x14ac:dyDescent="0.25">
      <c r="A1946" s="5"/>
    </row>
    <row r="1947" spans="1:1" x14ac:dyDescent="0.25">
      <c r="A1947" s="5"/>
    </row>
    <row r="1948" spans="1:1" x14ac:dyDescent="0.25">
      <c r="A1948" s="5"/>
    </row>
    <row r="1949" spans="1:1" x14ac:dyDescent="0.25">
      <c r="A1949" s="5"/>
    </row>
    <row r="1950" spans="1:1" x14ac:dyDescent="0.25">
      <c r="A1950" s="5"/>
    </row>
    <row r="1951" spans="1:1" x14ac:dyDescent="0.25">
      <c r="A1951" s="5"/>
    </row>
    <row r="1952" spans="1:1" x14ac:dyDescent="0.25">
      <c r="A1952" s="5"/>
    </row>
    <row r="1953" spans="1:1" x14ac:dyDescent="0.25">
      <c r="A1953" s="5"/>
    </row>
    <row r="1954" spans="1:1" x14ac:dyDescent="0.25">
      <c r="A1954" s="5"/>
    </row>
    <row r="1955" spans="1:1" x14ac:dyDescent="0.25">
      <c r="A1955" s="5"/>
    </row>
    <row r="1956" spans="1:1" x14ac:dyDescent="0.25">
      <c r="A1956" s="5"/>
    </row>
    <row r="1957" spans="1:1" x14ac:dyDescent="0.25">
      <c r="A1957" s="5"/>
    </row>
    <row r="1958" spans="1:1" x14ac:dyDescent="0.25">
      <c r="A1958" s="5"/>
    </row>
    <row r="1959" spans="1:1" x14ac:dyDescent="0.25">
      <c r="A1959" s="5"/>
    </row>
    <row r="1960" spans="1:1" x14ac:dyDescent="0.25">
      <c r="A1960" s="5"/>
    </row>
    <row r="1961" spans="1:1" x14ac:dyDescent="0.25">
      <c r="A1961" s="5"/>
    </row>
    <row r="1962" spans="1:1" x14ac:dyDescent="0.25">
      <c r="A1962" s="5"/>
    </row>
    <row r="1963" spans="1:1" x14ac:dyDescent="0.25">
      <c r="A1963" s="5"/>
    </row>
    <row r="1964" spans="1:1" x14ac:dyDescent="0.25">
      <c r="A1964" s="5"/>
    </row>
    <row r="1965" spans="1:1" x14ac:dyDescent="0.25">
      <c r="A1965" s="5"/>
    </row>
    <row r="1966" spans="1:1" x14ac:dyDescent="0.25">
      <c r="A1966" s="5"/>
    </row>
    <row r="1967" spans="1:1" x14ac:dyDescent="0.25">
      <c r="A1967" s="5"/>
    </row>
    <row r="1968" spans="1:1" x14ac:dyDescent="0.25">
      <c r="A1968" s="5"/>
    </row>
    <row r="1969" spans="1:1" x14ac:dyDescent="0.25">
      <c r="A1969" s="5"/>
    </row>
    <row r="1970" spans="1:1" x14ac:dyDescent="0.25">
      <c r="A1970" s="5"/>
    </row>
    <row r="1971" spans="1:1" x14ac:dyDescent="0.25">
      <c r="A1971" s="5"/>
    </row>
    <row r="1972" spans="1:1" x14ac:dyDescent="0.25">
      <c r="A1972" s="5"/>
    </row>
    <row r="1973" spans="1:1" x14ac:dyDescent="0.25">
      <c r="A1973" s="5"/>
    </row>
    <row r="1974" spans="1:1" x14ac:dyDescent="0.25">
      <c r="A1974" s="5"/>
    </row>
    <row r="1975" spans="1:1" x14ac:dyDescent="0.25">
      <c r="A1975" s="5"/>
    </row>
    <row r="1976" spans="1:1" x14ac:dyDescent="0.25">
      <c r="A1976" s="5"/>
    </row>
    <row r="1977" spans="1:1" x14ac:dyDescent="0.25">
      <c r="A1977" s="5"/>
    </row>
    <row r="1978" spans="1:1" x14ac:dyDescent="0.25">
      <c r="A1978" s="5"/>
    </row>
    <row r="1979" spans="1:1" x14ac:dyDescent="0.25">
      <c r="A1979" s="5"/>
    </row>
    <row r="1980" spans="1:1" x14ac:dyDescent="0.25">
      <c r="A1980" s="5"/>
    </row>
    <row r="1981" spans="1:1" x14ac:dyDescent="0.25">
      <c r="A1981" s="5"/>
    </row>
    <row r="1982" spans="1:1" x14ac:dyDescent="0.25">
      <c r="A1982" s="5"/>
    </row>
    <row r="1983" spans="1:1" x14ac:dyDescent="0.25">
      <c r="A1983" s="5"/>
    </row>
    <row r="1984" spans="1:1" x14ac:dyDescent="0.25">
      <c r="A1984" s="5"/>
    </row>
    <row r="1985" spans="1:1" x14ac:dyDescent="0.25">
      <c r="A1985" s="5"/>
    </row>
    <row r="1986" spans="1:1" x14ac:dyDescent="0.25">
      <c r="A1986" s="5"/>
    </row>
    <row r="1987" spans="1:1" x14ac:dyDescent="0.25">
      <c r="A1987" s="5"/>
    </row>
    <row r="1988" spans="1:1" x14ac:dyDescent="0.25">
      <c r="A1988" s="5"/>
    </row>
    <row r="1989" spans="1:1" x14ac:dyDescent="0.25">
      <c r="A1989" s="5"/>
    </row>
    <row r="1990" spans="1:1" x14ac:dyDescent="0.25">
      <c r="A1990" s="5"/>
    </row>
    <row r="1991" spans="1:1" x14ac:dyDescent="0.25">
      <c r="A1991" s="5"/>
    </row>
    <row r="1992" spans="1:1" x14ac:dyDescent="0.25">
      <c r="A1992" s="5"/>
    </row>
    <row r="1993" spans="1:1" x14ac:dyDescent="0.25">
      <c r="A1993" s="5"/>
    </row>
    <row r="1994" spans="1:1" x14ac:dyDescent="0.25">
      <c r="A1994" s="5"/>
    </row>
    <row r="1995" spans="1:1" x14ac:dyDescent="0.25">
      <c r="A1995" s="5"/>
    </row>
    <row r="1996" spans="1:1" x14ac:dyDescent="0.25">
      <c r="A1996" s="5"/>
    </row>
    <row r="1997" spans="1:1" x14ac:dyDescent="0.25">
      <c r="A1997" s="5"/>
    </row>
    <row r="1998" spans="1:1" x14ac:dyDescent="0.25">
      <c r="A1998" s="5"/>
    </row>
    <row r="1999" spans="1:1" x14ac:dyDescent="0.25">
      <c r="A1999" s="5"/>
    </row>
    <row r="2000" spans="1:1" x14ac:dyDescent="0.25">
      <c r="A2000" s="5"/>
    </row>
    <row r="2001" spans="1:1" x14ac:dyDescent="0.25">
      <c r="A2001" s="5"/>
    </row>
    <row r="2002" spans="1:1" x14ac:dyDescent="0.25">
      <c r="A2002" s="5"/>
    </row>
    <row r="2003" spans="1:1" x14ac:dyDescent="0.25">
      <c r="A2003" s="5"/>
    </row>
    <row r="2004" spans="1:1" x14ac:dyDescent="0.25">
      <c r="A2004" s="5"/>
    </row>
    <row r="2005" spans="1:1" x14ac:dyDescent="0.25">
      <c r="A2005" s="5"/>
    </row>
    <row r="2006" spans="1:1" x14ac:dyDescent="0.25">
      <c r="A2006" s="5"/>
    </row>
    <row r="2007" spans="1:1" x14ac:dyDescent="0.25">
      <c r="A2007" s="5"/>
    </row>
    <row r="2008" spans="1:1" x14ac:dyDescent="0.25">
      <c r="A2008" s="5"/>
    </row>
    <row r="2009" spans="1:1" x14ac:dyDescent="0.25">
      <c r="A2009" s="5"/>
    </row>
    <row r="2010" spans="1:1" x14ac:dyDescent="0.25">
      <c r="A2010" s="5"/>
    </row>
    <row r="2011" spans="1:1" x14ac:dyDescent="0.25">
      <c r="A2011" s="5"/>
    </row>
    <row r="2012" spans="1:1" x14ac:dyDescent="0.25">
      <c r="A2012" s="5"/>
    </row>
    <row r="2013" spans="1:1" x14ac:dyDescent="0.25">
      <c r="A2013" s="5"/>
    </row>
    <row r="2014" spans="1:1" x14ac:dyDescent="0.25">
      <c r="A2014" s="5"/>
    </row>
    <row r="2015" spans="1:1" x14ac:dyDescent="0.25">
      <c r="A2015" s="5"/>
    </row>
    <row r="2016" spans="1:1" x14ac:dyDescent="0.25">
      <c r="A2016" s="5"/>
    </row>
    <row r="2017" spans="1:1" x14ac:dyDescent="0.25">
      <c r="A2017" s="5"/>
    </row>
    <row r="2018" spans="1:1" x14ac:dyDescent="0.25">
      <c r="A2018" s="5"/>
    </row>
    <row r="2019" spans="1:1" x14ac:dyDescent="0.25">
      <c r="A2019" s="5"/>
    </row>
    <row r="2020" spans="1:1" x14ac:dyDescent="0.25">
      <c r="A2020" s="5"/>
    </row>
    <row r="2021" spans="1:1" x14ac:dyDescent="0.25">
      <c r="A2021" s="5"/>
    </row>
    <row r="2022" spans="1:1" x14ac:dyDescent="0.25">
      <c r="A2022" s="5"/>
    </row>
    <row r="2023" spans="1:1" x14ac:dyDescent="0.25">
      <c r="A2023" s="5"/>
    </row>
    <row r="2024" spans="1:1" x14ac:dyDescent="0.25">
      <c r="A2024" s="5"/>
    </row>
    <row r="2025" spans="1:1" x14ac:dyDescent="0.25">
      <c r="A2025" s="5"/>
    </row>
    <row r="2026" spans="1:1" x14ac:dyDescent="0.25">
      <c r="A2026" s="5"/>
    </row>
    <row r="2027" spans="1:1" x14ac:dyDescent="0.25">
      <c r="A2027" s="5"/>
    </row>
    <row r="2028" spans="1:1" x14ac:dyDescent="0.25">
      <c r="A2028" s="5"/>
    </row>
    <row r="2029" spans="1:1" x14ac:dyDescent="0.25">
      <c r="A2029" s="5"/>
    </row>
    <row r="2030" spans="1:1" x14ac:dyDescent="0.25">
      <c r="A2030" s="5"/>
    </row>
    <row r="2031" spans="1:1" x14ac:dyDescent="0.25">
      <c r="A2031" s="5"/>
    </row>
    <row r="2032" spans="1:1" x14ac:dyDescent="0.25">
      <c r="A2032" s="5"/>
    </row>
    <row r="2033" spans="1:1" x14ac:dyDescent="0.25">
      <c r="A2033" s="5"/>
    </row>
    <row r="2034" spans="1:1" x14ac:dyDescent="0.25">
      <c r="A2034" s="5"/>
    </row>
    <row r="2035" spans="1:1" x14ac:dyDescent="0.25">
      <c r="A2035" s="5"/>
    </row>
    <row r="2036" spans="1:1" x14ac:dyDescent="0.25">
      <c r="A2036" s="5"/>
    </row>
    <row r="2037" spans="1:1" x14ac:dyDescent="0.25">
      <c r="A2037" s="5"/>
    </row>
    <row r="2038" spans="1:1" x14ac:dyDescent="0.25">
      <c r="A2038" s="5"/>
    </row>
    <row r="2039" spans="1:1" x14ac:dyDescent="0.25">
      <c r="A2039" s="5"/>
    </row>
    <row r="2040" spans="1:1" x14ac:dyDescent="0.25">
      <c r="A2040" s="5"/>
    </row>
    <row r="2041" spans="1:1" x14ac:dyDescent="0.25">
      <c r="A2041" s="5"/>
    </row>
    <row r="2042" spans="1:1" x14ac:dyDescent="0.25">
      <c r="A2042" s="5"/>
    </row>
    <row r="2043" spans="1:1" x14ac:dyDescent="0.25">
      <c r="A2043" s="5"/>
    </row>
    <row r="2044" spans="1:1" x14ac:dyDescent="0.25">
      <c r="A2044" s="5"/>
    </row>
    <row r="2045" spans="1:1" x14ac:dyDescent="0.25">
      <c r="A2045" s="5"/>
    </row>
    <row r="2046" spans="1:1" x14ac:dyDescent="0.25">
      <c r="A2046" s="5"/>
    </row>
    <row r="2047" spans="1:1" x14ac:dyDescent="0.25">
      <c r="A2047" s="5"/>
    </row>
    <row r="2048" spans="1:1" x14ac:dyDescent="0.25">
      <c r="A2048" s="5"/>
    </row>
    <row r="2049" spans="1:1" x14ac:dyDescent="0.25">
      <c r="A2049" s="5"/>
    </row>
    <row r="2050" spans="1:1" x14ac:dyDescent="0.25">
      <c r="A2050" s="5"/>
    </row>
    <row r="2051" spans="1:1" x14ac:dyDescent="0.25">
      <c r="A2051" s="5"/>
    </row>
    <row r="2052" spans="1:1" x14ac:dyDescent="0.25">
      <c r="A2052" s="5"/>
    </row>
    <row r="2053" spans="1:1" x14ac:dyDescent="0.25">
      <c r="A2053" s="5"/>
    </row>
    <row r="2054" spans="1:1" x14ac:dyDescent="0.25">
      <c r="A2054" s="5"/>
    </row>
    <row r="2055" spans="1:1" x14ac:dyDescent="0.25">
      <c r="A2055" s="5"/>
    </row>
    <row r="2056" spans="1:1" x14ac:dyDescent="0.25">
      <c r="A2056" s="5"/>
    </row>
    <row r="2057" spans="1:1" x14ac:dyDescent="0.25">
      <c r="A2057" s="5"/>
    </row>
    <row r="2058" spans="1:1" x14ac:dyDescent="0.25">
      <c r="A2058" s="5"/>
    </row>
    <row r="2059" spans="1:1" x14ac:dyDescent="0.25">
      <c r="A2059" s="5"/>
    </row>
    <row r="2060" spans="1:1" x14ac:dyDescent="0.25">
      <c r="A2060" s="5"/>
    </row>
    <row r="2061" spans="1:1" x14ac:dyDescent="0.25">
      <c r="A2061" s="5"/>
    </row>
    <row r="2062" spans="1:1" x14ac:dyDescent="0.25">
      <c r="A2062" s="5"/>
    </row>
    <row r="2063" spans="1:1" x14ac:dyDescent="0.25">
      <c r="A2063" s="5"/>
    </row>
    <row r="2064" spans="1:1" x14ac:dyDescent="0.25">
      <c r="A2064" s="5"/>
    </row>
    <row r="2065" spans="1:1" x14ac:dyDescent="0.25">
      <c r="A2065" s="5"/>
    </row>
    <row r="2066" spans="1:1" x14ac:dyDescent="0.25">
      <c r="A2066" s="5"/>
    </row>
    <row r="2067" spans="1:1" x14ac:dyDescent="0.25">
      <c r="A2067" s="5"/>
    </row>
    <row r="2068" spans="1:1" x14ac:dyDescent="0.25">
      <c r="A2068" s="5"/>
    </row>
    <row r="2069" spans="1:1" x14ac:dyDescent="0.25">
      <c r="A2069" s="5"/>
    </row>
    <row r="2070" spans="1:1" x14ac:dyDescent="0.25">
      <c r="A2070" s="5"/>
    </row>
    <row r="2071" spans="1:1" x14ac:dyDescent="0.25">
      <c r="A2071" s="5"/>
    </row>
    <row r="2072" spans="1:1" x14ac:dyDescent="0.25">
      <c r="A2072" s="5"/>
    </row>
    <row r="2073" spans="1:1" x14ac:dyDescent="0.25">
      <c r="A2073" s="5"/>
    </row>
    <row r="2074" spans="1:1" x14ac:dyDescent="0.25">
      <c r="A2074" s="5"/>
    </row>
    <row r="2075" spans="1:1" x14ac:dyDescent="0.25">
      <c r="A2075" s="5"/>
    </row>
    <row r="2076" spans="1:1" x14ac:dyDescent="0.25">
      <c r="A2076" s="5"/>
    </row>
    <row r="2077" spans="1:1" x14ac:dyDescent="0.25">
      <c r="A2077" s="5"/>
    </row>
    <row r="2078" spans="1:1" x14ac:dyDescent="0.25">
      <c r="A2078" s="5"/>
    </row>
    <row r="2079" spans="1:1" x14ac:dyDescent="0.25">
      <c r="A2079" s="5"/>
    </row>
    <row r="2080" spans="1:1" x14ac:dyDescent="0.25">
      <c r="A2080" s="5"/>
    </row>
    <row r="2081" spans="1:1" x14ac:dyDescent="0.25">
      <c r="A2081" s="5"/>
    </row>
    <row r="2082" spans="1:1" x14ac:dyDescent="0.25">
      <c r="A2082" s="5"/>
    </row>
    <row r="2083" spans="1:1" x14ac:dyDescent="0.25">
      <c r="A2083" s="5"/>
    </row>
    <row r="2084" spans="1:1" x14ac:dyDescent="0.25">
      <c r="A2084" s="5"/>
    </row>
    <row r="2085" spans="1:1" x14ac:dyDescent="0.25">
      <c r="A2085" s="5"/>
    </row>
    <row r="2086" spans="1:1" x14ac:dyDescent="0.25">
      <c r="A2086" s="5"/>
    </row>
    <row r="2087" spans="1:1" x14ac:dyDescent="0.25">
      <c r="A2087" s="5"/>
    </row>
    <row r="2088" spans="1:1" x14ac:dyDescent="0.25">
      <c r="A2088" s="5"/>
    </row>
    <row r="2089" spans="1:1" x14ac:dyDescent="0.25">
      <c r="A2089" s="5"/>
    </row>
    <row r="2090" spans="1:1" x14ac:dyDescent="0.25">
      <c r="A2090" s="5"/>
    </row>
    <row r="2091" spans="1:1" x14ac:dyDescent="0.25">
      <c r="A2091" s="5"/>
    </row>
    <row r="2092" spans="1:1" x14ac:dyDescent="0.25">
      <c r="A2092" s="5"/>
    </row>
    <row r="2093" spans="1:1" x14ac:dyDescent="0.25">
      <c r="A2093" s="5"/>
    </row>
    <row r="2094" spans="1:1" x14ac:dyDescent="0.25">
      <c r="A2094" s="5"/>
    </row>
    <row r="2095" spans="1:1" x14ac:dyDescent="0.25">
      <c r="A2095" s="5"/>
    </row>
    <row r="2096" spans="1:1" x14ac:dyDescent="0.25">
      <c r="A2096" s="5"/>
    </row>
    <row r="2097" spans="1:1" x14ac:dyDescent="0.25">
      <c r="A2097" s="5"/>
    </row>
    <row r="2098" spans="1:1" x14ac:dyDescent="0.25">
      <c r="A2098" s="5"/>
    </row>
    <row r="2099" spans="1:1" x14ac:dyDescent="0.25">
      <c r="A2099" s="5"/>
    </row>
    <row r="2100" spans="1:1" x14ac:dyDescent="0.25">
      <c r="A2100" s="5"/>
    </row>
    <row r="2101" spans="1:1" x14ac:dyDescent="0.25">
      <c r="A2101" s="5"/>
    </row>
    <row r="2102" spans="1:1" x14ac:dyDescent="0.25">
      <c r="A2102" s="5"/>
    </row>
    <row r="2103" spans="1:1" x14ac:dyDescent="0.25">
      <c r="A2103" s="5"/>
    </row>
    <row r="2104" spans="1:1" x14ac:dyDescent="0.25">
      <c r="A2104" s="5"/>
    </row>
    <row r="2105" spans="1:1" x14ac:dyDescent="0.25">
      <c r="A2105" s="5"/>
    </row>
    <row r="2106" spans="1:1" x14ac:dyDescent="0.25">
      <c r="A2106" s="5"/>
    </row>
    <row r="2107" spans="1:1" x14ac:dyDescent="0.25">
      <c r="A2107" s="5"/>
    </row>
    <row r="2108" spans="1:1" x14ac:dyDescent="0.25">
      <c r="A2108" s="5"/>
    </row>
    <row r="2109" spans="1:1" x14ac:dyDescent="0.25">
      <c r="A2109" s="5"/>
    </row>
    <row r="2110" spans="1:1" x14ac:dyDescent="0.25">
      <c r="A2110" s="5"/>
    </row>
    <row r="2111" spans="1:1" x14ac:dyDescent="0.25">
      <c r="A2111" s="5"/>
    </row>
    <row r="2112" spans="1:1" x14ac:dyDescent="0.25">
      <c r="A2112" s="5"/>
    </row>
    <row r="2113" spans="1:1" x14ac:dyDescent="0.25">
      <c r="A2113" s="5"/>
    </row>
    <row r="2114" spans="1:1" x14ac:dyDescent="0.25">
      <c r="A2114" s="5"/>
    </row>
    <row r="2115" spans="1:1" x14ac:dyDescent="0.25">
      <c r="A2115" s="5"/>
    </row>
    <row r="2116" spans="1:1" x14ac:dyDescent="0.25">
      <c r="A2116" s="5"/>
    </row>
    <row r="2117" spans="1:1" x14ac:dyDescent="0.25">
      <c r="A2117" s="5"/>
    </row>
    <row r="2118" spans="1:1" x14ac:dyDescent="0.25">
      <c r="A2118" s="5"/>
    </row>
    <row r="2119" spans="1:1" x14ac:dyDescent="0.25">
      <c r="A2119" s="5"/>
    </row>
    <row r="2120" spans="1:1" x14ac:dyDescent="0.25">
      <c r="A2120" s="5"/>
    </row>
    <row r="2121" spans="1:1" x14ac:dyDescent="0.25">
      <c r="A2121" s="5"/>
    </row>
    <row r="2122" spans="1:1" x14ac:dyDescent="0.25">
      <c r="A2122" s="5"/>
    </row>
    <row r="2123" spans="1:1" x14ac:dyDescent="0.25">
      <c r="A2123" s="5"/>
    </row>
    <row r="2124" spans="1:1" x14ac:dyDescent="0.25">
      <c r="A2124" s="5"/>
    </row>
    <row r="2125" spans="1:1" x14ac:dyDescent="0.25">
      <c r="A2125" s="5"/>
    </row>
    <row r="2126" spans="1:1" x14ac:dyDescent="0.25">
      <c r="A2126" s="5"/>
    </row>
    <row r="2127" spans="1:1" x14ac:dyDescent="0.25">
      <c r="A2127" s="5"/>
    </row>
    <row r="2128" spans="1:1" x14ac:dyDescent="0.25">
      <c r="A2128" s="5"/>
    </row>
    <row r="2129" spans="1:1" x14ac:dyDescent="0.25">
      <c r="A2129" s="5"/>
    </row>
    <row r="2130" spans="1:1" x14ac:dyDescent="0.25">
      <c r="A2130" s="5"/>
    </row>
    <row r="2131" spans="1:1" x14ac:dyDescent="0.25">
      <c r="A2131" s="5"/>
    </row>
    <row r="2132" spans="1:1" x14ac:dyDescent="0.25">
      <c r="A2132" s="5"/>
    </row>
    <row r="2133" spans="1:1" x14ac:dyDescent="0.25">
      <c r="A2133" s="5"/>
    </row>
    <row r="2134" spans="1:1" x14ac:dyDescent="0.25">
      <c r="A2134" s="5"/>
    </row>
    <row r="2135" spans="1:1" x14ac:dyDescent="0.25">
      <c r="A2135" s="5"/>
    </row>
    <row r="2136" spans="1:1" x14ac:dyDescent="0.25">
      <c r="A2136" s="5"/>
    </row>
    <row r="2137" spans="1:1" x14ac:dyDescent="0.25">
      <c r="A2137" s="5"/>
    </row>
    <row r="2138" spans="1:1" x14ac:dyDescent="0.25">
      <c r="A2138" s="5"/>
    </row>
    <row r="2139" spans="1:1" x14ac:dyDescent="0.25">
      <c r="A2139" s="5"/>
    </row>
    <row r="2140" spans="1:1" x14ac:dyDescent="0.25">
      <c r="A2140" s="5"/>
    </row>
    <row r="2141" spans="1:1" x14ac:dyDescent="0.25">
      <c r="A2141" s="5"/>
    </row>
    <row r="2142" spans="1:1" x14ac:dyDescent="0.25">
      <c r="A2142" s="5"/>
    </row>
    <row r="2143" spans="1:1" x14ac:dyDescent="0.25">
      <c r="A2143" s="5"/>
    </row>
    <row r="2144" spans="1:1" x14ac:dyDescent="0.25">
      <c r="A2144" s="5"/>
    </row>
    <row r="2145" spans="1:1" x14ac:dyDescent="0.25">
      <c r="A2145" s="5"/>
    </row>
    <row r="2146" spans="1:1" x14ac:dyDescent="0.25">
      <c r="A2146" s="5"/>
    </row>
    <row r="2147" spans="1:1" x14ac:dyDescent="0.25">
      <c r="A2147" s="5"/>
    </row>
    <row r="2148" spans="1:1" x14ac:dyDescent="0.25">
      <c r="A2148" s="5"/>
    </row>
    <row r="2149" spans="1:1" x14ac:dyDescent="0.25">
      <c r="A2149" s="5"/>
    </row>
    <row r="2150" spans="1:1" x14ac:dyDescent="0.25">
      <c r="A2150" s="5"/>
    </row>
    <row r="2151" spans="1:1" x14ac:dyDescent="0.25">
      <c r="A2151" s="5"/>
    </row>
    <row r="2152" spans="1:1" x14ac:dyDescent="0.25">
      <c r="A2152" s="5"/>
    </row>
    <row r="2153" spans="1:1" x14ac:dyDescent="0.25">
      <c r="A2153" s="5"/>
    </row>
    <row r="2154" spans="1:1" x14ac:dyDescent="0.25">
      <c r="A2154" s="5"/>
    </row>
    <row r="2155" spans="1:1" x14ac:dyDescent="0.25">
      <c r="A2155" s="5"/>
    </row>
    <row r="2156" spans="1:1" x14ac:dyDescent="0.25">
      <c r="A2156" s="5"/>
    </row>
    <row r="2157" spans="1:1" x14ac:dyDescent="0.25">
      <c r="A2157" s="5"/>
    </row>
    <row r="2158" spans="1:1" x14ac:dyDescent="0.25">
      <c r="A2158" s="5"/>
    </row>
    <row r="2159" spans="1:1" x14ac:dyDescent="0.25">
      <c r="A2159" s="5"/>
    </row>
    <row r="2160" spans="1:1" x14ac:dyDescent="0.25">
      <c r="A2160" s="5"/>
    </row>
    <row r="2161" spans="1:1" x14ac:dyDescent="0.25">
      <c r="A2161" s="5"/>
    </row>
    <row r="2162" spans="1:1" x14ac:dyDescent="0.25">
      <c r="A2162" s="5"/>
    </row>
    <row r="2163" spans="1:1" x14ac:dyDescent="0.25">
      <c r="A2163" s="5"/>
    </row>
    <row r="2164" spans="1:1" x14ac:dyDescent="0.25">
      <c r="A2164" s="5"/>
    </row>
    <row r="2165" spans="1:1" x14ac:dyDescent="0.25">
      <c r="A2165" s="5"/>
    </row>
    <row r="2166" spans="1:1" x14ac:dyDescent="0.25">
      <c r="A2166" s="5"/>
    </row>
    <row r="2167" spans="1:1" x14ac:dyDescent="0.25">
      <c r="A2167" s="5"/>
    </row>
    <row r="2168" spans="1:1" x14ac:dyDescent="0.25">
      <c r="A2168" s="5"/>
    </row>
    <row r="2169" spans="1:1" x14ac:dyDescent="0.25">
      <c r="A2169" s="5"/>
    </row>
    <row r="2170" spans="1:1" x14ac:dyDescent="0.25">
      <c r="A2170" s="5"/>
    </row>
    <row r="2171" spans="1:1" x14ac:dyDescent="0.25">
      <c r="A2171" s="5"/>
    </row>
    <row r="2172" spans="1:1" x14ac:dyDescent="0.25">
      <c r="A2172" s="5"/>
    </row>
    <row r="2173" spans="1:1" x14ac:dyDescent="0.25">
      <c r="A2173" s="5"/>
    </row>
    <row r="2174" spans="1:1" x14ac:dyDescent="0.25">
      <c r="A2174" s="5"/>
    </row>
    <row r="2175" spans="1:1" x14ac:dyDescent="0.25">
      <c r="A2175" s="5"/>
    </row>
    <row r="2176" spans="1:1" x14ac:dyDescent="0.25">
      <c r="A2176" s="5"/>
    </row>
    <row r="2177" spans="1:1" x14ac:dyDescent="0.25">
      <c r="A2177" s="5"/>
    </row>
    <row r="2178" spans="1:1" x14ac:dyDescent="0.25">
      <c r="A2178" s="5"/>
    </row>
    <row r="2179" spans="1:1" x14ac:dyDescent="0.25">
      <c r="A2179" s="5"/>
    </row>
    <row r="2180" spans="1:1" x14ac:dyDescent="0.25">
      <c r="A2180" s="5"/>
    </row>
    <row r="2181" spans="1:1" x14ac:dyDescent="0.25">
      <c r="A2181" s="5"/>
    </row>
    <row r="2182" spans="1:1" x14ac:dyDescent="0.25">
      <c r="A2182" s="5"/>
    </row>
    <row r="2183" spans="1:1" x14ac:dyDescent="0.25">
      <c r="A2183" s="5"/>
    </row>
    <row r="2184" spans="1:1" x14ac:dyDescent="0.25">
      <c r="A2184" s="5"/>
    </row>
    <row r="2185" spans="1:1" x14ac:dyDescent="0.25">
      <c r="A2185" s="5"/>
    </row>
    <row r="2186" spans="1:1" x14ac:dyDescent="0.25">
      <c r="A2186" s="5"/>
    </row>
    <row r="2187" spans="1:1" x14ac:dyDescent="0.25">
      <c r="A2187" s="5"/>
    </row>
    <row r="2188" spans="1:1" x14ac:dyDescent="0.25">
      <c r="A2188" s="5"/>
    </row>
    <row r="2189" spans="1:1" x14ac:dyDescent="0.25">
      <c r="A2189" s="5"/>
    </row>
    <row r="2190" spans="1:1" x14ac:dyDescent="0.25">
      <c r="A2190" s="5"/>
    </row>
    <row r="2191" spans="1:1" x14ac:dyDescent="0.25">
      <c r="A2191" s="5"/>
    </row>
    <row r="2192" spans="1:1" x14ac:dyDescent="0.25">
      <c r="A2192" s="5"/>
    </row>
    <row r="2193" spans="1:1" x14ac:dyDescent="0.25">
      <c r="A2193" s="5"/>
    </row>
    <row r="2194" spans="1:1" x14ac:dyDescent="0.25">
      <c r="A2194" s="5"/>
    </row>
    <row r="2195" spans="1:1" x14ac:dyDescent="0.25">
      <c r="A2195" s="5"/>
    </row>
    <row r="2196" spans="1:1" x14ac:dyDescent="0.25">
      <c r="A2196" s="5"/>
    </row>
    <row r="2197" spans="1:1" x14ac:dyDescent="0.25">
      <c r="A2197" s="5"/>
    </row>
    <row r="2198" spans="1:1" x14ac:dyDescent="0.25">
      <c r="A2198" s="5"/>
    </row>
    <row r="2199" spans="1:1" x14ac:dyDescent="0.25">
      <c r="A2199" s="5"/>
    </row>
    <row r="2200" spans="1:1" x14ac:dyDescent="0.25">
      <c r="A2200" s="5"/>
    </row>
    <row r="2201" spans="1:1" x14ac:dyDescent="0.25">
      <c r="A2201" s="5"/>
    </row>
    <row r="2202" spans="1:1" x14ac:dyDescent="0.25">
      <c r="A2202" s="5"/>
    </row>
    <row r="2203" spans="1:1" x14ac:dyDescent="0.25">
      <c r="A2203" s="5"/>
    </row>
    <row r="2204" spans="1:1" x14ac:dyDescent="0.25">
      <c r="A2204" s="5"/>
    </row>
    <row r="2205" spans="1:1" x14ac:dyDescent="0.25">
      <c r="A2205" s="5"/>
    </row>
    <row r="2206" spans="1:1" x14ac:dyDescent="0.25">
      <c r="A2206" s="5"/>
    </row>
    <row r="2207" spans="1:1" x14ac:dyDescent="0.25">
      <c r="A2207" s="5"/>
    </row>
    <row r="2208" spans="1:1" x14ac:dyDescent="0.25">
      <c r="A2208" s="5"/>
    </row>
    <row r="2209" spans="1:1" x14ac:dyDescent="0.25">
      <c r="A2209" s="5"/>
    </row>
    <row r="2210" spans="1:1" x14ac:dyDescent="0.25">
      <c r="A2210" s="5"/>
    </row>
    <row r="2211" spans="1:1" x14ac:dyDescent="0.25">
      <c r="A2211" s="5"/>
    </row>
    <row r="2212" spans="1:1" x14ac:dyDescent="0.25">
      <c r="A2212" s="5"/>
    </row>
    <row r="2213" spans="1:1" x14ac:dyDescent="0.25">
      <c r="A2213" s="5"/>
    </row>
    <row r="2214" spans="1:1" x14ac:dyDescent="0.25">
      <c r="A2214" s="5"/>
    </row>
    <row r="2215" spans="1:1" x14ac:dyDescent="0.25">
      <c r="A2215" s="5"/>
    </row>
    <row r="2216" spans="1:1" x14ac:dyDescent="0.25">
      <c r="A2216" s="5"/>
    </row>
    <row r="2217" spans="1:1" x14ac:dyDescent="0.25">
      <c r="A2217" s="5"/>
    </row>
    <row r="2218" spans="1:1" x14ac:dyDescent="0.25">
      <c r="A2218" s="5"/>
    </row>
    <row r="2219" spans="1:1" x14ac:dyDescent="0.25">
      <c r="A2219" s="5"/>
    </row>
    <row r="2220" spans="1:1" x14ac:dyDescent="0.25">
      <c r="A2220" s="5"/>
    </row>
    <row r="2221" spans="1:1" x14ac:dyDescent="0.25">
      <c r="A2221" s="5"/>
    </row>
    <row r="2222" spans="1:1" x14ac:dyDescent="0.25">
      <c r="A2222" s="5"/>
    </row>
    <row r="2223" spans="1:1" x14ac:dyDescent="0.25">
      <c r="A2223" s="5"/>
    </row>
    <row r="2224" spans="1:1" x14ac:dyDescent="0.25">
      <c r="A2224" s="5"/>
    </row>
    <row r="2225" spans="1:1" x14ac:dyDescent="0.25">
      <c r="A2225" s="5"/>
    </row>
    <row r="2226" spans="1:1" x14ac:dyDescent="0.25">
      <c r="A2226" s="5"/>
    </row>
    <row r="2227" spans="1:1" x14ac:dyDescent="0.25">
      <c r="A2227" s="5"/>
    </row>
    <row r="2228" spans="1:1" x14ac:dyDescent="0.25">
      <c r="A2228" s="5"/>
    </row>
    <row r="2229" spans="1:1" x14ac:dyDescent="0.25">
      <c r="A2229" s="5"/>
    </row>
    <row r="2230" spans="1:1" x14ac:dyDescent="0.25">
      <c r="A2230" s="5"/>
    </row>
    <row r="2231" spans="1:1" x14ac:dyDescent="0.25">
      <c r="A2231" s="5"/>
    </row>
    <row r="2232" spans="1:1" x14ac:dyDescent="0.25">
      <c r="A2232" s="5"/>
    </row>
    <row r="2233" spans="1:1" x14ac:dyDescent="0.25">
      <c r="A2233" s="5"/>
    </row>
    <row r="2234" spans="1:1" x14ac:dyDescent="0.25">
      <c r="A2234" s="5"/>
    </row>
    <row r="2235" spans="1:1" x14ac:dyDescent="0.25">
      <c r="A2235" s="5"/>
    </row>
    <row r="2236" spans="1:1" x14ac:dyDescent="0.25">
      <c r="A2236" s="5"/>
    </row>
    <row r="2237" spans="1:1" x14ac:dyDescent="0.25">
      <c r="A2237" s="5"/>
    </row>
    <row r="2238" spans="1:1" x14ac:dyDescent="0.25">
      <c r="A2238" s="5"/>
    </row>
    <row r="2239" spans="1:1" x14ac:dyDescent="0.25">
      <c r="A2239" s="5"/>
    </row>
    <row r="2240" spans="1:1" x14ac:dyDescent="0.25">
      <c r="A2240" s="5"/>
    </row>
    <row r="2241" spans="1:1" x14ac:dyDescent="0.25">
      <c r="A2241" s="5"/>
    </row>
    <row r="2242" spans="1:1" x14ac:dyDescent="0.25">
      <c r="A2242" s="5"/>
    </row>
    <row r="2243" spans="1:1" x14ac:dyDescent="0.25">
      <c r="A2243" s="5"/>
    </row>
    <row r="2244" spans="1:1" x14ac:dyDescent="0.25">
      <c r="A2244" s="5"/>
    </row>
    <row r="2245" spans="1:1" x14ac:dyDescent="0.25">
      <c r="A2245" s="5"/>
    </row>
    <row r="2246" spans="1:1" x14ac:dyDescent="0.25">
      <c r="A2246" s="5"/>
    </row>
    <row r="2247" spans="1:1" x14ac:dyDescent="0.25">
      <c r="A2247" s="5"/>
    </row>
    <row r="2248" spans="1:1" x14ac:dyDescent="0.25">
      <c r="A2248" s="5"/>
    </row>
    <row r="2249" spans="1:1" x14ac:dyDescent="0.25">
      <c r="A2249" s="5"/>
    </row>
    <row r="2250" spans="1:1" x14ac:dyDescent="0.25">
      <c r="A2250" s="5"/>
    </row>
    <row r="2251" spans="1:1" x14ac:dyDescent="0.25">
      <c r="A2251" s="5"/>
    </row>
    <row r="2252" spans="1:1" x14ac:dyDescent="0.25">
      <c r="A2252" s="5"/>
    </row>
    <row r="2253" spans="1:1" x14ac:dyDescent="0.25">
      <c r="A2253" s="5"/>
    </row>
    <row r="2254" spans="1:1" x14ac:dyDescent="0.25">
      <c r="A2254" s="5"/>
    </row>
    <row r="2255" spans="1:1" x14ac:dyDescent="0.25">
      <c r="A2255" s="5"/>
    </row>
    <row r="2256" spans="1:1" x14ac:dyDescent="0.25">
      <c r="A2256" s="5"/>
    </row>
    <row r="2257" spans="1:1" x14ac:dyDescent="0.25">
      <c r="A2257" s="5"/>
    </row>
    <row r="2258" spans="1:1" x14ac:dyDescent="0.25">
      <c r="A2258" s="5"/>
    </row>
    <row r="2259" spans="1:1" x14ac:dyDescent="0.25">
      <c r="A2259" s="5"/>
    </row>
    <row r="2260" spans="1:1" x14ac:dyDescent="0.25">
      <c r="A2260" s="5"/>
    </row>
    <row r="2261" spans="1:1" x14ac:dyDescent="0.25">
      <c r="A2261" s="5"/>
    </row>
    <row r="2262" spans="1:1" x14ac:dyDescent="0.25">
      <c r="A2262" s="5"/>
    </row>
    <row r="2263" spans="1:1" x14ac:dyDescent="0.25">
      <c r="A2263" s="5"/>
    </row>
    <row r="2264" spans="1:1" x14ac:dyDescent="0.25">
      <c r="A2264" s="5"/>
    </row>
    <row r="2265" spans="1:1" x14ac:dyDescent="0.25">
      <c r="A2265" s="5"/>
    </row>
    <row r="2266" spans="1:1" x14ac:dyDescent="0.25">
      <c r="A2266" s="5"/>
    </row>
    <row r="2267" spans="1:1" x14ac:dyDescent="0.25">
      <c r="A2267" s="5"/>
    </row>
    <row r="2268" spans="1:1" x14ac:dyDescent="0.25">
      <c r="A2268" s="5"/>
    </row>
    <row r="2269" spans="1:1" x14ac:dyDescent="0.25">
      <c r="A2269" s="5"/>
    </row>
    <row r="2270" spans="1:1" x14ac:dyDescent="0.25">
      <c r="A2270" s="5"/>
    </row>
    <row r="2271" spans="1:1" x14ac:dyDescent="0.25">
      <c r="A2271" s="5"/>
    </row>
    <row r="2272" spans="1:1" x14ac:dyDescent="0.25">
      <c r="A2272" s="5"/>
    </row>
    <row r="2273" spans="1:1" x14ac:dyDescent="0.25">
      <c r="A2273" s="5"/>
    </row>
    <row r="2274" spans="1:1" x14ac:dyDescent="0.25">
      <c r="A2274" s="5"/>
    </row>
    <row r="2275" spans="1:1" x14ac:dyDescent="0.25">
      <c r="A2275" s="5"/>
    </row>
    <row r="2276" spans="1:1" x14ac:dyDescent="0.25">
      <c r="A2276" s="5"/>
    </row>
    <row r="2277" spans="1:1" x14ac:dyDescent="0.25">
      <c r="A2277" s="5"/>
    </row>
    <row r="2278" spans="1:1" x14ac:dyDescent="0.25">
      <c r="A2278" s="5"/>
    </row>
    <row r="2279" spans="1:1" x14ac:dyDescent="0.25">
      <c r="A2279" s="5"/>
    </row>
    <row r="2280" spans="1:1" x14ac:dyDescent="0.25">
      <c r="A2280" s="5"/>
    </row>
    <row r="2281" spans="1:1" x14ac:dyDescent="0.25">
      <c r="A2281" s="5"/>
    </row>
    <row r="2282" spans="1:1" x14ac:dyDescent="0.25">
      <c r="A2282" s="5"/>
    </row>
    <row r="2283" spans="1:1" x14ac:dyDescent="0.25">
      <c r="A2283" s="5"/>
    </row>
    <row r="2284" spans="1:1" x14ac:dyDescent="0.25">
      <c r="A2284" s="5"/>
    </row>
    <row r="2285" spans="1:1" x14ac:dyDescent="0.25">
      <c r="A2285" s="5"/>
    </row>
    <row r="2286" spans="1:1" x14ac:dyDescent="0.25">
      <c r="A2286" s="5"/>
    </row>
    <row r="2287" spans="1:1" x14ac:dyDescent="0.25">
      <c r="A2287" s="5"/>
    </row>
    <row r="2288" spans="1:1" x14ac:dyDescent="0.25">
      <c r="A2288" s="5"/>
    </row>
    <row r="2289" spans="1:1" x14ac:dyDescent="0.25">
      <c r="A2289" s="5"/>
    </row>
    <row r="2290" spans="1:1" x14ac:dyDescent="0.25">
      <c r="A2290" s="5"/>
    </row>
    <row r="2291" spans="1:1" x14ac:dyDescent="0.25">
      <c r="A2291" s="5"/>
    </row>
    <row r="2292" spans="1:1" x14ac:dyDescent="0.25">
      <c r="A2292" s="5"/>
    </row>
    <row r="2293" spans="1:1" x14ac:dyDescent="0.25">
      <c r="A2293" s="5"/>
    </row>
    <row r="2294" spans="1:1" x14ac:dyDescent="0.25">
      <c r="A2294" s="5"/>
    </row>
    <row r="2295" spans="1:1" x14ac:dyDescent="0.25">
      <c r="A2295" s="5"/>
    </row>
    <row r="2296" spans="1:1" x14ac:dyDescent="0.25">
      <c r="A2296" s="5"/>
    </row>
    <row r="2297" spans="1:1" x14ac:dyDescent="0.25">
      <c r="A2297" s="5"/>
    </row>
    <row r="2298" spans="1:1" x14ac:dyDescent="0.25">
      <c r="A2298" s="5"/>
    </row>
    <row r="2299" spans="1:1" x14ac:dyDescent="0.25">
      <c r="A2299" s="5"/>
    </row>
    <row r="2300" spans="1:1" x14ac:dyDescent="0.25">
      <c r="A2300" s="5"/>
    </row>
    <row r="2301" spans="1:1" x14ac:dyDescent="0.25">
      <c r="A2301" s="5"/>
    </row>
    <row r="2302" spans="1:1" x14ac:dyDescent="0.25">
      <c r="A2302" s="5"/>
    </row>
    <row r="2303" spans="1:1" x14ac:dyDescent="0.25">
      <c r="A2303" s="5"/>
    </row>
    <row r="2304" spans="1:1" x14ac:dyDescent="0.25">
      <c r="A2304" s="5"/>
    </row>
    <row r="2305" spans="1:1" x14ac:dyDescent="0.25">
      <c r="A2305" s="5"/>
    </row>
    <row r="2306" spans="1:1" x14ac:dyDescent="0.25">
      <c r="A2306" s="5"/>
    </row>
    <row r="2307" spans="1:1" x14ac:dyDescent="0.25">
      <c r="A2307" s="5"/>
    </row>
    <row r="2308" spans="1:1" x14ac:dyDescent="0.25">
      <c r="A2308" s="5"/>
    </row>
    <row r="2309" spans="1:1" x14ac:dyDescent="0.25">
      <c r="A2309" s="5"/>
    </row>
    <row r="2310" spans="1:1" x14ac:dyDescent="0.25">
      <c r="A2310" s="5"/>
    </row>
    <row r="2311" spans="1:1" x14ac:dyDescent="0.25">
      <c r="A2311" s="5"/>
    </row>
    <row r="2312" spans="1:1" x14ac:dyDescent="0.25">
      <c r="A2312" s="5"/>
    </row>
    <row r="2313" spans="1:1" x14ac:dyDescent="0.25">
      <c r="A2313" s="5"/>
    </row>
    <row r="2314" spans="1:1" x14ac:dyDescent="0.25">
      <c r="A2314" s="5"/>
    </row>
    <row r="2315" spans="1:1" x14ac:dyDescent="0.25">
      <c r="A2315" s="5"/>
    </row>
    <row r="2316" spans="1:1" x14ac:dyDescent="0.25">
      <c r="A2316" s="5"/>
    </row>
    <row r="2317" spans="1:1" x14ac:dyDescent="0.25">
      <c r="A2317" s="5"/>
    </row>
    <row r="2318" spans="1:1" x14ac:dyDescent="0.25">
      <c r="A2318" s="5"/>
    </row>
    <row r="2319" spans="1:1" x14ac:dyDescent="0.25">
      <c r="A2319" s="5"/>
    </row>
    <row r="2320" spans="1:1" x14ac:dyDescent="0.25">
      <c r="A2320" s="5"/>
    </row>
    <row r="2321" spans="1:1" x14ac:dyDescent="0.25">
      <c r="A2321" s="5"/>
    </row>
    <row r="2322" spans="1:1" x14ac:dyDescent="0.25">
      <c r="A2322" s="5"/>
    </row>
    <row r="2323" spans="1:1" x14ac:dyDescent="0.25">
      <c r="A2323" s="5"/>
    </row>
    <row r="2324" spans="1:1" x14ac:dyDescent="0.25">
      <c r="A2324" s="5"/>
    </row>
    <row r="2325" spans="1:1" x14ac:dyDescent="0.25">
      <c r="A2325" s="5"/>
    </row>
    <row r="2326" spans="1:1" x14ac:dyDescent="0.25">
      <c r="A2326" s="5"/>
    </row>
    <row r="2327" spans="1:1" x14ac:dyDescent="0.25">
      <c r="A2327" s="5"/>
    </row>
    <row r="2328" spans="1:1" x14ac:dyDescent="0.25">
      <c r="A2328" s="5"/>
    </row>
    <row r="2329" spans="1:1" x14ac:dyDescent="0.25">
      <c r="A2329" s="5"/>
    </row>
    <row r="2330" spans="1:1" x14ac:dyDescent="0.25">
      <c r="A2330" s="5"/>
    </row>
    <row r="2331" spans="1:1" x14ac:dyDescent="0.25">
      <c r="A2331" s="5"/>
    </row>
    <row r="2332" spans="1:1" x14ac:dyDescent="0.25">
      <c r="A2332" s="5"/>
    </row>
    <row r="2333" spans="1:1" x14ac:dyDescent="0.25">
      <c r="A2333" s="5"/>
    </row>
    <row r="2334" spans="1:1" x14ac:dyDescent="0.25">
      <c r="A2334" s="5"/>
    </row>
    <row r="2335" spans="1:1" x14ac:dyDescent="0.25">
      <c r="A2335" s="5"/>
    </row>
    <row r="2336" spans="1:1" x14ac:dyDescent="0.25">
      <c r="A2336" s="5"/>
    </row>
    <row r="2337" spans="1:1" x14ac:dyDescent="0.25">
      <c r="A2337" s="5"/>
    </row>
    <row r="2338" spans="1:1" x14ac:dyDescent="0.25">
      <c r="A2338" s="5"/>
    </row>
    <row r="2339" spans="1:1" x14ac:dyDescent="0.25">
      <c r="A2339" s="5"/>
    </row>
    <row r="2340" spans="1:1" x14ac:dyDescent="0.25">
      <c r="A2340" s="5"/>
    </row>
    <row r="2341" spans="1:1" x14ac:dyDescent="0.25">
      <c r="A2341" s="5"/>
    </row>
    <row r="2342" spans="1:1" x14ac:dyDescent="0.25">
      <c r="A2342" s="5"/>
    </row>
    <row r="2343" spans="1:1" x14ac:dyDescent="0.25">
      <c r="A2343" s="5"/>
    </row>
    <row r="2344" spans="1:1" x14ac:dyDescent="0.25">
      <c r="A2344" s="5"/>
    </row>
    <row r="2345" spans="1:1" x14ac:dyDescent="0.25">
      <c r="A2345" s="5"/>
    </row>
    <row r="2346" spans="1:1" x14ac:dyDescent="0.25">
      <c r="A2346" s="5"/>
    </row>
    <row r="2347" spans="1:1" x14ac:dyDescent="0.25">
      <c r="A2347" s="5"/>
    </row>
    <row r="2348" spans="1:1" x14ac:dyDescent="0.25">
      <c r="A2348" s="5"/>
    </row>
    <row r="2349" spans="1:1" x14ac:dyDescent="0.25">
      <c r="A2349" s="5"/>
    </row>
    <row r="2350" spans="1:1" x14ac:dyDescent="0.25">
      <c r="A2350" s="5"/>
    </row>
    <row r="2351" spans="1:1" x14ac:dyDescent="0.25">
      <c r="A2351" s="5"/>
    </row>
    <row r="2352" spans="1:1" x14ac:dyDescent="0.25">
      <c r="A2352" s="5"/>
    </row>
    <row r="2353" spans="1:1" x14ac:dyDescent="0.25">
      <c r="A2353" s="5"/>
    </row>
    <row r="2354" spans="1:1" x14ac:dyDescent="0.25">
      <c r="A2354" s="5"/>
    </row>
    <row r="2355" spans="1:1" x14ac:dyDescent="0.25">
      <c r="A2355" s="5"/>
    </row>
    <row r="2356" spans="1:1" x14ac:dyDescent="0.25">
      <c r="A2356" s="5"/>
    </row>
    <row r="2357" spans="1:1" x14ac:dyDescent="0.25">
      <c r="A2357" s="5"/>
    </row>
    <row r="2358" spans="1:1" x14ac:dyDescent="0.25">
      <c r="A2358" s="5"/>
    </row>
    <row r="2359" spans="1:1" x14ac:dyDescent="0.25">
      <c r="A2359" s="5"/>
    </row>
    <row r="2360" spans="1:1" x14ac:dyDescent="0.25">
      <c r="A2360" s="5"/>
    </row>
    <row r="2361" spans="1:1" x14ac:dyDescent="0.25">
      <c r="A2361" s="5"/>
    </row>
    <row r="2362" spans="1:1" x14ac:dyDescent="0.25">
      <c r="A2362" s="5"/>
    </row>
    <row r="2363" spans="1:1" x14ac:dyDescent="0.25">
      <c r="A2363" s="5"/>
    </row>
    <row r="2364" spans="1:1" x14ac:dyDescent="0.25">
      <c r="A2364" s="5"/>
    </row>
    <row r="2365" spans="1:1" x14ac:dyDescent="0.25">
      <c r="A2365" s="5"/>
    </row>
    <row r="2366" spans="1:1" x14ac:dyDescent="0.25">
      <c r="A2366" s="5"/>
    </row>
    <row r="2367" spans="1:1" x14ac:dyDescent="0.25">
      <c r="A2367" s="5"/>
    </row>
    <row r="2368" spans="1:1" x14ac:dyDescent="0.25">
      <c r="A2368" s="5"/>
    </row>
    <row r="2369" spans="1:1" x14ac:dyDescent="0.25">
      <c r="A2369" s="5"/>
    </row>
    <row r="2370" spans="1:1" x14ac:dyDescent="0.25">
      <c r="A2370" s="5"/>
    </row>
    <row r="2371" spans="1:1" x14ac:dyDescent="0.25">
      <c r="A2371" s="5"/>
    </row>
    <row r="2372" spans="1:1" x14ac:dyDescent="0.25">
      <c r="A2372" s="5"/>
    </row>
    <row r="2373" spans="1:1" x14ac:dyDescent="0.25">
      <c r="A2373" s="5"/>
    </row>
    <row r="2374" spans="1:1" x14ac:dyDescent="0.25">
      <c r="A2374" s="5"/>
    </row>
    <row r="2375" spans="1:1" x14ac:dyDescent="0.25">
      <c r="A2375" s="5"/>
    </row>
    <row r="2376" spans="1:1" x14ac:dyDescent="0.25">
      <c r="A2376" s="5"/>
    </row>
    <row r="2377" spans="1:1" x14ac:dyDescent="0.25">
      <c r="A2377" s="5"/>
    </row>
    <row r="2378" spans="1:1" x14ac:dyDescent="0.25">
      <c r="A2378" s="5"/>
    </row>
    <row r="2379" spans="1:1" x14ac:dyDescent="0.25">
      <c r="A2379" s="5"/>
    </row>
    <row r="2380" spans="1:1" x14ac:dyDescent="0.25">
      <c r="A2380" s="5"/>
    </row>
    <row r="2381" spans="1:1" x14ac:dyDescent="0.25">
      <c r="A2381" s="5"/>
    </row>
    <row r="2382" spans="1:1" x14ac:dyDescent="0.25">
      <c r="A2382" s="5"/>
    </row>
    <row r="2383" spans="1:1" x14ac:dyDescent="0.25">
      <c r="A2383" s="5"/>
    </row>
    <row r="2384" spans="1:1" x14ac:dyDescent="0.25">
      <c r="A2384" s="5"/>
    </row>
    <row r="2385" spans="1:1" x14ac:dyDescent="0.25">
      <c r="A2385" s="5"/>
    </row>
    <row r="2386" spans="1:1" x14ac:dyDescent="0.25">
      <c r="A2386" s="5"/>
    </row>
    <row r="2387" spans="1:1" x14ac:dyDescent="0.25">
      <c r="A2387" s="5"/>
    </row>
    <row r="2388" spans="1:1" x14ac:dyDescent="0.25">
      <c r="A2388" s="5"/>
    </row>
    <row r="2389" spans="1:1" x14ac:dyDescent="0.25">
      <c r="A2389" s="5"/>
    </row>
    <row r="2390" spans="1:1" x14ac:dyDescent="0.25">
      <c r="A2390" s="5"/>
    </row>
    <row r="2391" spans="1:1" x14ac:dyDescent="0.25">
      <c r="A2391" s="5"/>
    </row>
    <row r="2392" spans="1:1" x14ac:dyDescent="0.25">
      <c r="A2392" s="5"/>
    </row>
    <row r="2393" spans="1:1" x14ac:dyDescent="0.25">
      <c r="A2393" s="5"/>
    </row>
    <row r="2394" spans="1:1" x14ac:dyDescent="0.25">
      <c r="A2394" s="5"/>
    </row>
    <row r="2395" spans="1:1" x14ac:dyDescent="0.25">
      <c r="A2395" s="5"/>
    </row>
    <row r="2396" spans="1:1" x14ac:dyDescent="0.25">
      <c r="A2396" s="5"/>
    </row>
    <row r="2397" spans="1:1" x14ac:dyDescent="0.25">
      <c r="A2397" s="5"/>
    </row>
    <row r="2398" spans="1:1" x14ac:dyDescent="0.25">
      <c r="A2398" s="5"/>
    </row>
    <row r="2399" spans="1:1" x14ac:dyDescent="0.25">
      <c r="A2399" s="5"/>
    </row>
    <row r="2400" spans="1:1" x14ac:dyDescent="0.25">
      <c r="A2400" s="5"/>
    </row>
    <row r="2401" spans="1:1" x14ac:dyDescent="0.25">
      <c r="A2401" s="5"/>
    </row>
    <row r="2402" spans="1:1" x14ac:dyDescent="0.25">
      <c r="A2402" s="5"/>
    </row>
    <row r="2403" spans="1:1" x14ac:dyDescent="0.25">
      <c r="A2403" s="5"/>
    </row>
    <row r="2404" spans="1:1" x14ac:dyDescent="0.25">
      <c r="A2404" s="5"/>
    </row>
    <row r="2405" spans="1:1" x14ac:dyDescent="0.25">
      <c r="A2405" s="5"/>
    </row>
    <row r="2406" spans="1:1" x14ac:dyDescent="0.25">
      <c r="A2406" s="5"/>
    </row>
    <row r="2407" spans="1:1" x14ac:dyDescent="0.25">
      <c r="A2407" s="5"/>
    </row>
    <row r="2408" spans="1:1" x14ac:dyDescent="0.25">
      <c r="A2408" s="5"/>
    </row>
    <row r="2409" spans="1:1" x14ac:dyDescent="0.25">
      <c r="A2409" s="5"/>
    </row>
    <row r="2410" spans="1:1" x14ac:dyDescent="0.25">
      <c r="A2410" s="5"/>
    </row>
    <row r="2411" spans="1:1" x14ac:dyDescent="0.25">
      <c r="A2411" s="5"/>
    </row>
    <row r="2412" spans="1:1" x14ac:dyDescent="0.25">
      <c r="A2412" s="5"/>
    </row>
    <row r="2413" spans="1:1" x14ac:dyDescent="0.25">
      <c r="A2413" s="5"/>
    </row>
    <row r="2414" spans="1:1" x14ac:dyDescent="0.25">
      <c r="A2414" s="5"/>
    </row>
    <row r="2415" spans="1:1" x14ac:dyDescent="0.25">
      <c r="A2415" s="5"/>
    </row>
    <row r="2416" spans="1:1" x14ac:dyDescent="0.25">
      <c r="A2416" s="5"/>
    </row>
    <row r="2417" spans="1:1" x14ac:dyDescent="0.25">
      <c r="A2417" s="5"/>
    </row>
    <row r="2418" spans="1:1" x14ac:dyDescent="0.25">
      <c r="A2418" s="5"/>
    </row>
    <row r="2419" spans="1:1" x14ac:dyDescent="0.25">
      <c r="A2419" s="5"/>
    </row>
    <row r="2420" spans="1:1" x14ac:dyDescent="0.25">
      <c r="A2420" s="5"/>
    </row>
    <row r="2421" spans="1:1" x14ac:dyDescent="0.25">
      <c r="A2421" s="5"/>
    </row>
    <row r="2422" spans="1:1" x14ac:dyDescent="0.25">
      <c r="A2422" s="5"/>
    </row>
    <row r="2423" spans="1:1" x14ac:dyDescent="0.25">
      <c r="A2423" s="5"/>
    </row>
    <row r="2424" spans="1:1" x14ac:dyDescent="0.25">
      <c r="A2424" s="5"/>
    </row>
    <row r="2425" spans="1:1" x14ac:dyDescent="0.25">
      <c r="A2425" s="5"/>
    </row>
    <row r="2426" spans="1:1" x14ac:dyDescent="0.25">
      <c r="A2426" s="5"/>
    </row>
    <row r="2427" spans="1:1" x14ac:dyDescent="0.25">
      <c r="A2427" s="5"/>
    </row>
    <row r="2428" spans="1:1" x14ac:dyDescent="0.25">
      <c r="A2428" s="5"/>
    </row>
    <row r="2429" spans="1:1" x14ac:dyDescent="0.25">
      <c r="A2429" s="5"/>
    </row>
    <row r="2430" spans="1:1" x14ac:dyDescent="0.25">
      <c r="A2430" s="5"/>
    </row>
    <row r="2431" spans="1:1" x14ac:dyDescent="0.25">
      <c r="A2431" s="5"/>
    </row>
    <row r="2432" spans="1:1" x14ac:dyDescent="0.25">
      <c r="A2432" s="5"/>
    </row>
    <row r="2433" spans="1:1" x14ac:dyDescent="0.25">
      <c r="A2433" s="5"/>
    </row>
    <row r="2434" spans="1:1" x14ac:dyDescent="0.25">
      <c r="A2434" s="5"/>
    </row>
    <row r="2435" spans="1:1" x14ac:dyDescent="0.25">
      <c r="A2435" s="5"/>
    </row>
    <row r="2436" spans="1:1" x14ac:dyDescent="0.25">
      <c r="A2436" s="5"/>
    </row>
    <row r="2437" spans="1:1" x14ac:dyDescent="0.25">
      <c r="A2437" s="5"/>
    </row>
    <row r="2438" spans="1:1" x14ac:dyDescent="0.25">
      <c r="A2438" s="5"/>
    </row>
    <row r="2439" spans="1:1" x14ac:dyDescent="0.25">
      <c r="A2439" s="5"/>
    </row>
    <row r="2440" spans="1:1" x14ac:dyDescent="0.25">
      <c r="A2440" s="5"/>
    </row>
    <row r="2441" spans="1:1" x14ac:dyDescent="0.25">
      <c r="A2441" s="5"/>
    </row>
    <row r="2442" spans="1:1" x14ac:dyDescent="0.25">
      <c r="A2442" s="5"/>
    </row>
    <row r="2443" spans="1:1" x14ac:dyDescent="0.25">
      <c r="A2443" s="5"/>
    </row>
    <row r="2444" spans="1:1" x14ac:dyDescent="0.25">
      <c r="A2444" s="5"/>
    </row>
    <row r="2445" spans="1:1" x14ac:dyDescent="0.25">
      <c r="A2445" s="5"/>
    </row>
    <row r="2446" spans="1:1" x14ac:dyDescent="0.25">
      <c r="A2446" s="5"/>
    </row>
    <row r="2447" spans="1:1" x14ac:dyDescent="0.25">
      <c r="A2447" s="5"/>
    </row>
    <row r="2448" spans="1:1" x14ac:dyDescent="0.25">
      <c r="A2448" s="5"/>
    </row>
    <row r="2449" spans="1:1" x14ac:dyDescent="0.25">
      <c r="A2449" s="5"/>
    </row>
    <row r="2450" spans="1:1" x14ac:dyDescent="0.25">
      <c r="A2450" s="5"/>
    </row>
    <row r="2451" spans="1:1" x14ac:dyDescent="0.25">
      <c r="A2451" s="5"/>
    </row>
    <row r="2452" spans="1:1" x14ac:dyDescent="0.25">
      <c r="A2452" s="5"/>
    </row>
    <row r="2453" spans="1:1" x14ac:dyDescent="0.25">
      <c r="A2453" s="5"/>
    </row>
    <row r="2454" spans="1:1" x14ac:dyDescent="0.25">
      <c r="A2454" s="5"/>
    </row>
    <row r="2455" spans="1:1" x14ac:dyDescent="0.25">
      <c r="A2455" s="5"/>
    </row>
    <row r="2456" spans="1:1" x14ac:dyDescent="0.25">
      <c r="A2456" s="5"/>
    </row>
    <row r="2457" spans="1:1" x14ac:dyDescent="0.25">
      <c r="A2457" s="5"/>
    </row>
    <row r="2458" spans="1:1" x14ac:dyDescent="0.25">
      <c r="A2458" s="5"/>
    </row>
    <row r="2459" spans="1:1" x14ac:dyDescent="0.25">
      <c r="A2459" s="5"/>
    </row>
    <row r="2460" spans="1:1" x14ac:dyDescent="0.25">
      <c r="A2460" s="5"/>
    </row>
    <row r="2461" spans="1:1" x14ac:dyDescent="0.25">
      <c r="A2461" s="5"/>
    </row>
    <row r="2462" spans="1:1" x14ac:dyDescent="0.25">
      <c r="A2462" s="5"/>
    </row>
    <row r="2463" spans="1:1" x14ac:dyDescent="0.25">
      <c r="A2463" s="5"/>
    </row>
    <row r="2464" spans="1:1" x14ac:dyDescent="0.25">
      <c r="A2464" s="5"/>
    </row>
    <row r="2465" spans="1:1" x14ac:dyDescent="0.25">
      <c r="A2465" s="5"/>
    </row>
    <row r="2466" spans="1:1" x14ac:dyDescent="0.25">
      <c r="A2466" s="5"/>
    </row>
    <row r="2467" spans="1:1" x14ac:dyDescent="0.25">
      <c r="A2467" s="5"/>
    </row>
    <row r="2468" spans="1:1" x14ac:dyDescent="0.25">
      <c r="A2468" s="5"/>
    </row>
    <row r="2469" spans="1:1" x14ac:dyDescent="0.25">
      <c r="A2469" s="5"/>
    </row>
    <row r="2470" spans="1:1" x14ac:dyDescent="0.25">
      <c r="A2470" s="5"/>
    </row>
    <row r="2471" spans="1:1" x14ac:dyDescent="0.25">
      <c r="A2471" s="5"/>
    </row>
    <row r="2472" spans="1:1" x14ac:dyDescent="0.25">
      <c r="A2472" s="5"/>
    </row>
    <row r="2473" spans="1:1" x14ac:dyDescent="0.25">
      <c r="A2473" s="5"/>
    </row>
    <row r="2474" spans="1:1" x14ac:dyDescent="0.25">
      <c r="A2474" s="5"/>
    </row>
    <row r="2475" spans="1:1" x14ac:dyDescent="0.25">
      <c r="A2475" s="5"/>
    </row>
    <row r="2476" spans="1:1" x14ac:dyDescent="0.25">
      <c r="A2476" s="5"/>
    </row>
    <row r="2477" spans="1:1" x14ac:dyDescent="0.25">
      <c r="A2477" s="5"/>
    </row>
    <row r="2478" spans="1:1" x14ac:dyDescent="0.25">
      <c r="A2478" s="5"/>
    </row>
    <row r="2479" spans="1:1" x14ac:dyDescent="0.25">
      <c r="A2479" s="5"/>
    </row>
    <row r="2480" spans="1:1" x14ac:dyDescent="0.25">
      <c r="A2480" s="5"/>
    </row>
    <row r="2481" spans="1:1" x14ac:dyDescent="0.25">
      <c r="A2481" s="5"/>
    </row>
    <row r="2482" spans="1:1" x14ac:dyDescent="0.25">
      <c r="A2482" s="5"/>
    </row>
    <row r="2483" spans="1:1" x14ac:dyDescent="0.25">
      <c r="A2483" s="5"/>
    </row>
    <row r="2484" spans="1:1" x14ac:dyDescent="0.25">
      <c r="A2484" s="5"/>
    </row>
    <row r="2485" spans="1:1" x14ac:dyDescent="0.25">
      <c r="A2485" s="5"/>
    </row>
    <row r="2486" spans="1:1" x14ac:dyDescent="0.25">
      <c r="A2486" s="5"/>
    </row>
    <row r="2487" spans="1:1" x14ac:dyDescent="0.25">
      <c r="A2487" s="5"/>
    </row>
    <row r="2488" spans="1:1" x14ac:dyDescent="0.25">
      <c r="A2488" s="5"/>
    </row>
    <row r="2489" spans="1:1" x14ac:dyDescent="0.25">
      <c r="A2489" s="5"/>
    </row>
    <row r="2490" spans="1:1" x14ac:dyDescent="0.25">
      <c r="A2490" s="5"/>
    </row>
    <row r="2491" spans="1:1" x14ac:dyDescent="0.25">
      <c r="A2491" s="5"/>
    </row>
    <row r="2492" spans="1:1" x14ac:dyDescent="0.25">
      <c r="A2492" s="5"/>
    </row>
    <row r="2493" spans="1:1" x14ac:dyDescent="0.25">
      <c r="A2493" s="5"/>
    </row>
    <row r="2494" spans="1:1" x14ac:dyDescent="0.25">
      <c r="A2494" s="5"/>
    </row>
    <row r="2495" spans="1:1" x14ac:dyDescent="0.25">
      <c r="A2495" s="5"/>
    </row>
    <row r="2496" spans="1:1" x14ac:dyDescent="0.25">
      <c r="A2496" s="5"/>
    </row>
    <row r="2497" spans="1:1" x14ac:dyDescent="0.25">
      <c r="A2497" s="5"/>
    </row>
    <row r="2498" spans="1:1" x14ac:dyDescent="0.25">
      <c r="A2498" s="5"/>
    </row>
    <row r="2499" spans="1:1" x14ac:dyDescent="0.25">
      <c r="A2499" s="5"/>
    </row>
    <row r="2500" spans="1:1" x14ac:dyDescent="0.25">
      <c r="A2500" s="5"/>
    </row>
    <row r="2501" spans="1:1" x14ac:dyDescent="0.25">
      <c r="A2501" s="5"/>
    </row>
    <row r="2502" spans="1:1" x14ac:dyDescent="0.25">
      <c r="A2502" s="5"/>
    </row>
    <row r="2503" spans="1:1" x14ac:dyDescent="0.25">
      <c r="A2503" s="5"/>
    </row>
    <row r="2504" spans="1:1" x14ac:dyDescent="0.25">
      <c r="A2504" s="5"/>
    </row>
    <row r="2505" spans="1:1" x14ac:dyDescent="0.25">
      <c r="A2505" s="5"/>
    </row>
    <row r="2506" spans="1:1" x14ac:dyDescent="0.25">
      <c r="A2506" s="5"/>
    </row>
    <row r="2507" spans="1:1" x14ac:dyDescent="0.25">
      <c r="A2507" s="5"/>
    </row>
    <row r="2508" spans="1:1" x14ac:dyDescent="0.25">
      <c r="A2508" s="5"/>
    </row>
    <row r="2509" spans="1:1" x14ac:dyDescent="0.25">
      <c r="A2509" s="5"/>
    </row>
    <row r="2510" spans="1:1" x14ac:dyDescent="0.25">
      <c r="A2510" s="5"/>
    </row>
    <row r="2511" spans="1:1" x14ac:dyDescent="0.25">
      <c r="A2511" s="5"/>
    </row>
    <row r="2512" spans="1:1" x14ac:dyDescent="0.25">
      <c r="A2512" s="5"/>
    </row>
    <row r="2513" spans="1:1" x14ac:dyDescent="0.25">
      <c r="A2513" s="5"/>
    </row>
    <row r="2514" spans="1:1" x14ac:dyDescent="0.25">
      <c r="A2514" s="5"/>
    </row>
    <row r="2515" spans="1:1" x14ac:dyDescent="0.25">
      <c r="A2515" s="5"/>
    </row>
    <row r="2516" spans="1:1" x14ac:dyDescent="0.25">
      <c r="A2516" s="5"/>
    </row>
    <row r="2517" spans="1:1" x14ac:dyDescent="0.25">
      <c r="A2517" s="5"/>
    </row>
    <row r="2518" spans="1:1" x14ac:dyDescent="0.25">
      <c r="A2518" s="5"/>
    </row>
    <row r="2519" spans="1:1" x14ac:dyDescent="0.25">
      <c r="A2519" s="5"/>
    </row>
    <row r="2520" spans="1:1" x14ac:dyDescent="0.25">
      <c r="A2520" s="5"/>
    </row>
    <row r="2521" spans="1:1" x14ac:dyDescent="0.25">
      <c r="A2521" s="5"/>
    </row>
    <row r="2522" spans="1:1" x14ac:dyDescent="0.25">
      <c r="A2522" s="5"/>
    </row>
    <row r="2523" spans="1:1" x14ac:dyDescent="0.25">
      <c r="A2523" s="5"/>
    </row>
    <row r="2524" spans="1:1" x14ac:dyDescent="0.25">
      <c r="A2524" s="5"/>
    </row>
    <row r="2525" spans="1:1" x14ac:dyDescent="0.25">
      <c r="A2525" s="5"/>
    </row>
    <row r="2526" spans="1:1" x14ac:dyDescent="0.25">
      <c r="A2526" s="5"/>
    </row>
    <row r="2527" spans="1:1" x14ac:dyDescent="0.25">
      <c r="A2527" s="5"/>
    </row>
    <row r="2528" spans="1:1" x14ac:dyDescent="0.25">
      <c r="A2528" s="5"/>
    </row>
    <row r="2529" spans="1:1" x14ac:dyDescent="0.25">
      <c r="A2529" s="5"/>
    </row>
    <row r="2530" spans="1:1" x14ac:dyDescent="0.25">
      <c r="A2530" s="5"/>
    </row>
    <row r="2531" spans="1:1" x14ac:dyDescent="0.25">
      <c r="A2531" s="5"/>
    </row>
    <row r="2532" spans="1:1" x14ac:dyDescent="0.25">
      <c r="A2532" s="5"/>
    </row>
    <row r="2533" spans="1:1" x14ac:dyDescent="0.25">
      <c r="A2533" s="5"/>
    </row>
    <row r="2534" spans="1:1" x14ac:dyDescent="0.25">
      <c r="A2534" s="5"/>
    </row>
    <row r="2535" spans="1:1" x14ac:dyDescent="0.25">
      <c r="A2535" s="5"/>
    </row>
    <row r="2536" spans="1:1" x14ac:dyDescent="0.25">
      <c r="A2536" s="5"/>
    </row>
    <row r="2537" spans="1:1" x14ac:dyDescent="0.25">
      <c r="A2537" s="5"/>
    </row>
    <row r="2538" spans="1:1" x14ac:dyDescent="0.25">
      <c r="A2538" s="5"/>
    </row>
    <row r="2539" spans="1:1" x14ac:dyDescent="0.25">
      <c r="A2539" s="5"/>
    </row>
    <row r="2540" spans="1:1" x14ac:dyDescent="0.25">
      <c r="A2540" s="5"/>
    </row>
    <row r="2541" spans="1:1" x14ac:dyDescent="0.25">
      <c r="A2541" s="5"/>
    </row>
    <row r="2542" spans="1:1" x14ac:dyDescent="0.25">
      <c r="A2542" s="5"/>
    </row>
    <row r="2543" spans="1:1" x14ac:dyDescent="0.25">
      <c r="A2543" s="5"/>
    </row>
    <row r="2544" spans="1:1" x14ac:dyDescent="0.25">
      <c r="A2544" s="5"/>
    </row>
    <row r="2545" spans="1:1" x14ac:dyDescent="0.25">
      <c r="A2545" s="5"/>
    </row>
    <row r="2546" spans="1:1" x14ac:dyDescent="0.25">
      <c r="A2546" s="5"/>
    </row>
    <row r="2547" spans="1:1" x14ac:dyDescent="0.25">
      <c r="A2547" s="5"/>
    </row>
    <row r="2548" spans="1:1" x14ac:dyDescent="0.25">
      <c r="A2548" s="5"/>
    </row>
    <row r="2549" spans="1:1" x14ac:dyDescent="0.25">
      <c r="A2549" s="5"/>
    </row>
    <row r="2550" spans="1:1" x14ac:dyDescent="0.25">
      <c r="A2550" s="5"/>
    </row>
    <row r="2551" spans="1:1" x14ac:dyDescent="0.25">
      <c r="A2551" s="5"/>
    </row>
    <row r="2552" spans="1:1" x14ac:dyDescent="0.25">
      <c r="A2552" s="5"/>
    </row>
    <row r="2553" spans="1:1" x14ac:dyDescent="0.25">
      <c r="A2553" s="5"/>
    </row>
    <row r="2554" spans="1:1" x14ac:dyDescent="0.25">
      <c r="A2554" s="5"/>
    </row>
    <row r="2555" spans="1:1" x14ac:dyDescent="0.25">
      <c r="A2555" s="5"/>
    </row>
    <row r="2556" spans="1:1" x14ac:dyDescent="0.25">
      <c r="A2556" s="5"/>
    </row>
    <row r="2557" spans="1:1" x14ac:dyDescent="0.25">
      <c r="A2557" s="5"/>
    </row>
    <row r="2558" spans="1:1" x14ac:dyDescent="0.25">
      <c r="A2558" s="5"/>
    </row>
    <row r="2559" spans="1:1" x14ac:dyDescent="0.25">
      <c r="A2559" s="5"/>
    </row>
    <row r="2560" spans="1:1" x14ac:dyDescent="0.25">
      <c r="A2560" s="5"/>
    </row>
    <row r="2561" spans="1:1" x14ac:dyDescent="0.25">
      <c r="A2561" s="5"/>
    </row>
    <row r="2562" spans="1:1" x14ac:dyDescent="0.25">
      <c r="A2562" s="5"/>
    </row>
    <row r="2563" spans="1:1" x14ac:dyDescent="0.25">
      <c r="A2563" s="5"/>
    </row>
    <row r="2564" spans="1:1" x14ac:dyDescent="0.25">
      <c r="A2564" s="5"/>
    </row>
    <row r="2565" spans="1:1" x14ac:dyDescent="0.25">
      <c r="A2565" s="5"/>
    </row>
    <row r="2566" spans="1:1" x14ac:dyDescent="0.25">
      <c r="A2566" s="5"/>
    </row>
    <row r="2567" spans="1:1" x14ac:dyDescent="0.25">
      <c r="A2567" s="5"/>
    </row>
    <row r="2568" spans="1:1" x14ac:dyDescent="0.25">
      <c r="A2568" s="5"/>
    </row>
    <row r="2569" spans="1:1" x14ac:dyDescent="0.25">
      <c r="A2569" s="5"/>
    </row>
    <row r="2570" spans="1:1" x14ac:dyDescent="0.25">
      <c r="A2570" s="5"/>
    </row>
    <row r="2571" spans="1:1" x14ac:dyDescent="0.25">
      <c r="A2571" s="5"/>
    </row>
    <row r="2572" spans="1:1" x14ac:dyDescent="0.25">
      <c r="A2572" s="5"/>
    </row>
    <row r="2573" spans="1:1" x14ac:dyDescent="0.25">
      <c r="A2573" s="5"/>
    </row>
    <row r="2574" spans="1:1" x14ac:dyDescent="0.25">
      <c r="A2574" s="5"/>
    </row>
    <row r="2575" spans="1:1" x14ac:dyDescent="0.25">
      <c r="A2575" s="5"/>
    </row>
    <row r="2576" spans="1:1" x14ac:dyDescent="0.25">
      <c r="A2576" s="5"/>
    </row>
    <row r="2577" spans="1:1" x14ac:dyDescent="0.25">
      <c r="A2577" s="5"/>
    </row>
    <row r="2578" spans="1:1" x14ac:dyDescent="0.25">
      <c r="A2578" s="5"/>
    </row>
    <row r="2579" spans="1:1" x14ac:dyDescent="0.25">
      <c r="A2579" s="5"/>
    </row>
    <row r="2580" spans="1:1" x14ac:dyDescent="0.25">
      <c r="A2580" s="5"/>
    </row>
    <row r="2581" spans="1:1" x14ac:dyDescent="0.25">
      <c r="A2581" s="5"/>
    </row>
    <row r="2582" spans="1:1" x14ac:dyDescent="0.25">
      <c r="A2582" s="5"/>
    </row>
    <row r="2583" spans="1:1" x14ac:dyDescent="0.25">
      <c r="A2583" s="5"/>
    </row>
    <row r="2584" spans="1:1" x14ac:dyDescent="0.25">
      <c r="A2584" s="5"/>
    </row>
    <row r="2585" spans="1:1" x14ac:dyDescent="0.25">
      <c r="A2585" s="5"/>
    </row>
    <row r="2586" spans="1:1" x14ac:dyDescent="0.25">
      <c r="A2586" s="5"/>
    </row>
    <row r="2587" spans="1:1" x14ac:dyDescent="0.25">
      <c r="A2587" s="5"/>
    </row>
    <row r="2588" spans="1:1" x14ac:dyDescent="0.25">
      <c r="A2588" s="5"/>
    </row>
    <row r="2589" spans="1:1" x14ac:dyDescent="0.25">
      <c r="A2589" s="5"/>
    </row>
    <row r="2590" spans="1:1" x14ac:dyDescent="0.25">
      <c r="A2590" s="5"/>
    </row>
    <row r="2591" spans="1:1" x14ac:dyDescent="0.25">
      <c r="A2591" s="5"/>
    </row>
    <row r="2592" spans="1:1" x14ac:dyDescent="0.25">
      <c r="A2592" s="5"/>
    </row>
    <row r="2593" spans="1:1" x14ac:dyDescent="0.25">
      <c r="A2593" s="5"/>
    </row>
    <row r="2594" spans="1:1" x14ac:dyDescent="0.25">
      <c r="A2594" s="5"/>
    </row>
    <row r="2595" spans="1:1" x14ac:dyDescent="0.25">
      <c r="A2595" s="5"/>
    </row>
    <row r="2596" spans="1:1" x14ac:dyDescent="0.25">
      <c r="A2596" s="5"/>
    </row>
    <row r="2597" spans="1:1" x14ac:dyDescent="0.25">
      <c r="A2597" s="5"/>
    </row>
    <row r="2598" spans="1:1" x14ac:dyDescent="0.25">
      <c r="A2598" s="5"/>
    </row>
    <row r="2599" spans="1:1" x14ac:dyDescent="0.25">
      <c r="A2599" s="5"/>
    </row>
    <row r="2600" spans="1:1" x14ac:dyDescent="0.25">
      <c r="A2600" s="5"/>
    </row>
    <row r="2601" spans="1:1" x14ac:dyDescent="0.25">
      <c r="A2601" s="5"/>
    </row>
    <row r="2602" spans="1:1" x14ac:dyDescent="0.25">
      <c r="A2602" s="5"/>
    </row>
    <row r="2603" spans="1:1" x14ac:dyDescent="0.25">
      <c r="A2603" s="5"/>
    </row>
    <row r="2604" spans="1:1" x14ac:dyDescent="0.25">
      <c r="A2604" s="5"/>
    </row>
    <row r="2605" spans="1:1" x14ac:dyDescent="0.25">
      <c r="A2605" s="5"/>
    </row>
    <row r="2606" spans="1:1" x14ac:dyDescent="0.25">
      <c r="A2606" s="5"/>
    </row>
    <row r="2607" spans="1:1" x14ac:dyDescent="0.25">
      <c r="A2607" s="5"/>
    </row>
    <row r="2608" spans="1:1" x14ac:dyDescent="0.25">
      <c r="A2608" s="5"/>
    </row>
    <row r="2609" spans="1:1" x14ac:dyDescent="0.25">
      <c r="A2609" s="5"/>
    </row>
    <row r="2610" spans="1:1" x14ac:dyDescent="0.25">
      <c r="A2610" s="5"/>
    </row>
    <row r="2611" spans="1:1" x14ac:dyDescent="0.25">
      <c r="A2611" s="5"/>
    </row>
    <row r="2612" spans="1:1" x14ac:dyDescent="0.25">
      <c r="A2612" s="5"/>
    </row>
    <row r="2613" spans="1:1" x14ac:dyDescent="0.25">
      <c r="A2613" s="5"/>
    </row>
    <row r="2614" spans="1:1" x14ac:dyDescent="0.25">
      <c r="A2614" s="5"/>
    </row>
    <row r="2615" spans="1:1" x14ac:dyDescent="0.25">
      <c r="A2615" s="5"/>
    </row>
    <row r="2616" spans="1:1" x14ac:dyDescent="0.25">
      <c r="A2616" s="5"/>
    </row>
    <row r="2617" spans="1:1" x14ac:dyDescent="0.25">
      <c r="A2617" s="5"/>
    </row>
    <row r="2618" spans="1:1" x14ac:dyDescent="0.25">
      <c r="A2618" s="5"/>
    </row>
    <row r="2619" spans="1:1" x14ac:dyDescent="0.25">
      <c r="A2619" s="5"/>
    </row>
    <row r="2620" spans="1:1" x14ac:dyDescent="0.25">
      <c r="A2620" s="5"/>
    </row>
    <row r="2621" spans="1:1" x14ac:dyDescent="0.25">
      <c r="A2621" s="5"/>
    </row>
    <row r="2622" spans="1:1" x14ac:dyDescent="0.25">
      <c r="A2622" s="5"/>
    </row>
    <row r="2623" spans="1:1" x14ac:dyDescent="0.25">
      <c r="A2623" s="5"/>
    </row>
    <row r="2624" spans="1:1" x14ac:dyDescent="0.25">
      <c r="A2624" s="5"/>
    </row>
    <row r="2625" spans="1:1" x14ac:dyDescent="0.25">
      <c r="A2625" s="5"/>
    </row>
    <row r="2626" spans="1:1" x14ac:dyDescent="0.25">
      <c r="A2626" s="5"/>
    </row>
    <row r="2627" spans="1:1" x14ac:dyDescent="0.25">
      <c r="A2627" s="5"/>
    </row>
    <row r="2628" spans="1:1" x14ac:dyDescent="0.25">
      <c r="A2628" s="5"/>
    </row>
    <row r="2629" spans="1:1" x14ac:dyDescent="0.25">
      <c r="A2629" s="5"/>
    </row>
    <row r="2630" spans="1:1" x14ac:dyDescent="0.25">
      <c r="A2630" s="5"/>
    </row>
    <row r="2631" spans="1:1" x14ac:dyDescent="0.25">
      <c r="A2631" s="5"/>
    </row>
    <row r="2632" spans="1:1" x14ac:dyDescent="0.25">
      <c r="A2632" s="5"/>
    </row>
    <row r="2633" spans="1:1" x14ac:dyDescent="0.25">
      <c r="A2633" s="5"/>
    </row>
    <row r="2634" spans="1:1" x14ac:dyDescent="0.25">
      <c r="A2634" s="5"/>
    </row>
    <row r="2635" spans="1:1" x14ac:dyDescent="0.25">
      <c r="A2635" s="5"/>
    </row>
    <row r="2636" spans="1:1" x14ac:dyDescent="0.25">
      <c r="A2636" s="5"/>
    </row>
    <row r="2637" spans="1:1" x14ac:dyDescent="0.25">
      <c r="A2637" s="5"/>
    </row>
    <row r="2638" spans="1:1" x14ac:dyDescent="0.25">
      <c r="A2638" s="5"/>
    </row>
    <row r="2639" spans="1:1" x14ac:dyDescent="0.25">
      <c r="A2639" s="5"/>
    </row>
    <row r="2640" spans="1:1" x14ac:dyDescent="0.25">
      <c r="A2640" s="5"/>
    </row>
    <row r="2641" spans="1:1" x14ac:dyDescent="0.25">
      <c r="A2641" s="5"/>
    </row>
    <row r="2642" spans="1:1" x14ac:dyDescent="0.25">
      <c r="A2642" s="5"/>
    </row>
    <row r="2643" spans="1:1" x14ac:dyDescent="0.25">
      <c r="A2643" s="5"/>
    </row>
    <row r="2644" spans="1:1" x14ac:dyDescent="0.25">
      <c r="A2644" s="5"/>
    </row>
    <row r="2645" spans="1:1" x14ac:dyDescent="0.25">
      <c r="A2645" s="5"/>
    </row>
    <row r="2646" spans="1:1" x14ac:dyDescent="0.25">
      <c r="A2646" s="5"/>
    </row>
    <row r="2647" spans="1:1" x14ac:dyDescent="0.25">
      <c r="A2647" s="5"/>
    </row>
    <row r="2648" spans="1:1" x14ac:dyDescent="0.25">
      <c r="A2648" s="5"/>
    </row>
    <row r="2649" spans="1:1" x14ac:dyDescent="0.25">
      <c r="A2649" s="5"/>
    </row>
    <row r="2650" spans="1:1" x14ac:dyDescent="0.25">
      <c r="A2650" s="5"/>
    </row>
    <row r="2651" spans="1:1" x14ac:dyDescent="0.25">
      <c r="A2651" s="5"/>
    </row>
    <row r="2652" spans="1:1" x14ac:dyDescent="0.25">
      <c r="A2652" s="5"/>
    </row>
    <row r="2653" spans="1:1" x14ac:dyDescent="0.25">
      <c r="A2653" s="5"/>
    </row>
    <row r="2654" spans="1:1" x14ac:dyDescent="0.25">
      <c r="A2654" s="5"/>
    </row>
    <row r="2655" spans="1:1" x14ac:dyDescent="0.25">
      <c r="A2655" s="5"/>
    </row>
    <row r="2656" spans="1:1" x14ac:dyDescent="0.25">
      <c r="A2656" s="5"/>
    </row>
    <row r="2657" spans="1:1" x14ac:dyDescent="0.25">
      <c r="A2657" s="5"/>
    </row>
    <row r="2658" spans="1:1" x14ac:dyDescent="0.25">
      <c r="A2658" s="5"/>
    </row>
    <row r="2659" spans="1:1" x14ac:dyDescent="0.25">
      <c r="A2659" s="5"/>
    </row>
    <row r="2660" spans="1:1" x14ac:dyDescent="0.25">
      <c r="A2660" s="5"/>
    </row>
    <row r="2661" spans="1:1" x14ac:dyDescent="0.25">
      <c r="A2661" s="5"/>
    </row>
    <row r="2662" spans="1:1" x14ac:dyDescent="0.25">
      <c r="A2662" s="5"/>
    </row>
    <row r="2663" spans="1:1" x14ac:dyDescent="0.25">
      <c r="A2663" s="5"/>
    </row>
    <row r="2664" spans="1:1" x14ac:dyDescent="0.25">
      <c r="A2664" s="5"/>
    </row>
    <row r="2665" spans="1:1" x14ac:dyDescent="0.25">
      <c r="A2665" s="5"/>
    </row>
    <row r="2666" spans="1:1" x14ac:dyDescent="0.25">
      <c r="A2666" s="5"/>
    </row>
    <row r="2667" spans="1:1" x14ac:dyDescent="0.25">
      <c r="A2667" s="5"/>
    </row>
    <row r="2668" spans="1:1" x14ac:dyDescent="0.25">
      <c r="A2668" s="5"/>
    </row>
    <row r="2669" spans="1:1" x14ac:dyDescent="0.25">
      <c r="A2669" s="5"/>
    </row>
    <row r="2670" spans="1:1" x14ac:dyDescent="0.25">
      <c r="A2670" s="5"/>
    </row>
    <row r="2671" spans="1:1" x14ac:dyDescent="0.25">
      <c r="A2671" s="5"/>
    </row>
    <row r="2672" spans="1:1" x14ac:dyDescent="0.25">
      <c r="A2672" s="5"/>
    </row>
    <row r="2673" spans="1:1" x14ac:dyDescent="0.25">
      <c r="A2673" s="5"/>
    </row>
    <row r="2674" spans="1:1" x14ac:dyDescent="0.25">
      <c r="A2674" s="5"/>
    </row>
    <row r="2675" spans="1:1" x14ac:dyDescent="0.25">
      <c r="A2675" s="5"/>
    </row>
    <row r="2676" spans="1:1" x14ac:dyDescent="0.25">
      <c r="A2676" s="5"/>
    </row>
    <row r="2677" spans="1:1" x14ac:dyDescent="0.25">
      <c r="A2677" s="5"/>
    </row>
    <row r="2678" spans="1:1" x14ac:dyDescent="0.25">
      <c r="A2678" s="5"/>
    </row>
    <row r="2679" spans="1:1" x14ac:dyDescent="0.25">
      <c r="A2679" s="5"/>
    </row>
    <row r="2680" spans="1:1" x14ac:dyDescent="0.25">
      <c r="A2680" s="5"/>
    </row>
    <row r="2681" spans="1:1" x14ac:dyDescent="0.25">
      <c r="A2681" s="5"/>
    </row>
    <row r="2682" spans="1:1" x14ac:dyDescent="0.25">
      <c r="A2682" s="5"/>
    </row>
    <row r="2683" spans="1:1" x14ac:dyDescent="0.25">
      <c r="A2683" s="5"/>
    </row>
    <row r="2684" spans="1:1" x14ac:dyDescent="0.25">
      <c r="A2684" s="5"/>
    </row>
    <row r="2685" spans="1:1" x14ac:dyDescent="0.25">
      <c r="A2685" s="5"/>
    </row>
    <row r="2686" spans="1:1" x14ac:dyDescent="0.25">
      <c r="A2686" s="5"/>
    </row>
    <row r="2687" spans="1:1" x14ac:dyDescent="0.25">
      <c r="A2687" s="5"/>
    </row>
    <row r="2688" spans="1:1" x14ac:dyDescent="0.25">
      <c r="A2688" s="5"/>
    </row>
    <row r="2689" spans="1:1" x14ac:dyDescent="0.25">
      <c r="A2689" s="5"/>
    </row>
    <row r="2690" spans="1:1" x14ac:dyDescent="0.25">
      <c r="A2690" s="5"/>
    </row>
    <row r="2691" spans="1:1" x14ac:dyDescent="0.25">
      <c r="A2691" s="5"/>
    </row>
    <row r="2692" spans="1:1" x14ac:dyDescent="0.25">
      <c r="A2692" s="5"/>
    </row>
    <row r="2693" spans="1:1" x14ac:dyDescent="0.25">
      <c r="A2693" s="5"/>
    </row>
    <row r="2694" spans="1:1" x14ac:dyDescent="0.25">
      <c r="A2694" s="5"/>
    </row>
    <row r="2695" spans="1:1" x14ac:dyDescent="0.25">
      <c r="A2695" s="5"/>
    </row>
    <row r="2696" spans="1:1" x14ac:dyDescent="0.25">
      <c r="A2696" s="5"/>
    </row>
    <row r="2697" spans="1:1" x14ac:dyDescent="0.25">
      <c r="A2697" s="5"/>
    </row>
    <row r="2698" spans="1:1" x14ac:dyDescent="0.25">
      <c r="A2698" s="5"/>
    </row>
    <row r="2699" spans="1:1" x14ac:dyDescent="0.25">
      <c r="A2699" s="5"/>
    </row>
    <row r="2700" spans="1:1" x14ac:dyDescent="0.25">
      <c r="A2700" s="5"/>
    </row>
    <row r="2701" spans="1:1" x14ac:dyDescent="0.25">
      <c r="A2701" s="5"/>
    </row>
    <row r="2702" spans="1:1" x14ac:dyDescent="0.25">
      <c r="A2702" s="5"/>
    </row>
    <row r="2703" spans="1:1" x14ac:dyDescent="0.25">
      <c r="A2703" s="5"/>
    </row>
    <row r="2704" spans="1:1" x14ac:dyDescent="0.25">
      <c r="A2704" s="5"/>
    </row>
    <row r="2705" spans="1:1" x14ac:dyDescent="0.25">
      <c r="A2705" s="5"/>
    </row>
    <row r="2706" spans="1:1" x14ac:dyDescent="0.25">
      <c r="A2706" s="5"/>
    </row>
    <row r="2707" spans="1:1" x14ac:dyDescent="0.25">
      <c r="A2707" s="5"/>
    </row>
    <row r="2708" spans="1:1" x14ac:dyDescent="0.25">
      <c r="A2708" s="5"/>
    </row>
    <row r="2709" spans="1:1" x14ac:dyDescent="0.25">
      <c r="A2709" s="5"/>
    </row>
    <row r="2710" spans="1:1" x14ac:dyDescent="0.25">
      <c r="A2710" s="5"/>
    </row>
    <row r="2711" spans="1:1" x14ac:dyDescent="0.25">
      <c r="A2711" s="5"/>
    </row>
    <row r="2712" spans="1:1" x14ac:dyDescent="0.25">
      <c r="A2712" s="5"/>
    </row>
    <row r="2713" spans="1:1" x14ac:dyDescent="0.25">
      <c r="A2713" s="5"/>
    </row>
    <row r="2714" spans="1:1" x14ac:dyDescent="0.25">
      <c r="A2714" s="5"/>
    </row>
    <row r="2715" spans="1:1" x14ac:dyDescent="0.25">
      <c r="A2715" s="5"/>
    </row>
    <row r="2716" spans="1:1" x14ac:dyDescent="0.25">
      <c r="A2716" s="5"/>
    </row>
    <row r="2717" spans="1:1" x14ac:dyDescent="0.25">
      <c r="A2717" s="5"/>
    </row>
    <row r="2718" spans="1:1" x14ac:dyDescent="0.25">
      <c r="A2718" s="5"/>
    </row>
    <row r="2719" spans="1:1" x14ac:dyDescent="0.25">
      <c r="A2719" s="5"/>
    </row>
    <row r="2720" spans="1:1" x14ac:dyDescent="0.25">
      <c r="A2720" s="5"/>
    </row>
    <row r="2721" spans="1:1" x14ac:dyDescent="0.25">
      <c r="A2721" s="5"/>
    </row>
    <row r="2722" spans="1:1" x14ac:dyDescent="0.25">
      <c r="A2722" s="5"/>
    </row>
    <row r="2723" spans="1:1" x14ac:dyDescent="0.25">
      <c r="A2723" s="5"/>
    </row>
    <row r="2724" spans="1:1" x14ac:dyDescent="0.25">
      <c r="A2724" s="5"/>
    </row>
    <row r="2725" spans="1:1" x14ac:dyDescent="0.25">
      <c r="A2725" s="5"/>
    </row>
    <row r="2726" spans="1:1" x14ac:dyDescent="0.25">
      <c r="A2726" s="5"/>
    </row>
    <row r="2727" spans="1:1" x14ac:dyDescent="0.25">
      <c r="A2727" s="5"/>
    </row>
    <row r="2728" spans="1:1" x14ac:dyDescent="0.25">
      <c r="A2728" s="5"/>
    </row>
    <row r="2729" spans="1:1" x14ac:dyDescent="0.25">
      <c r="A2729" s="5"/>
    </row>
    <row r="2730" spans="1:1" x14ac:dyDescent="0.25">
      <c r="A2730" s="5"/>
    </row>
    <row r="2731" spans="1:1" x14ac:dyDescent="0.25">
      <c r="A2731" s="5"/>
    </row>
    <row r="2732" spans="1:1" x14ac:dyDescent="0.25">
      <c r="A2732" s="5"/>
    </row>
    <row r="2733" spans="1:1" x14ac:dyDescent="0.25">
      <c r="A2733" s="5"/>
    </row>
    <row r="2734" spans="1:1" x14ac:dyDescent="0.25">
      <c r="A2734" s="5"/>
    </row>
    <row r="2735" spans="1:1" x14ac:dyDescent="0.25">
      <c r="A2735" s="5"/>
    </row>
    <row r="2736" spans="1:1" x14ac:dyDescent="0.25">
      <c r="A2736" s="5"/>
    </row>
    <row r="2737" spans="1:1" x14ac:dyDescent="0.25">
      <c r="A2737" s="5"/>
    </row>
    <row r="2738" spans="1:1" x14ac:dyDescent="0.25">
      <c r="A2738" s="5"/>
    </row>
    <row r="2739" spans="1:1" x14ac:dyDescent="0.25">
      <c r="A2739" s="5"/>
    </row>
    <row r="2740" spans="1:1" x14ac:dyDescent="0.25">
      <c r="A2740" s="5"/>
    </row>
    <row r="2741" spans="1:1" x14ac:dyDescent="0.25">
      <c r="A2741" s="5"/>
    </row>
    <row r="2742" spans="1:1" x14ac:dyDescent="0.25">
      <c r="A2742" s="5"/>
    </row>
    <row r="2743" spans="1:1" x14ac:dyDescent="0.25">
      <c r="A2743" s="5"/>
    </row>
    <row r="2744" spans="1:1" x14ac:dyDescent="0.25">
      <c r="A2744" s="5"/>
    </row>
    <row r="2745" spans="1:1" x14ac:dyDescent="0.25">
      <c r="A2745" s="5"/>
    </row>
    <row r="2746" spans="1:1" x14ac:dyDescent="0.25">
      <c r="A2746" s="5"/>
    </row>
    <row r="2747" spans="1:1" x14ac:dyDescent="0.25">
      <c r="A2747" s="5"/>
    </row>
    <row r="2748" spans="1:1" x14ac:dyDescent="0.25">
      <c r="A2748" s="5"/>
    </row>
    <row r="2749" spans="1:1" x14ac:dyDescent="0.25">
      <c r="A2749" s="5"/>
    </row>
    <row r="2750" spans="1:1" x14ac:dyDescent="0.25">
      <c r="A2750" s="5"/>
    </row>
    <row r="2751" spans="1:1" x14ac:dyDescent="0.25">
      <c r="A2751" s="5"/>
    </row>
    <row r="2752" spans="1:1" x14ac:dyDescent="0.25">
      <c r="A2752" s="5"/>
    </row>
    <row r="2753" spans="1:1" x14ac:dyDescent="0.25">
      <c r="A2753" s="5"/>
    </row>
    <row r="2754" spans="1:1" x14ac:dyDescent="0.25">
      <c r="A2754" s="5"/>
    </row>
    <row r="2755" spans="1:1" x14ac:dyDescent="0.25">
      <c r="A2755" s="5"/>
    </row>
    <row r="2756" spans="1:1" x14ac:dyDescent="0.25">
      <c r="A2756" s="5"/>
    </row>
    <row r="2757" spans="1:1" x14ac:dyDescent="0.25">
      <c r="A2757" s="5"/>
    </row>
    <row r="2758" spans="1:1" x14ac:dyDescent="0.25">
      <c r="A2758" s="5"/>
    </row>
    <row r="2759" spans="1:1" x14ac:dyDescent="0.25">
      <c r="A2759" s="5"/>
    </row>
    <row r="2760" spans="1:1" x14ac:dyDescent="0.25">
      <c r="A2760" s="5"/>
    </row>
    <row r="2761" spans="1:1" x14ac:dyDescent="0.25">
      <c r="A2761" s="5"/>
    </row>
    <row r="2762" spans="1:1" x14ac:dyDescent="0.25">
      <c r="A2762" s="5"/>
    </row>
    <row r="2763" spans="1:1" x14ac:dyDescent="0.25">
      <c r="A2763" s="5"/>
    </row>
    <row r="2764" spans="1:1" x14ac:dyDescent="0.25">
      <c r="A2764" s="5"/>
    </row>
    <row r="2765" spans="1:1" x14ac:dyDescent="0.25">
      <c r="A2765" s="5"/>
    </row>
    <row r="2766" spans="1:1" x14ac:dyDescent="0.25">
      <c r="A2766" s="5"/>
    </row>
    <row r="2767" spans="1:1" x14ac:dyDescent="0.25">
      <c r="A2767" s="5"/>
    </row>
    <row r="2768" spans="1:1" x14ac:dyDescent="0.25">
      <c r="A2768" s="5"/>
    </row>
    <row r="2769" spans="1:1" x14ac:dyDescent="0.25">
      <c r="A2769" s="5"/>
    </row>
    <row r="2770" spans="1:1" x14ac:dyDescent="0.25">
      <c r="A2770" s="5"/>
    </row>
    <row r="2771" spans="1:1" x14ac:dyDescent="0.25">
      <c r="A2771" s="5"/>
    </row>
    <row r="2772" spans="1:1" x14ac:dyDescent="0.25">
      <c r="A2772" s="5"/>
    </row>
    <row r="2773" spans="1:1" x14ac:dyDescent="0.25">
      <c r="A2773" s="5"/>
    </row>
    <row r="2774" spans="1:1" x14ac:dyDescent="0.25">
      <c r="A2774" s="5"/>
    </row>
    <row r="2775" spans="1:1" x14ac:dyDescent="0.25">
      <c r="A2775" s="5"/>
    </row>
    <row r="2776" spans="1:1" x14ac:dyDescent="0.25">
      <c r="A2776" s="5"/>
    </row>
    <row r="2777" spans="1:1" x14ac:dyDescent="0.25">
      <c r="A2777" s="5"/>
    </row>
    <row r="2778" spans="1:1" x14ac:dyDescent="0.25">
      <c r="A2778" s="5"/>
    </row>
    <row r="2779" spans="1:1" x14ac:dyDescent="0.25">
      <c r="A2779" s="5"/>
    </row>
    <row r="2780" spans="1:1" x14ac:dyDescent="0.25">
      <c r="A2780" s="5"/>
    </row>
    <row r="2781" spans="1:1" x14ac:dyDescent="0.25">
      <c r="A2781" s="5"/>
    </row>
    <row r="2782" spans="1:1" x14ac:dyDescent="0.25">
      <c r="A2782" s="5"/>
    </row>
    <row r="2783" spans="1:1" x14ac:dyDescent="0.25">
      <c r="A2783" s="5"/>
    </row>
    <row r="2784" spans="1:1" x14ac:dyDescent="0.25">
      <c r="A2784" s="5"/>
    </row>
    <row r="2785" spans="1:1" x14ac:dyDescent="0.25">
      <c r="A2785" s="5"/>
    </row>
    <row r="2786" spans="1:1" x14ac:dyDescent="0.25">
      <c r="A2786" s="5"/>
    </row>
    <row r="2787" spans="1:1" x14ac:dyDescent="0.25">
      <c r="A2787" s="5"/>
    </row>
    <row r="2788" spans="1:1" x14ac:dyDescent="0.25">
      <c r="A2788" s="5"/>
    </row>
    <row r="2789" spans="1:1" x14ac:dyDescent="0.25">
      <c r="A2789" s="5"/>
    </row>
    <row r="2790" spans="1:1" x14ac:dyDescent="0.25">
      <c r="A2790" s="5"/>
    </row>
    <row r="2791" spans="1:1" x14ac:dyDescent="0.25">
      <c r="A2791" s="5"/>
    </row>
    <row r="2792" spans="1:1" x14ac:dyDescent="0.25">
      <c r="A2792" s="5"/>
    </row>
    <row r="2793" spans="1:1" x14ac:dyDescent="0.25">
      <c r="A2793" s="5"/>
    </row>
    <row r="2794" spans="1:1" x14ac:dyDescent="0.25">
      <c r="A2794" s="5"/>
    </row>
    <row r="2795" spans="1:1" x14ac:dyDescent="0.25">
      <c r="A2795" s="5"/>
    </row>
    <row r="2796" spans="1:1" x14ac:dyDescent="0.25">
      <c r="A2796" s="5"/>
    </row>
    <row r="2797" spans="1:1" x14ac:dyDescent="0.25">
      <c r="A2797" s="5"/>
    </row>
    <row r="2798" spans="1:1" x14ac:dyDescent="0.25">
      <c r="A2798" s="5"/>
    </row>
    <row r="2799" spans="1:1" x14ac:dyDescent="0.25">
      <c r="A2799" s="5"/>
    </row>
    <row r="2800" spans="1:1" x14ac:dyDescent="0.25">
      <c r="A2800" s="5"/>
    </row>
    <row r="2801" spans="1:1" x14ac:dyDescent="0.25">
      <c r="A2801" s="5"/>
    </row>
    <row r="2802" spans="1:1" x14ac:dyDescent="0.25">
      <c r="A2802" s="5"/>
    </row>
    <row r="2803" spans="1:1" x14ac:dyDescent="0.25">
      <c r="A2803" s="5"/>
    </row>
    <row r="2804" spans="1:1" x14ac:dyDescent="0.25">
      <c r="A2804" s="5"/>
    </row>
    <row r="2805" spans="1:1" x14ac:dyDescent="0.25">
      <c r="A2805" s="5"/>
    </row>
    <row r="2806" spans="1:1" x14ac:dyDescent="0.25">
      <c r="A2806" s="5"/>
    </row>
    <row r="2807" spans="1:1" x14ac:dyDescent="0.25">
      <c r="A2807" s="5"/>
    </row>
    <row r="2808" spans="1:1" x14ac:dyDescent="0.25">
      <c r="A2808" s="5"/>
    </row>
    <row r="2809" spans="1:1" x14ac:dyDescent="0.25">
      <c r="A2809" s="5"/>
    </row>
    <row r="2810" spans="1:1" x14ac:dyDescent="0.25">
      <c r="A2810" s="5"/>
    </row>
    <row r="2811" spans="1:1" x14ac:dyDescent="0.25">
      <c r="A2811" s="5"/>
    </row>
    <row r="2812" spans="1:1" x14ac:dyDescent="0.25">
      <c r="A2812" s="5"/>
    </row>
    <row r="2813" spans="1:1" x14ac:dyDescent="0.25">
      <c r="A2813" s="5"/>
    </row>
    <row r="2814" spans="1:1" x14ac:dyDescent="0.25">
      <c r="A2814" s="5"/>
    </row>
    <row r="2815" spans="1:1" x14ac:dyDescent="0.25">
      <c r="A2815" s="5"/>
    </row>
    <row r="2816" spans="1:1" x14ac:dyDescent="0.25">
      <c r="A2816" s="5"/>
    </row>
    <row r="2817" spans="1:1" x14ac:dyDescent="0.25">
      <c r="A2817" s="5"/>
    </row>
    <row r="2818" spans="1:1" x14ac:dyDescent="0.25">
      <c r="A2818" s="5"/>
    </row>
    <row r="2819" spans="1:1" x14ac:dyDescent="0.25">
      <c r="A2819" s="5"/>
    </row>
    <row r="2820" spans="1:1" x14ac:dyDescent="0.25">
      <c r="A2820" s="5"/>
    </row>
    <row r="2821" spans="1:1" x14ac:dyDescent="0.25">
      <c r="A2821" s="5"/>
    </row>
    <row r="2822" spans="1:1" x14ac:dyDescent="0.25">
      <c r="A2822" s="5"/>
    </row>
    <row r="2823" spans="1:1" x14ac:dyDescent="0.25">
      <c r="A2823" s="5"/>
    </row>
    <row r="2824" spans="1:1" x14ac:dyDescent="0.25">
      <c r="A2824" s="5"/>
    </row>
    <row r="2825" spans="1:1" x14ac:dyDescent="0.25">
      <c r="A2825" s="5"/>
    </row>
    <row r="2826" spans="1:1" x14ac:dyDescent="0.25">
      <c r="A2826" s="5"/>
    </row>
    <row r="2827" spans="1:1" x14ac:dyDescent="0.25">
      <c r="A2827" s="5"/>
    </row>
    <row r="2828" spans="1:1" x14ac:dyDescent="0.25">
      <c r="A2828" s="5"/>
    </row>
    <row r="2829" spans="1:1" x14ac:dyDescent="0.25">
      <c r="A2829" s="5"/>
    </row>
    <row r="2830" spans="1:1" x14ac:dyDescent="0.25">
      <c r="A2830" s="5"/>
    </row>
    <row r="2831" spans="1:1" x14ac:dyDescent="0.25">
      <c r="A2831" s="5"/>
    </row>
    <row r="2832" spans="1:1" x14ac:dyDescent="0.25">
      <c r="A2832" s="5"/>
    </row>
    <row r="2833" spans="1:1" x14ac:dyDescent="0.25">
      <c r="A2833" s="5"/>
    </row>
    <row r="2834" spans="1:1" x14ac:dyDescent="0.25">
      <c r="A2834" s="5"/>
    </row>
    <row r="2835" spans="1:1" x14ac:dyDescent="0.25">
      <c r="A2835" s="5"/>
    </row>
    <row r="2836" spans="1:1" x14ac:dyDescent="0.25">
      <c r="A2836" s="5"/>
    </row>
    <row r="2837" spans="1:1" x14ac:dyDescent="0.25">
      <c r="A2837" s="5"/>
    </row>
    <row r="2838" spans="1:1" x14ac:dyDescent="0.25">
      <c r="A2838" s="5"/>
    </row>
    <row r="2839" spans="1:1" x14ac:dyDescent="0.25">
      <c r="A2839" s="5"/>
    </row>
    <row r="2840" spans="1:1" x14ac:dyDescent="0.25">
      <c r="A2840" s="5"/>
    </row>
    <row r="2841" spans="1:1" x14ac:dyDescent="0.25">
      <c r="A2841" s="5"/>
    </row>
    <row r="2842" spans="1:1" x14ac:dyDescent="0.25">
      <c r="A2842" s="5"/>
    </row>
    <row r="2843" spans="1:1" x14ac:dyDescent="0.25">
      <c r="A2843" s="5"/>
    </row>
    <row r="2844" spans="1:1" x14ac:dyDescent="0.25">
      <c r="A2844" s="5"/>
    </row>
    <row r="2845" spans="1:1" x14ac:dyDescent="0.25">
      <c r="A2845" s="5"/>
    </row>
    <row r="2846" spans="1:1" x14ac:dyDescent="0.25">
      <c r="A2846" s="5"/>
    </row>
    <row r="2847" spans="1:1" x14ac:dyDescent="0.25">
      <c r="A2847" s="5"/>
    </row>
    <row r="2848" spans="1:1" x14ac:dyDescent="0.25">
      <c r="A2848" s="5"/>
    </row>
    <row r="2849" spans="1:1" x14ac:dyDescent="0.25">
      <c r="A2849" s="5"/>
    </row>
    <row r="2850" spans="1:1" x14ac:dyDescent="0.25">
      <c r="A2850" s="5"/>
    </row>
    <row r="2851" spans="1:1" x14ac:dyDescent="0.25">
      <c r="A2851" s="5"/>
    </row>
    <row r="2852" spans="1:1" x14ac:dyDescent="0.25">
      <c r="A2852" s="5"/>
    </row>
    <row r="2853" spans="1:1" x14ac:dyDescent="0.25">
      <c r="A2853" s="5"/>
    </row>
    <row r="2854" spans="1:1" x14ac:dyDescent="0.25">
      <c r="A2854" s="5"/>
    </row>
    <row r="2855" spans="1:1" x14ac:dyDescent="0.25">
      <c r="A2855" s="5"/>
    </row>
    <row r="2856" spans="1:1" x14ac:dyDescent="0.25">
      <c r="A2856" s="5"/>
    </row>
    <row r="2857" spans="1:1" x14ac:dyDescent="0.25">
      <c r="A2857" s="5"/>
    </row>
    <row r="2858" spans="1:1" x14ac:dyDescent="0.25">
      <c r="A2858" s="5"/>
    </row>
    <row r="2859" spans="1:1" x14ac:dyDescent="0.25">
      <c r="A2859" s="5"/>
    </row>
    <row r="2860" spans="1:1" x14ac:dyDescent="0.25">
      <c r="A2860" s="5"/>
    </row>
    <row r="2861" spans="1:1" x14ac:dyDescent="0.25">
      <c r="A2861" s="5"/>
    </row>
    <row r="2862" spans="1:1" x14ac:dyDescent="0.25">
      <c r="A2862" s="5"/>
    </row>
    <row r="2863" spans="1:1" x14ac:dyDescent="0.25">
      <c r="A2863" s="5"/>
    </row>
    <row r="2864" spans="1:1" x14ac:dyDescent="0.25">
      <c r="A2864" s="5"/>
    </row>
    <row r="2865" spans="1:1" x14ac:dyDescent="0.25">
      <c r="A2865" s="5"/>
    </row>
    <row r="2866" spans="1:1" x14ac:dyDescent="0.25">
      <c r="A2866" s="5"/>
    </row>
    <row r="2867" spans="1:1" x14ac:dyDescent="0.25">
      <c r="A2867" s="5"/>
    </row>
    <row r="2868" spans="1:1" x14ac:dyDescent="0.25">
      <c r="A2868" s="5"/>
    </row>
    <row r="2869" spans="1:1" x14ac:dyDescent="0.25">
      <c r="A2869" s="5"/>
    </row>
    <row r="2870" spans="1:1" x14ac:dyDescent="0.25">
      <c r="A2870" s="5"/>
    </row>
    <row r="2871" spans="1:1" x14ac:dyDescent="0.25">
      <c r="A2871" s="5"/>
    </row>
    <row r="2872" spans="1:1" x14ac:dyDescent="0.25">
      <c r="A2872" s="5"/>
    </row>
    <row r="2873" spans="1:1" x14ac:dyDescent="0.25">
      <c r="A2873" s="5"/>
    </row>
    <row r="2874" spans="1:1" x14ac:dyDescent="0.25">
      <c r="A2874" s="5"/>
    </row>
    <row r="2875" spans="1:1" x14ac:dyDescent="0.25">
      <c r="A2875" s="5"/>
    </row>
    <row r="2876" spans="1:1" x14ac:dyDescent="0.25">
      <c r="A2876" s="5"/>
    </row>
    <row r="2877" spans="1:1" x14ac:dyDescent="0.25">
      <c r="A2877" s="5"/>
    </row>
    <row r="2878" spans="1:1" x14ac:dyDescent="0.25">
      <c r="A2878" s="5"/>
    </row>
    <row r="2879" spans="1:1" x14ac:dyDescent="0.25">
      <c r="A2879" s="5"/>
    </row>
    <row r="2880" spans="1:1" x14ac:dyDescent="0.25">
      <c r="A2880" s="5"/>
    </row>
    <row r="2881" spans="1:1" x14ac:dyDescent="0.25">
      <c r="A2881" s="5"/>
    </row>
    <row r="2882" spans="1:1" x14ac:dyDescent="0.25">
      <c r="A2882" s="5"/>
    </row>
    <row r="2883" spans="1:1" x14ac:dyDescent="0.25">
      <c r="A2883" s="5"/>
    </row>
    <row r="2884" spans="1:1" x14ac:dyDescent="0.25">
      <c r="A2884" s="5"/>
    </row>
    <row r="2885" spans="1:1" x14ac:dyDescent="0.25">
      <c r="A2885" s="5"/>
    </row>
    <row r="2886" spans="1:1" x14ac:dyDescent="0.25">
      <c r="A2886" s="5"/>
    </row>
    <row r="2887" spans="1:1" x14ac:dyDescent="0.25">
      <c r="A2887" s="5"/>
    </row>
    <row r="2888" spans="1:1" x14ac:dyDescent="0.25">
      <c r="A2888" s="5"/>
    </row>
  </sheetData>
  <conditionalFormatting sqref="D1:D4 D202:D1048576 C200:D201 D197:D199">
    <cfRule type="cellIs" dxfId="286" priority="193" operator="lessThan">
      <formula>$A$2</formula>
    </cfRule>
  </conditionalFormatting>
  <conditionalFormatting sqref="C196">
    <cfRule type="cellIs" dxfId="285" priority="192" operator="equal">
      <formula>0</formula>
    </cfRule>
  </conditionalFormatting>
  <conditionalFormatting sqref="C195">
    <cfRule type="cellIs" dxfId="284" priority="191" operator="equal">
      <formula>0</formula>
    </cfRule>
  </conditionalFormatting>
  <conditionalFormatting sqref="C194">
    <cfRule type="cellIs" dxfId="283" priority="190" operator="equal">
      <formula>0</formula>
    </cfRule>
  </conditionalFormatting>
  <conditionalFormatting sqref="C193">
    <cfRule type="cellIs" dxfId="282" priority="189" operator="equal">
      <formula>0</formula>
    </cfRule>
  </conditionalFormatting>
  <conditionalFormatting sqref="C192">
    <cfRule type="cellIs" dxfId="281" priority="188" operator="equal">
      <formula>0</formula>
    </cfRule>
  </conditionalFormatting>
  <conditionalFormatting sqref="C191">
    <cfRule type="cellIs" dxfId="280" priority="187" operator="equal">
      <formula>0</formula>
    </cfRule>
  </conditionalFormatting>
  <conditionalFormatting sqref="C190">
    <cfRule type="cellIs" dxfId="279" priority="186" operator="equal">
      <formula>0</formula>
    </cfRule>
  </conditionalFormatting>
  <conditionalFormatting sqref="C189">
    <cfRule type="cellIs" dxfId="278" priority="185" operator="equal">
      <formula>0</formula>
    </cfRule>
  </conditionalFormatting>
  <conditionalFormatting sqref="C188">
    <cfRule type="cellIs" dxfId="277" priority="184" operator="equal">
      <formula>0</formula>
    </cfRule>
  </conditionalFormatting>
  <conditionalFormatting sqref="C187">
    <cfRule type="cellIs" dxfId="276" priority="183" operator="equal">
      <formula>0</formula>
    </cfRule>
  </conditionalFormatting>
  <conditionalFormatting sqref="C186">
    <cfRule type="cellIs" dxfId="275" priority="182" operator="equal">
      <formula>0</formula>
    </cfRule>
  </conditionalFormatting>
  <conditionalFormatting sqref="C185">
    <cfRule type="cellIs" dxfId="274" priority="181" operator="equal">
      <formula>0</formula>
    </cfRule>
  </conditionalFormatting>
  <conditionalFormatting sqref="C184">
    <cfRule type="cellIs" dxfId="273" priority="180" operator="equal">
      <formula>0</formula>
    </cfRule>
  </conditionalFormatting>
  <conditionalFormatting sqref="C183">
    <cfRule type="cellIs" dxfId="272" priority="179" operator="equal">
      <formula>0</formula>
    </cfRule>
  </conditionalFormatting>
  <conditionalFormatting sqref="C182">
    <cfRule type="cellIs" dxfId="271" priority="178" operator="equal">
      <formula>0</formula>
    </cfRule>
  </conditionalFormatting>
  <conditionalFormatting sqref="C181">
    <cfRule type="cellIs" dxfId="270" priority="177" operator="equal">
      <formula>0</formula>
    </cfRule>
  </conditionalFormatting>
  <conditionalFormatting sqref="C180">
    <cfRule type="cellIs" dxfId="269" priority="176" operator="equal">
      <formula>0</formula>
    </cfRule>
  </conditionalFormatting>
  <conditionalFormatting sqref="C179">
    <cfRule type="cellIs" dxfId="268" priority="175" operator="equal">
      <formula>0</formula>
    </cfRule>
  </conditionalFormatting>
  <conditionalFormatting sqref="C178">
    <cfRule type="cellIs" dxfId="267" priority="174" operator="equal">
      <formula>0</formula>
    </cfRule>
  </conditionalFormatting>
  <conditionalFormatting sqref="C177">
    <cfRule type="cellIs" dxfId="266" priority="173" operator="equal">
      <formula>0</formula>
    </cfRule>
  </conditionalFormatting>
  <conditionalFormatting sqref="C176">
    <cfRule type="cellIs" dxfId="265" priority="172" operator="equal">
      <formula>0</formula>
    </cfRule>
  </conditionalFormatting>
  <conditionalFormatting sqref="C175">
    <cfRule type="cellIs" dxfId="264" priority="171" operator="equal">
      <formula>0</formula>
    </cfRule>
  </conditionalFormatting>
  <conditionalFormatting sqref="C174">
    <cfRule type="cellIs" dxfId="263" priority="170" operator="equal">
      <formula>0</formula>
    </cfRule>
  </conditionalFormatting>
  <conditionalFormatting sqref="C173">
    <cfRule type="cellIs" dxfId="262" priority="169" operator="equal">
      <formula>0</formula>
    </cfRule>
  </conditionalFormatting>
  <conditionalFormatting sqref="C172">
    <cfRule type="cellIs" dxfId="261" priority="168" operator="equal">
      <formula>0</formula>
    </cfRule>
  </conditionalFormatting>
  <conditionalFormatting sqref="C171">
    <cfRule type="cellIs" dxfId="260" priority="167" operator="equal">
      <formula>0</formula>
    </cfRule>
  </conditionalFormatting>
  <conditionalFormatting sqref="C170">
    <cfRule type="cellIs" dxfId="259" priority="166" operator="equal">
      <formula>0</formula>
    </cfRule>
  </conditionalFormatting>
  <conditionalFormatting sqref="C169">
    <cfRule type="cellIs" dxfId="258" priority="165" operator="equal">
      <formula>0</formula>
    </cfRule>
  </conditionalFormatting>
  <conditionalFormatting sqref="C168">
    <cfRule type="cellIs" dxfId="257" priority="164" operator="equal">
      <formula>0</formula>
    </cfRule>
  </conditionalFormatting>
  <conditionalFormatting sqref="C167">
    <cfRule type="cellIs" dxfId="256" priority="163" operator="equal">
      <formula>0</formula>
    </cfRule>
  </conditionalFormatting>
  <conditionalFormatting sqref="C166">
    <cfRule type="cellIs" dxfId="255" priority="162" operator="equal">
      <formula>0</formula>
    </cfRule>
  </conditionalFormatting>
  <conditionalFormatting sqref="C165">
    <cfRule type="cellIs" dxfId="254" priority="161" operator="equal">
      <formula>0</formula>
    </cfRule>
  </conditionalFormatting>
  <conditionalFormatting sqref="C164">
    <cfRule type="cellIs" dxfId="253" priority="160" operator="equal">
      <formula>0</formula>
    </cfRule>
  </conditionalFormatting>
  <conditionalFormatting sqref="C163">
    <cfRule type="cellIs" dxfId="252" priority="159" operator="equal">
      <formula>0</formula>
    </cfRule>
  </conditionalFormatting>
  <conditionalFormatting sqref="C162">
    <cfRule type="cellIs" dxfId="251" priority="158" operator="equal">
      <formula>0</formula>
    </cfRule>
  </conditionalFormatting>
  <conditionalFormatting sqref="C161">
    <cfRule type="cellIs" dxfId="250" priority="157" operator="equal">
      <formula>0</formula>
    </cfRule>
  </conditionalFormatting>
  <conditionalFormatting sqref="C160">
    <cfRule type="cellIs" dxfId="249" priority="156" operator="equal">
      <formula>0</formula>
    </cfRule>
  </conditionalFormatting>
  <conditionalFormatting sqref="C159">
    <cfRule type="cellIs" dxfId="248" priority="155" operator="equal">
      <formula>0</formula>
    </cfRule>
  </conditionalFormatting>
  <conditionalFormatting sqref="C158">
    <cfRule type="cellIs" dxfId="247" priority="154" operator="equal">
      <formula>0</formula>
    </cfRule>
  </conditionalFormatting>
  <conditionalFormatting sqref="C157">
    <cfRule type="cellIs" dxfId="246" priority="153" operator="equal">
      <formula>0</formula>
    </cfRule>
  </conditionalFormatting>
  <conditionalFormatting sqref="C156">
    <cfRule type="cellIs" dxfId="245" priority="152" operator="equal">
      <formula>0</formula>
    </cfRule>
  </conditionalFormatting>
  <conditionalFormatting sqref="C155">
    <cfRule type="cellIs" dxfId="244" priority="151" operator="equal">
      <formula>0</formula>
    </cfRule>
  </conditionalFormatting>
  <conditionalFormatting sqref="C154">
    <cfRule type="cellIs" dxfId="243" priority="150" operator="equal">
      <formula>0</formula>
    </cfRule>
  </conditionalFormatting>
  <conditionalFormatting sqref="C153">
    <cfRule type="cellIs" dxfId="242" priority="149" operator="equal">
      <formula>0</formula>
    </cfRule>
  </conditionalFormatting>
  <conditionalFormatting sqref="C152">
    <cfRule type="cellIs" dxfId="241" priority="148" operator="equal">
      <formula>0</formula>
    </cfRule>
  </conditionalFormatting>
  <conditionalFormatting sqref="C151">
    <cfRule type="cellIs" dxfId="240" priority="147" operator="equal">
      <formula>0</formula>
    </cfRule>
  </conditionalFormatting>
  <conditionalFormatting sqref="C150">
    <cfRule type="cellIs" dxfId="239" priority="146" operator="equal">
      <formula>0</formula>
    </cfRule>
  </conditionalFormatting>
  <conditionalFormatting sqref="C149">
    <cfRule type="cellIs" dxfId="238" priority="145" operator="equal">
      <formula>0</formula>
    </cfRule>
  </conditionalFormatting>
  <conditionalFormatting sqref="C148">
    <cfRule type="cellIs" dxfId="237" priority="144" operator="equal">
      <formula>0</formula>
    </cfRule>
  </conditionalFormatting>
  <conditionalFormatting sqref="C147">
    <cfRule type="cellIs" dxfId="236" priority="143" operator="equal">
      <formula>0</formula>
    </cfRule>
  </conditionalFormatting>
  <conditionalFormatting sqref="C146">
    <cfRule type="cellIs" dxfId="235" priority="142" operator="equal">
      <formula>0</formula>
    </cfRule>
  </conditionalFormatting>
  <conditionalFormatting sqref="C145">
    <cfRule type="cellIs" dxfId="234" priority="141" operator="equal">
      <formula>0</formula>
    </cfRule>
  </conditionalFormatting>
  <conditionalFormatting sqref="C144">
    <cfRule type="cellIs" dxfId="233" priority="140" operator="equal">
      <formula>0</formula>
    </cfRule>
  </conditionalFormatting>
  <conditionalFormatting sqref="C143">
    <cfRule type="cellIs" dxfId="232" priority="139" operator="equal">
      <formula>0</formula>
    </cfRule>
  </conditionalFormatting>
  <conditionalFormatting sqref="C142">
    <cfRule type="cellIs" dxfId="231" priority="138" operator="equal">
      <formula>0</formula>
    </cfRule>
  </conditionalFormatting>
  <conditionalFormatting sqref="C141">
    <cfRule type="cellIs" dxfId="230" priority="137" operator="equal">
      <formula>0</formula>
    </cfRule>
  </conditionalFormatting>
  <conditionalFormatting sqref="C140">
    <cfRule type="cellIs" dxfId="229" priority="136" operator="equal">
      <formula>0</formula>
    </cfRule>
  </conditionalFormatting>
  <conditionalFormatting sqref="C139">
    <cfRule type="cellIs" dxfId="228" priority="135" operator="equal">
      <formula>0</formula>
    </cfRule>
  </conditionalFormatting>
  <conditionalFormatting sqref="C138">
    <cfRule type="cellIs" dxfId="227" priority="134" operator="equal">
      <formula>0</formula>
    </cfRule>
  </conditionalFormatting>
  <conditionalFormatting sqref="C137">
    <cfRule type="cellIs" dxfId="226" priority="133" operator="equal">
      <formula>0</formula>
    </cfRule>
  </conditionalFormatting>
  <conditionalFormatting sqref="C136">
    <cfRule type="cellIs" dxfId="225" priority="132" operator="equal">
      <formula>0</formula>
    </cfRule>
  </conditionalFormatting>
  <conditionalFormatting sqref="C135">
    <cfRule type="cellIs" dxfId="224" priority="131" operator="equal">
      <formula>0</formula>
    </cfRule>
  </conditionalFormatting>
  <conditionalFormatting sqref="C134">
    <cfRule type="cellIs" dxfId="223" priority="130" operator="equal">
      <formula>0</formula>
    </cfRule>
  </conditionalFormatting>
  <conditionalFormatting sqref="C133">
    <cfRule type="cellIs" dxfId="222" priority="129" operator="equal">
      <formula>0</formula>
    </cfRule>
  </conditionalFormatting>
  <conditionalFormatting sqref="C132">
    <cfRule type="cellIs" dxfId="221" priority="128" operator="equal">
      <formula>0</formula>
    </cfRule>
  </conditionalFormatting>
  <conditionalFormatting sqref="C131">
    <cfRule type="cellIs" dxfId="220" priority="127" operator="equal">
      <formula>0</formula>
    </cfRule>
  </conditionalFormatting>
  <conditionalFormatting sqref="C130">
    <cfRule type="cellIs" dxfId="219" priority="126" operator="equal">
      <formula>0</formula>
    </cfRule>
  </conditionalFormatting>
  <conditionalFormatting sqref="C129">
    <cfRule type="cellIs" dxfId="218" priority="125" operator="equal">
      <formula>0</formula>
    </cfRule>
  </conditionalFormatting>
  <conditionalFormatting sqref="C128">
    <cfRule type="cellIs" dxfId="217" priority="124" operator="equal">
      <formula>0</formula>
    </cfRule>
  </conditionalFormatting>
  <conditionalFormatting sqref="C127">
    <cfRule type="cellIs" dxfId="216" priority="123" operator="equal">
      <formula>0</formula>
    </cfRule>
  </conditionalFormatting>
  <conditionalFormatting sqref="C126">
    <cfRule type="cellIs" dxfId="215" priority="122" operator="equal">
      <formula>0</formula>
    </cfRule>
  </conditionalFormatting>
  <conditionalFormatting sqref="C125">
    <cfRule type="cellIs" dxfId="214" priority="121" operator="equal">
      <formula>0</formula>
    </cfRule>
  </conditionalFormatting>
  <conditionalFormatting sqref="C124">
    <cfRule type="cellIs" dxfId="213" priority="120" operator="equal">
      <formula>0</formula>
    </cfRule>
  </conditionalFormatting>
  <conditionalFormatting sqref="C123">
    <cfRule type="cellIs" dxfId="212" priority="119" operator="equal">
      <formula>0</formula>
    </cfRule>
  </conditionalFormatting>
  <conditionalFormatting sqref="C122">
    <cfRule type="cellIs" dxfId="211" priority="118" operator="equal">
      <formula>0</formula>
    </cfRule>
  </conditionalFormatting>
  <conditionalFormatting sqref="C121">
    <cfRule type="cellIs" dxfId="210" priority="117" operator="equal">
      <formula>0</formula>
    </cfRule>
  </conditionalFormatting>
  <conditionalFormatting sqref="C120">
    <cfRule type="cellIs" dxfId="209" priority="116" operator="equal">
      <formula>0</formula>
    </cfRule>
  </conditionalFormatting>
  <conditionalFormatting sqref="C119">
    <cfRule type="cellIs" dxfId="208" priority="115" operator="equal">
      <formula>0</formula>
    </cfRule>
  </conditionalFormatting>
  <conditionalFormatting sqref="C118">
    <cfRule type="cellIs" dxfId="207" priority="114" operator="equal">
      <formula>0</formula>
    </cfRule>
  </conditionalFormatting>
  <conditionalFormatting sqref="C117">
    <cfRule type="cellIs" dxfId="206" priority="113" operator="equal">
      <formula>0</formula>
    </cfRule>
  </conditionalFormatting>
  <conditionalFormatting sqref="C116">
    <cfRule type="cellIs" dxfId="205" priority="112" operator="equal">
      <formula>0</formula>
    </cfRule>
  </conditionalFormatting>
  <conditionalFormatting sqref="C115">
    <cfRule type="cellIs" dxfId="204" priority="111" operator="equal">
      <formula>0</formula>
    </cfRule>
  </conditionalFormatting>
  <conditionalFormatting sqref="C114">
    <cfRule type="cellIs" dxfId="203" priority="110" operator="equal">
      <formula>0</formula>
    </cfRule>
  </conditionalFormatting>
  <conditionalFormatting sqref="C113">
    <cfRule type="cellIs" dxfId="202" priority="109" operator="equal">
      <formula>0</formula>
    </cfRule>
  </conditionalFormatting>
  <conditionalFormatting sqref="C112">
    <cfRule type="cellIs" dxfId="201" priority="108" operator="equal">
      <formula>0</formula>
    </cfRule>
  </conditionalFormatting>
  <conditionalFormatting sqref="C111">
    <cfRule type="cellIs" dxfId="200" priority="107" operator="equal">
      <formula>0</formula>
    </cfRule>
  </conditionalFormatting>
  <conditionalFormatting sqref="C110">
    <cfRule type="cellIs" dxfId="199" priority="106" operator="equal">
      <formula>0</formula>
    </cfRule>
  </conditionalFormatting>
  <conditionalFormatting sqref="C109">
    <cfRule type="cellIs" dxfId="198" priority="105" operator="equal">
      <formula>0</formula>
    </cfRule>
  </conditionalFormatting>
  <conditionalFormatting sqref="C108">
    <cfRule type="cellIs" dxfId="197" priority="104" operator="equal">
      <formula>0</formula>
    </cfRule>
  </conditionalFormatting>
  <conditionalFormatting sqref="C107">
    <cfRule type="cellIs" dxfId="196" priority="103" operator="equal">
      <formula>0</formula>
    </cfRule>
  </conditionalFormatting>
  <conditionalFormatting sqref="C106">
    <cfRule type="cellIs" dxfId="195" priority="102" operator="equal">
      <formula>0</formula>
    </cfRule>
  </conditionalFormatting>
  <conditionalFormatting sqref="C105">
    <cfRule type="cellIs" dxfId="194" priority="101" operator="equal">
      <formula>0</formula>
    </cfRule>
  </conditionalFormatting>
  <conditionalFormatting sqref="C104">
    <cfRule type="cellIs" dxfId="193" priority="100" operator="equal">
      <formula>0</formula>
    </cfRule>
  </conditionalFormatting>
  <conditionalFormatting sqref="C103">
    <cfRule type="cellIs" dxfId="192" priority="99" operator="equal">
      <formula>0</formula>
    </cfRule>
  </conditionalFormatting>
  <conditionalFormatting sqref="C102">
    <cfRule type="cellIs" dxfId="191" priority="98" operator="equal">
      <formula>0</formula>
    </cfRule>
  </conditionalFormatting>
  <conditionalFormatting sqref="C101">
    <cfRule type="cellIs" dxfId="190" priority="97" operator="equal">
      <formula>0</formula>
    </cfRule>
  </conditionalFormatting>
  <conditionalFormatting sqref="C100">
    <cfRule type="cellIs" dxfId="189" priority="96" operator="equal">
      <formula>0</formula>
    </cfRule>
  </conditionalFormatting>
  <conditionalFormatting sqref="C99">
    <cfRule type="cellIs" dxfId="188" priority="95" operator="equal">
      <formula>0</formula>
    </cfRule>
  </conditionalFormatting>
  <conditionalFormatting sqref="C98">
    <cfRule type="cellIs" dxfId="187" priority="94" operator="equal">
      <formula>0</formula>
    </cfRule>
  </conditionalFormatting>
  <conditionalFormatting sqref="C97">
    <cfRule type="cellIs" dxfId="186" priority="93" operator="equal">
      <formula>0</formula>
    </cfRule>
  </conditionalFormatting>
  <conditionalFormatting sqref="C96">
    <cfRule type="cellIs" dxfId="185" priority="92" operator="equal">
      <formula>0</formula>
    </cfRule>
  </conditionalFormatting>
  <conditionalFormatting sqref="C95">
    <cfRule type="cellIs" dxfId="184" priority="91" operator="equal">
      <formula>0</formula>
    </cfRule>
  </conditionalFormatting>
  <conditionalFormatting sqref="C94">
    <cfRule type="cellIs" dxfId="183" priority="90" operator="equal">
      <formula>0</formula>
    </cfRule>
  </conditionalFormatting>
  <conditionalFormatting sqref="C93">
    <cfRule type="cellIs" dxfId="182" priority="89" operator="equal">
      <formula>0</formula>
    </cfRule>
  </conditionalFormatting>
  <conditionalFormatting sqref="C92">
    <cfRule type="cellIs" dxfId="181" priority="88" operator="equal">
      <formula>0</formula>
    </cfRule>
  </conditionalFormatting>
  <conditionalFormatting sqref="C91">
    <cfRule type="cellIs" dxfId="180" priority="87" operator="equal">
      <formula>0</formula>
    </cfRule>
  </conditionalFormatting>
  <conditionalFormatting sqref="C90">
    <cfRule type="cellIs" dxfId="179" priority="86" operator="equal">
      <formula>0</formula>
    </cfRule>
  </conditionalFormatting>
  <conditionalFormatting sqref="C89">
    <cfRule type="cellIs" dxfId="178" priority="85" operator="equal">
      <formula>0</formula>
    </cfRule>
  </conditionalFormatting>
  <conditionalFormatting sqref="C88">
    <cfRule type="cellIs" dxfId="177" priority="84" operator="equal">
      <formula>0</formula>
    </cfRule>
  </conditionalFormatting>
  <conditionalFormatting sqref="C87">
    <cfRule type="cellIs" dxfId="176" priority="83" operator="equal">
      <formula>0</formula>
    </cfRule>
  </conditionalFormatting>
  <conditionalFormatting sqref="C86">
    <cfRule type="cellIs" dxfId="175" priority="82" operator="equal">
      <formula>0</formula>
    </cfRule>
  </conditionalFormatting>
  <conditionalFormatting sqref="C85">
    <cfRule type="cellIs" dxfId="174" priority="81" operator="equal">
      <formula>0</formula>
    </cfRule>
  </conditionalFormatting>
  <conditionalFormatting sqref="C84">
    <cfRule type="cellIs" dxfId="173" priority="80" operator="equal">
      <formula>0</formula>
    </cfRule>
  </conditionalFormatting>
  <conditionalFormatting sqref="C83">
    <cfRule type="cellIs" dxfId="172" priority="79" operator="equal">
      <formula>0</formula>
    </cfRule>
  </conditionalFormatting>
  <conditionalFormatting sqref="C82">
    <cfRule type="cellIs" dxfId="171" priority="78" operator="equal">
      <formula>0</formula>
    </cfRule>
  </conditionalFormatting>
  <conditionalFormatting sqref="C81">
    <cfRule type="cellIs" dxfId="170" priority="77" operator="equal">
      <formula>0</formula>
    </cfRule>
  </conditionalFormatting>
  <conditionalFormatting sqref="C80">
    <cfRule type="cellIs" dxfId="169" priority="76" operator="equal">
      <formula>0</formula>
    </cfRule>
  </conditionalFormatting>
  <conditionalFormatting sqref="C79">
    <cfRule type="cellIs" dxfId="168" priority="75" operator="equal">
      <formula>0</formula>
    </cfRule>
  </conditionalFormatting>
  <conditionalFormatting sqref="C78">
    <cfRule type="cellIs" dxfId="167" priority="74" operator="equal">
      <formula>0</formula>
    </cfRule>
  </conditionalFormatting>
  <conditionalFormatting sqref="C77">
    <cfRule type="cellIs" dxfId="166" priority="73" operator="equal">
      <formula>0</formula>
    </cfRule>
  </conditionalFormatting>
  <conditionalFormatting sqref="C76">
    <cfRule type="cellIs" dxfId="165" priority="72" operator="equal">
      <formula>0</formula>
    </cfRule>
  </conditionalFormatting>
  <conditionalFormatting sqref="C75">
    <cfRule type="cellIs" dxfId="164" priority="71" operator="equal">
      <formula>0</formula>
    </cfRule>
  </conditionalFormatting>
  <conditionalFormatting sqref="C74">
    <cfRule type="cellIs" dxfId="163" priority="70" operator="equal">
      <formula>0</formula>
    </cfRule>
  </conditionalFormatting>
  <conditionalFormatting sqref="C73">
    <cfRule type="cellIs" dxfId="162" priority="69" operator="equal">
      <formula>0</formula>
    </cfRule>
  </conditionalFormatting>
  <conditionalFormatting sqref="C72">
    <cfRule type="cellIs" dxfId="161" priority="68" operator="equal">
      <formula>0</formula>
    </cfRule>
  </conditionalFormatting>
  <conditionalFormatting sqref="C71">
    <cfRule type="cellIs" dxfId="160" priority="67" operator="equal">
      <formula>0</formula>
    </cfRule>
  </conditionalFormatting>
  <conditionalFormatting sqref="C70">
    <cfRule type="cellIs" dxfId="159" priority="66" operator="equal">
      <formula>0</formula>
    </cfRule>
  </conditionalFormatting>
  <conditionalFormatting sqref="C69">
    <cfRule type="cellIs" dxfId="158" priority="65" operator="equal">
      <formula>0</formula>
    </cfRule>
  </conditionalFormatting>
  <conditionalFormatting sqref="C68">
    <cfRule type="cellIs" dxfId="157" priority="64" operator="equal">
      <formula>0</formula>
    </cfRule>
  </conditionalFormatting>
  <conditionalFormatting sqref="C67">
    <cfRule type="cellIs" dxfId="156" priority="63" operator="equal">
      <formula>0</formula>
    </cfRule>
  </conditionalFormatting>
  <conditionalFormatting sqref="C66">
    <cfRule type="cellIs" dxfId="155" priority="62" operator="equal">
      <formula>0</formula>
    </cfRule>
  </conditionalFormatting>
  <conditionalFormatting sqref="C65">
    <cfRule type="cellIs" dxfId="154" priority="61" operator="equal">
      <formula>0</formula>
    </cfRule>
  </conditionalFormatting>
  <conditionalFormatting sqref="C64">
    <cfRule type="cellIs" dxfId="153" priority="60" operator="equal">
      <formula>0</formula>
    </cfRule>
  </conditionalFormatting>
  <conditionalFormatting sqref="C63">
    <cfRule type="cellIs" dxfId="152" priority="59" operator="equal">
      <formula>0</formula>
    </cfRule>
  </conditionalFormatting>
  <conditionalFormatting sqref="C62">
    <cfRule type="cellIs" dxfId="151" priority="58" operator="equal">
      <formula>0</formula>
    </cfRule>
  </conditionalFormatting>
  <conditionalFormatting sqref="C61">
    <cfRule type="cellIs" dxfId="150" priority="57" operator="equal">
      <formula>0</formula>
    </cfRule>
  </conditionalFormatting>
  <conditionalFormatting sqref="C60">
    <cfRule type="cellIs" dxfId="149" priority="56" operator="equal">
      <formula>0</formula>
    </cfRule>
  </conditionalFormatting>
  <conditionalFormatting sqref="C59">
    <cfRule type="cellIs" dxfId="148" priority="55" operator="equal">
      <formula>0</formula>
    </cfRule>
  </conditionalFormatting>
  <conditionalFormatting sqref="C58">
    <cfRule type="cellIs" dxfId="147" priority="54" operator="equal">
      <formula>0</formula>
    </cfRule>
  </conditionalFormatting>
  <conditionalFormatting sqref="C57">
    <cfRule type="cellIs" dxfId="146" priority="53" operator="equal">
      <formula>0</formula>
    </cfRule>
  </conditionalFormatting>
  <conditionalFormatting sqref="C56">
    <cfRule type="cellIs" dxfId="145" priority="52" operator="equal">
      <formula>0</formula>
    </cfRule>
  </conditionalFormatting>
  <conditionalFormatting sqref="C55">
    <cfRule type="cellIs" dxfId="144" priority="51" operator="equal">
      <formula>0</formula>
    </cfRule>
  </conditionalFormatting>
  <conditionalFormatting sqref="C54">
    <cfRule type="cellIs" dxfId="143" priority="50" operator="equal">
      <formula>0</formula>
    </cfRule>
  </conditionalFormatting>
  <conditionalFormatting sqref="C53">
    <cfRule type="cellIs" dxfId="142" priority="49" operator="equal">
      <formula>0</formula>
    </cfRule>
  </conditionalFormatting>
  <conditionalFormatting sqref="C52">
    <cfRule type="cellIs" dxfId="141" priority="48" operator="equal">
      <formula>0</formula>
    </cfRule>
  </conditionalFormatting>
  <conditionalFormatting sqref="C51">
    <cfRule type="cellIs" dxfId="140" priority="47" operator="equal">
      <formula>0</formula>
    </cfRule>
  </conditionalFormatting>
  <conditionalFormatting sqref="C50">
    <cfRule type="cellIs" dxfId="139" priority="46" operator="equal">
      <formula>0</formula>
    </cfRule>
  </conditionalFormatting>
  <conditionalFormatting sqref="C49">
    <cfRule type="cellIs" dxfId="138" priority="45" operator="equal">
      <formula>0</formula>
    </cfRule>
  </conditionalFormatting>
  <conditionalFormatting sqref="C48">
    <cfRule type="cellIs" dxfId="137" priority="44" operator="equal">
      <formula>0</formula>
    </cfRule>
  </conditionalFormatting>
  <conditionalFormatting sqref="C47">
    <cfRule type="cellIs" dxfId="136" priority="43" operator="equal">
      <formula>0</formula>
    </cfRule>
  </conditionalFormatting>
  <conditionalFormatting sqref="C46">
    <cfRule type="cellIs" dxfId="135" priority="42" operator="equal">
      <formula>0</formula>
    </cfRule>
  </conditionalFormatting>
  <conditionalFormatting sqref="C45">
    <cfRule type="cellIs" dxfId="134" priority="41" operator="equal">
      <formula>0</formula>
    </cfRule>
  </conditionalFormatting>
  <conditionalFormatting sqref="C44">
    <cfRule type="cellIs" dxfId="133" priority="40" operator="equal">
      <formula>0</formula>
    </cfRule>
  </conditionalFormatting>
  <conditionalFormatting sqref="C43">
    <cfRule type="cellIs" dxfId="132" priority="39" operator="equal">
      <formula>0</formula>
    </cfRule>
  </conditionalFormatting>
  <conditionalFormatting sqref="C42">
    <cfRule type="cellIs" dxfId="131" priority="38" operator="equal">
      <formula>0</formula>
    </cfRule>
  </conditionalFormatting>
  <conditionalFormatting sqref="C41">
    <cfRule type="cellIs" dxfId="130" priority="37" operator="equal">
      <formula>0</formula>
    </cfRule>
  </conditionalFormatting>
  <conditionalFormatting sqref="C40">
    <cfRule type="cellIs" dxfId="129" priority="36" operator="equal">
      <formula>0</formula>
    </cfRule>
  </conditionalFormatting>
  <conditionalFormatting sqref="C39">
    <cfRule type="cellIs" dxfId="128" priority="35" operator="equal">
      <formula>0</formula>
    </cfRule>
  </conditionalFormatting>
  <conditionalFormatting sqref="C38">
    <cfRule type="cellIs" dxfId="127" priority="34" operator="equal">
      <formula>0</formula>
    </cfRule>
  </conditionalFormatting>
  <conditionalFormatting sqref="C37">
    <cfRule type="cellIs" dxfId="126" priority="33" operator="equal">
      <formula>0</formula>
    </cfRule>
  </conditionalFormatting>
  <conditionalFormatting sqref="C36">
    <cfRule type="cellIs" dxfId="125" priority="32" operator="equal">
      <formula>0</formula>
    </cfRule>
  </conditionalFormatting>
  <conditionalFormatting sqref="C35">
    <cfRule type="cellIs" dxfId="124" priority="31" operator="equal">
      <formula>0</formula>
    </cfRule>
  </conditionalFormatting>
  <conditionalFormatting sqref="C34">
    <cfRule type="cellIs" dxfId="123" priority="30" operator="equal">
      <formula>0</formula>
    </cfRule>
  </conditionalFormatting>
  <conditionalFormatting sqref="C33">
    <cfRule type="cellIs" dxfId="122" priority="29" operator="equal">
      <formula>0</formula>
    </cfRule>
  </conditionalFormatting>
  <conditionalFormatting sqref="C32">
    <cfRule type="cellIs" dxfId="121" priority="28" operator="equal">
      <formula>0</formula>
    </cfRule>
  </conditionalFormatting>
  <conditionalFormatting sqref="C31">
    <cfRule type="cellIs" dxfId="120" priority="27" operator="equal">
      <formula>0</formula>
    </cfRule>
  </conditionalFormatting>
  <conditionalFormatting sqref="C30">
    <cfRule type="cellIs" dxfId="119" priority="26" operator="equal">
      <formula>0</formula>
    </cfRule>
  </conditionalFormatting>
  <conditionalFormatting sqref="C29">
    <cfRule type="cellIs" dxfId="118" priority="25" operator="equal">
      <formula>0</formula>
    </cfRule>
  </conditionalFormatting>
  <conditionalFormatting sqref="C28">
    <cfRule type="cellIs" dxfId="117" priority="24" operator="equal">
      <formula>0</formula>
    </cfRule>
  </conditionalFormatting>
  <conditionalFormatting sqref="C27">
    <cfRule type="cellIs" dxfId="116" priority="23" operator="equal">
      <formula>0</formula>
    </cfRule>
  </conditionalFormatting>
  <conditionalFormatting sqref="C26">
    <cfRule type="cellIs" dxfId="115" priority="22" operator="equal">
      <formula>0</formula>
    </cfRule>
  </conditionalFormatting>
  <conditionalFormatting sqref="C25">
    <cfRule type="cellIs" dxfId="114" priority="21" operator="equal">
      <formula>0</formula>
    </cfRule>
  </conditionalFormatting>
  <conditionalFormatting sqref="C24">
    <cfRule type="cellIs" dxfId="113" priority="20" operator="equal">
      <formula>0</formula>
    </cfRule>
  </conditionalFormatting>
  <conditionalFormatting sqref="C23">
    <cfRule type="cellIs" dxfId="112" priority="19" operator="equal">
      <formula>0</formula>
    </cfRule>
  </conditionalFormatting>
  <conditionalFormatting sqref="C22">
    <cfRule type="cellIs" dxfId="111" priority="18" operator="equal">
      <formula>0</formula>
    </cfRule>
  </conditionalFormatting>
  <conditionalFormatting sqref="C21">
    <cfRule type="cellIs" dxfId="110" priority="17" operator="equal">
      <formula>0</formula>
    </cfRule>
  </conditionalFormatting>
  <conditionalFormatting sqref="C20">
    <cfRule type="cellIs" dxfId="109" priority="16" operator="equal">
      <formula>0</formula>
    </cfRule>
  </conditionalFormatting>
  <conditionalFormatting sqref="C19">
    <cfRule type="cellIs" dxfId="108" priority="15" operator="equal">
      <formula>0</formula>
    </cfRule>
  </conditionalFormatting>
  <conditionalFormatting sqref="C18">
    <cfRule type="cellIs" dxfId="107" priority="14" operator="equal">
      <formula>0</formula>
    </cfRule>
  </conditionalFormatting>
  <conditionalFormatting sqref="C17">
    <cfRule type="cellIs" dxfId="106" priority="13" operator="equal">
      <formula>0</formula>
    </cfRule>
  </conditionalFormatting>
  <conditionalFormatting sqref="C16">
    <cfRule type="cellIs" dxfId="105" priority="12" operator="equal">
      <formula>0</formula>
    </cfRule>
  </conditionalFormatting>
  <conditionalFormatting sqref="C15">
    <cfRule type="cellIs" dxfId="104" priority="11" operator="equal">
      <formula>0</formula>
    </cfRule>
  </conditionalFormatting>
  <conditionalFormatting sqref="C14">
    <cfRule type="cellIs" dxfId="103" priority="10" operator="equal">
      <formula>0</formula>
    </cfRule>
  </conditionalFormatting>
  <conditionalFormatting sqref="C13">
    <cfRule type="cellIs" dxfId="102" priority="9" operator="equal">
      <formula>0</formula>
    </cfRule>
  </conditionalFormatting>
  <conditionalFormatting sqref="C12">
    <cfRule type="cellIs" dxfId="101" priority="8" operator="equal">
      <formula>0</formula>
    </cfRule>
  </conditionalFormatting>
  <conditionalFormatting sqref="C11">
    <cfRule type="cellIs" dxfId="100" priority="7" operator="equal">
      <formula>0</formula>
    </cfRule>
  </conditionalFormatting>
  <conditionalFormatting sqref="C10">
    <cfRule type="cellIs" dxfId="99" priority="6" operator="equal">
      <formula>0</formula>
    </cfRule>
  </conditionalFormatting>
  <conditionalFormatting sqref="C9">
    <cfRule type="cellIs" dxfId="98" priority="5" operator="equal">
      <formula>0</formula>
    </cfRule>
  </conditionalFormatting>
  <conditionalFormatting sqref="C8">
    <cfRule type="cellIs" dxfId="97" priority="4" operator="equal">
      <formula>0</formula>
    </cfRule>
  </conditionalFormatting>
  <conditionalFormatting sqref="C7">
    <cfRule type="cellIs" dxfId="96" priority="3" operator="equal">
      <formula>0</formula>
    </cfRule>
  </conditionalFormatting>
  <conditionalFormatting sqref="C6">
    <cfRule type="cellIs" dxfId="95" priority="2" operator="equal">
      <formula>0</formula>
    </cfRule>
  </conditionalFormatting>
  <conditionalFormatting sqref="C5">
    <cfRule type="cellIs" dxfId="9" priority="1" operator="equal">
      <formula>0</formula>
    </cfRule>
  </conditionalFormatting>
  <pageMargins left="0.7" right="0.7" top="0.75" bottom="0.75" header="0.3" footer="0.3"/>
  <pageSetup paperSize="9"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00B0F0"/>
  </sheetPr>
  <dimension ref="A1:AZZ1865"/>
  <sheetViews>
    <sheetView topLeftCell="A1833" zoomScale="90" zoomScaleNormal="90" workbookViewId="0">
      <pane xSplit="4" topLeftCell="XEP1" activePane="topRight" state="frozen"/>
      <selection pane="topRight" activeCell="A1865" sqref="A1865"/>
    </sheetView>
  </sheetViews>
  <sheetFormatPr defaultRowHeight="15" x14ac:dyDescent="0.25"/>
  <cols>
    <col min="1" max="1" width="10.7109375" customWidth="1"/>
    <col min="2" max="5" width="10.7109375" style="10" hidden="1" customWidth="1"/>
    <col min="6" max="6" width="10.7109375" style="1" hidden="1" customWidth="1"/>
    <col min="7" max="1378" width="3" style="1" customWidth="1"/>
  </cols>
  <sheetData>
    <row r="1" spans="1:21" x14ac:dyDescent="0.25">
      <c r="S1" s="1" t="s">
        <v>7</v>
      </c>
      <c r="U1" s="1" t="s">
        <v>8</v>
      </c>
    </row>
    <row r="4" spans="1:21" x14ac:dyDescent="0.25">
      <c r="A4" s="7">
        <v>100960.34833214773</v>
      </c>
    </row>
    <row r="5" spans="1:21" x14ac:dyDescent="0.25">
      <c r="A5" s="7">
        <v>99960.740922918543</v>
      </c>
    </row>
    <row r="6" spans="1:21" x14ac:dyDescent="0.25">
      <c r="A6" s="7">
        <v>98971.030616751028</v>
      </c>
    </row>
    <row r="7" spans="1:21" x14ac:dyDescent="0.25">
      <c r="A7" s="7">
        <v>97991.119422525764</v>
      </c>
    </row>
    <row r="8" spans="1:21" x14ac:dyDescent="0.25">
      <c r="A8" s="7">
        <v>97020.910319332441</v>
      </c>
    </row>
    <row r="9" spans="1:21" x14ac:dyDescent="0.25">
      <c r="A9" s="7">
        <v>96060.307246863798</v>
      </c>
    </row>
    <row r="10" spans="1:21" x14ac:dyDescent="0.25">
      <c r="A10" s="7">
        <v>95109.215095904743</v>
      </c>
    </row>
    <row r="11" spans="1:21" x14ac:dyDescent="0.25">
      <c r="A11" s="7">
        <v>94167.539698915585</v>
      </c>
    </row>
    <row r="12" spans="1:21" x14ac:dyDescent="0.25">
      <c r="A12" s="7">
        <v>93235.187820708496</v>
      </c>
    </row>
    <row r="13" spans="1:21" x14ac:dyDescent="0.25">
      <c r="A13" s="7">
        <v>92312.067149216338</v>
      </c>
    </row>
    <row r="14" spans="1:21" x14ac:dyDescent="0.25">
      <c r="A14" s="7">
        <v>91398.086286352816</v>
      </c>
    </row>
    <row r="15" spans="1:21" x14ac:dyDescent="0.25">
      <c r="A15" s="7">
        <v>90493.154738963189</v>
      </c>
    </row>
    <row r="16" spans="1:21" x14ac:dyDescent="0.25">
      <c r="A16" s="7">
        <v>89597.182909864539</v>
      </c>
    </row>
    <row r="17" spans="1:7" x14ac:dyDescent="0.25">
      <c r="A17" s="7">
        <v>88710.082088974785</v>
      </c>
    </row>
    <row r="18" spans="1:7" x14ac:dyDescent="0.25">
      <c r="A18" s="7">
        <v>87831.764444529486</v>
      </c>
    </row>
    <row r="19" spans="1:7" x14ac:dyDescent="0.25">
      <c r="A19" s="7">
        <v>86962.143014385627</v>
      </c>
    </row>
    <row r="20" spans="1:7" x14ac:dyDescent="0.25">
      <c r="A20" s="7">
        <v>86101.131697411518</v>
      </c>
    </row>
    <row r="21" spans="1:7" x14ac:dyDescent="0.25">
      <c r="A21" s="7">
        <v>85248.645244961896</v>
      </c>
      <c r="G21" s="11"/>
    </row>
    <row r="22" spans="1:7" x14ac:dyDescent="0.25">
      <c r="A22" s="7">
        <v>84404.599252437518</v>
      </c>
    </row>
    <row r="23" spans="1:7" x14ac:dyDescent="0.25">
      <c r="A23" s="7">
        <v>83568.910150928234</v>
      </c>
    </row>
    <row r="24" spans="1:7" x14ac:dyDescent="0.25">
      <c r="A24" s="7">
        <v>82741.49519893885</v>
      </c>
    </row>
    <row r="25" spans="1:7" x14ac:dyDescent="0.25">
      <c r="A25" s="7">
        <v>81922.272474196885</v>
      </c>
    </row>
    <row r="26" spans="1:7" x14ac:dyDescent="0.25">
      <c r="A26" s="7">
        <v>81111.160865541475</v>
      </c>
    </row>
    <row r="27" spans="1:7" x14ac:dyDescent="0.25">
      <c r="A27" s="7">
        <v>80308.080064892551</v>
      </c>
    </row>
    <row r="28" spans="1:7" x14ac:dyDescent="0.25">
      <c r="A28" s="7">
        <v>79512.950559299556</v>
      </c>
    </row>
    <row r="29" spans="1:7" x14ac:dyDescent="0.25">
      <c r="A29" s="7">
        <v>78725.693623068873</v>
      </c>
    </row>
    <row r="30" spans="1:7" x14ac:dyDescent="0.25">
      <c r="A30" s="7">
        <v>77946.231309969182</v>
      </c>
    </row>
    <row r="31" spans="1:7" x14ac:dyDescent="0.25">
      <c r="A31" s="7">
        <v>77174.486445514034</v>
      </c>
    </row>
    <row r="32" spans="1:7" x14ac:dyDescent="0.25">
      <c r="A32" s="7">
        <v>76410.382619320822</v>
      </c>
    </row>
    <row r="33" spans="1:5" x14ac:dyDescent="0.25">
      <c r="A33" s="7">
        <v>75653.844177545368</v>
      </c>
      <c r="B33"/>
      <c r="C33"/>
      <c r="D33"/>
      <c r="E33" s="1"/>
    </row>
    <row r="34" spans="1:5" x14ac:dyDescent="0.25">
      <c r="A34" s="7">
        <v>74904.796215391456</v>
      </c>
      <c r="B34"/>
      <c r="C34"/>
      <c r="D34"/>
      <c r="E34" s="1"/>
    </row>
    <row r="35" spans="1:5" x14ac:dyDescent="0.25">
      <c r="A35" s="7">
        <v>74163.164569694505</v>
      </c>
      <c r="B35"/>
      <c r="C35"/>
      <c r="D35"/>
      <c r="E35" s="1"/>
    </row>
    <row r="36" spans="1:5" x14ac:dyDescent="0.25">
      <c r="A36" s="7">
        <v>73428.87581157872</v>
      </c>
      <c r="B36"/>
      <c r="C36"/>
      <c r="D36"/>
      <c r="E36" s="1"/>
    </row>
    <row r="37" spans="1:5" x14ac:dyDescent="0.25">
      <c r="A37" s="7">
        <v>72701.857239186851</v>
      </c>
      <c r="B37"/>
      <c r="C37"/>
      <c r="D37"/>
      <c r="E37" s="1"/>
    </row>
    <row r="38" spans="1:5" x14ac:dyDescent="0.25">
      <c r="A38" s="7">
        <v>71982.036870482028</v>
      </c>
      <c r="B38"/>
      <c r="C38"/>
      <c r="D38"/>
      <c r="E38" s="1"/>
    </row>
    <row r="39" spans="1:5" x14ac:dyDescent="0.25">
      <c r="A39" s="7">
        <v>71269.34343612082</v>
      </c>
      <c r="B39"/>
      <c r="C39"/>
      <c r="D39"/>
      <c r="E39" s="1"/>
    </row>
    <row r="40" spans="1:5" x14ac:dyDescent="0.25">
      <c r="A40" s="7">
        <v>70563.706372396846</v>
      </c>
      <c r="B40"/>
      <c r="C40"/>
      <c r="D40"/>
      <c r="E40" s="1"/>
    </row>
    <row r="41" spans="1:5" x14ac:dyDescent="0.25">
      <c r="A41" s="7">
        <v>69865.055814254301</v>
      </c>
      <c r="B41"/>
      <c r="C41"/>
      <c r="D41"/>
      <c r="E41" s="1"/>
    </row>
    <row r="42" spans="1:5" x14ac:dyDescent="0.25">
      <c r="A42" s="7">
        <v>69173.322588370589</v>
      </c>
      <c r="B42"/>
      <c r="C42"/>
      <c r="D42"/>
      <c r="E42" s="1"/>
    </row>
    <row r="43" spans="1:5" x14ac:dyDescent="0.25">
      <c r="A43" s="7">
        <v>68488.438206307517</v>
      </c>
      <c r="B43"/>
      <c r="C43"/>
      <c r="D43"/>
      <c r="E43" s="1"/>
    </row>
    <row r="44" spans="1:5" x14ac:dyDescent="0.25">
      <c r="A44" s="7">
        <v>67810.334857730209</v>
      </c>
      <c r="B44"/>
      <c r="C44"/>
      <c r="D44"/>
      <c r="E44" s="1"/>
    </row>
    <row r="45" spans="1:5" x14ac:dyDescent="0.25">
      <c r="A45" s="7">
        <v>67138.945403693273</v>
      </c>
      <c r="B45"/>
      <c r="C45"/>
      <c r="D45"/>
      <c r="E45" s="1"/>
    </row>
    <row r="46" spans="1:5" x14ac:dyDescent="0.25">
      <c r="A46" s="7">
        <v>66474.203369993338</v>
      </c>
      <c r="B46"/>
      <c r="C46"/>
      <c r="D46"/>
      <c r="E46" s="1"/>
    </row>
    <row r="47" spans="1:5" x14ac:dyDescent="0.25">
      <c r="A47" s="7">
        <v>65816.04294058746</v>
      </c>
      <c r="B47"/>
      <c r="C47"/>
      <c r="D47"/>
      <c r="E47" s="1"/>
    </row>
    <row r="48" spans="1:5" x14ac:dyDescent="0.25">
      <c r="A48" s="7">
        <v>65164.398951076699</v>
      </c>
      <c r="B48"/>
      <c r="C48"/>
      <c r="D48"/>
      <c r="E48" s="1"/>
    </row>
    <row r="49" spans="1:5" x14ac:dyDescent="0.25">
      <c r="A49" s="7">
        <v>64519.206882254155</v>
      </c>
      <c r="B49"/>
      <c r="C49"/>
      <c r="D49"/>
      <c r="E49" s="1"/>
    </row>
    <row r="50" spans="1:5" x14ac:dyDescent="0.25">
      <c r="A50" s="7">
        <v>63880.402853716987</v>
      </c>
      <c r="B50"/>
      <c r="C50"/>
      <c r="D50"/>
      <c r="E50" s="1"/>
    </row>
    <row r="51" spans="1:5" x14ac:dyDescent="0.25">
      <c r="A51" s="7">
        <v>63247.923617541572</v>
      </c>
      <c r="B51"/>
      <c r="C51"/>
      <c r="D51"/>
      <c r="E51" s="1"/>
    </row>
    <row r="52" spans="1:5" x14ac:dyDescent="0.25">
      <c r="A52" s="7">
        <v>62621.706552021358</v>
      </c>
      <c r="B52"/>
      <c r="C52"/>
      <c r="D52"/>
      <c r="E52" s="1"/>
    </row>
    <row r="53" spans="1:5" x14ac:dyDescent="0.25">
      <c r="A53" s="7">
        <v>62001.689655466689</v>
      </c>
      <c r="B53"/>
      <c r="C53"/>
      <c r="D53"/>
      <c r="E53" s="1"/>
    </row>
    <row r="54" spans="1:5" x14ac:dyDescent="0.25">
      <c r="A54" s="7">
        <v>61387.811540066032</v>
      </c>
      <c r="B54"/>
      <c r="C54"/>
      <c r="D54"/>
      <c r="E54" s="1"/>
    </row>
    <row r="55" spans="1:5" x14ac:dyDescent="0.25">
      <c r="A55" s="7">
        <v>60780.011425807948</v>
      </c>
      <c r="B55"/>
      <c r="C55"/>
      <c r="D55"/>
      <c r="E55" s="1"/>
    </row>
    <row r="56" spans="1:5" x14ac:dyDescent="0.25">
      <c r="A56" s="7">
        <v>60178.229134463312</v>
      </c>
      <c r="B56"/>
      <c r="C56"/>
      <c r="D56"/>
      <c r="E56" s="1"/>
    </row>
    <row r="57" spans="1:5" x14ac:dyDescent="0.25">
      <c r="A57" s="7">
        <v>59582.40508362704</v>
      </c>
      <c r="B57"/>
      <c r="C57"/>
      <c r="D57"/>
      <c r="E57" s="1"/>
    </row>
    <row r="58" spans="1:5" x14ac:dyDescent="0.25">
      <c r="A58" s="7">
        <v>58992.480280818854</v>
      </c>
      <c r="B58"/>
      <c r="C58"/>
      <c r="D58"/>
      <c r="E58" s="1"/>
    </row>
    <row r="59" spans="1:5" x14ac:dyDescent="0.25">
      <c r="A59" s="7">
        <v>58408.396317642429</v>
      </c>
      <c r="B59"/>
      <c r="C59"/>
      <c r="D59"/>
      <c r="E59" s="1"/>
    </row>
    <row r="60" spans="1:5" x14ac:dyDescent="0.25">
      <c r="A60" s="7">
        <v>57830.095364002402</v>
      </c>
      <c r="B60"/>
      <c r="C60"/>
      <c r="D60"/>
      <c r="E60" s="1"/>
    </row>
    <row r="61" spans="1:5" x14ac:dyDescent="0.25">
      <c r="A61" s="7">
        <v>57257.520162378612</v>
      </c>
      <c r="B61"/>
      <c r="C61"/>
      <c r="D61"/>
      <c r="E61" s="1"/>
    </row>
    <row r="62" spans="1:5" x14ac:dyDescent="0.25">
      <c r="A62" s="7">
        <v>56690.614022157039</v>
      </c>
      <c r="B62"/>
      <c r="C62"/>
      <c r="D62"/>
      <c r="E62" s="1"/>
    </row>
    <row r="63" spans="1:5" x14ac:dyDescent="0.25">
      <c r="A63" s="7">
        <v>56129.320814016872</v>
      </c>
      <c r="B63"/>
      <c r="C63"/>
      <c r="D63"/>
      <c r="E63" s="1"/>
    </row>
    <row r="64" spans="1:5" x14ac:dyDescent="0.25">
      <c r="A64" s="7">
        <v>55573.584964373142</v>
      </c>
      <c r="B64"/>
      <c r="C64"/>
      <c r="D64"/>
      <c r="E64" s="1"/>
    </row>
    <row r="65" spans="1:5" x14ac:dyDescent="0.25">
      <c r="A65" s="7">
        <v>55023.351449874397</v>
      </c>
      <c r="B65"/>
      <c r="C65"/>
      <c r="D65"/>
      <c r="E65" s="1"/>
    </row>
    <row r="66" spans="1:5" x14ac:dyDescent="0.25">
      <c r="A66" s="7">
        <v>54478.565791954847</v>
      </c>
      <c r="B66"/>
      <c r="C66"/>
      <c r="D66"/>
      <c r="E66" s="1"/>
    </row>
    <row r="67" spans="1:5" x14ac:dyDescent="0.25">
      <c r="A67" s="7">
        <v>53939.174051440445</v>
      </c>
      <c r="B67"/>
      <c r="C67"/>
      <c r="D67"/>
      <c r="E67" s="1"/>
    </row>
    <row r="68" spans="1:5" x14ac:dyDescent="0.25">
      <c r="A68" s="7">
        <v>53405.122823208359</v>
      </c>
      <c r="B68"/>
      <c r="C68"/>
      <c r="D68"/>
      <c r="E68" s="1"/>
    </row>
    <row r="69" spans="1:5" x14ac:dyDescent="0.25">
      <c r="A69" s="7">
        <v>52876.359230899368</v>
      </c>
      <c r="B69"/>
      <c r="C69"/>
      <c r="D69"/>
      <c r="E69" s="1"/>
    </row>
    <row r="70" spans="1:5" x14ac:dyDescent="0.25">
      <c r="A70" s="7">
        <v>52352.830921682544</v>
      </c>
      <c r="B70"/>
      <c r="C70"/>
      <c r="D70"/>
      <c r="E70" s="1"/>
    </row>
    <row r="71" spans="1:5" x14ac:dyDescent="0.25">
      <c r="A71" s="7">
        <v>51834.486061071824</v>
      </c>
      <c r="B71"/>
      <c r="C71"/>
      <c r="D71"/>
      <c r="E71" s="1"/>
    </row>
    <row r="72" spans="1:5" x14ac:dyDescent="0.25">
      <c r="A72" s="7">
        <v>51321.273327793882</v>
      </c>
      <c r="B72"/>
      <c r="C72"/>
      <c r="D72"/>
      <c r="E72" s="1"/>
    </row>
    <row r="73" spans="1:5" x14ac:dyDescent="0.25">
      <c r="A73" s="7">
        <v>50813.141908706813</v>
      </c>
      <c r="B73"/>
      <c r="C73"/>
      <c r="D73"/>
      <c r="E73" s="1"/>
    </row>
    <row r="74" spans="1:5" x14ac:dyDescent="0.25">
      <c r="A74" s="7">
        <v>50310.041493769124</v>
      </c>
      <c r="B74"/>
      <c r="C74"/>
      <c r="D74"/>
      <c r="E74" s="1"/>
    </row>
    <row r="75" spans="1:5" x14ac:dyDescent="0.25">
      <c r="A75" s="7">
        <v>49811.922271058538</v>
      </c>
      <c r="B75"/>
      <c r="C75"/>
      <c r="D75"/>
      <c r="E75" s="1"/>
    </row>
    <row r="76" spans="1:5" x14ac:dyDescent="0.25">
      <c r="A76" s="7">
        <v>49318.734921840136</v>
      </c>
      <c r="B76"/>
      <c r="C76"/>
      <c r="D76"/>
      <c r="E76" s="1"/>
    </row>
    <row r="77" spans="1:5" x14ac:dyDescent="0.25">
      <c r="A77" s="7">
        <v>48830.430615683304</v>
      </c>
      <c r="B77"/>
      <c r="C77"/>
      <c r="D77"/>
      <c r="E77" s="1"/>
    </row>
    <row r="78" spans="1:5" x14ac:dyDescent="0.25">
      <c r="A78" s="7">
        <v>48346.961005627032</v>
      </c>
      <c r="B78"/>
      <c r="C78"/>
      <c r="D78"/>
      <c r="E78" s="1"/>
    </row>
    <row r="79" spans="1:5" x14ac:dyDescent="0.25">
      <c r="A79" s="7">
        <v>47868.278223393099</v>
      </c>
      <c r="B79"/>
      <c r="C79"/>
      <c r="D79"/>
      <c r="E79" s="1"/>
    </row>
    <row r="80" spans="1:5" x14ac:dyDescent="0.25">
      <c r="A80" s="7">
        <v>47394.334874646629</v>
      </c>
      <c r="B80"/>
      <c r="C80"/>
      <c r="D80"/>
      <c r="E80" s="1"/>
    </row>
    <row r="81" spans="1:5" x14ac:dyDescent="0.25">
      <c r="A81" s="7">
        <v>46925.084034303596</v>
      </c>
      <c r="B81"/>
      <c r="C81"/>
      <c r="D81"/>
      <c r="E81" s="1"/>
    </row>
    <row r="82" spans="1:5" x14ac:dyDescent="0.25">
      <c r="A82" s="7">
        <v>46460.47924188475</v>
      </c>
      <c r="B82"/>
      <c r="C82"/>
      <c r="D82"/>
      <c r="E82" s="1"/>
    </row>
    <row r="83" spans="1:5" x14ac:dyDescent="0.25">
      <c r="A83" s="7">
        <v>46000.474496915595</v>
      </c>
      <c r="B83"/>
      <c r="C83"/>
      <c r="D83"/>
      <c r="E83" s="1"/>
    </row>
    <row r="84" spans="1:5" x14ac:dyDescent="0.25">
      <c r="A84" s="7">
        <v>45545.024254371878</v>
      </c>
      <c r="B84"/>
      <c r="C84"/>
      <c r="D84"/>
      <c r="E84" s="1"/>
    </row>
    <row r="85" spans="1:5" x14ac:dyDescent="0.25">
      <c r="A85" s="7">
        <v>45094.083420170173</v>
      </c>
      <c r="B85"/>
      <c r="C85"/>
      <c r="D85"/>
      <c r="E85" s="1"/>
    </row>
    <row r="86" spans="1:5" x14ac:dyDescent="0.25">
      <c r="A86" s="7">
        <v>44647.607346703138</v>
      </c>
      <c r="B86"/>
      <c r="C86"/>
      <c r="D86"/>
      <c r="E86" s="1"/>
    </row>
    <row r="87" spans="1:5" x14ac:dyDescent="0.25">
      <c r="A87" s="7">
        <v>44205.551828418946</v>
      </c>
      <c r="B87"/>
      <c r="C87"/>
      <c r="D87"/>
      <c r="E87" s="1"/>
    </row>
    <row r="88" spans="1:5" x14ac:dyDescent="0.25">
      <c r="A88" s="7">
        <v>43767.873097444499</v>
      </c>
      <c r="B88"/>
      <c r="C88"/>
      <c r="D88"/>
      <c r="E88" s="1"/>
    </row>
    <row r="89" spans="1:5" x14ac:dyDescent="0.25">
      <c r="A89" s="7">
        <v>43334.527819251976</v>
      </c>
      <c r="B89"/>
      <c r="C89"/>
      <c r="D89"/>
      <c r="E89" s="1"/>
    </row>
    <row r="90" spans="1:5" x14ac:dyDescent="0.25">
      <c r="A90" s="7">
        <v>42905.473088368293</v>
      </c>
      <c r="B90"/>
      <c r="C90"/>
      <c r="D90"/>
      <c r="E90" s="1"/>
    </row>
    <row r="91" spans="1:5" x14ac:dyDescent="0.25">
      <c r="A91" s="7">
        <v>42480.666424127019</v>
      </c>
      <c r="B91"/>
      <c r="C91"/>
      <c r="D91"/>
      <c r="E91" s="1"/>
    </row>
    <row r="92" spans="1:5" x14ac:dyDescent="0.25">
      <c r="A92" s="7">
        <v>42060.065766462394</v>
      </c>
      <c r="B92"/>
      <c r="C92"/>
      <c r="D92"/>
      <c r="E92" s="1"/>
    </row>
    <row r="93" spans="1:5" x14ac:dyDescent="0.25">
      <c r="A93" s="7">
        <v>41643.629471744942</v>
      </c>
      <c r="B93"/>
      <c r="C93"/>
      <c r="D93"/>
      <c r="E93" s="1"/>
    </row>
    <row r="94" spans="1:5" x14ac:dyDescent="0.25">
      <c r="A94" s="7">
        <v>41231.316308658359</v>
      </c>
      <c r="B94"/>
      <c r="C94"/>
      <c r="D94"/>
      <c r="E94" s="1"/>
    </row>
    <row r="95" spans="1:5" x14ac:dyDescent="0.25">
      <c r="A95" s="7">
        <v>40823.085454117187</v>
      </c>
      <c r="B95"/>
      <c r="C95"/>
      <c r="D95"/>
      <c r="E95" s="1"/>
    </row>
    <row r="96" spans="1:5" x14ac:dyDescent="0.25">
      <c r="A96" s="7">
        <v>40418.896489224935</v>
      </c>
      <c r="B96"/>
      <c r="C96"/>
      <c r="D96"/>
      <c r="E96" s="1"/>
    </row>
    <row r="97" spans="1:5" x14ac:dyDescent="0.25">
      <c r="A97" s="7">
        <v>40018.709395272213</v>
      </c>
      <c r="E97" s="1"/>
    </row>
    <row r="98" spans="1:5" x14ac:dyDescent="0.25">
      <c r="A98" s="7">
        <v>39622.484549774468</v>
      </c>
      <c r="E98" s="1"/>
    </row>
    <row r="99" spans="1:5" x14ac:dyDescent="0.25">
      <c r="A99" s="7">
        <v>39230.182722548976</v>
      </c>
      <c r="E99" s="1"/>
    </row>
    <row r="100" spans="1:5" x14ac:dyDescent="0.25">
      <c r="A100" s="7">
        <v>38841.765071830669</v>
      </c>
      <c r="E100" s="1"/>
    </row>
    <row r="101" spans="1:5" x14ac:dyDescent="0.25">
      <c r="A101" s="7">
        <v>38457.193140426403</v>
      </c>
      <c r="E101" s="1"/>
    </row>
    <row r="102" spans="1:5" x14ac:dyDescent="0.25">
      <c r="A102" s="7">
        <v>38076.428851907331</v>
      </c>
      <c r="E102" s="1"/>
    </row>
    <row r="103" spans="1:5" x14ac:dyDescent="0.25">
      <c r="A103" s="7">
        <v>37699.434506838938</v>
      </c>
      <c r="E103" s="1"/>
    </row>
    <row r="104" spans="1:5" x14ac:dyDescent="0.25">
      <c r="A104" s="7">
        <v>37326.172779048451</v>
      </c>
      <c r="E104" s="1"/>
    </row>
    <row r="105" spans="1:5" x14ac:dyDescent="0.25">
      <c r="A105" s="7">
        <v>36956.606711929162</v>
      </c>
      <c r="E105" s="1"/>
    </row>
    <row r="106" spans="1:5" x14ac:dyDescent="0.25">
      <c r="A106" s="7">
        <v>36590.699714781345</v>
      </c>
      <c r="E106" s="1"/>
    </row>
    <row r="107" spans="1:5" x14ac:dyDescent="0.25">
      <c r="A107" s="7">
        <v>36228.415559189452</v>
      </c>
      <c r="E107" s="1"/>
    </row>
    <row r="108" spans="1:5" x14ac:dyDescent="0.25">
      <c r="A108" s="7">
        <v>35869.718375435099</v>
      </c>
      <c r="E108" s="1"/>
    </row>
    <row r="109" spans="1:5" x14ac:dyDescent="0.25">
      <c r="A109" s="7">
        <v>35514.572648945643</v>
      </c>
      <c r="E109" s="1"/>
    </row>
    <row r="110" spans="1:5" x14ac:dyDescent="0.25">
      <c r="A110" s="7">
        <v>35162.943216777865</v>
      </c>
      <c r="E110" s="1"/>
    </row>
    <row r="111" spans="1:5" x14ac:dyDescent="0.25">
      <c r="A111" s="7">
        <v>34814.795264136497</v>
      </c>
      <c r="C111" s="10" t="str">
        <f>ADDRESS(C121-1,1,1,1)</f>
        <v>$A$1161</v>
      </c>
      <c r="D111" s="10" t="str">
        <f>ADDRESS(C121-1,D121,1,1)</f>
        <v>$E$1161</v>
      </c>
      <c r="E111" s="1"/>
    </row>
    <row r="112" spans="1:5" x14ac:dyDescent="0.25">
      <c r="A112" s="7">
        <v>34470.094320927223</v>
      </c>
      <c r="C112" s="10" t="str">
        <f>ADDRESS(C121,1,1,1)</f>
        <v>$A$1162</v>
      </c>
      <c r="D112" s="10" t="str">
        <f>ADDRESS(C121,D121-1,1,1)</f>
        <v>$D$1162</v>
      </c>
      <c r="E112" s="1"/>
    </row>
    <row r="113" spans="1:5" x14ac:dyDescent="0.25">
      <c r="A113" s="7">
        <v>34128.806258343786</v>
      </c>
      <c r="C113" s="10" t="str">
        <f>ADDRESS(C121+1,1,1,1)</f>
        <v>$A$1163</v>
      </c>
      <c r="D113" s="10" t="str">
        <f>ADDRESS(C121-1,D121+1,1,1)</f>
        <v>$F$1161</v>
      </c>
    </row>
    <row r="114" spans="1:5" x14ac:dyDescent="0.25">
      <c r="A114" s="7">
        <v>33790.8972854889</v>
      </c>
      <c r="C114" s="10" t="str">
        <f>ADDRESS(C121,D121,1,1)</f>
        <v>$E$1162</v>
      </c>
      <c r="D114" s="10" t="str">
        <f>ADDRESS(C121+1,D121+1,1,1)</f>
        <v>$F$1163</v>
      </c>
    </row>
    <row r="115" spans="1:5" x14ac:dyDescent="0.25">
      <c r="A115" s="7">
        <v>33456.333946028615</v>
      </c>
      <c r="C115" s="10" t="str">
        <f>ADDRESS(C121+1,D121,1,1)</f>
        <v>$E$1163</v>
      </c>
    </row>
    <row r="116" spans="1:5" x14ac:dyDescent="0.25">
      <c r="A116" s="7">
        <v>33125.083114879817</v>
      </c>
      <c r="C116" s="10">
        <f>C117-1</f>
        <v>1161</v>
      </c>
    </row>
    <row r="117" spans="1:5" x14ac:dyDescent="0.25">
      <c r="A117" s="7">
        <v>32797.111994930514</v>
      </c>
      <c r="C117" s="10">
        <f>C121</f>
        <v>1162</v>
      </c>
      <c r="D117" s="10">
        <f>D121</f>
        <v>5</v>
      </c>
    </row>
    <row r="118" spans="1:5" x14ac:dyDescent="0.25">
      <c r="A118" s="7">
        <v>32472.388113792589</v>
      </c>
      <c r="C118" s="10">
        <f>C117+1</f>
        <v>1163</v>
      </c>
      <c r="D118" s="10">
        <f>D117+1</f>
        <v>6</v>
      </c>
    </row>
    <row r="119" spans="1:5" x14ac:dyDescent="0.25">
      <c r="A119" s="7">
        <v>32150.879320586722</v>
      </c>
    </row>
    <row r="120" spans="1:5" x14ac:dyDescent="0.25">
      <c r="A120" s="7">
        <v>31832.553782759132</v>
      </c>
      <c r="C120" s="10" t="s">
        <v>9</v>
      </c>
    </row>
    <row r="121" spans="1:5" x14ac:dyDescent="0.25">
      <c r="A121" s="7">
        <v>31517.379982929833</v>
      </c>
      <c r="C121" s="12">
        <v>1162</v>
      </c>
      <c r="D121" s="13">
        <v>5</v>
      </c>
      <c r="E121" s="13"/>
    </row>
    <row r="122" spans="1:5" x14ac:dyDescent="0.25">
      <c r="A122" s="7">
        <v>31205.326715772113</v>
      </c>
      <c r="C122" s="10" t="str">
        <f>INDEX(1:1048576,C117,D117)</f>
        <v>X</v>
      </c>
    </row>
    <row r="123" spans="1:5" x14ac:dyDescent="0.25">
      <c r="A123" s="7">
        <v>30896.363084922883</v>
      </c>
      <c r="C123" s="10" t="str">
        <f>"R"&amp;C121</f>
        <v>R1162</v>
      </c>
      <c r="D123" s="10" t="str">
        <f>"C"&amp;D121</f>
        <v>C5</v>
      </c>
    </row>
    <row r="124" spans="1:5" x14ac:dyDescent="0.25">
      <c r="A124" s="7">
        <v>30590.458499923647</v>
      </c>
      <c r="C124" s="10">
        <f>SUM(C130:D130)</f>
        <v>0</v>
      </c>
      <c r="D124" s="10">
        <f>IF(C124=0,0,1)</f>
        <v>0</v>
      </c>
    </row>
    <row r="125" spans="1:5" x14ac:dyDescent="0.25">
      <c r="A125" s="7">
        <v>30287.58267319173</v>
      </c>
    </row>
    <row r="126" spans="1:5" x14ac:dyDescent="0.25">
      <c r="A126" s="7">
        <v>29987.705617021515</v>
      </c>
      <c r="C126" s="10" t="s">
        <v>10</v>
      </c>
    </row>
    <row r="127" spans="1:5" x14ac:dyDescent="0.25">
      <c r="A127" s="7">
        <v>29690.797640615361</v>
      </c>
      <c r="C127" s="7">
        <v>1</v>
      </c>
      <c r="D127" s="14"/>
    </row>
    <row r="128" spans="1:5" x14ac:dyDescent="0.25">
      <c r="A128" s="7">
        <v>29396.829347143921</v>
      </c>
    </row>
    <row r="129" spans="1:5" x14ac:dyDescent="0.25">
      <c r="A129" s="7">
        <v>29105.771630835567</v>
      </c>
      <c r="C129" s="10" t="s">
        <v>11</v>
      </c>
      <c r="D129" s="10" t="s">
        <v>12</v>
      </c>
      <c r="E129" s="1"/>
    </row>
    <row r="130" spans="1:5" x14ac:dyDescent="0.25">
      <c r="A130" s="7">
        <v>28817.59567409462</v>
      </c>
      <c r="C130"/>
      <c r="D130"/>
      <c r="E130" s="1"/>
    </row>
    <row r="131" spans="1:5" x14ac:dyDescent="0.25">
      <c r="A131" s="7">
        <v>28532.272944648139</v>
      </c>
      <c r="E131" s="1"/>
    </row>
    <row r="132" spans="1:5" x14ac:dyDescent="0.25">
      <c r="A132" s="7">
        <v>28249.775192720928</v>
      </c>
      <c r="C132" s="10" t="s">
        <v>13</v>
      </c>
      <c r="E132" s="1"/>
    </row>
    <row r="133" spans="1:5" x14ac:dyDescent="0.25">
      <c r="A133" s="7">
        <v>27970.074448238542</v>
      </c>
      <c r="C133" s="10" t="str">
        <f>C122</f>
        <v>X</v>
      </c>
      <c r="E133" s="1"/>
    </row>
    <row r="134" spans="1:5" x14ac:dyDescent="0.25">
      <c r="A134" s="7">
        <v>27693.143018057963</v>
      </c>
      <c r="E134" s="1"/>
    </row>
    <row r="135" spans="1:5" x14ac:dyDescent="0.25">
      <c r="A135" s="7">
        <v>27418.953483225705</v>
      </c>
      <c r="C135" s="10" t="s">
        <v>14</v>
      </c>
      <c r="E135" s="1"/>
    </row>
    <row r="136" spans="1:5" x14ac:dyDescent="0.25">
      <c r="A136" s="7">
        <v>27147.478696263075</v>
      </c>
      <c r="C136" s="10" t="str">
        <f>IF(C133=$S$1,IF(D130&lt;(C127*0.99009900990099),$S$1,IF(C130&gt;(C127*1.030301),$U$1,"")),"")</f>
        <v/>
      </c>
      <c r="D136" s="10" t="str">
        <f>IF(C133=$U$1,IF(C130&gt;(C127*1.01),$U$1,IF(D130&lt;(C127*0.970590147927644),$S$1,"")),"")</f>
        <v>O</v>
      </c>
      <c r="E136" s="1"/>
    </row>
    <row r="137" spans="1:5" x14ac:dyDescent="0.25">
      <c r="A137" s="7">
        <v>26878.691778478293</v>
      </c>
      <c r="E137" s="1"/>
    </row>
    <row r="138" spans="1:5" x14ac:dyDescent="0.25">
      <c r="A138" s="7">
        <v>26612.566117305239</v>
      </c>
      <c r="C138" s="10">
        <f>IF(AND(C136="",D136=""),0,IF(AND(C133="X",D136="X"),1,IF(AND(C133="O",C136="O"),2,(IF(AND(C133="X",D136="O"),3,4)))))</f>
        <v>3</v>
      </c>
      <c r="E138" s="1"/>
    </row>
    <row r="139" spans="1:5" x14ac:dyDescent="0.25">
      <c r="A139" s="7">
        <v>26349.075363668555</v>
      </c>
      <c r="E139" s="1"/>
    </row>
    <row r="140" spans="1:5" x14ac:dyDescent="0.25">
      <c r="A140" s="7">
        <v>26088.193429374805</v>
      </c>
      <c r="C140" s="10">
        <v>0</v>
      </c>
      <c r="E140" s="1"/>
    </row>
    <row r="141" spans="1:5" x14ac:dyDescent="0.25">
      <c r="A141" s="7">
        <v>25829.894484529512</v>
      </c>
      <c r="C141" s="10">
        <v>1</v>
      </c>
      <c r="E141" s="1"/>
    </row>
    <row r="142" spans="1:5" x14ac:dyDescent="0.25">
      <c r="A142" s="7">
        <v>25574.152954979716</v>
      </c>
      <c r="C142" s="10">
        <v>2</v>
      </c>
      <c r="E142" s="1"/>
    </row>
    <row r="143" spans="1:5" x14ac:dyDescent="0.25">
      <c r="A143" s="7">
        <v>25320.943519781897</v>
      </c>
      <c r="C143" s="10">
        <v>3</v>
      </c>
      <c r="E143" s="1"/>
    </row>
    <row r="144" spans="1:5" x14ac:dyDescent="0.25">
      <c r="A144" s="7">
        <v>25070.241108694947</v>
      </c>
      <c r="C144" s="10">
        <v>4</v>
      </c>
      <c r="E144" s="1"/>
    </row>
    <row r="145" spans="1:5" x14ac:dyDescent="0.25">
      <c r="A145" s="7">
        <v>24822.020899697967</v>
      </c>
      <c r="B145"/>
      <c r="C145"/>
      <c r="D145"/>
      <c r="E145" s="1"/>
    </row>
    <row r="146" spans="1:5" x14ac:dyDescent="0.25">
      <c r="A146" s="7">
        <v>24576.25831653264</v>
      </c>
      <c r="B146"/>
      <c r="C146"/>
      <c r="D146"/>
      <c r="E146" s="1"/>
    </row>
    <row r="147" spans="1:5" x14ac:dyDescent="0.25">
      <c r="A147" s="7">
        <v>24332.92902626994</v>
      </c>
      <c r="B147"/>
      <c r="C147"/>
      <c r="D147"/>
      <c r="E147" s="1"/>
    </row>
    <row r="148" spans="1:5" x14ac:dyDescent="0.25">
      <c r="A148" s="7">
        <v>24092.008936900929</v>
      </c>
      <c r="B148"/>
      <c r="C148"/>
      <c r="D148"/>
      <c r="E148" s="1"/>
    </row>
    <row r="149" spans="1:5" x14ac:dyDescent="0.25">
      <c r="A149" s="7">
        <v>23853.474194951414</v>
      </c>
      <c r="B149"/>
      <c r="C149"/>
      <c r="D149"/>
      <c r="E149" s="1"/>
    </row>
    <row r="150" spans="1:5" x14ac:dyDescent="0.25">
      <c r="A150" s="7">
        <v>23617.301183120213</v>
      </c>
      <c r="B150"/>
      <c r="C150"/>
      <c r="D150"/>
      <c r="E150" s="1"/>
    </row>
    <row r="151" spans="1:5" x14ac:dyDescent="0.25">
      <c r="A151" s="7">
        <v>23383.466517940804</v>
      </c>
      <c r="B151"/>
      <c r="C151"/>
      <c r="D151"/>
      <c r="E151" s="1"/>
    </row>
    <row r="152" spans="1:5" x14ac:dyDescent="0.25">
      <c r="A152" s="7">
        <v>23151.947047466143</v>
      </c>
      <c r="B152"/>
      <c r="C152"/>
      <c r="D152"/>
      <c r="E152" s="1"/>
    </row>
    <row r="153" spans="1:5" x14ac:dyDescent="0.25">
      <c r="A153" s="7">
        <v>22922.71984897638</v>
      </c>
      <c r="B153"/>
      <c r="C153"/>
      <c r="D153"/>
      <c r="E153" s="1"/>
    </row>
    <row r="154" spans="1:5" x14ac:dyDescent="0.25">
      <c r="A154" s="7">
        <v>22695.762226709285</v>
      </c>
      <c r="B154"/>
      <c r="C154"/>
      <c r="D154"/>
      <c r="E154" s="1"/>
    </row>
    <row r="155" spans="1:5" x14ac:dyDescent="0.25">
      <c r="A155" s="7">
        <v>22471.051709613152</v>
      </c>
      <c r="B155"/>
      <c r="C155"/>
      <c r="D155"/>
      <c r="E155" s="1"/>
    </row>
    <row r="156" spans="1:5" x14ac:dyDescent="0.25">
      <c r="A156" s="7">
        <v>22248.566049121931</v>
      </c>
      <c r="B156"/>
      <c r="C156"/>
      <c r="D156"/>
      <c r="E156" s="1"/>
    </row>
    <row r="157" spans="1:5" x14ac:dyDescent="0.25">
      <c r="A157" s="7">
        <v>22028.283216952408</v>
      </c>
      <c r="B157"/>
      <c r="C157"/>
      <c r="D157"/>
      <c r="E157" s="1"/>
    </row>
    <row r="158" spans="1:5" x14ac:dyDescent="0.25">
      <c r="A158" s="7">
        <v>21810.181402923175</v>
      </c>
      <c r="B158"/>
      <c r="C158"/>
      <c r="D158"/>
      <c r="E158" s="1"/>
    </row>
    <row r="159" spans="1:5" x14ac:dyDescent="0.25">
      <c r="A159" s="7">
        <v>21594.239012795224</v>
      </c>
      <c r="B159"/>
      <c r="C159"/>
      <c r="D159"/>
      <c r="E159" s="1"/>
    </row>
    <row r="160" spans="1:5" x14ac:dyDescent="0.25">
      <c r="A160" s="7">
        <v>21380.434666133886</v>
      </c>
      <c r="B160"/>
      <c r="C160"/>
      <c r="D160"/>
      <c r="E160" s="1"/>
    </row>
    <row r="161" spans="1:5" x14ac:dyDescent="0.25">
      <c r="A161" s="7">
        <v>21168.747194191965</v>
      </c>
      <c r="B161"/>
      <c r="C161"/>
      <c r="D161"/>
      <c r="E161" s="1"/>
    </row>
    <row r="162" spans="1:5" x14ac:dyDescent="0.25">
      <c r="A162" s="7">
        <v>20959.155637813827</v>
      </c>
      <c r="B162"/>
      <c r="C162"/>
      <c r="D162"/>
      <c r="E162" s="1"/>
    </row>
    <row r="163" spans="1:5" x14ac:dyDescent="0.25">
      <c r="A163" s="7">
        <v>20751.639245360224</v>
      </c>
      <c r="B163"/>
      <c r="C163"/>
      <c r="D163"/>
      <c r="E163" s="1"/>
    </row>
    <row r="164" spans="1:5" x14ac:dyDescent="0.25">
      <c r="A164" s="7">
        <v>20546.177470653685</v>
      </c>
      <c r="B164"/>
      <c r="C164"/>
      <c r="D164"/>
      <c r="E164" s="1"/>
    </row>
    <row r="165" spans="1:5" x14ac:dyDescent="0.25">
      <c r="A165" s="7">
        <v>20342.749970944242</v>
      </c>
      <c r="B165"/>
      <c r="C165"/>
      <c r="D165"/>
      <c r="E165" s="1"/>
    </row>
    <row r="166" spans="1:5" x14ac:dyDescent="0.25">
      <c r="A166" s="7">
        <v>20141.336604895288</v>
      </c>
      <c r="B166"/>
      <c r="C166"/>
      <c r="D166"/>
      <c r="E166" s="1"/>
    </row>
    <row r="167" spans="1:5" x14ac:dyDescent="0.25">
      <c r="A167" s="7">
        <v>19941.917430589394</v>
      </c>
      <c r="B167"/>
      <c r="C167"/>
      <c r="D167"/>
      <c r="E167" s="1"/>
    </row>
    <row r="168" spans="1:5" x14ac:dyDescent="0.25">
      <c r="A168" s="7">
        <v>19744.472703553856</v>
      </c>
      <c r="B168"/>
      <c r="C168"/>
      <c r="D168"/>
      <c r="E168" s="1"/>
    </row>
    <row r="169" spans="1:5" x14ac:dyDescent="0.25">
      <c r="A169" s="7">
        <v>19548.982874805799</v>
      </c>
      <c r="B169"/>
      <c r="C169"/>
      <c r="D169"/>
      <c r="E169" s="1"/>
    </row>
    <row r="170" spans="1:5" x14ac:dyDescent="0.25">
      <c r="A170" s="7">
        <v>19355.428588916631</v>
      </c>
      <c r="B170"/>
      <c r="C170"/>
      <c r="D170"/>
      <c r="E170" s="1"/>
    </row>
    <row r="171" spans="1:5" x14ac:dyDescent="0.25">
      <c r="A171" s="7">
        <v>19163.790682095674</v>
      </c>
      <c r="B171"/>
      <c r="C171"/>
      <c r="D171"/>
      <c r="E171" s="1"/>
    </row>
    <row r="172" spans="1:5" x14ac:dyDescent="0.25">
      <c r="A172" s="7">
        <v>18974.050180292747</v>
      </c>
      <c r="B172"/>
      <c r="C172"/>
      <c r="D172"/>
      <c r="E172" s="1"/>
    </row>
    <row r="173" spans="1:5" x14ac:dyDescent="0.25">
      <c r="A173" s="7">
        <v>18786.18829731955</v>
      </c>
      <c r="B173"/>
      <c r="C173"/>
      <c r="D173"/>
      <c r="E173" s="1"/>
    </row>
    <row r="174" spans="1:5" x14ac:dyDescent="0.25">
      <c r="A174" s="7">
        <v>18600.186432989653</v>
      </c>
      <c r="B174"/>
      <c r="C174"/>
      <c r="D174"/>
      <c r="E174" s="1"/>
    </row>
    <row r="175" spans="1:5" x14ac:dyDescent="0.25">
      <c r="A175" s="7">
        <v>18416.026171276884</v>
      </c>
      <c r="B175"/>
      <c r="C175"/>
      <c r="D175"/>
      <c r="E175" s="1"/>
    </row>
    <row r="176" spans="1:5" x14ac:dyDescent="0.25">
      <c r="A176" s="7">
        <v>18233.689278491966</v>
      </c>
      <c r="B176"/>
      <c r="C176"/>
      <c r="D176"/>
      <c r="E176" s="1"/>
    </row>
    <row r="177" spans="1:5" x14ac:dyDescent="0.25">
      <c r="A177" s="7">
        <v>18053.157701477194</v>
      </c>
      <c r="B177"/>
      <c r="C177"/>
      <c r="D177"/>
      <c r="E177" s="1"/>
    </row>
    <row r="178" spans="1:5" x14ac:dyDescent="0.25">
      <c r="A178" s="7">
        <v>17874.413565819003</v>
      </c>
      <c r="B178"/>
      <c r="C178"/>
      <c r="D178"/>
      <c r="E178" s="1"/>
    </row>
    <row r="179" spans="1:5" x14ac:dyDescent="0.25">
      <c r="A179" s="7">
        <v>17697.439174078219</v>
      </c>
      <c r="B179"/>
      <c r="C179"/>
      <c r="D179"/>
      <c r="E179" s="1"/>
    </row>
    <row r="180" spans="1:5" x14ac:dyDescent="0.25">
      <c r="A180" s="7">
        <v>17522.217004037841</v>
      </c>
      <c r="B180"/>
      <c r="C180"/>
      <c r="D180"/>
      <c r="E180" s="1"/>
    </row>
    <row r="181" spans="1:5" x14ac:dyDescent="0.25">
      <c r="A181" s="7">
        <v>17348.729706968159</v>
      </c>
      <c r="B181"/>
      <c r="C181"/>
      <c r="D181"/>
      <c r="E181" s="1"/>
    </row>
    <row r="182" spans="1:5" x14ac:dyDescent="0.25">
      <c r="A182" s="7">
        <v>17176.960105909067</v>
      </c>
      <c r="B182"/>
      <c r="C182"/>
      <c r="D182"/>
      <c r="E182" s="1"/>
    </row>
    <row r="183" spans="1:5" x14ac:dyDescent="0.25">
      <c r="A183" s="7">
        <v>17006.891193969372</v>
      </c>
      <c r="B183"/>
      <c r="C183"/>
      <c r="D183"/>
      <c r="E183" s="1"/>
    </row>
    <row r="184" spans="1:5" x14ac:dyDescent="0.25">
      <c r="A184" s="7">
        <v>16838.506132642942</v>
      </c>
      <c r="B184"/>
      <c r="C184"/>
      <c r="D184"/>
      <c r="E184" s="1"/>
    </row>
    <row r="185" spans="1:5" x14ac:dyDescent="0.25">
      <c r="A185" s="7">
        <v>16671.788250141526</v>
      </c>
      <c r="B185"/>
      <c r="C185"/>
      <c r="D185"/>
      <c r="E185" s="1"/>
    </row>
    <row r="186" spans="1:5" x14ac:dyDescent="0.25">
      <c r="A186" s="7">
        <v>16506.721039744087</v>
      </c>
      <c r="B186"/>
      <c r="C186"/>
      <c r="D186"/>
      <c r="E186" s="1"/>
    </row>
    <row r="187" spans="1:5" x14ac:dyDescent="0.25">
      <c r="A187" s="7">
        <v>16343.288158162462</v>
      </c>
      <c r="B187"/>
      <c r="C187"/>
      <c r="D187"/>
      <c r="E187" s="1"/>
    </row>
    <row r="188" spans="1:5" x14ac:dyDescent="0.25">
      <c r="A188" s="7">
        <v>16181.473423923229</v>
      </c>
      <c r="B188"/>
      <c r="C188"/>
      <c r="D188"/>
      <c r="E188" s="1"/>
    </row>
    <row r="189" spans="1:5" x14ac:dyDescent="0.25">
      <c r="A189" s="7">
        <v>16021.260815765574</v>
      </c>
      <c r="B189"/>
      <c r="C189"/>
      <c r="D189"/>
      <c r="E189" s="1"/>
    </row>
    <row r="190" spans="1:5" x14ac:dyDescent="0.25">
      <c r="A190" s="7">
        <v>15862.634471055024</v>
      </c>
      <c r="B190"/>
      <c r="C190"/>
      <c r="D190"/>
      <c r="E190" s="1"/>
    </row>
    <row r="191" spans="1:5" x14ac:dyDescent="0.25">
      <c r="A191" s="7">
        <v>15705.578684212895</v>
      </c>
      <c r="B191"/>
      <c r="C191"/>
      <c r="D191"/>
      <c r="E191" s="1"/>
    </row>
    <row r="192" spans="1:5" x14ac:dyDescent="0.25">
      <c r="A192" s="7">
        <v>15550.077905161281</v>
      </c>
      <c r="B192"/>
      <c r="C192"/>
      <c r="D192"/>
      <c r="E192" s="1"/>
    </row>
    <row r="193" spans="1:5" x14ac:dyDescent="0.25">
      <c r="A193" s="7">
        <v>15396.116737783446</v>
      </c>
      <c r="B193"/>
      <c r="C193"/>
      <c r="D193"/>
      <c r="E193" s="1"/>
    </row>
    <row r="194" spans="1:5" x14ac:dyDescent="0.25">
      <c r="A194" s="7">
        <v>15243.679938399451</v>
      </c>
      <c r="B194"/>
      <c r="C194"/>
      <c r="D194"/>
      <c r="E194" s="1"/>
    </row>
    <row r="195" spans="1:5" x14ac:dyDescent="0.25">
      <c r="A195" s="7">
        <v>15092.752414256882</v>
      </c>
      <c r="B195"/>
      <c r="C195"/>
      <c r="D195"/>
      <c r="E195" s="1"/>
    </row>
    <row r="196" spans="1:5" x14ac:dyDescent="0.25">
      <c r="A196" s="7">
        <v>14943.319222036516</v>
      </c>
      <c r="B196"/>
      <c r="C196"/>
      <c r="D196"/>
      <c r="E196" s="1"/>
    </row>
    <row r="197" spans="1:5" x14ac:dyDescent="0.25">
      <c r="A197" s="7">
        <v>14795.365566372788</v>
      </c>
      <c r="B197"/>
      <c r="C197"/>
      <c r="D197"/>
      <c r="E197" s="1"/>
    </row>
    <row r="198" spans="1:5" x14ac:dyDescent="0.25">
      <c r="A198" s="7">
        <v>14648.876798388899</v>
      </c>
      <c r="B198"/>
      <c r="C198"/>
      <c r="D198"/>
      <c r="E198" s="1"/>
    </row>
    <row r="199" spans="1:5" x14ac:dyDescent="0.25">
      <c r="A199" s="7">
        <v>14503.838414246435</v>
      </c>
      <c r="B199"/>
      <c r="C199"/>
      <c r="D199"/>
      <c r="E199" s="1"/>
    </row>
    <row r="200" spans="1:5" x14ac:dyDescent="0.25">
      <c r="A200" s="7">
        <v>14360.236053709341</v>
      </c>
      <c r="B200"/>
      <c r="C200"/>
      <c r="D200"/>
      <c r="E200" s="1"/>
    </row>
    <row r="201" spans="1:5" x14ac:dyDescent="0.25">
      <c r="A201" s="7">
        <v>14218.05549872212</v>
      </c>
      <c r="B201"/>
      <c r="C201"/>
      <c r="D201"/>
      <c r="E201" s="1"/>
    </row>
    <row r="202" spans="1:5" x14ac:dyDescent="0.25">
      <c r="A202" s="7">
        <v>14077.282672002098</v>
      </c>
      <c r="B202"/>
      <c r="C202"/>
      <c r="D202"/>
      <c r="E202" s="1"/>
    </row>
    <row r="203" spans="1:5" x14ac:dyDescent="0.25">
      <c r="A203" s="7">
        <v>13937.903635645642</v>
      </c>
      <c r="B203"/>
      <c r="C203"/>
      <c r="D203"/>
      <c r="E203" s="1"/>
    </row>
    <row r="204" spans="1:5" x14ac:dyDescent="0.25">
      <c r="A204" s="7">
        <v>13799.904589748159</v>
      </c>
      <c r="B204"/>
      <c r="C204"/>
      <c r="D204"/>
      <c r="E204" s="1"/>
    </row>
    <row r="205" spans="1:5" x14ac:dyDescent="0.25">
      <c r="A205" s="7">
        <v>13663.271871037781</v>
      </c>
      <c r="B205"/>
      <c r="C205"/>
      <c r="D205"/>
      <c r="E205" s="1"/>
    </row>
    <row r="206" spans="1:5" x14ac:dyDescent="0.25">
      <c r="A206" s="7">
        <v>13527.991951522556</v>
      </c>
      <c r="B206"/>
      <c r="C206"/>
      <c r="D206"/>
      <c r="E206" s="1"/>
    </row>
    <row r="207" spans="1:5" x14ac:dyDescent="0.25">
      <c r="A207" s="7">
        <v>13394.051437151045</v>
      </c>
      <c r="B207"/>
      <c r="C207"/>
      <c r="D207"/>
      <c r="E207" s="1"/>
    </row>
    <row r="208" spans="1:5" x14ac:dyDescent="0.25">
      <c r="A208" s="7">
        <v>13261.437066486184</v>
      </c>
      <c r="B208"/>
      <c r="C208"/>
      <c r="D208"/>
      <c r="E208" s="1"/>
    </row>
    <row r="209" spans="1:5" x14ac:dyDescent="0.25">
      <c r="A209" s="7">
        <v>13130.135709392262</v>
      </c>
      <c r="B209"/>
      <c r="C209"/>
      <c r="D209"/>
      <c r="E209" s="1"/>
    </row>
    <row r="210" spans="1:5" x14ac:dyDescent="0.25">
      <c r="A210" s="7">
        <v>13000.134365734912</v>
      </c>
      <c r="B210"/>
      <c r="C210"/>
      <c r="D210"/>
      <c r="E210" s="1"/>
    </row>
    <row r="211" spans="1:5" x14ac:dyDescent="0.25">
      <c r="A211" s="7">
        <v>12871.420164093972</v>
      </c>
      <c r="B211"/>
      <c r="C211"/>
      <c r="D211"/>
      <c r="E211" s="1"/>
    </row>
    <row r="212" spans="1:5" x14ac:dyDescent="0.25">
      <c r="A212" s="7">
        <v>12743.98036048908</v>
      </c>
      <c r="B212"/>
      <c r="C212"/>
      <c r="D212"/>
      <c r="E212" s="1"/>
    </row>
    <row r="213" spans="1:5" x14ac:dyDescent="0.25">
      <c r="A213" s="7">
        <v>12617.802337117901</v>
      </c>
      <c r="B213"/>
      <c r="C213"/>
      <c r="D213"/>
      <c r="E213" s="1"/>
    </row>
    <row r="214" spans="1:5" x14ac:dyDescent="0.25">
      <c r="A214" s="7">
        <v>12492.873601106832</v>
      </c>
      <c r="B214"/>
      <c r="C214"/>
      <c r="D214"/>
      <c r="E214" s="1"/>
    </row>
    <row r="215" spans="1:5" x14ac:dyDescent="0.25">
      <c r="A215" s="7">
        <v>12369.181783274091</v>
      </c>
      <c r="B215"/>
      <c r="C215"/>
      <c r="D215"/>
      <c r="E215" s="1"/>
    </row>
    <row r="216" spans="1:5" x14ac:dyDescent="0.25">
      <c r="A216" s="7">
        <v>12246.714636905041</v>
      </c>
      <c r="B216"/>
      <c r="C216"/>
      <c r="D216"/>
      <c r="E216" s="1"/>
    </row>
    <row r="217" spans="1:5" x14ac:dyDescent="0.25">
      <c r="A217" s="7">
        <v>12125.460036539644</v>
      </c>
      <c r="B217"/>
      <c r="C217"/>
      <c r="D217"/>
      <c r="E217" s="1"/>
    </row>
    <row r="218" spans="1:5" x14ac:dyDescent="0.25">
      <c r="A218" s="7">
        <v>12005.405976771925</v>
      </c>
      <c r="B218"/>
      <c r="C218"/>
      <c r="D218"/>
      <c r="E218" s="1"/>
    </row>
    <row r="219" spans="1:5" x14ac:dyDescent="0.25">
      <c r="A219" s="7">
        <v>11886.540571061312</v>
      </c>
      <c r="B219"/>
      <c r="C219"/>
      <c r="D219"/>
      <c r="E219" s="1"/>
    </row>
    <row r="220" spans="1:5" x14ac:dyDescent="0.25">
      <c r="A220" s="7">
        <v>11768.852050555755</v>
      </c>
      <c r="B220"/>
      <c r="C220"/>
      <c r="D220"/>
      <c r="E220" s="1"/>
    </row>
    <row r="221" spans="1:5" x14ac:dyDescent="0.25">
      <c r="A221" s="7">
        <v>11652.328762926491</v>
      </c>
      <c r="B221"/>
      <c r="C221"/>
      <c r="D221"/>
      <c r="E221" s="1"/>
    </row>
    <row r="222" spans="1:5" x14ac:dyDescent="0.25">
      <c r="A222" s="7">
        <v>11536.959171214346</v>
      </c>
      <c r="B222"/>
      <c r="C222"/>
      <c r="D222"/>
      <c r="E222" s="1"/>
    </row>
    <row r="223" spans="1:5" x14ac:dyDescent="0.25">
      <c r="A223" s="7">
        <v>11422.731852687471</v>
      </c>
      <c r="B223"/>
      <c r="C223"/>
      <c r="D223"/>
      <c r="E223" s="1"/>
    </row>
    <row r="224" spans="1:5" x14ac:dyDescent="0.25">
      <c r="A224" s="7">
        <v>11309.635497710367</v>
      </c>
      <c r="B224"/>
      <c r="C224"/>
      <c r="D224"/>
      <c r="E224" s="1"/>
    </row>
    <row r="225" spans="1:5" x14ac:dyDescent="0.25">
      <c r="A225" s="7">
        <v>11197.658908624126</v>
      </c>
      <c r="B225"/>
      <c r="C225"/>
      <c r="D225"/>
      <c r="E225" s="1"/>
    </row>
    <row r="226" spans="1:5" x14ac:dyDescent="0.25">
      <c r="A226" s="7">
        <v>11086.790998637747</v>
      </c>
      <c r="B226"/>
      <c r="C226"/>
      <c r="D226"/>
      <c r="E226" s="1"/>
    </row>
    <row r="227" spans="1:5" x14ac:dyDescent="0.25">
      <c r="A227" s="7">
        <v>10977.020790730443</v>
      </c>
      <c r="B227"/>
      <c r="C227"/>
      <c r="D227"/>
      <c r="E227" s="1"/>
    </row>
    <row r="228" spans="1:5" x14ac:dyDescent="0.25">
      <c r="A228" s="7">
        <v>10868.337416564795</v>
      </c>
      <c r="B228"/>
      <c r="C228"/>
      <c r="D228"/>
      <c r="E228" s="1"/>
    </row>
    <row r="229" spans="1:5" x14ac:dyDescent="0.25">
      <c r="A229" s="7">
        <v>10760.730115410688</v>
      </c>
      <c r="B229"/>
      <c r="C229"/>
      <c r="D229"/>
      <c r="E229" s="1"/>
    </row>
    <row r="230" spans="1:5" x14ac:dyDescent="0.25">
      <c r="A230" s="7">
        <v>10654.188233079889</v>
      </c>
      <c r="B230"/>
      <c r="C230"/>
      <c r="D230"/>
      <c r="E230" s="1"/>
    </row>
    <row r="231" spans="1:5" x14ac:dyDescent="0.25">
      <c r="A231" s="7">
        <v>10548.701220871177</v>
      </c>
      <c r="B231"/>
      <c r="C231"/>
      <c r="D231"/>
      <c r="E231" s="1"/>
    </row>
    <row r="232" spans="1:5" x14ac:dyDescent="0.25">
      <c r="A232" s="7">
        <v>10444.258634525917</v>
      </c>
      <c r="B232"/>
      <c r="C232"/>
      <c r="D232"/>
      <c r="E232" s="1"/>
    </row>
    <row r="233" spans="1:5" x14ac:dyDescent="0.25">
      <c r="A233" s="7">
        <v>10340.850133193977</v>
      </c>
      <c r="B233"/>
      <c r="C233"/>
      <c r="D233"/>
      <c r="E233" s="1"/>
    </row>
    <row r="234" spans="1:5" x14ac:dyDescent="0.25">
      <c r="A234" s="7">
        <v>10238.465478409878</v>
      </c>
      <c r="B234"/>
      <c r="C234"/>
      <c r="D234"/>
      <c r="E234" s="1"/>
    </row>
    <row r="235" spans="1:5" x14ac:dyDescent="0.25">
      <c r="A235" s="7">
        <v>10137.094533079087</v>
      </c>
      <c r="B235"/>
      <c r="C235"/>
      <c r="D235"/>
      <c r="E235" s="1"/>
    </row>
    <row r="236" spans="1:5" x14ac:dyDescent="0.25">
      <c r="A236" s="7">
        <v>10036.727260474343</v>
      </c>
      <c r="B236"/>
      <c r="C236"/>
      <c r="D236"/>
      <c r="E236" s="1"/>
    </row>
    <row r="237" spans="1:5" x14ac:dyDescent="0.25">
      <c r="A237" s="7">
        <v>9937.3537232419239</v>
      </c>
      <c r="B237"/>
      <c r="C237"/>
      <c r="D237"/>
      <c r="E237" s="1"/>
    </row>
    <row r="238" spans="1:5" x14ac:dyDescent="0.25">
      <c r="A238" s="7">
        <v>9838.9640824177459</v>
      </c>
      <c r="B238"/>
      <c r="C238"/>
      <c r="D238"/>
      <c r="E238" s="1"/>
    </row>
    <row r="239" spans="1:5" x14ac:dyDescent="0.25">
      <c r="A239" s="7">
        <v>9741.5485964532145</v>
      </c>
      <c r="B239"/>
      <c r="C239"/>
      <c r="D239"/>
      <c r="E239" s="1"/>
    </row>
    <row r="240" spans="1:5" x14ac:dyDescent="0.25">
      <c r="A240" s="7">
        <v>9645.0976202507081</v>
      </c>
      <c r="B240"/>
      <c r="C240"/>
      <c r="D240"/>
      <c r="E240" s="1"/>
    </row>
    <row r="241" spans="1:5" x14ac:dyDescent="0.25">
      <c r="A241" s="7">
        <v>9549.6016042086212</v>
      </c>
      <c r="B241" s="14"/>
      <c r="C241" s="14"/>
      <c r="D241" s="14"/>
      <c r="E241" s="1"/>
    </row>
    <row r="242" spans="1:5" x14ac:dyDescent="0.25">
      <c r="A242" s="7">
        <v>9455.0510932758625</v>
      </c>
      <c r="B242" s="14"/>
      <c r="C242" s="14"/>
      <c r="D242" s="14"/>
      <c r="E242" s="1"/>
    </row>
    <row r="243" spans="1:5" x14ac:dyDescent="0.25">
      <c r="A243" s="7">
        <v>9361.4367260157051</v>
      </c>
      <c r="B243" s="14"/>
      <c r="C243" s="14"/>
      <c r="D243" s="14"/>
      <c r="E243" s="1"/>
    </row>
    <row r="244" spans="1:5" x14ac:dyDescent="0.25">
      <c r="A244" s="7">
        <v>9268.7492336789164</v>
      </c>
      <c r="B244" s="14"/>
      <c r="C244" s="14"/>
      <c r="D244" s="14"/>
      <c r="E244" s="1"/>
    </row>
    <row r="245" spans="1:5" x14ac:dyDescent="0.25">
      <c r="A245" s="7">
        <v>9176.9794392860549</v>
      </c>
      <c r="B245" s="14"/>
      <c r="C245" s="14"/>
      <c r="D245" s="14"/>
      <c r="E245" s="1"/>
    </row>
    <row r="246" spans="1:5" x14ac:dyDescent="0.25">
      <c r="A246" s="7">
        <v>9086.1182567188662</v>
      </c>
      <c r="B246" s="14"/>
      <c r="C246" s="14"/>
      <c r="D246" s="14"/>
      <c r="E246" s="1"/>
    </row>
    <row r="247" spans="1:5" x14ac:dyDescent="0.25">
      <c r="A247" s="7">
        <v>8996.1566898206602</v>
      </c>
      <c r="B247" s="14"/>
      <c r="C247" s="14"/>
      <c r="D247" s="14"/>
      <c r="E247" s="1"/>
    </row>
    <row r="248" spans="1:5" x14ac:dyDescent="0.25">
      <c r="A248" s="7">
        <v>8907.0858315056048</v>
      </c>
      <c r="B248" s="14"/>
      <c r="C248" s="14"/>
      <c r="D248" s="14"/>
      <c r="E248" s="1"/>
    </row>
    <row r="249" spans="1:5" x14ac:dyDescent="0.25">
      <c r="A249" s="7">
        <v>8818.8968628768362</v>
      </c>
      <c r="B249" s="14"/>
      <c r="C249" s="14"/>
      <c r="D249" s="14"/>
      <c r="E249" s="1"/>
    </row>
    <row r="250" spans="1:5" x14ac:dyDescent="0.25">
      <c r="A250" s="7">
        <v>8731.5810523533037</v>
      </c>
      <c r="B250" s="14"/>
      <c r="C250" s="14"/>
      <c r="D250" s="14"/>
      <c r="E250" s="1"/>
    </row>
    <row r="251" spans="1:5" x14ac:dyDescent="0.25">
      <c r="A251" s="7">
        <v>8645.1297548052517</v>
      </c>
      <c r="B251" s="14"/>
      <c r="C251" s="14"/>
      <c r="D251" s="14"/>
      <c r="E251" s="1"/>
    </row>
    <row r="252" spans="1:5" x14ac:dyDescent="0.25">
      <c r="A252" s="7">
        <v>8559.5344106982684</v>
      </c>
      <c r="B252" s="14"/>
      <c r="C252" s="14"/>
      <c r="D252" s="14"/>
      <c r="E252" s="1"/>
    </row>
    <row r="253" spans="1:5" x14ac:dyDescent="0.25">
      <c r="A253" s="7">
        <v>8474.78654524581</v>
      </c>
      <c r="B253" s="14"/>
      <c r="C253" s="14"/>
      <c r="D253" s="14"/>
      <c r="E253" s="1"/>
    </row>
    <row r="254" spans="1:5" x14ac:dyDescent="0.25">
      <c r="A254" s="7">
        <v>8390.8777675701094</v>
      </c>
      <c r="B254" s="14"/>
      <c r="C254" s="14"/>
      <c r="D254" s="14"/>
      <c r="E254" s="1"/>
    </row>
    <row r="255" spans="1:5" x14ac:dyDescent="0.25">
      <c r="A255" s="7">
        <v>8307.7997698713953</v>
      </c>
      <c r="C255" s="14"/>
      <c r="D255" s="14"/>
      <c r="E255" s="1"/>
    </row>
    <row r="256" spans="1:5" x14ac:dyDescent="0.25">
      <c r="A256" s="7">
        <v>8225.5443266053426</v>
      </c>
      <c r="C256" s="14"/>
      <c r="D256" s="14"/>
      <c r="E256" s="1"/>
    </row>
    <row r="257" spans="1:5" x14ac:dyDescent="0.25">
      <c r="A257" s="7">
        <v>8144.1032936686552</v>
      </c>
      <c r="C257" s="14"/>
      <c r="D257" s="14"/>
      <c r="E257" s="1"/>
    </row>
    <row r="258" spans="1:5" x14ac:dyDescent="0.25">
      <c r="A258" s="7">
        <v>8063.4686075927275</v>
      </c>
      <c r="C258" s="14"/>
      <c r="D258" s="14"/>
      <c r="E258" s="1"/>
    </row>
    <row r="259" spans="1:5" x14ac:dyDescent="0.25">
      <c r="A259" s="7">
        <v>7983.6322847452748</v>
      </c>
      <c r="C259" s="14"/>
      <c r="D259" s="14"/>
      <c r="E259" s="1"/>
    </row>
    <row r="260" spans="1:5" x14ac:dyDescent="0.25">
      <c r="A260" s="7">
        <v>7904.5864205398757</v>
      </c>
      <c r="C260" s="14"/>
      <c r="D260" s="14"/>
      <c r="E260" s="1"/>
    </row>
    <row r="261" spans="1:5" x14ac:dyDescent="0.25">
      <c r="A261" s="7">
        <v>7826.3231886533422</v>
      </c>
      <c r="C261" s="14"/>
      <c r="D261" s="14"/>
      <c r="E261" s="1"/>
    </row>
    <row r="262" spans="1:5" x14ac:dyDescent="0.25">
      <c r="A262" s="7">
        <v>7748.8348402508336</v>
      </c>
      <c r="C262" s="14"/>
      <c r="D262" s="14"/>
      <c r="E262" s="1"/>
    </row>
    <row r="263" spans="1:5" x14ac:dyDescent="0.25">
      <c r="A263" s="7">
        <v>7672.1137032186471</v>
      </c>
      <c r="C263" s="14"/>
      <c r="D263" s="14"/>
      <c r="E263" s="1"/>
    </row>
    <row r="264" spans="1:5" x14ac:dyDescent="0.25">
      <c r="A264" s="7">
        <v>7596.1521814046009</v>
      </c>
      <c r="E264" s="1"/>
    </row>
    <row r="265" spans="1:5" x14ac:dyDescent="0.25">
      <c r="A265" s="7">
        <v>7520.9427538659411</v>
      </c>
      <c r="E265" s="1"/>
    </row>
    <row r="266" spans="1:5" x14ac:dyDescent="0.25">
      <c r="A266" s="7">
        <v>7446.4779741246939</v>
      </c>
      <c r="E266" s="1"/>
    </row>
    <row r="267" spans="1:5" x14ac:dyDescent="0.25">
      <c r="A267" s="7">
        <v>7372.7504694303898</v>
      </c>
      <c r="E267" s="1"/>
    </row>
    <row r="268" spans="1:5" x14ac:dyDescent="0.25">
      <c r="A268" s="7">
        <v>7299.7529400300891</v>
      </c>
      <c r="E268" s="1"/>
    </row>
    <row r="269" spans="1:5" x14ac:dyDescent="0.25">
      <c r="A269" s="7">
        <v>7227.4781584456323</v>
      </c>
      <c r="E269" s="1"/>
    </row>
    <row r="270" spans="1:5" x14ac:dyDescent="0.25">
      <c r="A270" s="7">
        <v>7155.918968758052</v>
      </c>
      <c r="E270" s="1"/>
    </row>
    <row r="271" spans="1:5" x14ac:dyDescent="0.25">
      <c r="A271" s="7">
        <v>7085.0682858990613</v>
      </c>
      <c r="E271" s="1"/>
    </row>
    <row r="272" spans="1:5" x14ac:dyDescent="0.25">
      <c r="A272" s="7">
        <v>7014.919094949566</v>
      </c>
      <c r="E272" s="1"/>
    </row>
    <row r="273" spans="1:5" x14ac:dyDescent="0.25">
      <c r="A273" s="7">
        <v>6945.4644504451144</v>
      </c>
      <c r="B273"/>
      <c r="C273"/>
      <c r="D273"/>
      <c r="E273" s="1"/>
    </row>
    <row r="274" spans="1:5" x14ac:dyDescent="0.25">
      <c r="A274" s="7">
        <v>6876.6974756882319</v>
      </c>
      <c r="B274"/>
      <c r="C274"/>
      <c r="D274"/>
      <c r="E274" s="1"/>
    </row>
    <row r="275" spans="1:5" x14ac:dyDescent="0.25">
      <c r="A275" s="7">
        <v>6808.611362067556</v>
      </c>
      <c r="B275"/>
      <c r="C275"/>
      <c r="D275"/>
      <c r="E275" s="1"/>
    </row>
    <row r="276" spans="1:5" x14ac:dyDescent="0.25">
      <c r="A276" s="7">
        <v>6741.199368383719</v>
      </c>
      <c r="B276"/>
      <c r="C276"/>
      <c r="D276"/>
      <c r="E276" s="1"/>
    </row>
    <row r="277" spans="1:5" x14ac:dyDescent="0.25">
      <c r="A277" s="7">
        <v>6674.4548201818998</v>
      </c>
      <c r="B277"/>
      <c r="C277"/>
      <c r="D277"/>
      <c r="E277" s="1"/>
    </row>
    <row r="278" spans="1:5" x14ac:dyDescent="0.25">
      <c r="A278" s="7">
        <v>6608.3711090909901</v>
      </c>
      <c r="B278"/>
      <c r="C278"/>
      <c r="D278"/>
      <c r="E278" s="1"/>
    </row>
    <row r="279" spans="1:5" x14ac:dyDescent="0.25">
      <c r="A279" s="7">
        <v>6542.9416921692973</v>
      </c>
      <c r="B279"/>
      <c r="C279"/>
      <c r="D279"/>
      <c r="E279" s="1"/>
    </row>
    <row r="280" spans="1:5" x14ac:dyDescent="0.25">
      <c r="A280" s="7">
        <v>6478.1600912567301</v>
      </c>
      <c r="B280"/>
      <c r="C280"/>
      <c r="D280"/>
      <c r="E280" s="1"/>
    </row>
    <row r="281" spans="1:5" x14ac:dyDescent="0.25">
      <c r="A281" s="7">
        <v>6414.0198923333965</v>
      </c>
      <c r="B281"/>
      <c r="C281"/>
      <c r="D281"/>
      <c r="E281" s="1"/>
    </row>
    <row r="282" spans="1:5" x14ac:dyDescent="0.25">
      <c r="A282" s="7">
        <v>6350.514744884551</v>
      </c>
      <c r="B282"/>
      <c r="C282"/>
      <c r="D282"/>
      <c r="E282" s="1"/>
    </row>
    <row r="283" spans="1:5" x14ac:dyDescent="0.25">
      <c r="A283" s="7">
        <v>6287.6383612718328</v>
      </c>
      <c r="B283"/>
      <c r="C283"/>
      <c r="D283"/>
      <c r="E283" s="1"/>
    </row>
    <row r="284" spans="1:5" x14ac:dyDescent="0.25">
      <c r="A284" s="7">
        <v>6225.3845161107256</v>
      </c>
      <c r="B284"/>
      <c r="C284"/>
      <c r="D284"/>
      <c r="E284" s="1"/>
    </row>
    <row r="285" spans="1:5" x14ac:dyDescent="0.25">
      <c r="A285" s="7">
        <v>6163.7470456541841</v>
      </c>
      <c r="B285"/>
      <c r="C285"/>
      <c r="D285"/>
      <c r="E285" s="1"/>
    </row>
    <row r="286" spans="1:5" x14ac:dyDescent="0.25">
      <c r="A286" s="7">
        <v>6102.7198471823604</v>
      </c>
      <c r="B286"/>
      <c r="C286"/>
      <c r="D286"/>
      <c r="E286" s="1"/>
    </row>
    <row r="287" spans="1:5" x14ac:dyDescent="0.25">
      <c r="A287" s="7">
        <v>6042.296878398377</v>
      </c>
      <c r="B287"/>
      <c r="C287"/>
      <c r="D287"/>
      <c r="E287" s="1"/>
    </row>
    <row r="288" spans="1:5" x14ac:dyDescent="0.25">
      <c r="A288" s="7">
        <v>5982.4721568300765</v>
      </c>
      <c r="B288"/>
      <c r="C288"/>
      <c r="D288"/>
      <c r="E288" s="1"/>
    </row>
    <row r="289" spans="1:5" x14ac:dyDescent="0.25">
      <c r="A289" s="7">
        <v>5923.2397592376992</v>
      </c>
      <c r="B289"/>
      <c r="C289"/>
      <c r="D289"/>
      <c r="E289" s="1"/>
    </row>
    <row r="290" spans="1:5" x14ac:dyDescent="0.25">
      <c r="A290" s="7">
        <v>5864.5938210274253</v>
      </c>
      <c r="B290"/>
      <c r="C290"/>
      <c r="D290"/>
      <c r="E290" s="1"/>
    </row>
    <row r="291" spans="1:5" x14ac:dyDescent="0.25">
      <c r="A291" s="7">
        <v>5806.5285356707182</v>
      </c>
      <c r="B291"/>
      <c r="C291"/>
      <c r="D291"/>
      <c r="E291" s="1"/>
    </row>
    <row r="292" spans="1:5" x14ac:dyDescent="0.25">
      <c r="A292" s="7">
        <v>5749.0381541294237</v>
      </c>
      <c r="B292"/>
      <c r="C292"/>
      <c r="D292"/>
      <c r="E292" s="1"/>
    </row>
    <row r="293" spans="1:5" x14ac:dyDescent="0.25">
      <c r="A293" s="7">
        <v>5692.1169842865584</v>
      </c>
      <c r="B293"/>
      <c r="C293"/>
      <c r="D293"/>
      <c r="E293" s="1"/>
    </row>
    <row r="294" spans="1:5" x14ac:dyDescent="0.25">
      <c r="A294" s="7">
        <v>5635.759390382731</v>
      </c>
      <c r="B294"/>
      <c r="C294"/>
      <c r="D294"/>
      <c r="E294" s="1"/>
    </row>
    <row r="295" spans="1:5" x14ac:dyDescent="0.25">
      <c r="A295" s="7">
        <v>5579.9597924581494</v>
      </c>
      <c r="B295"/>
      <c r="C295"/>
      <c r="D295"/>
      <c r="E295" s="1"/>
    </row>
    <row r="296" spans="1:5" x14ac:dyDescent="0.25">
      <c r="A296" s="7">
        <v>5524.712665800148</v>
      </c>
      <c r="B296"/>
      <c r="C296"/>
      <c r="D296"/>
      <c r="E296" s="1"/>
    </row>
    <row r="297" spans="1:5" x14ac:dyDescent="0.25">
      <c r="A297" s="7">
        <v>5470.0125403961865</v>
      </c>
      <c r="B297"/>
      <c r="C297"/>
      <c r="D297"/>
      <c r="E297" s="1"/>
    </row>
    <row r="298" spans="1:5" x14ac:dyDescent="0.25">
      <c r="A298" s="7">
        <v>5415.8540003922635</v>
      </c>
      <c r="B298"/>
      <c r="C298"/>
      <c r="D298"/>
      <c r="E298" s="1"/>
    </row>
    <row r="299" spans="1:5" x14ac:dyDescent="0.25">
      <c r="A299" s="7">
        <v>5362.2316835566962</v>
      </c>
      <c r="B299"/>
      <c r="C299"/>
      <c r="D299"/>
      <c r="E299" s="1"/>
    </row>
    <row r="300" spans="1:5" x14ac:dyDescent="0.25">
      <c r="A300" s="7">
        <v>5309.1402807492041</v>
      </c>
      <c r="B300"/>
      <c r="C300"/>
      <c r="D300"/>
      <c r="E300" s="1"/>
    </row>
    <row r="301" spans="1:5" x14ac:dyDescent="0.25">
      <c r="A301" s="7">
        <v>5256.5745353952516</v>
      </c>
      <c r="B301"/>
      <c r="C301"/>
      <c r="D301"/>
      <c r="E301" s="1"/>
    </row>
    <row r="302" spans="1:5" x14ac:dyDescent="0.25">
      <c r="A302" s="7">
        <v>5204.5292429655956</v>
      </c>
      <c r="B302"/>
      <c r="C302"/>
      <c r="D302"/>
      <c r="E302" s="1"/>
    </row>
    <row r="303" spans="1:5" x14ac:dyDescent="0.25">
      <c r="A303" s="7">
        <v>5152.9992504609854</v>
      </c>
      <c r="B303"/>
      <c r="C303"/>
      <c r="D303"/>
      <c r="E303" s="1"/>
    </row>
    <row r="304" spans="1:5" x14ac:dyDescent="0.25">
      <c r="A304" s="7">
        <v>5101.9794559019656</v>
      </c>
      <c r="B304"/>
      <c r="C304"/>
      <c r="D304"/>
      <c r="E304" s="1"/>
    </row>
    <row r="305" spans="1:5" x14ac:dyDescent="0.25">
      <c r="A305" s="7">
        <v>5051.4648078237278</v>
      </c>
      <c r="B305"/>
      <c r="C305"/>
      <c r="D305"/>
      <c r="E305" s="1"/>
    </row>
    <row r="306" spans="1:5" x14ac:dyDescent="0.25">
      <c r="A306" s="7">
        <v>5001.4503047759681</v>
      </c>
      <c r="B306"/>
      <c r="C306"/>
      <c r="D306"/>
      <c r="E306" s="1"/>
    </row>
    <row r="307" spans="1:5" x14ac:dyDescent="0.25">
      <c r="A307" s="7">
        <v>4951.9309948276914</v>
      </c>
      <c r="B307"/>
      <c r="C307"/>
      <c r="D307"/>
      <c r="E307" s="1"/>
    </row>
    <row r="308" spans="1:5" x14ac:dyDescent="0.25">
      <c r="A308" s="7">
        <v>4902.9019750769221</v>
      </c>
      <c r="B308"/>
      <c r="C308"/>
      <c r="D308"/>
      <c r="E308" s="1"/>
    </row>
    <row r="309" spans="1:5" x14ac:dyDescent="0.25">
      <c r="A309" s="7">
        <v>4854.3583911652695</v>
      </c>
      <c r="B309"/>
      <c r="C309"/>
      <c r="D309"/>
      <c r="E309" s="1"/>
    </row>
    <row r="310" spans="1:5" x14ac:dyDescent="0.25">
      <c r="A310" s="7">
        <v>4806.2954367972961</v>
      </c>
      <c r="B310"/>
      <c r="C310"/>
      <c r="D310"/>
      <c r="E310" s="1"/>
    </row>
    <row r="311" spans="1:5" x14ac:dyDescent="0.25">
      <c r="A311" s="7">
        <v>4758.7083532646493</v>
      </c>
      <c r="B311"/>
      <c r="C311"/>
      <c r="D311"/>
      <c r="E311" s="1"/>
    </row>
    <row r="312" spans="1:5" x14ac:dyDescent="0.25">
      <c r="A312" s="7">
        <v>4711.5924289749</v>
      </c>
      <c r="B312"/>
      <c r="C312"/>
      <c r="D312"/>
      <c r="E312" s="1"/>
    </row>
    <row r="313" spans="1:5" x14ac:dyDescent="0.25">
      <c r="A313" s="7">
        <v>4664.9429989850496</v>
      </c>
      <c r="B313"/>
      <c r="C313"/>
      <c r="D313"/>
      <c r="E313" s="1"/>
    </row>
    <row r="314" spans="1:5" x14ac:dyDescent="0.25">
      <c r="A314" s="7">
        <v>4618.7554445396527</v>
      </c>
      <c r="B314"/>
      <c r="C314"/>
      <c r="D314"/>
      <c r="E314" s="1"/>
    </row>
    <row r="315" spans="1:5" x14ac:dyDescent="0.25">
      <c r="A315" s="7">
        <v>4573.0251926135179</v>
      </c>
      <c r="B315"/>
      <c r="C315"/>
      <c r="D315"/>
      <c r="E315" s="1"/>
    </row>
    <row r="316" spans="1:5" x14ac:dyDescent="0.25">
      <c r="A316" s="7">
        <v>4527.7477154589287</v>
      </c>
      <c r="B316"/>
      <c r="C316"/>
      <c r="D316"/>
      <c r="E316" s="1"/>
    </row>
    <row r="317" spans="1:5" x14ac:dyDescent="0.25">
      <c r="A317" s="7">
        <v>4482.9185301573552</v>
      </c>
      <c r="B317"/>
      <c r="C317"/>
      <c r="D317"/>
      <c r="E317" s="1"/>
    </row>
    <row r="318" spans="1:5" x14ac:dyDescent="0.25">
      <c r="A318" s="7">
        <v>4438.533198175599</v>
      </c>
      <c r="B318"/>
      <c r="C318"/>
      <c r="D318"/>
      <c r="E318" s="1"/>
    </row>
    <row r="319" spans="1:5" x14ac:dyDescent="0.25">
      <c r="A319" s="7">
        <v>4394.5873249263359</v>
      </c>
      <c r="B319"/>
      <c r="C319"/>
      <c r="D319"/>
      <c r="E319" s="1"/>
    </row>
    <row r="320" spans="1:5" x14ac:dyDescent="0.25">
      <c r="A320" s="7">
        <v>4351.0765593330061</v>
      </c>
      <c r="B320"/>
      <c r="C320"/>
      <c r="D320"/>
      <c r="E320" s="1"/>
    </row>
    <row r="321" spans="1:5" x14ac:dyDescent="0.25">
      <c r="A321" s="7">
        <v>4307.9965933990161</v>
      </c>
      <c r="B321"/>
      <c r="C321"/>
      <c r="D321"/>
      <c r="E321" s="1"/>
    </row>
    <row r="322" spans="1:5" x14ac:dyDescent="0.25">
      <c r="A322" s="7">
        <v>4265.3431617812039</v>
      </c>
      <c r="B322"/>
      <c r="C322"/>
      <c r="D322"/>
      <c r="E322" s="1"/>
    </row>
    <row r="323" spans="1:5" x14ac:dyDescent="0.25">
      <c r="A323" s="7">
        <v>4223.1120413675289</v>
      </c>
      <c r="B323"/>
      <c r="C323"/>
      <c r="D323"/>
      <c r="E323" s="1"/>
    </row>
    <row r="324" spans="1:5" x14ac:dyDescent="0.25">
      <c r="A324" s="7">
        <v>4181.2990508589392</v>
      </c>
      <c r="B324"/>
      <c r="C324"/>
      <c r="D324"/>
      <c r="E324" s="1"/>
    </row>
    <row r="325" spans="1:5" x14ac:dyDescent="0.25">
      <c r="A325" s="7">
        <v>4139.9000503553852</v>
      </c>
      <c r="B325"/>
      <c r="C325"/>
      <c r="D325"/>
      <c r="E325" s="1"/>
    </row>
    <row r="326" spans="1:5" x14ac:dyDescent="0.25">
      <c r="A326" s="7">
        <v>4098.9109409459261</v>
      </c>
      <c r="B326"/>
      <c r="C326"/>
      <c r="D326"/>
      <c r="E326" s="1"/>
    </row>
    <row r="327" spans="1:5" x14ac:dyDescent="0.25">
      <c r="A327" s="7">
        <v>4058.3276643028967</v>
      </c>
      <c r="B327"/>
      <c r="C327"/>
      <c r="D327"/>
      <c r="E327" s="1"/>
    </row>
    <row r="328" spans="1:5" x14ac:dyDescent="0.25">
      <c r="A328" s="7">
        <v>4018.1462022800956</v>
      </c>
      <c r="B328"/>
      <c r="C328"/>
      <c r="D328"/>
      <c r="E328" s="1"/>
    </row>
    <row r="329" spans="1:5" x14ac:dyDescent="0.25">
      <c r="A329" s="7">
        <v>3978.3625765149463</v>
      </c>
      <c r="B329"/>
      <c r="C329"/>
      <c r="D329"/>
      <c r="E329" s="1"/>
    </row>
    <row r="330" spans="1:5" x14ac:dyDescent="0.25">
      <c r="A330" s="7">
        <v>3938.9728480346002</v>
      </c>
      <c r="B330"/>
      <c r="C330"/>
      <c r="D330"/>
      <c r="E330" s="1"/>
    </row>
    <row r="331" spans="1:5" x14ac:dyDescent="0.25">
      <c r="A331" s="7">
        <v>3899.9731168659409</v>
      </c>
      <c r="B331"/>
      <c r="C331"/>
      <c r="D331"/>
      <c r="E331" s="1"/>
    </row>
    <row r="332" spans="1:5" x14ac:dyDescent="0.25">
      <c r="A332" s="7">
        <v>3861.3595216494464</v>
      </c>
      <c r="B332"/>
      <c r="C332"/>
      <c r="D332"/>
      <c r="E332" s="1"/>
    </row>
    <row r="333" spans="1:5" x14ac:dyDescent="0.25">
      <c r="A333" s="7">
        <v>3823.1282392568774</v>
      </c>
      <c r="B333"/>
      <c r="C333"/>
      <c r="D333"/>
      <c r="E333" s="1"/>
    </row>
    <row r="334" spans="1:5" x14ac:dyDescent="0.25">
      <c r="A334" s="7">
        <v>3785.2754844127498</v>
      </c>
      <c r="B334"/>
      <c r="C334"/>
      <c r="D334"/>
      <c r="E334" s="1"/>
    </row>
    <row r="335" spans="1:5" x14ac:dyDescent="0.25">
      <c r="A335" s="7">
        <v>3747.7975093195541</v>
      </c>
      <c r="B335"/>
      <c r="C335"/>
      <c r="D335"/>
      <c r="E335" s="1"/>
    </row>
    <row r="336" spans="1:5" x14ac:dyDescent="0.25">
      <c r="A336" s="7">
        <v>3710.6906032866873</v>
      </c>
      <c r="B336"/>
      <c r="C336"/>
      <c r="D336"/>
      <c r="E336" s="1"/>
    </row>
    <row r="337" spans="1:5" x14ac:dyDescent="0.25">
      <c r="A337" s="7">
        <v>3673.9510923630569</v>
      </c>
      <c r="B337"/>
      <c r="C337"/>
      <c r="D337"/>
      <c r="E337" s="1"/>
    </row>
    <row r="338" spans="1:5" x14ac:dyDescent="0.25">
      <c r="A338" s="7">
        <v>3637.5753389733236</v>
      </c>
      <c r="B338"/>
      <c r="C338"/>
      <c r="D338"/>
      <c r="E338" s="1"/>
    </row>
    <row r="339" spans="1:5" x14ac:dyDescent="0.25">
      <c r="A339" s="7">
        <v>3601.5597415577463</v>
      </c>
      <c r="B339"/>
      <c r="C339"/>
      <c r="D339"/>
      <c r="E339" s="1"/>
    </row>
    <row r="340" spans="1:5" x14ac:dyDescent="0.25">
      <c r="A340" s="7">
        <v>3565.9007342155905</v>
      </c>
      <c r="B340"/>
      <c r="C340"/>
      <c r="D340"/>
      <c r="E340" s="1"/>
    </row>
    <row r="341" spans="1:5" x14ac:dyDescent="0.25">
      <c r="A341" s="7">
        <v>3530.5947863520696</v>
      </c>
      <c r="B341"/>
      <c r="C341"/>
      <c r="D341"/>
      <c r="E341" s="1"/>
    </row>
    <row r="342" spans="1:5" x14ac:dyDescent="0.25">
      <c r="A342" s="7">
        <v>3495.6384023287819</v>
      </c>
      <c r="B342"/>
      <c r="C342"/>
      <c r="D342"/>
      <c r="E342" s="1"/>
    </row>
    <row r="343" spans="1:5" x14ac:dyDescent="0.25">
      <c r="A343" s="7">
        <v>3461.0281211176057</v>
      </c>
      <c r="B343"/>
      <c r="C343"/>
      <c r="D343"/>
      <c r="E343" s="1"/>
    </row>
    <row r="344" spans="1:5" x14ac:dyDescent="0.25">
      <c r="A344" s="7">
        <v>3426.7605159580253</v>
      </c>
      <c r="B344"/>
      <c r="C344"/>
      <c r="D344"/>
      <c r="E344" s="1"/>
    </row>
    <row r="345" spans="1:5" x14ac:dyDescent="0.25">
      <c r="A345" s="7">
        <v>3392.8321940178466</v>
      </c>
      <c r="B345"/>
      <c r="C345"/>
      <c r="D345"/>
      <c r="E345" s="1"/>
    </row>
    <row r="346" spans="1:5" x14ac:dyDescent="0.25">
      <c r="A346" s="7">
        <v>3359.2397960572739</v>
      </c>
      <c r="B346"/>
      <c r="C346"/>
      <c r="D346"/>
      <c r="E346" s="1"/>
    </row>
    <row r="347" spans="1:5" x14ac:dyDescent="0.25">
      <c r="A347" s="7">
        <v>3325.979996096311</v>
      </c>
      <c r="B347"/>
      <c r="C347"/>
      <c r="D347"/>
      <c r="E347" s="1"/>
    </row>
    <row r="348" spans="1:5" x14ac:dyDescent="0.25">
      <c r="A348" s="7">
        <v>3293.0495010854565</v>
      </c>
      <c r="B348"/>
      <c r="C348"/>
      <c r="D348"/>
      <c r="E348" s="1"/>
    </row>
    <row r="349" spans="1:5" x14ac:dyDescent="0.25">
      <c r="A349" s="7">
        <v>3260.4450505796599</v>
      </c>
      <c r="B349"/>
      <c r="C349"/>
      <c r="D349"/>
      <c r="E349" s="1"/>
    </row>
    <row r="350" spans="1:5" x14ac:dyDescent="0.25">
      <c r="A350" s="7">
        <v>3228.1634164155048</v>
      </c>
      <c r="B350"/>
      <c r="C350"/>
      <c r="D350"/>
      <c r="E350" s="1"/>
    </row>
    <row r="351" spans="1:5" x14ac:dyDescent="0.25">
      <c r="A351" s="7">
        <v>3196.201402391589</v>
      </c>
      <c r="B351"/>
      <c r="C351"/>
      <c r="D351"/>
      <c r="E351" s="1"/>
    </row>
    <row r="352" spans="1:5" x14ac:dyDescent="0.25">
      <c r="A352" s="7">
        <v>3164.5558439520682</v>
      </c>
      <c r="B352"/>
      <c r="C352"/>
      <c r="D352"/>
      <c r="E352" s="1"/>
    </row>
    <row r="353" spans="1:5" x14ac:dyDescent="0.25">
      <c r="A353" s="7">
        <v>3133.2236078733349</v>
      </c>
      <c r="B353"/>
      <c r="C353"/>
      <c r="D353"/>
      <c r="E353" s="1"/>
    </row>
    <row r="354" spans="1:5" x14ac:dyDescent="0.25">
      <c r="A354" s="7">
        <v>3102.2015919537971</v>
      </c>
      <c r="B354"/>
      <c r="C354"/>
      <c r="D354"/>
      <c r="E354" s="1"/>
    </row>
    <row r="355" spans="1:5" x14ac:dyDescent="0.25">
      <c r="A355" s="7">
        <v>3071.48672470673</v>
      </c>
      <c r="B355"/>
      <c r="C355"/>
      <c r="D355"/>
      <c r="E355" s="1"/>
    </row>
    <row r="356" spans="1:5" x14ac:dyDescent="0.25">
      <c r="A356" s="7">
        <v>3041.0759650561681</v>
      </c>
      <c r="B356"/>
      <c r="C356"/>
      <c r="D356"/>
      <c r="E356" s="1"/>
    </row>
    <row r="357" spans="1:5" x14ac:dyDescent="0.25">
      <c r="A357" s="7">
        <v>3010.9663020358098</v>
      </c>
      <c r="B357"/>
      <c r="C357"/>
      <c r="D357"/>
      <c r="E357" s="1"/>
    </row>
    <row r="358" spans="1:5" x14ac:dyDescent="0.25">
      <c r="A358" s="7">
        <v>2981.1547544909008</v>
      </c>
      <c r="B358"/>
      <c r="C358"/>
      <c r="D358"/>
      <c r="E358" s="1"/>
    </row>
    <row r="359" spans="1:5" x14ac:dyDescent="0.25">
      <c r="A359" s="7">
        <v>2951.6383707830701</v>
      </c>
      <c r="B359"/>
      <c r="C359"/>
      <c r="D359"/>
      <c r="E359" s="1"/>
    </row>
    <row r="360" spans="1:5" x14ac:dyDescent="0.25">
      <c r="A360" s="7">
        <v>2922.414228498089</v>
      </c>
      <c r="B360"/>
      <c r="C360"/>
      <c r="D360"/>
      <c r="E360" s="1"/>
    </row>
    <row r="361" spans="1:5" x14ac:dyDescent="0.25">
      <c r="A361" s="7">
        <v>2893.4794341565239</v>
      </c>
      <c r="B361"/>
      <c r="C361"/>
      <c r="D361"/>
      <c r="E361" s="1"/>
    </row>
    <row r="362" spans="1:5" x14ac:dyDescent="0.25">
      <c r="A362" s="7">
        <v>2864.8311229272513</v>
      </c>
      <c r="B362"/>
      <c r="C362"/>
      <c r="D362"/>
      <c r="E362" s="1"/>
    </row>
    <row r="363" spans="1:5" x14ac:dyDescent="0.25">
      <c r="A363" s="7">
        <v>2836.466458343813</v>
      </c>
      <c r="B363"/>
      <c r="C363"/>
      <c r="D363"/>
      <c r="E363" s="1"/>
    </row>
    <row r="364" spans="1:5" x14ac:dyDescent="0.25">
      <c r="A364" s="7">
        <v>2808.3826320235771</v>
      </c>
      <c r="B364"/>
      <c r="C364"/>
      <c r="D364"/>
      <c r="E364" s="1"/>
    </row>
    <row r="365" spans="1:5" x14ac:dyDescent="0.25">
      <c r="A365" s="7">
        <v>2780.5768633896805</v>
      </c>
      <c r="B365"/>
      <c r="C365"/>
      <c r="D365"/>
      <c r="E365" s="1"/>
    </row>
    <row r="366" spans="1:5" x14ac:dyDescent="0.25">
      <c r="A366" s="7">
        <v>2753.0463993957233</v>
      </c>
      <c r="B366"/>
      <c r="C366"/>
      <c r="D366"/>
      <c r="E366" s="1"/>
    </row>
    <row r="367" spans="1:5" x14ac:dyDescent="0.25">
      <c r="A367" s="7">
        <v>2725.7885142531914</v>
      </c>
      <c r="B367"/>
      <c r="C367"/>
      <c r="D367"/>
      <c r="E367" s="1"/>
    </row>
    <row r="368" spans="1:5" x14ac:dyDescent="0.25">
      <c r="A368" s="7">
        <v>2698.8005091615755</v>
      </c>
      <c r="B368"/>
      <c r="C368"/>
      <c r="D368"/>
      <c r="E368" s="1"/>
    </row>
    <row r="369" spans="1:5" x14ac:dyDescent="0.25">
      <c r="A369" s="7">
        <v>2672.0797120411639</v>
      </c>
      <c r="B369"/>
      <c r="C369"/>
      <c r="D369"/>
      <c r="E369" s="1"/>
    </row>
    <row r="370" spans="1:5" x14ac:dyDescent="0.25">
      <c r="A370" s="7">
        <v>2645.6234772684793</v>
      </c>
      <c r="B370"/>
      <c r="C370"/>
      <c r="D370"/>
      <c r="E370" s="1"/>
    </row>
    <row r="371" spans="1:5" x14ac:dyDescent="0.25">
      <c r="A371" s="7">
        <v>2619.4291854143357</v>
      </c>
      <c r="B371"/>
      <c r="C371"/>
      <c r="D371"/>
      <c r="E371" s="1"/>
    </row>
    <row r="372" spans="1:5" x14ac:dyDescent="0.25">
      <c r="A372" s="7">
        <v>2593.4942429844909</v>
      </c>
      <c r="B372"/>
      <c r="C372"/>
      <c r="D372"/>
      <c r="E372" s="1"/>
    </row>
    <row r="373" spans="1:5" x14ac:dyDescent="0.25">
      <c r="A373" s="7">
        <v>2567.8160821628621</v>
      </c>
      <c r="B373"/>
      <c r="C373"/>
      <c r="D373"/>
      <c r="E373" s="1"/>
    </row>
    <row r="374" spans="1:5" x14ac:dyDescent="0.25">
      <c r="A374" s="7">
        <v>2542.3921605572891</v>
      </c>
      <c r="B374"/>
      <c r="C374"/>
      <c r="D374"/>
      <c r="E374" s="1"/>
    </row>
    <row r="375" spans="1:5" x14ac:dyDescent="0.25">
      <c r="A375" s="7">
        <v>2517.2199609478112</v>
      </c>
      <c r="B375"/>
      <c r="C375"/>
      <c r="D375"/>
      <c r="E375" s="1"/>
    </row>
    <row r="376" spans="1:5" x14ac:dyDescent="0.25">
      <c r="A376" s="7">
        <v>2492.2969910374368</v>
      </c>
      <c r="B376"/>
      <c r="C376"/>
      <c r="D376"/>
      <c r="E376" s="1"/>
    </row>
    <row r="377" spans="1:5" x14ac:dyDescent="0.25">
      <c r="A377" s="7">
        <v>2467.6207832053828</v>
      </c>
      <c r="B377"/>
      <c r="C377"/>
      <c r="D377"/>
      <c r="E377" s="1"/>
    </row>
    <row r="378" spans="1:5" x14ac:dyDescent="0.25">
      <c r="A378" s="7">
        <v>2443.1888942627552</v>
      </c>
      <c r="B378"/>
      <c r="C378"/>
      <c r="D378"/>
      <c r="E378" s="1"/>
    </row>
    <row r="379" spans="1:5" x14ac:dyDescent="0.25">
      <c r="A379" s="7">
        <v>2418.9989052106489</v>
      </c>
      <c r="B379"/>
      <c r="C379"/>
      <c r="D379"/>
      <c r="E379" s="1"/>
    </row>
    <row r="380" spans="1:5" x14ac:dyDescent="0.25">
      <c r="A380" s="7">
        <v>2395.0484210006425</v>
      </c>
      <c r="B380"/>
      <c r="C380"/>
      <c r="D380"/>
      <c r="E380" s="1"/>
    </row>
    <row r="381" spans="1:5" x14ac:dyDescent="0.25">
      <c r="A381" s="7">
        <v>2371.3350702976659</v>
      </c>
      <c r="B381"/>
      <c r="C381"/>
      <c r="D381"/>
      <c r="E381" s="1"/>
    </row>
    <row r="382" spans="1:5" x14ac:dyDescent="0.25">
      <c r="A382" s="7">
        <v>2347.8565052452136</v>
      </c>
      <c r="B382"/>
      <c r="C382"/>
      <c r="D382"/>
      <c r="E382" s="1"/>
    </row>
    <row r="383" spans="1:5" x14ac:dyDescent="0.25">
      <c r="A383" s="7">
        <v>2324.6104012328847</v>
      </c>
      <c r="B383"/>
      <c r="C383"/>
      <c r="D383"/>
      <c r="E383" s="1"/>
    </row>
    <row r="384" spans="1:5" x14ac:dyDescent="0.25">
      <c r="A384" s="7">
        <v>2301.5944566662224</v>
      </c>
      <c r="B384"/>
      <c r="C384"/>
      <c r="D384"/>
      <c r="E384" s="1"/>
    </row>
    <row r="385" spans="1:5" x14ac:dyDescent="0.25">
      <c r="A385" s="7">
        <v>2278.8063927388339</v>
      </c>
      <c r="B385"/>
      <c r="C385"/>
      <c r="D385"/>
      <c r="E385" s="1"/>
    </row>
    <row r="386" spans="1:5" x14ac:dyDescent="0.25">
      <c r="A386" s="7">
        <v>2256.243953206766</v>
      </c>
      <c r="B386"/>
      <c r="C386"/>
      <c r="D386"/>
      <c r="E386" s="1"/>
    </row>
    <row r="387" spans="1:5" x14ac:dyDescent="0.25">
      <c r="A387" s="7">
        <v>2233.9049041651147</v>
      </c>
      <c r="B387"/>
      <c r="C387"/>
      <c r="D387"/>
      <c r="E387" s="1"/>
    </row>
    <row r="388" spans="1:5" x14ac:dyDescent="0.25">
      <c r="A388" s="7">
        <v>2211.7870338268463</v>
      </c>
      <c r="B388"/>
      <c r="C388"/>
      <c r="D388"/>
      <c r="E388" s="1"/>
    </row>
    <row r="389" spans="1:5" x14ac:dyDescent="0.25">
      <c r="A389" s="7">
        <v>2189.8881523038081</v>
      </c>
      <c r="B389"/>
      <c r="C389"/>
      <c r="D389"/>
      <c r="E389" s="1"/>
    </row>
    <row r="390" spans="1:5" x14ac:dyDescent="0.25">
      <c r="A390" s="7">
        <v>2168.206091389909</v>
      </c>
      <c r="B390"/>
      <c r="C390"/>
      <c r="D390"/>
      <c r="E390" s="1"/>
    </row>
    <row r="391" spans="1:5" x14ac:dyDescent="0.25">
      <c r="A391" s="7">
        <v>2146.7387043464446</v>
      </c>
      <c r="B391"/>
      <c r="C391"/>
      <c r="D391"/>
      <c r="E391" s="1"/>
    </row>
    <row r="392" spans="1:5" x14ac:dyDescent="0.25">
      <c r="A392" s="7">
        <v>2125.483865689549</v>
      </c>
      <c r="B392"/>
      <c r="C392"/>
      <c r="D392"/>
      <c r="E392" s="1"/>
    </row>
    <row r="393" spans="1:5" x14ac:dyDescent="0.25">
      <c r="A393" s="7">
        <v>2104.4394709797516</v>
      </c>
      <c r="B393"/>
      <c r="C393"/>
      <c r="D393"/>
      <c r="E393" s="1"/>
    </row>
    <row r="394" spans="1:5" x14ac:dyDescent="0.25">
      <c r="A394" s="7">
        <v>2083.6034366136155</v>
      </c>
      <c r="B394"/>
      <c r="C394"/>
      <c r="D394"/>
      <c r="E394" s="1"/>
    </row>
    <row r="395" spans="1:5" x14ac:dyDescent="0.25">
      <c r="A395" s="7">
        <v>2062.9736996174411</v>
      </c>
      <c r="B395"/>
      <c r="C395"/>
      <c r="D395"/>
      <c r="E395" s="1"/>
    </row>
    <row r="396" spans="1:5" x14ac:dyDescent="0.25">
      <c r="A396" s="7">
        <v>2042.5482174430108</v>
      </c>
      <c r="B396"/>
      <c r="C396"/>
      <c r="D396"/>
      <c r="E396" s="1"/>
    </row>
    <row r="397" spans="1:5" x14ac:dyDescent="0.25">
      <c r="A397" s="7">
        <v>2022.3249677653573</v>
      </c>
      <c r="B397"/>
      <c r="C397"/>
      <c r="D397"/>
      <c r="E397" s="1"/>
    </row>
    <row r="398" spans="1:5" x14ac:dyDescent="0.25">
      <c r="A398" s="7">
        <v>2002.3019482825321</v>
      </c>
      <c r="B398"/>
      <c r="C398"/>
      <c r="D398"/>
      <c r="E398" s="1"/>
    </row>
    <row r="399" spans="1:5" x14ac:dyDescent="0.25">
      <c r="A399" s="7">
        <v>1982.4771765173584</v>
      </c>
      <c r="B399"/>
      <c r="C399"/>
      <c r="D399"/>
      <c r="E399" s="1"/>
    </row>
    <row r="400" spans="1:5" x14ac:dyDescent="0.25">
      <c r="A400" s="7">
        <v>1962.8486896211468</v>
      </c>
      <c r="B400"/>
      <c r="C400"/>
      <c r="D400"/>
      <c r="E400" s="1"/>
    </row>
    <row r="401" spans="1:5" x14ac:dyDescent="0.25">
      <c r="A401" s="7">
        <v>1943.4145441793532</v>
      </c>
      <c r="B401"/>
      <c r="C401"/>
      <c r="D401"/>
      <c r="E401" s="1"/>
    </row>
    <row r="402" spans="1:5" x14ac:dyDescent="0.25">
      <c r="A402" s="7">
        <v>1924.1728160191617</v>
      </c>
      <c r="B402"/>
      <c r="C402"/>
      <c r="D402"/>
      <c r="E402" s="1"/>
    </row>
    <row r="403" spans="1:5" x14ac:dyDescent="0.25">
      <c r="A403" s="7">
        <v>1905.121600018972</v>
      </c>
      <c r="B403"/>
      <c r="C403"/>
      <c r="D403"/>
      <c r="E403" s="1"/>
    </row>
    <row r="404" spans="1:5" x14ac:dyDescent="0.25">
      <c r="A404" s="7">
        <v>1886.2590099197741</v>
      </c>
      <c r="B404"/>
      <c r="C404"/>
      <c r="D404"/>
      <c r="E404" s="1"/>
    </row>
    <row r="405" spans="1:5" x14ac:dyDescent="0.25">
      <c r="A405" s="7">
        <v>1867.5831781383902</v>
      </c>
      <c r="B405"/>
      <c r="C405"/>
      <c r="D405"/>
      <c r="E405" s="1"/>
    </row>
    <row r="406" spans="1:5" x14ac:dyDescent="0.25">
      <c r="A406" s="7">
        <v>1849.0922555825646</v>
      </c>
      <c r="B406"/>
      <c r="C406"/>
      <c r="D406"/>
      <c r="E406" s="1"/>
    </row>
    <row r="407" spans="1:5" x14ac:dyDescent="0.25">
      <c r="A407" s="7">
        <v>1830.7844114678858</v>
      </c>
      <c r="B407"/>
      <c r="C407"/>
      <c r="D407"/>
      <c r="E407" s="1"/>
    </row>
    <row r="408" spans="1:5" x14ac:dyDescent="0.25">
      <c r="A408" s="7">
        <v>1812.6578331365206</v>
      </c>
      <c r="B408"/>
      <c r="C408"/>
      <c r="D408"/>
      <c r="E408" s="1"/>
    </row>
    <row r="409" spans="1:5" x14ac:dyDescent="0.25">
      <c r="A409" s="7">
        <v>1794.7107258777432</v>
      </c>
      <c r="B409"/>
      <c r="C409"/>
      <c r="D409"/>
      <c r="E409" s="1"/>
    </row>
    <row r="410" spans="1:5" x14ac:dyDescent="0.25">
      <c r="A410" s="7">
        <v>1776.9413127502407</v>
      </c>
      <c r="B410"/>
      <c r="C410"/>
      <c r="D410"/>
      <c r="E410" s="1"/>
    </row>
    <row r="411" spans="1:5" x14ac:dyDescent="0.25">
      <c r="A411" s="7">
        <v>1759.3478344061789</v>
      </c>
      <c r="B411"/>
      <c r="C411"/>
      <c r="D411"/>
      <c r="E411" s="1"/>
    </row>
    <row r="412" spans="1:5" x14ac:dyDescent="0.25">
      <c r="A412" s="7">
        <v>1741.9285489170088</v>
      </c>
      <c r="B412"/>
      <c r="C412"/>
      <c r="D412"/>
      <c r="E412" s="1"/>
    </row>
    <row r="413" spans="1:5" x14ac:dyDescent="0.25">
      <c r="A413" s="7">
        <v>1724.6817316009988</v>
      </c>
      <c r="B413"/>
      <c r="C413"/>
      <c r="D413"/>
      <c r="E413" s="1"/>
    </row>
    <row r="414" spans="1:5" x14ac:dyDescent="0.25">
      <c r="A414" s="7">
        <v>1707.6056748524741</v>
      </c>
      <c r="B414"/>
      <c r="C414"/>
      <c r="D414"/>
      <c r="E414" s="1"/>
    </row>
    <row r="415" spans="1:5" x14ac:dyDescent="0.25">
      <c r="A415" s="7">
        <v>1690.6986879727465</v>
      </c>
      <c r="B415"/>
      <c r="C415"/>
      <c r="D415"/>
      <c r="E415" s="1"/>
    </row>
    <row r="416" spans="1:5" x14ac:dyDescent="0.25">
      <c r="A416" s="7">
        <v>1673.9590970027193</v>
      </c>
      <c r="B416"/>
      <c r="C416"/>
      <c r="D416"/>
      <c r="E416" s="1"/>
    </row>
    <row r="417" spans="1:5" x14ac:dyDescent="0.25">
      <c r="A417" s="7">
        <v>1657.3852445571479</v>
      </c>
      <c r="B417"/>
      <c r="C417"/>
      <c r="D417"/>
      <c r="E417" s="1"/>
    </row>
    <row r="418" spans="1:5" x14ac:dyDescent="0.25">
      <c r="A418" s="7">
        <v>1640.9754896605425</v>
      </c>
      <c r="B418"/>
      <c r="C418"/>
      <c r="D418"/>
      <c r="E418" s="1"/>
    </row>
    <row r="419" spans="1:5" x14ac:dyDescent="0.25">
      <c r="A419" s="7">
        <v>1624.7282075846956</v>
      </c>
      <c r="B419"/>
      <c r="C419"/>
      <c r="D419"/>
      <c r="E419" s="1"/>
    </row>
    <row r="420" spans="1:5" x14ac:dyDescent="0.25">
      <c r="A420" s="7">
        <v>1608.6417896878174</v>
      </c>
      <c r="B420"/>
      <c r="C420"/>
      <c r="D420"/>
      <c r="E420" s="1"/>
    </row>
    <row r="421" spans="1:5" x14ac:dyDescent="0.25">
      <c r="A421" s="7">
        <v>1592.7146432552647</v>
      </c>
      <c r="B421"/>
      <c r="C421"/>
      <c r="D421"/>
      <c r="E421" s="1"/>
    </row>
    <row r="422" spans="1:5" x14ac:dyDescent="0.25">
      <c r="A422" s="7">
        <v>1576.9451913418463</v>
      </c>
      <c r="B422"/>
      <c r="C422"/>
      <c r="D422"/>
      <c r="E422" s="1"/>
    </row>
    <row r="423" spans="1:5" x14ac:dyDescent="0.25">
      <c r="A423" s="7">
        <v>1561.3318726156895</v>
      </c>
      <c r="B423"/>
      <c r="C423"/>
      <c r="D423"/>
      <c r="E423" s="1"/>
    </row>
    <row r="424" spans="1:5" x14ac:dyDescent="0.25">
      <c r="A424" s="7">
        <v>1545.8731412036529</v>
      </c>
      <c r="B424"/>
      <c r="C424"/>
      <c r="D424"/>
      <c r="E424" s="1"/>
    </row>
    <row r="425" spans="1:5" x14ac:dyDescent="0.25">
      <c r="A425" s="7">
        <v>1530.5674665382703</v>
      </c>
      <c r="B425"/>
      <c r="C425"/>
      <c r="D425"/>
      <c r="E425" s="1"/>
    </row>
    <row r="426" spans="1:5" x14ac:dyDescent="0.25">
      <c r="A426" s="7">
        <v>1515.4133332062081</v>
      </c>
      <c r="B426"/>
      <c r="C426"/>
      <c r="D426"/>
      <c r="E426" s="1"/>
    </row>
    <row r="427" spans="1:5" x14ac:dyDescent="0.25">
      <c r="A427" s="7">
        <v>1500.4092407982259</v>
      </c>
      <c r="B427"/>
      <c r="C427"/>
      <c r="D427"/>
      <c r="E427" s="1"/>
    </row>
    <row r="428" spans="1:5" x14ac:dyDescent="0.25">
      <c r="A428" s="7">
        <v>1485.5537037606198</v>
      </c>
      <c r="B428"/>
      <c r="C428"/>
      <c r="D428"/>
      <c r="E428" s="1"/>
    </row>
    <row r="429" spans="1:5" x14ac:dyDescent="0.25">
      <c r="A429" s="7">
        <v>1470.8452512481383</v>
      </c>
      <c r="B429"/>
      <c r="C429"/>
      <c r="D429"/>
      <c r="E429" s="1"/>
    </row>
    <row r="430" spans="1:5" x14ac:dyDescent="0.25">
      <c r="A430" s="7">
        <v>1456.2824269783548</v>
      </c>
      <c r="B430"/>
      <c r="C430"/>
      <c r="D430"/>
      <c r="E430" s="1"/>
    </row>
    <row r="431" spans="1:5" x14ac:dyDescent="0.25">
      <c r="A431" s="7">
        <v>1441.86378908748</v>
      </c>
      <c r="B431"/>
      <c r="C431"/>
      <c r="D431"/>
      <c r="E431" s="1"/>
    </row>
    <row r="432" spans="1:5" x14ac:dyDescent="0.25">
      <c r="A432" s="7">
        <v>1427.587909987604</v>
      </c>
      <c r="B432"/>
      <c r="C432"/>
      <c r="D432"/>
      <c r="E432" s="1"/>
    </row>
    <row r="433" spans="1:5" x14ac:dyDescent="0.25">
      <c r="A433" s="7">
        <v>1413.4533762253504</v>
      </c>
      <c r="B433"/>
      <c r="C433"/>
      <c r="D433"/>
      <c r="E433" s="1"/>
    </row>
    <row r="434" spans="1:5" x14ac:dyDescent="0.25">
      <c r="A434" s="7">
        <v>1399.458788341931</v>
      </c>
      <c r="B434"/>
      <c r="C434"/>
      <c r="D434"/>
      <c r="E434" s="1"/>
    </row>
    <row r="435" spans="1:5" x14ac:dyDescent="0.25">
      <c r="A435" s="7">
        <v>1385.6027607345852</v>
      </c>
      <c r="B435"/>
      <c r="C435"/>
      <c r="D435"/>
      <c r="E435" s="1"/>
    </row>
    <row r="436" spans="1:5" x14ac:dyDescent="0.25">
      <c r="A436" s="7">
        <v>1371.8839215193914</v>
      </c>
      <c r="B436"/>
      <c r="C436"/>
      <c r="D436"/>
      <c r="E436" s="1"/>
    </row>
    <row r="437" spans="1:5" x14ac:dyDescent="0.25">
      <c r="A437" s="7">
        <v>1358.3009123954371</v>
      </c>
      <c r="B437"/>
      <c r="C437"/>
      <c r="D437"/>
      <c r="E437" s="1"/>
    </row>
    <row r="438" spans="1:5" x14ac:dyDescent="0.25">
      <c r="A438" s="7">
        <v>1344.8523885103336</v>
      </c>
      <c r="B438"/>
      <c r="C438"/>
      <c r="D438"/>
      <c r="E438" s="1"/>
    </row>
    <row r="439" spans="1:5" x14ac:dyDescent="0.25">
      <c r="A439" s="7">
        <v>1331.5370183270629</v>
      </c>
      <c r="B439"/>
      <c r="C439"/>
      <c r="D439"/>
      <c r="E439" s="1"/>
    </row>
    <row r="440" spans="1:5" x14ac:dyDescent="0.25">
      <c r="A440" s="7">
        <v>1318.3534834921415</v>
      </c>
      <c r="B440"/>
      <c r="C440"/>
      <c r="D440"/>
      <c r="E440" s="1"/>
    </row>
    <row r="441" spans="1:5" x14ac:dyDescent="0.25">
      <c r="A441" s="7">
        <v>1305.3004787050907</v>
      </c>
      <c r="B441"/>
      <c r="C441"/>
      <c r="D441"/>
      <c r="E441" s="1"/>
    </row>
    <row r="442" spans="1:5" x14ac:dyDescent="0.25">
      <c r="A442" s="7">
        <v>1292.3767115891987</v>
      </c>
      <c r="B442"/>
      <c r="C442"/>
      <c r="D442"/>
      <c r="E442" s="1"/>
    </row>
    <row r="443" spans="1:5" x14ac:dyDescent="0.25">
      <c r="A443" s="7">
        <v>1279.5809025635631</v>
      </c>
      <c r="B443"/>
      <c r="C443"/>
      <c r="D443"/>
      <c r="E443" s="1"/>
    </row>
    <row r="444" spans="1:5" x14ac:dyDescent="0.25">
      <c r="A444" s="7">
        <v>1266.9117847163991</v>
      </c>
      <c r="B444"/>
      <c r="C444"/>
      <c r="D444"/>
      <c r="E444" s="1"/>
    </row>
    <row r="445" spans="1:5" x14ac:dyDescent="0.25">
      <c r="A445" s="7">
        <v>1254.3681036796031</v>
      </c>
      <c r="B445"/>
      <c r="C445"/>
      <c r="D445"/>
      <c r="E445" s="1"/>
    </row>
    <row r="446" spans="1:5" x14ac:dyDescent="0.25">
      <c r="A446" s="7">
        <v>1241.9486175045574</v>
      </c>
      <c r="B446"/>
      <c r="C446"/>
      <c r="D446"/>
      <c r="E446" s="1"/>
    </row>
    <row r="447" spans="1:5" x14ac:dyDescent="0.25">
      <c r="A447" s="7">
        <v>1229.6520965391658</v>
      </c>
      <c r="B447"/>
      <c r="C447"/>
      <c r="D447"/>
      <c r="E447" s="1"/>
    </row>
    <row r="448" spans="1:5" x14ac:dyDescent="0.25">
      <c r="A448" s="7">
        <v>1217.4773233061046</v>
      </c>
      <c r="B448"/>
      <c r="C448"/>
      <c r="D448"/>
      <c r="E448" s="1"/>
    </row>
    <row r="449" spans="1:5" x14ac:dyDescent="0.25">
      <c r="A449" s="7">
        <v>1205.4230923822818</v>
      </c>
      <c r="B449"/>
      <c r="C449"/>
      <c r="D449"/>
      <c r="E449" s="1"/>
    </row>
    <row r="450" spans="1:5" x14ac:dyDescent="0.25">
      <c r="A450" s="7">
        <v>1193.4882102794868</v>
      </c>
      <c r="B450"/>
      <c r="C450"/>
      <c r="D450"/>
      <c r="E450" s="1"/>
    </row>
    <row r="451" spans="1:5" x14ac:dyDescent="0.25">
      <c r="A451" s="7">
        <v>1181.6714953262244</v>
      </c>
      <c r="B451"/>
      <c r="C451"/>
      <c r="D451"/>
      <c r="E451" s="1"/>
    </row>
    <row r="452" spans="1:5" x14ac:dyDescent="0.25">
      <c r="A452" s="7">
        <v>1169.9717775507172</v>
      </c>
      <c r="B452"/>
      <c r="C452"/>
      <c r="D452"/>
      <c r="E452" s="1"/>
    </row>
    <row r="453" spans="1:5" x14ac:dyDescent="0.25">
      <c r="A453" s="7">
        <v>1158.3878985650665</v>
      </c>
      <c r="B453"/>
      <c r="C453"/>
      <c r="D453"/>
      <c r="E453" s="1"/>
    </row>
    <row r="454" spans="1:5" x14ac:dyDescent="0.25">
      <c r="A454" s="7">
        <v>1146.918711450561</v>
      </c>
      <c r="B454"/>
      <c r="C454"/>
      <c r="D454"/>
      <c r="E454" s="1"/>
    </row>
    <row r="455" spans="1:5" x14ac:dyDescent="0.25">
      <c r="A455" s="7">
        <v>1135.5630806441197</v>
      </c>
      <c r="B455"/>
      <c r="C455"/>
      <c r="D455"/>
      <c r="E455" s="1"/>
    </row>
    <row r="456" spans="1:5" x14ac:dyDescent="0.25">
      <c r="A456" s="7">
        <v>1124.3198818258611</v>
      </c>
      <c r="B456"/>
      <c r="C456"/>
      <c r="D456"/>
      <c r="E456" s="1"/>
    </row>
    <row r="457" spans="1:5" x14ac:dyDescent="0.25">
      <c r="A457" s="7">
        <v>1113.1880018077832</v>
      </c>
      <c r="B457"/>
      <c r="C457"/>
      <c r="D457"/>
      <c r="E457" s="1"/>
    </row>
    <row r="458" spans="1:5" x14ac:dyDescent="0.25">
      <c r="A458" s="7">
        <v>1102.1663384235476</v>
      </c>
      <c r="B458"/>
      <c r="C458"/>
      <c r="D458"/>
      <c r="E458" s="1"/>
    </row>
    <row r="459" spans="1:5" x14ac:dyDescent="0.25">
      <c r="A459" s="7">
        <v>1091.2538004193541</v>
      </c>
      <c r="B459"/>
      <c r="C459"/>
      <c r="D459"/>
      <c r="E459" s="1"/>
    </row>
    <row r="460" spans="1:5" x14ac:dyDescent="0.25">
      <c r="A460" s="7">
        <v>1080.449307345895</v>
      </c>
      <c r="B460"/>
      <c r="C460"/>
      <c r="D460"/>
      <c r="E460" s="1"/>
    </row>
    <row r="461" spans="1:5" x14ac:dyDescent="0.25">
      <c r="A461" s="7">
        <v>1069.7517894513812</v>
      </c>
      <c r="B461"/>
      <c r="C461"/>
      <c r="D461"/>
      <c r="E461" s="1"/>
    </row>
    <row r="462" spans="1:5" x14ac:dyDescent="0.25">
      <c r="A462" s="7">
        <v>1059.1601875756251</v>
      </c>
      <c r="B462"/>
      <c r="C462"/>
      <c r="D462"/>
      <c r="E462" s="1"/>
    </row>
    <row r="463" spans="1:5" x14ac:dyDescent="0.25">
      <c r="A463" s="7">
        <v>1048.6734530451733</v>
      </c>
      <c r="B463"/>
      <c r="C463"/>
      <c r="D463"/>
      <c r="E463" s="1"/>
    </row>
    <row r="464" spans="1:5" x14ac:dyDescent="0.25">
      <c r="A464" s="7">
        <v>1038.2905475694786</v>
      </c>
      <c r="B464"/>
      <c r="C464"/>
      <c r="D464"/>
      <c r="E464" s="1"/>
    </row>
    <row r="465" spans="1:5" x14ac:dyDescent="0.25">
      <c r="A465" s="7">
        <v>1028.0104431380976</v>
      </c>
      <c r="B465"/>
      <c r="C465"/>
      <c r="D465"/>
      <c r="E465" s="1"/>
    </row>
    <row r="466" spans="1:5" x14ac:dyDescent="0.25">
      <c r="A466" s="7">
        <v>1017.8321219189085</v>
      </c>
      <c r="B466"/>
      <c r="C466"/>
      <c r="D466"/>
      <c r="E466" s="1"/>
    </row>
    <row r="467" spans="1:5" x14ac:dyDescent="0.25">
      <c r="A467" s="7">
        <v>1007.7545761573351</v>
      </c>
      <c r="B467"/>
      <c r="C467"/>
      <c r="D467"/>
      <c r="E467" s="1"/>
    </row>
    <row r="468" spans="1:5" x14ac:dyDescent="0.25">
      <c r="A468" s="7">
        <v>997.77680807656941</v>
      </c>
      <c r="B468"/>
      <c r="C468"/>
      <c r="D468"/>
      <c r="E468" s="1"/>
    </row>
    <row r="469" spans="1:5" x14ac:dyDescent="0.25">
      <c r="A469" s="7">
        <v>987.89782977878156</v>
      </c>
      <c r="B469"/>
      <c r="C469"/>
      <c r="D469"/>
      <c r="E469" s="1"/>
    </row>
    <row r="470" spans="1:5" x14ac:dyDescent="0.25">
      <c r="A470" s="7">
        <v>978.11666314730849</v>
      </c>
      <c r="B470"/>
      <c r="C470"/>
      <c r="D470"/>
      <c r="E470" s="1"/>
    </row>
    <row r="471" spans="1:5" x14ac:dyDescent="0.25">
      <c r="A471" s="7">
        <v>968.43233974981035</v>
      </c>
      <c r="B471"/>
      <c r="C471"/>
      <c r="D471"/>
      <c r="E471" s="1"/>
    </row>
    <row r="472" spans="1:5" x14ac:dyDescent="0.25">
      <c r="A472" s="7">
        <v>958.8439007423865</v>
      </c>
      <c r="B472"/>
      <c r="C472"/>
      <c r="D472"/>
      <c r="E472" s="1"/>
    </row>
    <row r="473" spans="1:5" x14ac:dyDescent="0.25">
      <c r="A473" s="7">
        <v>949.3503967746401</v>
      </c>
      <c r="B473"/>
      <c r="C473"/>
      <c r="D473"/>
      <c r="E473" s="1"/>
    </row>
    <row r="474" spans="1:5" x14ac:dyDescent="0.25">
      <c r="A474" s="7">
        <v>939.95088789568331</v>
      </c>
      <c r="B474"/>
      <c r="C474"/>
      <c r="D474"/>
      <c r="E474" s="1"/>
    </row>
    <row r="475" spans="1:5" x14ac:dyDescent="0.25">
      <c r="A475" s="7">
        <v>930.64444346107257</v>
      </c>
      <c r="B475"/>
      <c r="C475"/>
      <c r="D475"/>
      <c r="E475" s="1"/>
    </row>
    <row r="476" spans="1:5" x14ac:dyDescent="0.25">
      <c r="A476" s="7">
        <v>921.43014204066594</v>
      </c>
      <c r="B476"/>
      <c r="C476"/>
      <c r="D476"/>
      <c r="E476" s="1"/>
    </row>
    <row r="477" spans="1:5" x14ac:dyDescent="0.25">
      <c r="A477" s="7">
        <v>912.30707132739201</v>
      </c>
      <c r="B477"/>
      <c r="C477"/>
      <c r="D477"/>
      <c r="E477" s="1"/>
    </row>
    <row r="478" spans="1:5" x14ac:dyDescent="0.25">
      <c r="A478" s="7">
        <v>903.27432804692273</v>
      </c>
      <c r="B478"/>
      <c r="C478"/>
      <c r="D478"/>
      <c r="E478" s="1"/>
    </row>
    <row r="479" spans="1:5" x14ac:dyDescent="0.25">
      <c r="A479" s="7">
        <v>894.33101786824034</v>
      </c>
      <c r="B479"/>
      <c r="C479"/>
      <c r="D479"/>
      <c r="E479" s="1"/>
    </row>
    <row r="480" spans="1:5" x14ac:dyDescent="0.25">
      <c r="A480" s="7">
        <v>885.47625531508947</v>
      </c>
      <c r="B480"/>
      <c r="C480"/>
      <c r="D480"/>
      <c r="E480" s="1"/>
    </row>
    <row r="481" spans="1:5" x14ac:dyDescent="0.25">
      <c r="A481" s="7">
        <v>876.70916367830637</v>
      </c>
      <c r="B481"/>
      <c r="C481"/>
      <c r="D481"/>
      <c r="E481" s="1"/>
    </row>
    <row r="482" spans="1:5" x14ac:dyDescent="0.25">
      <c r="A482" s="7">
        <v>868.02887492901618</v>
      </c>
      <c r="B482"/>
      <c r="C482"/>
      <c r="D482"/>
      <c r="E482" s="1"/>
    </row>
    <row r="483" spans="1:5" x14ac:dyDescent="0.25">
      <c r="A483" s="7">
        <v>859.4345296326893</v>
      </c>
      <c r="B483"/>
      <c r="C483"/>
      <c r="D483"/>
      <c r="E483" s="1"/>
    </row>
    <row r="484" spans="1:5" x14ac:dyDescent="0.25">
      <c r="A484" s="7">
        <v>850.92527686404878</v>
      </c>
      <c r="B484"/>
      <c r="C484"/>
      <c r="D484"/>
      <c r="E484" s="1"/>
    </row>
    <row r="485" spans="1:5" x14ac:dyDescent="0.25">
      <c r="A485" s="7">
        <v>842.50027412282054</v>
      </c>
      <c r="B485"/>
      <c r="C485"/>
      <c r="D485"/>
      <c r="E485" s="1"/>
    </row>
    <row r="486" spans="1:5" x14ac:dyDescent="0.25">
      <c r="A486" s="7">
        <v>834.15868725031737</v>
      </c>
      <c r="B486"/>
      <c r="C486"/>
      <c r="D486"/>
      <c r="E486" s="1"/>
    </row>
    <row r="487" spans="1:5" x14ac:dyDescent="0.25">
      <c r="A487" s="7">
        <v>825.89969034684884</v>
      </c>
      <c r="B487"/>
      <c r="C487"/>
      <c r="D487"/>
      <c r="E487" s="1"/>
    </row>
    <row r="488" spans="1:5" x14ac:dyDescent="0.25">
      <c r="A488" s="7">
        <v>817.72246568994933</v>
      </c>
      <c r="B488"/>
      <c r="C488"/>
      <c r="D488"/>
      <c r="E488" s="1"/>
    </row>
    <row r="489" spans="1:5" x14ac:dyDescent="0.25">
      <c r="A489" s="7">
        <v>809.62620365341513</v>
      </c>
      <c r="B489"/>
      <c r="C489"/>
      <c r="D489"/>
      <c r="E489" s="1"/>
    </row>
    <row r="490" spans="1:5" x14ac:dyDescent="0.25">
      <c r="A490" s="7">
        <v>801.61010262714365</v>
      </c>
      <c r="B490"/>
      <c r="C490"/>
      <c r="D490"/>
      <c r="E490" s="1"/>
    </row>
    <row r="491" spans="1:5" x14ac:dyDescent="0.25">
      <c r="A491" s="7">
        <v>793.67336893776599</v>
      </c>
      <c r="B491"/>
      <c r="C491"/>
      <c r="D491"/>
      <c r="E491" s="1"/>
    </row>
    <row r="492" spans="1:5" x14ac:dyDescent="0.25">
      <c r="A492" s="7">
        <v>785.81521677006538</v>
      </c>
      <c r="B492"/>
      <c r="C492"/>
      <c r="D492"/>
      <c r="E492" s="1"/>
    </row>
    <row r="493" spans="1:5" x14ac:dyDescent="0.25">
      <c r="A493" s="7">
        <v>778.03486808917364</v>
      </c>
      <c r="B493"/>
      <c r="C493"/>
      <c r="D493"/>
      <c r="E493" s="1"/>
    </row>
    <row r="494" spans="1:5" x14ac:dyDescent="0.25">
      <c r="A494" s="7">
        <v>770.33155256353825</v>
      </c>
      <c r="B494"/>
      <c r="C494"/>
      <c r="D494"/>
      <c r="E494" s="1"/>
    </row>
    <row r="495" spans="1:5" x14ac:dyDescent="0.25">
      <c r="A495" s="7">
        <v>762.70450748865176</v>
      </c>
      <c r="B495"/>
      <c r="C495"/>
      <c r="D495"/>
      <c r="E495" s="1"/>
    </row>
    <row r="496" spans="1:5" x14ac:dyDescent="0.25">
      <c r="A496" s="7">
        <v>755.15297771153644</v>
      </c>
      <c r="B496"/>
      <c r="C496"/>
      <c r="D496"/>
      <c r="E496" s="1"/>
    </row>
    <row r="497" spans="1:5" x14ac:dyDescent="0.25">
      <c r="A497" s="7">
        <v>747.67621555597668</v>
      </c>
      <c r="B497"/>
      <c r="C497"/>
      <c r="D497"/>
      <c r="E497" s="1"/>
    </row>
    <row r="498" spans="1:5" x14ac:dyDescent="0.25">
      <c r="A498" s="7">
        <v>740.27348074849181</v>
      </c>
      <c r="B498"/>
      <c r="C498"/>
      <c r="D498"/>
      <c r="E498" s="1"/>
    </row>
    <row r="499" spans="1:5" x14ac:dyDescent="0.25">
      <c r="A499" s="7">
        <v>732.94404034504134</v>
      </c>
      <c r="B499"/>
      <c r="C499"/>
      <c r="D499"/>
      <c r="E499" s="1"/>
    </row>
    <row r="500" spans="1:5" x14ac:dyDescent="0.25">
      <c r="A500" s="7">
        <v>725.68716865845681</v>
      </c>
      <c r="B500"/>
      <c r="C500"/>
      <c r="D500"/>
      <c r="E500" s="1"/>
    </row>
    <row r="501" spans="1:5" x14ac:dyDescent="0.25">
      <c r="A501" s="7">
        <v>718.50214718659095</v>
      </c>
      <c r="B501"/>
      <c r="C501"/>
      <c r="D501"/>
      <c r="E501" s="1"/>
    </row>
    <row r="502" spans="1:5" x14ac:dyDescent="0.25">
      <c r="A502" s="7">
        <v>711.38826454117918</v>
      </c>
      <c r="B502"/>
      <c r="C502"/>
      <c r="D502"/>
      <c r="E502" s="1"/>
    </row>
    <row r="503" spans="1:5" x14ac:dyDescent="0.25">
      <c r="A503" s="7">
        <v>704.3448163774051</v>
      </c>
      <c r="B503"/>
      <c r="C503"/>
      <c r="D503"/>
      <c r="E503" s="1"/>
    </row>
    <row r="504" spans="1:5" x14ac:dyDescent="0.25">
      <c r="A504" s="7">
        <v>697.37110532416341</v>
      </c>
      <c r="B504"/>
      <c r="C504"/>
      <c r="D504"/>
      <c r="E504" s="1"/>
    </row>
    <row r="505" spans="1:5" x14ac:dyDescent="0.25">
      <c r="A505" s="7">
        <v>690.46644091501332</v>
      </c>
      <c r="B505"/>
      <c r="C505"/>
      <c r="D505"/>
      <c r="E505" s="1"/>
    </row>
    <row r="506" spans="1:5" x14ac:dyDescent="0.25">
      <c r="A506" s="7">
        <v>683.6301395198152</v>
      </c>
      <c r="B506"/>
      <c r="C506"/>
      <c r="D506"/>
      <c r="E506" s="1"/>
    </row>
    <row r="507" spans="1:5" x14ac:dyDescent="0.25">
      <c r="A507" s="7">
        <v>676.86152427704474</v>
      </c>
      <c r="B507"/>
      <c r="C507"/>
      <c r="D507"/>
      <c r="E507" s="1"/>
    </row>
    <row r="508" spans="1:5" x14ac:dyDescent="0.25">
      <c r="A508" s="7">
        <v>670.15992502677693</v>
      </c>
      <c r="B508"/>
      <c r="C508"/>
      <c r="D508"/>
      <c r="E508" s="1"/>
    </row>
    <row r="509" spans="1:5" x14ac:dyDescent="0.25">
      <c r="A509" s="7">
        <v>663.52467824433359</v>
      </c>
      <c r="B509"/>
      <c r="C509"/>
      <c r="D509"/>
      <c r="E509" s="1"/>
    </row>
    <row r="510" spans="1:5" x14ac:dyDescent="0.25">
      <c r="A510" s="7">
        <v>656.95512697458776</v>
      </c>
      <c r="B510"/>
      <c r="C510"/>
      <c r="D510"/>
      <c r="E510" s="1"/>
    </row>
    <row r="511" spans="1:5" x14ac:dyDescent="0.25">
      <c r="A511" s="7">
        <v>650.45062076691852</v>
      </c>
      <c r="B511"/>
      <c r="C511"/>
      <c r="D511"/>
      <c r="E511" s="1"/>
    </row>
    <row r="512" spans="1:5" x14ac:dyDescent="0.25">
      <c r="A512" s="7">
        <v>644.01051561081044</v>
      </c>
      <c r="B512"/>
      <c r="C512"/>
      <c r="D512"/>
      <c r="E512" s="1"/>
    </row>
    <row r="513" spans="1:5" x14ac:dyDescent="0.25">
      <c r="A513" s="7">
        <v>637.63417387208949</v>
      </c>
      <c r="B513"/>
      <c r="C513"/>
      <c r="D513"/>
      <c r="E513" s="1"/>
    </row>
    <row r="514" spans="1:5" x14ac:dyDescent="0.25">
      <c r="A514" s="7">
        <v>631.32096422979157</v>
      </c>
      <c r="B514"/>
      <c r="C514"/>
      <c r="D514"/>
      <c r="E514" s="1"/>
    </row>
    <row r="515" spans="1:5" x14ac:dyDescent="0.25">
      <c r="A515" s="7">
        <v>625.07026161365502</v>
      </c>
      <c r="B515"/>
      <c r="C515"/>
      <c r="D515"/>
      <c r="E515" s="1"/>
    </row>
    <row r="516" spans="1:5" x14ac:dyDescent="0.25">
      <c r="A516" s="7">
        <v>618.88144714223267</v>
      </c>
      <c r="B516"/>
      <c r="C516"/>
      <c r="D516"/>
      <c r="E516" s="1"/>
    </row>
    <row r="517" spans="1:5" x14ac:dyDescent="0.25">
      <c r="A517" s="7">
        <v>612.75390806161647</v>
      </c>
      <c r="B517"/>
      <c r="C517"/>
      <c r="D517"/>
      <c r="E517" s="1"/>
    </row>
    <row r="518" spans="1:5" x14ac:dyDescent="0.25">
      <c r="A518" s="7">
        <v>606.68703768476882</v>
      </c>
      <c r="B518"/>
      <c r="C518"/>
      <c r="D518"/>
      <c r="E518" s="1"/>
    </row>
    <row r="519" spans="1:5" x14ac:dyDescent="0.25">
      <c r="A519" s="7">
        <v>600.68023533145424</v>
      </c>
      <c r="B519"/>
      <c r="C519"/>
      <c r="D519"/>
      <c r="E519" s="1"/>
    </row>
    <row r="520" spans="1:5" x14ac:dyDescent="0.25">
      <c r="A520" s="7">
        <v>594.73290626876656</v>
      </c>
      <c r="B520"/>
      <c r="C520"/>
      <c r="D520"/>
      <c r="E520" s="1"/>
    </row>
    <row r="521" spans="1:5" x14ac:dyDescent="0.25">
      <c r="A521" s="7">
        <v>588.84446165224415</v>
      </c>
      <c r="B521"/>
      <c r="C521"/>
      <c r="D521"/>
      <c r="E521" s="1"/>
    </row>
    <row r="522" spans="1:5" x14ac:dyDescent="0.25">
      <c r="A522" s="7">
        <v>583.0143184675685</v>
      </c>
      <c r="B522"/>
      <c r="C522"/>
      <c r="D522"/>
      <c r="E522" s="1"/>
    </row>
    <row r="523" spans="1:5" x14ac:dyDescent="0.25">
      <c r="A523" s="7">
        <v>577.24189947284015</v>
      </c>
      <c r="B523"/>
      <c r="C523"/>
      <c r="D523"/>
      <c r="E523" s="1"/>
    </row>
    <row r="524" spans="1:5" x14ac:dyDescent="0.25">
      <c r="A524" s="7">
        <v>571.52663314142592</v>
      </c>
      <c r="B524"/>
      <c r="C524"/>
      <c r="D524"/>
      <c r="E524" s="1"/>
    </row>
    <row r="525" spans="1:5" x14ac:dyDescent="0.25">
      <c r="A525" s="7">
        <v>565.86795360537224</v>
      </c>
      <c r="B525"/>
      <c r="C525"/>
      <c r="D525"/>
      <c r="E525" s="1"/>
    </row>
    <row r="526" spans="1:5" x14ac:dyDescent="0.25">
      <c r="A526" s="7">
        <v>560.26530059937841</v>
      </c>
      <c r="B526"/>
      <c r="C526"/>
      <c r="D526"/>
      <c r="E526" s="1"/>
    </row>
    <row r="527" spans="1:5" x14ac:dyDescent="0.25">
      <c r="A527" s="7">
        <v>554.71811940532518</v>
      </c>
      <c r="B527"/>
      <c r="C527"/>
      <c r="D527"/>
      <c r="E527" s="1"/>
    </row>
    <row r="528" spans="1:5" x14ac:dyDescent="0.25">
      <c r="A528" s="7">
        <v>549.22586079735163</v>
      </c>
      <c r="B528"/>
      <c r="C528"/>
      <c r="D528"/>
      <c r="E528" s="1"/>
    </row>
    <row r="529" spans="1:5" x14ac:dyDescent="0.25">
      <c r="A529" s="7">
        <v>543.78798098747689</v>
      </c>
      <c r="B529"/>
      <c r="C529"/>
      <c r="D529"/>
      <c r="E529" s="1"/>
    </row>
    <row r="530" spans="1:5" x14ac:dyDescent="0.25">
      <c r="A530" s="7">
        <v>538.40394157175933</v>
      </c>
      <c r="B530"/>
      <c r="C530"/>
      <c r="D530"/>
      <c r="E530" s="1"/>
    </row>
    <row r="531" spans="1:5" x14ac:dyDescent="0.25">
      <c r="A531" s="7">
        <v>533.0732094769894</v>
      </c>
      <c r="B531"/>
      <c r="C531"/>
      <c r="D531"/>
      <c r="E531" s="1"/>
    </row>
    <row r="532" spans="1:5" x14ac:dyDescent="0.25">
      <c r="A532" s="7">
        <v>527.79525690791024</v>
      </c>
      <c r="B532"/>
      <c r="C532"/>
      <c r="D532"/>
      <c r="E532" s="1"/>
    </row>
    <row r="533" spans="1:5" x14ac:dyDescent="0.25">
      <c r="A533" s="7">
        <v>522.56956129496064</v>
      </c>
      <c r="B533"/>
      <c r="C533"/>
      <c r="D533"/>
      <c r="E533" s="1"/>
    </row>
    <row r="534" spans="1:5" x14ac:dyDescent="0.25">
      <c r="A534" s="7">
        <v>517.39560524253523</v>
      </c>
      <c r="B534"/>
      <c r="C534"/>
      <c r="D534"/>
      <c r="E534" s="1"/>
    </row>
    <row r="535" spans="1:5" x14ac:dyDescent="0.25">
      <c r="A535" s="7">
        <v>512.27287647775768</v>
      </c>
      <c r="B535"/>
      <c r="C535"/>
      <c r="D535"/>
      <c r="E535" s="1"/>
    </row>
    <row r="536" spans="1:5" x14ac:dyDescent="0.25">
      <c r="A536" s="7">
        <v>507.20086779976003</v>
      </c>
      <c r="B536"/>
      <c r="C536"/>
      <c r="D536"/>
      <c r="E536" s="1"/>
    </row>
    <row r="537" spans="1:5" x14ac:dyDescent="0.25">
      <c r="A537" s="7">
        <v>502.17907702946536</v>
      </c>
      <c r="B537"/>
      <c r="C537"/>
      <c r="D537"/>
      <c r="E537" s="1"/>
    </row>
    <row r="538" spans="1:5" x14ac:dyDescent="0.25">
      <c r="A538" s="7">
        <v>497.2070069598667</v>
      </c>
      <c r="B538"/>
      <c r="C538"/>
      <c r="D538"/>
      <c r="E538" s="1"/>
    </row>
    <row r="539" spans="1:5" x14ac:dyDescent="0.25">
      <c r="A539" s="7">
        <v>492.28416530679868</v>
      </c>
      <c r="B539"/>
      <c r="C539"/>
      <c r="D539"/>
      <c r="E539" s="1"/>
    </row>
    <row r="540" spans="1:5" x14ac:dyDescent="0.25">
      <c r="A540" s="7">
        <v>487.41006466019672</v>
      </c>
      <c r="B540"/>
      <c r="C540"/>
      <c r="D540"/>
      <c r="E540" s="1"/>
    </row>
    <row r="541" spans="1:5" x14ac:dyDescent="0.25">
      <c r="A541" s="7">
        <v>482.58422243583834</v>
      </c>
      <c r="B541"/>
      <c r="C541"/>
      <c r="D541"/>
      <c r="E541" s="1"/>
    </row>
    <row r="542" spans="1:5" x14ac:dyDescent="0.25">
      <c r="A542" s="7">
        <v>477.80616082756273</v>
      </c>
      <c r="B542"/>
      <c r="C542"/>
      <c r="D542"/>
      <c r="E542" s="1"/>
    </row>
    <row r="543" spans="1:5" x14ac:dyDescent="0.25">
      <c r="A543" s="7">
        <v>473.07540675996307</v>
      </c>
      <c r="B543"/>
      <c r="C543"/>
      <c r="D543"/>
      <c r="E543" s="1"/>
    </row>
    <row r="544" spans="1:5" x14ac:dyDescent="0.25">
      <c r="A544" s="7">
        <v>468.39149184154758</v>
      </c>
      <c r="B544"/>
      <c r="C544"/>
      <c r="D544"/>
      <c r="E544" s="1"/>
    </row>
    <row r="545" spans="1:5" x14ac:dyDescent="0.25">
      <c r="A545" s="7">
        <v>463.75395231836393</v>
      </c>
      <c r="B545"/>
      <c r="C545"/>
      <c r="D545"/>
      <c r="E545" s="1"/>
    </row>
    <row r="546" spans="1:5" x14ac:dyDescent="0.25">
      <c r="A546" s="7">
        <v>459.16232902808309</v>
      </c>
      <c r="B546"/>
      <c r="C546"/>
      <c r="D546"/>
      <c r="E546" s="1"/>
    </row>
    <row r="547" spans="1:5" x14ac:dyDescent="0.25">
      <c r="A547" s="7">
        <v>454.61616735453771</v>
      </c>
      <c r="B547"/>
      <c r="C547"/>
      <c r="D547"/>
      <c r="E547" s="1"/>
    </row>
    <row r="548" spans="1:5" x14ac:dyDescent="0.25">
      <c r="A548" s="7">
        <v>450.11501718271057</v>
      </c>
      <c r="B548"/>
      <c r="C548"/>
      <c r="D548"/>
      <c r="E548" s="1"/>
    </row>
    <row r="549" spans="1:5" x14ac:dyDescent="0.25">
      <c r="A549" s="7">
        <v>445.65843285416889</v>
      </c>
      <c r="B549"/>
      <c r="C549"/>
      <c r="D549"/>
      <c r="E549" s="1"/>
    </row>
    <row r="550" spans="1:5" x14ac:dyDescent="0.25">
      <c r="A550" s="7">
        <v>441.24597312293952</v>
      </c>
      <c r="B550"/>
      <c r="C550"/>
      <c r="D550"/>
      <c r="E550" s="1"/>
    </row>
    <row r="551" spans="1:5" x14ac:dyDescent="0.25">
      <c r="A551" s="7">
        <v>436.87720111182131</v>
      </c>
      <c r="B551"/>
      <c r="C551"/>
      <c r="D551"/>
      <c r="E551" s="1"/>
    </row>
    <row r="552" spans="1:5" x14ac:dyDescent="0.25">
      <c r="A552" s="7">
        <v>432.55168426913002</v>
      </c>
      <c r="B552"/>
      <c r="C552"/>
      <c r="D552"/>
      <c r="E552" s="1"/>
    </row>
    <row r="553" spans="1:5" x14ac:dyDescent="0.25">
      <c r="A553" s="7">
        <v>428.26899432587129</v>
      </c>
      <c r="B553"/>
      <c r="C553"/>
      <c r="D553"/>
      <c r="E553" s="1"/>
    </row>
    <row r="554" spans="1:5" x14ac:dyDescent="0.25">
      <c r="A554" s="7">
        <v>424.02870725333793</v>
      </c>
      <c r="B554"/>
      <c r="C554"/>
      <c r="D554"/>
      <c r="E554" s="1"/>
    </row>
    <row r="555" spans="1:5" x14ac:dyDescent="0.25">
      <c r="A555" s="7">
        <v>419.83040322112663</v>
      </c>
      <c r="B555"/>
      <c r="C555"/>
      <c r="D555"/>
      <c r="E555" s="1"/>
    </row>
    <row r="556" spans="1:5" x14ac:dyDescent="0.25">
      <c r="A556" s="7">
        <v>415.67366655557089</v>
      </c>
      <c r="B556"/>
      <c r="C556"/>
      <c r="D556"/>
      <c r="E556" s="1"/>
    </row>
    <row r="557" spans="1:5" x14ac:dyDescent="0.25">
      <c r="A557" s="7">
        <v>411.55808569858505</v>
      </c>
      <c r="B557"/>
      <c r="C557"/>
      <c r="D557"/>
      <c r="E557" s="1"/>
    </row>
    <row r="558" spans="1:5" x14ac:dyDescent="0.25">
      <c r="A558" s="7">
        <v>407.48325316691586</v>
      </c>
      <c r="B558"/>
      <c r="C558"/>
      <c r="D558"/>
      <c r="E558" s="1"/>
    </row>
    <row r="559" spans="1:5" x14ac:dyDescent="0.25">
      <c r="A559" s="7">
        <v>403.44876551179789</v>
      </c>
      <c r="B559"/>
      <c r="C559"/>
      <c r="D559"/>
      <c r="E559" s="1"/>
    </row>
    <row r="560" spans="1:5" x14ac:dyDescent="0.25">
      <c r="A560" s="7">
        <v>399.45422327900781</v>
      </c>
      <c r="B560"/>
      <c r="C560"/>
      <c r="D560"/>
      <c r="E560" s="1"/>
    </row>
    <row r="561" spans="1:5" x14ac:dyDescent="0.25">
      <c r="A561" s="7">
        <v>395.49923096931468</v>
      </c>
      <c r="B561"/>
      <c r="C561"/>
      <c r="D561"/>
      <c r="E561" s="1"/>
    </row>
    <row r="562" spans="1:5" x14ac:dyDescent="0.25">
      <c r="A562" s="7">
        <v>391.58339699932145</v>
      </c>
      <c r="B562"/>
      <c r="C562"/>
      <c r="D562"/>
      <c r="E562" s="1"/>
    </row>
    <row r="563" spans="1:5" x14ac:dyDescent="0.25">
      <c r="A563" s="7">
        <v>387.70633366269448</v>
      </c>
      <c r="B563"/>
      <c r="C563"/>
      <c r="D563"/>
      <c r="E563" s="1"/>
    </row>
    <row r="564" spans="1:5" x14ac:dyDescent="0.25">
      <c r="A564" s="7">
        <v>383.86765709177672</v>
      </c>
      <c r="B564"/>
      <c r="C564"/>
      <c r="D564"/>
      <c r="E564" s="1"/>
    </row>
    <row r="565" spans="1:5" x14ac:dyDescent="0.25">
      <c r="A565" s="7">
        <v>380.06698721958088</v>
      </c>
      <c r="B565"/>
      <c r="C565"/>
      <c r="D565"/>
      <c r="E565" s="1"/>
    </row>
    <row r="566" spans="1:5" x14ac:dyDescent="0.25">
      <c r="A566" s="7">
        <v>376.30394774215927</v>
      </c>
      <c r="B566"/>
      <c r="C566"/>
      <c r="D566"/>
      <c r="E566" s="1"/>
    </row>
    <row r="567" spans="1:5" x14ac:dyDescent="0.25">
      <c r="A567" s="7">
        <v>372.57816608134578</v>
      </c>
      <c r="B567"/>
      <c r="C567"/>
      <c r="D567"/>
      <c r="E567" s="1"/>
    </row>
    <row r="568" spans="1:5" x14ac:dyDescent="0.25">
      <c r="A568" s="7">
        <v>368.88927334786712</v>
      </c>
      <c r="B568"/>
      <c r="C568"/>
      <c r="D568"/>
      <c r="E568" s="1"/>
    </row>
    <row r="569" spans="1:5" x14ac:dyDescent="0.25">
      <c r="A569" s="7">
        <v>365.23690430481895</v>
      </c>
      <c r="B569"/>
      <c r="C569"/>
      <c r="D569"/>
      <c r="E569" s="1"/>
    </row>
    <row r="570" spans="1:5" x14ac:dyDescent="0.25">
      <c r="A570" s="7">
        <v>361.62069733150389</v>
      </c>
      <c r="B570"/>
      <c r="C570"/>
      <c r="D570"/>
      <c r="E570" s="1"/>
    </row>
    <row r="571" spans="1:5" x14ac:dyDescent="0.25">
      <c r="A571" s="7">
        <v>358.04029438762763</v>
      </c>
      <c r="B571"/>
      <c r="C571"/>
      <c r="D571"/>
      <c r="E571" s="1"/>
    </row>
    <row r="572" spans="1:5" x14ac:dyDescent="0.25">
      <c r="A572" s="7">
        <v>354.49534097784914</v>
      </c>
      <c r="B572"/>
      <c r="C572"/>
      <c r="D572"/>
      <c r="E572" s="1"/>
    </row>
    <row r="573" spans="1:5" x14ac:dyDescent="0.25">
      <c r="A573" s="7">
        <v>350.9854861166823</v>
      </c>
      <c r="B573"/>
      <c r="C573"/>
      <c r="D573"/>
      <c r="E573" s="1"/>
    </row>
    <row r="574" spans="1:5" x14ac:dyDescent="0.25">
      <c r="A574" s="7">
        <v>347.51038229374484</v>
      </c>
      <c r="B574"/>
      <c r="C574"/>
      <c r="D574"/>
      <c r="E574" s="1"/>
    </row>
    <row r="575" spans="1:5" x14ac:dyDescent="0.25">
      <c r="A575" s="7">
        <v>344.0696854393513</v>
      </c>
      <c r="B575"/>
      <c r="C575"/>
      <c r="D575"/>
      <c r="E575" s="1"/>
    </row>
    <row r="576" spans="1:5" x14ac:dyDescent="0.25">
      <c r="A576" s="7">
        <v>340.66305489044686</v>
      </c>
      <c r="B576"/>
      <c r="C576"/>
      <c r="D576"/>
      <c r="E576" s="1"/>
    </row>
    <row r="577" spans="1:5" x14ac:dyDescent="0.25">
      <c r="A577" s="7">
        <v>337.29015335687808</v>
      </c>
      <c r="B577"/>
      <c r="C577"/>
      <c r="D577"/>
      <c r="E577" s="1"/>
    </row>
    <row r="578" spans="1:5" x14ac:dyDescent="0.25">
      <c r="A578" s="7">
        <v>333.95064688799812</v>
      </c>
      <c r="B578"/>
      <c r="C578"/>
      <c r="D578"/>
      <c r="E578" s="1"/>
    </row>
    <row r="579" spans="1:5" x14ac:dyDescent="0.25">
      <c r="A579" s="7">
        <v>330.64420483960208</v>
      </c>
      <c r="B579"/>
      <c r="C579"/>
      <c r="D579"/>
      <c r="E579" s="1"/>
    </row>
    <row r="580" spans="1:5" x14ac:dyDescent="0.25">
      <c r="A580" s="7">
        <v>327.37049984119017</v>
      </c>
      <c r="B580"/>
      <c r="C580"/>
      <c r="D580"/>
      <c r="E580" s="1"/>
    </row>
    <row r="581" spans="1:5" x14ac:dyDescent="0.25">
      <c r="A581" s="7">
        <v>324.12920776355463</v>
      </c>
      <c r="B581"/>
      <c r="C581"/>
      <c r="D581"/>
      <c r="E581" s="1"/>
    </row>
    <row r="582" spans="1:5" x14ac:dyDescent="0.25">
      <c r="A582" s="7">
        <v>320.92000768668777</v>
      </c>
      <c r="B582"/>
      <c r="C582"/>
      <c r="D582"/>
      <c r="E582" s="1"/>
    </row>
    <row r="583" spans="1:5" x14ac:dyDescent="0.25">
      <c r="A583" s="7">
        <v>317.74258186800768</v>
      </c>
      <c r="B583"/>
      <c r="C583"/>
      <c r="D583"/>
      <c r="E583" s="1"/>
    </row>
    <row r="584" spans="1:5" x14ac:dyDescent="0.25">
      <c r="A584" s="7">
        <v>314.59661571089867</v>
      </c>
      <c r="B584"/>
      <c r="C584"/>
      <c r="D584"/>
      <c r="E584" s="1"/>
    </row>
    <row r="585" spans="1:5" x14ac:dyDescent="0.25">
      <c r="A585" s="7">
        <v>311.48179773356304</v>
      </c>
      <c r="B585"/>
      <c r="C585"/>
      <c r="D585"/>
      <c r="E585" s="1"/>
    </row>
    <row r="586" spans="1:5" x14ac:dyDescent="0.25">
      <c r="A586" s="7">
        <v>308.39781953818124</v>
      </c>
      <c r="B586"/>
      <c r="C586"/>
      <c r="D586"/>
      <c r="E586" s="1"/>
    </row>
    <row r="587" spans="1:5" x14ac:dyDescent="0.25">
      <c r="A587" s="7">
        <v>305.34437578037745</v>
      </c>
      <c r="B587"/>
      <c r="C587"/>
      <c r="D587"/>
      <c r="E587" s="1"/>
    </row>
    <row r="588" spans="1:5" x14ac:dyDescent="0.25">
      <c r="A588" s="7">
        <v>302.32116413898757</v>
      </c>
      <c r="B588"/>
      <c r="C588"/>
      <c r="D588"/>
      <c r="E588" s="1"/>
    </row>
    <row r="589" spans="1:5" x14ac:dyDescent="0.25">
      <c r="A589" s="7">
        <v>299.32788528612633</v>
      </c>
      <c r="B589"/>
      <c r="C589"/>
      <c r="D589"/>
      <c r="E589" s="1"/>
    </row>
    <row r="590" spans="1:5" x14ac:dyDescent="0.25">
      <c r="A590" s="7">
        <v>296.36424285755083</v>
      </c>
      <c r="B590"/>
      <c r="C590"/>
      <c r="D590"/>
      <c r="E590" s="1"/>
    </row>
    <row r="591" spans="1:5" x14ac:dyDescent="0.25">
      <c r="A591" s="7">
        <v>293.42994342331764</v>
      </c>
      <c r="B591"/>
      <c r="C591"/>
      <c r="D591"/>
      <c r="E591" s="1"/>
    </row>
    <row r="592" spans="1:5" x14ac:dyDescent="0.25">
      <c r="A592" s="7">
        <v>290.52469645873032</v>
      </c>
      <c r="B592"/>
      <c r="C592"/>
      <c r="D592"/>
      <c r="E592" s="1"/>
    </row>
    <row r="593" spans="1:5" x14ac:dyDescent="0.25">
      <c r="A593" s="7">
        <v>287.64821431557459</v>
      </c>
      <c r="B593"/>
      <c r="C593"/>
      <c r="D593"/>
      <c r="E593" s="1"/>
    </row>
    <row r="594" spans="1:5" x14ac:dyDescent="0.25">
      <c r="A594" s="7">
        <v>284.80021219363823</v>
      </c>
      <c r="B594"/>
      <c r="C594"/>
      <c r="D594"/>
      <c r="E594" s="1"/>
    </row>
    <row r="595" spans="1:5" x14ac:dyDescent="0.25">
      <c r="A595" s="7">
        <v>281.98040811251309</v>
      </c>
      <c r="B595"/>
      <c r="C595"/>
      <c r="D595"/>
      <c r="E595" s="1"/>
    </row>
    <row r="596" spans="1:5" x14ac:dyDescent="0.25">
      <c r="A596" s="7">
        <v>279.18852288367634</v>
      </c>
      <c r="B596"/>
      <c r="C596"/>
      <c r="D596"/>
      <c r="E596" s="1"/>
    </row>
    <row r="597" spans="1:5" x14ac:dyDescent="0.25">
      <c r="A597" s="7">
        <v>276.42428008284787</v>
      </c>
      <c r="B597"/>
      <c r="C597"/>
      <c r="D597"/>
      <c r="E597" s="1"/>
    </row>
    <row r="598" spans="1:5" x14ac:dyDescent="0.25">
      <c r="A598" s="7">
        <v>273.68740602262164</v>
      </c>
      <c r="B598"/>
      <c r="C598"/>
      <c r="D598"/>
      <c r="E598" s="1"/>
    </row>
    <row r="599" spans="1:5" x14ac:dyDescent="0.25">
      <c r="A599" s="7">
        <v>270.97762972536799</v>
      </c>
      <c r="B599"/>
      <c r="C599"/>
      <c r="D599"/>
      <c r="E599" s="1"/>
    </row>
    <row r="600" spans="1:5" x14ac:dyDescent="0.25">
      <c r="A600" s="7">
        <v>268.29468289640397</v>
      </c>
      <c r="B600"/>
      <c r="C600"/>
      <c r="D600"/>
      <c r="E600" s="1"/>
    </row>
    <row r="601" spans="1:5" x14ac:dyDescent="0.25">
      <c r="A601" s="7">
        <v>265.63829989742965</v>
      </c>
      <c r="B601"/>
      <c r="C601"/>
      <c r="D601"/>
      <c r="E601" s="1"/>
    </row>
    <row r="602" spans="1:5" x14ac:dyDescent="0.25">
      <c r="A602" s="7">
        <v>263.00821772022738</v>
      </c>
      <c r="B602"/>
      <c r="C602"/>
      <c r="D602"/>
      <c r="E602" s="1"/>
    </row>
    <row r="603" spans="1:5" x14ac:dyDescent="0.25">
      <c r="A603" s="7">
        <v>260.40417596062116</v>
      </c>
      <c r="B603"/>
      <c r="C603"/>
      <c r="D603"/>
      <c r="E603" s="1"/>
    </row>
    <row r="604" spans="1:5" x14ac:dyDescent="0.25">
      <c r="A604" s="7">
        <v>257.82591679269422</v>
      </c>
      <c r="B604"/>
      <c r="C604"/>
      <c r="D604"/>
      <c r="E604" s="1"/>
    </row>
    <row r="605" spans="1:5" x14ac:dyDescent="0.25">
      <c r="A605" s="7">
        <v>255.27318494326161</v>
      </c>
      <c r="B605"/>
      <c r="C605"/>
      <c r="D605"/>
      <c r="E605" s="1"/>
    </row>
    <row r="606" spans="1:5" x14ac:dyDescent="0.25">
      <c r="A606" s="7">
        <v>252.74572766659566</v>
      </c>
      <c r="B606"/>
      <c r="C606"/>
      <c r="D606"/>
      <c r="E606" s="1"/>
    </row>
    <row r="607" spans="1:5" x14ac:dyDescent="0.25">
      <c r="A607" s="7">
        <v>250.24329471940163</v>
      </c>
      <c r="B607"/>
      <c r="C607"/>
      <c r="D607"/>
      <c r="E607" s="1"/>
    </row>
    <row r="608" spans="1:5" x14ac:dyDescent="0.25">
      <c r="A608" s="7">
        <v>247.76563833604121</v>
      </c>
      <c r="B608"/>
      <c r="C608"/>
      <c r="D608"/>
      <c r="E608" s="1"/>
    </row>
    <row r="609" spans="1:5" x14ac:dyDescent="0.25">
      <c r="A609" s="7">
        <v>245.31251320400119</v>
      </c>
      <c r="B609"/>
      <c r="C609"/>
      <c r="D609"/>
      <c r="E609" s="1"/>
    </row>
    <row r="610" spans="1:5" x14ac:dyDescent="0.25">
      <c r="A610" s="7">
        <v>242.88367643960513</v>
      </c>
      <c r="B610"/>
      <c r="C610"/>
      <c r="D610"/>
      <c r="E610" s="1"/>
    </row>
    <row r="611" spans="1:5" x14ac:dyDescent="0.25">
      <c r="A611" s="7">
        <v>240.47888756396546</v>
      </c>
      <c r="B611"/>
      <c r="C611"/>
      <c r="D611"/>
      <c r="E611" s="1"/>
    </row>
    <row r="612" spans="1:5" x14ac:dyDescent="0.25">
      <c r="A612" s="7">
        <v>238.09790847917373</v>
      </c>
      <c r="B612"/>
      <c r="C612"/>
      <c r="D612"/>
      <c r="E612" s="1"/>
    </row>
    <row r="613" spans="1:5" x14ac:dyDescent="0.25">
      <c r="A613" s="7">
        <v>235.74050344472647</v>
      </c>
      <c r="B613"/>
      <c r="C613"/>
      <c r="D613"/>
      <c r="E613" s="1"/>
    </row>
    <row r="614" spans="1:5" x14ac:dyDescent="0.25">
      <c r="A614" s="7">
        <v>233.40643905418463</v>
      </c>
      <c r="B614"/>
      <c r="C614"/>
      <c r="D614"/>
      <c r="E614" s="1"/>
    </row>
    <row r="615" spans="1:5" x14ac:dyDescent="0.25">
      <c r="A615" s="7">
        <v>231.09548421206398</v>
      </c>
      <c r="B615"/>
      <c r="C615"/>
      <c r="D615"/>
      <c r="E615" s="1"/>
    </row>
    <row r="616" spans="1:5" x14ac:dyDescent="0.25">
      <c r="A616" s="7">
        <v>228.80741011095444</v>
      </c>
      <c r="B616"/>
      <c r="C616"/>
      <c r="D616"/>
      <c r="E616" s="1"/>
    </row>
    <row r="617" spans="1:5" x14ac:dyDescent="0.25">
      <c r="A617" s="7">
        <v>226.54199020886577</v>
      </c>
      <c r="B617"/>
      <c r="C617"/>
      <c r="D617"/>
      <c r="E617" s="1"/>
    </row>
    <row r="618" spans="1:5" x14ac:dyDescent="0.25">
      <c r="A618" s="7">
        <v>224.29900020679779</v>
      </c>
      <c r="B618"/>
      <c r="C618"/>
      <c r="D618"/>
      <c r="E618" s="1"/>
    </row>
    <row r="619" spans="1:5" x14ac:dyDescent="0.25">
      <c r="A619" s="7">
        <v>222.07821802653245</v>
      </c>
      <c r="B619"/>
      <c r="C619"/>
      <c r="D619"/>
      <c r="E619" s="1"/>
    </row>
    <row r="620" spans="1:5" x14ac:dyDescent="0.25">
      <c r="A620" s="7">
        <v>219.87942378864599</v>
      </c>
      <c r="B620"/>
      <c r="C620"/>
      <c r="D620"/>
      <c r="E620" s="1"/>
    </row>
    <row r="621" spans="1:5" x14ac:dyDescent="0.25">
      <c r="A621" s="7">
        <v>217.70239979073861</v>
      </c>
      <c r="B621"/>
      <c r="C621"/>
      <c r="D621"/>
      <c r="E621" s="1"/>
    </row>
    <row r="622" spans="1:5" x14ac:dyDescent="0.25">
      <c r="A622" s="7">
        <v>215.54693048587981</v>
      </c>
      <c r="B622"/>
      <c r="C622"/>
      <c r="D622"/>
      <c r="E622" s="1"/>
    </row>
    <row r="623" spans="1:5" x14ac:dyDescent="0.25">
      <c r="A623" s="7">
        <v>213.41280246126715</v>
      </c>
      <c r="B623"/>
      <c r="C623"/>
      <c r="D623"/>
      <c r="E623" s="1"/>
    </row>
    <row r="624" spans="1:5" x14ac:dyDescent="0.25">
      <c r="A624" s="7">
        <v>211.2998044170962</v>
      </c>
      <c r="B624"/>
      <c r="C624"/>
      <c r="D624"/>
      <c r="E624" s="1"/>
    </row>
    <row r="625" spans="1:5" x14ac:dyDescent="0.25">
      <c r="A625" s="7">
        <v>209.20772714563981</v>
      </c>
      <c r="B625"/>
      <c r="C625"/>
      <c r="D625"/>
      <c r="E625" s="1"/>
    </row>
    <row r="626" spans="1:5" x14ac:dyDescent="0.25">
      <c r="A626" s="7">
        <v>207.13636351053447</v>
      </c>
      <c r="B626"/>
      <c r="C626"/>
      <c r="D626"/>
      <c r="E626" s="1"/>
    </row>
    <row r="627" spans="1:5" x14ac:dyDescent="0.25">
      <c r="A627" s="7">
        <v>205.08550842627176</v>
      </c>
      <c r="B627"/>
      <c r="C627"/>
      <c r="D627"/>
      <c r="E627" s="1"/>
    </row>
    <row r="628" spans="1:5" x14ac:dyDescent="0.25">
      <c r="A628" s="7">
        <v>203.05495883789283</v>
      </c>
      <c r="B628"/>
      <c r="C628"/>
      <c r="D628"/>
      <c r="E628" s="1"/>
    </row>
    <row r="629" spans="1:5" x14ac:dyDescent="0.25">
      <c r="A629" s="7">
        <v>201.04451370088398</v>
      </c>
      <c r="B629"/>
      <c r="C629"/>
      <c r="D629"/>
      <c r="E629" s="1"/>
    </row>
    <row r="630" spans="1:5" x14ac:dyDescent="0.25">
      <c r="A630" s="7">
        <v>199.05397396127125</v>
      </c>
      <c r="B630"/>
      <c r="C630"/>
      <c r="D630"/>
      <c r="E630" s="1"/>
    </row>
    <row r="631" spans="1:5" x14ac:dyDescent="0.25">
      <c r="A631" s="7">
        <v>197.08314253591212</v>
      </c>
      <c r="B631"/>
      <c r="C631"/>
      <c r="D631"/>
      <c r="E631" s="1"/>
    </row>
    <row r="632" spans="1:5" x14ac:dyDescent="0.25">
      <c r="A632" s="7">
        <v>195.13182429298229</v>
      </c>
      <c r="B632"/>
      <c r="C632"/>
      <c r="D632"/>
      <c r="E632" s="1"/>
    </row>
    <row r="633" spans="1:5" x14ac:dyDescent="0.25">
      <c r="A633" s="7">
        <v>193.19982603265572</v>
      </c>
      <c r="B633"/>
      <c r="C633"/>
      <c r="D633"/>
      <c r="E633" s="1"/>
    </row>
    <row r="634" spans="1:5" x14ac:dyDescent="0.25">
      <c r="A634" s="7">
        <v>191.28695646797595</v>
      </c>
      <c r="B634"/>
      <c r="C634"/>
      <c r="D634"/>
      <c r="E634" s="1"/>
    </row>
    <row r="635" spans="1:5" x14ac:dyDescent="0.25">
      <c r="A635" s="7">
        <v>189.39302620591678</v>
      </c>
      <c r="B635"/>
      <c r="C635"/>
      <c r="D635"/>
      <c r="E635" s="1"/>
    </row>
    <row r="636" spans="1:5" x14ac:dyDescent="0.25">
      <c r="A636" s="7">
        <v>187.51784772863047</v>
      </c>
      <c r="B636"/>
      <c r="C636"/>
      <c r="D636"/>
      <c r="E636" s="1"/>
    </row>
    <row r="637" spans="1:5" x14ac:dyDescent="0.25">
      <c r="A637" s="7">
        <v>185.66123537488164</v>
      </c>
      <c r="B637"/>
      <c r="C637"/>
      <c r="D637"/>
      <c r="E637" s="1"/>
    </row>
    <row r="638" spans="1:5" x14ac:dyDescent="0.25">
      <c r="A638" s="7">
        <v>183.82300532166499</v>
      </c>
      <c r="B638"/>
      <c r="C638"/>
      <c r="D638"/>
      <c r="E638" s="1"/>
    </row>
    <row r="639" spans="1:5" x14ac:dyDescent="0.25">
      <c r="A639" s="7">
        <v>182.00297556600495</v>
      </c>
      <c r="B639"/>
      <c r="C639"/>
      <c r="D639"/>
      <c r="E639" s="1"/>
    </row>
    <row r="640" spans="1:5" x14ac:dyDescent="0.25">
      <c r="A640" s="7">
        <v>180.20096590693558</v>
      </c>
      <c r="B640"/>
      <c r="C640"/>
      <c r="D640"/>
      <c r="E640" s="1"/>
    </row>
    <row r="641" spans="1:5" x14ac:dyDescent="0.25">
      <c r="A641" s="7">
        <v>178.41679792765899</v>
      </c>
      <c r="B641"/>
      <c r="C641"/>
      <c r="D641"/>
      <c r="E641" s="1"/>
    </row>
    <row r="642" spans="1:5" x14ac:dyDescent="0.25">
      <c r="A642" s="7">
        <v>176.65029497788018</v>
      </c>
      <c r="B642"/>
      <c r="C642"/>
      <c r="D642"/>
      <c r="E642" s="1"/>
    </row>
    <row r="643" spans="1:5" x14ac:dyDescent="0.25">
      <c r="A643" s="7">
        <v>174.901282156317</v>
      </c>
      <c r="B643"/>
      <c r="C643"/>
      <c r="D643"/>
      <c r="E643" s="1"/>
    </row>
    <row r="644" spans="1:5" x14ac:dyDescent="0.25">
      <c r="A644" s="7">
        <v>173.16958629338316</v>
      </c>
      <c r="B644"/>
      <c r="C644"/>
      <c r="D644"/>
      <c r="E644" s="1"/>
    </row>
    <row r="645" spans="1:5" x14ac:dyDescent="0.25">
      <c r="A645" s="7">
        <v>171.45503593404274</v>
      </c>
      <c r="B645"/>
      <c r="C645"/>
      <c r="D645"/>
      <c r="E645" s="1"/>
    </row>
    <row r="646" spans="1:5" x14ac:dyDescent="0.25">
      <c r="A646" s="7">
        <v>169.75746132083441</v>
      </c>
      <c r="B646"/>
      <c r="C646"/>
      <c r="D646"/>
      <c r="E646" s="1"/>
    </row>
    <row r="647" spans="1:5" x14ac:dyDescent="0.25">
      <c r="A647" s="7">
        <v>168.07669437706377</v>
      </c>
      <c r="B647"/>
      <c r="C647"/>
      <c r="D647"/>
      <c r="E647" s="1"/>
    </row>
    <row r="648" spans="1:5" x14ac:dyDescent="0.25">
      <c r="A648" s="7">
        <v>166.41256869016215</v>
      </c>
      <c r="B648"/>
      <c r="C648"/>
      <c r="D648"/>
      <c r="E648" s="1"/>
    </row>
    <row r="649" spans="1:5" x14ac:dyDescent="0.25">
      <c r="A649" s="7">
        <v>164.76491949521005</v>
      </c>
      <c r="B649"/>
      <c r="C649"/>
      <c r="D649"/>
      <c r="E649" s="1"/>
    </row>
    <row r="650" spans="1:5" x14ac:dyDescent="0.25">
      <c r="A650" s="7">
        <v>163.13358365862382</v>
      </c>
      <c r="B650"/>
      <c r="C650"/>
      <c r="D650"/>
      <c r="E650" s="1"/>
    </row>
    <row r="651" spans="1:5" x14ac:dyDescent="0.25">
      <c r="A651" s="7">
        <v>161.51839966200379</v>
      </c>
      <c r="B651"/>
      <c r="C651"/>
      <c r="D651"/>
      <c r="E651" s="1"/>
    </row>
    <row r="652" spans="1:5" x14ac:dyDescent="0.25">
      <c r="A652" s="7">
        <v>159.91920758614236</v>
      </c>
      <c r="B652"/>
      <c r="C652"/>
      <c r="D652"/>
      <c r="E652" s="1"/>
    </row>
    <row r="653" spans="1:5" x14ac:dyDescent="0.25">
      <c r="A653" s="7">
        <v>158.33584909519047</v>
      </c>
      <c r="B653"/>
      <c r="C653"/>
      <c r="D653"/>
      <c r="E653" s="1"/>
    </row>
    <row r="654" spans="1:5" x14ac:dyDescent="0.25">
      <c r="A654" s="7">
        <v>156.76816742098066</v>
      </c>
      <c r="B654"/>
      <c r="C654"/>
      <c r="D654"/>
      <c r="E654" s="1"/>
    </row>
    <row r="655" spans="1:5" x14ac:dyDescent="0.25">
      <c r="A655" s="7">
        <v>155.21600734750561</v>
      </c>
      <c r="B655"/>
      <c r="C655"/>
      <c r="D655"/>
      <c r="E655" s="1"/>
    </row>
    <row r="656" spans="1:5" x14ac:dyDescent="0.25">
      <c r="A656" s="7">
        <v>153.67921519555011</v>
      </c>
      <c r="B656"/>
      <c r="C656"/>
      <c r="D656"/>
      <c r="E656" s="1"/>
    </row>
    <row r="657" spans="1:5" x14ac:dyDescent="0.25">
      <c r="A657" s="7">
        <v>152.15763880747537</v>
      </c>
      <c r="B657"/>
      <c r="C657"/>
      <c r="D657"/>
      <c r="E657" s="1"/>
    </row>
    <row r="658" spans="1:5" x14ac:dyDescent="0.25">
      <c r="A658" s="7">
        <v>150.65112753215382</v>
      </c>
      <c r="B658"/>
      <c r="C658"/>
      <c r="D658"/>
      <c r="E658" s="1"/>
    </row>
    <row r="659" spans="1:5" x14ac:dyDescent="0.25">
      <c r="A659" s="7">
        <v>149.1595322100533</v>
      </c>
      <c r="B659"/>
      <c r="C659"/>
      <c r="D659"/>
      <c r="E659" s="1"/>
    </row>
    <row r="660" spans="1:5" x14ac:dyDescent="0.25">
      <c r="A660" s="7">
        <v>147.68270515846862</v>
      </c>
      <c r="B660"/>
      <c r="C660"/>
      <c r="D660"/>
      <c r="E660" s="1"/>
    </row>
    <row r="661" spans="1:5" x14ac:dyDescent="0.25">
      <c r="A661" s="7">
        <v>146.22050015689962</v>
      </c>
      <c r="B661"/>
      <c r="C661"/>
      <c r="D661"/>
      <c r="E661" s="1"/>
    </row>
    <row r="662" spans="1:5" x14ac:dyDescent="0.25">
      <c r="A662" s="7">
        <v>144.77277243257387</v>
      </c>
      <c r="B662"/>
      <c r="C662"/>
      <c r="D662"/>
      <c r="E662" s="1"/>
    </row>
    <row r="663" spans="1:5" x14ac:dyDescent="0.25">
      <c r="A663" s="7">
        <v>143.33937864611275</v>
      </c>
      <c r="B663"/>
      <c r="C663"/>
      <c r="D663"/>
      <c r="E663" s="1"/>
    </row>
    <row r="664" spans="1:5" x14ac:dyDescent="0.25">
      <c r="A664" s="7">
        <v>141.92017687733934</v>
      </c>
      <c r="B664"/>
      <c r="C664"/>
      <c r="D664"/>
      <c r="E664" s="1"/>
    </row>
    <row r="665" spans="1:5" x14ac:dyDescent="0.25">
      <c r="A665" s="7">
        <v>140.51502661122709</v>
      </c>
      <c r="B665"/>
      <c r="C665"/>
      <c r="D665"/>
      <c r="E665" s="1"/>
    </row>
    <row r="666" spans="1:5" x14ac:dyDescent="0.25">
      <c r="A666" s="7">
        <v>139.12378872398722</v>
      </c>
      <c r="B666"/>
      <c r="C666"/>
      <c r="D666"/>
      <c r="E666" s="1"/>
    </row>
    <row r="667" spans="1:5" x14ac:dyDescent="0.25">
      <c r="A667" s="7">
        <v>137.74632546929428</v>
      </c>
      <c r="B667"/>
      <c r="C667"/>
      <c r="D667"/>
      <c r="E667" s="1"/>
    </row>
    <row r="668" spans="1:5" x14ac:dyDescent="0.25">
      <c r="A668" s="7">
        <v>136.38250046464779</v>
      </c>
      <c r="B668"/>
      <c r="C668"/>
      <c r="D668"/>
      <c r="E668" s="1"/>
    </row>
    <row r="669" spans="1:5" x14ac:dyDescent="0.25">
      <c r="A669" s="7">
        <v>135.0321786778691</v>
      </c>
      <c r="B669"/>
      <c r="C669"/>
      <c r="D669"/>
      <c r="E669" s="1"/>
    </row>
    <row r="670" spans="1:5" x14ac:dyDescent="0.25">
      <c r="A670" s="7">
        <v>133.69522641373177</v>
      </c>
      <c r="B670"/>
      <c r="C670"/>
      <c r="D670"/>
      <c r="E670" s="1"/>
    </row>
    <row r="671" spans="1:5" x14ac:dyDescent="0.25">
      <c r="A671" s="7">
        <v>132.37151130072453</v>
      </c>
      <c r="B671"/>
      <c r="C671"/>
      <c r="D671"/>
      <c r="E671" s="1"/>
    </row>
    <row r="672" spans="1:5" x14ac:dyDescent="0.25">
      <c r="A672" s="7">
        <v>131.06090227794508</v>
      </c>
      <c r="B672"/>
      <c r="C672"/>
      <c r="D672"/>
      <c r="E672" s="1"/>
    </row>
    <row r="673" spans="1:5" x14ac:dyDescent="0.25">
      <c r="A673" s="7">
        <v>129.76326958212383</v>
      </c>
      <c r="B673"/>
      <c r="C673"/>
      <c r="D673"/>
      <c r="E673" s="1"/>
    </row>
    <row r="674" spans="1:5" x14ac:dyDescent="0.25">
      <c r="A674" s="7">
        <v>128.47848473477606</v>
      </c>
      <c r="B674"/>
      <c r="C674"/>
      <c r="D674"/>
      <c r="E674" s="1"/>
    </row>
    <row r="675" spans="1:5" x14ac:dyDescent="0.25">
      <c r="A675" s="7">
        <v>127.20642052948125</v>
      </c>
      <c r="B675"/>
      <c r="C675"/>
      <c r="D675"/>
      <c r="E675" s="1"/>
    </row>
    <row r="676" spans="1:5" x14ac:dyDescent="0.25">
      <c r="A676" s="7">
        <v>125.94695101928836</v>
      </c>
      <c r="B676"/>
      <c r="C676"/>
      <c r="D676"/>
      <c r="E676" s="1"/>
    </row>
    <row r="677" spans="1:5" x14ac:dyDescent="0.25">
      <c r="A677" s="7">
        <v>124.6999515042459</v>
      </c>
      <c r="B677"/>
      <c r="C677"/>
      <c r="D677"/>
      <c r="E677" s="1"/>
    </row>
    <row r="678" spans="1:5" x14ac:dyDescent="0.25">
      <c r="A678" s="7">
        <v>123.46529851905535</v>
      </c>
      <c r="B678"/>
      <c r="C678"/>
      <c r="D678"/>
      <c r="E678" s="1"/>
    </row>
    <row r="679" spans="1:5" x14ac:dyDescent="0.25">
      <c r="A679" s="7">
        <v>122.24286982084688</v>
      </c>
      <c r="B679"/>
      <c r="C679"/>
      <c r="D679"/>
      <c r="E679" s="1"/>
    </row>
    <row r="680" spans="1:5" x14ac:dyDescent="0.25">
      <c r="A680" s="7">
        <v>121.03254437707612</v>
      </c>
      <c r="B680"/>
      <c r="C680"/>
      <c r="D680"/>
      <c r="E680" s="1"/>
    </row>
    <row r="681" spans="1:5" x14ac:dyDescent="0.25">
      <c r="A681" s="7">
        <v>119.83420235354072</v>
      </c>
      <c r="B681"/>
      <c r="C681"/>
      <c r="D681"/>
      <c r="E681" s="1"/>
    </row>
    <row r="682" spans="1:5" x14ac:dyDescent="0.25">
      <c r="A682" s="7">
        <v>118.64772510251557</v>
      </c>
      <c r="B682"/>
      <c r="C682"/>
      <c r="D682"/>
      <c r="E682" s="1"/>
    </row>
    <row r="683" spans="1:5" x14ac:dyDescent="0.25">
      <c r="A683" s="7">
        <v>117.47299515100551</v>
      </c>
      <c r="B683"/>
      <c r="C683"/>
      <c r="D683"/>
      <c r="E683" s="1"/>
    </row>
    <row r="684" spans="1:5" x14ac:dyDescent="0.25">
      <c r="A684" s="7">
        <v>116.30989618911435</v>
      </c>
      <c r="B684"/>
      <c r="C684"/>
      <c r="D684"/>
      <c r="E684" s="1"/>
    </row>
    <row r="685" spans="1:5" x14ac:dyDescent="0.25">
      <c r="A685" s="7">
        <v>115.15831305852906</v>
      </c>
      <c r="B685"/>
      <c r="C685"/>
      <c r="D685"/>
      <c r="E685" s="1"/>
    </row>
    <row r="686" spans="1:5" x14ac:dyDescent="0.25">
      <c r="A686" s="7">
        <v>114.01813174111788</v>
      </c>
      <c r="B686"/>
      <c r="C686"/>
      <c r="D686"/>
      <c r="E686" s="1"/>
    </row>
    <row r="687" spans="1:5" x14ac:dyDescent="0.25">
      <c r="A687" s="7">
        <v>112.88923934764146</v>
      </c>
      <c r="B687"/>
      <c r="C687"/>
      <c r="D687"/>
      <c r="E687" s="1"/>
    </row>
    <row r="688" spans="1:5" x14ac:dyDescent="0.25">
      <c r="A688" s="7">
        <v>111.77152410657571</v>
      </c>
      <c r="B688"/>
      <c r="C688"/>
      <c r="D688"/>
      <c r="E688" s="1"/>
    </row>
    <row r="689" spans="1:5" x14ac:dyDescent="0.25">
      <c r="A689" s="7">
        <v>110.66487535304526</v>
      </c>
      <c r="B689"/>
      <c r="C689"/>
      <c r="D689"/>
      <c r="E689" s="1"/>
    </row>
    <row r="690" spans="1:5" x14ac:dyDescent="0.25">
      <c r="A690" s="7">
        <v>109.56918351786659</v>
      </c>
      <c r="B690"/>
      <c r="C690"/>
      <c r="D690"/>
      <c r="E690" s="1"/>
    </row>
    <row r="691" spans="1:5" x14ac:dyDescent="0.25">
      <c r="A691" s="7">
        <v>108.4843401166996</v>
      </c>
      <c r="B691"/>
      <c r="C691"/>
      <c r="D691"/>
      <c r="E691" s="1"/>
    </row>
    <row r="692" spans="1:5" x14ac:dyDescent="0.25">
      <c r="A692" s="7">
        <v>107.41023773930654</v>
      </c>
      <c r="B692"/>
      <c r="C692"/>
      <c r="D692"/>
      <c r="E692" s="1"/>
    </row>
    <row r="693" spans="1:5" x14ac:dyDescent="0.25">
      <c r="A693" s="7">
        <v>106.34677003891737</v>
      </c>
      <c r="B693"/>
      <c r="C693"/>
      <c r="D693"/>
      <c r="E693" s="1"/>
    </row>
    <row r="694" spans="1:5" x14ac:dyDescent="0.25">
      <c r="A694" s="7">
        <v>105.29383172170037</v>
      </c>
      <c r="B694"/>
      <c r="C694"/>
      <c r="D694"/>
      <c r="E694" s="1"/>
    </row>
    <row r="695" spans="1:5" x14ac:dyDescent="0.25">
      <c r="A695" s="7">
        <v>104.251318536337</v>
      </c>
      <c r="B695"/>
      <c r="C695"/>
      <c r="D695"/>
      <c r="E695" s="1"/>
    </row>
    <row r="696" spans="1:5" x14ac:dyDescent="0.25">
      <c r="A696" s="7">
        <v>103.21912726369999</v>
      </c>
      <c r="B696"/>
      <c r="C696"/>
      <c r="D696"/>
      <c r="E696" s="1"/>
    </row>
    <row r="697" spans="1:5" x14ac:dyDescent="0.25">
      <c r="A697" s="7">
        <v>102.19715570663365</v>
      </c>
      <c r="B697"/>
      <c r="C697"/>
      <c r="D697"/>
      <c r="E697" s="1"/>
    </row>
    <row r="698" spans="1:5" x14ac:dyDescent="0.25">
      <c r="A698" s="7">
        <v>101.1853026798353</v>
      </c>
      <c r="B698"/>
      <c r="C698"/>
      <c r="D698"/>
      <c r="E698" s="1"/>
    </row>
    <row r="699" spans="1:5" x14ac:dyDescent="0.25">
      <c r="A699" s="7">
        <v>100.18346799983694</v>
      </c>
      <c r="B699"/>
      <c r="C699"/>
      <c r="D699"/>
      <c r="E699" s="1"/>
    </row>
    <row r="700" spans="1:5" x14ac:dyDescent="0.25">
      <c r="A700" s="7">
        <v>99.19155247508607</v>
      </c>
      <c r="B700"/>
      <c r="C700"/>
      <c r="D700"/>
      <c r="E700" s="1"/>
    </row>
    <row r="701" spans="1:5" x14ac:dyDescent="0.25">
      <c r="A701" s="7">
        <v>98.209457896124817</v>
      </c>
      <c r="B701"/>
      <c r="C701"/>
      <c r="D701"/>
      <c r="E701" s="1"/>
    </row>
    <row r="702" spans="1:5" x14ac:dyDescent="0.25">
      <c r="A702" s="7">
        <v>97.23708702586616</v>
      </c>
      <c r="B702"/>
      <c r="C702"/>
      <c r="D702"/>
      <c r="E702" s="1"/>
    </row>
    <row r="703" spans="1:5" x14ac:dyDescent="0.25">
      <c r="A703" s="7">
        <v>96.274343589966492</v>
      </c>
      <c r="B703"/>
      <c r="C703"/>
      <c r="D703"/>
      <c r="E703" s="1"/>
    </row>
    <row r="704" spans="1:5" x14ac:dyDescent="0.25">
      <c r="A704" s="7">
        <v>95.321132267293549</v>
      </c>
      <c r="B704"/>
      <c r="C704"/>
      <c r="D704"/>
      <c r="E704" s="1"/>
    </row>
    <row r="705" spans="1:5" x14ac:dyDescent="0.25">
      <c r="A705" s="7">
        <v>94.377358680488669</v>
      </c>
      <c r="B705"/>
      <c r="C705"/>
      <c r="D705"/>
      <c r="E705" s="1"/>
    </row>
    <row r="706" spans="1:5" x14ac:dyDescent="0.25">
      <c r="A706" s="7">
        <v>93.442929386622438</v>
      </c>
      <c r="B706"/>
      <c r="C706"/>
      <c r="D706"/>
      <c r="E706" s="1"/>
    </row>
    <row r="707" spans="1:5" x14ac:dyDescent="0.25">
      <c r="A707" s="7">
        <v>92.517751867943005</v>
      </c>
      <c r="B707"/>
      <c r="C707"/>
      <c r="D707"/>
      <c r="E707" s="1"/>
    </row>
    <row r="708" spans="1:5" x14ac:dyDescent="0.25">
      <c r="A708" s="7">
        <v>91.601734522715844</v>
      </c>
      <c r="B708"/>
      <c r="C708"/>
      <c r="D708"/>
      <c r="E708" s="1"/>
    </row>
    <row r="709" spans="1:5" x14ac:dyDescent="0.25">
      <c r="A709" s="7">
        <v>90.694786656154307</v>
      </c>
      <c r="B709"/>
      <c r="C709"/>
      <c r="D709"/>
      <c r="E709" s="1"/>
    </row>
    <row r="710" spans="1:5" x14ac:dyDescent="0.25">
      <c r="A710" s="7">
        <v>89.796818471439906</v>
      </c>
      <c r="B710"/>
      <c r="C710"/>
      <c r="D710"/>
      <c r="E710" s="1"/>
    </row>
    <row r="711" spans="1:5" x14ac:dyDescent="0.25">
      <c r="A711" s="7">
        <v>88.907741060831583</v>
      </c>
      <c r="B711"/>
      <c r="C711"/>
      <c r="D711"/>
      <c r="E711" s="1"/>
    </row>
    <row r="712" spans="1:5" x14ac:dyDescent="0.25">
      <c r="A712" s="7">
        <v>88.027466396862948</v>
      </c>
      <c r="B712"/>
      <c r="C712"/>
      <c r="D712"/>
      <c r="E712" s="1"/>
    </row>
    <row r="713" spans="1:5" x14ac:dyDescent="0.25">
      <c r="A713" s="7">
        <v>87.155907323626678</v>
      </c>
      <c r="B713"/>
      <c r="C713"/>
      <c r="D713"/>
      <c r="E713" s="1"/>
    </row>
    <row r="714" spans="1:5" x14ac:dyDescent="0.25">
      <c r="A714" s="7">
        <v>86.292977548145231</v>
      </c>
      <c r="B714"/>
      <c r="C714"/>
      <c r="D714"/>
      <c r="E714" s="1"/>
    </row>
    <row r="715" spans="1:5" x14ac:dyDescent="0.25">
      <c r="A715" s="7">
        <v>85.438591631826966</v>
      </c>
      <c r="B715"/>
      <c r="C715"/>
      <c r="D715"/>
      <c r="E715" s="1"/>
    </row>
    <row r="716" spans="1:5" x14ac:dyDescent="0.25">
      <c r="A716" s="7">
        <v>84.592664982006895</v>
      </c>
      <c r="B716"/>
      <c r="C716"/>
      <c r="D716"/>
      <c r="E716" s="1"/>
    </row>
    <row r="717" spans="1:5" x14ac:dyDescent="0.25">
      <c r="A717" s="7">
        <v>83.755113843571181</v>
      </c>
      <c r="B717"/>
      <c r="C717"/>
      <c r="D717"/>
      <c r="E717" s="1"/>
    </row>
    <row r="718" spans="1:5" x14ac:dyDescent="0.25">
      <c r="A718" s="7">
        <v>82.925855290664529</v>
      </c>
      <c r="B718"/>
      <c r="C718"/>
      <c r="D718"/>
      <c r="E718" s="1"/>
    </row>
    <row r="719" spans="1:5" x14ac:dyDescent="0.25">
      <c r="A719" s="7">
        <v>82.104807218479735</v>
      </c>
      <c r="B719"/>
      <c r="C719"/>
      <c r="D719"/>
      <c r="E719" s="1"/>
    </row>
    <row r="720" spans="1:5" x14ac:dyDescent="0.25">
      <c r="A720" s="7">
        <v>81.291888335128448</v>
      </c>
      <c r="B720"/>
      <c r="C720"/>
      <c r="D720"/>
      <c r="E720" s="1"/>
    </row>
    <row r="721" spans="1:5" x14ac:dyDescent="0.25">
      <c r="A721" s="7">
        <v>80.487018153592516</v>
      </c>
      <c r="B721"/>
      <c r="C721"/>
      <c r="D721"/>
      <c r="E721" s="1"/>
    </row>
    <row r="722" spans="1:5" x14ac:dyDescent="0.25">
      <c r="A722" s="7">
        <v>79.690116983754962</v>
      </c>
      <c r="B722"/>
      <c r="C722"/>
      <c r="D722"/>
      <c r="E722" s="1"/>
    </row>
    <row r="723" spans="1:5" x14ac:dyDescent="0.25">
      <c r="A723" s="7">
        <v>78.901105924509864</v>
      </c>
      <c r="B723"/>
      <c r="C723"/>
      <c r="D723"/>
      <c r="E723" s="1"/>
    </row>
    <row r="724" spans="1:5" x14ac:dyDescent="0.25">
      <c r="A724" s="7">
        <v>78.119906855950362</v>
      </c>
      <c r="B724"/>
      <c r="C724"/>
      <c r="D724"/>
      <c r="E724" s="1"/>
    </row>
    <row r="725" spans="1:5" x14ac:dyDescent="0.25">
      <c r="A725" s="7">
        <v>77.346442431634017</v>
      </c>
      <c r="B725"/>
      <c r="C725"/>
      <c r="D725"/>
      <c r="E725" s="1"/>
    </row>
    <row r="726" spans="1:5" x14ac:dyDescent="0.25">
      <c r="A726" s="7">
        <v>76.580636070924768</v>
      </c>
      <c r="B726"/>
      <c r="C726"/>
      <c r="D726"/>
      <c r="E726" s="1"/>
    </row>
    <row r="727" spans="1:5" x14ac:dyDescent="0.25">
      <c r="A727" s="7">
        <v>75.822411951410658</v>
      </c>
      <c r="B727"/>
      <c r="C727"/>
      <c r="D727"/>
      <c r="E727" s="1"/>
    </row>
    <row r="728" spans="1:5" x14ac:dyDescent="0.25">
      <c r="A728" s="7">
        <v>75.071695001396691</v>
      </c>
      <c r="B728"/>
      <c r="C728"/>
      <c r="D728"/>
      <c r="E728" s="1"/>
    </row>
    <row r="729" spans="1:5" x14ac:dyDescent="0.25">
      <c r="A729" s="7">
        <v>74.328410892471965</v>
      </c>
      <c r="B729"/>
      <c r="C729"/>
      <c r="D729"/>
      <c r="E729" s="1"/>
    </row>
    <row r="730" spans="1:5" x14ac:dyDescent="0.25">
      <c r="A730" s="7">
        <v>73.592486032150461</v>
      </c>
      <c r="B730"/>
      <c r="C730"/>
      <c r="D730"/>
      <c r="E730" s="1"/>
    </row>
    <row r="731" spans="1:5" x14ac:dyDescent="0.25">
      <c r="A731" s="7">
        <v>72.863847556584616</v>
      </c>
      <c r="B731"/>
      <c r="C731"/>
      <c r="D731"/>
      <c r="E731" s="1"/>
    </row>
    <row r="732" spans="1:5" x14ac:dyDescent="0.25">
      <c r="A732" s="7">
        <v>72.14242332335111</v>
      </c>
      <c r="B732"/>
      <c r="C732"/>
      <c r="D732"/>
      <c r="E732" s="1"/>
    </row>
    <row r="733" spans="1:5" x14ac:dyDescent="0.25">
      <c r="A733" s="7">
        <v>71.428141904308035</v>
      </c>
      <c r="B733"/>
      <c r="C733"/>
      <c r="D733"/>
      <c r="E733" s="1"/>
    </row>
    <row r="734" spans="1:5" x14ac:dyDescent="0.25">
      <c r="A734" s="7">
        <v>70.720932578522806</v>
      </c>
      <c r="B734"/>
      <c r="C734"/>
      <c r="D734"/>
      <c r="E734" s="1"/>
    </row>
    <row r="735" spans="1:5" x14ac:dyDescent="0.25">
      <c r="A735" s="7">
        <v>70.020725325270107</v>
      </c>
      <c r="B735"/>
      <c r="C735"/>
      <c r="D735"/>
      <c r="E735" s="1"/>
    </row>
    <row r="736" spans="1:5" x14ac:dyDescent="0.25">
      <c r="A736" s="7">
        <v>69.32745081709912</v>
      </c>
      <c r="B736"/>
      <c r="C736"/>
      <c r="D736"/>
      <c r="E736" s="1"/>
    </row>
    <row r="737" spans="1:5" x14ac:dyDescent="0.25">
      <c r="A737" s="7">
        <v>68.641040412969431</v>
      </c>
      <c r="B737"/>
      <c r="C737"/>
      <c r="D737"/>
      <c r="E737" s="1"/>
    </row>
    <row r="738" spans="1:5" x14ac:dyDescent="0.25">
      <c r="A738" s="7">
        <v>67.961426151454887</v>
      </c>
      <c r="B738"/>
      <c r="C738"/>
      <c r="D738"/>
      <c r="E738" s="1"/>
    </row>
    <row r="739" spans="1:5" x14ac:dyDescent="0.25">
      <c r="A739" s="7">
        <v>67.288540744014739</v>
      </c>
      <c r="B739"/>
      <c r="C739"/>
      <c r="D739"/>
      <c r="E739" s="1"/>
    </row>
    <row r="740" spans="1:5" x14ac:dyDescent="0.25">
      <c r="A740" s="7">
        <v>66.622317568331425</v>
      </c>
      <c r="B740"/>
      <c r="C740"/>
      <c r="D740"/>
      <c r="E740" s="1"/>
    </row>
    <row r="741" spans="1:5" x14ac:dyDescent="0.25">
      <c r="A741" s="7">
        <v>65.962690661714277</v>
      </c>
      <c r="B741"/>
      <c r="C741"/>
      <c r="D741"/>
      <c r="E741" s="1"/>
    </row>
    <row r="742" spans="1:5" x14ac:dyDescent="0.25">
      <c r="A742" s="7">
        <v>65.30959471456859</v>
      </c>
      <c r="B742"/>
      <c r="C742"/>
      <c r="D742"/>
      <c r="E742" s="1"/>
    </row>
    <row r="743" spans="1:5" x14ac:dyDescent="0.25">
      <c r="A743" s="7">
        <v>64.662965063929292</v>
      </c>
      <c r="B743"/>
      <c r="C743"/>
      <c r="D743"/>
      <c r="E743" s="1"/>
    </row>
    <row r="744" spans="1:5" x14ac:dyDescent="0.25">
      <c r="A744" s="7">
        <v>64.022737687058708</v>
      </c>
      <c r="B744"/>
      <c r="C744"/>
      <c r="D744"/>
      <c r="E744" s="1"/>
    </row>
    <row r="745" spans="1:5" x14ac:dyDescent="0.25">
      <c r="A745" s="7">
        <v>63.388849195107632</v>
      </c>
      <c r="B745"/>
      <c r="C745"/>
      <c r="D745"/>
      <c r="E745" s="1"/>
    </row>
    <row r="746" spans="1:5" x14ac:dyDescent="0.25">
      <c r="A746" s="7">
        <v>62.761236826839237</v>
      </c>
      <c r="B746"/>
      <c r="C746"/>
      <c r="D746"/>
      <c r="E746" s="1"/>
    </row>
    <row r="747" spans="1:5" x14ac:dyDescent="0.25">
      <c r="A747" s="7">
        <v>62.139838442415083</v>
      </c>
      <c r="B747"/>
      <c r="C747"/>
      <c r="D747"/>
      <c r="E747" s="1"/>
    </row>
    <row r="748" spans="1:5" x14ac:dyDescent="0.25">
      <c r="A748" s="7">
        <v>61.52459251724266</v>
      </c>
      <c r="B748"/>
      <c r="C748"/>
      <c r="D748"/>
      <c r="E748" s="1"/>
    </row>
    <row r="749" spans="1:5" x14ac:dyDescent="0.25">
      <c r="A749" s="7">
        <v>60.915438135883818</v>
      </c>
      <c r="B749"/>
      <c r="C749"/>
      <c r="D749"/>
      <c r="E749" s="1"/>
    </row>
    <row r="750" spans="1:5" x14ac:dyDescent="0.25">
      <c r="A750" s="7">
        <v>60.31231498602358</v>
      </c>
      <c r="B750"/>
      <c r="C750"/>
      <c r="D750"/>
      <c r="E750" s="1"/>
    </row>
    <row r="751" spans="1:5" x14ac:dyDescent="0.25">
      <c r="A751" s="7">
        <v>59.715163352498593</v>
      </c>
      <c r="B751"/>
      <c r="C751"/>
      <c r="D751"/>
      <c r="E751" s="1"/>
    </row>
    <row r="752" spans="1:5" x14ac:dyDescent="0.25">
      <c r="A752" s="7">
        <v>59.123924111384746</v>
      </c>
      <c r="B752"/>
      <c r="C752"/>
      <c r="D752"/>
      <c r="E752" s="1"/>
    </row>
    <row r="753" spans="1:5" x14ac:dyDescent="0.25">
      <c r="A753" s="7">
        <v>58.538538724143315</v>
      </c>
      <c r="B753"/>
      <c r="C753"/>
      <c r="D753"/>
      <c r="E753" s="1"/>
    </row>
    <row r="754" spans="1:5" x14ac:dyDescent="0.25">
      <c r="A754" s="7">
        <v>57.958949231825066</v>
      </c>
      <c r="B754"/>
      <c r="C754"/>
      <c r="D754"/>
      <c r="E754" s="1"/>
    </row>
    <row r="755" spans="1:5" x14ac:dyDescent="0.25">
      <c r="A755" s="7">
        <v>57.385098249331747</v>
      </c>
      <c r="B755"/>
      <c r="C755"/>
      <c r="D755"/>
      <c r="E755" s="1"/>
    </row>
    <row r="756" spans="1:5" x14ac:dyDescent="0.25">
      <c r="A756" s="7">
        <v>56.816928959734405</v>
      </c>
      <c r="B756"/>
      <c r="C756"/>
      <c r="D756"/>
      <c r="E756" s="1"/>
    </row>
    <row r="757" spans="1:5" x14ac:dyDescent="0.25">
      <c r="A757" s="7">
        <v>56.254385108647924</v>
      </c>
      <c r="B757"/>
      <c r="C757"/>
      <c r="D757"/>
      <c r="E757" s="1"/>
    </row>
    <row r="758" spans="1:5" x14ac:dyDescent="0.25">
      <c r="A758" s="7">
        <v>55.697410998661312</v>
      </c>
      <c r="B758"/>
      <c r="C758"/>
      <c r="D758"/>
      <c r="E758" s="1"/>
    </row>
    <row r="759" spans="1:5" x14ac:dyDescent="0.25">
      <c r="A759" s="7">
        <v>55.145951483823083</v>
      </c>
      <c r="B759"/>
      <c r="C759"/>
      <c r="D759"/>
      <c r="E759" s="1"/>
    </row>
    <row r="760" spans="1:5" x14ac:dyDescent="0.25">
      <c r="A760" s="7">
        <v>54.599951964181273</v>
      </c>
      <c r="B760"/>
      <c r="C760"/>
      <c r="D760"/>
      <c r="E760" s="1"/>
    </row>
    <row r="761" spans="1:5" x14ac:dyDescent="0.25">
      <c r="A761" s="7">
        <v>54.059358380377496</v>
      </c>
      <c r="B761"/>
      <c r="C761"/>
      <c r="D761"/>
      <c r="E761" s="1"/>
    </row>
    <row r="762" spans="1:5" x14ac:dyDescent="0.25">
      <c r="A762" s="7">
        <v>53.524117208294548</v>
      </c>
      <c r="B762"/>
      <c r="C762"/>
      <c r="D762"/>
      <c r="E762" s="1"/>
    </row>
    <row r="763" spans="1:5" x14ac:dyDescent="0.25">
      <c r="A763" s="7">
        <v>52.994175453756981</v>
      </c>
      <c r="B763"/>
      <c r="C763"/>
      <c r="D763"/>
      <c r="E763" s="1"/>
    </row>
    <row r="764" spans="1:5" x14ac:dyDescent="0.25">
      <c r="A764" s="7">
        <v>52.469480647284136</v>
      </c>
      <c r="B764"/>
      <c r="C764"/>
      <c r="D764"/>
      <c r="E764" s="1"/>
    </row>
    <row r="765" spans="1:5" x14ac:dyDescent="0.25">
      <c r="A765" s="7">
        <v>51.949980838895186</v>
      </c>
      <c r="B765"/>
      <c r="C765"/>
      <c r="D765"/>
      <c r="E765" s="1"/>
    </row>
    <row r="766" spans="1:5" x14ac:dyDescent="0.25">
      <c r="A766" s="7">
        <v>51.435624592965532</v>
      </c>
      <c r="B766"/>
      <c r="C766"/>
      <c r="D766"/>
      <c r="E766" s="1"/>
    </row>
    <row r="767" spans="1:5" x14ac:dyDescent="0.25">
      <c r="A767" s="7">
        <v>50.926360983134188</v>
      </c>
      <c r="B767"/>
      <c r="C767"/>
      <c r="D767"/>
      <c r="E767" s="1"/>
    </row>
    <row r="768" spans="1:5" x14ac:dyDescent="0.25">
      <c r="A768" s="7">
        <v>50.422139587261569</v>
      </c>
      <c r="B768"/>
      <c r="C768"/>
      <c r="D768"/>
      <c r="E768" s="1"/>
    </row>
    <row r="769" spans="1:5" x14ac:dyDescent="0.25">
      <c r="A769" s="7">
        <v>49.922910482437196</v>
      </c>
      <c r="B769"/>
      <c r="C769"/>
      <c r="D769"/>
      <c r="E769" s="1"/>
    </row>
    <row r="770" spans="1:5" x14ac:dyDescent="0.25">
      <c r="A770" s="7">
        <v>49.428624240036825</v>
      </c>
      <c r="B770"/>
      <c r="C770"/>
      <c r="D770"/>
      <c r="E770" s="1"/>
    </row>
    <row r="771" spans="1:5" x14ac:dyDescent="0.25">
      <c r="A771" s="7">
        <v>48.93923192082854</v>
      </c>
      <c r="B771"/>
      <c r="C771"/>
      <c r="D771"/>
      <c r="E771" s="1"/>
    </row>
    <row r="772" spans="1:5" x14ac:dyDescent="0.25">
      <c r="A772" s="7">
        <v>48.454685070127269</v>
      </c>
      <c r="B772"/>
      <c r="C772"/>
      <c r="D772"/>
      <c r="E772" s="1"/>
    </row>
    <row r="773" spans="1:5" x14ac:dyDescent="0.25">
      <c r="A773" s="7">
        <v>47.974935712997294</v>
      </c>
      <c r="B773"/>
      <c r="C773"/>
      <c r="D773"/>
      <c r="E773" s="1"/>
    </row>
    <row r="774" spans="1:5" x14ac:dyDescent="0.25">
      <c r="A774" s="7">
        <v>47.499936349502271</v>
      </c>
      <c r="B774"/>
      <c r="C774"/>
      <c r="D774"/>
      <c r="E774" s="1"/>
    </row>
    <row r="775" spans="1:5" x14ac:dyDescent="0.25">
      <c r="A775" s="7">
        <v>47.029639950002249</v>
      </c>
      <c r="B775"/>
      <c r="C775"/>
      <c r="D775"/>
      <c r="E775" s="1"/>
    </row>
    <row r="776" spans="1:5" x14ac:dyDescent="0.25">
      <c r="A776" s="7">
        <v>46.563999950497276</v>
      </c>
      <c r="B776"/>
      <c r="C776"/>
      <c r="D776"/>
      <c r="E776" s="1"/>
    </row>
    <row r="777" spans="1:5" x14ac:dyDescent="0.25">
      <c r="A777" s="7">
        <v>46.102970248017108</v>
      </c>
      <c r="B777"/>
      <c r="C777"/>
      <c r="D777"/>
      <c r="E777" s="1"/>
    </row>
    <row r="778" spans="1:5" x14ac:dyDescent="0.25">
      <c r="A778" s="7">
        <v>45.646505196056545</v>
      </c>
      <c r="B778"/>
      <c r="C778"/>
      <c r="D778"/>
      <c r="E778" s="1"/>
    </row>
    <row r="779" spans="1:5" x14ac:dyDescent="0.25">
      <c r="A779" s="7">
        <v>45.194559600055982</v>
      </c>
      <c r="B779"/>
      <c r="C779"/>
      <c r="D779"/>
      <c r="E779" s="1"/>
    </row>
    <row r="780" spans="1:5" x14ac:dyDescent="0.25">
      <c r="A780" s="7">
        <v>44.747088712926711</v>
      </c>
      <c r="B780"/>
      <c r="C780"/>
      <c r="D780"/>
      <c r="E780" s="1"/>
    </row>
    <row r="781" spans="1:5" x14ac:dyDescent="0.25">
      <c r="A781" s="7">
        <v>44.304048230620509</v>
      </c>
      <c r="B781"/>
      <c r="C781"/>
      <c r="D781"/>
      <c r="E781" s="1"/>
    </row>
    <row r="782" spans="1:5" x14ac:dyDescent="0.25">
      <c r="A782" s="7">
        <v>43.865394287743079</v>
      </c>
      <c r="B782"/>
      <c r="C782"/>
      <c r="D782"/>
      <c r="E782" s="1"/>
    </row>
    <row r="783" spans="1:5" x14ac:dyDescent="0.25">
      <c r="A783" s="7">
        <v>43.431083453210967</v>
      </c>
      <c r="B783"/>
      <c r="C783"/>
      <c r="D783"/>
      <c r="E783" s="1"/>
    </row>
    <row r="784" spans="1:5" x14ac:dyDescent="0.25">
      <c r="A784" s="7">
        <v>43.001072725951452</v>
      </c>
      <c r="B784"/>
      <c r="C784"/>
      <c r="D784"/>
      <c r="E784" s="1"/>
    </row>
    <row r="785" spans="1:5" x14ac:dyDescent="0.25">
      <c r="A785" s="7">
        <v>42.575319530645004</v>
      </c>
      <c r="B785"/>
      <c r="C785"/>
      <c r="D785"/>
      <c r="E785" s="1"/>
    </row>
    <row r="786" spans="1:5" x14ac:dyDescent="0.25">
      <c r="A786" s="7">
        <v>42.153781713509908</v>
      </c>
      <c r="B786"/>
      <c r="C786"/>
      <c r="D786"/>
      <c r="E786" s="1"/>
    </row>
    <row r="787" spans="1:5" x14ac:dyDescent="0.25">
      <c r="A787" s="7">
        <v>41.73641753812862</v>
      </c>
      <c r="B787"/>
      <c r="C787"/>
      <c r="D787"/>
      <c r="E787" s="1"/>
    </row>
    <row r="788" spans="1:5" x14ac:dyDescent="0.25">
      <c r="A788" s="7">
        <v>41.323185681315465</v>
      </c>
      <c r="B788"/>
      <c r="C788"/>
      <c r="D788"/>
      <c r="E788" s="1"/>
    </row>
    <row r="789" spans="1:5" x14ac:dyDescent="0.25">
      <c r="A789" s="7">
        <v>40.914045229025213</v>
      </c>
      <c r="B789"/>
      <c r="C789"/>
      <c r="D789"/>
      <c r="E789" s="1"/>
    </row>
    <row r="790" spans="1:5" x14ac:dyDescent="0.25">
      <c r="A790" s="7">
        <v>40.508955672302193</v>
      </c>
      <c r="B790"/>
      <c r="C790"/>
      <c r="D790"/>
      <c r="E790" s="1"/>
    </row>
    <row r="791" spans="1:5" x14ac:dyDescent="0.25">
      <c r="A791" s="7">
        <v>40.107876903269499</v>
      </c>
      <c r="B791"/>
      <c r="C791"/>
      <c r="D791"/>
      <c r="E791" s="1"/>
    </row>
    <row r="792" spans="1:5" x14ac:dyDescent="0.25">
      <c r="A792" s="7">
        <v>39.710769211157917</v>
      </c>
      <c r="B792"/>
      <c r="C792"/>
      <c r="D792"/>
      <c r="E792" s="1"/>
    </row>
    <row r="793" spans="1:5" x14ac:dyDescent="0.25">
      <c r="A793" s="7">
        <v>39.317593278374176</v>
      </c>
      <c r="B793"/>
      <c r="C793"/>
      <c r="D793"/>
      <c r="E793" s="1"/>
    </row>
    <row r="794" spans="1:5" x14ac:dyDescent="0.25">
      <c r="A794" s="7">
        <v>38.928310176608093</v>
      </c>
      <c r="B794"/>
      <c r="C794"/>
      <c r="D794"/>
      <c r="E794" s="1"/>
    </row>
    <row r="795" spans="1:5" x14ac:dyDescent="0.25">
      <c r="A795" s="7">
        <v>38.542881362978306</v>
      </c>
      <c r="B795"/>
      <c r="C795"/>
      <c r="D795"/>
      <c r="E795" s="1"/>
    </row>
    <row r="796" spans="1:5" x14ac:dyDescent="0.25">
      <c r="A796" s="7">
        <v>38.161268676216146</v>
      </c>
      <c r="B796"/>
      <c r="C796"/>
      <c r="D796"/>
      <c r="E796" s="1"/>
    </row>
    <row r="797" spans="1:5" x14ac:dyDescent="0.25">
      <c r="A797" s="7">
        <v>37.783434332887275</v>
      </c>
      <c r="B797"/>
      <c r="C797"/>
      <c r="D797"/>
      <c r="E797" s="1"/>
    </row>
    <row r="798" spans="1:5" x14ac:dyDescent="0.25">
      <c r="A798" s="7">
        <v>37.409340923650767</v>
      </c>
      <c r="B798"/>
      <c r="C798"/>
      <c r="D798"/>
      <c r="E798" s="1"/>
    </row>
    <row r="799" spans="1:5" x14ac:dyDescent="0.25">
      <c r="A799" s="7">
        <v>37.038951409555217</v>
      </c>
      <c r="B799"/>
      <c r="C799"/>
      <c r="D799"/>
      <c r="E799" s="1"/>
    </row>
    <row r="800" spans="1:5" x14ac:dyDescent="0.25">
      <c r="A800" s="7">
        <v>36.672229118371504</v>
      </c>
      <c r="B800"/>
      <c r="C800"/>
      <c r="D800"/>
      <c r="E800" s="1"/>
    </row>
    <row r="801" spans="1:5" x14ac:dyDescent="0.25">
      <c r="A801" s="7">
        <v>36.309137740961887</v>
      </c>
      <c r="B801"/>
      <c r="C801"/>
      <c r="D801"/>
      <c r="E801" s="1"/>
    </row>
    <row r="802" spans="1:5" x14ac:dyDescent="0.25">
      <c r="A802" s="7">
        <v>35.949641327685036</v>
      </c>
      <c r="B802"/>
      <c r="C802"/>
      <c r="D802"/>
      <c r="E802" s="1"/>
    </row>
    <row r="803" spans="1:5" x14ac:dyDescent="0.25">
      <c r="A803" s="7">
        <v>35.593704284836669</v>
      </c>
      <c r="B803"/>
      <c r="C803"/>
      <c r="D803"/>
      <c r="E803" s="1"/>
    </row>
    <row r="804" spans="1:5" x14ac:dyDescent="0.25">
      <c r="A804" s="7">
        <v>35.241291371125413</v>
      </c>
      <c r="B804"/>
      <c r="C804"/>
      <c r="D804"/>
      <c r="E804" s="1"/>
    </row>
    <row r="805" spans="1:5" x14ac:dyDescent="0.25">
      <c r="A805" s="7">
        <v>34.892367694183577</v>
      </c>
      <c r="B805"/>
      <c r="C805"/>
      <c r="D805"/>
      <c r="E805" s="1"/>
    </row>
    <row r="806" spans="1:5" x14ac:dyDescent="0.25">
      <c r="A806" s="7">
        <v>34.546898707112454</v>
      </c>
      <c r="B806"/>
      <c r="C806"/>
      <c r="D806"/>
      <c r="E806" s="1"/>
    </row>
    <row r="807" spans="1:5" x14ac:dyDescent="0.25">
      <c r="A807" s="7">
        <v>34.204850205061838</v>
      </c>
      <c r="B807"/>
      <c r="C807"/>
      <c r="D807"/>
      <c r="E807" s="1"/>
    </row>
    <row r="808" spans="1:5" x14ac:dyDescent="0.25">
      <c r="A808" s="7">
        <v>33.866188321843403</v>
      </c>
      <c r="B808"/>
      <c r="C808"/>
      <c r="D808"/>
      <c r="E808" s="1"/>
    </row>
    <row r="809" spans="1:5" x14ac:dyDescent="0.25">
      <c r="A809" s="7">
        <v>33.530879526577628</v>
      </c>
      <c r="B809"/>
      <c r="C809"/>
      <c r="D809"/>
      <c r="E809" s="1"/>
    </row>
    <row r="810" spans="1:5" x14ac:dyDescent="0.25">
      <c r="A810" s="7">
        <v>33.198890620373888</v>
      </c>
      <c r="B810"/>
      <c r="C810"/>
      <c r="D810"/>
      <c r="E810" s="1"/>
    </row>
    <row r="811" spans="1:5" x14ac:dyDescent="0.25">
      <c r="A811" s="7">
        <v>32.870188733043456</v>
      </c>
      <c r="B811"/>
      <c r="C811"/>
      <c r="D811"/>
      <c r="E811" s="1"/>
    </row>
    <row r="812" spans="1:5" x14ac:dyDescent="0.25">
      <c r="A812" s="7">
        <v>32.544741319845002</v>
      </c>
      <c r="B812"/>
      <c r="C812"/>
      <c r="D812"/>
      <c r="E812" s="1"/>
    </row>
    <row r="813" spans="1:5" x14ac:dyDescent="0.25">
      <c r="A813" s="7">
        <v>32.22251615826238</v>
      </c>
      <c r="B813"/>
      <c r="C813"/>
      <c r="D813"/>
      <c r="E813" s="1"/>
    </row>
    <row r="814" spans="1:5" x14ac:dyDescent="0.25">
      <c r="A814" s="7">
        <v>31.903481344814235</v>
      </c>
      <c r="B814"/>
      <c r="C814"/>
      <c r="D814"/>
      <c r="E814" s="1"/>
    </row>
    <row r="815" spans="1:5" x14ac:dyDescent="0.25">
      <c r="A815" s="7">
        <v>31.587605291895283</v>
      </c>
      <c r="B815"/>
      <c r="C815"/>
      <c r="D815"/>
      <c r="E815" s="1"/>
    </row>
    <row r="816" spans="1:5" x14ac:dyDescent="0.25">
      <c r="A816" s="7">
        <v>31.274856724648796</v>
      </c>
      <c r="B816"/>
      <c r="C816"/>
      <c r="D816"/>
      <c r="E816" s="1"/>
    </row>
    <row r="817" spans="1:5" x14ac:dyDescent="0.25">
      <c r="A817" s="7">
        <v>30.965204677870094</v>
      </c>
      <c r="B817"/>
      <c r="C817"/>
      <c r="D817"/>
      <c r="E817" s="1"/>
    </row>
    <row r="818" spans="1:5" x14ac:dyDescent="0.25">
      <c r="A818" s="7">
        <v>30.658618492940686</v>
      </c>
      <c r="B818"/>
      <c r="C818"/>
      <c r="D818"/>
      <c r="E818" s="1"/>
    </row>
    <row r="819" spans="1:5" x14ac:dyDescent="0.25">
      <c r="A819" s="7">
        <v>30.355067814792758</v>
      </c>
      <c r="B819"/>
      <c r="C819"/>
      <c r="D819"/>
      <c r="E819" s="1"/>
    </row>
    <row r="820" spans="1:5" x14ac:dyDescent="0.25">
      <c r="A820" s="7">
        <v>30.054522588903719</v>
      </c>
      <c r="B820"/>
      <c r="C820"/>
      <c r="D820"/>
      <c r="E820" s="1"/>
    </row>
    <row r="821" spans="1:5" x14ac:dyDescent="0.25">
      <c r="A821" s="7">
        <v>29.756953058320512</v>
      </c>
      <c r="B821"/>
      <c r="C821"/>
      <c r="D821"/>
      <c r="E821" s="1"/>
    </row>
    <row r="822" spans="1:5" x14ac:dyDescent="0.25">
      <c r="A822" s="7">
        <v>29.462329760713377</v>
      </c>
      <c r="B822"/>
      <c r="C822"/>
      <c r="D822"/>
      <c r="E822" s="1"/>
    </row>
    <row r="823" spans="1:5" x14ac:dyDescent="0.25">
      <c r="A823" s="7">
        <v>29.17062352545879</v>
      </c>
      <c r="B823"/>
      <c r="C823"/>
      <c r="D823"/>
      <c r="E823" s="1"/>
    </row>
    <row r="824" spans="1:5" x14ac:dyDescent="0.25">
      <c r="A824" s="7">
        <v>28.881805470751278</v>
      </c>
      <c r="B824"/>
      <c r="C824"/>
      <c r="D824"/>
      <c r="E824" s="1"/>
    </row>
    <row r="825" spans="1:5" x14ac:dyDescent="0.25">
      <c r="A825" s="7">
        <v>28.595847000743838</v>
      </c>
      <c r="B825"/>
      <c r="C825"/>
      <c r="D825"/>
      <c r="E825" s="1"/>
    </row>
    <row r="826" spans="1:5" x14ac:dyDescent="0.25">
      <c r="A826" s="7">
        <v>28.312719802716671</v>
      </c>
      <c r="B826"/>
      <c r="C826"/>
      <c r="D826"/>
      <c r="E826" s="1"/>
    </row>
    <row r="827" spans="1:5" x14ac:dyDescent="0.25">
      <c r="A827" s="7">
        <v>28.032395844273932</v>
      </c>
      <c r="B827"/>
      <c r="C827"/>
      <c r="D827"/>
      <c r="E827" s="1"/>
    </row>
    <row r="828" spans="1:5" x14ac:dyDescent="0.25">
      <c r="A828" s="7">
        <v>27.75484737056825</v>
      </c>
      <c r="B828"/>
      <c r="C828"/>
      <c r="D828"/>
      <c r="E828" s="1"/>
    </row>
    <row r="829" spans="1:5" x14ac:dyDescent="0.25">
      <c r="A829" s="7">
        <v>27.480046901552722</v>
      </c>
      <c r="B829"/>
      <c r="C829"/>
      <c r="D829"/>
      <c r="E829" s="1"/>
    </row>
    <row r="830" spans="1:5" x14ac:dyDescent="0.25">
      <c r="A830" s="7">
        <v>27.20796722926012</v>
      </c>
      <c r="B830"/>
      <c r="C830"/>
      <c r="D830"/>
      <c r="E830" s="1"/>
    </row>
    <row r="831" spans="1:5" x14ac:dyDescent="0.25">
      <c r="A831" s="7">
        <v>26.938581415109031</v>
      </c>
      <c r="B831"/>
      <c r="C831"/>
      <c r="D831"/>
      <c r="E831" s="1"/>
    </row>
    <row r="832" spans="1:5" x14ac:dyDescent="0.25">
      <c r="A832" s="7">
        <v>26.671862787236662</v>
      </c>
      <c r="B832"/>
      <c r="C832"/>
      <c r="D832"/>
      <c r="E832" s="1"/>
    </row>
    <row r="833" spans="1:5" x14ac:dyDescent="0.25">
      <c r="A833" s="7">
        <v>26.407784937858082</v>
      </c>
      <c r="B833"/>
      <c r="C833"/>
      <c r="D833"/>
      <c r="E833" s="1"/>
    </row>
    <row r="834" spans="1:5" x14ac:dyDescent="0.25">
      <c r="A834" s="7">
        <v>26.146321720651567</v>
      </c>
      <c r="B834"/>
      <c r="C834"/>
      <c r="D834"/>
      <c r="E834" s="1"/>
    </row>
    <row r="835" spans="1:5" x14ac:dyDescent="0.25">
      <c r="A835" s="7">
        <v>25.887447248169867</v>
      </c>
      <c r="B835"/>
      <c r="C835"/>
      <c r="D835"/>
      <c r="E835" s="1"/>
    </row>
    <row r="836" spans="1:5" x14ac:dyDescent="0.25">
      <c r="A836" s="7">
        <v>25.631135889277097</v>
      </c>
      <c r="B836"/>
      <c r="C836"/>
      <c r="D836"/>
      <c r="E836" s="1"/>
    </row>
    <row r="837" spans="1:5" x14ac:dyDescent="0.25">
      <c r="A837" s="7">
        <v>25.377362266610987</v>
      </c>
      <c r="B837"/>
      <c r="C837"/>
      <c r="D837"/>
      <c r="E837" s="1"/>
    </row>
    <row r="838" spans="1:5" x14ac:dyDescent="0.25">
      <c r="A838" s="7">
        <v>25.126101254070285</v>
      </c>
      <c r="B838"/>
      <c r="C838"/>
      <c r="D838"/>
      <c r="E838" s="1"/>
    </row>
    <row r="839" spans="1:5" x14ac:dyDescent="0.25">
      <c r="A839" s="7">
        <v>24.877327974327013</v>
      </c>
      <c r="B839"/>
      <c r="C839"/>
      <c r="D839"/>
      <c r="E839" s="1"/>
    </row>
    <row r="840" spans="1:5" x14ac:dyDescent="0.25">
      <c r="A840" s="7">
        <v>24.631017796363381</v>
      </c>
      <c r="B840"/>
      <c r="C840"/>
      <c r="D840"/>
      <c r="E840" s="1"/>
    </row>
    <row r="841" spans="1:5" x14ac:dyDescent="0.25">
      <c r="A841" s="7">
        <v>24.387146333033051</v>
      </c>
      <c r="B841"/>
      <c r="C841"/>
      <c r="D841"/>
      <c r="E841" s="1"/>
    </row>
    <row r="842" spans="1:5" x14ac:dyDescent="0.25">
      <c r="A842" s="7">
        <v>24.145689438646585</v>
      </c>
      <c r="B842"/>
      <c r="C842"/>
      <c r="D842"/>
      <c r="E842" s="1"/>
    </row>
    <row r="843" spans="1:5" x14ac:dyDescent="0.25">
      <c r="A843" s="7">
        <v>23.906623206580775</v>
      </c>
      <c r="B843"/>
      <c r="C843"/>
      <c r="D843"/>
      <c r="E843" s="1"/>
    </row>
    <row r="844" spans="1:5" x14ac:dyDescent="0.25">
      <c r="A844" s="7">
        <v>23.669923966911657</v>
      </c>
      <c r="B844"/>
      <c r="C844"/>
      <c r="D844"/>
      <c r="E844" s="1"/>
    </row>
    <row r="845" spans="1:5" x14ac:dyDescent="0.25">
      <c r="A845" s="7">
        <v>23.435568284070946</v>
      </c>
      <c r="B845"/>
      <c r="C845"/>
      <c r="D845"/>
      <c r="E845" s="1"/>
    </row>
    <row r="846" spans="1:5" x14ac:dyDescent="0.25">
      <c r="A846" s="7">
        <v>23.203532954525688</v>
      </c>
      <c r="B846"/>
      <c r="C846"/>
      <c r="D846"/>
      <c r="E846" s="1"/>
    </row>
    <row r="847" spans="1:5" x14ac:dyDescent="0.25">
      <c r="A847" s="7">
        <v>22.973795004480881</v>
      </c>
      <c r="B847"/>
      <c r="C847"/>
      <c r="D847"/>
      <c r="E847" s="1"/>
    </row>
    <row r="848" spans="1:5" x14ac:dyDescent="0.25">
      <c r="A848" s="7">
        <v>22.746331687604833</v>
      </c>
      <c r="B848"/>
      <c r="C848"/>
      <c r="D848"/>
      <c r="E848" s="1"/>
    </row>
    <row r="849" spans="1:5" x14ac:dyDescent="0.25">
      <c r="A849" s="7">
        <v>22.521120482777061</v>
      </c>
      <c r="B849"/>
      <c r="C849"/>
      <c r="D849"/>
      <c r="E849" s="1"/>
    </row>
    <row r="850" spans="1:5" x14ac:dyDescent="0.25">
      <c r="A850" s="7">
        <v>22.298139091858477</v>
      </c>
      <c r="B850"/>
      <c r="C850"/>
      <c r="D850"/>
      <c r="E850" s="1"/>
    </row>
    <row r="851" spans="1:5" x14ac:dyDescent="0.25">
      <c r="A851" s="7">
        <v>22.077365437483639</v>
      </c>
      <c r="B851"/>
      <c r="C851"/>
      <c r="D851"/>
      <c r="E851" s="1"/>
    </row>
    <row r="852" spans="1:5" x14ac:dyDescent="0.25">
      <c r="A852" s="7">
        <v>21.858777660874889</v>
      </c>
      <c r="B852"/>
      <c r="C852"/>
      <c r="D852"/>
      <c r="E852" s="1"/>
    </row>
    <row r="853" spans="1:5" x14ac:dyDescent="0.25">
      <c r="A853" s="7">
        <v>21.642354119678107</v>
      </c>
      <c r="B853"/>
      <c r="C853"/>
      <c r="D853"/>
      <c r="E853" s="1"/>
    </row>
    <row r="854" spans="1:5" x14ac:dyDescent="0.25">
      <c r="A854" s="7">
        <v>21.428073385819907</v>
      </c>
      <c r="B854"/>
      <c r="C854"/>
      <c r="D854"/>
      <c r="E854" s="1"/>
    </row>
    <row r="855" spans="1:5" x14ac:dyDescent="0.25">
      <c r="A855" s="7">
        <v>21.215914243386045</v>
      </c>
      <c r="B855"/>
      <c r="C855"/>
      <c r="D855"/>
      <c r="E855" s="1"/>
    </row>
    <row r="856" spans="1:5" x14ac:dyDescent="0.25">
      <c r="A856" s="7">
        <v>21.005855686520835</v>
      </c>
      <c r="B856"/>
      <c r="C856"/>
      <c r="D856"/>
      <c r="E856" s="1"/>
    </row>
    <row r="857" spans="1:5" x14ac:dyDescent="0.25">
      <c r="A857" s="7">
        <v>20.797876917347363</v>
      </c>
      <c r="B857"/>
      <c r="C857"/>
      <c r="D857"/>
      <c r="E857" s="1"/>
    </row>
    <row r="858" spans="1:5" x14ac:dyDescent="0.25">
      <c r="A858" s="7">
        <v>20.59195734390828</v>
      </c>
      <c r="B858"/>
      <c r="C858"/>
      <c r="D858"/>
      <c r="E858" s="1"/>
    </row>
    <row r="859" spans="1:5" x14ac:dyDescent="0.25">
      <c r="A859" s="7">
        <v>20.388076578127009</v>
      </c>
      <c r="B859"/>
      <c r="C859"/>
      <c r="D859"/>
      <c r="E859" s="1"/>
    </row>
    <row r="860" spans="1:5" x14ac:dyDescent="0.25">
      <c r="A860" s="7">
        <v>20.186214433789118</v>
      </c>
      <c r="B860"/>
      <c r="C860"/>
      <c r="D860"/>
      <c r="E860" s="1"/>
    </row>
    <row r="861" spans="1:5" x14ac:dyDescent="0.25">
      <c r="A861" s="7">
        <v>19.986350924543682</v>
      </c>
      <c r="B861"/>
      <c r="C861"/>
      <c r="D861"/>
      <c r="E861" s="1"/>
    </row>
    <row r="862" spans="1:5" x14ac:dyDescent="0.25">
      <c r="A862" s="7">
        <v>19.788466261924437</v>
      </c>
      <c r="B862"/>
      <c r="C862"/>
      <c r="D862"/>
      <c r="E862" s="1"/>
    </row>
    <row r="863" spans="1:5" x14ac:dyDescent="0.25">
      <c r="A863" s="7">
        <v>19.592540853390531</v>
      </c>
      <c r="B863"/>
      <c r="C863"/>
      <c r="D863"/>
      <c r="E863" s="1"/>
    </row>
    <row r="864" spans="1:5" x14ac:dyDescent="0.25">
      <c r="A864" s="7">
        <v>19.398555300386665</v>
      </c>
      <c r="B864"/>
      <c r="C864"/>
      <c r="D864"/>
      <c r="E864" s="1"/>
    </row>
    <row r="865" spans="1:5" x14ac:dyDescent="0.25">
      <c r="A865" s="7">
        <v>19.206490396422442</v>
      </c>
      <c r="B865"/>
      <c r="C865"/>
      <c r="D865"/>
      <c r="E865" s="1"/>
    </row>
    <row r="866" spans="1:5" x14ac:dyDescent="0.25">
      <c r="A866" s="7">
        <v>19.016327125170733</v>
      </c>
      <c r="B866"/>
      <c r="C866"/>
      <c r="D866"/>
      <c r="E866" s="1"/>
    </row>
    <row r="867" spans="1:5" x14ac:dyDescent="0.25">
      <c r="A867" s="7">
        <v>18.828046658584885</v>
      </c>
      <c r="B867"/>
      <c r="C867"/>
      <c r="D867"/>
      <c r="E867" s="1"/>
    </row>
    <row r="868" spans="1:5" x14ac:dyDescent="0.25">
      <c r="A868" s="7">
        <v>18.64163035503454</v>
      </c>
      <c r="B868"/>
      <c r="C868"/>
      <c r="D868"/>
      <c r="E868" s="1"/>
    </row>
    <row r="869" spans="1:5" x14ac:dyDescent="0.25">
      <c r="A869" s="7">
        <v>18.457059757459941</v>
      </c>
      <c r="B869"/>
      <c r="C869"/>
      <c r="D869"/>
      <c r="E869" s="1"/>
    </row>
    <row r="870" spans="1:5" x14ac:dyDescent="0.25">
      <c r="A870" s="7">
        <v>18.274316591544498</v>
      </c>
      <c r="B870"/>
      <c r="C870"/>
      <c r="D870"/>
      <c r="E870" s="1"/>
    </row>
    <row r="871" spans="1:5" x14ac:dyDescent="0.25">
      <c r="A871" s="7">
        <v>18.093382763905442</v>
      </c>
      <c r="B871"/>
      <c r="C871"/>
      <c r="D871"/>
      <c r="E871" s="1"/>
    </row>
    <row r="872" spans="1:5" x14ac:dyDescent="0.25">
      <c r="A872" s="7">
        <v>17.914240360302419</v>
      </c>
      <c r="B872"/>
      <c r="C872"/>
      <c r="D872"/>
      <c r="E872" s="1"/>
    </row>
    <row r="873" spans="1:5" x14ac:dyDescent="0.25">
      <c r="A873" s="7">
        <v>17.736871643863779</v>
      </c>
      <c r="B873"/>
      <c r="C873"/>
      <c r="D873"/>
      <c r="E873" s="1"/>
    </row>
    <row r="874" spans="1:5" x14ac:dyDescent="0.25">
      <c r="A874" s="7">
        <v>17.561259053330474</v>
      </c>
      <c r="B874"/>
      <c r="C874"/>
      <c r="D874"/>
      <c r="E874" s="1"/>
    </row>
    <row r="875" spans="1:5" x14ac:dyDescent="0.25">
      <c r="A875" s="7">
        <v>17.387385201317301</v>
      </c>
      <c r="B875"/>
      <c r="C875"/>
      <c r="D875"/>
      <c r="E875" s="1"/>
    </row>
    <row r="876" spans="1:5" x14ac:dyDescent="0.25">
      <c r="A876" s="7">
        <v>17.215232872591386</v>
      </c>
      <c r="B876"/>
      <c r="C876"/>
      <c r="D876"/>
      <c r="E876" s="1"/>
    </row>
    <row r="877" spans="1:5" x14ac:dyDescent="0.25">
      <c r="A877" s="7">
        <v>17.044785022367709</v>
      </c>
      <c r="B877"/>
      <c r="C877"/>
      <c r="D877"/>
      <c r="E877" s="1"/>
    </row>
    <row r="878" spans="1:5" x14ac:dyDescent="0.25">
      <c r="A878" s="7">
        <v>16.876024774621495</v>
      </c>
      <c r="B878"/>
      <c r="C878"/>
      <c r="D878"/>
      <c r="E878" s="1"/>
    </row>
    <row r="879" spans="1:5" x14ac:dyDescent="0.25">
      <c r="A879" s="7">
        <v>16.708935420417323</v>
      </c>
      <c r="B879"/>
      <c r="C879"/>
      <c r="D879"/>
      <c r="E879" s="1"/>
    </row>
    <row r="880" spans="1:5" x14ac:dyDescent="0.25">
      <c r="A880" s="7">
        <v>16.543500416254776</v>
      </c>
      <c r="B880"/>
      <c r="C880"/>
      <c r="D880"/>
      <c r="E880" s="1"/>
    </row>
    <row r="881" spans="1:5" x14ac:dyDescent="0.25">
      <c r="A881" s="7">
        <v>16.379703382430471</v>
      </c>
      <c r="B881"/>
      <c r="C881"/>
      <c r="D881"/>
      <c r="E881" s="1"/>
    </row>
    <row r="882" spans="1:5" x14ac:dyDescent="0.25">
      <c r="A882" s="7">
        <v>16.217528101416306</v>
      </c>
      <c r="B882"/>
      <c r="C882"/>
      <c r="D882"/>
      <c r="E882" s="1"/>
    </row>
    <row r="883" spans="1:5" x14ac:dyDescent="0.25">
      <c r="A883" s="7">
        <v>16.056958516253768</v>
      </c>
      <c r="B883"/>
      <c r="C883"/>
      <c r="D883"/>
      <c r="E883" s="1"/>
    </row>
    <row r="884" spans="1:5" x14ac:dyDescent="0.25">
      <c r="A884" s="7">
        <v>15.897978728964127</v>
      </c>
      <c r="B884"/>
      <c r="C884"/>
      <c r="D884"/>
      <c r="E884" s="1"/>
    </row>
    <row r="885" spans="1:5" x14ac:dyDescent="0.25">
      <c r="A885" s="7">
        <v>15.740572998974383</v>
      </c>
      <c r="B885"/>
      <c r="C885"/>
      <c r="D885"/>
      <c r="E885" s="1"/>
    </row>
    <row r="886" spans="1:5" x14ac:dyDescent="0.25">
      <c r="A886" s="7">
        <v>15.584725741558794</v>
      </c>
      <c r="B886"/>
      <c r="C886"/>
      <c r="D886"/>
      <c r="E886" s="1"/>
    </row>
    <row r="887" spans="1:5" x14ac:dyDescent="0.25">
      <c r="A887" s="7">
        <v>15.430421526295834</v>
      </c>
      <c r="B887"/>
      <c r="C887"/>
      <c r="D887"/>
      <c r="E887" s="1"/>
    </row>
    <row r="888" spans="1:5" x14ac:dyDescent="0.25">
      <c r="A888" s="7">
        <v>15.27764507554043</v>
      </c>
      <c r="B888"/>
      <c r="C888"/>
      <c r="D888"/>
      <c r="E888" s="1"/>
    </row>
    <row r="889" spans="1:5" x14ac:dyDescent="0.25">
      <c r="A889" s="7">
        <v>15.126381262911318</v>
      </c>
      <c r="B889"/>
      <c r="C889"/>
      <c r="D889"/>
      <c r="E889" s="1"/>
    </row>
    <row r="890" spans="1:5" x14ac:dyDescent="0.25">
      <c r="A890" s="7">
        <v>14.976615111793384</v>
      </c>
      <c r="B890"/>
      <c r="C890"/>
      <c r="D890"/>
      <c r="E890" s="1"/>
    </row>
    <row r="891" spans="1:5" x14ac:dyDescent="0.25">
      <c r="A891" s="7">
        <v>14.828331793854836</v>
      </c>
      <c r="B891"/>
      <c r="C891"/>
      <c r="D891"/>
      <c r="E891" s="1"/>
    </row>
    <row r="892" spans="1:5" x14ac:dyDescent="0.25">
      <c r="A892" s="7">
        <v>14.681516627579047</v>
      </c>
      <c r="B892"/>
      <c r="C892"/>
      <c r="D892"/>
      <c r="E892" s="1"/>
    </row>
    <row r="893" spans="1:5" x14ac:dyDescent="0.25">
      <c r="A893" s="7">
        <v>14.536155076810937</v>
      </c>
      <c r="B893"/>
      <c r="C893"/>
      <c r="D893"/>
      <c r="E893" s="1"/>
    </row>
    <row r="894" spans="1:5" x14ac:dyDescent="0.25">
      <c r="A894" s="7">
        <v>14.39223274931776</v>
      </c>
      <c r="B894"/>
      <c r="C894"/>
      <c r="D894"/>
      <c r="E894" s="1"/>
    </row>
    <row r="895" spans="1:5" x14ac:dyDescent="0.25">
      <c r="A895" s="7">
        <v>14.249735395364118</v>
      </c>
      <c r="B895"/>
      <c r="C895"/>
      <c r="D895"/>
      <c r="E895" s="1"/>
    </row>
    <row r="896" spans="1:5" x14ac:dyDescent="0.25">
      <c r="A896" s="7">
        <v>14.108648906301106</v>
      </c>
      <c r="B896"/>
      <c r="C896"/>
      <c r="D896"/>
      <c r="E896" s="1"/>
    </row>
    <row r="897" spans="1:5" x14ac:dyDescent="0.25">
      <c r="A897" s="7">
        <v>13.968959313169412</v>
      </c>
      <c r="B897"/>
      <c r="C897"/>
      <c r="D897"/>
      <c r="E897" s="1"/>
    </row>
    <row r="898" spans="1:5" x14ac:dyDescent="0.25">
      <c r="A898" s="7">
        <v>13.83065278531625</v>
      </c>
      <c r="B898"/>
      <c r="C898"/>
      <c r="D898"/>
      <c r="E898" s="1"/>
    </row>
    <row r="899" spans="1:5" x14ac:dyDescent="0.25">
      <c r="A899" s="7">
        <v>13.69371562902599</v>
      </c>
      <c r="B899"/>
      <c r="C899"/>
      <c r="D899"/>
      <c r="E899" s="1"/>
    </row>
    <row r="900" spans="1:5" x14ac:dyDescent="0.25">
      <c r="A900" s="7">
        <v>13.558134286164346</v>
      </c>
      <c r="B900"/>
      <c r="C900"/>
      <c r="D900"/>
      <c r="E900" s="1"/>
    </row>
    <row r="901" spans="1:5" x14ac:dyDescent="0.25">
      <c r="A901" s="7">
        <v>13.423895332835986</v>
      </c>
      <c r="B901"/>
      <c r="C901"/>
      <c r="D901"/>
      <c r="E901" s="1"/>
    </row>
    <row r="902" spans="1:5" x14ac:dyDescent="0.25">
      <c r="A902" s="7">
        <v>13.290985478055433</v>
      </c>
      <c r="B902"/>
      <c r="C902"/>
      <c r="D902"/>
      <c r="E902" s="1"/>
    </row>
    <row r="903" spans="1:5" x14ac:dyDescent="0.25">
      <c r="A903" s="7">
        <v>13.159391562431122</v>
      </c>
      <c r="B903"/>
      <c r="C903"/>
      <c r="D903"/>
      <c r="E903" s="1"/>
    </row>
    <row r="904" spans="1:5" x14ac:dyDescent="0.25">
      <c r="A904" s="7">
        <v>13.029100556862497</v>
      </c>
      <c r="B904"/>
      <c r="C904"/>
      <c r="D904"/>
      <c r="E904" s="1"/>
    </row>
    <row r="905" spans="1:5" x14ac:dyDescent="0.25">
      <c r="A905" s="7">
        <v>12.900099561249997</v>
      </c>
      <c r="B905"/>
      <c r="C905"/>
      <c r="D905"/>
      <c r="E905" s="1"/>
    </row>
    <row r="906" spans="1:5" x14ac:dyDescent="0.25">
      <c r="A906" s="7">
        <v>12.772375803217818</v>
      </c>
      <c r="B906"/>
      <c r="C906"/>
      <c r="D906"/>
      <c r="E906" s="1"/>
    </row>
    <row r="907" spans="1:5" x14ac:dyDescent="0.25">
      <c r="A907" s="7">
        <v>12.645916636849325</v>
      </c>
      <c r="B907"/>
      <c r="C907"/>
      <c r="D907"/>
      <c r="E907" s="1"/>
    </row>
    <row r="908" spans="1:5" x14ac:dyDescent="0.25">
      <c r="A908" s="7">
        <v>12.520709541434975</v>
      </c>
      <c r="B908"/>
      <c r="C908"/>
      <c r="D908"/>
      <c r="E908" s="1"/>
    </row>
    <row r="909" spans="1:5" x14ac:dyDescent="0.25">
      <c r="A909" s="7">
        <v>12.396742120232648</v>
      </c>
      <c r="B909"/>
      <c r="C909"/>
      <c r="D909"/>
      <c r="E909" s="1"/>
    </row>
    <row r="910" spans="1:5" x14ac:dyDescent="0.25">
      <c r="A910" s="7">
        <v>12.274002099240246</v>
      </c>
      <c r="B910"/>
      <c r="C910"/>
      <c r="D910"/>
      <c r="E910" s="1"/>
    </row>
    <row r="911" spans="1:5" x14ac:dyDescent="0.25">
      <c r="A911" s="7">
        <v>12.152477325980442</v>
      </c>
      <c r="B911"/>
      <c r="C911"/>
      <c r="D911"/>
      <c r="E911" s="1"/>
    </row>
    <row r="912" spans="1:5" x14ac:dyDescent="0.25">
      <c r="A912" s="7">
        <v>12.032155768297468</v>
      </c>
      <c r="B912"/>
      <c r="C912"/>
      <c r="D912"/>
      <c r="E912" s="1"/>
    </row>
    <row r="913" spans="1:5" x14ac:dyDescent="0.25">
      <c r="A913" s="7">
        <v>11.91302551316581</v>
      </c>
      <c r="B913"/>
      <c r="C913"/>
      <c r="D913"/>
      <c r="E913" s="1"/>
    </row>
    <row r="914" spans="1:5" x14ac:dyDescent="0.25">
      <c r="A914" s="7">
        <v>11.795074765510703</v>
      </c>
      <c r="B914"/>
      <c r="C914"/>
      <c r="D914"/>
      <c r="E914" s="1"/>
    </row>
    <row r="915" spans="1:5" x14ac:dyDescent="0.25">
      <c r="A915" s="7">
        <v>11.678291847040301</v>
      </c>
      <c r="B915"/>
      <c r="C915"/>
      <c r="D915"/>
      <c r="E915" s="1"/>
    </row>
    <row r="916" spans="1:5" x14ac:dyDescent="0.25">
      <c r="A916" s="7">
        <v>11.562665195089407</v>
      </c>
      <c r="B916"/>
      <c r="C916"/>
      <c r="D916"/>
      <c r="E916" s="1"/>
    </row>
    <row r="917" spans="1:5" x14ac:dyDescent="0.25">
      <c r="A917" s="7">
        <v>11.44818336147466</v>
      </c>
      <c r="B917"/>
      <c r="C917"/>
      <c r="D917"/>
      <c r="E917" s="1"/>
    </row>
    <row r="918" spans="1:5" x14ac:dyDescent="0.25">
      <c r="A918" s="7">
        <v>11.334835011361049</v>
      </c>
      <c r="B918"/>
      <c r="C918"/>
      <c r="D918"/>
      <c r="E918" s="1"/>
    </row>
    <row r="919" spans="1:5" x14ac:dyDescent="0.25">
      <c r="A919" s="7">
        <v>11.222608922139653</v>
      </c>
      <c r="B919"/>
      <c r="C919"/>
      <c r="D919"/>
      <c r="E919" s="1"/>
    </row>
    <row r="920" spans="1:5" x14ac:dyDescent="0.25">
      <c r="A920" s="7">
        <v>11.111493982316487</v>
      </c>
      <c r="B920"/>
      <c r="C920"/>
      <c r="D920"/>
      <c r="E920" s="1"/>
    </row>
    <row r="921" spans="1:5" x14ac:dyDescent="0.25">
      <c r="A921" s="7">
        <v>11.001479190412363</v>
      </c>
      <c r="B921"/>
      <c r="C921"/>
      <c r="D921"/>
      <c r="E921" s="1"/>
    </row>
    <row r="922" spans="1:5" x14ac:dyDescent="0.25">
      <c r="A922" s="7">
        <v>10.892553653873627</v>
      </c>
      <c r="B922"/>
      <c r="C922"/>
      <c r="D922"/>
      <c r="E922" s="1"/>
    </row>
    <row r="923" spans="1:5" x14ac:dyDescent="0.25">
      <c r="A923" s="7">
        <v>10.784706587993689</v>
      </c>
      <c r="B923"/>
      <c r="C923"/>
      <c r="D923"/>
      <c r="E923" s="1"/>
    </row>
    <row r="924" spans="1:5" x14ac:dyDescent="0.25">
      <c r="A924" s="7">
        <v>10.677927314845236</v>
      </c>
      <c r="B924"/>
      <c r="C924"/>
      <c r="D924"/>
      <c r="E924" s="1"/>
    </row>
    <row r="925" spans="1:5" x14ac:dyDescent="0.25">
      <c r="A925" s="7">
        <v>10.572205262223006</v>
      </c>
      <c r="B925"/>
      <c r="C925"/>
      <c r="D925"/>
      <c r="E925" s="1"/>
    </row>
    <row r="926" spans="1:5" x14ac:dyDescent="0.25">
      <c r="A926" s="7">
        <v>10.467529962597036</v>
      </c>
      <c r="B926"/>
      <c r="C926"/>
      <c r="D926"/>
      <c r="E926" s="1"/>
    </row>
    <row r="927" spans="1:5" x14ac:dyDescent="0.25">
      <c r="A927" s="7">
        <v>10.363891052076273</v>
      </c>
      <c r="B927"/>
      <c r="C927"/>
      <c r="D927"/>
      <c r="E927" s="1"/>
    </row>
    <row r="928" spans="1:5" x14ac:dyDescent="0.25">
      <c r="A928" s="7">
        <v>10.261278269382448</v>
      </c>
      <c r="B928"/>
      <c r="C928"/>
      <c r="D928"/>
      <c r="E928" s="1"/>
    </row>
    <row r="929" spans="1:5" x14ac:dyDescent="0.25">
      <c r="A929" s="7">
        <v>10.159681454834107</v>
      </c>
      <c r="B929"/>
      <c r="C929"/>
      <c r="D929"/>
      <c r="E929" s="1"/>
    </row>
    <row r="930" spans="1:5" x14ac:dyDescent="0.25">
      <c r="A930" s="7">
        <v>10.0590905493407</v>
      </c>
      <c r="B930"/>
      <c r="C930"/>
      <c r="D930"/>
      <c r="E930" s="1"/>
    </row>
    <row r="931" spans="1:5" x14ac:dyDescent="0.25">
      <c r="A931" s="7">
        <v>9.9594955934066345</v>
      </c>
      <c r="B931"/>
      <c r="C931"/>
      <c r="D931"/>
      <c r="E931" s="1"/>
    </row>
    <row r="932" spans="1:5" x14ac:dyDescent="0.25">
      <c r="A932" s="7">
        <v>9.860886726145182</v>
      </c>
      <c r="B932"/>
      <c r="C932"/>
      <c r="D932"/>
      <c r="E932" s="1"/>
    </row>
    <row r="933" spans="1:5" x14ac:dyDescent="0.25">
      <c r="A933" s="7">
        <v>9.763254184302161</v>
      </c>
      <c r="B933"/>
      <c r="C933"/>
      <c r="D933"/>
      <c r="E933" s="1"/>
    </row>
    <row r="934" spans="1:5" x14ac:dyDescent="0.25">
      <c r="A934" s="7">
        <v>9.6665883012892682</v>
      </c>
      <c r="B934"/>
      <c r="C934"/>
      <c r="D934"/>
      <c r="E934" s="1"/>
    </row>
    <row r="935" spans="1:5" x14ac:dyDescent="0.25">
      <c r="A935" s="7">
        <v>9.5708795062269978</v>
      </c>
      <c r="B935"/>
      <c r="C935"/>
      <c r="D935"/>
      <c r="E935" s="1"/>
    </row>
    <row r="936" spans="1:5" x14ac:dyDescent="0.25">
      <c r="A936" s="7">
        <v>9.4761183229970278</v>
      </c>
      <c r="B936"/>
      <c r="C936"/>
      <c r="D936"/>
      <c r="E936" s="1"/>
    </row>
    <row r="937" spans="1:5" x14ac:dyDescent="0.25">
      <c r="A937" s="7">
        <v>9.3822953693039874</v>
      </c>
      <c r="B937"/>
      <c r="C937"/>
      <c r="D937"/>
      <c r="E937" s="1"/>
    </row>
    <row r="938" spans="1:5" x14ac:dyDescent="0.25">
      <c r="A938" s="7">
        <v>9.2894013557465218</v>
      </c>
      <c r="B938"/>
      <c r="C938"/>
      <c r="D938"/>
      <c r="E938" s="1"/>
    </row>
    <row r="939" spans="1:5" x14ac:dyDescent="0.25">
      <c r="A939" s="7">
        <v>9.1974270848975461</v>
      </c>
      <c r="B939"/>
      <c r="C939"/>
      <c r="D939"/>
      <c r="E939" s="1"/>
    </row>
    <row r="940" spans="1:5" x14ac:dyDescent="0.25">
      <c r="A940" s="7">
        <v>9.1063634503936104</v>
      </c>
      <c r="B940"/>
      <c r="C940"/>
      <c r="D940"/>
      <c r="E940" s="1"/>
    </row>
    <row r="941" spans="1:5" x14ac:dyDescent="0.25">
      <c r="A941" s="7">
        <v>9.0162014360332776</v>
      </c>
      <c r="B941"/>
      <c r="C941"/>
      <c r="D941"/>
      <c r="E941" s="1"/>
    </row>
    <row r="942" spans="1:5" x14ac:dyDescent="0.25">
      <c r="A942" s="7">
        <v>8.9269321148844334</v>
      </c>
      <c r="B942"/>
      <c r="C942"/>
      <c r="D942"/>
      <c r="E942" s="1"/>
    </row>
    <row r="943" spans="1:5" x14ac:dyDescent="0.25">
      <c r="A943" s="7">
        <v>8.8385466484004294</v>
      </c>
      <c r="B943"/>
      <c r="C943"/>
      <c r="D943"/>
      <c r="E943" s="1"/>
    </row>
    <row r="944" spans="1:5" x14ac:dyDescent="0.25">
      <c r="A944" s="7">
        <v>8.7510362855449788</v>
      </c>
      <c r="B944"/>
      <c r="C944"/>
      <c r="D944"/>
      <c r="E944" s="1"/>
    </row>
    <row r="945" spans="1:5" x14ac:dyDescent="0.25">
      <c r="A945" s="7">
        <v>8.6643923619257208</v>
      </c>
      <c r="B945"/>
      <c r="C945"/>
      <c r="D945"/>
      <c r="E945" s="1"/>
    </row>
    <row r="946" spans="1:5" x14ac:dyDescent="0.25">
      <c r="A946" s="7">
        <v>8.5786062989363572</v>
      </c>
      <c r="B946"/>
      <c r="C946"/>
      <c r="D946"/>
      <c r="E946" s="1"/>
    </row>
    <row r="947" spans="1:5" x14ac:dyDescent="0.25">
      <c r="A947" s="7">
        <v>8.4936696029072838</v>
      </c>
      <c r="B947"/>
      <c r="C947"/>
      <c r="D947"/>
      <c r="E947" s="1"/>
    </row>
    <row r="948" spans="1:5" x14ac:dyDescent="0.25">
      <c r="A948" s="7">
        <v>8.4095738642646367</v>
      </c>
      <c r="B948"/>
      <c r="C948"/>
      <c r="D948"/>
      <c r="E948" s="1"/>
    </row>
    <row r="949" spans="1:5" x14ac:dyDescent="0.25">
      <c r="A949" s="7">
        <v>8.3263107566976604</v>
      </c>
      <c r="B949"/>
      <c r="C949"/>
      <c r="D949"/>
      <c r="E949" s="1"/>
    </row>
    <row r="950" spans="1:5" x14ac:dyDescent="0.25">
      <c r="A950" s="7">
        <v>8.2438720363343165</v>
      </c>
      <c r="B950"/>
      <c r="C950"/>
      <c r="D950"/>
      <c r="E950" s="1"/>
    </row>
    <row r="951" spans="1:5" x14ac:dyDescent="0.25">
      <c r="A951" s="7">
        <v>8.1622495409250657</v>
      </c>
      <c r="B951"/>
      <c r="C951"/>
      <c r="D951"/>
      <c r="E951" s="1"/>
    </row>
    <row r="952" spans="1:5" x14ac:dyDescent="0.25">
      <c r="A952" s="7">
        <v>8.0814351890347176</v>
      </c>
      <c r="B952"/>
      <c r="C952"/>
      <c r="D952"/>
      <c r="E952" s="1"/>
    </row>
    <row r="953" spans="1:5" x14ac:dyDescent="0.25">
      <c r="A953" s="7">
        <v>8.0014209792422939</v>
      </c>
      <c r="B953"/>
      <c r="C953"/>
      <c r="D953"/>
      <c r="E953" s="1"/>
    </row>
    <row r="954" spans="1:5" x14ac:dyDescent="0.25">
      <c r="A954" s="7">
        <v>7.9221989893488054</v>
      </c>
      <c r="B954"/>
      <c r="C954"/>
      <c r="D954"/>
      <c r="E954" s="1"/>
    </row>
    <row r="955" spans="1:5" x14ac:dyDescent="0.25">
      <c r="A955" s="7">
        <v>7.8437613755928766</v>
      </c>
      <c r="B955"/>
      <c r="C955"/>
      <c r="D955"/>
      <c r="E955" s="1"/>
    </row>
    <row r="956" spans="1:5" x14ac:dyDescent="0.25">
      <c r="A956" s="7">
        <v>7.7661003718741348</v>
      </c>
      <c r="B956"/>
      <c r="C956"/>
      <c r="D956"/>
      <c r="E956" s="1"/>
    </row>
    <row r="957" spans="1:5" x14ac:dyDescent="0.25">
      <c r="A957" s="7">
        <v>7.6892082889842914</v>
      </c>
      <c r="B957"/>
      <c r="C957"/>
      <c r="D957"/>
      <c r="E957" s="1"/>
    </row>
    <row r="958" spans="1:5" x14ac:dyDescent="0.25">
      <c r="A958" s="7">
        <v>7.6130775138458331</v>
      </c>
      <c r="B958"/>
      <c r="C958"/>
      <c r="D958"/>
      <c r="E958" s="1"/>
    </row>
    <row r="959" spans="1:5" x14ac:dyDescent="0.25">
      <c r="A959" s="7">
        <v>7.5377005087582507</v>
      </c>
      <c r="B959"/>
      <c r="C959"/>
      <c r="D959"/>
      <c r="E959" s="1"/>
    </row>
    <row r="960" spans="1:5" x14ac:dyDescent="0.25">
      <c r="A960" s="7">
        <v>7.4630698106517332</v>
      </c>
      <c r="B960"/>
      <c r="C960"/>
      <c r="D960"/>
      <c r="E960" s="1"/>
    </row>
    <row r="961" spans="1:5" x14ac:dyDescent="0.25">
      <c r="A961" s="7">
        <v>7.3891780303482504</v>
      </c>
      <c r="B961"/>
      <c r="C961"/>
      <c r="D961"/>
      <c r="E961" s="1"/>
    </row>
    <row r="962" spans="1:5" x14ac:dyDescent="0.25">
      <c r="A962" s="7">
        <v>7.316017851829951</v>
      </c>
      <c r="B962"/>
      <c r="C962"/>
      <c r="D962"/>
      <c r="E962" s="1"/>
    </row>
    <row r="963" spans="1:5" x14ac:dyDescent="0.25">
      <c r="A963" s="7">
        <v>7.2435820315148032</v>
      </c>
      <c r="B963"/>
      <c r="C963"/>
      <c r="D963"/>
      <c r="E963" s="1"/>
    </row>
    <row r="964" spans="1:5" x14ac:dyDescent="0.25">
      <c r="A964" s="7">
        <v>7.1718633975394086</v>
      </c>
      <c r="B964"/>
      <c r="C964"/>
      <c r="D964"/>
      <c r="E964" s="1"/>
    </row>
    <row r="965" spans="1:5" x14ac:dyDescent="0.25">
      <c r="A965" s="7">
        <v>7.1008548490489192</v>
      </c>
      <c r="B965"/>
      <c r="C965"/>
      <c r="D965"/>
      <c r="E965" s="1"/>
    </row>
    <row r="966" spans="1:5" x14ac:dyDescent="0.25">
      <c r="A966" s="7">
        <v>7.0305493554939797</v>
      </c>
      <c r="B966"/>
      <c r="C966"/>
      <c r="D966"/>
      <c r="E966" s="1"/>
    </row>
    <row r="967" spans="1:5" x14ac:dyDescent="0.25">
      <c r="A967" s="7">
        <v>6.9609399559346334</v>
      </c>
      <c r="B967"/>
      <c r="C967"/>
      <c r="D967"/>
      <c r="E967" s="1"/>
    </row>
    <row r="968" spans="1:5" x14ac:dyDescent="0.25">
      <c r="A968" s="7">
        <v>6.8920197583511218</v>
      </c>
      <c r="B968"/>
      <c r="C968"/>
      <c r="D968"/>
      <c r="E968" s="1"/>
    </row>
    <row r="969" spans="1:5" x14ac:dyDescent="0.25">
      <c r="A969" s="7">
        <v>6.8237819389615071</v>
      </c>
      <c r="B969"/>
      <c r="C969"/>
      <c r="D969"/>
      <c r="E969" s="1"/>
    </row>
    <row r="970" spans="1:5" x14ac:dyDescent="0.25">
      <c r="A970" s="7">
        <v>6.7562197415460465</v>
      </c>
      <c r="B970"/>
      <c r="C970"/>
      <c r="D970"/>
      <c r="E970" s="1"/>
    </row>
    <row r="971" spans="1:5" x14ac:dyDescent="0.25">
      <c r="A971" s="7">
        <v>6.6893264767782634</v>
      </c>
      <c r="B971"/>
      <c r="C971"/>
      <c r="D971"/>
      <c r="E971" s="1"/>
    </row>
    <row r="972" spans="1:5" x14ac:dyDescent="0.25">
      <c r="A972" s="7">
        <v>6.6230955215626368</v>
      </c>
      <c r="B972"/>
      <c r="C972"/>
      <c r="D972"/>
      <c r="E972" s="1"/>
    </row>
    <row r="973" spans="1:5" x14ac:dyDescent="0.25">
      <c r="A973" s="7">
        <v>6.557520318378848</v>
      </c>
      <c r="B973"/>
      <c r="C973"/>
      <c r="D973"/>
      <c r="E973" s="1"/>
    </row>
    <row r="974" spans="1:5" x14ac:dyDescent="0.25">
      <c r="A974" s="7">
        <v>6.4925943746325228</v>
      </c>
      <c r="B974"/>
      <c r="C974"/>
      <c r="D974"/>
      <c r="E974" s="1"/>
    </row>
    <row r="975" spans="1:5" x14ac:dyDescent="0.25">
      <c r="A975" s="7">
        <v>6.4283112620123983</v>
      </c>
      <c r="B975"/>
      <c r="C975"/>
      <c r="D975"/>
      <c r="E975" s="1"/>
    </row>
    <row r="976" spans="1:5" x14ac:dyDescent="0.25">
      <c r="A976" s="7">
        <v>6.3646646158538598</v>
      </c>
      <c r="B976"/>
      <c r="C976"/>
      <c r="D976"/>
      <c r="E976" s="1"/>
    </row>
    <row r="977" spans="1:5" x14ac:dyDescent="0.25">
      <c r="A977" s="7">
        <v>6.3016481345087723</v>
      </c>
      <c r="B977"/>
      <c r="C977"/>
      <c r="D977"/>
      <c r="E977" s="1"/>
    </row>
    <row r="978" spans="1:5" x14ac:dyDescent="0.25">
      <c r="A978" s="7">
        <v>6.2392555787215569</v>
      </c>
      <c r="B978"/>
      <c r="C978"/>
      <c r="D978"/>
      <c r="E978" s="1"/>
    </row>
    <row r="979" spans="1:5" x14ac:dyDescent="0.25">
      <c r="A979" s="7">
        <v>6.1774807710114423</v>
      </c>
      <c r="B979"/>
      <c r="C979"/>
      <c r="D979"/>
      <c r="E979" s="1"/>
    </row>
    <row r="980" spans="1:5" x14ac:dyDescent="0.25">
      <c r="A980" s="7">
        <v>6.1163175950608339</v>
      </c>
      <c r="B980"/>
      <c r="C980"/>
      <c r="D980"/>
      <c r="E980" s="1"/>
    </row>
    <row r="981" spans="1:5" x14ac:dyDescent="0.25">
      <c r="A981" s="7">
        <v>6.0557599951097369</v>
      </c>
      <c r="B981"/>
      <c r="C981"/>
      <c r="D981"/>
      <c r="E981" s="1"/>
    </row>
    <row r="982" spans="1:5" x14ac:dyDescent="0.25">
      <c r="A982" s="7">
        <v>5.9958019753561755</v>
      </c>
      <c r="B982"/>
      <c r="C982"/>
      <c r="D982"/>
      <c r="E982" s="1"/>
    </row>
    <row r="983" spans="1:5" x14ac:dyDescent="0.25">
      <c r="A983" s="7">
        <v>5.9364375993625496</v>
      </c>
      <c r="B983"/>
      <c r="C983"/>
      <c r="D983"/>
      <c r="E983" s="1"/>
    </row>
    <row r="984" spans="1:5" x14ac:dyDescent="0.25">
      <c r="A984" s="7">
        <v>5.8776609894678709</v>
      </c>
      <c r="B984"/>
      <c r="C984"/>
      <c r="D984"/>
      <c r="E984" s="1"/>
    </row>
    <row r="985" spans="1:5" x14ac:dyDescent="0.25">
      <c r="A985" s="7">
        <v>5.8194663262058128</v>
      </c>
      <c r="B985"/>
      <c r="C985"/>
      <c r="D985"/>
      <c r="E985" s="1"/>
    </row>
    <row r="986" spans="1:5" x14ac:dyDescent="0.25">
      <c r="A986" s="7">
        <v>5.7618478477285278</v>
      </c>
      <c r="B986"/>
      <c r="C986"/>
      <c r="D986"/>
      <c r="E986" s="1"/>
    </row>
    <row r="987" spans="1:5" x14ac:dyDescent="0.25">
      <c r="A987" s="7">
        <v>5.7047998492361662</v>
      </c>
      <c r="B987"/>
      <c r="C987"/>
      <c r="D987"/>
      <c r="E987" s="1"/>
    </row>
    <row r="988" spans="1:5" x14ac:dyDescent="0.25">
      <c r="A988" s="7">
        <v>5.6483166824120454</v>
      </c>
      <c r="B988"/>
      <c r="C988"/>
      <c r="D988"/>
      <c r="E988" s="1"/>
    </row>
    <row r="989" spans="1:5" x14ac:dyDescent="0.25">
      <c r="A989" s="7">
        <v>5.5923927548634111</v>
      </c>
      <c r="B989"/>
      <c r="C989"/>
      <c r="D989"/>
      <c r="E989" s="1"/>
    </row>
    <row r="990" spans="1:5" x14ac:dyDescent="0.25">
      <c r="A990" s="7">
        <v>5.537022529567734</v>
      </c>
      <c r="B990"/>
      <c r="C990"/>
      <c r="D990"/>
      <c r="E990" s="1"/>
    </row>
    <row r="991" spans="1:5" x14ac:dyDescent="0.25">
      <c r="A991" s="7">
        <v>5.4822005243244893</v>
      </c>
      <c r="B991"/>
      <c r="C991"/>
      <c r="D991"/>
      <c r="E991" s="1"/>
    </row>
    <row r="992" spans="1:5" x14ac:dyDescent="0.25">
      <c r="A992" s="7">
        <v>5.4279213112123657</v>
      </c>
      <c r="B992"/>
      <c r="C992"/>
      <c r="D992"/>
      <c r="E992" s="1"/>
    </row>
    <row r="993" spans="1:5" x14ac:dyDescent="0.25">
      <c r="A993" s="7">
        <v>5.3741795160518473</v>
      </c>
      <c r="B993"/>
      <c r="C993"/>
      <c r="D993"/>
      <c r="E993" s="1"/>
    </row>
    <row r="994" spans="1:5" x14ac:dyDescent="0.25">
      <c r="A994" s="7">
        <v>5.3209698178731157</v>
      </c>
      <c r="B994"/>
      <c r="C994"/>
      <c r="D994"/>
      <c r="E994" s="1"/>
    </row>
    <row r="995" spans="1:5" x14ac:dyDescent="0.25">
      <c r="A995" s="7">
        <v>5.2682869483892238</v>
      </c>
      <c r="B995"/>
      <c r="C995"/>
      <c r="D995"/>
      <c r="E995" s="1"/>
    </row>
    <row r="996" spans="1:5" x14ac:dyDescent="0.25">
      <c r="A996" s="7">
        <v>5.2161256914744794</v>
      </c>
      <c r="B996"/>
      <c r="C996"/>
      <c r="D996"/>
      <c r="E996" s="1"/>
    </row>
    <row r="997" spans="1:5" x14ac:dyDescent="0.25">
      <c r="A997" s="7">
        <v>5.1644808826479993</v>
      </c>
      <c r="B997"/>
      <c r="C997"/>
      <c r="D997"/>
      <c r="E997" s="1"/>
    </row>
    <row r="998" spans="1:5" x14ac:dyDescent="0.25">
      <c r="A998" s="7">
        <v>5.1133474085623751</v>
      </c>
      <c r="B998"/>
      <c r="C998"/>
      <c r="D998"/>
      <c r="E998" s="1"/>
    </row>
    <row r="999" spans="1:5" x14ac:dyDescent="0.25">
      <c r="A999" s="7">
        <v>5.0627202064974011</v>
      </c>
      <c r="B999"/>
      <c r="C999"/>
      <c r="D999"/>
      <c r="E999" s="1"/>
    </row>
    <row r="1000" spans="1:5" x14ac:dyDescent="0.25">
      <c r="A1000" s="7">
        <v>5.012594263858813</v>
      </c>
      <c r="B1000"/>
      <c r="C1000"/>
      <c r="D1000"/>
      <c r="E1000" s="1"/>
    </row>
    <row r="1001" spans="1:5" x14ac:dyDescent="0.25">
      <c r="A1001" s="7">
        <v>4.962964617681993</v>
      </c>
      <c r="B1001"/>
      <c r="C1001"/>
      <c r="D1001"/>
      <c r="E1001" s="1"/>
    </row>
    <row r="1002" spans="1:5" x14ac:dyDescent="0.25">
      <c r="A1002" s="7">
        <v>4.9138263541405873</v>
      </c>
      <c r="B1002"/>
      <c r="C1002"/>
      <c r="D1002"/>
      <c r="E1002" s="1"/>
    </row>
    <row r="1003" spans="1:5" x14ac:dyDescent="0.25">
      <c r="A1003" s="7">
        <v>4.8651746080599878</v>
      </c>
      <c r="B1003"/>
      <c r="C1003"/>
      <c r="D1003"/>
      <c r="E1003" s="1"/>
    </row>
    <row r="1004" spans="1:5" x14ac:dyDescent="0.25">
      <c r="A1004" s="7">
        <v>4.8170045624356312</v>
      </c>
      <c r="B1004"/>
      <c r="C1004"/>
      <c r="D1004"/>
      <c r="E1004" s="1"/>
    </row>
    <row r="1005" spans="1:5" x14ac:dyDescent="0.25">
      <c r="A1005" s="7">
        <v>4.7693114479560705</v>
      </c>
      <c r="B1005"/>
      <c r="C1005"/>
      <c r="D1005"/>
      <c r="E1005" s="1"/>
    </row>
    <row r="1006" spans="1:5" x14ac:dyDescent="0.25">
      <c r="A1006" s="7">
        <v>4.7220905425307631</v>
      </c>
      <c r="B1006"/>
      <c r="C1006"/>
      <c r="D1006"/>
      <c r="E1006" s="1"/>
    </row>
    <row r="1007" spans="1:5" x14ac:dyDescent="0.25">
      <c r="A1007" s="7">
        <v>4.6753371708225373</v>
      </c>
      <c r="B1007"/>
      <c r="C1007"/>
      <c r="D1007"/>
      <c r="E1007" s="1"/>
    </row>
    <row r="1008" spans="1:5" x14ac:dyDescent="0.25">
      <c r="A1008" s="7">
        <v>4.6290467037846907</v>
      </c>
      <c r="B1008"/>
      <c r="C1008"/>
      <c r="D1008"/>
      <c r="E1008" s="1"/>
    </row>
    <row r="1009" spans="1:5" x14ac:dyDescent="0.25">
      <c r="A1009" s="7">
        <v>4.5832145582026644</v>
      </c>
      <c r="B1009"/>
      <c r="C1009"/>
      <c r="D1009"/>
      <c r="E1009" s="1"/>
    </row>
    <row r="1010" spans="1:5" x14ac:dyDescent="0.25">
      <c r="A1010" s="7">
        <v>4.5378361962402618</v>
      </c>
      <c r="B1010"/>
      <c r="C1010"/>
      <c r="D1010"/>
      <c r="E1010" s="1"/>
    </row>
    <row r="1011" spans="1:5" x14ac:dyDescent="0.25">
      <c r="A1011" s="7">
        <v>4.4929071249903583</v>
      </c>
      <c r="B1011"/>
      <c r="C1011"/>
      <c r="D1011"/>
      <c r="E1011" s="1"/>
    </row>
    <row r="1012" spans="1:5" x14ac:dyDescent="0.25">
      <c r="A1012" s="7">
        <v>4.448422896030058</v>
      </c>
      <c r="B1012"/>
      <c r="C1012"/>
      <c r="D1012"/>
      <c r="E1012" s="1"/>
    </row>
    <row r="1013" spans="1:5" x14ac:dyDescent="0.25">
      <c r="A1013" s="7">
        <v>4.4043791049802552</v>
      </c>
      <c r="B1013"/>
      <c r="C1013"/>
      <c r="D1013"/>
      <c r="E1013" s="1"/>
    </row>
    <row r="1014" spans="1:5" x14ac:dyDescent="0.25">
      <c r="A1014" s="7">
        <v>4.3607713910695596</v>
      </c>
      <c r="B1014"/>
      <c r="C1014"/>
      <c r="D1014"/>
      <c r="E1014" s="1"/>
    </row>
    <row r="1015" spans="1:5" x14ac:dyDescent="0.25">
      <c r="A1015" s="7">
        <v>4.3175954367025344</v>
      </c>
      <c r="B1015"/>
      <c r="C1015"/>
      <c r="D1015"/>
      <c r="E1015" s="1"/>
    </row>
    <row r="1016" spans="1:5" x14ac:dyDescent="0.25">
      <c r="A1016" s="7">
        <v>4.2748469670322127</v>
      </c>
      <c r="B1016"/>
      <c r="C1016"/>
      <c r="D1016"/>
      <c r="E1016" s="1"/>
    </row>
    <row r="1017" spans="1:5" x14ac:dyDescent="0.25">
      <c r="A1017" s="7">
        <v>4.2325217495368443</v>
      </c>
      <c r="B1017"/>
      <c r="C1017"/>
      <c r="D1017"/>
      <c r="E1017" s="1"/>
    </row>
    <row r="1018" spans="1:5" x14ac:dyDescent="0.25">
      <c r="A1018" s="7">
        <v>4.1906155936008362</v>
      </c>
      <c r="B1018"/>
      <c r="C1018"/>
      <c r="D1018"/>
      <c r="E1018" s="1"/>
    </row>
    <row r="1019" spans="1:5" x14ac:dyDescent="0.25">
      <c r="A1019" s="7">
        <v>4.1491243500998376</v>
      </c>
      <c r="B1019"/>
      <c r="C1019"/>
      <c r="D1019"/>
      <c r="E1019" s="1"/>
    </row>
    <row r="1020" spans="1:5" x14ac:dyDescent="0.25">
      <c r="A1020" s="7">
        <v>4.108043910989938</v>
      </c>
      <c r="B1020"/>
      <c r="C1020"/>
      <c r="D1020"/>
      <c r="E1020" s="1"/>
    </row>
    <row r="1021" spans="1:5" x14ac:dyDescent="0.25">
      <c r="A1021" s="7">
        <v>4.0673702089009289</v>
      </c>
      <c r="B1021"/>
      <c r="C1021"/>
      <c r="D1021"/>
      <c r="E1021" s="1"/>
    </row>
    <row r="1022" spans="1:5" x14ac:dyDescent="0.25">
      <c r="A1022" s="7">
        <v>4.0270992167335926</v>
      </c>
      <c r="B1022"/>
      <c r="C1022"/>
      <c r="D1022"/>
      <c r="E1022" s="1"/>
    </row>
    <row r="1023" spans="1:5" x14ac:dyDescent="0.25">
      <c r="A1023" s="7">
        <v>3.9872269472609827</v>
      </c>
      <c r="B1023"/>
      <c r="C1023"/>
      <c r="D1023"/>
      <c r="E1023" s="1"/>
    </row>
    <row r="1024" spans="1:5" x14ac:dyDescent="0.25">
      <c r="A1024" s="7">
        <v>3.9477494527336461</v>
      </c>
      <c r="B1024"/>
      <c r="C1024"/>
      <c r="D1024"/>
      <c r="E1024" s="1"/>
    </row>
    <row r="1025" spans="1:5" x14ac:dyDescent="0.25">
      <c r="A1025" s="7">
        <v>3.9086628244887587</v>
      </c>
      <c r="B1025"/>
      <c r="C1025"/>
      <c r="D1025"/>
      <c r="E1025" s="1"/>
    </row>
    <row r="1026" spans="1:5" x14ac:dyDescent="0.25">
      <c r="A1026" s="7">
        <v>3.8699631925631275</v>
      </c>
      <c r="B1026"/>
      <c r="C1026"/>
      <c r="D1026"/>
      <c r="E1026" s="1"/>
    </row>
    <row r="1027" spans="1:5" x14ac:dyDescent="0.25">
      <c r="A1027" s="7">
        <v>3.8316467253100273</v>
      </c>
      <c r="B1027"/>
      <c r="C1027"/>
      <c r="D1027"/>
      <c r="E1027" s="1"/>
    </row>
    <row r="1028" spans="1:5" x14ac:dyDescent="0.25">
      <c r="A1028" s="7">
        <v>3.7937096290198289</v>
      </c>
      <c r="B1028"/>
      <c r="C1028"/>
      <c r="D1028"/>
      <c r="E1028" s="1"/>
    </row>
    <row r="1029" spans="1:5" x14ac:dyDescent="0.25">
      <c r="A1029" s="7">
        <v>3.7561481475443852</v>
      </c>
      <c r="B1029"/>
      <c r="C1029"/>
      <c r="D1029"/>
      <c r="E1029" s="1"/>
    </row>
    <row r="1030" spans="1:5" x14ac:dyDescent="0.25">
      <c r="A1030" s="7">
        <v>3.7189585619251337</v>
      </c>
      <c r="B1030"/>
      <c r="C1030"/>
      <c r="D1030"/>
      <c r="E1030" s="1"/>
    </row>
    <row r="1031" spans="1:5" x14ac:dyDescent="0.25">
      <c r="A1031" s="7">
        <v>3.6821371900248847</v>
      </c>
      <c r="B1031"/>
      <c r="C1031"/>
      <c r="D1031"/>
      <c r="E1031" s="1"/>
    </row>
    <row r="1032" spans="1:5" x14ac:dyDescent="0.25">
      <c r="A1032" s="7">
        <v>3.6456803861632521</v>
      </c>
      <c r="B1032"/>
      <c r="C1032"/>
      <c r="D1032"/>
      <c r="E1032" s="1"/>
    </row>
    <row r="1033" spans="1:5" x14ac:dyDescent="0.25">
      <c r="A1033" s="7">
        <v>3.6095845407556952</v>
      </c>
      <c r="B1033"/>
      <c r="C1033"/>
      <c r="D1033"/>
      <c r="E1033" s="1"/>
    </row>
    <row r="1034" spans="1:5" x14ac:dyDescent="0.25">
      <c r="A1034" s="7">
        <v>3.5738460799561338</v>
      </c>
      <c r="B1034"/>
      <c r="C1034"/>
      <c r="D1034"/>
      <c r="E1034" s="1"/>
    </row>
    <row r="1035" spans="1:5" x14ac:dyDescent="0.25">
      <c r="A1035" s="7">
        <v>3.5384614653031026</v>
      </c>
      <c r="B1035"/>
      <c r="C1035"/>
      <c r="D1035"/>
      <c r="E1035" s="1"/>
    </row>
    <row r="1036" spans="1:5" x14ac:dyDescent="0.25">
      <c r="A1036" s="7">
        <v>3.5034271933694083</v>
      </c>
      <c r="B1036"/>
      <c r="C1036"/>
      <c r="D1036"/>
      <c r="E1036" s="1"/>
    </row>
    <row r="1037" spans="1:5" x14ac:dyDescent="0.25">
      <c r="A1037" s="7">
        <v>3.4687397954152557</v>
      </c>
      <c r="B1037"/>
      <c r="C1037"/>
      <c r="D1037"/>
      <c r="E1037" s="1"/>
    </row>
    <row r="1038" spans="1:5" x14ac:dyDescent="0.25">
      <c r="A1038" s="7">
        <v>3.4343958370448076</v>
      </c>
      <c r="B1038"/>
      <c r="C1038"/>
      <c r="D1038"/>
      <c r="E1038" s="1"/>
    </row>
    <row r="1039" spans="1:5" x14ac:dyDescent="0.25">
      <c r="A1039" s="7">
        <v>3.4003919178661461</v>
      </c>
      <c r="B1039"/>
      <c r="C1039"/>
      <c r="D1039"/>
      <c r="E1039" s="1"/>
    </row>
    <row r="1040" spans="1:5" x14ac:dyDescent="0.25">
      <c r="A1040" s="7">
        <v>3.3667246711545999</v>
      </c>
      <c r="B1040"/>
      <c r="C1040"/>
      <c r="D1040"/>
      <c r="E1040" s="1"/>
    </row>
    <row r="1041" spans="1:5" x14ac:dyDescent="0.25">
      <c r="A1041" s="7">
        <v>3.333390763519406</v>
      </c>
      <c r="B1041"/>
      <c r="C1041"/>
      <c r="D1041"/>
      <c r="E1041" s="1"/>
    </row>
    <row r="1042" spans="1:5" x14ac:dyDescent="0.25">
      <c r="A1042" s="7">
        <v>3.3003868945736694</v>
      </c>
      <c r="B1042"/>
      <c r="C1042"/>
      <c r="D1042"/>
      <c r="E1042" s="1"/>
    </row>
    <row r="1043" spans="1:5" x14ac:dyDescent="0.25">
      <c r="A1043" s="7">
        <v>3.2677097966075936</v>
      </c>
      <c r="B1043"/>
      <c r="C1043"/>
      <c r="D1043"/>
      <c r="E1043" s="1"/>
    </row>
    <row r="1044" spans="1:5" x14ac:dyDescent="0.25">
      <c r="A1044" s="7">
        <v>3.2353562342649442</v>
      </c>
      <c r="B1044"/>
      <c r="C1044"/>
      <c r="D1044"/>
      <c r="E1044" s="1"/>
    </row>
    <row r="1045" spans="1:5" x14ac:dyDescent="0.25">
      <c r="A1045" s="7">
        <v>3.203323004222717</v>
      </c>
      <c r="B1045"/>
      <c r="C1045"/>
      <c r="D1045"/>
      <c r="E1045" s="1"/>
    </row>
    <row r="1046" spans="1:5" x14ac:dyDescent="0.25">
      <c r="A1046" s="7">
        <v>3.171606934873977</v>
      </c>
      <c r="B1046"/>
      <c r="C1046"/>
      <c r="D1046"/>
      <c r="E1046" s="1"/>
    </row>
    <row r="1047" spans="1:5" x14ac:dyDescent="0.25">
      <c r="A1047" s="7">
        <v>3.1402048860138385</v>
      </c>
      <c r="B1047"/>
      <c r="C1047"/>
      <c r="D1047"/>
      <c r="E1047" s="1"/>
    </row>
    <row r="1048" spans="1:5" x14ac:dyDescent="0.25">
      <c r="A1048" s="7">
        <v>3.1091137485285532</v>
      </c>
      <c r="B1048"/>
      <c r="C1048"/>
      <c r="D1048"/>
      <c r="E1048" s="1"/>
    </row>
    <row r="1049" spans="1:5" x14ac:dyDescent="0.25">
      <c r="A1049" s="7">
        <v>3.0783304440876762</v>
      </c>
      <c r="B1049"/>
      <c r="C1049"/>
      <c r="D1049"/>
      <c r="E1049" s="1"/>
    </row>
    <row r="1050" spans="1:5" x14ac:dyDescent="0.25">
      <c r="A1050" s="7">
        <v>3.0478519248392835</v>
      </c>
      <c r="B1050"/>
      <c r="C1050"/>
      <c r="D1050"/>
      <c r="E1050" s="1"/>
    </row>
    <row r="1051" spans="1:5" x14ac:dyDescent="0.25">
      <c r="A1051" s="7">
        <v>3.0176751731082012</v>
      </c>
      <c r="B1051"/>
      <c r="C1051"/>
      <c r="D1051"/>
      <c r="E1051" s="1"/>
    </row>
    <row r="1052" spans="1:5" x14ac:dyDescent="0.25">
      <c r="A1052" s="7">
        <v>2.9877972010972287</v>
      </c>
      <c r="B1052"/>
      <c r="C1052"/>
      <c r="D1052"/>
      <c r="E1052" s="1"/>
    </row>
    <row r="1053" spans="1:5" x14ac:dyDescent="0.25">
      <c r="A1053" s="7">
        <v>2.9582150505913156</v>
      </c>
      <c r="B1053"/>
      <c r="C1053"/>
      <c r="D1053"/>
      <c r="E1053" s="1"/>
    </row>
    <row r="1054" spans="1:5" x14ac:dyDescent="0.25">
      <c r="A1054" s="7">
        <v>2.928925792664669</v>
      </c>
      <c r="B1054"/>
      <c r="C1054"/>
      <c r="D1054"/>
      <c r="E1054" s="1"/>
    </row>
    <row r="1055" spans="1:5" x14ac:dyDescent="0.25">
      <c r="A1055" s="7">
        <v>2.8999265273907615</v>
      </c>
      <c r="B1055"/>
      <c r="C1055"/>
      <c r="D1055"/>
      <c r="E1055" s="1"/>
    </row>
    <row r="1056" spans="1:5" x14ac:dyDescent="0.25">
      <c r="A1056" s="7">
        <v>2.8712143835552095</v>
      </c>
      <c r="B1056"/>
      <c r="C1056"/>
      <c r="D1056"/>
      <c r="E1056" s="1"/>
    </row>
    <row r="1057" spans="1:5" x14ac:dyDescent="0.25">
      <c r="A1057" s="7">
        <v>2.8427865183714944</v>
      </c>
      <c r="B1057"/>
      <c r="C1057"/>
      <c r="D1057"/>
      <c r="E1057" s="1"/>
    </row>
    <row r="1058" spans="1:5" x14ac:dyDescent="0.25">
      <c r="A1058" s="7">
        <v>2.8146401171994992</v>
      </c>
      <c r="B1058"/>
      <c r="C1058"/>
      <c r="D1058"/>
      <c r="E1058" s="1"/>
    </row>
    <row r="1059" spans="1:5" x14ac:dyDescent="0.25">
      <c r="A1059" s="7">
        <v>2.7867723932668311</v>
      </c>
      <c r="B1059"/>
      <c r="C1059"/>
      <c r="D1059"/>
      <c r="E1059" s="1"/>
    </row>
    <row r="1060" spans="1:5" x14ac:dyDescent="0.25">
      <c r="A1060" s="7">
        <v>2.7591805873929021</v>
      </c>
      <c r="B1060"/>
      <c r="C1060"/>
      <c r="D1060"/>
      <c r="E1060" s="1"/>
    </row>
    <row r="1061" spans="1:5" x14ac:dyDescent="0.25">
      <c r="A1061" s="7">
        <v>2.7318619677157447</v>
      </c>
      <c r="B1061"/>
      <c r="C1061"/>
      <c r="D1061"/>
      <c r="E1061" s="1"/>
    </row>
    <row r="1062" spans="1:5" x14ac:dyDescent="0.25">
      <c r="A1062" s="7">
        <v>2.7048138294215294</v>
      </c>
      <c r="B1062"/>
      <c r="C1062"/>
      <c r="D1062"/>
      <c r="E1062" s="1"/>
    </row>
    <row r="1063" spans="1:5" x14ac:dyDescent="0.25">
      <c r="A1063" s="7">
        <v>2.6780334944767619</v>
      </c>
      <c r="B1063"/>
      <c r="C1063"/>
      <c r="D1063"/>
      <c r="E1063" s="1"/>
    </row>
    <row r="1064" spans="1:5" x14ac:dyDescent="0.25">
      <c r="A1064" s="7">
        <v>2.6515183113631307</v>
      </c>
      <c r="B1064"/>
      <c r="C1064"/>
      <c r="D1064"/>
      <c r="E1064" s="1"/>
    </row>
    <row r="1065" spans="1:5" x14ac:dyDescent="0.25">
      <c r="A1065" s="7">
        <v>2.6252656548149806</v>
      </c>
      <c r="B1065"/>
      <c r="C1065"/>
      <c r="D1065"/>
      <c r="E1065" s="1"/>
    </row>
    <row r="1066" spans="1:5" x14ac:dyDescent="0.25">
      <c r="A1066" s="7">
        <v>2.5992729255593869</v>
      </c>
      <c r="B1066"/>
      <c r="C1066"/>
      <c r="D1066"/>
      <c r="E1066" s="1"/>
    </row>
    <row r="1067" spans="1:5" x14ac:dyDescent="0.25">
      <c r="A1067" s="7">
        <v>2.5735375500587989</v>
      </c>
      <c r="B1067"/>
      <c r="C1067"/>
      <c r="D1067"/>
      <c r="E1067" s="1"/>
    </row>
    <row r="1068" spans="1:5" x14ac:dyDescent="0.25">
      <c r="A1068" s="7">
        <v>2.5480569802562365</v>
      </c>
      <c r="B1068"/>
      <c r="C1068"/>
      <c r="D1068"/>
      <c r="E1068" s="1"/>
    </row>
    <row r="1069" spans="1:5" x14ac:dyDescent="0.25">
      <c r="A1069" s="7">
        <v>2.5228286933230066</v>
      </c>
      <c r="B1069"/>
      <c r="C1069"/>
      <c r="D1069"/>
      <c r="E1069" s="1"/>
    </row>
    <row r="1070" spans="1:5" x14ac:dyDescent="0.25">
      <c r="A1070" s="7">
        <v>2.4978501914089173</v>
      </c>
      <c r="B1070"/>
      <c r="C1070"/>
      <c r="D1070"/>
      <c r="E1070" s="1"/>
    </row>
    <row r="1071" spans="1:5" x14ac:dyDescent="0.25">
      <c r="A1071" s="7">
        <v>2.4731190013949678</v>
      </c>
      <c r="B1071"/>
      <c r="C1071"/>
      <c r="D1071"/>
      <c r="E1071" s="1"/>
    </row>
    <row r="1072" spans="1:5" x14ac:dyDescent="0.25">
      <c r="A1072" s="7">
        <v>2.4486326746484828</v>
      </c>
      <c r="B1072"/>
      <c r="C1072"/>
      <c r="D1072"/>
      <c r="E1072" s="1"/>
    </row>
    <row r="1073" spans="1:5" x14ac:dyDescent="0.25">
      <c r="A1073" s="7">
        <v>2.4243887867806762</v>
      </c>
      <c r="B1073"/>
      <c r="C1073"/>
      <c r="D1073"/>
      <c r="E1073" s="1"/>
    </row>
    <row r="1074" spans="1:5" x14ac:dyDescent="0.25">
      <c r="A1074" s="7">
        <v>2.40038493740661</v>
      </c>
      <c r="B1074"/>
      <c r="C1074"/>
      <c r="D1074"/>
      <c r="E1074" s="1"/>
    </row>
    <row r="1075" spans="1:5" x14ac:dyDescent="0.25">
      <c r="A1075" s="7">
        <v>2.3766187499075344</v>
      </c>
      <c r="B1075"/>
      <c r="C1075"/>
      <c r="D1075"/>
      <c r="E1075" s="1"/>
    </row>
    <row r="1076" spans="1:5" x14ac:dyDescent="0.25">
      <c r="A1076" s="7">
        <v>2.3530878711955787</v>
      </c>
      <c r="B1076"/>
      <c r="C1076"/>
      <c r="D1076"/>
      <c r="E1076" s="1"/>
    </row>
    <row r="1077" spans="1:5" x14ac:dyDescent="0.25">
      <c r="A1077" s="7">
        <v>2.3297899714807708</v>
      </c>
      <c r="B1077"/>
      <c r="C1077"/>
      <c r="D1077"/>
      <c r="E1077" s="1"/>
    </row>
    <row r="1078" spans="1:5" x14ac:dyDescent="0.25">
      <c r="A1078" s="7">
        <v>2.3067227440403673</v>
      </c>
      <c r="B1078"/>
      <c r="C1078"/>
      <c r="D1078"/>
      <c r="E1078" s="1"/>
    </row>
    <row r="1079" spans="1:5" x14ac:dyDescent="0.25">
      <c r="A1079" s="7">
        <v>2.2838839049904625</v>
      </c>
      <c r="B1079"/>
      <c r="C1079"/>
      <c r="D1079"/>
      <c r="E1079" s="1"/>
    </row>
    <row r="1080" spans="1:5" x14ac:dyDescent="0.25">
      <c r="A1080" s="7">
        <v>2.2612711930598639</v>
      </c>
      <c r="B1080"/>
      <c r="C1080"/>
      <c r="D1080"/>
      <c r="E1080" s="1"/>
    </row>
    <row r="1081" spans="1:5" x14ac:dyDescent="0.25">
      <c r="A1081" s="7">
        <v>2.2388823693662019</v>
      </c>
      <c r="B1081"/>
      <c r="C1081"/>
      <c r="D1081"/>
      <c r="E1081" s="1"/>
    </row>
    <row r="1082" spans="1:5" x14ac:dyDescent="0.25">
      <c r="A1082" s="7">
        <v>2.2167152171942592</v>
      </c>
      <c r="B1082"/>
      <c r="C1082"/>
      <c r="D1082"/>
      <c r="E1082" s="1"/>
    </row>
    <row r="1083" spans="1:5" x14ac:dyDescent="0.25">
      <c r="A1083" s="7">
        <v>2.1947675417764945</v>
      </c>
      <c r="B1083"/>
      <c r="C1083"/>
      <c r="D1083"/>
      <c r="E1083" s="1"/>
    </row>
    <row r="1084" spans="1:5" x14ac:dyDescent="0.25">
      <c r="A1084" s="7">
        <v>2.1730371700757369</v>
      </c>
      <c r="B1084"/>
      <c r="C1084"/>
      <c r="D1084"/>
      <c r="E1084" s="1"/>
    </row>
    <row r="1085" spans="1:5" x14ac:dyDescent="0.25">
      <c r="A1085" s="7">
        <v>2.1515219505700367</v>
      </c>
      <c r="B1085"/>
      <c r="C1085"/>
      <c r="D1085"/>
      <c r="E1085" s="1"/>
    </row>
    <row r="1086" spans="1:5" x14ac:dyDescent="0.25">
      <c r="A1086" s="7">
        <v>2.1302197530396403</v>
      </c>
      <c r="B1086"/>
      <c r="C1086"/>
      <c r="D1086"/>
      <c r="E1086" s="1"/>
    </row>
    <row r="1087" spans="1:5" x14ac:dyDescent="0.25">
      <c r="A1087" s="7">
        <v>2.1091284683560794</v>
      </c>
      <c r="B1087"/>
      <c r="C1087"/>
      <c r="D1087"/>
      <c r="E1087" s="1"/>
    </row>
    <row r="1088" spans="1:5" x14ac:dyDescent="0.25">
      <c r="A1088" s="7">
        <v>2.0882460082733458</v>
      </c>
      <c r="B1088"/>
      <c r="C1088"/>
      <c r="D1088"/>
      <c r="E1088" s="1"/>
    </row>
    <row r="1089" spans="1:5" x14ac:dyDescent="0.25">
      <c r="A1089" s="7">
        <v>2.0675703052211345</v>
      </c>
      <c r="B1089"/>
      <c r="C1089"/>
      <c r="D1089"/>
      <c r="E1089" s="1"/>
    </row>
    <row r="1090" spans="1:5" x14ac:dyDescent="0.25">
      <c r="A1090" s="7">
        <v>2.0470993121001331</v>
      </c>
      <c r="B1090"/>
      <c r="C1090"/>
      <c r="D1090"/>
      <c r="E1090" s="1"/>
    </row>
    <row r="1091" spans="1:5" x14ac:dyDescent="0.25">
      <c r="A1091" s="7">
        <v>2.0268310020793399</v>
      </c>
      <c r="B1091"/>
      <c r="C1091"/>
      <c r="D1091"/>
      <c r="E1091" s="1"/>
    </row>
    <row r="1092" spans="1:5" x14ac:dyDescent="0.25">
      <c r="A1092" s="7">
        <v>2.006763368395386</v>
      </c>
      <c r="B1092"/>
      <c r="C1092"/>
      <c r="D1092"/>
      <c r="E1092" s="1"/>
    </row>
    <row r="1093" spans="1:5" x14ac:dyDescent="0.25">
      <c r="A1093" s="7">
        <v>1.9868944241538475</v>
      </c>
      <c r="B1093"/>
      <c r="C1093"/>
      <c r="D1093"/>
      <c r="E1093" s="1"/>
    </row>
    <row r="1094" spans="1:5" x14ac:dyDescent="0.25">
      <c r="A1094" s="7">
        <v>1.9672222021325223</v>
      </c>
      <c r="B1094"/>
      <c r="C1094"/>
      <c r="D1094"/>
      <c r="E1094" s="1"/>
    </row>
    <row r="1095" spans="1:5" x14ac:dyDescent="0.25">
      <c r="A1095" s="7">
        <v>1.9477447545866557</v>
      </c>
      <c r="B1095"/>
      <c r="C1095"/>
      <c r="D1095"/>
      <c r="E1095" s="1"/>
    </row>
    <row r="1096" spans="1:5" x14ac:dyDescent="0.25">
      <c r="A1096" s="7">
        <v>1.9284601530560948</v>
      </c>
      <c r="B1096"/>
      <c r="C1096"/>
      <c r="D1096"/>
      <c r="E1096" s="1"/>
    </row>
    <row r="1097" spans="1:5" x14ac:dyDescent="0.25">
      <c r="A1097" s="7">
        <v>1.9093664881743513</v>
      </c>
      <c r="B1097"/>
      <c r="C1097"/>
      <c r="D1097"/>
      <c r="E1097" s="1"/>
    </row>
    <row r="1098" spans="1:5" x14ac:dyDescent="0.25">
      <c r="A1098" s="7">
        <v>1.8904618694795556</v>
      </c>
      <c r="B1098"/>
      <c r="C1098"/>
      <c r="D1098"/>
      <c r="E1098" s="1"/>
    </row>
    <row r="1099" spans="1:5" x14ac:dyDescent="0.25">
      <c r="A1099" s="7">
        <v>1.8717444252272828</v>
      </c>
      <c r="B1099"/>
      <c r="C1099"/>
      <c r="D1099"/>
      <c r="E1099" s="1"/>
    </row>
    <row r="1100" spans="1:5" x14ac:dyDescent="0.25">
      <c r="A1100" s="7">
        <v>1.8532123022052305</v>
      </c>
      <c r="B1100"/>
      <c r="C1100"/>
      <c r="D1100"/>
      <c r="E1100" s="1"/>
    </row>
    <row r="1101" spans="1:5" x14ac:dyDescent="0.25">
      <c r="A1101" s="7">
        <v>1.8348636655497332</v>
      </c>
      <c r="B1101"/>
      <c r="C1101"/>
      <c r="D1101"/>
      <c r="E1101" s="1"/>
    </row>
    <row r="1102" spans="1:5" x14ac:dyDescent="0.25">
      <c r="A1102" s="7">
        <v>1.8166966985640922</v>
      </c>
      <c r="B1102"/>
      <c r="C1102"/>
      <c r="D1102"/>
      <c r="E1102" s="1"/>
    </row>
    <row r="1103" spans="1:5" x14ac:dyDescent="0.25">
      <c r="A1103" s="7">
        <v>1.798709602538705</v>
      </c>
      <c r="B1103"/>
      <c r="C1103"/>
      <c r="D1103"/>
      <c r="E1103" s="1"/>
    </row>
    <row r="1104" spans="1:5" x14ac:dyDescent="0.25">
      <c r="A1104" s="7">
        <v>1.7809005965729752</v>
      </c>
      <c r="B1104"/>
      <c r="C1104"/>
      <c r="D1104"/>
      <c r="E1104" s="1"/>
    </row>
    <row r="1105" spans="1:5" x14ac:dyDescent="0.25">
      <c r="A1105" s="7">
        <v>1.7632679173989854</v>
      </c>
      <c r="B1105"/>
      <c r="C1105"/>
      <c r="D1105"/>
      <c r="E1105" s="1"/>
    </row>
    <row r="1106" spans="1:5" x14ac:dyDescent="0.25">
      <c r="A1106" s="7">
        <v>1.7458098192069162</v>
      </c>
      <c r="B1106"/>
      <c r="C1106"/>
      <c r="D1106"/>
      <c r="E1106" s="1"/>
    </row>
    <row r="1107" spans="1:5" x14ac:dyDescent="0.25">
      <c r="A1107" s="7">
        <v>1.7285245734721943</v>
      </c>
      <c r="B1107"/>
      <c r="C1107"/>
      <c r="D1107"/>
      <c r="E1107" s="1"/>
    </row>
    <row r="1108" spans="1:5" x14ac:dyDescent="0.25">
      <c r="A1108" s="7">
        <v>1.7114104687843508</v>
      </c>
      <c r="B1108"/>
      <c r="C1108"/>
      <c r="D1108"/>
      <c r="E1108" s="1"/>
    </row>
    <row r="1109" spans="1:5" x14ac:dyDescent="0.25">
      <c r="A1109" s="7">
        <v>1.694465810677575</v>
      </c>
      <c r="B1109"/>
      <c r="C1109"/>
      <c r="D1109"/>
      <c r="E1109" s="1"/>
    </row>
    <row r="1110" spans="1:5" x14ac:dyDescent="0.25">
      <c r="A1110" s="7">
        <v>1.6776889214629456</v>
      </c>
      <c r="B1110"/>
      <c r="C1110"/>
      <c r="D1110"/>
      <c r="E1110" s="1"/>
    </row>
    <row r="1111" spans="1:5" x14ac:dyDescent="0.25">
      <c r="A1111" s="7">
        <v>1.6610781400623222</v>
      </c>
      <c r="B1111"/>
      <c r="C1111"/>
      <c r="D1111"/>
      <c r="E1111" s="1"/>
    </row>
    <row r="1112" spans="1:5" x14ac:dyDescent="0.25">
      <c r="A1112" s="7">
        <v>1.6446318218438833</v>
      </c>
      <c r="B1112"/>
      <c r="C1112"/>
      <c r="D1112"/>
      <c r="E1112" s="1"/>
    </row>
    <row r="1113" spans="1:5" x14ac:dyDescent="0.25">
      <c r="A1113" s="7">
        <v>1.6283483384592905</v>
      </c>
      <c r="B1113"/>
      <c r="C1113"/>
      <c r="D1113"/>
      <c r="E1113" s="1"/>
    </row>
    <row r="1114" spans="1:5" x14ac:dyDescent="0.25">
      <c r="A1114" s="7">
        <v>1.6122260776824657</v>
      </c>
      <c r="B1114"/>
      <c r="C1114"/>
      <c r="D1114"/>
      <c r="E1114" s="1"/>
    </row>
    <row r="1115" spans="1:5" x14ac:dyDescent="0.25">
      <c r="A1115" s="7">
        <v>1.5962634432499661</v>
      </c>
      <c r="B1115"/>
      <c r="C1115"/>
      <c r="D1115"/>
      <c r="E1115" s="1"/>
    </row>
    <row r="1116" spans="1:5" x14ac:dyDescent="0.25">
      <c r="A1116" s="7">
        <v>1.5804588547029366</v>
      </c>
      <c r="B1116"/>
      <c r="C1116"/>
      <c r="D1116"/>
      <c r="E1116" s="1"/>
    </row>
    <row r="1117" spans="1:5" x14ac:dyDescent="0.25">
      <c r="A1117" s="7">
        <v>1.5648107472306303</v>
      </c>
      <c r="B1117"/>
      <c r="C1117"/>
      <c r="D1117"/>
      <c r="E1117" s="1"/>
    </row>
    <row r="1118" spans="1:5" x14ac:dyDescent="0.25">
      <c r="A1118" s="7">
        <v>1.5493175715154754</v>
      </c>
      <c r="B1118"/>
      <c r="C1118"/>
      <c r="D1118"/>
      <c r="E1118" s="1"/>
    </row>
    <row r="1119" spans="1:5" x14ac:dyDescent="0.25">
      <c r="A1119" s="7">
        <v>1.5339777935796786</v>
      </c>
      <c r="B1119"/>
      <c r="C1119"/>
      <c r="D1119"/>
      <c r="E1119" s="1"/>
    </row>
    <row r="1120" spans="1:5" x14ac:dyDescent="0.25">
      <c r="A1120" s="7">
        <v>1.5187898946333451</v>
      </c>
      <c r="B1120"/>
      <c r="C1120"/>
      <c r="D1120"/>
      <c r="E1120" s="1"/>
    </row>
    <row r="1121" spans="1:5" x14ac:dyDescent="0.25">
      <c r="A1121" s="7">
        <v>1.5037523709241041</v>
      </c>
      <c r="B1121"/>
      <c r="C1121"/>
      <c r="D1121"/>
      <c r="E1121" s="1"/>
    </row>
    <row r="1122" spans="1:5" x14ac:dyDescent="0.25">
      <c r="A1122" s="7">
        <v>1.4888637335882218</v>
      </c>
      <c r="B1122"/>
      <c r="C1122"/>
      <c r="D1122"/>
      <c r="E1122" s="1"/>
    </row>
    <row r="1123" spans="1:5" x14ac:dyDescent="0.25">
      <c r="A1123" s="7">
        <v>1.4741225085031899</v>
      </c>
      <c r="B1123"/>
      <c r="C1123"/>
      <c r="D1123"/>
      <c r="E1123" s="1"/>
    </row>
    <row r="1124" spans="1:5" x14ac:dyDescent="0.25">
      <c r="A1124" s="7">
        <v>1.4595272361417722</v>
      </c>
      <c r="B1124"/>
      <c r="C1124"/>
      <c r="D1124"/>
      <c r="E1124" s="1"/>
    </row>
    <row r="1125" spans="1:5" x14ac:dyDescent="0.25">
      <c r="A1125" s="7">
        <v>1.4450764714274971</v>
      </c>
      <c r="B1125"/>
      <c r="C1125"/>
      <c r="D1125"/>
      <c r="E1125" s="1"/>
    </row>
    <row r="1126" spans="1:5" x14ac:dyDescent="0.25">
      <c r="A1126" s="7">
        <v>1.4307687835915812</v>
      </c>
      <c r="B1126"/>
      <c r="C1126"/>
      <c r="D1126"/>
      <c r="E1126" s="1"/>
    </row>
    <row r="1127" spans="1:5" x14ac:dyDescent="0.25">
      <c r="A1127" s="7">
        <v>1.4166027560312686</v>
      </c>
      <c r="B1127"/>
      <c r="C1127"/>
      <c r="D1127"/>
      <c r="E1127" s="1"/>
    </row>
    <row r="1128" spans="1:5" x14ac:dyDescent="0.25">
      <c r="A1128" s="7">
        <v>1.4025769861695729</v>
      </c>
      <c r="B1128"/>
      <c r="C1128"/>
      <c r="D1128"/>
      <c r="E1128" s="1"/>
    </row>
    <row r="1129" spans="1:5" x14ac:dyDescent="0.25">
      <c r="A1129" s="7">
        <v>1.3886900853164088</v>
      </c>
      <c r="B1129"/>
      <c r="C1129"/>
      <c r="D1129"/>
      <c r="E1129" s="1"/>
    </row>
    <row r="1130" spans="1:5" x14ac:dyDescent="0.25">
      <c r="A1130" s="7">
        <v>1.3749406785310978</v>
      </c>
      <c r="B1130"/>
      <c r="C1130"/>
      <c r="D1130"/>
      <c r="E1130" s="1"/>
    </row>
    <row r="1131" spans="1:5" x14ac:dyDescent="0.25">
      <c r="A1131" s="7">
        <v>1.3613274044862353</v>
      </c>
      <c r="B1131"/>
      <c r="C1131"/>
      <c r="D1131"/>
      <c r="E1131" s="1"/>
    </row>
    <row r="1132" spans="1:5" x14ac:dyDescent="0.25">
      <c r="A1132" s="7">
        <v>1.3478489153329063</v>
      </c>
      <c r="B1132"/>
      <c r="C1132"/>
      <c r="D1132"/>
      <c r="E1132" s="1"/>
    </row>
    <row r="1133" spans="1:5" x14ac:dyDescent="0.25">
      <c r="A1133" s="7">
        <v>1.3345038765672339</v>
      </c>
      <c r="B1133"/>
      <c r="C1133"/>
      <c r="D1133"/>
      <c r="E1133" s="1"/>
    </row>
    <row r="1134" spans="1:5" x14ac:dyDescent="0.25">
      <c r="A1134" s="7">
        <v>1.3212909668982513</v>
      </c>
      <c r="B1134"/>
      <c r="C1134"/>
      <c r="D1134"/>
      <c r="E1134" s="1"/>
    </row>
    <row r="1135" spans="1:5" x14ac:dyDescent="0.25">
      <c r="A1135" s="7">
        <v>1.3082088781170804</v>
      </c>
      <c r="B1135"/>
      <c r="C1135"/>
      <c r="D1135"/>
      <c r="E1135" s="1"/>
    </row>
    <row r="1136" spans="1:5" x14ac:dyDescent="0.25">
      <c r="A1136" s="7">
        <v>1.2952563149674063</v>
      </c>
      <c r="B1136"/>
      <c r="C1136"/>
      <c r="D1136"/>
      <c r="E1136" s="1"/>
    </row>
    <row r="1137" spans="1:5" x14ac:dyDescent="0.25">
      <c r="A1137" s="7">
        <v>1.282431995017234</v>
      </c>
      <c r="B1137"/>
      <c r="C1137"/>
      <c r="D1137"/>
      <c r="E1137" s="1"/>
    </row>
    <row r="1138" spans="1:5" x14ac:dyDescent="0.25">
      <c r="A1138" s="7">
        <v>1.269734648531915</v>
      </c>
      <c r="B1138"/>
      <c r="C1138"/>
      <c r="D1138"/>
      <c r="E1138" s="1"/>
    </row>
    <row r="1139" spans="1:5" x14ac:dyDescent="0.25">
      <c r="A1139" s="7">
        <v>1.2571630183484306</v>
      </c>
      <c r="B1139"/>
      <c r="C1139"/>
      <c r="D1139"/>
      <c r="E1139" s="1"/>
    </row>
    <row r="1140" spans="1:5" x14ac:dyDescent="0.25">
      <c r="A1140" s="7">
        <v>1.2447158597509214</v>
      </c>
      <c r="B1140"/>
      <c r="C1140"/>
      <c r="D1140"/>
      <c r="E1140" s="1"/>
    </row>
    <row r="1141" spans="1:5" x14ac:dyDescent="0.25">
      <c r="A1141" s="7">
        <v>1.2323919403474468</v>
      </c>
      <c r="B1141"/>
      <c r="C1141"/>
      <c r="D1141"/>
      <c r="E1141" s="1"/>
    </row>
    <row r="1142" spans="1:5" x14ac:dyDescent="0.25">
      <c r="A1142" s="7">
        <v>1.220190039947967</v>
      </c>
      <c r="B1142"/>
      <c r="C1142"/>
      <c r="D1142"/>
      <c r="E1142" s="1"/>
    </row>
    <row r="1143" spans="1:5" x14ac:dyDescent="0.25">
      <c r="A1143" s="7">
        <v>1.2081089504435316</v>
      </c>
      <c r="B1143"/>
      <c r="C1143"/>
      <c r="D1143"/>
      <c r="E1143" s="1"/>
    </row>
    <row r="1144" spans="1:5" x14ac:dyDescent="0.25">
      <c r="A1144" s="7">
        <v>1.196147475686665</v>
      </c>
      <c r="B1144"/>
      <c r="C1144"/>
      <c r="D1144"/>
      <c r="E1144" s="1"/>
    </row>
    <row r="1145" spans="1:5" x14ac:dyDescent="0.25">
      <c r="A1145" s="7">
        <v>1.1843044313729356</v>
      </c>
      <c r="B1145"/>
      <c r="C1145"/>
      <c r="D1145"/>
      <c r="E1145" s="1"/>
    </row>
    <row r="1146" spans="1:5" x14ac:dyDescent="0.25">
      <c r="A1146" s="7">
        <v>1.1725786449236986</v>
      </c>
      <c r="B1146"/>
      <c r="C1146"/>
      <c r="D1146"/>
      <c r="E1146" s="1"/>
    </row>
    <row r="1147" spans="1:5" x14ac:dyDescent="0.25">
      <c r="A1147" s="7">
        <v>1.1609689553699987</v>
      </c>
      <c r="B1147"/>
      <c r="C1147"/>
      <c r="D1147"/>
      <c r="E1147" s="1"/>
    </row>
    <row r="1148" spans="1:5" x14ac:dyDescent="0.25">
      <c r="A1148" s="7">
        <v>1.1494742132376223</v>
      </c>
      <c r="B1148"/>
      <c r="C1148"/>
      <c r="D1148"/>
      <c r="E1148" s="1"/>
    </row>
    <row r="1149" spans="1:5" x14ac:dyDescent="0.25">
      <c r="A1149" s="7">
        <v>1.1380932804332895</v>
      </c>
      <c r="B1149"/>
      <c r="C1149"/>
      <c r="D1149"/>
      <c r="E1149" s="1"/>
    </row>
    <row r="1150" spans="1:5" x14ac:dyDescent="0.25">
      <c r="A1150" s="7">
        <v>1.1268250301319698</v>
      </c>
      <c r="B1150"/>
      <c r="C1150"/>
      <c r="D1150"/>
      <c r="E1150" s="1"/>
    </row>
    <row r="1151" spans="1:5" x14ac:dyDescent="0.25">
      <c r="A1151" s="7">
        <v>1.1156683466653166</v>
      </c>
      <c r="B1151"/>
      <c r="C1151"/>
      <c r="D1151"/>
      <c r="E1151" s="1"/>
    </row>
    <row r="1152" spans="1:5" x14ac:dyDescent="0.25">
      <c r="A1152" s="7">
        <v>1.1046221254112045</v>
      </c>
      <c r="B1152"/>
      <c r="C1152"/>
      <c r="D1152"/>
      <c r="E1152" s="1"/>
    </row>
    <row r="1153" spans="1:5" x14ac:dyDescent="0.25">
      <c r="A1153" s="7">
        <v>1.0936852726843609</v>
      </c>
      <c r="B1153"/>
      <c r="C1153"/>
      <c r="D1153"/>
      <c r="E1153" s="1"/>
    </row>
    <row r="1154" spans="1:5" x14ac:dyDescent="0.25">
      <c r="A1154" s="7">
        <v>1.08285670562808</v>
      </c>
      <c r="B1154"/>
      <c r="C1154"/>
      <c r="D1154"/>
      <c r="E1154" s="1"/>
    </row>
    <row r="1155" spans="1:5" x14ac:dyDescent="0.25">
      <c r="A1155" s="7">
        <v>1.0721353521070098</v>
      </c>
      <c r="B1155"/>
      <c r="C1155"/>
      <c r="D1155"/>
      <c r="E1155" s="1"/>
    </row>
    <row r="1156" spans="1:5" x14ac:dyDescent="0.25">
      <c r="A1156" s="7">
        <v>1.0615201506009999</v>
      </c>
      <c r="B1156"/>
      <c r="C1156"/>
      <c r="D1156"/>
      <c r="E1156" s="1"/>
    </row>
    <row r="1157" spans="1:5" x14ac:dyDescent="0.25">
      <c r="A1157" s="7">
        <v>1.0510100500999999</v>
      </c>
      <c r="B1157"/>
      <c r="C1157"/>
      <c r="D1157"/>
      <c r="E1157" s="1"/>
    </row>
    <row r="1158" spans="1:5" x14ac:dyDescent="0.25">
      <c r="A1158" s="7">
        <v>1.04060401</v>
      </c>
      <c r="B1158"/>
      <c r="C1158"/>
      <c r="D1158"/>
      <c r="E1158" s="1"/>
    </row>
    <row r="1159" spans="1:5" x14ac:dyDescent="0.25">
      <c r="A1159" s="7">
        <v>1.0303009999999999</v>
      </c>
      <c r="B1159"/>
      <c r="C1159"/>
      <c r="D1159"/>
      <c r="E1159" s="1"/>
    </row>
    <row r="1160" spans="1:5" x14ac:dyDescent="0.25">
      <c r="A1160" s="7">
        <v>1.0201</v>
      </c>
      <c r="B1160"/>
      <c r="C1160"/>
      <c r="D1160"/>
      <c r="E1160" s="1"/>
    </row>
    <row r="1161" spans="1:5" x14ac:dyDescent="0.25">
      <c r="A1161" s="7">
        <v>1.01</v>
      </c>
      <c r="B1161"/>
      <c r="C1161"/>
      <c r="D1161"/>
      <c r="E1161" s="1"/>
    </row>
    <row r="1162" spans="1:5" x14ac:dyDescent="0.25">
      <c r="A1162" s="7">
        <v>1</v>
      </c>
      <c r="B1162"/>
      <c r="C1162"/>
      <c r="D1162"/>
      <c r="E1162" s="18" t="s">
        <v>8</v>
      </c>
    </row>
    <row r="1163" spans="1:5" x14ac:dyDescent="0.25">
      <c r="A1163" s="7">
        <v>0.99009900990099009</v>
      </c>
      <c r="B1163"/>
      <c r="C1163"/>
      <c r="D1163"/>
      <c r="E1163" s="1"/>
    </row>
    <row r="1164" spans="1:5" x14ac:dyDescent="0.25">
      <c r="A1164" s="7">
        <v>0.98029604940692083</v>
      </c>
      <c r="B1164"/>
      <c r="C1164"/>
      <c r="D1164"/>
      <c r="E1164" s="1"/>
    </row>
    <row r="1165" spans="1:5" x14ac:dyDescent="0.25">
      <c r="A1165" s="7">
        <v>0.97059014792764442</v>
      </c>
      <c r="B1165"/>
      <c r="C1165"/>
      <c r="D1165"/>
      <c r="E1165" s="1"/>
    </row>
    <row r="1166" spans="1:5" x14ac:dyDescent="0.25">
      <c r="A1166" s="7">
        <v>0.96098034448281622</v>
      </c>
      <c r="B1166"/>
      <c r="C1166"/>
      <c r="D1166"/>
      <c r="E1166" s="1"/>
    </row>
    <row r="1167" spans="1:5" x14ac:dyDescent="0.25">
      <c r="A1167" s="7">
        <v>0.95146568760674877</v>
      </c>
      <c r="B1167"/>
      <c r="C1167"/>
      <c r="D1167"/>
      <c r="E1167" s="1"/>
    </row>
    <row r="1168" spans="1:5" x14ac:dyDescent="0.25">
      <c r="A1168" s="7">
        <v>0.94204523525420669</v>
      </c>
      <c r="B1168"/>
      <c r="C1168"/>
      <c r="D1168"/>
      <c r="E1168" s="1"/>
    </row>
    <row r="1169" spans="1:5" x14ac:dyDescent="0.25">
      <c r="A1169" s="7">
        <v>0.93271805470713531</v>
      </c>
      <c r="B1169"/>
      <c r="C1169"/>
      <c r="D1169"/>
      <c r="E1169" s="1"/>
    </row>
    <row r="1170" spans="1:5" x14ac:dyDescent="0.25">
      <c r="A1170" s="7">
        <v>0.92348322248231218</v>
      </c>
      <c r="B1170"/>
      <c r="C1170"/>
      <c r="D1170"/>
      <c r="E1170" s="1"/>
    </row>
    <row r="1171" spans="1:5" x14ac:dyDescent="0.25">
      <c r="A1171" s="7">
        <v>0.914339824239913</v>
      </c>
      <c r="B1171"/>
      <c r="C1171"/>
      <c r="D1171"/>
      <c r="E1171" s="1"/>
    </row>
    <row r="1172" spans="1:5" x14ac:dyDescent="0.25">
      <c r="A1172" s="7">
        <v>0.90528695469298315</v>
      </c>
      <c r="B1172"/>
      <c r="C1172"/>
      <c r="D1172"/>
      <c r="E1172" s="1"/>
    </row>
    <row r="1173" spans="1:5" x14ac:dyDescent="0.25">
      <c r="A1173" s="7">
        <v>0.89632371751780504</v>
      </c>
      <c r="B1173"/>
      <c r="C1173"/>
      <c r="D1173"/>
      <c r="E1173" s="1"/>
    </row>
    <row r="1174" spans="1:5" x14ac:dyDescent="0.25">
      <c r="A1174" s="7">
        <v>0.88744922526515346</v>
      </c>
      <c r="B1174"/>
      <c r="C1174"/>
      <c r="D1174"/>
      <c r="E1174" s="1"/>
    </row>
    <row r="1175" spans="1:5" x14ac:dyDescent="0.25">
      <c r="A1175" s="7">
        <v>0.87866259927242918</v>
      </c>
      <c r="B1175"/>
      <c r="C1175"/>
      <c r="D1175"/>
      <c r="E1175" s="1"/>
    </row>
    <row r="1176" spans="1:5" x14ac:dyDescent="0.25">
      <c r="A1176" s="7">
        <v>0.86996296957666253</v>
      </c>
      <c r="B1176"/>
      <c r="C1176"/>
      <c r="D1176"/>
      <c r="E1176" s="1"/>
    </row>
    <row r="1177" spans="1:5" x14ac:dyDescent="0.25">
      <c r="A1177" s="7">
        <v>0.86134947482837876</v>
      </c>
      <c r="B1177"/>
      <c r="C1177"/>
      <c r="D1177"/>
      <c r="E1177" s="1"/>
    </row>
    <row r="1178" spans="1:5" x14ac:dyDescent="0.25">
      <c r="A1178" s="7">
        <v>0.8528212622063156</v>
      </c>
      <c r="B1178"/>
      <c r="C1178"/>
      <c r="D1178"/>
      <c r="E1178" s="1"/>
    </row>
    <row r="1179" spans="1:5" x14ac:dyDescent="0.25">
      <c r="A1179" s="7">
        <v>0.84437748733298579</v>
      </c>
      <c r="B1179"/>
      <c r="C1179"/>
      <c r="D1179"/>
      <c r="E1179" s="1"/>
    </row>
    <row r="1180" spans="1:5" x14ac:dyDescent="0.25">
      <c r="A1180" s="7">
        <v>0.83601731419107506</v>
      </c>
      <c r="B1180"/>
      <c r="C1180"/>
      <c r="D1180"/>
      <c r="E1180" s="1"/>
    </row>
    <row r="1181" spans="1:5" x14ac:dyDescent="0.25">
      <c r="A1181" s="7">
        <v>0.82773991504066835</v>
      </c>
      <c r="B1181"/>
      <c r="C1181"/>
      <c r="D1181"/>
      <c r="E1181" s="1"/>
    </row>
    <row r="1182" spans="1:5" x14ac:dyDescent="0.25">
      <c r="A1182" s="7">
        <v>0.81954447033729538</v>
      </c>
      <c r="B1182"/>
      <c r="C1182"/>
      <c r="D1182"/>
      <c r="E1182" s="1"/>
    </row>
    <row r="1183" spans="1:5" x14ac:dyDescent="0.25">
      <c r="A1183" s="7">
        <v>0.81143016865078754</v>
      </c>
      <c r="B1183"/>
      <c r="C1183"/>
      <c r="D1183"/>
      <c r="E1183" s="1"/>
    </row>
    <row r="1184" spans="1:5" x14ac:dyDescent="0.25">
      <c r="A1184" s="7">
        <v>0.80339620658493816</v>
      </c>
      <c r="B1184"/>
      <c r="C1184"/>
      <c r="D1184"/>
      <c r="E1184" s="1"/>
    </row>
    <row r="1185" spans="1:5" x14ac:dyDescent="0.25">
      <c r="A1185" s="7">
        <v>0.79544178869795856</v>
      </c>
      <c r="B1185"/>
      <c r="C1185"/>
      <c r="D1185"/>
      <c r="E1185" s="1"/>
    </row>
    <row r="1186" spans="1:5" x14ac:dyDescent="0.25">
      <c r="A1186" s="7">
        <v>0.78756612742372134</v>
      </c>
      <c r="B1186"/>
      <c r="C1186"/>
      <c r="D1186"/>
      <c r="E1186" s="1"/>
    </row>
    <row r="1187" spans="1:5" x14ac:dyDescent="0.25">
      <c r="A1187" s="7">
        <v>0.77976844299378345</v>
      </c>
      <c r="B1187"/>
      <c r="C1187"/>
      <c r="D1187"/>
      <c r="E1187" s="1"/>
    </row>
    <row r="1188" spans="1:5" x14ac:dyDescent="0.25">
      <c r="A1188" s="7">
        <v>0.77204796336018167</v>
      </c>
      <c r="B1188"/>
      <c r="C1188"/>
      <c r="D1188"/>
      <c r="E1188" s="1"/>
    </row>
    <row r="1189" spans="1:5" x14ac:dyDescent="0.25">
      <c r="A1189" s="7">
        <v>0.76440392411899172</v>
      </c>
      <c r="B1189"/>
      <c r="C1189"/>
      <c r="D1189"/>
      <c r="E1189" s="1"/>
    </row>
    <row r="1190" spans="1:5" x14ac:dyDescent="0.25">
      <c r="A1190" s="7">
        <v>0.75683556843464528</v>
      </c>
      <c r="B1190"/>
      <c r="C1190"/>
      <c r="D1190"/>
      <c r="E1190" s="1"/>
    </row>
    <row r="1191" spans="1:5" x14ac:dyDescent="0.25">
      <c r="A1191" s="7">
        <v>0.74934214696499535</v>
      </c>
      <c r="B1191"/>
      <c r="C1191"/>
      <c r="D1191"/>
      <c r="E1191" s="1"/>
    </row>
    <row r="1192" spans="1:5" x14ac:dyDescent="0.25">
      <c r="A1192" s="7">
        <v>0.74192291778712405</v>
      </c>
      <c r="B1192"/>
      <c r="C1192"/>
      <c r="D1192"/>
      <c r="E1192" s="1"/>
    </row>
    <row r="1193" spans="1:5" x14ac:dyDescent="0.25">
      <c r="A1193" s="7">
        <v>0.73457714632388516</v>
      </c>
      <c r="B1193"/>
      <c r="C1193"/>
      <c r="D1193"/>
      <c r="E1193" s="1"/>
    </row>
    <row r="1194" spans="1:5" x14ac:dyDescent="0.25">
      <c r="A1194" s="7">
        <v>0.7273041052711734</v>
      </c>
      <c r="B1194"/>
      <c r="C1194"/>
      <c r="D1194"/>
      <c r="E1194" s="1"/>
    </row>
    <row r="1195" spans="1:5" x14ac:dyDescent="0.25">
      <c r="A1195" s="7">
        <v>0.72010307452591427</v>
      </c>
      <c r="B1195"/>
      <c r="C1195"/>
      <c r="D1195"/>
      <c r="E1195" s="1"/>
    </row>
    <row r="1196" spans="1:5" x14ac:dyDescent="0.25">
      <c r="A1196" s="7">
        <v>0.71297334111476662</v>
      </c>
      <c r="B1196"/>
      <c r="C1196"/>
      <c r="D1196"/>
      <c r="E1196" s="1"/>
    </row>
    <row r="1197" spans="1:5" x14ac:dyDescent="0.25">
      <c r="A1197" s="7">
        <v>0.70591419912353126</v>
      </c>
      <c r="B1197"/>
      <c r="C1197"/>
      <c r="D1197"/>
      <c r="E1197" s="1"/>
    </row>
    <row r="1198" spans="1:5" x14ac:dyDescent="0.25">
      <c r="A1198" s="7">
        <v>0.69892494962725871</v>
      </c>
      <c r="B1198"/>
      <c r="C1198"/>
      <c r="D1198"/>
      <c r="E1198" s="1"/>
    </row>
    <row r="1199" spans="1:5" x14ac:dyDescent="0.25">
      <c r="A1199" s="7">
        <v>0.69200490062104825</v>
      </c>
      <c r="B1199"/>
      <c r="C1199"/>
      <c r="D1199"/>
      <c r="E1199" s="1"/>
    </row>
    <row r="1200" spans="1:5" x14ac:dyDescent="0.25">
      <c r="A1200" s="7">
        <v>0.68515336695153295</v>
      </c>
      <c r="B1200"/>
      <c r="C1200"/>
      <c r="D1200"/>
      <c r="E1200" s="1"/>
    </row>
    <row r="1201" spans="1:5" x14ac:dyDescent="0.25">
      <c r="A1201" s="7">
        <v>0.67836967024904249</v>
      </c>
      <c r="B1201"/>
      <c r="C1201"/>
      <c r="D1201"/>
      <c r="E1201" s="1"/>
    </row>
    <row r="1202" spans="1:5" x14ac:dyDescent="0.25">
      <c r="A1202" s="7">
        <v>0.67165313886043809</v>
      </c>
      <c r="B1202"/>
      <c r="C1202"/>
      <c r="D1202"/>
      <c r="E1202" s="1"/>
    </row>
    <row r="1203" spans="1:5" x14ac:dyDescent="0.25">
      <c r="A1203" s="7">
        <v>0.66500310778261196</v>
      </c>
      <c r="B1203"/>
      <c r="C1203"/>
      <c r="D1203"/>
      <c r="E1203" s="1"/>
    </row>
    <row r="1204" spans="1:5" x14ac:dyDescent="0.25">
      <c r="A1204" s="7">
        <v>0.65841891859664547</v>
      </c>
      <c r="B1204"/>
      <c r="C1204"/>
      <c r="D1204"/>
      <c r="E1204" s="1"/>
    </row>
    <row r="1205" spans="1:5" x14ac:dyDescent="0.25">
      <c r="A1205" s="7">
        <v>0.65189991940261927</v>
      </c>
      <c r="B1205"/>
      <c r="C1205"/>
      <c r="D1205"/>
      <c r="E1205" s="1"/>
    </row>
    <row r="1206" spans="1:5" x14ac:dyDescent="0.25">
      <c r="A1206" s="7">
        <v>0.64544546475506859</v>
      </c>
      <c r="B1206"/>
      <c r="C1206"/>
      <c r="D1206"/>
      <c r="E1206" s="1"/>
    </row>
    <row r="1207" spans="1:5" x14ac:dyDescent="0.25">
      <c r="A1207" s="7">
        <v>0.63905491559907779</v>
      </c>
      <c r="B1207"/>
      <c r="C1207"/>
      <c r="D1207"/>
      <c r="E1207" s="1"/>
    </row>
    <row r="1208" spans="1:5" x14ac:dyDescent="0.25">
      <c r="A1208" s="7">
        <v>0.6327276392070077</v>
      </c>
      <c r="B1208"/>
      <c r="C1208"/>
      <c r="D1208"/>
      <c r="E1208" s="1"/>
    </row>
    <row r="1209" spans="1:5" x14ac:dyDescent="0.25">
      <c r="A1209" s="7">
        <v>0.62646300911584918</v>
      </c>
      <c r="B1209"/>
      <c r="C1209"/>
      <c r="D1209"/>
      <c r="E1209" s="1"/>
    </row>
    <row r="1210" spans="1:5" x14ac:dyDescent="0.25">
      <c r="A1210" s="7">
        <v>0.6202604050651972</v>
      </c>
      <c r="B1210"/>
      <c r="C1210"/>
      <c r="D1210"/>
      <c r="E1210" s="1"/>
    </row>
    <row r="1211" spans="1:5" x14ac:dyDescent="0.25">
      <c r="A1211" s="7">
        <v>0.61411921293583882</v>
      </c>
      <c r="B1211"/>
      <c r="C1211"/>
      <c r="D1211"/>
      <c r="E1211" s="1"/>
    </row>
    <row r="1212" spans="1:5" x14ac:dyDescent="0.25">
      <c r="A1212" s="7">
        <v>0.60803882468894932</v>
      </c>
      <c r="B1212"/>
      <c r="C1212"/>
      <c r="D1212"/>
      <c r="E1212" s="1"/>
    </row>
    <row r="1213" spans="1:5" x14ac:dyDescent="0.25">
      <c r="A1213" s="7">
        <v>0.60201863830589042</v>
      </c>
      <c r="B1213"/>
      <c r="C1213"/>
      <c r="D1213"/>
      <c r="E1213" s="1"/>
    </row>
    <row r="1214" spans="1:5" x14ac:dyDescent="0.25">
      <c r="A1214" s="7">
        <v>0.59605805772860432</v>
      </c>
      <c r="B1214"/>
      <c r="C1214"/>
      <c r="D1214"/>
      <c r="E1214" s="1"/>
    </row>
    <row r="1215" spans="1:5" x14ac:dyDescent="0.25">
      <c r="A1215" s="7">
        <v>0.59015649280059834</v>
      </c>
      <c r="B1215"/>
      <c r="C1215"/>
      <c r="D1215"/>
      <c r="E1215" s="1"/>
    </row>
    <row r="1216" spans="1:5" x14ac:dyDescent="0.25">
      <c r="A1216" s="7">
        <v>0.58431335920851324</v>
      </c>
      <c r="B1216"/>
      <c r="C1216"/>
      <c r="D1216"/>
      <c r="E1216" s="1"/>
    </row>
    <row r="1217" spans="1:5" x14ac:dyDescent="0.25">
      <c r="A1217" s="7">
        <v>0.57852807842427056</v>
      </c>
      <c r="B1217"/>
      <c r="C1217"/>
      <c r="D1217"/>
      <c r="E1217" s="1"/>
    </row>
    <row r="1218" spans="1:5" x14ac:dyDescent="0.25">
      <c r="A1218" s="7">
        <v>0.57280007764779262</v>
      </c>
      <c r="B1218"/>
      <c r="C1218"/>
      <c r="D1218"/>
      <c r="E1218" s="1"/>
    </row>
    <row r="1219" spans="1:5" x14ac:dyDescent="0.25">
      <c r="A1219" s="7">
        <v>0.56712878975028969</v>
      </c>
      <c r="B1219"/>
      <c r="C1219"/>
      <c r="D1219"/>
      <c r="E1219" s="1"/>
    </row>
    <row r="1220" spans="1:5" x14ac:dyDescent="0.25">
      <c r="A1220" s="7">
        <v>0.56151365321810864</v>
      </c>
      <c r="B1220"/>
      <c r="C1220"/>
      <c r="D1220"/>
      <c r="E1220" s="1"/>
    </row>
    <row r="1221" spans="1:5" x14ac:dyDescent="0.25">
      <c r="A1221" s="7">
        <v>0.5559541120971373</v>
      </c>
      <c r="B1221"/>
      <c r="C1221"/>
      <c r="D1221"/>
      <c r="E1221" s="1"/>
    </row>
    <row r="1222" spans="1:5" x14ac:dyDescent="0.25">
      <c r="A1222" s="7">
        <v>0.55044961593775965</v>
      </c>
      <c r="B1222"/>
      <c r="C1222"/>
      <c r="D1222"/>
      <c r="E1222" s="1"/>
    </row>
    <row r="1223" spans="1:5" x14ac:dyDescent="0.25">
      <c r="A1223" s="7">
        <v>0.54499961974035604</v>
      </c>
      <c r="B1223"/>
      <c r="C1223"/>
      <c r="D1223"/>
      <c r="E1223" s="1"/>
    </row>
    <row r="1224" spans="1:5" x14ac:dyDescent="0.25">
      <c r="A1224" s="7">
        <v>0.53960358390134266</v>
      </c>
      <c r="B1224"/>
      <c r="C1224"/>
      <c r="D1224"/>
      <c r="E1224" s="1"/>
    </row>
    <row r="1225" spans="1:5" x14ac:dyDescent="0.25">
      <c r="A1225" s="7">
        <v>0.53426097415974516</v>
      </c>
      <c r="B1225"/>
      <c r="C1225"/>
      <c r="D1225"/>
      <c r="E1225" s="1"/>
    </row>
    <row r="1226" spans="1:5" x14ac:dyDescent="0.25">
      <c r="A1226" s="7">
        <v>0.52897126154430218</v>
      </c>
      <c r="B1226"/>
      <c r="C1226"/>
      <c r="D1226"/>
      <c r="E1226" s="1"/>
    </row>
    <row r="1227" spans="1:5" x14ac:dyDescent="0.25">
      <c r="A1227" s="7">
        <v>0.52373392232109128</v>
      </c>
      <c r="B1227"/>
      <c r="C1227"/>
      <c r="D1227"/>
      <c r="E1227" s="1"/>
    </row>
    <row r="1228" spans="1:5" x14ac:dyDescent="0.25">
      <c r="A1228" s="7">
        <v>0.51854843794167449</v>
      </c>
      <c r="B1228"/>
      <c r="C1228"/>
      <c r="D1228"/>
      <c r="E1228" s="1"/>
    </row>
    <row r="1229" spans="1:5" x14ac:dyDescent="0.25">
      <c r="A1229" s="7">
        <v>0.51341429499175695</v>
      </c>
      <c r="B1229"/>
      <c r="C1229"/>
      <c r="D1229"/>
      <c r="E1229" s="1"/>
    </row>
    <row r="1230" spans="1:5" x14ac:dyDescent="0.25">
      <c r="A1230" s="7">
        <v>0.50833098514035346</v>
      </c>
      <c r="B1230"/>
      <c r="C1230"/>
      <c r="D1230"/>
      <c r="E1230" s="1"/>
    </row>
    <row r="1231" spans="1:5" x14ac:dyDescent="0.25">
      <c r="A1231" s="7">
        <v>0.50329800508945888</v>
      </c>
      <c r="B1231"/>
      <c r="C1231"/>
      <c r="D1231"/>
      <c r="E1231" s="1"/>
    </row>
    <row r="1232" spans="1:5" x14ac:dyDescent="0.25">
      <c r="A1232" s="7">
        <v>0.4983148565242167</v>
      </c>
      <c r="B1232"/>
      <c r="C1232"/>
      <c r="D1232"/>
      <c r="E1232" s="1"/>
    </row>
    <row r="1233" spans="1:5" x14ac:dyDescent="0.25">
      <c r="A1233" s="7">
        <v>0.49338104606358091</v>
      </c>
      <c r="B1233"/>
      <c r="C1233"/>
      <c r="D1233"/>
      <c r="E1233" s="1"/>
    </row>
    <row r="1234" spans="1:5" x14ac:dyDescent="0.25">
      <c r="A1234" s="7">
        <v>0.48849608521146626</v>
      </c>
      <c r="B1234"/>
      <c r="C1234"/>
      <c r="D1234"/>
      <c r="E1234" s="1"/>
    </row>
    <row r="1235" spans="1:5" x14ac:dyDescent="0.25">
      <c r="A1235" s="7">
        <v>0.48365949030838246</v>
      </c>
      <c r="B1235"/>
      <c r="C1235"/>
      <c r="D1235"/>
      <c r="E1235" s="1"/>
    </row>
    <row r="1236" spans="1:5" x14ac:dyDescent="0.25">
      <c r="A1236" s="7">
        <v>0.47887078248354698</v>
      </c>
      <c r="B1236"/>
      <c r="C1236"/>
      <c r="D1236"/>
      <c r="E1236" s="1"/>
    </row>
    <row r="1237" spans="1:5" x14ac:dyDescent="0.25">
      <c r="A1237" s="7">
        <v>0.47412948760747226</v>
      </c>
      <c r="B1237"/>
      <c r="C1237"/>
      <c r="D1237"/>
      <c r="E1237" s="1"/>
    </row>
    <row r="1238" spans="1:5" x14ac:dyDescent="0.25">
      <c r="A1238" s="7">
        <v>0.46943513624502203</v>
      </c>
      <c r="B1238"/>
      <c r="C1238"/>
      <c r="D1238"/>
      <c r="E1238" s="1"/>
    </row>
    <row r="1239" spans="1:5" x14ac:dyDescent="0.25">
      <c r="A1239" s="7">
        <v>0.46478726360893269</v>
      </c>
      <c r="B1239"/>
      <c r="C1239"/>
      <c r="D1239"/>
      <c r="E1239" s="1"/>
    </row>
    <row r="1240" spans="1:5" x14ac:dyDescent="0.25">
      <c r="A1240" s="7">
        <v>0.46018540951379472</v>
      </c>
      <c r="B1240"/>
      <c r="C1240"/>
      <c r="D1240"/>
      <c r="E1240" s="1"/>
    </row>
    <row r="1241" spans="1:5" x14ac:dyDescent="0.25">
      <c r="A1241" s="7">
        <v>0.4556291183304898</v>
      </c>
      <c r="B1241"/>
      <c r="C1241"/>
      <c r="D1241"/>
      <c r="E1241" s="1"/>
    </row>
    <row r="1242" spans="1:5" x14ac:dyDescent="0.25">
      <c r="A1242" s="7">
        <v>0.45111793894107899</v>
      </c>
      <c r="B1242"/>
      <c r="C1242"/>
      <c r="D1242"/>
      <c r="E1242" s="1"/>
    </row>
    <row r="1243" spans="1:5" x14ac:dyDescent="0.25">
      <c r="A1243" s="7">
        <v>0.4466514246941376</v>
      </c>
      <c r="B1243"/>
      <c r="C1243"/>
      <c r="D1243"/>
      <c r="E1243" s="1"/>
    </row>
    <row r="1244" spans="1:5" x14ac:dyDescent="0.25">
      <c r="A1244" s="7">
        <v>0.44222913336053227</v>
      </c>
      <c r="B1244"/>
      <c r="C1244"/>
      <c r="D1244"/>
      <c r="E1244" s="1"/>
    </row>
    <row r="1245" spans="1:5" x14ac:dyDescent="0.25">
      <c r="A1245" s="7">
        <v>0.4378506270896359</v>
      </c>
      <c r="B1245"/>
      <c r="C1245"/>
      <c r="D1245"/>
      <c r="E1245" s="1"/>
    </row>
    <row r="1246" spans="1:5" x14ac:dyDescent="0.25">
      <c r="A1246" s="7">
        <v>0.43351547236597615</v>
      </c>
      <c r="B1246"/>
      <c r="C1246"/>
      <c r="D1246"/>
      <c r="E1246" s="1"/>
    </row>
    <row r="1247" spans="1:5" x14ac:dyDescent="0.25">
      <c r="A1247" s="7">
        <v>0.42922323996631301</v>
      </c>
      <c r="B1247"/>
      <c r="C1247"/>
      <c r="D1247"/>
      <c r="E1247" s="1"/>
    </row>
    <row r="1248" spans="1:5" x14ac:dyDescent="0.25">
      <c r="A1248" s="7">
        <v>0.42497350491714159</v>
      </c>
      <c r="B1248"/>
      <c r="C1248"/>
      <c r="D1248"/>
      <c r="E1248" s="1"/>
    </row>
    <row r="1249" spans="1:5" x14ac:dyDescent="0.25">
      <c r="A1249" s="7">
        <v>0.42076584645261544</v>
      </c>
      <c r="B1249"/>
      <c r="C1249"/>
      <c r="D1249"/>
      <c r="E1249" s="1"/>
    </row>
    <row r="1250" spans="1:5" x14ac:dyDescent="0.25">
      <c r="A1250" s="7">
        <v>0.41659984797288657</v>
      </c>
      <c r="B1250"/>
      <c r="C1250"/>
      <c r="D1250"/>
      <c r="E1250" s="1"/>
    </row>
    <row r="1251" spans="1:5" x14ac:dyDescent="0.25">
      <c r="A1251" s="7">
        <v>0.412475097002858</v>
      </c>
      <c r="B1251"/>
      <c r="C1251"/>
      <c r="D1251"/>
      <c r="E1251" s="1"/>
    </row>
    <row r="1252" spans="1:5" x14ac:dyDescent="0.25">
      <c r="A1252" s="7">
        <v>0.40839118515134454</v>
      </c>
      <c r="B1252"/>
      <c r="C1252"/>
      <c r="D1252"/>
      <c r="E1252" s="1"/>
    </row>
    <row r="1253" spans="1:5" x14ac:dyDescent="0.25">
      <c r="A1253" s="7">
        <v>0.40434770807063813</v>
      </c>
      <c r="B1253"/>
      <c r="C1253"/>
      <c r="D1253"/>
      <c r="E1253" s="1"/>
    </row>
    <row r="1254" spans="1:5" x14ac:dyDescent="0.25">
      <c r="A1254" s="7">
        <v>0.40034426541647339</v>
      </c>
      <c r="B1254"/>
      <c r="C1254"/>
      <c r="D1254"/>
      <c r="E1254" s="1"/>
    </row>
    <row r="1255" spans="1:5" x14ac:dyDescent="0.25">
      <c r="A1255" s="7">
        <v>0.39638046080838951</v>
      </c>
      <c r="B1255"/>
      <c r="C1255"/>
      <c r="D1255"/>
      <c r="E1255" s="1"/>
    </row>
    <row r="1256" spans="1:5" x14ac:dyDescent="0.25">
      <c r="A1256" s="7">
        <v>0.39245590179048467</v>
      </c>
      <c r="B1256"/>
      <c r="C1256"/>
      <c r="D1256"/>
      <c r="E1256" s="1"/>
    </row>
    <row r="1257" spans="1:5" x14ac:dyDescent="0.25">
      <c r="A1257" s="7">
        <v>0.38857019979255908</v>
      </c>
      <c r="B1257"/>
      <c r="C1257"/>
      <c r="D1257"/>
      <c r="E1257" s="1"/>
    </row>
    <row r="1258" spans="1:5" x14ac:dyDescent="0.25">
      <c r="A1258" s="7">
        <v>0.38472297009164264</v>
      </c>
      <c r="B1258"/>
      <c r="C1258"/>
      <c r="D1258"/>
      <c r="E1258" s="1"/>
    </row>
    <row r="1259" spans="1:5" x14ac:dyDescent="0.25">
      <c r="A1259" s="7">
        <v>0.38091383177390359</v>
      </c>
      <c r="B1259"/>
      <c r="C1259"/>
      <c r="D1259"/>
      <c r="E1259" s="1"/>
    </row>
    <row r="1260" spans="1:5" x14ac:dyDescent="0.25">
      <c r="A1260" s="7">
        <v>0.37714240769693425</v>
      </c>
      <c r="B1260"/>
      <c r="C1260"/>
      <c r="D1260"/>
      <c r="E1260" s="1"/>
    </row>
    <row r="1261" spans="1:5" x14ac:dyDescent="0.25">
      <c r="A1261" s="7">
        <v>0.37340832445241012</v>
      </c>
      <c r="B1261"/>
      <c r="C1261"/>
      <c r="D1261"/>
      <c r="E1261" s="1"/>
    </row>
    <row r="1262" spans="1:5" x14ac:dyDescent="0.25">
      <c r="A1262" s="7">
        <v>0.36971121232911891</v>
      </c>
      <c r="B1262"/>
      <c r="C1262"/>
      <c r="D1262"/>
      <c r="E1262" s="1"/>
    </row>
    <row r="1263" spans="1:5" x14ac:dyDescent="0.25">
      <c r="A1263" s="7">
        <v>0.36605070527635536</v>
      </c>
      <c r="B1263"/>
      <c r="C1263"/>
      <c r="D1263"/>
      <c r="E1263" s="1"/>
    </row>
    <row r="1264" spans="1:5" x14ac:dyDescent="0.25">
      <c r="A1264" s="7">
        <v>0.36242644086767856</v>
      </c>
      <c r="B1264"/>
      <c r="C1264"/>
      <c r="D1264"/>
      <c r="E1264" s="1"/>
    </row>
    <row r="1265" spans="1:5" x14ac:dyDescent="0.25">
      <c r="A1265" s="7">
        <v>0.35883806026502829</v>
      </c>
      <c r="B1265"/>
      <c r="C1265"/>
      <c r="D1265"/>
      <c r="E1265" s="1"/>
    </row>
    <row r="1266" spans="1:5" x14ac:dyDescent="0.25">
      <c r="A1266" s="7">
        <v>0.35528520818319631</v>
      </c>
      <c r="B1266"/>
      <c r="C1266"/>
      <c r="D1266"/>
      <c r="E1266" s="1"/>
    </row>
    <row r="1267" spans="1:5" x14ac:dyDescent="0.25">
      <c r="A1267" s="7">
        <v>0.35176753285464979</v>
      </c>
      <c r="B1267"/>
      <c r="C1267"/>
      <c r="D1267"/>
      <c r="E1267" s="1"/>
    </row>
    <row r="1268" spans="1:5" x14ac:dyDescent="0.25">
      <c r="A1268" s="7">
        <v>0.34828468599470275</v>
      </c>
      <c r="B1268"/>
      <c r="C1268"/>
      <c r="D1268"/>
      <c r="E1268" s="1"/>
    </row>
    <row r="1269" spans="1:5" x14ac:dyDescent="0.25">
      <c r="A1269" s="7">
        <v>0.34483632276703241</v>
      </c>
      <c r="B1269"/>
      <c r="C1269"/>
      <c r="D1269"/>
      <c r="E1269" s="1"/>
    </row>
    <row r="1270" spans="1:5" x14ac:dyDescent="0.25">
      <c r="A1270" s="7">
        <v>0.34142210174953702</v>
      </c>
      <c r="B1270"/>
      <c r="C1270"/>
      <c r="D1270"/>
      <c r="E1270" s="1"/>
    </row>
    <row r="1271" spans="1:5" x14ac:dyDescent="0.25">
      <c r="A1271" s="7">
        <v>0.33804168490053171</v>
      </c>
      <c r="B1271"/>
      <c r="C1271"/>
      <c r="D1271"/>
      <c r="E1271" s="1"/>
    </row>
    <row r="1272" spans="1:5" x14ac:dyDescent="0.25">
      <c r="A1272" s="7">
        <v>0.3346947375252789</v>
      </c>
      <c r="B1272"/>
      <c r="C1272"/>
      <c r="D1272"/>
      <c r="E1272" s="1"/>
    </row>
    <row r="1273" spans="1:5" x14ac:dyDescent="0.25">
      <c r="A1273" s="7">
        <v>0.33138092824285037</v>
      </c>
      <c r="B1273"/>
      <c r="C1273"/>
      <c r="D1273"/>
      <c r="E1273" s="1"/>
    </row>
    <row r="1274" spans="1:5" x14ac:dyDescent="0.25">
      <c r="A1274" s="7">
        <v>0.32809992895331719</v>
      </c>
      <c r="B1274"/>
      <c r="C1274"/>
      <c r="D1274"/>
      <c r="E1274" s="1"/>
    </row>
    <row r="1275" spans="1:5" x14ac:dyDescent="0.25">
      <c r="A1275" s="7">
        <v>0.32485141480526453</v>
      </c>
      <c r="B1275"/>
      <c r="C1275"/>
      <c r="D1275"/>
      <c r="E1275" s="1"/>
    </row>
    <row r="1276" spans="1:5" x14ac:dyDescent="0.25">
      <c r="A1276" s="7">
        <v>0.32163506416362825</v>
      </c>
      <c r="B1276"/>
      <c r="C1276"/>
      <c r="D1276"/>
      <c r="E1276" s="1"/>
    </row>
    <row r="1277" spans="1:5" x14ac:dyDescent="0.25">
      <c r="A1277" s="7">
        <v>0.31845055857784976</v>
      </c>
      <c r="B1277"/>
      <c r="C1277"/>
      <c r="D1277"/>
      <c r="E1277" s="1"/>
    </row>
    <row r="1278" spans="1:5" x14ac:dyDescent="0.25">
      <c r="A1278" s="7">
        <v>0.31529758275034631</v>
      </c>
      <c r="B1278"/>
      <c r="C1278"/>
      <c r="D1278"/>
      <c r="E1278" s="1"/>
    </row>
    <row r="1279" spans="1:5" x14ac:dyDescent="0.25">
      <c r="A1279" s="7">
        <v>0.31217582450529335</v>
      </c>
      <c r="B1279"/>
      <c r="C1279"/>
      <c r="D1279"/>
      <c r="E1279" s="1"/>
    </row>
    <row r="1280" spans="1:5" x14ac:dyDescent="0.25">
      <c r="A1280" s="7">
        <v>0.30908497475771618</v>
      </c>
      <c r="B1280"/>
      <c r="C1280"/>
      <c r="D1280"/>
      <c r="E1280" s="1"/>
    </row>
    <row r="1281" spans="1:5" x14ac:dyDescent="0.25">
      <c r="A1281" s="7">
        <v>0.30602472748288728</v>
      </c>
      <c r="B1281"/>
      <c r="C1281"/>
      <c r="D1281"/>
      <c r="E1281" s="1"/>
    </row>
    <row r="1282" spans="1:5" x14ac:dyDescent="0.25">
      <c r="A1282" s="7">
        <v>0.302994779686027</v>
      </c>
      <c r="B1282"/>
      <c r="C1282"/>
      <c r="D1282"/>
      <c r="E1282" s="1"/>
    </row>
    <row r="1283" spans="1:5" x14ac:dyDescent="0.25">
      <c r="A1283" s="7">
        <v>0.29999483137230398</v>
      </c>
      <c r="B1283"/>
      <c r="C1283"/>
      <c r="D1283"/>
      <c r="E1283" s="1"/>
    </row>
    <row r="1284" spans="1:5" x14ac:dyDescent="0.25">
      <c r="A1284" s="7">
        <v>0.29702458551713268</v>
      </c>
      <c r="B1284"/>
      <c r="C1284"/>
      <c r="D1284"/>
      <c r="E1284" s="1"/>
    </row>
    <row r="1285" spans="1:5" x14ac:dyDescent="0.25">
      <c r="A1285" s="7">
        <v>0.29408374803676501</v>
      </c>
      <c r="B1285"/>
      <c r="C1285"/>
      <c r="D1285"/>
      <c r="E1285" s="1"/>
    </row>
    <row r="1286" spans="1:5" x14ac:dyDescent="0.25">
      <c r="A1286" s="7">
        <v>0.29117202775917328</v>
      </c>
      <c r="B1286"/>
      <c r="C1286"/>
      <c r="D1286"/>
      <c r="E1286" s="1"/>
    </row>
    <row r="1287" spans="1:5" x14ac:dyDescent="0.25">
      <c r="A1287" s="7">
        <v>0.28828913639522108</v>
      </c>
      <c r="B1287"/>
      <c r="C1287"/>
      <c r="D1287"/>
      <c r="E1287" s="1"/>
    </row>
    <row r="1288" spans="1:5" x14ac:dyDescent="0.25">
      <c r="A1288" s="7">
        <v>0.28543478851011989</v>
      </c>
      <c r="B1288"/>
      <c r="C1288"/>
      <c r="D1288"/>
      <c r="E1288" s="1"/>
    </row>
    <row r="1289" spans="1:5" x14ac:dyDescent="0.25">
      <c r="A1289" s="7">
        <v>0.2826087014951682</v>
      </c>
      <c r="B1289"/>
      <c r="C1289"/>
      <c r="D1289"/>
      <c r="E1289" s="1"/>
    </row>
    <row r="1290" spans="1:5" x14ac:dyDescent="0.25">
      <c r="A1290" s="7">
        <v>0.2798105955397705</v>
      </c>
      <c r="B1290"/>
      <c r="C1290"/>
      <c r="D1290"/>
      <c r="E1290" s="1"/>
    </row>
    <row r="1291" spans="1:5" x14ac:dyDescent="0.25">
      <c r="A1291" s="7">
        <v>0.27704019360373316</v>
      </c>
      <c r="B1291"/>
      <c r="C1291"/>
      <c r="D1291"/>
      <c r="E1291" s="1"/>
    </row>
    <row r="1292" spans="1:5" x14ac:dyDescent="0.25">
      <c r="A1292" s="7">
        <v>0.27429722138983481</v>
      </c>
      <c r="B1292"/>
      <c r="C1292"/>
      <c r="D1292"/>
      <c r="E1292" s="1"/>
    </row>
    <row r="1293" spans="1:5" x14ac:dyDescent="0.25">
      <c r="A1293" s="7">
        <v>0.27158140731666813</v>
      </c>
      <c r="B1293"/>
      <c r="C1293"/>
      <c r="D1293"/>
      <c r="E1293" s="1"/>
    </row>
    <row r="1294" spans="1:5" x14ac:dyDescent="0.25">
      <c r="A1294" s="7">
        <v>0.26889248249175063</v>
      </c>
      <c r="B1294"/>
      <c r="C1294"/>
      <c r="D1294"/>
      <c r="E1294" s="1"/>
    </row>
    <row r="1295" spans="1:5" x14ac:dyDescent="0.25">
      <c r="A1295" s="7">
        <v>0.26623018068490162</v>
      </c>
      <c r="B1295"/>
      <c r="C1295"/>
      <c r="D1295"/>
      <c r="E1295" s="1"/>
    </row>
    <row r="1296" spans="1:5" x14ac:dyDescent="0.25">
      <c r="A1296" s="7">
        <v>0.26359423830188278</v>
      </c>
      <c r="B1296"/>
      <c r="C1296"/>
      <c r="D1296"/>
      <c r="E1296" s="1"/>
    </row>
    <row r="1297" spans="1:5" x14ac:dyDescent="0.25">
      <c r="A1297" s="7">
        <v>0.26098439435829979</v>
      </c>
      <c r="B1297"/>
      <c r="C1297"/>
      <c r="D1297"/>
      <c r="E1297" s="1"/>
    </row>
    <row r="1298" spans="1:5" x14ac:dyDescent="0.25">
      <c r="A1298" s="7">
        <v>0.25840039045376217</v>
      </c>
      <c r="B1298"/>
      <c r="C1298"/>
      <c r="D1298"/>
      <c r="E1298" s="1"/>
    </row>
    <row r="1299" spans="1:5" x14ac:dyDescent="0.25">
      <c r="A1299" s="7">
        <v>0.25584197074629916</v>
      </c>
      <c r="B1299"/>
      <c r="C1299"/>
      <c r="D1299"/>
      <c r="E1299" s="1"/>
    </row>
    <row r="1300" spans="1:5" x14ac:dyDescent="0.25">
      <c r="A1300" s="7">
        <v>0.25330888192702888</v>
      </c>
      <c r="B1300"/>
      <c r="C1300"/>
      <c r="D1300"/>
      <c r="E1300" s="1"/>
    </row>
    <row r="1301" spans="1:5" x14ac:dyDescent="0.25">
      <c r="A1301" s="7">
        <v>0.2508008731950781</v>
      </c>
      <c r="B1301"/>
      <c r="C1301"/>
      <c r="D1301"/>
      <c r="E1301" s="1"/>
    </row>
    <row r="1302" spans="1:5" x14ac:dyDescent="0.25">
      <c r="A1302" s="7">
        <v>0.2483176962327506</v>
      </c>
      <c r="B1302"/>
      <c r="C1302"/>
      <c r="D1302"/>
      <c r="E1302" s="1"/>
    </row>
    <row r="1303" spans="1:5" x14ac:dyDescent="0.25">
      <c r="A1303" s="7">
        <v>0.24585910518094117</v>
      </c>
      <c r="B1303"/>
      <c r="C1303"/>
      <c r="D1303"/>
      <c r="E1303" s="1"/>
    </row>
    <row r="1304" spans="1:5" x14ac:dyDescent="0.25">
      <c r="A1304" s="7">
        <v>0.24342485661479324</v>
      </c>
      <c r="B1304"/>
      <c r="C1304"/>
      <c r="D1304"/>
      <c r="E1304" s="1"/>
    </row>
    <row r="1305" spans="1:5" x14ac:dyDescent="0.25">
      <c r="A1305" s="7">
        <v>0.24101470951959728</v>
      </c>
      <c r="B1305"/>
      <c r="C1305"/>
      <c r="D1305"/>
      <c r="E1305" s="1"/>
    </row>
    <row r="1306" spans="1:5" x14ac:dyDescent="0.25">
      <c r="A1306" s="7">
        <v>0.23862842526692798</v>
      </c>
      <c r="B1306"/>
      <c r="C1306"/>
      <c r="D1306"/>
      <c r="E1306" s="1"/>
    </row>
    <row r="1307" spans="1:5" x14ac:dyDescent="0.25">
      <c r="A1307" s="7">
        <v>0.23626576759101781</v>
      </c>
      <c r="B1307"/>
      <c r="C1307"/>
      <c r="D1307"/>
      <c r="E1307" s="1"/>
    </row>
    <row r="1308" spans="1:5" x14ac:dyDescent="0.25">
      <c r="A1308" s="7">
        <v>0.23392650256536415</v>
      </c>
      <c r="B1308"/>
      <c r="C1308"/>
      <c r="D1308"/>
      <c r="E1308" s="1"/>
    </row>
    <row r="1309" spans="1:5" x14ac:dyDescent="0.25">
      <c r="A1309" s="7">
        <v>0.23161039857956847</v>
      </c>
      <c r="B1309"/>
      <c r="C1309"/>
      <c r="D1309"/>
      <c r="E1309" s="1"/>
    </row>
    <row r="1310" spans="1:5" x14ac:dyDescent="0.25">
      <c r="A1310" s="7">
        <v>0.22931722631640442</v>
      </c>
      <c r="B1310"/>
      <c r="C1310"/>
      <c r="D1310"/>
      <c r="E1310" s="1"/>
    </row>
    <row r="1311" spans="1:5" x14ac:dyDescent="0.25">
      <c r="A1311" s="7">
        <v>0.22704675872911328</v>
      </c>
      <c r="B1311"/>
      <c r="C1311"/>
      <c r="D1311"/>
      <c r="E1311" s="1"/>
    </row>
    <row r="1312" spans="1:5" x14ac:dyDescent="0.25">
      <c r="A1312" s="7">
        <v>0.22479877101892404</v>
      </c>
      <c r="B1312"/>
      <c r="C1312"/>
      <c r="D1312"/>
      <c r="E1312" s="1"/>
    </row>
    <row r="1313" spans="1:5" x14ac:dyDescent="0.25">
      <c r="A1313" s="7">
        <v>0.22257304061279606</v>
      </c>
      <c r="B1313"/>
      <c r="C1313"/>
      <c r="D1313"/>
      <c r="E1313" s="1"/>
    </row>
    <row r="1314" spans="1:5" x14ac:dyDescent="0.25">
      <c r="A1314" s="7">
        <v>0.22036934714138223</v>
      </c>
      <c r="B1314"/>
      <c r="C1314"/>
      <c r="D1314"/>
      <c r="E1314" s="1"/>
    </row>
    <row r="1315" spans="1:5" x14ac:dyDescent="0.25">
      <c r="A1315" s="7">
        <v>0.21818747241721012</v>
      </c>
      <c r="B1315"/>
      <c r="C1315"/>
      <c r="D1315"/>
      <c r="E1315" s="1"/>
    </row>
    <row r="1316" spans="1:5" x14ac:dyDescent="0.25">
      <c r="A1316" s="7">
        <v>0.21602720041307932</v>
      </c>
      <c r="B1316"/>
      <c r="C1316"/>
      <c r="D1316"/>
      <c r="E1316" s="1"/>
    </row>
    <row r="1317" spans="1:5" x14ac:dyDescent="0.25">
      <c r="A1317" s="7">
        <v>0.21388831724067259</v>
      </c>
      <c r="B1317"/>
      <c r="C1317"/>
      <c r="D1317"/>
      <c r="E1317" s="1"/>
    </row>
    <row r="1318" spans="1:5" x14ac:dyDescent="0.25">
      <c r="A1318" s="7">
        <v>0.21177061112937881</v>
      </c>
      <c r="B1318"/>
      <c r="C1318"/>
      <c r="D1318"/>
      <c r="E1318" s="1"/>
    </row>
    <row r="1319" spans="1:5" x14ac:dyDescent="0.25">
      <c r="A1319" s="7">
        <v>0.20967387240532556</v>
      </c>
      <c r="B1319"/>
      <c r="C1319"/>
      <c r="D1319"/>
      <c r="E1319" s="1"/>
    </row>
    <row r="1320" spans="1:5" x14ac:dyDescent="0.25">
      <c r="A1320" s="7">
        <v>0.20759789347061935</v>
      </c>
      <c r="B1320"/>
      <c r="C1320"/>
      <c r="D1320"/>
      <c r="E1320" s="1"/>
    </row>
    <row r="1321" spans="1:5" x14ac:dyDescent="0.25">
      <c r="A1321" s="7">
        <v>0.20554246878279145</v>
      </c>
      <c r="B1321"/>
      <c r="C1321"/>
      <c r="D1321"/>
      <c r="E1321" s="1"/>
    </row>
    <row r="1322" spans="1:5" x14ac:dyDescent="0.25">
      <c r="A1322" s="7">
        <v>0.20350739483444696</v>
      </c>
      <c r="B1322"/>
      <c r="C1322"/>
      <c r="D1322"/>
      <c r="E1322" s="1"/>
    </row>
    <row r="1323" spans="1:5" x14ac:dyDescent="0.25">
      <c r="A1323" s="7">
        <v>0.2014924701331158</v>
      </c>
      <c r="B1323"/>
      <c r="C1323"/>
      <c r="D1323"/>
      <c r="E1323" s="1"/>
    </row>
    <row r="1324" spans="1:5" x14ac:dyDescent="0.25">
      <c r="A1324" s="7">
        <v>0.19949749518130278</v>
      </c>
      <c r="B1324"/>
      <c r="C1324"/>
      <c r="D1324"/>
      <c r="E1324" s="1"/>
    </row>
    <row r="1325" spans="1:5" x14ac:dyDescent="0.25">
      <c r="A1325" s="7">
        <v>0.19752227245673543</v>
      </c>
      <c r="B1325"/>
      <c r="C1325"/>
      <c r="D1325"/>
      <c r="E1325" s="1"/>
    </row>
    <row r="1326" spans="1:5" x14ac:dyDescent="0.25">
      <c r="A1326" s="7">
        <v>0.19556660639280735</v>
      </c>
      <c r="B1326"/>
      <c r="C1326"/>
      <c r="D1326"/>
      <c r="E1326" s="1"/>
    </row>
    <row r="1327" spans="1:5" x14ac:dyDescent="0.25">
      <c r="A1327" s="7">
        <v>0.19363030335921519</v>
      </c>
      <c r="B1327"/>
      <c r="C1327"/>
      <c r="D1327"/>
      <c r="E1327" s="1"/>
    </row>
    <row r="1328" spans="1:5" x14ac:dyDescent="0.25">
      <c r="A1328" s="7">
        <v>0.19171317164278731</v>
      </c>
      <c r="B1328"/>
      <c r="C1328"/>
      <c r="D1328"/>
      <c r="E1328" s="1"/>
    </row>
    <row r="1329" spans="1:5" x14ac:dyDescent="0.25">
      <c r="A1329" s="7">
        <v>0.18981502142850229</v>
      </c>
      <c r="B1329"/>
      <c r="C1329"/>
      <c r="D1329"/>
      <c r="E1329" s="1"/>
    </row>
    <row r="1330" spans="1:5" x14ac:dyDescent="0.25">
      <c r="A1330" s="7">
        <v>0.18793566478069534</v>
      </c>
      <c r="B1330"/>
      <c r="C1330"/>
      <c r="D1330"/>
      <c r="E1330" s="1"/>
    </row>
    <row r="1331" spans="1:5" x14ac:dyDescent="0.25">
      <c r="A1331" s="7">
        <v>0.18607491562445083</v>
      </c>
      <c r="B1331"/>
      <c r="C1331"/>
      <c r="D1331"/>
      <c r="E1331" s="1"/>
    </row>
    <row r="1332" spans="1:5" x14ac:dyDescent="0.25">
      <c r="A1332" s="7">
        <v>0.18423258972717904</v>
      </c>
      <c r="B1332"/>
      <c r="C1332"/>
      <c r="D1332"/>
      <c r="E1332" s="1"/>
    </row>
    <row r="1333" spans="1:5" x14ac:dyDescent="0.25">
      <c r="A1333" s="7">
        <v>0.18240850468037528</v>
      </c>
      <c r="B1333"/>
      <c r="C1333"/>
      <c r="D1333"/>
      <c r="E1333" s="1"/>
    </row>
    <row r="1334" spans="1:5" x14ac:dyDescent="0.25">
      <c r="A1334" s="7">
        <v>0.1806024798815597</v>
      </c>
      <c r="B1334"/>
      <c r="C1334"/>
      <c r="D1334"/>
      <c r="E1334" s="1"/>
    </row>
    <row r="1335" spans="1:5" x14ac:dyDescent="0.25">
      <c r="A1335" s="7">
        <v>0.17881433651639575</v>
      </c>
      <c r="B1335"/>
      <c r="C1335"/>
      <c r="D1335"/>
      <c r="E1335" s="1"/>
    </row>
    <row r="1336" spans="1:5" x14ac:dyDescent="0.25">
      <c r="A1336" s="7">
        <v>0.1770438975409859</v>
      </c>
      <c r="B1336"/>
      <c r="C1336"/>
      <c r="D1336"/>
      <c r="E1336" s="1"/>
    </row>
    <row r="1337" spans="1:5" x14ac:dyDescent="0.25">
      <c r="A1337" s="7">
        <v>0.17529098766434248</v>
      </c>
      <c r="B1337"/>
      <c r="C1337"/>
      <c r="D1337"/>
      <c r="E1337" s="1"/>
    </row>
    <row r="1338" spans="1:5" x14ac:dyDescent="0.25">
      <c r="A1338" s="7">
        <v>0.17355543333103216</v>
      </c>
      <c r="B1338"/>
      <c r="C1338"/>
      <c r="D1338"/>
      <c r="E1338" s="1"/>
    </row>
    <row r="1339" spans="1:5" x14ac:dyDescent="0.25">
      <c r="A1339" s="7">
        <v>0.17183706270399224</v>
      </c>
      <c r="B1339"/>
      <c r="C1339"/>
      <c r="D1339"/>
      <c r="E1339" s="1"/>
    </row>
    <row r="1340" spans="1:5" x14ac:dyDescent="0.25">
      <c r="A1340" s="7">
        <v>0.17013570564751707</v>
      </c>
      <c r="B1340"/>
      <c r="C1340"/>
      <c r="D1340"/>
      <c r="E1340" s="1"/>
    </row>
    <row r="1341" spans="1:5" x14ac:dyDescent="0.25">
      <c r="A1341" s="7">
        <v>0.16845119371041292</v>
      </c>
      <c r="B1341"/>
      <c r="C1341"/>
      <c r="D1341"/>
      <c r="E1341" s="1"/>
    </row>
    <row r="1342" spans="1:5" x14ac:dyDescent="0.25">
      <c r="A1342" s="7">
        <v>0.16678336010931971</v>
      </c>
      <c r="B1342"/>
      <c r="C1342"/>
      <c r="D1342"/>
      <c r="E1342" s="1"/>
    </row>
    <row r="1343" spans="1:5" x14ac:dyDescent="0.25">
      <c r="A1343" s="7">
        <v>0.16513203971219773</v>
      </c>
      <c r="B1343"/>
      <c r="C1343"/>
      <c r="D1343"/>
      <c r="E1343" s="1"/>
    </row>
    <row r="1344" spans="1:5" x14ac:dyDescent="0.25">
      <c r="A1344" s="7">
        <v>0.16349706902197794</v>
      </c>
      <c r="B1344"/>
      <c r="C1344"/>
      <c r="D1344"/>
      <c r="E1344" s="1"/>
    </row>
    <row r="1345" spans="1:5" x14ac:dyDescent="0.25">
      <c r="A1345" s="7">
        <v>0.1618782861603742</v>
      </c>
      <c r="B1345"/>
      <c r="C1345"/>
      <c r="D1345"/>
      <c r="E1345" s="1"/>
    </row>
    <row r="1346" spans="1:5" x14ac:dyDescent="0.25">
      <c r="A1346" s="7">
        <v>0.16027553085185564</v>
      </c>
      <c r="B1346"/>
      <c r="C1346"/>
      <c r="D1346"/>
      <c r="E1346" s="1"/>
    </row>
    <row r="1347" spans="1:5" x14ac:dyDescent="0.25">
      <c r="A1347" s="7">
        <v>0.15868864440777786</v>
      </c>
      <c r="B1347"/>
      <c r="C1347"/>
      <c r="D1347"/>
      <c r="E1347" s="1"/>
    </row>
    <row r="1348" spans="1:5" x14ac:dyDescent="0.25">
      <c r="A1348" s="7">
        <v>0.15711746971067114</v>
      </c>
      <c r="B1348"/>
      <c r="C1348"/>
      <c r="D1348"/>
      <c r="E1348" s="1"/>
    </row>
    <row r="1349" spans="1:5" x14ac:dyDescent="0.25">
      <c r="A1349" s="7">
        <v>0.15556185119868429</v>
      </c>
      <c r="B1349"/>
      <c r="C1349"/>
      <c r="D1349"/>
      <c r="E1349" s="1"/>
    </row>
    <row r="1350" spans="1:5" x14ac:dyDescent="0.25">
      <c r="A1350" s="7">
        <v>0.15402163485018247</v>
      </c>
      <c r="B1350"/>
      <c r="C1350"/>
      <c r="D1350"/>
      <c r="E1350" s="1"/>
    </row>
    <row r="1351" spans="1:5" x14ac:dyDescent="0.25">
      <c r="A1351" s="7">
        <v>0.1524966681684975</v>
      </c>
      <c r="B1351"/>
      <c r="C1351"/>
      <c r="D1351"/>
      <c r="E1351" s="1"/>
    </row>
    <row r="1352" spans="1:5" x14ac:dyDescent="0.25">
      <c r="A1352" s="7">
        <v>0.15098680016682919</v>
      </c>
      <c r="B1352"/>
      <c r="C1352"/>
      <c r="D1352"/>
      <c r="E1352" s="1"/>
    </row>
    <row r="1353" spans="1:5" x14ac:dyDescent="0.25">
      <c r="A1353" s="7">
        <v>0.14949188135329622</v>
      </c>
      <c r="B1353"/>
      <c r="C1353"/>
      <c r="D1353"/>
      <c r="E1353" s="1"/>
    </row>
    <row r="1354" spans="1:5" x14ac:dyDescent="0.25">
      <c r="A1354" s="7">
        <v>0.14801176371613486</v>
      </c>
      <c r="B1354"/>
      <c r="C1354"/>
      <c r="D1354"/>
      <c r="E1354" s="1"/>
    </row>
    <row r="1355" spans="1:5" x14ac:dyDescent="0.25">
      <c r="A1355" s="7">
        <v>0.14654630070904442</v>
      </c>
      <c r="B1355"/>
      <c r="C1355"/>
      <c r="D1355"/>
      <c r="E1355" s="1"/>
    </row>
    <row r="1356" spans="1:5" x14ac:dyDescent="0.25">
      <c r="A1356" s="7">
        <v>0.14509534723667764</v>
      </c>
      <c r="B1356"/>
      <c r="C1356"/>
      <c r="D1356"/>
      <c r="E1356" s="1"/>
    </row>
    <row r="1357" spans="1:5" x14ac:dyDescent="0.25">
      <c r="A1357" s="7">
        <v>0.14365875964027489</v>
      </c>
      <c r="B1357"/>
      <c r="C1357"/>
      <c r="D1357"/>
      <c r="E1357" s="1"/>
    </row>
    <row r="1358" spans="1:5" x14ac:dyDescent="0.25">
      <c r="A1358" s="7">
        <v>0.14223639568344049</v>
      </c>
      <c r="B1358"/>
      <c r="C1358"/>
      <c r="D1358"/>
      <c r="E1358" s="1"/>
    </row>
    <row r="1359" spans="1:5" x14ac:dyDescent="0.25">
      <c r="A1359" s="7">
        <v>0.14082811453805988</v>
      </c>
      <c r="B1359"/>
      <c r="C1359"/>
      <c r="D1359"/>
      <c r="E1359" s="1"/>
    </row>
    <row r="1360" spans="1:5" x14ac:dyDescent="0.25">
      <c r="A1360" s="7">
        <v>0.13943377677035632</v>
      </c>
      <c r="B1360"/>
      <c r="C1360"/>
      <c r="D1360"/>
      <c r="E1360" s="1"/>
    </row>
    <row r="1361" spans="1:5" x14ac:dyDescent="0.25">
      <c r="A1361" s="7">
        <v>0.13805324432708546</v>
      </c>
      <c r="B1361"/>
      <c r="C1361"/>
      <c r="D1361"/>
      <c r="E1361" s="1"/>
    </row>
    <row r="1362" spans="1:5" x14ac:dyDescent="0.25">
      <c r="A1362" s="7">
        <v>0.1366863805218668</v>
      </c>
      <c r="B1362"/>
      <c r="C1362"/>
      <c r="D1362"/>
      <c r="E1362" s="1"/>
    </row>
    <row r="1363" spans="1:5" x14ac:dyDescent="0.25">
      <c r="A1363" s="7">
        <v>0.1353330500216503</v>
      </c>
      <c r="B1363"/>
      <c r="C1363"/>
      <c r="D1363"/>
      <c r="E1363" s="1"/>
    </row>
    <row r="1364" spans="1:5" x14ac:dyDescent="0.25">
      <c r="A1364" s="7">
        <v>0.13399311883331713</v>
      </c>
      <c r="B1364"/>
      <c r="C1364"/>
      <c r="D1364"/>
      <c r="E1364" s="1"/>
    </row>
    <row r="1365" spans="1:5" x14ac:dyDescent="0.25">
      <c r="A1365" s="7">
        <v>0.13266645429041299</v>
      </c>
      <c r="B1365"/>
      <c r="C1365"/>
      <c r="D1365"/>
      <c r="E1365" s="1"/>
    </row>
    <row r="1366" spans="1:5" x14ac:dyDescent="0.25">
      <c r="A1366" s="7">
        <v>0.13135292504001286</v>
      </c>
      <c r="B1366"/>
      <c r="C1366"/>
      <c r="D1366"/>
      <c r="E1366" s="1"/>
    </row>
    <row r="1367" spans="1:5" x14ac:dyDescent="0.25">
      <c r="A1367" s="7">
        <v>0.13005240102971571</v>
      </c>
      <c r="B1367"/>
      <c r="C1367"/>
      <c r="D1367"/>
      <c r="E1367" s="1"/>
    </row>
    <row r="1368" spans="1:5" x14ac:dyDescent="0.25">
      <c r="A1368" s="7">
        <v>0.12876475349476804</v>
      </c>
      <c r="B1368"/>
      <c r="C1368"/>
      <c r="D1368"/>
      <c r="E1368" s="1"/>
    </row>
    <row r="1369" spans="1:5" x14ac:dyDescent="0.25">
      <c r="A1369" s="7">
        <v>0.1274898549453149</v>
      </c>
      <c r="B1369"/>
      <c r="C1369"/>
      <c r="D1369"/>
      <c r="E1369" s="1"/>
    </row>
    <row r="1370" spans="1:5" x14ac:dyDescent="0.25">
      <c r="A1370" s="7">
        <v>0.12622757915377714</v>
      </c>
      <c r="B1370"/>
      <c r="C1370"/>
      <c r="D1370"/>
      <c r="E1370" s="1"/>
    </row>
    <row r="1371" spans="1:5" x14ac:dyDescent="0.25">
      <c r="A1371" s="7">
        <v>0.1249778011423536</v>
      </c>
      <c r="B1371"/>
      <c r="C1371"/>
      <c r="D1371"/>
      <c r="E1371" s="1"/>
    </row>
    <row r="1372" spans="1:5" x14ac:dyDescent="0.25">
      <c r="A1372" s="7">
        <v>0.12374039717064712</v>
      </c>
      <c r="B1372"/>
      <c r="C1372"/>
      <c r="D1372"/>
      <c r="E1372" s="1"/>
    </row>
    <row r="1373" spans="1:5" x14ac:dyDescent="0.25">
      <c r="A1373" s="7">
        <v>0.12251524472341299</v>
      </c>
      <c r="B1373"/>
      <c r="C1373"/>
      <c r="D1373"/>
      <c r="E1373" s="1"/>
    </row>
    <row r="1374" spans="1:5" x14ac:dyDescent="0.25">
      <c r="A1374" s="7">
        <v>0.1213022224984287</v>
      </c>
      <c r="B1374"/>
      <c r="C1374"/>
      <c r="D1374"/>
      <c r="E1374" s="1"/>
    </row>
    <row r="1375" spans="1:5" x14ac:dyDescent="0.25">
      <c r="A1375" s="7">
        <v>0.12010121039448386</v>
      </c>
      <c r="B1375"/>
      <c r="C1375"/>
      <c r="D1375"/>
      <c r="E1375" s="1"/>
    </row>
    <row r="1376" spans="1:5" x14ac:dyDescent="0.25">
      <c r="A1376" s="7">
        <v>0.11891208949948898</v>
      </c>
      <c r="B1376"/>
      <c r="C1376"/>
      <c r="D1376"/>
      <c r="E1376" s="1"/>
    </row>
    <row r="1377" spans="1:5" x14ac:dyDescent="0.25">
      <c r="A1377" s="7">
        <v>0.11773474207870195</v>
      </c>
      <c r="B1377"/>
      <c r="C1377"/>
      <c r="D1377"/>
      <c r="E1377" s="1"/>
    </row>
    <row r="1378" spans="1:5" x14ac:dyDescent="0.25">
      <c r="A1378" s="7">
        <v>0.11656905156307124</v>
      </c>
      <c r="B1378"/>
      <c r="C1378"/>
      <c r="D1378"/>
      <c r="E1378" s="1"/>
    </row>
    <row r="1379" spans="1:5" x14ac:dyDescent="0.25">
      <c r="A1379" s="7">
        <v>0.11541490253769429</v>
      </c>
      <c r="B1379"/>
      <c r="C1379"/>
      <c r="D1379"/>
      <c r="E1379" s="1"/>
    </row>
    <row r="1380" spans="1:5" x14ac:dyDescent="0.25">
      <c r="A1380" s="7">
        <v>0.11427218073039039</v>
      </c>
      <c r="B1380"/>
      <c r="C1380"/>
      <c r="D1380"/>
      <c r="E1380" s="1"/>
    </row>
    <row r="1381" spans="1:5" x14ac:dyDescent="0.25">
      <c r="A1381" s="7">
        <v>0.11314077300038652</v>
      </c>
      <c r="B1381"/>
      <c r="C1381"/>
      <c r="D1381"/>
      <c r="E1381" s="1"/>
    </row>
    <row r="1382" spans="1:5" x14ac:dyDescent="0.25">
      <c r="A1382" s="7">
        <v>0.11202056732711536</v>
      </c>
      <c r="B1382"/>
      <c r="C1382"/>
      <c r="D1382"/>
      <c r="E1382" s="1"/>
    </row>
    <row r="1383" spans="1:5" x14ac:dyDescent="0.25">
      <c r="A1383" s="7">
        <v>0.11091145279912412</v>
      </c>
      <c r="B1383"/>
      <c r="C1383"/>
      <c r="D1383"/>
      <c r="E1383" s="1"/>
    </row>
    <row r="1384" spans="1:5" x14ac:dyDescent="0.25">
      <c r="A1384" s="7">
        <v>0.10981331960309319</v>
      </c>
      <c r="B1384"/>
      <c r="C1384"/>
      <c r="D1384"/>
      <c r="E1384" s="1"/>
    </row>
    <row r="1385" spans="1:5" x14ac:dyDescent="0.25">
      <c r="A1385" s="7">
        <v>0.10872605901296356</v>
      </c>
      <c r="B1385"/>
      <c r="C1385"/>
      <c r="D1385"/>
      <c r="E1385" s="1"/>
    </row>
    <row r="1386" spans="1:5" x14ac:dyDescent="0.25">
      <c r="A1386" s="7">
        <v>0.10764956337917184</v>
      </c>
      <c r="B1386"/>
      <c r="C1386"/>
      <c r="D1386"/>
      <c r="E1386" s="1"/>
    </row>
    <row r="1387" spans="1:5" x14ac:dyDescent="0.25">
      <c r="A1387" s="7">
        <v>0.10658372611799191</v>
      </c>
      <c r="B1387"/>
      <c r="C1387"/>
      <c r="D1387"/>
      <c r="E1387" s="1"/>
    </row>
    <row r="1388" spans="1:5" x14ac:dyDescent="0.25">
      <c r="A1388" s="7">
        <v>0.10552844170098209</v>
      </c>
      <c r="B1388"/>
      <c r="C1388"/>
      <c r="D1388"/>
      <c r="E1388" s="1"/>
    </row>
    <row r="1389" spans="1:5" x14ac:dyDescent="0.25">
      <c r="A1389" s="7">
        <v>0.10448360564453672</v>
      </c>
      <c r="B1389"/>
      <c r="C1389"/>
      <c r="D1389"/>
      <c r="E1389" s="1"/>
    </row>
    <row r="1390" spans="1:5" x14ac:dyDescent="0.25">
      <c r="A1390" s="7">
        <v>0.10344911449954131</v>
      </c>
      <c r="B1390"/>
      <c r="C1390"/>
      <c r="D1390"/>
      <c r="E1390" s="1"/>
    </row>
    <row r="1391" spans="1:5" x14ac:dyDescent="0.25">
      <c r="A1391" s="7">
        <v>0.10242486584113</v>
      </c>
      <c r="B1391"/>
      <c r="C1391"/>
      <c r="D1391"/>
      <c r="E1391" s="1"/>
    </row>
    <row r="1392" spans="1:5" x14ac:dyDescent="0.25">
      <c r="A1392" s="7">
        <v>0.10141075825854455</v>
      </c>
      <c r="B1392"/>
      <c r="C1392"/>
      <c r="D1392"/>
      <c r="E1392" s="1"/>
    </row>
    <row r="1393" spans="1:5" x14ac:dyDescent="0.25">
      <c r="A1393" s="7">
        <v>0.10040669134509361</v>
      </c>
      <c r="B1393"/>
      <c r="C1393"/>
      <c r="D1393"/>
      <c r="E1393" s="1"/>
    </row>
    <row r="1394" spans="1:5" x14ac:dyDescent="0.25">
      <c r="A1394" s="7">
        <v>9.9412565688211496E-2</v>
      </c>
      <c r="B1394"/>
      <c r="C1394"/>
      <c r="D1394"/>
      <c r="E1394" s="1"/>
    </row>
    <row r="1395" spans="1:5" x14ac:dyDescent="0.25">
      <c r="A1395" s="7">
        <v>9.8428282859615343E-2</v>
      </c>
      <c r="B1395"/>
      <c r="C1395"/>
      <c r="D1395"/>
      <c r="E1395" s="1"/>
    </row>
    <row r="1396" spans="1:5" x14ac:dyDescent="0.25">
      <c r="A1396" s="7">
        <v>9.7453745405559747E-2</v>
      </c>
      <c r="B1396"/>
      <c r="C1396"/>
      <c r="D1396"/>
      <c r="E1396" s="1"/>
    </row>
    <row r="1397" spans="1:5" x14ac:dyDescent="0.25">
      <c r="A1397" s="7">
        <v>9.6488856837187872E-2</v>
      </c>
      <c r="B1397"/>
      <c r="C1397"/>
      <c r="D1397"/>
      <c r="E1397" s="1"/>
    </row>
    <row r="1398" spans="1:5" x14ac:dyDescent="0.25">
      <c r="A1398" s="7">
        <v>9.5533521620978085E-2</v>
      </c>
      <c r="B1398"/>
      <c r="C1398"/>
      <c r="D1398"/>
      <c r="E1398" s="1"/>
    </row>
    <row r="1399" spans="1:5" x14ac:dyDescent="0.25">
      <c r="A1399" s="7">
        <v>9.4587645169285237E-2</v>
      </c>
      <c r="B1399"/>
      <c r="C1399"/>
      <c r="D1399"/>
      <c r="E1399" s="1"/>
    </row>
    <row r="1400" spans="1:5" x14ac:dyDescent="0.25">
      <c r="A1400" s="7">
        <v>9.365113383097548E-2</v>
      </c>
      <c r="B1400"/>
      <c r="C1400"/>
      <c r="D1400"/>
      <c r="E1400" s="1"/>
    </row>
    <row r="1401" spans="1:5" x14ac:dyDescent="0.25">
      <c r="A1401" s="7">
        <v>9.2723894882153934E-2</v>
      </c>
      <c r="B1401"/>
      <c r="C1401"/>
      <c r="D1401"/>
      <c r="E1401" s="1"/>
    </row>
    <row r="1402" spans="1:5" x14ac:dyDescent="0.25">
      <c r="A1402" s="7">
        <v>9.1805836516984096E-2</v>
      </c>
      <c r="B1402"/>
      <c r="C1402"/>
      <c r="D1402"/>
      <c r="E1402" s="1"/>
    </row>
    <row r="1403" spans="1:5" x14ac:dyDescent="0.25">
      <c r="A1403" s="7">
        <v>9.0896867838598114E-2</v>
      </c>
      <c r="B1403"/>
      <c r="C1403"/>
      <c r="D1403"/>
      <c r="E1403" s="1"/>
    </row>
    <row r="1404" spans="1:5" x14ac:dyDescent="0.25">
      <c r="A1404" s="7">
        <v>8.9996898850097137E-2</v>
      </c>
      <c r="B1404"/>
      <c r="C1404"/>
      <c r="D1404"/>
      <c r="E1404" s="1"/>
    </row>
    <row r="1405" spans="1:5" x14ac:dyDescent="0.25">
      <c r="A1405" s="7">
        <v>8.9105840445640724E-2</v>
      </c>
      <c r="B1405"/>
      <c r="C1405"/>
      <c r="D1405"/>
      <c r="E1405" s="1"/>
    </row>
    <row r="1406" spans="1:5" x14ac:dyDescent="0.25">
      <c r="A1406" s="7">
        <v>8.8223604401624481E-2</v>
      </c>
      <c r="B1406"/>
      <c r="C1406"/>
      <c r="D1406"/>
      <c r="E1406" s="1"/>
    </row>
    <row r="1407" spans="1:5" x14ac:dyDescent="0.25">
      <c r="A1407" s="7">
        <v>8.7350103367945034E-2</v>
      </c>
      <c r="B1407"/>
      <c r="C1407"/>
      <c r="D1407"/>
      <c r="E1407" s="1"/>
    </row>
    <row r="1408" spans="1:5" x14ac:dyDescent="0.25">
      <c r="A1408" s="7">
        <v>8.648525085935152E-2</v>
      </c>
      <c r="B1408"/>
      <c r="C1408"/>
      <c r="D1408"/>
      <c r="E1408" s="1"/>
    </row>
    <row r="1409" spans="1:5" x14ac:dyDescent="0.25">
      <c r="A1409" s="7">
        <v>8.5628961246882698E-2</v>
      </c>
      <c r="B1409"/>
      <c r="C1409"/>
      <c r="D1409"/>
      <c r="E1409" s="1"/>
    </row>
    <row r="1410" spans="1:5" x14ac:dyDescent="0.25">
      <c r="A1410" s="7">
        <v>8.4781149749388815E-2</v>
      </c>
      <c r="B1410"/>
      <c r="C1410"/>
      <c r="D1410"/>
      <c r="E1410" s="1"/>
    </row>
    <row r="1411" spans="1:5" x14ac:dyDescent="0.25">
      <c r="A1411" s="7">
        <v>8.3941732425137444E-2</v>
      </c>
      <c r="B1411"/>
      <c r="C1411"/>
      <c r="D1411"/>
      <c r="E1411" s="1"/>
    </row>
    <row r="1412" spans="1:5" x14ac:dyDescent="0.25">
      <c r="A1412" s="7">
        <v>8.3110626163502413E-2</v>
      </c>
      <c r="B1412"/>
      <c r="C1412"/>
      <c r="D1412"/>
      <c r="E1412" s="1"/>
    </row>
    <row r="1413" spans="1:5" x14ac:dyDescent="0.25">
      <c r="A1413" s="7">
        <v>8.2287748676735065E-2</v>
      </c>
      <c r="B1413"/>
      <c r="C1413"/>
      <c r="D1413"/>
      <c r="E1413" s="1"/>
    </row>
    <row r="1414" spans="1:5" x14ac:dyDescent="0.25">
      <c r="A1414" s="7">
        <v>8.1473018491816901E-2</v>
      </c>
      <c r="B1414"/>
      <c r="C1414"/>
      <c r="D1414"/>
      <c r="E1414" s="1"/>
    </row>
    <row r="1415" spans="1:5" x14ac:dyDescent="0.25">
      <c r="A1415" s="7">
        <v>8.0666354942392965E-2</v>
      </c>
      <c r="B1415"/>
      <c r="C1415"/>
      <c r="D1415"/>
      <c r="E1415" s="1"/>
    </row>
    <row r="1416" spans="1:5" x14ac:dyDescent="0.25">
      <c r="A1416" s="7">
        <v>7.9867678160785119E-2</v>
      </c>
      <c r="B1416"/>
      <c r="C1416"/>
      <c r="D1416"/>
      <c r="E1416" s="1"/>
    </row>
    <row r="1417" spans="1:5" x14ac:dyDescent="0.25">
      <c r="A1417" s="7">
        <v>7.9076909070084273E-2</v>
      </c>
      <c r="B1417"/>
      <c r="C1417"/>
      <c r="D1417"/>
      <c r="E1417" s="1"/>
    </row>
    <row r="1418" spans="1:5" x14ac:dyDescent="0.25">
      <c r="A1418" s="7">
        <v>7.8293969376321063E-2</v>
      </c>
      <c r="B1418"/>
      <c r="C1418"/>
      <c r="D1418"/>
      <c r="E1418" s="1"/>
    </row>
    <row r="1419" spans="1:5" x14ac:dyDescent="0.25">
      <c r="A1419" s="7">
        <v>7.7518781560713929E-2</v>
      </c>
      <c r="B1419"/>
      <c r="C1419"/>
      <c r="D1419"/>
      <c r="E1419" s="1"/>
    </row>
    <row r="1420" spans="1:5" x14ac:dyDescent="0.25">
      <c r="A1420" s="7">
        <v>7.6751268871993988E-2</v>
      </c>
      <c r="B1420"/>
      <c r="C1420"/>
      <c r="D1420"/>
      <c r="E1420" s="1"/>
    </row>
    <row r="1421" spans="1:5" x14ac:dyDescent="0.25">
      <c r="A1421" s="7">
        <v>7.5991355318805923E-2</v>
      </c>
      <c r="B1421"/>
      <c r="C1421"/>
      <c r="D1421"/>
      <c r="E1421" s="1"/>
    </row>
    <row r="1422" spans="1:5" x14ac:dyDescent="0.25">
      <c r="A1422" s="7">
        <v>7.5238965662184076E-2</v>
      </c>
      <c r="B1422"/>
      <c r="C1422"/>
      <c r="D1422"/>
      <c r="E1422" s="1"/>
    </row>
    <row r="1423" spans="1:5" x14ac:dyDescent="0.25">
      <c r="A1423" s="7">
        <v>7.4494025408103043E-2</v>
      </c>
      <c r="B1423"/>
      <c r="C1423"/>
      <c r="D1423"/>
      <c r="E1423" s="1"/>
    </row>
    <row r="1424" spans="1:5" x14ac:dyDescent="0.25">
      <c r="A1424" s="7">
        <v>7.3756460800102022E-2</v>
      </c>
      <c r="B1424"/>
      <c r="C1424"/>
      <c r="D1424"/>
      <c r="E1424" s="1"/>
    </row>
    <row r="1425" spans="1:5" x14ac:dyDescent="0.25">
      <c r="A1425" s="7">
        <v>7.3026198811982204E-2</v>
      </c>
      <c r="B1425"/>
      <c r="C1425"/>
      <c r="D1425"/>
      <c r="E1425" s="1"/>
    </row>
    <row r="1426" spans="1:5" x14ac:dyDescent="0.25">
      <c r="A1426" s="7">
        <v>7.2303167140576441E-2</v>
      </c>
      <c r="B1426"/>
      <c r="C1426"/>
      <c r="D1426"/>
      <c r="E1426" s="1"/>
    </row>
    <row r="1427" spans="1:5" x14ac:dyDescent="0.25">
      <c r="A1427" s="7">
        <v>7.1587294198590529E-2</v>
      </c>
      <c r="B1427"/>
      <c r="C1427"/>
      <c r="D1427"/>
      <c r="E1427" s="1"/>
    </row>
    <row r="1428" spans="1:5" x14ac:dyDescent="0.25">
      <c r="A1428" s="7">
        <v>7.0878509107515378E-2</v>
      </c>
      <c r="B1428"/>
      <c r="C1428"/>
      <c r="D1428"/>
      <c r="E1428" s="1"/>
    </row>
    <row r="1429" spans="1:5" x14ac:dyDescent="0.25">
      <c r="A1429" s="7">
        <v>7.0176741690609279E-2</v>
      </c>
      <c r="B1429"/>
      <c r="C1429"/>
      <c r="D1429"/>
      <c r="E1429" s="1"/>
    </row>
    <row r="1430" spans="1:5" x14ac:dyDescent="0.25">
      <c r="A1430" s="7">
        <v>6.948192246594978E-2</v>
      </c>
      <c r="B1430"/>
      <c r="C1430"/>
      <c r="D1430"/>
      <c r="E1430" s="1"/>
    </row>
    <row r="1431" spans="1:5" x14ac:dyDescent="0.25">
      <c r="A1431" s="7">
        <v>6.8793982639554233E-2</v>
      </c>
      <c r="B1431"/>
      <c r="C1431"/>
      <c r="D1431"/>
      <c r="E1431" s="1"/>
    </row>
    <row r="1432" spans="1:5" x14ac:dyDescent="0.25">
      <c r="A1432" s="7">
        <v>6.8112854098568543E-2</v>
      </c>
      <c r="B1432"/>
      <c r="C1432"/>
      <c r="D1432"/>
      <c r="E1432" s="1"/>
    </row>
    <row r="1433" spans="1:5" x14ac:dyDescent="0.25">
      <c r="A1433" s="7">
        <v>6.7438469404523305E-2</v>
      </c>
      <c r="B1433"/>
      <c r="C1433"/>
      <c r="D1433"/>
      <c r="E1433" s="1"/>
    </row>
    <row r="1434" spans="1:5" x14ac:dyDescent="0.25">
      <c r="A1434" s="7">
        <v>6.6770761786656738E-2</v>
      </c>
      <c r="B1434"/>
      <c r="C1434"/>
      <c r="D1434"/>
      <c r="E1434" s="1"/>
    </row>
    <row r="1435" spans="1:5" x14ac:dyDescent="0.25">
      <c r="A1435" s="7">
        <v>6.6109665135303697E-2</v>
      </c>
      <c r="B1435"/>
      <c r="C1435"/>
      <c r="D1435"/>
      <c r="E1435" s="1"/>
    </row>
    <row r="1436" spans="1:5" x14ac:dyDescent="0.25">
      <c r="A1436" s="7">
        <v>6.54551139953502E-2</v>
      </c>
      <c r="B1436"/>
      <c r="C1436"/>
      <c r="D1436"/>
      <c r="E1436" s="1"/>
    </row>
    <row r="1437" spans="1:5" x14ac:dyDescent="0.25">
      <c r="A1437" s="7">
        <v>6.480704355975267E-2</v>
      </c>
      <c r="B1437"/>
      <c r="C1437"/>
      <c r="D1437"/>
      <c r="E1437" s="1"/>
    </row>
    <row r="1438" spans="1:5" x14ac:dyDescent="0.25">
      <c r="A1438" s="7">
        <v>6.416538966312145E-2</v>
      </c>
      <c r="B1438"/>
      <c r="C1438"/>
      <c r="D1438"/>
      <c r="E1438" s="1"/>
    </row>
    <row r="1439" spans="1:5" x14ac:dyDescent="0.25">
      <c r="A1439" s="7">
        <v>6.3530088775367768E-2</v>
      </c>
      <c r="B1439"/>
      <c r="C1439"/>
      <c r="D1439"/>
      <c r="E1439" s="1"/>
    </row>
    <row r="1440" spans="1:5" x14ac:dyDescent="0.25">
      <c r="A1440" s="7">
        <v>6.2901077995413626E-2</v>
      </c>
      <c r="B1440"/>
      <c r="C1440"/>
      <c r="D1440"/>
      <c r="E1440" s="1"/>
    </row>
    <row r="1441" spans="1:5" x14ac:dyDescent="0.25">
      <c r="A1441" s="7">
        <v>6.2278295044963988E-2</v>
      </c>
      <c r="B1441"/>
      <c r="C1441"/>
      <c r="D1441"/>
      <c r="E1441" s="1"/>
    </row>
    <row r="1442" spans="1:5" x14ac:dyDescent="0.25">
      <c r="A1442" s="7">
        <v>6.1661678262340584E-2</v>
      </c>
      <c r="B1442"/>
      <c r="C1442"/>
      <c r="D1442"/>
      <c r="E1442" s="1"/>
    </row>
    <row r="1443" spans="1:5" x14ac:dyDescent="0.25">
      <c r="A1443" s="7">
        <v>6.1051166596376813E-2</v>
      </c>
      <c r="B1443"/>
      <c r="C1443"/>
      <c r="D1443"/>
      <c r="E1443" s="1"/>
    </row>
    <row r="1444" spans="1:5" x14ac:dyDescent="0.25">
      <c r="A1444" s="7">
        <v>6.0446699600373084E-2</v>
      </c>
      <c r="B1444"/>
      <c r="C1444"/>
      <c r="D1444"/>
      <c r="E1444" s="1"/>
    </row>
    <row r="1445" spans="1:5" x14ac:dyDescent="0.25">
      <c r="A1445" s="7">
        <v>5.9848217426111967E-2</v>
      </c>
      <c r="B1445"/>
      <c r="C1445"/>
      <c r="D1445"/>
      <c r="E1445" s="1"/>
    </row>
    <row r="1446" spans="1:5" x14ac:dyDescent="0.25">
      <c r="A1446" s="7">
        <v>5.925566081793264E-2</v>
      </c>
      <c r="B1446"/>
      <c r="C1446"/>
      <c r="D1446"/>
      <c r="E1446" s="1"/>
    </row>
    <row r="1447" spans="1:5" x14ac:dyDescent="0.25">
      <c r="A1447" s="7">
        <v>5.8668971106863997E-2</v>
      </c>
      <c r="B1447"/>
      <c r="C1447"/>
      <c r="D1447"/>
      <c r="E1447" s="1"/>
    </row>
    <row r="1448" spans="1:5" x14ac:dyDescent="0.25">
      <c r="A1448" s="7">
        <v>5.808809020481584E-2</v>
      </c>
      <c r="B1448"/>
      <c r="C1448"/>
      <c r="D1448"/>
      <c r="E1448" s="1"/>
    </row>
    <row r="1449" spans="1:5" x14ac:dyDescent="0.25">
      <c r="A1449" s="7">
        <v>5.7512960598827566E-2</v>
      </c>
      <c r="B1449"/>
      <c r="C1449"/>
      <c r="D1449"/>
      <c r="E1449" s="1"/>
    </row>
    <row r="1450" spans="1:5" x14ac:dyDescent="0.25">
      <c r="A1450" s="7">
        <v>5.6943525345373829E-2</v>
      </c>
      <c r="B1450"/>
      <c r="C1450"/>
      <c r="D1450"/>
      <c r="E1450" s="1"/>
    </row>
    <row r="1451" spans="1:5" x14ac:dyDescent="0.25">
      <c r="A1451" s="7">
        <v>5.6379728064726561E-2</v>
      </c>
      <c r="B1451"/>
      <c r="C1451"/>
      <c r="D1451"/>
      <c r="E1451" s="1"/>
    </row>
    <row r="1452" spans="1:5" x14ac:dyDescent="0.25">
      <c r="A1452" s="7">
        <v>5.5821512935372831E-2</v>
      </c>
      <c r="B1452"/>
      <c r="C1452"/>
      <c r="D1452"/>
      <c r="E1452" s="1"/>
    </row>
    <row r="1453" spans="1:5" x14ac:dyDescent="0.25">
      <c r="A1453" s="7">
        <v>5.5268824688487948E-2</v>
      </c>
      <c r="B1453"/>
      <c r="C1453"/>
      <c r="D1453"/>
      <c r="E1453" s="1"/>
    </row>
    <row r="1454" spans="1:5" x14ac:dyDescent="0.25">
      <c r="A1454" s="7">
        <v>5.4721608602463313E-2</v>
      </c>
      <c r="B1454"/>
      <c r="C1454"/>
      <c r="D1454"/>
      <c r="E1454" s="1"/>
    </row>
    <row r="1455" spans="1:5" x14ac:dyDescent="0.25">
      <c r="A1455" s="7">
        <v>5.4179810497488427E-2</v>
      </c>
      <c r="B1455"/>
      <c r="C1455"/>
      <c r="D1455"/>
      <c r="E1455" s="1"/>
    </row>
    <row r="1456" spans="1:5" x14ac:dyDescent="0.25">
      <c r="A1456" s="7">
        <v>5.3643376730186564E-2</v>
      </c>
      <c r="B1456"/>
      <c r="C1456"/>
      <c r="D1456"/>
      <c r="E1456" s="1"/>
    </row>
    <row r="1457" spans="1:5" x14ac:dyDescent="0.25">
      <c r="A1457" s="7">
        <v>5.311225418830353E-2</v>
      </c>
      <c r="B1457"/>
      <c r="C1457"/>
      <c r="D1457"/>
      <c r="E1457" s="1"/>
    </row>
    <row r="1458" spans="1:5" x14ac:dyDescent="0.25">
      <c r="A1458" s="7">
        <v>5.2586390285449036E-2</v>
      </c>
      <c r="B1458"/>
      <c r="C1458"/>
      <c r="D1458"/>
      <c r="E1458" s="1"/>
    </row>
    <row r="1459" spans="1:5" x14ac:dyDescent="0.25">
      <c r="A1459" s="7">
        <v>5.2065732955890134E-2</v>
      </c>
      <c r="B1459"/>
      <c r="C1459"/>
      <c r="D1459"/>
      <c r="E1459" s="1"/>
    </row>
    <row r="1460" spans="1:5" x14ac:dyDescent="0.25">
      <c r="A1460" s="7">
        <v>5.1550230649396171E-2</v>
      </c>
      <c r="B1460"/>
      <c r="C1460"/>
      <c r="D1460"/>
      <c r="E1460" s="1"/>
    </row>
    <row r="1461" spans="1:5" x14ac:dyDescent="0.25">
      <c r="A1461" s="7">
        <v>5.1039832326134821E-2</v>
      </c>
      <c r="B1461"/>
      <c r="C1461"/>
      <c r="D1461"/>
      <c r="E1461" s="1"/>
    </row>
    <row r="1462" spans="1:5" x14ac:dyDescent="0.25">
      <c r="A1462" s="7">
        <v>5.0534487451618634E-2</v>
      </c>
      <c r="B1462"/>
      <c r="C1462"/>
      <c r="D1462"/>
      <c r="E1462" s="1"/>
    </row>
    <row r="1463" spans="1:5" x14ac:dyDescent="0.25">
      <c r="A1463" s="7">
        <v>5.0034145991701619E-2</v>
      </c>
      <c r="B1463"/>
      <c r="C1463"/>
      <c r="D1463"/>
      <c r="E1463" s="1"/>
    </row>
    <row r="1464" spans="1:5" x14ac:dyDescent="0.25">
      <c r="A1464" s="7">
        <v>4.9538758407625366E-2</v>
      </c>
      <c r="B1464"/>
      <c r="C1464"/>
      <c r="D1464"/>
      <c r="E1464" s="1"/>
    </row>
    <row r="1465" spans="1:5" x14ac:dyDescent="0.25">
      <c r="A1465" s="7">
        <v>4.904827565111422E-2</v>
      </c>
      <c r="B1465"/>
      <c r="C1465"/>
      <c r="D1465"/>
      <c r="E1465" s="1"/>
    </row>
    <row r="1466" spans="1:5" x14ac:dyDescent="0.25">
      <c r="A1466" s="7">
        <v>4.8562649159519029E-2</v>
      </c>
      <c r="B1466"/>
      <c r="C1466"/>
      <c r="D1466"/>
      <c r="E1466" s="1"/>
    </row>
    <row r="1467" spans="1:5" x14ac:dyDescent="0.25">
      <c r="A1467" s="7">
        <v>4.8081830851008943E-2</v>
      </c>
      <c r="B1467"/>
      <c r="C1467"/>
      <c r="D1467"/>
      <c r="E1467" s="1"/>
    </row>
    <row r="1468" spans="1:5" x14ac:dyDescent="0.25">
      <c r="A1468" s="7">
        <v>4.7605773119810832E-2</v>
      </c>
      <c r="B1468"/>
      <c r="C1468"/>
      <c r="D1468"/>
      <c r="E1468" s="1"/>
    </row>
    <row r="1469" spans="1:5" x14ac:dyDescent="0.25">
      <c r="A1469" s="7">
        <v>4.7134428831495871E-2</v>
      </c>
      <c r="B1469"/>
      <c r="C1469"/>
      <c r="D1469"/>
      <c r="E1469" s="1"/>
    </row>
    <row r="1470" spans="1:5" x14ac:dyDescent="0.25">
      <c r="A1470" s="7">
        <v>4.6667751318312745E-2</v>
      </c>
      <c r="B1470"/>
      <c r="C1470"/>
      <c r="D1470"/>
      <c r="E1470" s="1"/>
    </row>
    <row r="1471" spans="1:5" x14ac:dyDescent="0.25">
      <c r="A1471" s="7">
        <v>4.620569437456707E-2</v>
      </c>
      <c r="B1471"/>
      <c r="C1471"/>
      <c r="D1471"/>
      <c r="E1471" s="1"/>
    </row>
    <row r="1472" spans="1:5" x14ac:dyDescent="0.25">
      <c r="A1472" s="7">
        <v>4.5748212252046602E-2</v>
      </c>
      <c r="B1472"/>
      <c r="C1472"/>
      <c r="D1472"/>
      <c r="E1472" s="1"/>
    </row>
    <row r="1473" spans="1:5" x14ac:dyDescent="0.25">
      <c r="A1473" s="7">
        <v>4.5295259655491686E-2</v>
      </c>
      <c r="B1473"/>
      <c r="C1473"/>
      <c r="D1473"/>
      <c r="E1473" s="1"/>
    </row>
    <row r="1474" spans="1:5" x14ac:dyDescent="0.25">
      <c r="A1474" s="7">
        <v>4.4846791738110577E-2</v>
      </c>
      <c r="B1474"/>
      <c r="C1474"/>
      <c r="D1474"/>
      <c r="E1474" s="1"/>
    </row>
    <row r="1475" spans="1:5" x14ac:dyDescent="0.25">
      <c r="A1475" s="7">
        <v>4.4402764097139183E-2</v>
      </c>
      <c r="B1475"/>
      <c r="C1475"/>
      <c r="D1475"/>
      <c r="E1475" s="1"/>
    </row>
    <row r="1476" spans="1:5" x14ac:dyDescent="0.25">
      <c r="A1476" s="7">
        <v>4.3963132769444732E-2</v>
      </c>
      <c r="B1476"/>
      <c r="C1476"/>
      <c r="D1476"/>
      <c r="E1476" s="1"/>
    </row>
    <row r="1477" spans="1:5" x14ac:dyDescent="0.25">
      <c r="A1477" s="7">
        <v>4.3527854227173E-2</v>
      </c>
      <c r="B1477"/>
      <c r="C1477"/>
      <c r="D1477"/>
      <c r="E1477" s="1"/>
    </row>
    <row r="1478" spans="1:5" x14ac:dyDescent="0.25">
      <c r="A1478" s="7">
        <v>4.3096885373438615E-2</v>
      </c>
      <c r="B1478"/>
      <c r="C1478"/>
      <c r="D1478"/>
      <c r="E1478" s="1"/>
    </row>
    <row r="1479" spans="1:5" x14ac:dyDescent="0.25">
      <c r="A1479" s="7">
        <v>4.2670183538058036E-2</v>
      </c>
      <c r="B1479"/>
      <c r="C1479"/>
      <c r="D1479"/>
      <c r="E1479" s="1"/>
    </row>
    <row r="1480" spans="1:5" x14ac:dyDescent="0.25">
      <c r="A1480" s="7">
        <v>4.2247706473324785E-2</v>
      </c>
      <c r="B1480"/>
      <c r="C1480"/>
      <c r="D1480"/>
      <c r="E1480" s="1"/>
    </row>
    <row r="1481" spans="1:5" x14ac:dyDescent="0.25">
      <c r="A1481" s="7">
        <v>4.1829412349826518E-2</v>
      </c>
      <c r="B1481"/>
      <c r="C1481"/>
      <c r="D1481"/>
      <c r="E1481" s="1"/>
    </row>
    <row r="1482" spans="1:5" x14ac:dyDescent="0.25">
      <c r="A1482" s="7">
        <v>4.1415259752303486E-2</v>
      </c>
      <c r="B1482"/>
      <c r="C1482"/>
      <c r="D1482"/>
      <c r="E1482" s="1"/>
    </row>
    <row r="1483" spans="1:5" x14ac:dyDescent="0.25">
      <c r="A1483" s="7">
        <v>4.1005207675548008E-2</v>
      </c>
      <c r="B1483"/>
      <c r="C1483"/>
      <c r="D1483"/>
      <c r="E1483" s="1"/>
    </row>
    <row r="1484" spans="1:5" x14ac:dyDescent="0.25">
      <c r="A1484" s="7">
        <v>4.059921552034456E-2</v>
      </c>
      <c r="B1484"/>
      <c r="C1484"/>
      <c r="D1484"/>
      <c r="E1484" s="1"/>
    </row>
    <row r="1485" spans="1:5" x14ac:dyDescent="0.25">
      <c r="A1485" s="7">
        <v>4.0197243089450059E-2</v>
      </c>
      <c r="B1485"/>
      <c r="C1485"/>
      <c r="D1485"/>
      <c r="E1485" s="1"/>
    </row>
    <row r="1486" spans="1:5" x14ac:dyDescent="0.25">
      <c r="A1486" s="7">
        <v>3.9799250583613922E-2</v>
      </c>
      <c r="B1486"/>
      <c r="C1486"/>
      <c r="D1486"/>
      <c r="E1486" s="1"/>
    </row>
    <row r="1487" spans="1:5" x14ac:dyDescent="0.25">
      <c r="A1487" s="7">
        <v>3.9405198597637546E-2</v>
      </c>
      <c r="B1487"/>
      <c r="C1487"/>
      <c r="D1487"/>
      <c r="E1487" s="1"/>
    </row>
    <row r="1488" spans="1:5" x14ac:dyDescent="0.25">
      <c r="A1488" s="7">
        <v>3.9015048116472814E-2</v>
      </c>
      <c r="B1488"/>
      <c r="C1488"/>
      <c r="D1488"/>
      <c r="E1488" s="1"/>
    </row>
    <row r="1489" spans="1:5" x14ac:dyDescent="0.25">
      <c r="A1489" s="7">
        <v>3.8628760511359224E-2</v>
      </c>
      <c r="B1489"/>
      <c r="C1489"/>
      <c r="D1489"/>
      <c r="E1489" s="1"/>
    </row>
    <row r="1490" spans="1:5" x14ac:dyDescent="0.25">
      <c r="A1490" s="7">
        <v>3.824629753599923E-2</v>
      </c>
      <c r="B1490"/>
      <c r="C1490"/>
      <c r="D1490"/>
      <c r="E1490" s="1"/>
    </row>
    <row r="1491" spans="1:5" x14ac:dyDescent="0.25">
      <c r="A1491" s="7">
        <v>3.7867621322771515E-2</v>
      </c>
      <c r="B1491"/>
      <c r="C1491"/>
      <c r="D1491"/>
      <c r="E1491" s="1"/>
    </row>
    <row r="1492" spans="1:5" x14ac:dyDescent="0.25">
      <c r="A1492" s="7">
        <v>3.74926943789817E-2</v>
      </c>
      <c r="B1492"/>
      <c r="C1492"/>
      <c r="D1492"/>
      <c r="E1492" s="1"/>
    </row>
    <row r="1493" spans="1:5" x14ac:dyDescent="0.25">
      <c r="A1493" s="7">
        <v>3.7121479583150201E-2</v>
      </c>
      <c r="B1493"/>
      <c r="C1493"/>
      <c r="D1493"/>
      <c r="E1493" s="1"/>
    </row>
    <row r="1494" spans="1:5" x14ac:dyDescent="0.25">
      <c r="A1494" s="7">
        <v>3.6753940181336833E-2</v>
      </c>
      <c r="B1494"/>
      <c r="C1494"/>
      <c r="D1494"/>
      <c r="E1494" s="1"/>
    </row>
    <row r="1495" spans="1:5" x14ac:dyDescent="0.25">
      <c r="A1495" s="7">
        <v>3.6390039783501818E-2</v>
      </c>
      <c r="B1495"/>
      <c r="C1495"/>
      <c r="D1495"/>
      <c r="E1495" s="1"/>
    </row>
    <row r="1496" spans="1:5" x14ac:dyDescent="0.25">
      <c r="A1496" s="7">
        <v>3.6029742359902792E-2</v>
      </c>
      <c r="B1496"/>
      <c r="C1496"/>
      <c r="D1496"/>
      <c r="E1496" s="1"/>
    </row>
    <row r="1497" spans="1:5" x14ac:dyDescent="0.25">
      <c r="A1497" s="7">
        <v>3.5673012237527515E-2</v>
      </c>
      <c r="B1497"/>
      <c r="C1497"/>
      <c r="D1497"/>
      <c r="E1497" s="1"/>
    </row>
    <row r="1498" spans="1:5" x14ac:dyDescent="0.25">
      <c r="A1498" s="7">
        <v>3.5319814096561895E-2</v>
      </c>
      <c r="B1498"/>
      <c r="C1498"/>
      <c r="D1498"/>
      <c r="E1498" s="1"/>
    </row>
    <row r="1499" spans="1:5" x14ac:dyDescent="0.25">
      <c r="A1499" s="7">
        <v>3.4970112966892966E-2</v>
      </c>
      <c r="B1499"/>
      <c r="C1499"/>
      <c r="D1499"/>
      <c r="E1499" s="1"/>
    </row>
    <row r="1500" spans="1:5" x14ac:dyDescent="0.25">
      <c r="A1500" s="7">
        <v>3.4623874224646502E-2</v>
      </c>
      <c r="B1500"/>
      <c r="C1500"/>
      <c r="D1500"/>
      <c r="E1500" s="1"/>
    </row>
    <row r="1501" spans="1:5" x14ac:dyDescent="0.25">
      <c r="A1501" s="7">
        <v>3.428106358875891E-2</v>
      </c>
      <c r="B1501"/>
      <c r="C1501"/>
      <c r="D1501"/>
      <c r="E1501" s="1"/>
    </row>
    <row r="1502" spans="1:5" x14ac:dyDescent="0.25">
      <c r="A1502" s="7">
        <v>3.3941647117583081E-2</v>
      </c>
      <c r="B1502"/>
      <c r="C1502"/>
      <c r="D1502"/>
      <c r="E1502" s="1"/>
    </row>
    <row r="1503" spans="1:5" x14ac:dyDescent="0.25">
      <c r="A1503" s="7">
        <v>3.36055912055278E-2</v>
      </c>
      <c r="B1503"/>
      <c r="C1503"/>
      <c r="D1503"/>
      <c r="E1503" s="1"/>
    </row>
    <row r="1504" spans="1:5" x14ac:dyDescent="0.25">
      <c r="A1504" s="7">
        <v>3.3272862579730493E-2</v>
      </c>
      <c r="B1504"/>
      <c r="C1504"/>
      <c r="D1504"/>
      <c r="E1504" s="1"/>
    </row>
    <row r="1505" spans="1:5" x14ac:dyDescent="0.25">
      <c r="A1505" s="7">
        <v>3.2943428296762861E-2</v>
      </c>
      <c r="B1505"/>
      <c r="C1505"/>
      <c r="D1505"/>
      <c r="E1505" s="1"/>
    </row>
    <row r="1506" spans="1:5" x14ac:dyDescent="0.25">
      <c r="A1506" s="7">
        <v>3.2617255739369168E-2</v>
      </c>
      <c r="B1506"/>
      <c r="C1506"/>
      <c r="D1506"/>
      <c r="E1506" s="1"/>
    </row>
    <row r="1507" spans="1:5" x14ac:dyDescent="0.25">
      <c r="A1507" s="7">
        <v>3.22943126132368E-2</v>
      </c>
      <c r="B1507"/>
      <c r="C1507"/>
      <c r="D1507"/>
      <c r="E1507" s="1"/>
    </row>
    <row r="1508" spans="1:5" x14ac:dyDescent="0.25">
      <c r="A1508" s="7">
        <v>3.1974566943798813E-2</v>
      </c>
      <c r="B1508"/>
      <c r="C1508"/>
      <c r="D1508"/>
      <c r="E1508" s="1"/>
    </row>
    <row r="1509" spans="1:5" x14ac:dyDescent="0.25">
      <c r="A1509" s="7">
        <v>3.1657987073068133E-2</v>
      </c>
      <c r="B1509"/>
      <c r="C1509"/>
      <c r="D1509"/>
      <c r="E1509" s="1"/>
    </row>
    <row r="1510" spans="1:5" x14ac:dyDescent="0.25">
      <c r="A1510" s="7">
        <v>3.1344541656503105E-2</v>
      </c>
      <c r="B1510"/>
      <c r="C1510"/>
      <c r="D1510"/>
      <c r="E1510" s="1"/>
    </row>
    <row r="1511" spans="1:5" x14ac:dyDescent="0.25">
      <c r="A1511" s="7">
        <v>3.1034199659904064E-2</v>
      </c>
      <c r="B1511"/>
      <c r="C1511"/>
      <c r="D1511"/>
      <c r="E1511" s="1"/>
    </row>
    <row r="1512" spans="1:5" x14ac:dyDescent="0.25">
      <c r="A1512" s="7">
        <v>3.0726930356340658E-2</v>
      </c>
      <c r="B1512"/>
      <c r="C1512"/>
      <c r="D1512"/>
      <c r="E1512" s="1"/>
    </row>
    <row r="1513" spans="1:5" x14ac:dyDescent="0.25">
      <c r="A1513" s="7">
        <v>3.0422703323109562E-2</v>
      </c>
      <c r="B1513"/>
      <c r="C1513"/>
      <c r="D1513"/>
      <c r="E1513" s="1"/>
    </row>
    <row r="1514" spans="1:5" x14ac:dyDescent="0.25">
      <c r="A1514" s="7">
        <v>3.0121488438722338E-2</v>
      </c>
      <c r="B1514"/>
      <c r="C1514"/>
      <c r="D1514"/>
      <c r="E1514" s="1"/>
    </row>
    <row r="1515" spans="1:5" x14ac:dyDescent="0.25">
      <c r="A1515" s="7">
        <v>2.9823255879923107E-2</v>
      </c>
      <c r="B1515"/>
      <c r="C1515"/>
      <c r="D1515"/>
      <c r="E1515" s="1"/>
    </row>
    <row r="1516" spans="1:5" x14ac:dyDescent="0.25">
      <c r="A1516" s="7">
        <v>2.9527976118735748E-2</v>
      </c>
      <c r="B1516"/>
      <c r="C1516"/>
      <c r="D1516"/>
      <c r="E1516" s="1"/>
    </row>
    <row r="1517" spans="1:5" x14ac:dyDescent="0.25">
      <c r="A1517" s="7">
        <v>2.9235619919540344E-2</v>
      </c>
      <c r="B1517"/>
      <c r="C1517"/>
      <c r="D1517"/>
      <c r="E1517" s="1"/>
    </row>
    <row r="1518" spans="1:5" x14ac:dyDescent="0.25">
      <c r="A1518" s="7">
        <v>2.8946158336178557E-2</v>
      </c>
      <c r="B1518"/>
      <c r="C1518"/>
      <c r="D1518"/>
      <c r="E1518" s="1"/>
    </row>
    <row r="1519" spans="1:5" x14ac:dyDescent="0.25">
      <c r="A1519" s="7">
        <v>2.865956270908768E-2</v>
      </c>
      <c r="B1519"/>
      <c r="C1519"/>
      <c r="D1519"/>
      <c r="E1519" s="1"/>
    </row>
    <row r="1520" spans="1:5" x14ac:dyDescent="0.25">
      <c r="A1520" s="7">
        <v>2.8375804662463051E-2</v>
      </c>
      <c r="B1520"/>
      <c r="C1520"/>
      <c r="D1520"/>
      <c r="E1520" s="1"/>
    </row>
    <row r="1521" spans="1:5" x14ac:dyDescent="0.25">
      <c r="A1521" s="7">
        <v>2.8094856101448566E-2</v>
      </c>
      <c r="B1521"/>
      <c r="C1521"/>
      <c r="D1521"/>
      <c r="E1521" s="1"/>
    </row>
    <row r="1522" spans="1:5" x14ac:dyDescent="0.25">
      <c r="A1522" s="7">
        <v>2.7816689209355015E-2</v>
      </c>
      <c r="B1522"/>
      <c r="C1522"/>
      <c r="D1522"/>
      <c r="E1522" s="1"/>
    </row>
    <row r="1523" spans="1:5" x14ac:dyDescent="0.25">
      <c r="A1523" s="7">
        <v>2.7541276444905956E-2</v>
      </c>
      <c r="B1523"/>
      <c r="C1523"/>
      <c r="D1523"/>
      <c r="E1523" s="1"/>
    </row>
    <row r="1524" spans="1:5" x14ac:dyDescent="0.25">
      <c r="A1524" s="7">
        <v>2.7268590539510848E-2</v>
      </c>
      <c r="B1524"/>
      <c r="C1524"/>
      <c r="D1524"/>
      <c r="E1524" s="1"/>
    </row>
    <row r="1525" spans="1:5" x14ac:dyDescent="0.25">
      <c r="A1525" s="7">
        <v>2.6998604494565197E-2</v>
      </c>
      <c r="B1525"/>
      <c r="C1525"/>
      <c r="D1525"/>
      <c r="E1525" s="1"/>
    </row>
    <row r="1526" spans="1:5" x14ac:dyDescent="0.25">
      <c r="A1526" s="7">
        <v>2.6731291578777423E-2</v>
      </c>
      <c r="B1526"/>
      <c r="C1526"/>
      <c r="D1526"/>
      <c r="E1526" s="1"/>
    </row>
    <row r="1527" spans="1:5" x14ac:dyDescent="0.25">
      <c r="A1527" s="7">
        <v>2.64666253255222E-2</v>
      </c>
      <c r="B1527"/>
      <c r="C1527"/>
      <c r="D1527"/>
      <c r="E1527" s="1"/>
    </row>
    <row r="1528" spans="1:5" x14ac:dyDescent="0.25">
      <c r="A1528" s="7">
        <v>2.6204579530219999E-2</v>
      </c>
      <c r="B1528"/>
      <c r="C1528"/>
      <c r="D1528"/>
      <c r="E1528" s="1"/>
    </row>
    <row r="1529" spans="1:5" x14ac:dyDescent="0.25">
      <c r="A1529" s="7">
        <v>2.5945128247742571E-2</v>
      </c>
      <c r="B1529"/>
      <c r="C1529"/>
      <c r="D1529"/>
      <c r="E1529" s="1"/>
    </row>
    <row r="1530" spans="1:5" x14ac:dyDescent="0.25">
      <c r="A1530" s="7">
        <v>2.568824578984413E-2</v>
      </c>
      <c r="B1530"/>
      <c r="C1530"/>
      <c r="D1530"/>
      <c r="E1530" s="1"/>
    </row>
    <row r="1531" spans="1:5" x14ac:dyDescent="0.25">
      <c r="A1531" s="7">
        <v>2.5433906722617951E-2</v>
      </c>
      <c r="B1531"/>
      <c r="C1531"/>
      <c r="D1531"/>
      <c r="E1531" s="1"/>
    </row>
    <row r="1532" spans="1:5" x14ac:dyDescent="0.25">
      <c r="A1532" s="7">
        <v>2.518208586397817E-2</v>
      </c>
      <c r="B1532"/>
      <c r="C1532"/>
      <c r="D1532"/>
      <c r="E1532" s="1"/>
    </row>
    <row r="1533" spans="1:5" x14ac:dyDescent="0.25">
      <c r="A1533" s="7">
        <v>2.4932758281166506E-2</v>
      </c>
      <c r="B1533"/>
      <c r="C1533"/>
      <c r="D1533"/>
      <c r="E1533" s="1"/>
    </row>
    <row r="1534" spans="1:5" x14ac:dyDescent="0.25">
      <c r="A1534" s="7">
        <v>2.4685899288283669E-2</v>
      </c>
      <c r="B1534"/>
      <c r="C1534"/>
      <c r="D1534"/>
      <c r="E1534" s="1"/>
    </row>
    <row r="1535" spans="1:5" x14ac:dyDescent="0.25">
      <c r="A1535" s="7">
        <v>2.4441484443845217E-2</v>
      </c>
      <c r="B1535"/>
      <c r="C1535"/>
      <c r="D1535"/>
      <c r="E1535" s="1"/>
    </row>
    <row r="1536" spans="1:5" x14ac:dyDescent="0.25">
      <c r="A1536" s="7">
        <v>2.41994895483616E-2</v>
      </c>
      <c r="B1536"/>
      <c r="C1536"/>
      <c r="D1536"/>
      <c r="E1536" s="1"/>
    </row>
    <row r="1537" spans="1:5" x14ac:dyDescent="0.25">
      <c r="A1537" s="7">
        <v>2.3959890641942178E-2</v>
      </c>
      <c r="B1537"/>
      <c r="C1537"/>
      <c r="D1537"/>
      <c r="E1537" s="1"/>
    </row>
    <row r="1538" spans="1:5" x14ac:dyDescent="0.25">
      <c r="A1538" s="7">
        <v>2.3722664001922949E-2</v>
      </c>
      <c r="B1538"/>
      <c r="C1538"/>
      <c r="D1538"/>
      <c r="E1538" s="1"/>
    </row>
    <row r="1539" spans="1:5" x14ac:dyDescent="0.25">
      <c r="A1539" s="7">
        <v>2.3487786140517771E-2</v>
      </c>
      <c r="B1539"/>
      <c r="C1539"/>
      <c r="D1539"/>
      <c r="E1539" s="1"/>
    </row>
    <row r="1540" spans="1:5" x14ac:dyDescent="0.25">
      <c r="A1540" s="7">
        <v>2.3255233802492843E-2</v>
      </c>
      <c r="B1540"/>
      <c r="C1540"/>
      <c r="D1540"/>
      <c r="E1540" s="1"/>
    </row>
    <row r="1541" spans="1:5" x14ac:dyDescent="0.25">
      <c r="A1541" s="7">
        <v>2.30249839628642E-2</v>
      </c>
      <c r="B1541"/>
      <c r="C1541"/>
      <c r="D1541"/>
      <c r="E1541" s="1"/>
    </row>
    <row r="1542" spans="1:5" x14ac:dyDescent="0.25">
      <c r="A1542" s="7">
        <v>2.2797013824618021E-2</v>
      </c>
      <c r="B1542"/>
      <c r="C1542"/>
      <c r="D1542"/>
      <c r="E1542" s="1"/>
    </row>
    <row r="1543" spans="1:5" x14ac:dyDescent="0.25">
      <c r="A1543" s="7">
        <v>2.2571300816453487E-2</v>
      </c>
      <c r="B1543"/>
      <c r="C1543"/>
      <c r="D1543"/>
      <c r="E1543" s="1"/>
    </row>
    <row r="1544" spans="1:5" x14ac:dyDescent="0.25">
      <c r="A1544" s="7">
        <v>2.2347822590548006E-2</v>
      </c>
      <c r="B1544"/>
      <c r="C1544"/>
      <c r="D1544"/>
      <c r="E1544" s="1"/>
    </row>
    <row r="1545" spans="1:5" x14ac:dyDescent="0.25">
      <c r="A1545" s="7">
        <v>2.2126557020344561E-2</v>
      </c>
      <c r="B1545"/>
      <c r="C1545"/>
      <c r="D1545"/>
      <c r="E1545" s="1"/>
    </row>
    <row r="1546" spans="1:5" x14ac:dyDescent="0.25">
      <c r="A1546" s="7">
        <v>2.1907482198360952E-2</v>
      </c>
      <c r="B1546"/>
      <c r="C1546"/>
      <c r="D1546"/>
      <c r="E1546" s="1"/>
    </row>
    <row r="1547" spans="1:5" x14ac:dyDescent="0.25">
      <c r="A1547" s="7">
        <v>2.1690576434020743E-2</v>
      </c>
      <c r="B1547"/>
      <c r="C1547"/>
      <c r="D1547"/>
      <c r="E1547" s="1"/>
    </row>
    <row r="1548" spans="1:5" x14ac:dyDescent="0.25">
      <c r="A1548" s="7">
        <v>2.1475818251505685E-2</v>
      </c>
      <c r="B1548"/>
      <c r="C1548"/>
      <c r="D1548"/>
      <c r="E1548" s="1"/>
    </row>
    <row r="1549" spans="1:5" x14ac:dyDescent="0.25">
      <c r="A1549" s="7">
        <v>2.126318638762939E-2</v>
      </c>
      <c r="B1549"/>
      <c r="C1549"/>
      <c r="D1549"/>
      <c r="E1549" s="1"/>
    </row>
    <row r="1550" spans="1:5" x14ac:dyDescent="0.25">
      <c r="A1550" s="7">
        <v>2.1052659789732069E-2</v>
      </c>
      <c r="B1550"/>
      <c r="C1550"/>
      <c r="D1550"/>
      <c r="E1550" s="1"/>
    </row>
    <row r="1551" spans="1:5" x14ac:dyDescent="0.25">
      <c r="A1551" s="7">
        <v>2.084421761359611E-2</v>
      </c>
      <c r="B1551"/>
      <c r="C1551"/>
      <c r="D1551"/>
      <c r="E1551" s="1"/>
    </row>
    <row r="1552" spans="1:5" x14ac:dyDescent="0.25">
      <c r="A1552" s="7">
        <v>2.0637839221382286E-2</v>
      </c>
      <c r="B1552"/>
      <c r="C1552"/>
      <c r="D1552"/>
      <c r="E1552" s="1"/>
    </row>
    <row r="1553" spans="1:5" x14ac:dyDescent="0.25">
      <c r="A1553" s="7">
        <v>2.043350417958642E-2</v>
      </c>
      <c r="B1553"/>
      <c r="C1553"/>
      <c r="D1553"/>
      <c r="E1553" s="1"/>
    </row>
    <row r="1554" spans="1:5" x14ac:dyDescent="0.25">
      <c r="A1554" s="7">
        <v>2.0231192257016258E-2</v>
      </c>
      <c r="B1554"/>
      <c r="C1554"/>
      <c r="D1554"/>
      <c r="E1554" s="1"/>
    </row>
    <row r="1555" spans="1:5" x14ac:dyDescent="0.25">
      <c r="A1555" s="7">
        <v>2.0030883422788373E-2</v>
      </c>
      <c r="B1555"/>
      <c r="C1555"/>
      <c r="D1555"/>
      <c r="E1555" s="1"/>
    </row>
    <row r="1556" spans="1:5" x14ac:dyDescent="0.25">
      <c r="A1556" s="7">
        <v>1.9832557844344924E-2</v>
      </c>
      <c r="B1556"/>
      <c r="C1556"/>
      <c r="D1556"/>
      <c r="E1556" s="1"/>
    </row>
    <row r="1557" spans="1:5" x14ac:dyDescent="0.25">
      <c r="A1557" s="7">
        <v>1.9636195885490024E-2</v>
      </c>
      <c r="B1557"/>
      <c r="C1557"/>
      <c r="D1557"/>
      <c r="E1557" s="1"/>
    </row>
    <row r="1558" spans="1:5" x14ac:dyDescent="0.25">
      <c r="A1558" s="7">
        <v>1.9441778104445567E-2</v>
      </c>
      <c r="B1558"/>
      <c r="C1558"/>
      <c r="D1558"/>
      <c r="E1558" s="1"/>
    </row>
    <row r="1559" spans="1:5" x14ac:dyDescent="0.25">
      <c r="A1559" s="7">
        <v>1.9249285251926304E-2</v>
      </c>
      <c r="B1559"/>
      <c r="C1559"/>
      <c r="D1559"/>
      <c r="E1559" s="1"/>
    </row>
    <row r="1560" spans="1:5" x14ac:dyDescent="0.25">
      <c r="A1560" s="7">
        <v>1.9058698269233964E-2</v>
      </c>
      <c r="B1560"/>
      <c r="C1560"/>
      <c r="D1560"/>
      <c r="E1560" s="1"/>
    </row>
    <row r="1561" spans="1:5" x14ac:dyDescent="0.25">
      <c r="A1561" s="7">
        <v>1.886999828637026E-2</v>
      </c>
      <c r="B1561"/>
      <c r="C1561"/>
      <c r="D1561"/>
      <c r="E1561" s="1"/>
    </row>
    <row r="1562" spans="1:5" x14ac:dyDescent="0.25">
      <c r="A1562" s="7">
        <v>1.8683166620168574E-2</v>
      </c>
      <c r="B1562"/>
      <c r="C1562"/>
      <c r="D1562"/>
      <c r="E1562" s="1"/>
    </row>
    <row r="1563" spans="1:5" x14ac:dyDescent="0.25">
      <c r="A1563" s="7">
        <v>1.8498184772444134E-2</v>
      </c>
      <c r="B1563"/>
      <c r="C1563"/>
      <c r="D1563"/>
      <c r="E1563" s="1"/>
    </row>
    <row r="1564" spans="1:5" x14ac:dyDescent="0.25">
      <c r="A1564" s="7">
        <v>1.831503442816251E-2</v>
      </c>
      <c r="B1564"/>
      <c r="C1564"/>
      <c r="D1564"/>
      <c r="E1564" s="1"/>
    </row>
    <row r="1565" spans="1:5" x14ac:dyDescent="0.25">
      <c r="A1565" s="7">
        <v>1.8133697453626248E-2</v>
      </c>
      <c r="B1565"/>
      <c r="C1565"/>
      <c r="D1565"/>
      <c r="E1565" s="1"/>
    </row>
    <row r="1566" spans="1:5" x14ac:dyDescent="0.25">
      <c r="A1566" s="7">
        <v>1.7954155894679455E-2</v>
      </c>
      <c r="B1566"/>
      <c r="C1566"/>
      <c r="D1566"/>
      <c r="E1566" s="1"/>
    </row>
    <row r="1567" spans="1:5" x14ac:dyDescent="0.25">
      <c r="A1567" s="7">
        <v>1.7776391974930153E-2</v>
      </c>
      <c r="B1567"/>
      <c r="C1567"/>
      <c r="D1567"/>
      <c r="E1567" s="1"/>
    </row>
    <row r="1568" spans="1:5" x14ac:dyDescent="0.25">
      <c r="A1568" s="7">
        <v>1.7600388093990251E-2</v>
      </c>
      <c r="B1568"/>
      <c r="C1568"/>
      <c r="D1568"/>
      <c r="E1568" s="1"/>
    </row>
    <row r="1569" spans="1:5" x14ac:dyDescent="0.25">
      <c r="A1569" s="7">
        <v>1.7426126825732923E-2</v>
      </c>
      <c r="B1569"/>
      <c r="C1569"/>
      <c r="D1569"/>
      <c r="E1569" s="1"/>
    </row>
    <row r="1570" spans="1:5" x14ac:dyDescent="0.25">
      <c r="A1570" s="7">
        <v>1.7253590916567252E-2</v>
      </c>
      <c r="B1570"/>
      <c r="C1570"/>
      <c r="D1570"/>
      <c r="E1570" s="1"/>
    </row>
    <row r="1571" spans="1:5" x14ac:dyDescent="0.25">
      <c r="A1571" s="7">
        <v>1.7082763283729954E-2</v>
      </c>
      <c r="B1571"/>
      <c r="C1571"/>
      <c r="D1571"/>
      <c r="E1571" s="1"/>
    </row>
    <row r="1572" spans="1:5" x14ac:dyDescent="0.25">
      <c r="A1572" s="7">
        <v>1.6913627013594012E-2</v>
      </c>
      <c r="B1572"/>
      <c r="C1572"/>
      <c r="D1572"/>
      <c r="E1572" s="1"/>
    </row>
    <row r="1573" spans="1:5" x14ac:dyDescent="0.25">
      <c r="A1573" s="7">
        <v>1.674616535999407E-2</v>
      </c>
      <c r="B1573"/>
      <c r="C1573"/>
      <c r="D1573"/>
      <c r="E1573" s="1"/>
    </row>
    <row r="1574" spans="1:5" x14ac:dyDescent="0.25">
      <c r="A1574" s="7">
        <v>1.6580361742568387E-2</v>
      </c>
      <c r="B1574"/>
      <c r="C1574"/>
      <c r="D1574"/>
      <c r="E1574" s="1"/>
    </row>
    <row r="1575" spans="1:5" x14ac:dyDescent="0.25">
      <c r="A1575" s="7">
        <v>1.6416199745117214E-2</v>
      </c>
      <c r="B1575"/>
      <c r="C1575"/>
      <c r="D1575"/>
      <c r="E1575" s="1"/>
    </row>
    <row r="1576" spans="1:5" x14ac:dyDescent="0.25">
      <c r="A1576" s="7">
        <v>1.625366311397744E-2</v>
      </c>
      <c r="B1576"/>
      <c r="C1576"/>
      <c r="D1576"/>
      <c r="E1576" s="1"/>
    </row>
    <row r="1577" spans="1:5" x14ac:dyDescent="0.25">
      <c r="A1577" s="7">
        <v>1.6092735756413307E-2</v>
      </c>
      <c r="B1577"/>
      <c r="C1577"/>
      <c r="D1577"/>
      <c r="E1577" s="1"/>
    </row>
    <row r="1578" spans="1:5" x14ac:dyDescent="0.25">
      <c r="A1578" s="7">
        <v>1.5933401739023075E-2</v>
      </c>
      <c r="B1578"/>
      <c r="C1578"/>
      <c r="D1578"/>
      <c r="E1578" s="1"/>
    </row>
    <row r="1579" spans="1:5" x14ac:dyDescent="0.25">
      <c r="A1579" s="7">
        <v>1.577564528616146E-2</v>
      </c>
      <c r="B1579"/>
      <c r="C1579"/>
      <c r="D1579"/>
      <c r="E1579" s="1"/>
    </row>
    <row r="1580" spans="1:5" x14ac:dyDescent="0.25">
      <c r="A1580" s="7">
        <v>1.5619450778377683E-2</v>
      </c>
      <c r="B1580"/>
      <c r="C1580"/>
      <c r="D1580"/>
      <c r="E1580" s="1"/>
    </row>
    <row r="1581" spans="1:5" x14ac:dyDescent="0.25">
      <c r="A1581" s="7">
        <v>1.5464802750868993E-2</v>
      </c>
      <c r="B1581"/>
      <c r="C1581"/>
      <c r="D1581"/>
      <c r="E1581" s="1"/>
    </row>
    <row r="1582" spans="1:5" x14ac:dyDescent="0.25">
      <c r="A1582" s="7">
        <v>1.5311685891949499E-2</v>
      </c>
      <c r="B1582"/>
      <c r="C1582"/>
      <c r="D1582"/>
      <c r="E1582" s="1"/>
    </row>
    <row r="1583" spans="1:5" x14ac:dyDescent="0.25">
      <c r="A1583" s="7">
        <v>1.5160085041534157E-2</v>
      </c>
      <c r="B1583"/>
      <c r="C1583"/>
      <c r="D1583"/>
      <c r="E1583" s="1"/>
    </row>
    <row r="1584" spans="1:5" x14ac:dyDescent="0.25">
      <c r="A1584" s="7">
        <v>1.5009985189637779E-2</v>
      </c>
      <c r="B1584"/>
      <c r="C1584"/>
      <c r="D1584"/>
      <c r="E1584" s="1"/>
    </row>
    <row r="1585" spans="1:5" x14ac:dyDescent="0.25">
      <c r="A1585" s="7">
        <v>1.486137147488889E-2</v>
      </c>
      <c r="B1585"/>
      <c r="C1585"/>
      <c r="D1585"/>
      <c r="E1585" s="1"/>
    </row>
    <row r="1586" spans="1:5" x14ac:dyDescent="0.25">
      <c r="A1586" s="7">
        <v>1.4714229183058307E-2</v>
      </c>
      <c r="B1586"/>
      <c r="C1586"/>
      <c r="D1586"/>
      <c r="E1586" s="1"/>
    </row>
    <row r="1587" spans="1:5" x14ac:dyDescent="0.25">
      <c r="A1587" s="7">
        <v>1.4568543745602285E-2</v>
      </c>
      <c r="B1587"/>
      <c r="C1587"/>
      <c r="D1587"/>
      <c r="E1587" s="1"/>
    </row>
    <row r="1588" spans="1:5" x14ac:dyDescent="0.25">
      <c r="A1588" s="7">
        <v>1.4424300738220083E-2</v>
      </c>
      <c r="B1588"/>
      <c r="C1588"/>
      <c r="D1588"/>
      <c r="E1588" s="1"/>
    </row>
    <row r="1589" spans="1:5" x14ac:dyDescent="0.25">
      <c r="A1589" s="7">
        <v>1.4281485879425826E-2</v>
      </c>
      <c r="B1589"/>
      <c r="C1589"/>
      <c r="D1589"/>
      <c r="E1589" s="1"/>
    </row>
    <row r="1590" spans="1:5" x14ac:dyDescent="0.25">
      <c r="A1590" s="7">
        <v>1.4140085029134481E-2</v>
      </c>
      <c r="B1590"/>
      <c r="C1590"/>
      <c r="D1590"/>
      <c r="E1590" s="1"/>
    </row>
    <row r="1591" spans="1:5" x14ac:dyDescent="0.25">
      <c r="A1591" s="7">
        <v>1.4000084187261863E-2</v>
      </c>
      <c r="B1591"/>
      <c r="C1591"/>
      <c r="D1591"/>
      <c r="E1591" s="1"/>
    </row>
    <row r="1592" spans="1:5" x14ac:dyDescent="0.25">
      <c r="A1592" s="7">
        <v>1.3861469492338479E-2</v>
      </c>
      <c r="B1592"/>
      <c r="C1592"/>
      <c r="D1592"/>
      <c r="E1592" s="1"/>
    </row>
    <row r="1593" spans="1:5" x14ac:dyDescent="0.25">
      <c r="A1593" s="7">
        <v>1.3724227220137107E-2</v>
      </c>
      <c r="B1593"/>
      <c r="C1593"/>
      <c r="D1593"/>
      <c r="E1593" s="1"/>
    </row>
    <row r="1594" spans="1:5" x14ac:dyDescent="0.25">
      <c r="A1594" s="7">
        <v>1.3588343782313966E-2</v>
      </c>
      <c r="B1594"/>
      <c r="C1594"/>
      <c r="D1594"/>
      <c r="E1594" s="1"/>
    </row>
    <row r="1595" spans="1:5" x14ac:dyDescent="0.25">
      <c r="A1595" s="7">
        <v>1.3453805725063333E-2</v>
      </c>
      <c r="B1595"/>
      <c r="C1595"/>
      <c r="D1595"/>
      <c r="E1595" s="1"/>
    </row>
    <row r="1596" spans="1:5" x14ac:dyDescent="0.25">
      <c r="A1596" s="7">
        <v>1.3320599727785478E-2</v>
      </c>
      <c r="B1596"/>
      <c r="C1596"/>
      <c r="D1596"/>
      <c r="E1596" s="1"/>
    </row>
    <row r="1597" spans="1:5" x14ac:dyDescent="0.25">
      <c r="A1597" s="7">
        <v>1.3188712601767801E-2</v>
      </c>
      <c r="B1597"/>
      <c r="C1597"/>
      <c r="D1597"/>
      <c r="E1597" s="1"/>
    </row>
    <row r="1598" spans="1:5" x14ac:dyDescent="0.25">
      <c r="A1598" s="7">
        <v>1.305813128887901E-2</v>
      </c>
      <c r="B1598"/>
      <c r="C1598"/>
      <c r="D1598"/>
      <c r="E1598" s="1"/>
    </row>
    <row r="1599" spans="1:5" x14ac:dyDescent="0.25">
      <c r="A1599" s="7">
        <v>1.2928842860276247E-2</v>
      </c>
      <c r="B1599"/>
      <c r="C1599"/>
      <c r="D1599"/>
      <c r="E1599" s="1"/>
    </row>
    <row r="1600" spans="1:5" x14ac:dyDescent="0.25">
      <c r="A1600" s="7">
        <v>1.2800834515124997E-2</v>
      </c>
      <c r="B1600"/>
      <c r="C1600"/>
      <c r="D1600"/>
      <c r="E1600" s="1"/>
    </row>
    <row r="1601" spans="1:5" x14ac:dyDescent="0.25">
      <c r="A1601" s="7">
        <v>1.2674093579331681E-2</v>
      </c>
      <c r="B1601"/>
      <c r="C1601"/>
      <c r="D1601"/>
      <c r="E1601" s="1"/>
    </row>
    <row r="1602" spans="1:5" x14ac:dyDescent="0.25">
      <c r="A1602" s="7">
        <v>1.2548607504288793E-2</v>
      </c>
      <c r="B1602"/>
      <c r="C1602"/>
      <c r="D1602"/>
      <c r="E1602" s="1"/>
    </row>
    <row r="1603" spans="1:5" x14ac:dyDescent="0.25">
      <c r="A1603" s="7">
        <v>1.2424363865632468E-2</v>
      </c>
      <c r="B1603"/>
      <c r="C1603"/>
      <c r="D1603"/>
      <c r="E1603" s="1"/>
    </row>
    <row r="1604" spans="1:5" x14ac:dyDescent="0.25">
      <c r="A1604" s="7">
        <v>1.2301350362012345E-2</v>
      </c>
      <c r="B1604"/>
      <c r="C1604"/>
      <c r="D1604"/>
      <c r="E1604" s="1"/>
    </row>
    <row r="1605" spans="1:5" x14ac:dyDescent="0.25">
      <c r="A1605" s="7">
        <v>1.2179554813873608E-2</v>
      </c>
      <c r="B1605"/>
      <c r="C1605"/>
      <c r="D1605"/>
      <c r="E1605" s="1"/>
    </row>
    <row r="1606" spans="1:5" x14ac:dyDescent="0.25">
      <c r="A1606" s="7">
        <v>1.2058965162251098E-2</v>
      </c>
      <c r="B1606"/>
      <c r="C1606"/>
      <c r="D1606"/>
      <c r="E1606" s="1"/>
    </row>
    <row r="1607" spans="1:5" x14ac:dyDescent="0.25">
      <c r="A1607" s="7">
        <v>1.1939569467575344E-2</v>
      </c>
      <c r="B1607"/>
      <c r="C1607"/>
      <c r="D1607"/>
      <c r="E1607" s="1"/>
    </row>
    <row r="1608" spans="1:5" x14ac:dyDescent="0.25">
      <c r="A1608" s="7">
        <v>1.182135590849044E-2</v>
      </c>
      <c r="B1608"/>
      <c r="C1608"/>
      <c r="D1608"/>
      <c r="E1608" s="1"/>
    </row>
    <row r="1609" spans="1:5" x14ac:dyDescent="0.25">
      <c r="A1609" s="7">
        <v>1.1704312780683603E-2</v>
      </c>
      <c r="B1609"/>
      <c r="C1609"/>
      <c r="D1609"/>
      <c r="E1609" s="1"/>
    </row>
    <row r="1610" spans="1:5" x14ac:dyDescent="0.25">
      <c r="A1610" s="7">
        <v>1.158842849572634E-2</v>
      </c>
      <c r="B1610"/>
      <c r="C1610"/>
      <c r="D1610"/>
      <c r="E1610" s="1"/>
    </row>
    <row r="1611" spans="1:5" x14ac:dyDescent="0.25">
      <c r="A1611" s="7">
        <v>1.1473691579927069E-2</v>
      </c>
      <c r="B1611"/>
      <c r="C1611"/>
      <c r="D1611"/>
      <c r="E1611" s="1"/>
    </row>
    <row r="1612" spans="1:5" x14ac:dyDescent="0.25">
      <c r="A1612" s="7">
        <v>1.1360090673195117E-2</v>
      </c>
      <c r="B1612"/>
      <c r="C1612"/>
      <c r="D1612"/>
      <c r="E1612" s="1"/>
    </row>
    <row r="1613" spans="1:5" x14ac:dyDescent="0.25">
      <c r="A1613" s="7">
        <v>1.1247614527915957E-2</v>
      </c>
      <c r="B1613"/>
      <c r="C1613"/>
      <c r="D1613"/>
      <c r="E1613" s="1"/>
    </row>
    <row r="1614" spans="1:5" x14ac:dyDescent="0.25">
      <c r="A1614" s="7">
        <v>1.1136252007837581E-2</v>
      </c>
      <c r="B1614"/>
      <c r="C1614"/>
      <c r="D1614"/>
      <c r="E1614" s="1"/>
    </row>
    <row r="1615" spans="1:5" x14ac:dyDescent="0.25">
      <c r="A1615" s="7">
        <v>1.1025992086967902E-2</v>
      </c>
      <c r="B1615"/>
      <c r="C1615"/>
      <c r="D1615"/>
      <c r="E1615" s="1"/>
    </row>
    <row r="1616" spans="1:5" x14ac:dyDescent="0.25">
      <c r="A1616" s="7">
        <v>1.0916823848483071E-2</v>
      </c>
      <c r="B1616"/>
      <c r="C1616"/>
      <c r="D1616"/>
      <c r="E1616" s="1"/>
    </row>
    <row r="1617" spans="1:5" x14ac:dyDescent="0.25">
      <c r="A1617" s="7">
        <v>1.0808736483646605E-2</v>
      </c>
      <c r="B1617"/>
      <c r="C1617"/>
      <c r="D1617"/>
      <c r="E1617" s="1"/>
    </row>
    <row r="1618" spans="1:5" x14ac:dyDescent="0.25">
      <c r="A1618" s="7">
        <v>1.0701719290739212E-2</v>
      </c>
      <c r="B1618"/>
      <c r="C1618"/>
      <c r="D1618"/>
      <c r="E1618" s="1"/>
    </row>
    <row r="1619" spans="1:5" x14ac:dyDescent="0.25">
      <c r="A1619" s="7">
        <v>1.059576167399922E-2</v>
      </c>
      <c r="B1619"/>
      <c r="C1619"/>
      <c r="D1619"/>
      <c r="E1619" s="1"/>
    </row>
    <row r="1620" spans="1:5" x14ac:dyDescent="0.25">
      <c r="A1620" s="7">
        <v>1.0490853142573484E-2</v>
      </c>
      <c r="B1620"/>
      <c r="C1620"/>
      <c r="D1620"/>
      <c r="E1620" s="1"/>
    </row>
    <row r="1621" spans="1:5" x14ac:dyDescent="0.25">
      <c r="A1621" s="7">
        <v>1.0386983309478697E-2</v>
      </c>
      <c r="B1621"/>
      <c r="C1621"/>
      <c r="D1621"/>
      <c r="E1621" s="1"/>
    </row>
    <row r="1622" spans="1:5" x14ac:dyDescent="0.25">
      <c r="A1622" s="7">
        <v>1.0284141890572968E-2</v>
      </c>
      <c r="B1622"/>
      <c r="C1622"/>
      <c r="D1622"/>
      <c r="E1622" s="1"/>
    </row>
    <row r="1623" spans="1:5" x14ac:dyDescent="0.25">
      <c r="A1623" s="7">
        <v>1.0182318703537592E-2</v>
      </c>
      <c r="B1623"/>
      <c r="C1623"/>
      <c r="D1623"/>
      <c r="E1623" s="1"/>
    </row>
    <row r="1624" spans="1:5" x14ac:dyDescent="0.25">
      <c r="A1624" s="7">
        <v>1.0081503666868902E-2</v>
      </c>
      <c r="B1624"/>
      <c r="C1624"/>
      <c r="D1624"/>
      <c r="E1624" s="1"/>
    </row>
    <row r="1625" spans="1:5" x14ac:dyDescent="0.25">
      <c r="A1625" s="7">
        <v>9.981686798880101E-3</v>
      </c>
      <c r="B1625"/>
      <c r="C1625"/>
      <c r="D1625"/>
      <c r="E1625" s="1"/>
    </row>
    <row r="1626" spans="1:5" x14ac:dyDescent="0.25">
      <c r="A1626" s="7">
        <v>9.8828582167129718E-3</v>
      </c>
      <c r="B1626"/>
      <c r="C1626"/>
      <c r="D1626"/>
      <c r="E1626" s="1"/>
    </row>
    <row r="1627" spans="1:5" x14ac:dyDescent="0.25">
      <c r="A1627" s="7">
        <v>9.7850081353593778E-3</v>
      </c>
      <c r="B1627"/>
      <c r="C1627"/>
      <c r="D1627"/>
      <c r="E1627" s="1"/>
    </row>
    <row r="1628" spans="1:5" x14ac:dyDescent="0.25">
      <c r="A1628" s="7">
        <v>9.6881268666924539E-3</v>
      </c>
      <c r="B1628"/>
      <c r="C1628"/>
      <c r="D1628"/>
      <c r="E1628" s="1"/>
    </row>
    <row r="1629" spans="1:5" x14ac:dyDescent="0.25">
      <c r="A1629" s="7">
        <v>9.5922048185073799E-3</v>
      </c>
      <c r="B1629"/>
      <c r="C1629"/>
      <c r="D1629"/>
      <c r="E1629" s="1"/>
    </row>
    <row r="1630" spans="1:5" x14ac:dyDescent="0.25">
      <c r="A1630" s="7">
        <v>9.497232493571664E-3</v>
      </c>
      <c r="B1630"/>
      <c r="C1630"/>
      <c r="D1630"/>
      <c r="E1630" s="1"/>
    </row>
    <row r="1631" spans="1:5" x14ac:dyDescent="0.25">
      <c r="A1631" s="7">
        <v>9.4032004886848153E-3</v>
      </c>
      <c r="B1631"/>
      <c r="C1631"/>
      <c r="D1631"/>
      <c r="E1631" s="1"/>
    </row>
    <row r="1632" spans="1:5" x14ac:dyDescent="0.25">
      <c r="A1632" s="7">
        <v>9.3100994937473421E-3</v>
      </c>
      <c r="B1632"/>
      <c r="C1632"/>
      <c r="D1632"/>
      <c r="E1632" s="1"/>
    </row>
    <row r="1633" spans="1:5" x14ac:dyDescent="0.25">
      <c r="A1633" s="7">
        <v>9.2179202908389529E-3</v>
      </c>
      <c r="B1633"/>
      <c r="C1633"/>
      <c r="D1633"/>
      <c r="E1633" s="1"/>
    </row>
    <row r="1634" spans="1:5" x14ac:dyDescent="0.25">
      <c r="A1634" s="7">
        <v>9.1266537533058936E-3</v>
      </c>
      <c r="B1634"/>
      <c r="C1634"/>
      <c r="D1634"/>
      <c r="E1634" s="1"/>
    </row>
    <row r="1635" spans="1:5" x14ac:dyDescent="0.25">
      <c r="A1635" s="7">
        <v>9.0362908448573202E-3</v>
      </c>
      <c r="B1635"/>
      <c r="C1635"/>
      <c r="D1635"/>
      <c r="E1635" s="1"/>
    </row>
    <row r="1636" spans="1:5" x14ac:dyDescent="0.25">
      <c r="A1636" s="7">
        <v>8.9468226186706131E-3</v>
      </c>
      <c r="B1636"/>
      <c r="C1636"/>
      <c r="D1636"/>
      <c r="E1636" s="1"/>
    </row>
    <row r="1637" spans="1:5" x14ac:dyDescent="0.25">
      <c r="A1637" s="7">
        <v>8.8582402165055581E-3</v>
      </c>
      <c r="B1637"/>
      <c r="C1637"/>
      <c r="D1637"/>
      <c r="E1637" s="1"/>
    </row>
    <row r="1638" spans="1:5" x14ac:dyDescent="0.25">
      <c r="A1638" s="7">
        <v>8.7705348678272857E-3</v>
      </c>
      <c r="B1638"/>
      <c r="C1638"/>
      <c r="D1638"/>
      <c r="E1638" s="1"/>
    </row>
    <row r="1639" spans="1:5" x14ac:dyDescent="0.25">
      <c r="A1639" s="7">
        <v>8.6836978889379066E-3</v>
      </c>
      <c r="B1639"/>
      <c r="C1639"/>
      <c r="D1639"/>
      <c r="E1639" s="1"/>
    </row>
    <row r="1640" spans="1:5" x14ac:dyDescent="0.25">
      <c r="A1640" s="7">
        <v>8.5977206821167395E-3</v>
      </c>
      <c r="B1640"/>
      <c r="C1640"/>
      <c r="D1640"/>
      <c r="E1640" s="1"/>
    </row>
    <row r="1641" spans="1:5" x14ac:dyDescent="0.25">
      <c r="A1641" s="7">
        <v>8.5125947347690495E-3</v>
      </c>
      <c r="B1641"/>
      <c r="C1641"/>
      <c r="D1641"/>
      <c r="E1641" s="1"/>
    </row>
    <row r="1642" spans="1:5" x14ac:dyDescent="0.25">
      <c r="A1642" s="7">
        <v>8.4283116185832167E-3</v>
      </c>
      <c r="B1642"/>
      <c r="C1642"/>
      <c r="D1642"/>
      <c r="E1642" s="1"/>
    </row>
    <row r="1643" spans="1:5" x14ac:dyDescent="0.25">
      <c r="A1643" s="7">
        <v>8.3448629886962548E-3</v>
      </c>
      <c r="B1643"/>
      <c r="C1643"/>
      <c r="D1643"/>
      <c r="E1643" s="1"/>
    </row>
    <row r="1644" spans="1:5" x14ac:dyDescent="0.25">
      <c r="A1644" s="7">
        <v>8.2622405828675794E-3</v>
      </c>
      <c r="B1644"/>
      <c r="C1644"/>
      <c r="D1644"/>
      <c r="E1644" s="1"/>
    </row>
    <row r="1645" spans="1:5" x14ac:dyDescent="0.25">
      <c r="A1645" s="7">
        <v>8.1804362206609697E-3</v>
      </c>
      <c r="B1645"/>
      <c r="C1645"/>
      <c r="D1645"/>
      <c r="E1645" s="1"/>
    </row>
    <row r="1646" spans="1:5" x14ac:dyDescent="0.25">
      <c r="A1646" s="7">
        <v>8.0994418026346226E-3</v>
      </c>
      <c r="B1646"/>
      <c r="C1646"/>
      <c r="D1646"/>
      <c r="E1646" s="1"/>
    </row>
    <row r="1647" spans="1:5" x14ac:dyDescent="0.25">
      <c r="A1647" s="7">
        <v>8.0192493095392302E-3</v>
      </c>
      <c r="B1647"/>
      <c r="C1647"/>
      <c r="D1647"/>
      <c r="E1647" s="1"/>
    </row>
    <row r="1648" spans="1:5" x14ac:dyDescent="0.25">
      <c r="A1648" s="7">
        <v>7.9398508015239896E-3</v>
      </c>
      <c r="B1648"/>
      <c r="C1648"/>
      <c r="D1648"/>
      <c r="E1648" s="1"/>
    </row>
    <row r="1649" spans="1:5" x14ac:dyDescent="0.25">
      <c r="A1649" s="7">
        <v>7.8612384173504853E-3</v>
      </c>
      <c r="B1649"/>
      <c r="C1649"/>
      <c r="D1649"/>
      <c r="E1649" s="1"/>
    </row>
    <row r="1650" spans="1:5" x14ac:dyDescent="0.25">
      <c r="A1650" s="7">
        <v>7.7834043736143416E-3</v>
      </c>
      <c r="B1650"/>
      <c r="C1650"/>
      <c r="D1650"/>
      <c r="E1650" s="1"/>
    </row>
    <row r="1651" spans="1:5" x14ac:dyDescent="0.25">
      <c r="A1651" s="7">
        <v>7.7063409639745954E-3</v>
      </c>
      <c r="B1651"/>
      <c r="C1651"/>
      <c r="D1651"/>
      <c r="E1651" s="1"/>
    </row>
    <row r="1652" spans="1:5" x14ac:dyDescent="0.25">
      <c r="A1652" s="7">
        <v>7.6300405583906881E-3</v>
      </c>
      <c r="B1652"/>
      <c r="C1652"/>
      <c r="D1652"/>
      <c r="E1652" s="1"/>
    </row>
    <row r="1653" spans="1:5" x14ac:dyDescent="0.25">
      <c r="A1653" s="7">
        <v>7.5544956023670179E-3</v>
      </c>
      <c r="B1653"/>
      <c r="C1653"/>
      <c r="D1653"/>
      <c r="E1653" s="1"/>
    </row>
    <row r="1654" spans="1:5" x14ac:dyDescent="0.25">
      <c r="A1654" s="7">
        <v>7.479698616204968E-3</v>
      </c>
      <c r="B1654"/>
      <c r="C1654"/>
      <c r="D1654"/>
      <c r="E1654" s="1"/>
    </row>
    <row r="1655" spans="1:5" x14ac:dyDescent="0.25">
      <c r="A1655" s="7">
        <v>7.4056421942623445E-3</v>
      </c>
      <c r="B1655"/>
      <c r="C1655"/>
      <c r="D1655"/>
      <c r="E1655" s="1"/>
    </row>
    <row r="1656" spans="1:5" x14ac:dyDescent="0.25">
      <c r="A1656" s="7">
        <v>7.3323190042201428E-3</v>
      </c>
      <c r="B1656"/>
      <c r="C1656"/>
      <c r="D1656"/>
      <c r="E1656" s="1"/>
    </row>
    <row r="1657" spans="1:5" x14ac:dyDescent="0.25">
      <c r="A1657" s="7">
        <v>7.2597217863565773E-3</v>
      </c>
      <c r="B1657"/>
      <c r="C1657"/>
      <c r="D1657"/>
      <c r="E1657" s="1"/>
    </row>
    <row r="1658" spans="1:5" x14ac:dyDescent="0.25">
      <c r="A1658" s="7">
        <v>7.1878433528282945E-3</v>
      </c>
      <c r="B1658"/>
      <c r="C1658"/>
      <c r="D1658"/>
      <c r="E1658" s="1"/>
    </row>
    <row r="1659" spans="1:5" x14ac:dyDescent="0.25">
      <c r="A1659" s="7">
        <v>7.1166765869587071E-3</v>
      </c>
      <c r="B1659"/>
      <c r="C1659"/>
      <c r="D1659"/>
      <c r="E1659" s="1"/>
    </row>
    <row r="1660" spans="1:5" x14ac:dyDescent="0.25">
      <c r="A1660" s="7">
        <v>7.0462144425333731E-3</v>
      </c>
      <c r="B1660"/>
      <c r="C1660"/>
      <c r="D1660"/>
      <c r="E1660" s="1"/>
    </row>
    <row r="1661" spans="1:5" x14ac:dyDescent="0.25">
      <c r="A1661" s="7">
        <v>6.9764499431023497E-3</v>
      </c>
      <c r="B1661"/>
      <c r="C1661"/>
      <c r="D1661"/>
      <c r="E1661" s="1"/>
    </row>
    <row r="1662" spans="1:5" x14ac:dyDescent="0.25">
      <c r="A1662" s="7">
        <v>6.9073761812894555E-3</v>
      </c>
      <c r="B1662"/>
      <c r="C1662"/>
      <c r="D1662"/>
      <c r="E1662" s="1"/>
    </row>
    <row r="1663" spans="1:5" x14ac:dyDescent="0.25">
      <c r="A1663" s="7">
        <v>6.8389863181083713E-3</v>
      </c>
      <c r="B1663"/>
      <c r="C1663"/>
      <c r="D1663"/>
      <c r="E1663" s="1"/>
    </row>
    <row r="1664" spans="1:5" x14ac:dyDescent="0.25">
      <c r="A1664" s="7">
        <v>6.7712735822855162E-3</v>
      </c>
      <c r="B1664"/>
      <c r="C1664"/>
      <c r="D1664"/>
      <c r="E1664" s="1"/>
    </row>
    <row r="1665" spans="1:5" x14ac:dyDescent="0.25">
      <c r="A1665" s="7">
        <v>6.7042312695896203E-3</v>
      </c>
      <c r="B1665"/>
      <c r="C1665"/>
      <c r="D1665"/>
      <c r="E1665" s="1"/>
    </row>
    <row r="1666" spans="1:5" x14ac:dyDescent="0.25">
      <c r="A1666" s="7">
        <v>6.6378527421679405E-3</v>
      </c>
      <c r="B1666"/>
      <c r="C1666"/>
      <c r="D1666"/>
      <c r="E1666" s="1"/>
    </row>
    <row r="1667" spans="1:5" x14ac:dyDescent="0.25">
      <c r="A1667" s="7">
        <v>6.5721314278890499E-3</v>
      </c>
      <c r="B1667"/>
      <c r="C1667"/>
      <c r="D1667"/>
      <c r="E1667" s="1"/>
    </row>
    <row r="1668" spans="1:5" x14ac:dyDescent="0.25">
      <c r="A1668" s="7">
        <v>6.5070608196921287E-3</v>
      </c>
      <c r="B1668"/>
      <c r="C1668"/>
      <c r="D1668"/>
      <c r="E1668" s="1"/>
    </row>
    <row r="1669" spans="1:5" x14ac:dyDescent="0.25">
      <c r="A1669" s="7">
        <v>6.4426344749427015E-3</v>
      </c>
      <c r="B1669"/>
      <c r="C1669"/>
      <c r="D1669"/>
      <c r="E1669" s="1"/>
    </row>
    <row r="1670" spans="1:5" x14ac:dyDescent="0.25">
      <c r="A1670" s="7">
        <v>6.3788460147947536E-3</v>
      </c>
      <c r="B1670"/>
      <c r="C1670"/>
      <c r="D1670"/>
      <c r="E1670" s="1"/>
    </row>
    <row r="1671" spans="1:5" x14ac:dyDescent="0.25">
      <c r="A1671" s="7">
        <v>6.3156891235591622E-3</v>
      </c>
      <c r="B1671"/>
      <c r="C1671"/>
      <c r="D1671"/>
      <c r="E1671" s="1"/>
    </row>
    <row r="1672" spans="1:5" x14ac:dyDescent="0.25">
      <c r="A1672" s="7">
        <v>6.2531575480783783E-3</v>
      </c>
      <c r="B1672"/>
      <c r="C1672"/>
      <c r="D1672"/>
      <c r="E1672" s="1"/>
    </row>
    <row r="1673" spans="1:5" x14ac:dyDescent="0.25">
      <c r="A1673" s="7">
        <v>6.1912450971073054E-3</v>
      </c>
      <c r="B1673"/>
      <c r="C1673"/>
      <c r="D1673"/>
      <c r="E1673" s="1"/>
    </row>
    <row r="1674" spans="1:5" x14ac:dyDescent="0.25">
      <c r="A1674" s="7">
        <v>6.1299456407003022E-3</v>
      </c>
      <c r="B1674"/>
      <c r="C1674"/>
      <c r="D1674"/>
      <c r="E1674" s="1"/>
    </row>
    <row r="1675" spans="1:5" x14ac:dyDescent="0.25">
      <c r="A1675" s="7">
        <v>6.0692531096042598E-3</v>
      </c>
      <c r="B1675"/>
      <c r="C1675"/>
      <c r="D1675"/>
      <c r="E1675" s="1"/>
    </row>
    <row r="1676" spans="1:5" x14ac:dyDescent="0.25">
      <c r="A1676" s="7">
        <v>6.0091614946576827E-3</v>
      </c>
      <c r="B1676"/>
      <c r="C1676"/>
      <c r="D1676"/>
      <c r="E1676" s="1"/>
    </row>
    <row r="1677" spans="1:5" x14ac:dyDescent="0.25">
      <c r="A1677" s="7">
        <v>5.9496648461957258E-3</v>
      </c>
      <c r="B1677"/>
      <c r="C1677"/>
      <c r="D1677"/>
      <c r="E1677" s="1"/>
    </row>
    <row r="1678" spans="1:5" x14ac:dyDescent="0.25">
      <c r="A1678" s="7">
        <v>5.8907572734611148E-3</v>
      </c>
      <c r="B1678"/>
      <c r="C1678"/>
      <c r="D1678"/>
      <c r="E1678" s="1"/>
    </row>
    <row r="1679" spans="1:5" x14ac:dyDescent="0.25">
      <c r="A1679" s="7">
        <v>5.832432944020906E-3</v>
      </c>
      <c r="B1679"/>
      <c r="C1679"/>
      <c r="D1679"/>
      <c r="E1679" s="1"/>
    </row>
    <row r="1680" spans="1:5" x14ac:dyDescent="0.25">
      <c r="A1680" s="7">
        <v>5.7746860831890158E-3</v>
      </c>
      <c r="B1680"/>
      <c r="C1680"/>
      <c r="D1680"/>
      <c r="E1680" s="1"/>
    </row>
    <row r="1681" spans="1:5" x14ac:dyDescent="0.25">
      <c r="A1681" s="7">
        <v>5.717510973454471E-3</v>
      </c>
      <c r="B1681"/>
      <c r="C1681"/>
      <c r="D1681"/>
      <c r="E1681" s="1"/>
    </row>
    <row r="1682" spans="1:5" x14ac:dyDescent="0.25">
      <c r="A1682" s="7">
        <v>5.6609019539153177E-3</v>
      </c>
      <c r="B1682"/>
      <c r="C1682"/>
      <c r="D1682"/>
      <c r="E1682" s="1"/>
    </row>
    <row r="1683" spans="1:5" x14ac:dyDescent="0.25">
      <c r="A1683" s="7">
        <v>5.604853419718136E-3</v>
      </c>
      <c r="B1683"/>
      <c r="C1683"/>
      <c r="D1683"/>
      <c r="E1683" s="1"/>
    </row>
    <row r="1684" spans="1:5" x14ac:dyDescent="0.25">
      <c r="A1684" s="7">
        <v>5.5493598215031054E-3</v>
      </c>
      <c r="B1684"/>
      <c r="C1684"/>
      <c r="D1684"/>
      <c r="E1684" s="1"/>
    </row>
    <row r="1685" spans="1:5" x14ac:dyDescent="0.25">
      <c r="A1685" s="7">
        <v>5.4944156648545593E-3</v>
      </c>
      <c r="B1685"/>
      <c r="C1685"/>
      <c r="D1685"/>
      <c r="E1685" s="1"/>
    </row>
    <row r="1686" spans="1:5" x14ac:dyDescent="0.25">
      <c r="A1686" s="7">
        <v>5.4400155097569895E-3</v>
      </c>
      <c r="B1686"/>
      <c r="C1686"/>
      <c r="D1686"/>
      <c r="E1686" s="1"/>
    </row>
    <row r="1687" spans="1:5" x14ac:dyDescent="0.25">
      <c r="A1687" s="7">
        <v>5.3861539700564252E-3</v>
      </c>
      <c r="B1687"/>
      <c r="C1687"/>
      <c r="D1687"/>
      <c r="E1687" s="1"/>
    </row>
    <row r="1688" spans="1:5" x14ac:dyDescent="0.25">
      <c r="A1688" s="7">
        <v>5.3328257129271533E-3</v>
      </c>
      <c r="B1688"/>
      <c r="C1688"/>
      <c r="D1688"/>
      <c r="E1688" s="1"/>
    </row>
    <row r="1689" spans="1:5" x14ac:dyDescent="0.25">
      <c r="A1689" s="7">
        <v>5.2800254583437161E-3</v>
      </c>
      <c r="B1689"/>
      <c r="C1689"/>
      <c r="D1689"/>
      <c r="E1689" s="1"/>
    </row>
    <row r="1690" spans="1:5" x14ac:dyDescent="0.25">
      <c r="A1690" s="7">
        <v>5.2277479785581343E-3</v>
      </c>
      <c r="B1690"/>
      <c r="C1690"/>
      <c r="D1690"/>
      <c r="E1690" s="1"/>
    </row>
    <row r="1691" spans="1:5" x14ac:dyDescent="0.25">
      <c r="A1691" s="7">
        <v>5.1759880975823114E-3</v>
      </c>
      <c r="B1691"/>
      <c r="C1691"/>
      <c r="D1691"/>
      <c r="E1691" s="1"/>
    </row>
    <row r="1692" spans="1:5" x14ac:dyDescent="0.25">
      <c r="A1692" s="7">
        <v>5.1247406906755558E-3</v>
      </c>
      <c r="B1692"/>
      <c r="C1692"/>
      <c r="D1692"/>
      <c r="E1692" s="1"/>
    </row>
    <row r="1693" spans="1:5" x14ac:dyDescent="0.25">
      <c r="A1693" s="7">
        <v>5.0740006838371843E-3</v>
      </c>
      <c r="B1693"/>
      <c r="C1693"/>
      <c r="D1693"/>
      <c r="E1693" s="1"/>
    </row>
    <row r="1694" spans="1:5" x14ac:dyDescent="0.25">
      <c r="A1694" s="7">
        <v>5.0237630533041429E-3</v>
      </c>
      <c r="B1694"/>
      <c r="C1694"/>
      <c r="D1694"/>
      <c r="E1694" s="1"/>
    </row>
    <row r="1695" spans="1:5" x14ac:dyDescent="0.25">
      <c r="A1695" s="7">
        <v>4.9740228250536068E-3</v>
      </c>
      <c r="B1695"/>
      <c r="C1695"/>
      <c r="D1695"/>
      <c r="E1695" s="1"/>
    </row>
    <row r="1696" spans="1:5" x14ac:dyDescent="0.25">
      <c r="A1696" s="7">
        <v>4.9247750743105015E-3</v>
      </c>
      <c r="B1696"/>
      <c r="C1696"/>
      <c r="D1696"/>
      <c r="E1696" s="1"/>
    </row>
    <row r="1697" spans="1:5" x14ac:dyDescent="0.25">
      <c r="A1697" s="7">
        <v>4.8760149250599025E-3</v>
      </c>
      <c r="B1697"/>
      <c r="C1697"/>
      <c r="D1697"/>
      <c r="E1697" s="1"/>
    </row>
    <row r="1698" spans="1:5" x14ac:dyDescent="0.25">
      <c r="A1698" s="7">
        <v>4.8277375495642599E-3</v>
      </c>
      <c r="B1698"/>
      <c r="C1698"/>
      <c r="D1698"/>
      <c r="E1698" s="1"/>
    </row>
    <row r="1699" spans="1:5" x14ac:dyDescent="0.25">
      <c r="A1699" s="7">
        <v>4.7799381678854062E-3</v>
      </c>
      <c r="B1699"/>
      <c r="C1699"/>
      <c r="D1699"/>
      <c r="E1699" s="1"/>
    </row>
    <row r="1700" spans="1:5" x14ac:dyDescent="0.25">
      <c r="A1700" s="7">
        <v>4.7326120474112934E-3</v>
      </c>
      <c r="B1700"/>
      <c r="C1700"/>
      <c r="D1700"/>
      <c r="E1700" s="1"/>
    </row>
    <row r="1701" spans="1:5" x14ac:dyDescent="0.25">
      <c r="A1701" s="7">
        <v>4.6857545023874193E-3</v>
      </c>
      <c r="B1701"/>
      <c r="C1701"/>
      <c r="D1701"/>
      <c r="E1701" s="1"/>
    </row>
    <row r="1702" spans="1:5" x14ac:dyDescent="0.25">
      <c r="A1702" s="7">
        <v>4.6393608934528902E-3</v>
      </c>
      <c r="B1702"/>
      <c r="C1702"/>
      <c r="D1702"/>
      <c r="E1702" s="1"/>
    </row>
    <row r="1703" spans="1:5" x14ac:dyDescent="0.25">
      <c r="A1703" s="7">
        <v>4.5934266271810791E-3</v>
      </c>
      <c r="B1703"/>
      <c r="C1703"/>
      <c r="D1703"/>
      <c r="E1703" s="1"/>
    </row>
    <row r="1704" spans="1:5" x14ac:dyDescent="0.25">
      <c r="A1704" s="7">
        <v>4.5479471556248308E-3</v>
      </c>
      <c r="B1704"/>
      <c r="C1704"/>
      <c r="D1704"/>
      <c r="E1704" s="1"/>
    </row>
    <row r="1705" spans="1:5" x14ac:dyDescent="0.25">
      <c r="A1705" s="7">
        <v>4.5029179758661695E-3</v>
      </c>
      <c r="B1705"/>
      <c r="C1705"/>
      <c r="D1705"/>
      <c r="E1705" s="1"/>
    </row>
    <row r="1706" spans="1:5" x14ac:dyDescent="0.25">
      <c r="A1706" s="7">
        <v>4.4583346295704648E-3</v>
      </c>
      <c r="B1706"/>
      <c r="C1706"/>
      <c r="D1706"/>
      <c r="E1706" s="1"/>
    </row>
    <row r="1707" spans="1:5" x14ac:dyDescent="0.25">
      <c r="A1707" s="7">
        <v>4.4141927025450143E-3</v>
      </c>
      <c r="B1707"/>
      <c r="C1707"/>
      <c r="D1707"/>
      <c r="E1707" s="1"/>
    </row>
    <row r="1708" spans="1:5" x14ac:dyDescent="0.25">
      <c r="A1708" s="7">
        <v>4.370487824301994E-3</v>
      </c>
      <c r="B1708"/>
      <c r="C1708"/>
      <c r="D1708"/>
      <c r="E1708" s="1"/>
    </row>
    <row r="1709" spans="1:5" x14ac:dyDescent="0.25">
      <c r="A1709" s="7">
        <v>4.3272156676257365E-3</v>
      </c>
      <c r="B1709"/>
      <c r="C1709"/>
      <c r="D1709"/>
      <c r="E1709" s="1"/>
    </row>
    <row r="1710" spans="1:5" x14ac:dyDescent="0.25">
      <c r="A1710" s="7">
        <v>4.2843719481442935E-3</v>
      </c>
      <c r="B1710"/>
      <c r="C1710"/>
      <c r="D1710"/>
      <c r="E1710" s="1"/>
    </row>
    <row r="1711" spans="1:5" x14ac:dyDescent="0.25">
      <c r="A1711" s="7">
        <v>4.241952423905241E-3</v>
      </c>
      <c r="B1711"/>
      <c r="C1711"/>
      <c r="D1711"/>
      <c r="E1711" s="1"/>
    </row>
    <row r="1712" spans="1:5" x14ac:dyDescent="0.25">
      <c r="A1712" s="7">
        <v>4.1999528949556841E-3</v>
      </c>
      <c r="B1712"/>
      <c r="C1712"/>
      <c r="D1712"/>
      <c r="E1712" s="1"/>
    </row>
    <row r="1713" spans="1:5" x14ac:dyDescent="0.25">
      <c r="A1713" s="7">
        <v>4.1583692029264199E-3</v>
      </c>
      <c r="B1713"/>
      <c r="C1713"/>
      <c r="D1713"/>
      <c r="E1713" s="1"/>
    </row>
    <row r="1714" spans="1:5" x14ac:dyDescent="0.25">
      <c r="A1714" s="7">
        <v>4.1171972306202178E-3</v>
      </c>
      <c r="B1714"/>
      <c r="C1714"/>
      <c r="D1714"/>
      <c r="E1714" s="1"/>
    </row>
    <row r="1715" spans="1:5" x14ac:dyDescent="0.25">
      <c r="A1715" s="7">
        <v>4.0764329016041764E-3</v>
      </c>
      <c r="B1715"/>
      <c r="C1715"/>
      <c r="D1715"/>
      <c r="E1715" s="1"/>
    </row>
    <row r="1716" spans="1:5" x14ac:dyDescent="0.25">
      <c r="A1716" s="7">
        <v>4.0360721798061152E-3</v>
      </c>
      <c r="B1716"/>
      <c r="C1716"/>
      <c r="D1716"/>
      <c r="E1716" s="1"/>
    </row>
    <row r="1717" spans="1:5" x14ac:dyDescent="0.25">
      <c r="A1717" s="7">
        <v>3.9961110691149656E-3</v>
      </c>
      <c r="B1717"/>
      <c r="C1717"/>
      <c r="D1717"/>
      <c r="E1717" s="1"/>
    </row>
    <row r="1718" spans="1:5" x14ac:dyDescent="0.25">
      <c r="A1718" s="7">
        <v>3.9565456129851146E-3</v>
      </c>
      <c r="B1718"/>
      <c r="C1718"/>
      <c r="D1718"/>
      <c r="E1718" s="1"/>
    </row>
    <row r="1719" spans="1:5" x14ac:dyDescent="0.25">
      <c r="A1719" s="7">
        <v>3.9173718940446675E-3</v>
      </c>
      <c r="B1719"/>
      <c r="C1719"/>
      <c r="D1719"/>
      <c r="E1719" s="1"/>
    </row>
    <row r="1720" spans="1:5" x14ac:dyDescent="0.25">
      <c r="A1720" s="7">
        <v>3.8785860337075917E-3</v>
      </c>
      <c r="B1720"/>
      <c r="C1720"/>
      <c r="D1720"/>
      <c r="E1720" s="1"/>
    </row>
    <row r="1721" spans="1:5" x14ac:dyDescent="0.25">
      <c r="A1721" s="7">
        <v>3.8401841917896948E-3</v>
      </c>
      <c r="B1721"/>
      <c r="C1721"/>
      <c r="D1721"/>
      <c r="E1721" s="1"/>
    </row>
    <row r="1722" spans="1:5" x14ac:dyDescent="0.25">
      <c r="A1722" s="7">
        <v>3.8021625661284106E-3</v>
      </c>
      <c r="B1722"/>
      <c r="C1722"/>
      <c r="D1722"/>
      <c r="E1722" s="1"/>
    </row>
    <row r="1723" spans="1:5" x14ac:dyDescent="0.25">
      <c r="A1723" s="7">
        <v>3.764517392206347E-3</v>
      </c>
      <c r="B1723"/>
      <c r="C1723"/>
      <c r="D1723"/>
      <c r="E1723" s="1"/>
    </row>
    <row r="1724" spans="1:5" x14ac:dyDescent="0.25">
      <c r="A1724" s="7">
        <v>3.7272449427785616E-3</v>
      </c>
      <c r="B1724"/>
      <c r="C1724"/>
      <c r="D1724"/>
      <c r="E1724" s="1"/>
    </row>
    <row r="1725" spans="1:5" x14ac:dyDescent="0.25">
      <c r="A1725" s="7">
        <v>3.6903415275035263E-3</v>
      </c>
      <c r="B1725"/>
      <c r="C1725"/>
      <c r="D1725"/>
      <c r="E1725" s="1"/>
    </row>
    <row r="1726" spans="1:5" x14ac:dyDescent="0.25">
      <c r="A1726" s="7">
        <v>3.6538034925777487E-3</v>
      </c>
      <c r="B1726"/>
      <c r="C1726"/>
      <c r="D1726"/>
      <c r="E1726" s="1"/>
    </row>
    <row r="1727" spans="1:5" x14ac:dyDescent="0.25">
      <c r="A1727" s="7">
        <v>3.6176272203740085E-3</v>
      </c>
      <c r="B1727"/>
      <c r="C1727"/>
      <c r="D1727"/>
      <c r="E1727" s="1"/>
    </row>
    <row r="1728" spans="1:5" x14ac:dyDescent="0.25">
      <c r="A1728" s="7">
        <v>3.5818091290831769E-3</v>
      </c>
      <c r="B1728"/>
      <c r="C1728"/>
      <c r="D1728"/>
      <c r="E1728" s="1"/>
    </row>
    <row r="1729" spans="1:5" x14ac:dyDescent="0.25">
      <c r="A1729" s="7">
        <v>3.546345672359581E-3</v>
      </c>
      <c r="B1729"/>
      <c r="C1729"/>
      <c r="D1729"/>
      <c r="E1729" s="1"/>
    </row>
    <row r="1730" spans="1:5" x14ac:dyDescent="0.25">
      <c r="A1730" s="7">
        <v>3.511233338969882E-3</v>
      </c>
      <c r="B1730"/>
      <c r="C1730"/>
      <c r="D1730"/>
      <c r="E1730" s="1"/>
    </row>
    <row r="1731" spans="1:5" x14ac:dyDescent="0.25">
      <c r="A1731" s="7">
        <v>3.4764686524454279E-3</v>
      </c>
      <c r="B1731"/>
      <c r="C1731"/>
      <c r="D1731"/>
      <c r="E1731" s="1"/>
    </row>
    <row r="1732" spans="1:5" x14ac:dyDescent="0.25">
      <c r="A1732" s="7">
        <v>3.4420481707380475E-3</v>
      </c>
      <c r="B1732"/>
      <c r="C1732"/>
      <c r="D1732"/>
      <c r="E1732" s="1"/>
    </row>
    <row r="1733" spans="1:5" x14ac:dyDescent="0.25">
      <c r="A1733" s="7">
        <v>3.4079684858792547E-3</v>
      </c>
      <c r="B1733"/>
      <c r="C1733"/>
      <c r="D1733"/>
      <c r="E1733" s="1"/>
    </row>
    <row r="1734" spans="1:5" x14ac:dyDescent="0.25">
      <c r="A1734" s="7">
        <v>3.3742262236428266E-3</v>
      </c>
      <c r="B1734"/>
      <c r="C1734"/>
      <c r="D1734"/>
      <c r="E1734" s="1"/>
    </row>
    <row r="1735" spans="1:5" x14ac:dyDescent="0.25">
      <c r="A1735" s="7">
        <v>3.3408180432107195E-3</v>
      </c>
      <c r="B1735"/>
      <c r="C1735"/>
      <c r="D1735"/>
      <c r="E1735" s="1"/>
    </row>
    <row r="1736" spans="1:5" x14ac:dyDescent="0.25">
      <c r="A1736" s="7">
        <v>3.3077406368422963E-3</v>
      </c>
      <c r="B1736"/>
      <c r="C1736"/>
      <c r="D1736"/>
      <c r="E1736" s="1"/>
    </row>
    <row r="1737" spans="1:5" x14ac:dyDescent="0.25">
      <c r="A1737" s="7">
        <v>3.2749907295468281E-3</v>
      </c>
      <c r="B1737"/>
      <c r="C1737"/>
      <c r="D1737"/>
      <c r="E1737" s="1"/>
    </row>
    <row r="1738" spans="1:5" x14ac:dyDescent="0.25">
      <c r="A1738" s="7">
        <v>3.2425650787592359E-3</v>
      </c>
      <c r="B1738"/>
      <c r="C1738"/>
      <c r="D1738"/>
      <c r="E1738" s="1"/>
    </row>
    <row r="1739" spans="1:5" x14ac:dyDescent="0.25">
      <c r="A1739" s="7">
        <v>3.2104604740190454E-3</v>
      </c>
      <c r="B1739"/>
      <c r="C1739"/>
      <c r="D1739"/>
      <c r="E1739" s="1"/>
    </row>
    <row r="1740" spans="1:5" x14ac:dyDescent="0.25">
      <c r="A1740" s="7">
        <v>3.1786737366525201E-3</v>
      </c>
      <c r="B1740"/>
      <c r="C1740"/>
      <c r="D1740"/>
      <c r="E1740" s="1"/>
    </row>
    <row r="1741" spans="1:5" x14ac:dyDescent="0.25">
      <c r="A1741" s="7">
        <v>3.1472017194579408E-3</v>
      </c>
      <c r="B1741"/>
      <c r="C1741"/>
      <c r="D1741"/>
      <c r="E1741" s="1"/>
    </row>
    <row r="1742" spans="1:5" x14ac:dyDescent="0.25">
      <c r="A1742" s="7">
        <v>3.1160413063940008E-3</v>
      </c>
      <c r="B1742"/>
      <c r="C1742"/>
      <c r="D1742"/>
      <c r="E1742" s="1"/>
    </row>
    <row r="1743" spans="1:5" x14ac:dyDescent="0.25">
      <c r="A1743" s="7">
        <v>3.0851894122712878E-3</v>
      </c>
      <c r="B1743"/>
      <c r="C1743"/>
      <c r="D1743"/>
      <c r="E1743" s="1"/>
    </row>
    <row r="1744" spans="1:5" x14ac:dyDescent="0.25">
      <c r="A1744" s="7">
        <v>3.0546429824468194E-3</v>
      </c>
      <c r="B1744"/>
      <c r="C1744"/>
      <c r="D1744"/>
      <c r="E1744" s="1"/>
    </row>
    <row r="1745" spans="1:5" x14ac:dyDescent="0.25">
      <c r="A1745" s="7">
        <v>3.0243989925216033E-3</v>
      </c>
      <c r="B1745"/>
      <c r="C1745"/>
      <c r="D1745"/>
      <c r="E1745" s="1"/>
    </row>
    <row r="1746" spans="1:5" x14ac:dyDescent="0.25">
      <c r="A1746" s="7">
        <v>2.9944544480411915E-3</v>
      </c>
      <c r="B1746"/>
      <c r="C1746"/>
      <c r="D1746"/>
      <c r="E1746" s="1"/>
    </row>
    <row r="1747" spans="1:5" x14ac:dyDescent="0.25">
      <c r="A1747" s="7">
        <v>2.9648063841991993E-3</v>
      </c>
      <c r="B1747"/>
      <c r="C1747"/>
      <c r="D1747"/>
      <c r="E1747" s="1"/>
    </row>
    <row r="1748" spans="1:5" x14ac:dyDescent="0.25">
      <c r="A1748" s="7">
        <v>2.9354518655437616E-3</v>
      </c>
      <c r="B1748"/>
      <c r="C1748"/>
      <c r="D1748"/>
      <c r="E1748" s="1"/>
    </row>
    <row r="1749" spans="1:5" x14ac:dyDescent="0.25">
      <c r="A1749" s="7">
        <v>2.9063879856868926E-3</v>
      </c>
      <c r="B1749"/>
      <c r="C1749"/>
      <c r="D1749"/>
      <c r="E1749" s="1"/>
    </row>
    <row r="1750" spans="1:5" x14ac:dyDescent="0.25">
      <c r="A1750" s="7">
        <v>2.8776118670167253E-3</v>
      </c>
      <c r="B1750"/>
      <c r="C1750"/>
      <c r="D1750"/>
      <c r="E1750" s="1"/>
    </row>
    <row r="1751" spans="1:5" x14ac:dyDescent="0.25">
      <c r="A1751" s="7">
        <v>2.8491206604125993E-3</v>
      </c>
      <c r="B1751"/>
      <c r="C1751"/>
      <c r="D1751"/>
      <c r="E1751" s="1"/>
    </row>
    <row r="1752" spans="1:5" x14ac:dyDescent="0.25">
      <c r="A1752" s="7">
        <v>2.8209115449629694E-3</v>
      </c>
      <c r="B1752"/>
      <c r="C1752"/>
      <c r="D1752"/>
      <c r="E1752" s="1"/>
    </row>
    <row r="1753" spans="1:5" x14ac:dyDescent="0.25">
      <c r="A1753" s="7">
        <v>2.7929817276861084E-3</v>
      </c>
      <c r="B1753"/>
      <c r="C1753"/>
      <c r="D1753"/>
      <c r="E1753" s="1"/>
    </row>
    <row r="1754" spans="1:5" x14ac:dyDescent="0.25">
      <c r="A1754" s="7">
        <v>2.7653284432535728E-3</v>
      </c>
      <c r="B1754"/>
      <c r="C1754"/>
      <c r="D1754"/>
      <c r="E1754" s="1"/>
    </row>
    <row r="1755" spans="1:5" x14ac:dyDescent="0.25">
      <c r="A1755" s="7">
        <v>2.7379489537164088E-3</v>
      </c>
      <c r="B1755"/>
      <c r="C1755"/>
      <c r="D1755"/>
      <c r="E1755" s="1"/>
    </row>
    <row r="1756" spans="1:5" x14ac:dyDescent="0.25">
      <c r="A1756" s="7">
        <v>2.7108405482340683E-3</v>
      </c>
      <c r="B1756"/>
      <c r="C1756"/>
      <c r="D1756"/>
      <c r="E1756" s="1"/>
    </row>
    <row r="1757" spans="1:5" x14ac:dyDescent="0.25">
      <c r="A1757" s="7">
        <v>2.6840005428060082E-3</v>
      </c>
      <c r="B1757"/>
      <c r="C1757"/>
      <c r="D1757"/>
      <c r="E1757" s="1"/>
    </row>
    <row r="1758" spans="1:5" x14ac:dyDescent="0.25">
      <c r="A1758" s="7">
        <v>2.6574262800059486E-3</v>
      </c>
      <c r="B1758"/>
      <c r="C1758"/>
      <c r="D1758"/>
      <c r="E1758" s="1"/>
    </row>
    <row r="1759" spans="1:5" x14ac:dyDescent="0.25">
      <c r="A1759" s="7">
        <v>2.6311151287187612E-3</v>
      </c>
      <c r="B1759"/>
      <c r="C1759"/>
      <c r="D1759"/>
      <c r="E1759" s="1"/>
    </row>
    <row r="1760" spans="1:5" x14ac:dyDescent="0.25">
      <c r="A1760" s="7">
        <v>2.6050644838799615E-3</v>
      </c>
      <c r="B1760"/>
      <c r="C1760"/>
      <c r="D1760"/>
      <c r="E1760" s="1"/>
    </row>
    <row r="1761" spans="1:5" x14ac:dyDescent="0.25">
      <c r="A1761" s="7">
        <v>2.5792717662177838E-3</v>
      </c>
      <c r="B1761"/>
      <c r="C1761"/>
      <c r="D1761"/>
      <c r="E1761" s="1"/>
    </row>
    <row r="1762" spans="1:5" x14ac:dyDescent="0.25">
      <c r="A1762" s="7">
        <v>2.5537344219978058E-3</v>
      </c>
      <c r="B1762"/>
      <c r="C1762"/>
      <c r="D1762"/>
      <c r="E1762" s="1"/>
    </row>
    <row r="1763" spans="1:5" x14ac:dyDescent="0.25">
      <c r="A1763" s="7">
        <v>2.5284499227701046E-3</v>
      </c>
      <c r="B1763"/>
      <c r="C1763"/>
      <c r="D1763"/>
      <c r="E1763" s="1"/>
    </row>
    <row r="1764" spans="1:5" x14ac:dyDescent="0.25">
      <c r="A1764" s="7">
        <v>2.5034157651189154E-3</v>
      </c>
      <c r="B1764"/>
      <c r="C1764"/>
      <c r="D1764"/>
      <c r="E1764" s="1"/>
    </row>
    <row r="1765" spans="1:5" x14ac:dyDescent="0.25">
      <c r="A1765" s="7">
        <v>2.4786294704147679E-3</v>
      </c>
      <c r="B1765"/>
      <c r="C1765"/>
      <c r="D1765"/>
      <c r="E1765" s="1"/>
    </row>
    <row r="1766" spans="1:5" x14ac:dyDescent="0.25">
      <c r="A1766" s="7">
        <v>2.4540885845690773E-3</v>
      </c>
      <c r="B1766"/>
      <c r="C1766"/>
      <c r="D1766"/>
      <c r="E1766" s="1"/>
    </row>
    <row r="1767" spans="1:5" x14ac:dyDescent="0.25">
      <c r="A1767" s="7">
        <v>2.4297906777911655E-3</v>
      </c>
      <c r="B1767"/>
      <c r="C1767"/>
      <c r="D1767"/>
      <c r="E1767" s="1"/>
    </row>
    <row r="1768" spans="1:5" x14ac:dyDescent="0.25">
      <c r="A1768" s="7">
        <v>2.4057333443476886E-3</v>
      </c>
      <c r="B1768"/>
      <c r="C1768"/>
      <c r="D1768"/>
      <c r="E1768" s="1"/>
    </row>
    <row r="1769" spans="1:5" x14ac:dyDescent="0.25">
      <c r="A1769" s="7">
        <v>2.3819142023244443E-3</v>
      </c>
      <c r="B1769"/>
      <c r="C1769"/>
      <c r="D1769"/>
      <c r="E1769" s="1"/>
    </row>
    <row r="1770" spans="1:5" x14ac:dyDescent="0.25">
      <c r="A1770" s="7">
        <v>2.3583308933905387E-3</v>
      </c>
      <c r="B1770"/>
      <c r="C1770"/>
      <c r="D1770"/>
      <c r="E1770" s="1"/>
    </row>
    <row r="1771" spans="1:5" x14ac:dyDescent="0.25">
      <c r="A1771" s="7">
        <v>2.3349810825648897E-3</v>
      </c>
      <c r="B1771"/>
      <c r="C1771"/>
      <c r="D1771"/>
      <c r="E1771" s="1"/>
    </row>
    <row r="1772" spans="1:5" x14ac:dyDescent="0.25">
      <c r="A1772" s="7">
        <v>2.3118624579850392E-3</v>
      </c>
      <c r="B1772"/>
      <c r="C1772"/>
      <c r="D1772"/>
      <c r="E1772" s="1"/>
    </row>
    <row r="1773" spans="1:5" x14ac:dyDescent="0.25">
      <c r="A1773" s="7">
        <v>2.2889727306782568E-3</v>
      </c>
      <c r="B1773"/>
      <c r="C1773"/>
      <c r="D1773"/>
      <c r="E1773" s="1"/>
    </row>
    <row r="1774" spans="1:5" x14ac:dyDescent="0.25">
      <c r="A1774" s="7">
        <v>2.2663096343349077E-3</v>
      </c>
      <c r="B1774"/>
      <c r="C1774"/>
      <c r="D1774"/>
      <c r="E1774" s="1"/>
    </row>
    <row r="1775" spans="1:5" x14ac:dyDescent="0.25">
      <c r="A1775" s="7">
        <v>2.2438709250840669E-3</v>
      </c>
      <c r="B1775"/>
      <c r="C1775"/>
      <c r="D1775"/>
      <c r="E1775" s="1"/>
    </row>
    <row r="1776" spans="1:5" x14ac:dyDescent="0.25">
      <c r="A1776" s="7">
        <v>2.2216543812713535E-3</v>
      </c>
      <c r="B1776"/>
      <c r="C1776"/>
      <c r="D1776"/>
      <c r="E1776" s="1"/>
    </row>
    <row r="1777" spans="1:5" x14ac:dyDescent="0.25">
      <c r="A1777" s="7">
        <v>2.1996578032389639E-3</v>
      </c>
      <c r="B1777"/>
      <c r="C1777"/>
      <c r="D1777"/>
      <c r="E1777" s="1"/>
    </row>
    <row r="1778" spans="1:5" x14ac:dyDescent="0.25">
      <c r="A1778" s="7">
        <v>2.1778790131078852E-3</v>
      </c>
      <c r="B1778"/>
      <c r="C1778"/>
      <c r="D1778"/>
      <c r="E1778" s="1"/>
    </row>
    <row r="1779" spans="1:5" x14ac:dyDescent="0.25">
      <c r="A1779" s="7">
        <v>2.1563158545622628E-3</v>
      </c>
      <c r="B1779"/>
      <c r="C1779"/>
      <c r="D1779"/>
      <c r="E1779" s="1"/>
    </row>
    <row r="1780" spans="1:5" x14ac:dyDescent="0.25">
      <c r="A1780" s="7">
        <v>2.1349661926359036E-3</v>
      </c>
      <c r="B1780"/>
      <c r="C1780"/>
      <c r="D1780"/>
      <c r="E1780" s="1"/>
    </row>
    <row r="1781" spans="1:5" x14ac:dyDescent="0.25">
      <c r="A1781" s="7">
        <v>2.1138279135008947E-3</v>
      </c>
      <c r="B1781"/>
      <c r="C1781"/>
      <c r="D1781"/>
      <c r="E1781" s="1"/>
    </row>
    <row r="1782" spans="1:5" x14ac:dyDescent="0.25">
      <c r="A1782" s="7">
        <v>2.0928989242583115E-3</v>
      </c>
      <c r="B1782"/>
      <c r="C1782"/>
      <c r="D1782"/>
      <c r="E1782" s="1"/>
    </row>
    <row r="1783" spans="1:5" x14ac:dyDescent="0.25">
      <c r="A1783" s="7">
        <v>2.0721771527310016E-3</v>
      </c>
      <c r="B1783"/>
      <c r="C1783"/>
      <c r="D1783"/>
      <c r="E1783" s="1"/>
    </row>
    <row r="1784" spans="1:5" x14ac:dyDescent="0.25">
      <c r="A1784" s="7">
        <v>2.0516605472584173E-3</v>
      </c>
      <c r="B1784"/>
      <c r="C1784"/>
      <c r="D1784"/>
      <c r="E1784" s="1"/>
    </row>
    <row r="1785" spans="1:5" x14ac:dyDescent="0.25">
      <c r="A1785" s="7">
        <v>2.0313470764934823E-3</v>
      </c>
      <c r="B1785"/>
      <c r="C1785"/>
      <c r="D1785"/>
      <c r="E1785" s="1"/>
    </row>
    <row r="1786" spans="1:5" x14ac:dyDescent="0.25">
      <c r="A1786" s="7">
        <v>2.0112347292014676E-3</v>
      </c>
      <c r="B1786"/>
      <c r="C1786"/>
      <c r="D1786"/>
      <c r="E1786" s="1"/>
    </row>
    <row r="1787" spans="1:5" x14ac:dyDescent="0.25">
      <c r="A1787" s="7">
        <v>1.9913215140608589E-3</v>
      </c>
      <c r="B1787"/>
      <c r="C1787"/>
      <c r="D1787"/>
      <c r="E1787" s="1"/>
    </row>
    <row r="1788" spans="1:5" x14ac:dyDescent="0.25">
      <c r="A1788" s="7">
        <v>1.9716054594661968E-3</v>
      </c>
      <c r="B1788"/>
      <c r="C1788"/>
      <c r="D1788"/>
      <c r="E1788" s="1"/>
    </row>
    <row r="1789" spans="1:5" x14ac:dyDescent="0.25">
      <c r="A1789" s="7">
        <v>1.9520846133328682E-3</v>
      </c>
      <c r="B1789"/>
      <c r="C1789"/>
      <c r="D1789"/>
      <c r="E1789" s="1"/>
    </row>
    <row r="1790" spans="1:5" x14ac:dyDescent="0.25">
      <c r="A1790" s="7">
        <v>1.9327570429038298E-3</v>
      </c>
      <c r="B1790"/>
      <c r="C1790"/>
      <c r="D1790"/>
      <c r="E1790" s="1"/>
    </row>
    <row r="1791" spans="1:5" x14ac:dyDescent="0.25">
      <c r="A1791" s="7">
        <v>1.9136208345582474E-3</v>
      </c>
      <c r="B1791"/>
      <c r="C1791"/>
      <c r="D1791"/>
      <c r="E1791" s="1"/>
    </row>
    <row r="1792" spans="1:5" x14ac:dyDescent="0.25">
      <c r="A1792" s="7">
        <v>1.8946740936220271E-3</v>
      </c>
      <c r="B1792"/>
      <c r="C1792"/>
      <c r="D1792"/>
      <c r="E1792" s="1"/>
    </row>
    <row r="1793" spans="1:5" x14ac:dyDescent="0.25">
      <c r="A1793" s="7">
        <v>1.8759149441802249E-3</v>
      </c>
      <c r="B1793"/>
      <c r="C1793"/>
      <c r="D1793"/>
      <c r="E1793" s="1"/>
    </row>
    <row r="1794" spans="1:5" x14ac:dyDescent="0.25">
      <c r="A1794" s="7">
        <v>1.8573415288913118E-3</v>
      </c>
      <c r="B1794"/>
      <c r="C1794"/>
      <c r="D1794"/>
      <c r="E1794" s="1"/>
    </row>
    <row r="1795" spans="1:5" x14ac:dyDescent="0.25">
      <c r="A1795" s="7">
        <v>1.8389520088032791E-3</v>
      </c>
      <c r="B1795"/>
      <c r="C1795"/>
      <c r="D1795"/>
      <c r="E1795" s="1"/>
    </row>
    <row r="1796" spans="1:5" x14ac:dyDescent="0.25">
      <c r="A1796" s="7">
        <v>1.8207445631715634E-3</v>
      </c>
    </row>
    <row r="1797" spans="1:5" x14ac:dyDescent="0.25">
      <c r="A1797" s="7">
        <v>1.8027173892787756E-3</v>
      </c>
    </row>
    <row r="1798" spans="1:5" x14ac:dyDescent="0.25">
      <c r="A1798" s="7">
        <v>1.7848687022562135E-3</v>
      </c>
    </row>
    <row r="1799" spans="1:5" x14ac:dyDescent="0.25">
      <c r="A1799" s="7">
        <v>1.767196734907142E-3</v>
      </c>
    </row>
    <row r="1800" spans="1:5" x14ac:dyDescent="0.25">
      <c r="A1800" s="7">
        <v>1.7496997375318238E-3</v>
      </c>
    </row>
    <row r="1801" spans="1:5" x14ac:dyDescent="0.25">
      <c r="A1801" s="7">
        <v>1.7323759777542809E-3</v>
      </c>
    </row>
    <row r="1802" spans="1:5" x14ac:dyDescent="0.25">
      <c r="A1802" s="7">
        <v>1.7152237403507732E-3</v>
      </c>
    </row>
    <row r="1803" spans="1:5" x14ac:dyDescent="0.25">
      <c r="A1803" s="7">
        <v>1.6982413270799734E-3</v>
      </c>
    </row>
    <row r="1804" spans="1:5" x14ac:dyDescent="0.25">
      <c r="A1804" s="7">
        <v>1.6814270565148252E-3</v>
      </c>
    </row>
    <row r="1805" spans="1:5" x14ac:dyDescent="0.25">
      <c r="A1805" s="7">
        <v>1.6647792638760646E-3</v>
      </c>
    </row>
    <row r="1806" spans="1:5" x14ac:dyDescent="0.25">
      <c r="A1806" s="7">
        <v>1.6482963008673907E-3</v>
      </c>
    </row>
    <row r="1807" spans="1:5" x14ac:dyDescent="0.25">
      <c r="A1807" s="7">
        <v>1.631976535512268E-3</v>
      </c>
    </row>
    <row r="1808" spans="1:5" x14ac:dyDescent="0.25">
      <c r="A1808" s="7">
        <v>1.6158183519923445E-3</v>
      </c>
    </row>
    <row r="1809" spans="1:1" x14ac:dyDescent="0.25">
      <c r="A1809" s="7">
        <v>1.5998201504874698E-3</v>
      </c>
    </row>
    <row r="1810" spans="1:1" x14ac:dyDescent="0.25">
      <c r="A1810" s="7">
        <v>1.5839803470172969E-3</v>
      </c>
    </row>
    <row r="1811" spans="1:1" x14ac:dyDescent="0.25">
      <c r="A1811" s="7">
        <v>1.5682973732844524E-3</v>
      </c>
    </row>
    <row r="1812" spans="1:1" x14ac:dyDescent="0.25">
      <c r="A1812" s="7">
        <v>1.5527696765192597E-3</v>
      </c>
    </row>
    <row r="1813" spans="1:1" x14ac:dyDescent="0.25">
      <c r="A1813" s="7">
        <v>1.5373957193259998E-3</v>
      </c>
    </row>
    <row r="1814" spans="1:1" x14ac:dyDescent="0.25">
      <c r="A1814" s="7">
        <v>1.5221739795306928E-3</v>
      </c>
    </row>
    <row r="1815" spans="1:1" x14ac:dyDescent="0.25">
      <c r="A1815" s="7">
        <v>1.507102950030389E-3</v>
      </c>
    </row>
    <row r="1816" spans="1:1" x14ac:dyDescent="0.25">
      <c r="A1816" s="7">
        <v>1.4921811386439494E-3</v>
      </c>
    </row>
    <row r="1817" spans="1:1" x14ac:dyDescent="0.25">
      <c r="A1817" s="7">
        <v>1.4774070679643063E-3</v>
      </c>
    </row>
    <row r="1818" spans="1:1" x14ac:dyDescent="0.25">
      <c r="A1818" s="7">
        <v>1.4627792752121844E-3</v>
      </c>
    </row>
    <row r="1819" spans="1:1" x14ac:dyDescent="0.25">
      <c r="A1819" s="7">
        <v>1.4482963120912716E-3</v>
      </c>
    </row>
    <row r="1820" spans="1:1" x14ac:dyDescent="0.25">
      <c r="A1820" s="7">
        <v>1.4339567446448234E-3</v>
      </c>
    </row>
    <row r="1821" spans="1:1" x14ac:dyDescent="0.25">
      <c r="A1821" s="7">
        <v>1.4197591531136865E-3</v>
      </c>
    </row>
    <row r="1822" spans="1:1" x14ac:dyDescent="0.25">
      <c r="A1822" s="7">
        <v>1.4057021317957293E-3</v>
      </c>
    </row>
    <row r="1823" spans="1:1" x14ac:dyDescent="0.25">
      <c r="A1823" s="7">
        <v>1.3917842889066626E-3</v>
      </c>
    </row>
    <row r="1824" spans="1:1" x14ac:dyDescent="0.25">
      <c r="A1824" s="7">
        <v>1.37800424644224E-3</v>
      </c>
    </row>
    <row r="1825" spans="1:1" x14ac:dyDescent="0.25">
      <c r="A1825" s="7">
        <v>1.3643606400418219E-3</v>
      </c>
    </row>
    <row r="1826" spans="1:1" x14ac:dyDescent="0.25">
      <c r="A1826" s="7">
        <v>1.350852118853289E-3</v>
      </c>
    </row>
    <row r="1827" spans="1:1" x14ac:dyDescent="0.25">
      <c r="A1827" s="7">
        <v>1.3374773453992961E-3</v>
      </c>
    </row>
    <row r="1828" spans="1:1" x14ac:dyDescent="0.25">
      <c r="A1828" s="7">
        <v>1.3242349954448475E-3</v>
      </c>
    </row>
    <row r="1829" spans="1:1" x14ac:dyDescent="0.25">
      <c r="A1829" s="7">
        <v>1.3111237578661856E-3</v>
      </c>
    </row>
    <row r="1830" spans="1:1" x14ac:dyDescent="0.25">
      <c r="A1830" s="7">
        <v>1.2981423345209758E-3</v>
      </c>
    </row>
    <row r="1831" spans="1:1" x14ac:dyDescent="0.25">
      <c r="A1831" s="7">
        <v>1.2852894401197779E-3</v>
      </c>
    </row>
    <row r="1832" spans="1:1" x14ac:dyDescent="0.25">
      <c r="A1832" s="7">
        <v>1.2725638020987899E-3</v>
      </c>
    </row>
    <row r="1833" spans="1:1" x14ac:dyDescent="0.25">
      <c r="A1833" s="7">
        <v>1.2599641604938514E-3</v>
      </c>
    </row>
    <row r="1834" spans="1:1" x14ac:dyDescent="0.25">
      <c r="A1834" s="7">
        <v>1.2474892678156944E-3</v>
      </c>
    </row>
    <row r="1835" spans="1:1" x14ac:dyDescent="0.25">
      <c r="A1835" s="7">
        <v>1.2351378889264302E-3</v>
      </c>
    </row>
    <row r="1836" spans="1:1" x14ac:dyDescent="0.25">
      <c r="A1836" s="7">
        <v>1.2229088009172576E-3</v>
      </c>
    </row>
    <row r="1837" spans="1:1" x14ac:dyDescent="0.25">
      <c r="A1837" s="7">
        <v>1.2108007929873838E-3</v>
      </c>
    </row>
    <row r="1838" spans="1:1" x14ac:dyDescent="0.25">
      <c r="A1838" s="7">
        <v>1.1988126663241424E-3</v>
      </c>
    </row>
    <row r="1839" spans="1:1" x14ac:dyDescent="0.25">
      <c r="A1839" s="7">
        <v>1.1869432339842994E-3</v>
      </c>
    </row>
    <row r="1840" spans="1:1" x14ac:dyDescent="0.25">
      <c r="A1840" s="7">
        <v>1.1751913207765339E-3</v>
      </c>
    </row>
    <row r="1841" spans="1:1" x14ac:dyDescent="0.25">
      <c r="A1841" s="7">
        <v>1.1635557631450831E-3</v>
      </c>
    </row>
    <row r="1842" spans="1:1" x14ac:dyDescent="0.25">
      <c r="A1842" s="7">
        <v>1.1520354090545377E-3</v>
      </c>
    </row>
    <row r="1843" spans="1:1" x14ac:dyDescent="0.25">
      <c r="A1843" s="7">
        <v>1.1406291178757799E-3</v>
      </c>
    </row>
    <row r="1844" spans="1:1" x14ac:dyDescent="0.25">
      <c r="A1844" s="7">
        <v>1.1293357602730494E-3</v>
      </c>
    </row>
    <row r="1845" spans="1:1" x14ac:dyDescent="0.25">
      <c r="A1845" s="7">
        <v>1.118154218092128E-3</v>
      </c>
    </row>
    <row r="1846" spans="1:1" x14ac:dyDescent="0.25">
      <c r="A1846" s="7">
        <v>1.1070833842496317E-3</v>
      </c>
    </row>
    <row r="1847" spans="1:1" x14ac:dyDescent="0.25">
      <c r="A1847" s="7">
        <v>1.0961221626233978E-3</v>
      </c>
    </row>
    <row r="1848" spans="1:1" x14ac:dyDescent="0.25">
      <c r="A1848" s="7">
        <v>1.0852694679439581E-3</v>
      </c>
    </row>
    <row r="1849" spans="1:1" x14ac:dyDescent="0.25">
      <c r="A1849" s="7">
        <v>1.0745242256870872E-3</v>
      </c>
    </row>
    <row r="1850" spans="1:1" x14ac:dyDescent="0.25">
      <c r="A1850" s="7">
        <v>1.0638853719674131E-3</v>
      </c>
    </row>
    <row r="1851" spans="1:1" x14ac:dyDescent="0.25">
      <c r="A1851" s="7">
        <v>1.0533518534330823E-3</v>
      </c>
    </row>
    <row r="1852" spans="1:1" x14ac:dyDescent="0.25">
      <c r="A1852" s="7">
        <v>1.0429226271614677E-3</v>
      </c>
    </row>
    <row r="1853" spans="1:1" x14ac:dyDescent="0.25">
      <c r="A1853" s="7">
        <v>1.0325966605559086E-3</v>
      </c>
    </row>
    <row r="1854" spans="1:1" x14ac:dyDescent="0.25">
      <c r="A1854" s="7">
        <v>1.0223729312434737E-3</v>
      </c>
    </row>
    <row r="1855" spans="1:1" x14ac:dyDescent="0.25">
      <c r="A1855" s="7">
        <v>1.0122504269737364E-3</v>
      </c>
    </row>
    <row r="1856" spans="1:1" x14ac:dyDescent="0.25">
      <c r="A1856" s="7">
        <v>1.002228145518551E-3</v>
      </c>
    </row>
    <row r="1857" spans="1:1" x14ac:dyDescent="0.25">
      <c r="A1857" s="7">
        <v>9.9230509457282263E-4</v>
      </c>
    </row>
    <row r="1858" spans="1:1" x14ac:dyDescent="0.25">
      <c r="A1858" s="7">
        <v>9.8248029165626011E-4</v>
      </c>
    </row>
    <row r="1859" spans="1:1" x14ac:dyDescent="0.25">
      <c r="A1859" s="7">
        <v>9.727527640160991E-4</v>
      </c>
    </row>
    <row r="1860" spans="1:1" x14ac:dyDescent="0.25">
      <c r="A1860" s="7">
        <v>9.6312154853079115E-4</v>
      </c>
    </row>
    <row r="1861" spans="1:1" x14ac:dyDescent="0.25">
      <c r="A1861" s="7">
        <v>9.5358569161464474E-4</v>
      </c>
    </row>
    <row r="1862" spans="1:1" x14ac:dyDescent="0.25">
      <c r="A1862" s="7">
        <v>9.4414424912341065E-4</v>
      </c>
    </row>
    <row r="1863" spans="1:1" x14ac:dyDescent="0.25">
      <c r="A1863" s="7">
        <v>9.347962862608026E-4</v>
      </c>
    </row>
    <row r="1864" spans="1:1" x14ac:dyDescent="0.25">
      <c r="A1864" s="7">
        <v>9.2554087748594315E-4</v>
      </c>
    </row>
    <row r="1865" spans="1:1" x14ac:dyDescent="0.25">
      <c r="A1865" s="29"/>
    </row>
  </sheetData>
  <conditionalFormatting sqref="C136">
    <cfRule type="cellIs" dxfId="94" priority="3" operator="equal">
      <formula>$U$1</formula>
    </cfRule>
    <cfRule type="cellIs" dxfId="93" priority="4" operator="equal">
      <formula>$S$1</formula>
    </cfRule>
  </conditionalFormatting>
  <conditionalFormatting sqref="D136">
    <cfRule type="cellIs" dxfId="92" priority="1" operator="equal">
      <formula>$S$1</formula>
    </cfRule>
    <cfRule type="cellIs" dxfId="91" priority="2" operator="equal">
      <formula>$U$1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00B0F0"/>
  </sheetPr>
  <dimension ref="A1:AZZ936"/>
  <sheetViews>
    <sheetView topLeftCell="A896" zoomScale="90" zoomScaleNormal="90" workbookViewId="0">
      <pane xSplit="4" topLeftCell="E1" activePane="topRight" state="frozen"/>
      <selection activeCell="A109" sqref="A109"/>
      <selection pane="topRight" activeCell="DZ633" sqref="DZ633"/>
    </sheetView>
  </sheetViews>
  <sheetFormatPr defaultRowHeight="15" x14ac:dyDescent="0.25"/>
  <cols>
    <col min="1" max="1" width="10.7109375" style="17" customWidth="1"/>
    <col min="2" max="5" width="10.7109375" style="1" hidden="1" customWidth="1"/>
    <col min="6" max="6" width="10.7109375" style="27" hidden="1" customWidth="1"/>
    <col min="7" max="1378" width="3" style="27" customWidth="1"/>
  </cols>
  <sheetData>
    <row r="1" spans="1:21" x14ac:dyDescent="0.25">
      <c r="A1" s="15"/>
      <c r="B1"/>
      <c r="C1"/>
      <c r="D1" s="16"/>
      <c r="E1" s="16"/>
      <c r="S1" s="27" t="s">
        <v>7</v>
      </c>
      <c r="U1" s="27" t="s">
        <v>8</v>
      </c>
    </row>
    <row r="2" spans="1:21" x14ac:dyDescent="0.25">
      <c r="A2" s="15"/>
      <c r="B2" s="16"/>
      <c r="C2" s="16" t="s">
        <v>11</v>
      </c>
      <c r="D2" s="16" t="s">
        <v>12</v>
      </c>
      <c r="E2" s="16"/>
    </row>
    <row r="3" spans="1:21" x14ac:dyDescent="0.25">
      <c r="A3" s="15"/>
      <c r="B3" s="16"/>
      <c r="C3" s="15"/>
      <c r="D3" s="15"/>
      <c r="E3" s="16"/>
    </row>
    <row r="4" spans="1:21" x14ac:dyDescent="0.25">
      <c r="E4" s="16"/>
    </row>
    <row r="5" spans="1:21" x14ac:dyDescent="0.25">
      <c r="A5" s="7">
        <v>101227.83894314201</v>
      </c>
      <c r="E5" s="16"/>
    </row>
    <row r="6" spans="1:21" x14ac:dyDescent="0.25">
      <c r="A6" s="7">
        <v>99242.979356021577</v>
      </c>
      <c r="E6" s="16"/>
    </row>
    <row r="7" spans="1:21" x14ac:dyDescent="0.25">
      <c r="A7" s="7">
        <v>97297.038584334878</v>
      </c>
      <c r="E7" s="16"/>
    </row>
    <row r="8" spans="1:21" x14ac:dyDescent="0.25">
      <c r="A8" s="7">
        <v>95389.253514053795</v>
      </c>
    </row>
    <row r="9" spans="1:21" x14ac:dyDescent="0.25">
      <c r="A9" s="7">
        <v>93518.87599417039</v>
      </c>
    </row>
    <row r="10" spans="1:21" x14ac:dyDescent="0.25">
      <c r="A10" s="7">
        <v>91685.172543304303</v>
      </c>
    </row>
    <row r="11" spans="1:21" x14ac:dyDescent="0.25">
      <c r="A11" s="7">
        <v>89887.424062063044</v>
      </c>
    </row>
    <row r="12" spans="1:21" x14ac:dyDescent="0.25">
      <c r="A12" s="7">
        <v>88124.925551042194</v>
      </c>
    </row>
    <row r="13" spans="1:21" x14ac:dyDescent="0.25">
      <c r="A13" s="7">
        <v>86396.985834355088</v>
      </c>
    </row>
    <row r="14" spans="1:21" x14ac:dyDescent="0.25">
      <c r="A14" s="7">
        <v>84702.927288583422</v>
      </c>
    </row>
    <row r="15" spans="1:21" x14ac:dyDescent="0.25">
      <c r="A15" s="7">
        <v>83042.08557704257</v>
      </c>
    </row>
    <row r="16" spans="1:21" x14ac:dyDescent="0.25">
      <c r="A16" s="7">
        <v>81413.809389257425</v>
      </c>
    </row>
    <row r="17" spans="1:5" x14ac:dyDescent="0.25">
      <c r="A17" s="7">
        <v>79817.460185546501</v>
      </c>
      <c r="C17" s="1" t="s">
        <v>15</v>
      </c>
      <c r="E17"/>
    </row>
    <row r="18" spans="1:5" x14ac:dyDescent="0.25">
      <c r="A18" s="7">
        <v>78252.411946614215</v>
      </c>
      <c r="C18" s="7">
        <v>0.41019680250993112</v>
      </c>
      <c r="D18"/>
      <c r="E18"/>
    </row>
    <row r="19" spans="1:5" x14ac:dyDescent="0.25">
      <c r="A19" s="7">
        <v>76718.050928053155</v>
      </c>
      <c r="E19"/>
    </row>
    <row r="20" spans="1:5" x14ac:dyDescent="0.25">
      <c r="A20" s="7">
        <v>75213.775419659956</v>
      </c>
      <c r="C20" s="1" t="s">
        <v>11</v>
      </c>
      <c r="D20" s="1" t="s">
        <v>12</v>
      </c>
      <c r="E20"/>
    </row>
    <row r="21" spans="1:5" x14ac:dyDescent="0.25">
      <c r="A21" s="7">
        <v>73738.995509470551</v>
      </c>
      <c r="C21" s="7">
        <v>0.35910999999999998</v>
      </c>
      <c r="D21" s="7">
        <v>0.32918999999999998</v>
      </c>
      <c r="E21"/>
    </row>
    <row r="22" spans="1:5" x14ac:dyDescent="0.25">
      <c r="A22" s="7">
        <v>72293.132852422103</v>
      </c>
      <c r="E22"/>
    </row>
    <row r="23" spans="1:5" x14ac:dyDescent="0.25">
      <c r="A23" s="7">
        <v>70875.620443551074</v>
      </c>
      <c r="C23" s="1" t="s">
        <v>13</v>
      </c>
      <c r="E23"/>
    </row>
    <row r="24" spans="1:5" x14ac:dyDescent="0.25">
      <c r="A24" s="7">
        <v>69485.902395638303</v>
      </c>
      <c r="C24" s="1" t="s">
        <v>8</v>
      </c>
      <c r="E24"/>
    </row>
    <row r="25" spans="1:5" x14ac:dyDescent="0.25">
      <c r="A25" s="7">
        <v>68123.433721214024</v>
      </c>
      <c r="E25"/>
    </row>
    <row r="26" spans="1:5" x14ac:dyDescent="0.25">
      <c r="A26" s="7">
        <v>66787.680118837277</v>
      </c>
      <c r="C26" s="1" t="s">
        <v>14</v>
      </c>
      <c r="E26"/>
    </row>
    <row r="27" spans="1:5" x14ac:dyDescent="0.25">
      <c r="A27" s="7">
        <v>65478.117763565962</v>
      </c>
      <c r="C27" s="1" t="str">
        <f>IF(C24=$S$1,IF(D21&lt;(C18*0.980392156862745),$S$1,IF(C21&gt;(C18*1.061208),$U$1,"")),"")</f>
        <v/>
      </c>
      <c r="D27" s="1" t="str">
        <f>IF(C24=$U$1,IF(C21&gt;(C18*1.02),$U$1,IF(D21&lt;(C18*0.942322334547044),$S$1,"")),"")</f>
        <v>O</v>
      </c>
      <c r="E27"/>
    </row>
    <row r="28" spans="1:5" x14ac:dyDescent="0.25">
      <c r="A28" s="7">
        <v>64194.233101535254</v>
      </c>
      <c r="E28"/>
    </row>
    <row r="29" spans="1:5" x14ac:dyDescent="0.25">
      <c r="A29" s="7">
        <v>62935.522648563972</v>
      </c>
      <c r="E29"/>
    </row>
    <row r="30" spans="1:5" x14ac:dyDescent="0.25">
      <c r="A30" s="7">
        <v>61701.492792709774</v>
      </c>
      <c r="E30"/>
    </row>
    <row r="31" spans="1:5" x14ac:dyDescent="0.25">
      <c r="A31" s="7">
        <v>60491.659600695857</v>
      </c>
      <c r="E31"/>
    </row>
    <row r="32" spans="1:5" x14ac:dyDescent="0.25">
      <c r="A32" s="7">
        <v>59305.548628133191</v>
      </c>
      <c r="E32"/>
    </row>
    <row r="33" spans="1:5" x14ac:dyDescent="0.25">
      <c r="A33" s="7">
        <v>58142.694733463912</v>
      </c>
      <c r="E33"/>
    </row>
    <row r="34" spans="1:5" x14ac:dyDescent="0.25">
      <c r="A34" s="7">
        <v>57002.641895552857</v>
      </c>
      <c r="E34"/>
    </row>
    <row r="35" spans="1:5" x14ac:dyDescent="0.25">
      <c r="A35" s="7">
        <v>55884.943034855743</v>
      </c>
      <c r="E35"/>
    </row>
    <row r="36" spans="1:5" x14ac:dyDescent="0.25">
      <c r="A36" s="7">
        <v>54789.159838093867</v>
      </c>
      <c r="E36"/>
    </row>
    <row r="37" spans="1:5" x14ac:dyDescent="0.25">
      <c r="A37" s="7">
        <v>53714.862586366537</v>
      </c>
      <c r="E37"/>
    </row>
    <row r="38" spans="1:5" x14ac:dyDescent="0.25">
      <c r="A38" s="7">
        <v>52661.62998663386</v>
      </c>
      <c r="E38"/>
    </row>
    <row r="39" spans="1:5" x14ac:dyDescent="0.25">
      <c r="A39" s="7">
        <v>51629.049006503781</v>
      </c>
      <c r="E39"/>
    </row>
    <row r="40" spans="1:5" x14ac:dyDescent="0.25">
      <c r="A40" s="7">
        <v>50616.71471225861</v>
      </c>
      <c r="E40"/>
    </row>
    <row r="41" spans="1:5" x14ac:dyDescent="0.25">
      <c r="A41" s="7">
        <v>49624.230110057462</v>
      </c>
      <c r="E41"/>
    </row>
    <row r="42" spans="1:5" x14ac:dyDescent="0.25">
      <c r="A42" s="7">
        <v>48651.205990252412</v>
      </c>
      <c r="E42"/>
    </row>
    <row r="43" spans="1:5" x14ac:dyDescent="0.25">
      <c r="A43" s="7">
        <v>47697.260774757269</v>
      </c>
      <c r="E43"/>
    </row>
    <row r="44" spans="1:5" x14ac:dyDescent="0.25">
      <c r="A44" s="7">
        <v>46762.020367409088</v>
      </c>
      <c r="E44"/>
    </row>
    <row r="45" spans="1:5" x14ac:dyDescent="0.25">
      <c r="A45" s="7">
        <v>45845.118007263809</v>
      </c>
      <c r="C45" s="1" t="s">
        <v>15</v>
      </c>
      <c r="E45"/>
    </row>
    <row r="46" spans="1:5" x14ac:dyDescent="0.25">
      <c r="A46" s="7">
        <v>44946.194124768437</v>
      </c>
      <c r="C46" s="7">
        <v>0.16172762090481685</v>
      </c>
      <c r="D46"/>
      <c r="E46"/>
    </row>
    <row r="47" spans="1:5" x14ac:dyDescent="0.25">
      <c r="A47" s="7">
        <v>44064.89620075337</v>
      </c>
      <c r="E47"/>
    </row>
    <row r="48" spans="1:5" x14ac:dyDescent="0.25">
      <c r="A48" s="7">
        <v>43200.878628189581</v>
      </c>
      <c r="C48" s="1" t="s">
        <v>11</v>
      </c>
      <c r="D48" s="1" t="s">
        <v>12</v>
      </c>
      <c r="E48"/>
    </row>
    <row r="49" spans="1:5" x14ac:dyDescent="0.25">
      <c r="A49" s="7">
        <v>42353.802576656453</v>
      </c>
      <c r="C49">
        <v>0.11</v>
      </c>
      <c r="D49">
        <v>0.1</v>
      </c>
      <c r="E49"/>
    </row>
    <row r="50" spans="1:5" x14ac:dyDescent="0.25">
      <c r="A50" s="7">
        <v>41523.335859467108</v>
      </c>
      <c r="E50"/>
    </row>
    <row r="51" spans="1:5" x14ac:dyDescent="0.25">
      <c r="A51" s="7">
        <v>40709.152803399127</v>
      </c>
      <c r="C51" s="1" t="s">
        <v>13</v>
      </c>
      <c r="E51"/>
    </row>
    <row r="52" spans="1:5" x14ac:dyDescent="0.25">
      <c r="A52" s="7">
        <v>39910.934120979538</v>
      </c>
      <c r="C52" s="1" t="s">
        <v>8</v>
      </c>
      <c r="E52"/>
    </row>
    <row r="53" spans="1:5" x14ac:dyDescent="0.25">
      <c r="A53" s="7">
        <v>39128.366785274055</v>
      </c>
      <c r="E53"/>
    </row>
    <row r="54" spans="1:5" x14ac:dyDescent="0.25">
      <c r="A54" s="7">
        <v>38361.143907131423</v>
      </c>
      <c r="C54" s="1" t="s">
        <v>14</v>
      </c>
      <c r="E54"/>
    </row>
    <row r="55" spans="1:5" x14ac:dyDescent="0.25">
      <c r="A55" s="7">
        <v>37608.964614834731</v>
      </c>
      <c r="C55" s="1" t="str">
        <f>IF(C52=$S$1,IF(D49&lt;(C46*0.980392156862745),$S$1,IF(C49&gt;(C46*1.061208),$U$1,"")),"")</f>
        <v/>
      </c>
      <c r="D55" s="1" t="str">
        <f>IF(C52=$U$1,IF(C49&gt;(C46*1.02),$U$1,IF(D49&lt;(C46*0.942322334547044),$S$1,"")),"")</f>
        <v>O</v>
      </c>
      <c r="E55"/>
    </row>
    <row r="56" spans="1:5" x14ac:dyDescent="0.25">
      <c r="A56" s="7">
        <v>36871.533936112479</v>
      </c>
      <c r="E56"/>
    </row>
    <row r="57" spans="1:5" x14ac:dyDescent="0.25">
      <c r="A57" s="7">
        <v>36148.562682463213</v>
      </c>
      <c r="E57"/>
    </row>
    <row r="58" spans="1:5" x14ac:dyDescent="0.25">
      <c r="A58" s="7">
        <v>35439.767335748249</v>
      </c>
      <c r="E58"/>
    </row>
    <row r="59" spans="1:5" x14ac:dyDescent="0.25">
      <c r="A59" s="7">
        <v>34744.869937008087</v>
      </c>
      <c r="E59"/>
    </row>
    <row r="60" spans="1:5" x14ac:dyDescent="0.25">
      <c r="A60" s="7">
        <v>34063.597977458907</v>
      </c>
      <c r="E60"/>
    </row>
    <row r="61" spans="1:5" x14ac:dyDescent="0.25">
      <c r="A61" s="7">
        <v>33395.684291626378</v>
      </c>
      <c r="E61"/>
    </row>
    <row r="62" spans="1:5" x14ac:dyDescent="0.25">
      <c r="A62" s="7">
        <v>32740.866952574877</v>
      </c>
      <c r="E62"/>
    </row>
    <row r="63" spans="1:5" x14ac:dyDescent="0.25">
      <c r="A63" s="7">
        <v>32098.889169191054</v>
      </c>
      <c r="E63"/>
    </row>
    <row r="64" spans="1:5" x14ac:dyDescent="0.25">
      <c r="A64" s="7">
        <v>31469.499185481425</v>
      </c>
      <c r="E64"/>
    </row>
    <row r="65" spans="1:5" x14ac:dyDescent="0.25">
      <c r="A65" s="7">
        <v>30852.450181844535</v>
      </c>
      <c r="E65"/>
    </row>
    <row r="66" spans="1:5" x14ac:dyDescent="0.25">
      <c r="A66" s="7">
        <v>30247.500178278955</v>
      </c>
      <c r="E66"/>
    </row>
    <row r="67" spans="1:5" x14ac:dyDescent="0.25">
      <c r="A67" s="7">
        <v>29654.411939489171</v>
      </c>
      <c r="E67"/>
    </row>
    <row r="68" spans="1:5" x14ac:dyDescent="0.25">
      <c r="A68" s="7">
        <v>29072.952881852128</v>
      </c>
      <c r="E68"/>
    </row>
    <row r="69" spans="1:5" x14ac:dyDescent="0.25">
      <c r="A69" s="7">
        <v>28502.89498220797</v>
      </c>
      <c r="E69"/>
    </row>
    <row r="70" spans="1:5" x14ac:dyDescent="0.25">
      <c r="A70" s="7">
        <v>27944.014688439187</v>
      </c>
      <c r="E70"/>
    </row>
    <row r="71" spans="1:5" x14ac:dyDescent="0.25">
      <c r="A71" s="7">
        <v>27396.092831803126</v>
      </c>
      <c r="E71"/>
    </row>
    <row r="72" spans="1:5" x14ac:dyDescent="0.25">
      <c r="A72" s="7">
        <v>26858.914540983456</v>
      </c>
      <c r="E72"/>
    </row>
    <row r="73" spans="1:5" x14ac:dyDescent="0.25">
      <c r="A73" s="7">
        <v>26332.269157826919</v>
      </c>
      <c r="E73"/>
    </row>
    <row r="74" spans="1:5" x14ac:dyDescent="0.25">
      <c r="A74" s="7">
        <v>25815.950154732272</v>
      </c>
      <c r="E74"/>
    </row>
    <row r="75" spans="1:5" x14ac:dyDescent="0.25">
      <c r="A75" s="7">
        <v>25309.75505365909</v>
      </c>
      <c r="E75"/>
    </row>
    <row r="76" spans="1:5" x14ac:dyDescent="0.25">
      <c r="A76" s="7">
        <v>24813.485346724596</v>
      </c>
      <c r="E76"/>
    </row>
    <row r="77" spans="1:5" x14ac:dyDescent="0.25">
      <c r="A77" s="7">
        <v>24326.946418357446</v>
      </c>
      <c r="E77"/>
    </row>
    <row r="78" spans="1:5" x14ac:dyDescent="0.25">
      <c r="A78" s="7">
        <v>23849.947468977887</v>
      </c>
      <c r="E78"/>
    </row>
    <row r="79" spans="1:5" x14ac:dyDescent="0.25">
      <c r="A79" s="7">
        <v>23382.3014401744</v>
      </c>
      <c r="C79" s="1" t="s">
        <v>15</v>
      </c>
      <c r="E79"/>
    </row>
    <row r="80" spans="1:5" x14ac:dyDescent="0.25">
      <c r="A80" s="7">
        <v>22923.824941347451</v>
      </c>
      <c r="C80" s="7">
        <v>9.6645076037824032E-2</v>
      </c>
      <c r="D80"/>
      <c r="E80"/>
    </row>
    <row r="81" spans="1:5" x14ac:dyDescent="0.25">
      <c r="A81" s="7">
        <v>22474.338177791618</v>
      </c>
      <c r="E81"/>
    </row>
    <row r="82" spans="1:5" x14ac:dyDescent="0.25">
      <c r="A82" s="7">
        <v>22033.664880187862</v>
      </c>
      <c r="C82" s="1" t="s">
        <v>11</v>
      </c>
      <c r="D82" s="1" t="s">
        <v>12</v>
      </c>
      <c r="E82"/>
    </row>
    <row r="83" spans="1:5" x14ac:dyDescent="0.25">
      <c r="A83" s="7">
        <v>21601.632235478297</v>
      </c>
      <c r="C83">
        <v>0.11</v>
      </c>
      <c r="D83">
        <v>9.5000000000000001E-2</v>
      </c>
      <c r="E83"/>
    </row>
    <row r="84" spans="1:5" x14ac:dyDescent="0.25">
      <c r="A84" s="7">
        <v>21178.070819096371</v>
      </c>
      <c r="E84"/>
    </row>
    <row r="85" spans="1:5" x14ac:dyDescent="0.25">
      <c r="A85" s="7">
        <v>20762.814528525854</v>
      </c>
      <c r="C85" s="1" t="s">
        <v>13</v>
      </c>
      <c r="E85"/>
    </row>
    <row r="86" spans="1:5" x14ac:dyDescent="0.25">
      <c r="A86" s="7">
        <v>20355.700518162601</v>
      </c>
      <c r="C86" s="1" t="s">
        <v>7</v>
      </c>
      <c r="E86"/>
    </row>
    <row r="87" spans="1:5" x14ac:dyDescent="0.25">
      <c r="A87" s="7">
        <v>19956.56913545353</v>
      </c>
      <c r="E87"/>
    </row>
    <row r="88" spans="1:5" x14ac:dyDescent="0.25">
      <c r="A88" s="7">
        <v>19565.263858287773</v>
      </c>
      <c r="C88" s="1" t="s">
        <v>14</v>
      </c>
      <c r="E88"/>
    </row>
    <row r="89" spans="1:5" x14ac:dyDescent="0.25">
      <c r="A89" s="7">
        <v>19181.631233615462</v>
      </c>
      <c r="C89" s="1" t="str">
        <f>IF(C86=$S$1,IF(D83&lt;(C80*0.980392156862745),$S$1,IF(C83&gt;(C80*1.061208),$U$1,"")),"")</f>
        <v>X</v>
      </c>
      <c r="D89" s="1" t="str">
        <f>IF(C86=$U$1,IF(C83&gt;(C80*1.02),$U$1,IF(D83&lt;(C80*0.942322334547044),$S$1,"")),"")</f>
        <v/>
      </c>
      <c r="E89"/>
    </row>
    <row r="90" spans="1:5" x14ac:dyDescent="0.25">
      <c r="A90" s="7">
        <v>18805.520817270062</v>
      </c>
      <c r="E90"/>
    </row>
    <row r="91" spans="1:5" x14ac:dyDescent="0.25">
      <c r="A91" s="7">
        <v>18436.785114970648</v>
      </c>
      <c r="E91"/>
    </row>
    <row r="92" spans="1:5" x14ac:dyDescent="0.25">
      <c r="A92" s="7">
        <v>18075.279524481026</v>
      </c>
      <c r="E92"/>
    </row>
    <row r="93" spans="1:5" x14ac:dyDescent="0.25">
      <c r="A93" s="7">
        <v>17720.862278902965</v>
      </c>
      <c r="E93"/>
    </row>
    <row r="94" spans="1:5" x14ac:dyDescent="0.25">
      <c r="A94" s="7">
        <v>17373.39439108134</v>
      </c>
      <c r="E94"/>
    </row>
    <row r="95" spans="1:5" x14ac:dyDescent="0.25">
      <c r="A95" s="7">
        <v>17032.739599099354</v>
      </c>
      <c r="E95"/>
    </row>
    <row r="96" spans="1:5" x14ac:dyDescent="0.25">
      <c r="A96" s="7">
        <v>16698.764312842504</v>
      </c>
      <c r="E96"/>
    </row>
    <row r="97" spans="1:5" x14ac:dyDescent="0.25">
      <c r="A97" s="7">
        <v>16371.337561610297</v>
      </c>
      <c r="E97"/>
    </row>
    <row r="98" spans="1:5" x14ac:dyDescent="0.25">
      <c r="A98" s="7">
        <v>16050.330942755192</v>
      </c>
      <c r="E98"/>
    </row>
    <row r="99" spans="1:5" x14ac:dyDescent="0.25">
      <c r="A99" s="7">
        <v>15735.61857132862</v>
      </c>
      <c r="E99"/>
    </row>
    <row r="100" spans="1:5" x14ac:dyDescent="0.25">
      <c r="A100" s="7">
        <v>15427.077030714332</v>
      </c>
      <c r="E100"/>
    </row>
    <row r="101" spans="1:5" x14ac:dyDescent="0.25">
      <c r="A101" s="7">
        <v>15124.585324229736</v>
      </c>
      <c r="E101"/>
    </row>
    <row r="102" spans="1:5" x14ac:dyDescent="0.25">
      <c r="A102" s="7">
        <v>14828.024827676212</v>
      </c>
      <c r="E102"/>
    </row>
    <row r="103" spans="1:5" x14ac:dyDescent="0.25">
      <c r="A103" s="7">
        <v>14537.279242819815</v>
      </c>
      <c r="E103"/>
    </row>
    <row r="104" spans="1:5" x14ac:dyDescent="0.25">
      <c r="A104" s="7">
        <v>14252.234551784133</v>
      </c>
      <c r="E104"/>
    </row>
    <row r="105" spans="1:5" x14ac:dyDescent="0.25">
      <c r="A105" s="7">
        <v>13972.778972337384</v>
      </c>
      <c r="E105"/>
    </row>
    <row r="106" spans="1:5" x14ac:dyDescent="0.25">
      <c r="A106" s="7">
        <v>13698.802914056259</v>
      </c>
      <c r="E106"/>
    </row>
    <row r="107" spans="1:5" x14ac:dyDescent="0.25">
      <c r="A107" s="7">
        <v>13430.198935349274</v>
      </c>
      <c r="E107"/>
    </row>
    <row r="108" spans="1:5" x14ac:dyDescent="0.25">
      <c r="A108" s="7">
        <v>13166.861701322818</v>
      </c>
      <c r="E108"/>
    </row>
    <row r="109" spans="1:5" x14ac:dyDescent="0.25">
      <c r="A109" s="7">
        <v>12908.687942473351</v>
      </c>
      <c r="E109"/>
    </row>
    <row r="110" spans="1:5" x14ac:dyDescent="0.25">
      <c r="A110" s="7">
        <v>12655.57641418956</v>
      </c>
      <c r="E110"/>
    </row>
    <row r="111" spans="1:5" x14ac:dyDescent="0.25">
      <c r="A111" s="7">
        <v>12407.427857048588</v>
      </c>
      <c r="C111" s="1" t="str">
        <f>ADDRESS(C121-1,1,1,1)</f>
        <v>$A$632</v>
      </c>
      <c r="D111" s="1" t="str">
        <f>ADDRESS(C121-1,D121,1,1)</f>
        <v>$DZ$632</v>
      </c>
      <c r="E111"/>
    </row>
    <row r="112" spans="1:5" x14ac:dyDescent="0.25">
      <c r="A112" s="7">
        <v>12164.144957890772</v>
      </c>
      <c r="C112" s="1" t="str">
        <f>ADDRESS(C121,1,1,1)</f>
        <v>$A$633</v>
      </c>
      <c r="D112" s="1" t="str">
        <f>ADDRESS(C121,D121-1,1,1)</f>
        <v>$DY$633</v>
      </c>
      <c r="E112"/>
    </row>
    <row r="113" spans="1:5" x14ac:dyDescent="0.25">
      <c r="A113" s="7">
        <v>11925.63231165762</v>
      </c>
      <c r="C113" s="1" t="str">
        <f>ADDRESS(C121+1,1,1,1)</f>
        <v>$A$634</v>
      </c>
      <c r="D113" s="1" t="str">
        <f>ADDRESS(C121-1,D121+1,1,1)</f>
        <v>$EA$632</v>
      </c>
    </row>
    <row r="114" spans="1:5" x14ac:dyDescent="0.25">
      <c r="A114" s="7">
        <v>11691.796383978059</v>
      </c>
      <c r="C114" s="1" t="str">
        <f>ADDRESS(C121,D121,1,1)</f>
        <v>$DZ$633</v>
      </c>
      <c r="D114" s="1" t="str">
        <f>ADDRESS(C121+1,D121+1,1,1)</f>
        <v>$EA$634</v>
      </c>
    </row>
    <row r="115" spans="1:5" x14ac:dyDescent="0.25">
      <c r="A115" s="7">
        <v>11462.545474488292</v>
      </c>
      <c r="C115" s="1" t="str">
        <f>ADDRESS(C121+1,D121,1,1)</f>
        <v>$DZ$634</v>
      </c>
    </row>
    <row r="116" spans="1:5" x14ac:dyDescent="0.25">
      <c r="A116" s="7">
        <v>11237.789680870874</v>
      </c>
      <c r="C116" s="1">
        <f>C117-1</f>
        <v>632</v>
      </c>
    </row>
    <row r="117" spans="1:5" x14ac:dyDescent="0.25">
      <c r="A117" s="7">
        <v>11017.440863598895</v>
      </c>
      <c r="C117" s="1">
        <f>C121</f>
        <v>633</v>
      </c>
      <c r="D117" s="1">
        <f>D121</f>
        <v>130</v>
      </c>
    </row>
    <row r="118" spans="1:5" x14ac:dyDescent="0.25">
      <c r="A118" s="7">
        <v>10801.412611371465</v>
      </c>
      <c r="C118" s="1">
        <f>C117+1</f>
        <v>634</v>
      </c>
      <c r="D118" s="1">
        <f>D117+1</f>
        <v>131</v>
      </c>
    </row>
    <row r="119" spans="1:5" x14ac:dyDescent="0.25">
      <c r="A119" s="7">
        <v>10589.620207226926</v>
      </c>
    </row>
    <row r="120" spans="1:5" x14ac:dyDescent="0.25">
      <c r="A120" s="7">
        <v>10381.980595320516</v>
      </c>
      <c r="C120" s="1" t="s">
        <v>9</v>
      </c>
    </row>
    <row r="121" spans="1:5" x14ac:dyDescent="0.25">
      <c r="A121" s="7">
        <v>10178.412348353448</v>
      </c>
      <c r="C121" s="18">
        <v>633</v>
      </c>
      <c r="D121" s="19">
        <v>130</v>
      </c>
      <c r="E121" s="19"/>
    </row>
    <row r="122" spans="1:5" x14ac:dyDescent="0.25">
      <c r="A122" s="7">
        <v>9978.8356356406348</v>
      </c>
      <c r="C122" s="1" t="str">
        <f>INDEX(1:1048576,C117,D117)</f>
        <v>O</v>
      </c>
    </row>
    <row r="123" spans="1:5" x14ac:dyDescent="0.25">
      <c r="A123" s="7">
        <v>9783.1721918045441</v>
      </c>
      <c r="C123" s="1" t="str">
        <f>"R"&amp;C121</f>
        <v>R633</v>
      </c>
      <c r="D123" s="1" t="str">
        <f>"C"&amp;D121</f>
        <v>C130</v>
      </c>
    </row>
    <row r="124" spans="1:5" x14ac:dyDescent="0.25">
      <c r="A124" s="7">
        <v>9591.3452860828857</v>
      </c>
      <c r="C124" s="1">
        <f>SUM(C130:D130)</f>
        <v>0</v>
      </c>
      <c r="D124" s="1">
        <f>IF(C124=0,0,1)</f>
        <v>0</v>
      </c>
    </row>
    <row r="125" spans="1:5" x14ac:dyDescent="0.25">
      <c r="A125" s="7">
        <v>9403.2796922381222</v>
      </c>
    </row>
    <row r="126" spans="1:5" x14ac:dyDescent="0.25">
      <c r="A126" s="7">
        <v>9218.9016590569827</v>
      </c>
      <c r="C126" s="1" t="s">
        <v>10</v>
      </c>
    </row>
    <row r="127" spans="1:5" x14ac:dyDescent="0.25">
      <c r="A127" s="7">
        <v>9038.1388814284146</v>
      </c>
      <c r="C127" s="7">
        <v>0.40215372795091286</v>
      </c>
      <c r="D127"/>
    </row>
    <row r="128" spans="1:5" x14ac:dyDescent="0.25">
      <c r="A128" s="7">
        <v>8860.920471988642</v>
      </c>
    </row>
    <row r="129" spans="1:5" x14ac:dyDescent="0.25">
      <c r="A129" s="7">
        <v>8687.1769333221982</v>
      </c>
      <c r="C129" s="1" t="s">
        <v>11</v>
      </c>
      <c r="D129" s="1" t="s">
        <v>12</v>
      </c>
      <c r="E129"/>
    </row>
    <row r="130" spans="1:5" x14ac:dyDescent="0.25">
      <c r="A130" s="7">
        <v>8516.8401307080367</v>
      </c>
      <c r="C130" s="6"/>
      <c r="D130" s="6"/>
      <c r="E130"/>
    </row>
    <row r="131" spans="1:5" x14ac:dyDescent="0.25">
      <c r="A131" s="7">
        <v>8349.8432654000353</v>
      </c>
      <c r="E131"/>
    </row>
    <row r="132" spans="1:5" x14ac:dyDescent="0.25">
      <c r="A132" s="7">
        <v>8186.1208484314075</v>
      </c>
      <c r="C132" s="1" t="s">
        <v>13</v>
      </c>
      <c r="E132"/>
    </row>
    <row r="133" spans="1:5" x14ac:dyDescent="0.25">
      <c r="A133" s="7">
        <v>8025.6086749327524</v>
      </c>
      <c r="C133" s="1" t="str">
        <f>C122</f>
        <v>O</v>
      </c>
      <c r="E133"/>
    </row>
    <row r="134" spans="1:5" x14ac:dyDescent="0.25">
      <c r="A134" s="7">
        <v>7868.2437989536784</v>
      </c>
      <c r="E134"/>
    </row>
    <row r="135" spans="1:5" x14ac:dyDescent="0.25">
      <c r="A135" s="7">
        <v>7713.9645087781155</v>
      </c>
      <c r="C135" s="1" t="s">
        <v>14</v>
      </c>
      <c r="E135"/>
    </row>
    <row r="136" spans="1:5" x14ac:dyDescent="0.25">
      <c r="A136" s="7">
        <v>7562.7103027236426</v>
      </c>
      <c r="C136" s="1" t="str">
        <f>IF(C133=$S$1,IF(D130&lt;(C127*0.980392156862745),$S$1,IF(C130&gt;(C127*1.061208),$U$1,"")),"")</f>
        <v>O</v>
      </c>
      <c r="D136" s="1" t="str">
        <f>IF(C133=$U$1,IF(C130&gt;(C127*1.02),$U$1,IF(D130&lt;(C127*0.942322334547044),$S$1,"")),"")</f>
        <v/>
      </c>
      <c r="E136"/>
    </row>
    <row r="137" spans="1:5" x14ac:dyDescent="0.25">
      <c r="A137" s="7">
        <v>7414.4218654153356</v>
      </c>
      <c r="E137"/>
    </row>
    <row r="138" spans="1:5" x14ac:dyDescent="0.25">
      <c r="A138" s="7">
        <v>7269.041044524839</v>
      </c>
      <c r="C138" s="1">
        <f>IF(AND(C136="",D136=""),0,IF(AND(C133="X",D136="X"),1,IF(AND(C133="O",C136="O"),2,(IF(AND(C133="X",D136="O"),3,4)))))</f>
        <v>2</v>
      </c>
      <c r="E138"/>
    </row>
    <row r="139" spans="1:5" x14ac:dyDescent="0.25">
      <c r="A139" s="7">
        <v>7126.5108279655287</v>
      </c>
      <c r="E139"/>
    </row>
    <row r="140" spans="1:5" x14ac:dyDescent="0.25">
      <c r="A140" s="7">
        <v>6986.7753215348321</v>
      </c>
      <c r="C140" s="1">
        <v>0</v>
      </c>
      <c r="E140"/>
    </row>
    <row r="141" spans="1:5" x14ac:dyDescent="0.25">
      <c r="A141" s="7">
        <v>6849.7797269949333</v>
      </c>
      <c r="C141" s="1">
        <v>1</v>
      </c>
      <c r="E141"/>
    </row>
    <row r="142" spans="1:5" x14ac:dyDescent="0.25">
      <c r="A142" s="7">
        <v>6715.4703205832675</v>
      </c>
      <c r="C142" s="1">
        <v>2</v>
      </c>
      <c r="E142"/>
    </row>
    <row r="143" spans="1:5" x14ac:dyDescent="0.25">
      <c r="A143" s="7">
        <v>6583.7944319443795</v>
      </c>
      <c r="C143" s="1">
        <v>3</v>
      </c>
      <c r="E143"/>
    </row>
    <row r="144" spans="1:5" x14ac:dyDescent="0.25">
      <c r="A144" s="7">
        <v>6454.700423474882</v>
      </c>
      <c r="C144" s="1">
        <v>4</v>
      </c>
      <c r="E144"/>
    </row>
    <row r="145" spans="1:5" x14ac:dyDescent="0.25">
      <c r="A145" s="7">
        <v>6328.1376700734136</v>
      </c>
      <c r="E145"/>
    </row>
    <row r="146" spans="1:5" x14ac:dyDescent="0.25">
      <c r="A146" s="7">
        <v>6204.0565392876606</v>
      </c>
      <c r="E146"/>
    </row>
    <row r="147" spans="1:5" x14ac:dyDescent="0.25">
      <c r="A147" s="7">
        <v>6082.4083718506472</v>
      </c>
      <c r="E147"/>
    </row>
    <row r="148" spans="1:5" x14ac:dyDescent="0.25">
      <c r="A148" s="7">
        <v>5963.1454625986735</v>
      </c>
      <c r="E148"/>
    </row>
    <row r="149" spans="1:5" x14ac:dyDescent="0.25">
      <c r="A149" s="7">
        <v>5846.2210417634051</v>
      </c>
      <c r="E149"/>
    </row>
    <row r="150" spans="1:5" x14ac:dyDescent="0.25">
      <c r="A150" s="7">
        <v>5731.5892566307894</v>
      </c>
      <c r="E150"/>
    </row>
    <row r="151" spans="1:5" x14ac:dyDescent="0.25">
      <c r="A151" s="7">
        <v>5619.2051535595974</v>
      </c>
      <c r="E151"/>
    </row>
    <row r="152" spans="1:5" x14ac:dyDescent="0.25">
      <c r="A152" s="7">
        <v>5509.0246603525466</v>
      </c>
      <c r="E152"/>
    </row>
    <row r="153" spans="1:5" x14ac:dyDescent="0.25">
      <c r="A153" s="7">
        <v>5401.004568973085</v>
      </c>
      <c r="E153"/>
    </row>
    <row r="154" spans="1:5" x14ac:dyDescent="0.25">
      <c r="A154" s="7">
        <v>5295.1025186010638</v>
      </c>
      <c r="C154" s="1" t="s">
        <v>15</v>
      </c>
      <c r="E154"/>
    </row>
    <row r="155" spans="1:5" x14ac:dyDescent="0.25">
      <c r="A155" s="7">
        <v>5191.2769790206503</v>
      </c>
      <c r="C155" s="7">
        <v>3.2521478785124451E-2</v>
      </c>
      <c r="D155"/>
      <c r="E155"/>
    </row>
    <row r="156" spans="1:5" x14ac:dyDescent="0.25">
      <c r="A156" s="7">
        <v>5089.4872343339712</v>
      </c>
      <c r="E156"/>
    </row>
    <row r="157" spans="1:5" x14ac:dyDescent="0.25">
      <c r="A157" s="7">
        <v>4989.693366994089</v>
      </c>
      <c r="C157" s="1" t="s">
        <v>11</v>
      </c>
      <c r="D157" s="1" t="s">
        <v>12</v>
      </c>
      <c r="E157"/>
    </row>
    <row r="158" spans="1:5" x14ac:dyDescent="0.25">
      <c r="A158" s="7">
        <v>4891.8562421510678</v>
      </c>
      <c r="C158">
        <v>3.6999999999999998E-2</v>
      </c>
      <c r="D158">
        <v>3.3000000000000002E-2</v>
      </c>
      <c r="E158"/>
    </row>
    <row r="159" spans="1:5" x14ac:dyDescent="0.25">
      <c r="A159" s="7">
        <v>4795.9374923049681</v>
      </c>
      <c r="E159"/>
    </row>
    <row r="160" spans="1:5" x14ac:dyDescent="0.25">
      <c r="A160" s="7">
        <v>4701.8995022597728</v>
      </c>
      <c r="C160" s="1" t="s">
        <v>13</v>
      </c>
      <c r="E160"/>
    </row>
    <row r="161" spans="1:5" x14ac:dyDescent="0.25">
      <c r="A161" s="7">
        <v>4609.7053943723258</v>
      </c>
      <c r="C161" s="1" t="s">
        <v>8</v>
      </c>
      <c r="E161"/>
    </row>
    <row r="162" spans="1:5" x14ac:dyDescent="0.25">
      <c r="A162" s="7">
        <v>4519.3190140905153</v>
      </c>
      <c r="E162"/>
    </row>
    <row r="163" spans="1:5" x14ac:dyDescent="0.25">
      <c r="A163" s="7">
        <v>4430.7049157750153</v>
      </c>
      <c r="C163" s="1" t="s">
        <v>14</v>
      </c>
      <c r="E163"/>
    </row>
    <row r="164" spans="1:5" x14ac:dyDescent="0.25">
      <c r="A164" s="7">
        <v>4343.8283487990348</v>
      </c>
      <c r="C164" s="1" t="str">
        <f>IF(C161=$S$1,IF(D158&lt;(C155*0.980392156862745),$S$1,IF(C158&gt;(C155*1.061208),$U$1,"")),"")</f>
        <v/>
      </c>
      <c r="D164" s="1" t="str">
        <f>IF(C161=$U$1,IF(C158&gt;(C155*1.02),$U$1,IF(D158&lt;(C155*0.942322334547044),$S$1,"")),"")</f>
        <v>X</v>
      </c>
      <c r="E164"/>
    </row>
    <row r="165" spans="1:5" x14ac:dyDescent="0.25">
      <c r="A165" s="7">
        <v>4258.6552439206225</v>
      </c>
      <c r="E165"/>
    </row>
    <row r="166" spans="1:5" x14ac:dyDescent="0.25">
      <c r="A166" s="7">
        <v>4175.1521999221786</v>
      </c>
      <c r="E166"/>
    </row>
    <row r="167" spans="1:5" x14ac:dyDescent="0.25">
      <c r="A167" s="7">
        <v>4093.2864705119396</v>
      </c>
      <c r="E167"/>
    </row>
    <row r="168" spans="1:5" x14ac:dyDescent="0.25">
      <c r="A168" s="7">
        <v>4013.0259514822937</v>
      </c>
      <c r="E168"/>
    </row>
    <row r="169" spans="1:5" x14ac:dyDescent="0.25">
      <c r="A169" s="7">
        <v>3934.3391681198959</v>
      </c>
      <c r="E169"/>
    </row>
    <row r="170" spans="1:5" x14ac:dyDescent="0.25">
      <c r="A170" s="7">
        <v>3857.1952628626432</v>
      </c>
      <c r="E170"/>
    </row>
    <row r="171" spans="1:5" x14ac:dyDescent="0.25">
      <c r="A171" s="7">
        <v>3781.5639831986696</v>
      </c>
      <c r="E171"/>
    </row>
    <row r="172" spans="1:5" x14ac:dyDescent="0.25">
      <c r="A172" s="7">
        <v>3707.4156698026172</v>
      </c>
      <c r="E172"/>
    </row>
    <row r="173" spans="1:5" x14ac:dyDescent="0.25">
      <c r="A173" s="7">
        <v>3634.7212449045264</v>
      </c>
      <c r="E173"/>
    </row>
    <row r="174" spans="1:5" x14ac:dyDescent="0.25">
      <c r="A174" s="7">
        <v>3563.4522008867907</v>
      </c>
      <c r="E174"/>
    </row>
    <row r="175" spans="1:5" x14ac:dyDescent="0.25">
      <c r="A175" s="7">
        <v>3493.5805891046966</v>
      </c>
      <c r="E175"/>
    </row>
    <row r="176" spans="1:5" x14ac:dyDescent="0.25">
      <c r="A176" s="7">
        <v>3425.0790089261732</v>
      </c>
      <c r="E176"/>
    </row>
    <row r="177" spans="1:5" x14ac:dyDescent="0.25">
      <c r="A177" s="7">
        <v>3357.9205969864443</v>
      </c>
      <c r="B177"/>
      <c r="C177"/>
      <c r="D177"/>
      <c r="E177"/>
    </row>
    <row r="178" spans="1:5" x14ac:dyDescent="0.25">
      <c r="A178" s="7">
        <v>3292.0790166533766</v>
      </c>
      <c r="B178"/>
      <c r="C178"/>
      <c r="D178"/>
      <c r="E178"/>
    </row>
    <row r="179" spans="1:5" x14ac:dyDescent="0.25">
      <c r="A179" s="7">
        <v>3227.5284476993888</v>
      </c>
      <c r="B179"/>
      <c r="C179"/>
      <c r="D179"/>
      <c r="E179"/>
    </row>
    <row r="180" spans="1:5" x14ac:dyDescent="0.25">
      <c r="A180" s="7">
        <v>3164.2435761758716</v>
      </c>
      <c r="B180"/>
      <c r="C180"/>
      <c r="D180"/>
      <c r="E180"/>
    </row>
    <row r="181" spans="1:5" x14ac:dyDescent="0.25">
      <c r="A181" s="7">
        <v>3102.1995844861485</v>
      </c>
      <c r="B181"/>
      <c r="C181"/>
      <c r="D181"/>
      <c r="E181"/>
    </row>
    <row r="182" spans="1:5" x14ac:dyDescent="0.25">
      <c r="A182" s="7">
        <v>3041.3721416530866</v>
      </c>
      <c r="B182"/>
      <c r="C182"/>
      <c r="D182"/>
      <c r="E182"/>
    </row>
    <row r="183" spans="1:5" x14ac:dyDescent="0.25">
      <c r="A183" s="7">
        <v>2981.737393777536</v>
      </c>
      <c r="B183"/>
      <c r="C183"/>
      <c r="D183"/>
      <c r="E183"/>
    </row>
    <row r="184" spans="1:5" x14ac:dyDescent="0.25">
      <c r="A184" s="7">
        <v>2923.2719546838589</v>
      </c>
      <c r="B184"/>
      <c r="C184"/>
      <c r="D184"/>
      <c r="E184"/>
    </row>
    <row r="185" spans="1:5" x14ac:dyDescent="0.25">
      <c r="A185" s="7">
        <v>2865.9528967488814</v>
      </c>
      <c r="B185"/>
      <c r="C185"/>
      <c r="D185"/>
      <c r="E185"/>
    </row>
    <row r="186" spans="1:5" x14ac:dyDescent="0.25">
      <c r="A186" s="7">
        <v>2809.7577419106678</v>
      </c>
      <c r="B186"/>
      <c r="C186"/>
      <c r="D186"/>
      <c r="E186"/>
    </row>
    <row r="187" spans="1:5" x14ac:dyDescent="0.25">
      <c r="A187" s="7">
        <v>2754.6644528535958</v>
      </c>
      <c r="B187"/>
      <c r="C187"/>
      <c r="D187"/>
      <c r="E187"/>
    </row>
    <row r="188" spans="1:5" x14ac:dyDescent="0.25">
      <c r="A188" s="7">
        <v>2700.6514243662705</v>
      </c>
      <c r="B188"/>
      <c r="C188"/>
      <c r="D188"/>
      <c r="E188"/>
    </row>
    <row r="189" spans="1:5" x14ac:dyDescent="0.25">
      <c r="A189" s="7">
        <v>2647.6974748688926</v>
      </c>
      <c r="B189"/>
      <c r="C189"/>
      <c r="D189"/>
      <c r="E189"/>
    </row>
    <row r="190" spans="1:5" x14ac:dyDescent="0.25">
      <c r="A190" s="7">
        <v>2595.7818381067573</v>
      </c>
      <c r="B190"/>
      <c r="C190"/>
      <c r="D190"/>
      <c r="E190"/>
    </row>
    <row r="191" spans="1:5" x14ac:dyDescent="0.25">
      <c r="A191" s="7">
        <v>2544.884155006625</v>
      </c>
      <c r="B191"/>
      <c r="C191"/>
      <c r="D191"/>
      <c r="E191"/>
    </row>
    <row r="192" spans="1:5" x14ac:dyDescent="0.25">
      <c r="A192" s="7">
        <v>2494.9844656927694</v>
      </c>
      <c r="B192"/>
      <c r="C192"/>
      <c r="D192"/>
      <c r="E192"/>
    </row>
    <row r="193" spans="1:5" x14ac:dyDescent="0.25">
      <c r="A193" s="7">
        <v>2446.0632016595778</v>
      </c>
      <c r="B193"/>
      <c r="C193"/>
      <c r="D193"/>
      <c r="E193"/>
    </row>
    <row r="194" spans="1:5" x14ac:dyDescent="0.25">
      <c r="A194" s="7">
        <v>2398.1011780976251</v>
      </c>
      <c r="B194"/>
      <c r="C194"/>
      <c r="D194"/>
      <c r="E194"/>
    </row>
    <row r="195" spans="1:5" x14ac:dyDescent="0.25">
      <c r="A195" s="7">
        <v>2351.0795863702206</v>
      </c>
      <c r="B195"/>
      <c r="C195"/>
      <c r="D195"/>
      <c r="E195"/>
    </row>
    <row r="196" spans="1:5" x14ac:dyDescent="0.25">
      <c r="A196" s="7">
        <v>2304.979986637471</v>
      </c>
      <c r="B196"/>
      <c r="C196"/>
      <c r="D196"/>
      <c r="E196"/>
    </row>
    <row r="197" spans="1:5" x14ac:dyDescent="0.25">
      <c r="A197" s="7">
        <v>2259.7843006249714</v>
      </c>
      <c r="B197"/>
      <c r="C197"/>
      <c r="D197"/>
      <c r="E197"/>
    </row>
    <row r="198" spans="1:5" x14ac:dyDescent="0.25">
      <c r="A198" s="7">
        <v>2215.4748045342858</v>
      </c>
      <c r="B198"/>
      <c r="C198"/>
      <c r="D198"/>
      <c r="E198"/>
    </row>
    <row r="199" spans="1:5" x14ac:dyDescent="0.25">
      <c r="A199" s="7">
        <v>2172.034122092437</v>
      </c>
      <c r="B199"/>
      <c r="C199"/>
      <c r="D199"/>
      <c r="E199"/>
    </row>
    <row r="200" spans="1:5" x14ac:dyDescent="0.25">
      <c r="A200" s="7">
        <v>2129.4452177376834</v>
      </c>
      <c r="B200"/>
      <c r="C200"/>
      <c r="D200"/>
      <c r="E200"/>
    </row>
    <row r="201" spans="1:5" x14ac:dyDescent="0.25">
      <c r="A201" s="7">
        <v>2087.6913899389051</v>
      </c>
      <c r="B201"/>
      <c r="C201"/>
      <c r="D201"/>
      <c r="E201"/>
    </row>
    <row r="202" spans="1:5" x14ac:dyDescent="0.25">
      <c r="A202" s="7">
        <v>2046.7562646459853</v>
      </c>
      <c r="B202"/>
      <c r="C202"/>
      <c r="D202"/>
      <c r="E202"/>
    </row>
    <row r="203" spans="1:5" x14ac:dyDescent="0.25">
      <c r="A203" s="7">
        <v>2006.623788868613</v>
      </c>
      <c r="B203"/>
      <c r="C203"/>
      <c r="D203"/>
      <c r="E203"/>
    </row>
    <row r="204" spans="1:5" x14ac:dyDescent="0.25">
      <c r="A204" s="7">
        <v>1967.2782243809932</v>
      </c>
      <c r="B204"/>
      <c r="C204"/>
      <c r="D204"/>
      <c r="E204"/>
    </row>
    <row r="205" spans="1:5" x14ac:dyDescent="0.25">
      <c r="A205" s="7">
        <v>1928.7041415499932</v>
      </c>
      <c r="B205"/>
      <c r="C205"/>
      <c r="D205"/>
      <c r="E205"/>
    </row>
    <row r="206" spans="1:5" x14ac:dyDescent="0.25">
      <c r="A206" s="7">
        <v>1890.8864132843071</v>
      </c>
      <c r="B206"/>
      <c r="C206"/>
      <c r="D206"/>
      <c r="E206"/>
    </row>
    <row r="207" spans="1:5" x14ac:dyDescent="0.25">
      <c r="A207" s="7">
        <v>1853.8102091022618</v>
      </c>
      <c r="B207"/>
      <c r="C207"/>
      <c r="D207"/>
      <c r="E207"/>
    </row>
    <row r="208" spans="1:5" x14ac:dyDescent="0.25">
      <c r="A208" s="7">
        <v>1817.4609893159429</v>
      </c>
      <c r="B208"/>
      <c r="C208"/>
      <c r="D208"/>
      <c r="E208"/>
    </row>
    <row r="209" spans="1:5" x14ac:dyDescent="0.25">
      <c r="A209" s="7">
        <v>1781.8244993293558</v>
      </c>
      <c r="B209"/>
      <c r="C209"/>
      <c r="D209"/>
      <c r="E209"/>
    </row>
    <row r="210" spans="1:5" x14ac:dyDescent="0.25">
      <c r="A210" s="7">
        <v>1746.8867640483879</v>
      </c>
      <c r="B210"/>
      <c r="C210"/>
      <c r="D210"/>
      <c r="E210"/>
    </row>
    <row r="211" spans="1:5" x14ac:dyDescent="0.25">
      <c r="A211" s="7">
        <v>1712.6340824003803</v>
      </c>
      <c r="B211"/>
      <c r="C211"/>
      <c r="D211"/>
      <c r="E211"/>
    </row>
    <row r="212" spans="1:5" x14ac:dyDescent="0.25">
      <c r="A212" s="7">
        <v>1679.0530219611571</v>
      </c>
      <c r="B212"/>
      <c r="C212"/>
      <c r="D212"/>
      <c r="E212"/>
    </row>
    <row r="213" spans="1:5" x14ac:dyDescent="0.25">
      <c r="A213" s="7">
        <v>1646.1304136874089</v>
      </c>
      <c r="B213"/>
      <c r="C213"/>
      <c r="D213"/>
      <c r="E213"/>
    </row>
    <row r="214" spans="1:5" x14ac:dyDescent="0.25">
      <c r="A214" s="7">
        <v>1613.8533467523616</v>
      </c>
      <c r="B214"/>
      <c r="C214"/>
      <c r="D214"/>
      <c r="E214"/>
    </row>
    <row r="215" spans="1:5" x14ac:dyDescent="0.25">
      <c r="A215" s="7">
        <v>1582.2091634827075</v>
      </c>
      <c r="B215"/>
      <c r="C215"/>
      <c r="D215"/>
      <c r="E215"/>
    </row>
    <row r="216" spans="1:5" x14ac:dyDescent="0.25">
      <c r="A216" s="7">
        <v>1551.1854543948111</v>
      </c>
      <c r="B216"/>
      <c r="C216"/>
      <c r="D216"/>
      <c r="E216"/>
    </row>
    <row r="217" spans="1:5" x14ac:dyDescent="0.25">
      <c r="A217" s="7">
        <v>1520.7700533282461</v>
      </c>
      <c r="B217"/>
      <c r="C217"/>
      <c r="D217"/>
      <c r="E217"/>
    </row>
    <row r="218" spans="1:5" x14ac:dyDescent="0.25">
      <c r="A218" s="7">
        <v>1490.9510326747511</v>
      </c>
      <c r="B218"/>
      <c r="C218"/>
      <c r="D218"/>
      <c r="E218"/>
    </row>
    <row r="219" spans="1:5" x14ac:dyDescent="0.25">
      <c r="A219" s="7">
        <v>1461.7166987007363</v>
      </c>
      <c r="B219"/>
      <c r="C219"/>
      <c r="D219"/>
      <c r="E219"/>
    </row>
    <row r="220" spans="1:5" x14ac:dyDescent="0.25">
      <c r="A220" s="7">
        <v>1433.0555869615062</v>
      </c>
      <c r="B220"/>
      <c r="C220"/>
      <c r="D220"/>
      <c r="E220"/>
    </row>
    <row r="221" spans="1:5" x14ac:dyDescent="0.25">
      <c r="A221" s="7">
        <v>1404.9564578053983</v>
      </c>
      <c r="B221"/>
      <c r="C221"/>
      <c r="D221"/>
      <c r="E221"/>
    </row>
    <row r="222" spans="1:5" x14ac:dyDescent="0.25">
      <c r="A222" s="7">
        <v>1377.4082919660766</v>
      </c>
      <c r="B222"/>
      <c r="C222"/>
      <c r="D222"/>
      <c r="E222"/>
    </row>
    <row r="223" spans="1:5" x14ac:dyDescent="0.25">
      <c r="A223" s="7">
        <v>1350.4002862412515</v>
      </c>
      <c r="B223"/>
      <c r="C223"/>
      <c r="D223"/>
      <c r="E223"/>
    </row>
    <row r="224" spans="1:5" x14ac:dyDescent="0.25">
      <c r="A224" s="7">
        <v>1323.9218492561288</v>
      </c>
      <c r="B224"/>
      <c r="C224"/>
      <c r="D224"/>
      <c r="E224"/>
    </row>
    <row r="225" spans="1:5" x14ac:dyDescent="0.25">
      <c r="A225" s="7">
        <v>1297.9625973099301</v>
      </c>
      <c r="B225"/>
      <c r="C225"/>
      <c r="D225"/>
      <c r="E225"/>
    </row>
    <row r="226" spans="1:5" x14ac:dyDescent="0.25">
      <c r="A226" s="7">
        <v>1272.5123503038531</v>
      </c>
      <c r="B226"/>
      <c r="C226"/>
      <c r="D226"/>
      <c r="E226"/>
    </row>
    <row r="227" spans="1:5" x14ac:dyDescent="0.25">
      <c r="A227" s="7">
        <v>1247.5611277488756</v>
      </c>
      <c r="B227"/>
      <c r="C227"/>
      <c r="D227"/>
      <c r="E227"/>
    </row>
    <row r="228" spans="1:5" x14ac:dyDescent="0.25">
      <c r="A228" s="7">
        <v>1223.0991448518389</v>
      </c>
      <c r="B228"/>
      <c r="C228"/>
      <c r="D228"/>
      <c r="E228"/>
    </row>
    <row r="229" spans="1:5" x14ac:dyDescent="0.25">
      <c r="A229" s="7">
        <v>1199.1168086782734</v>
      </c>
      <c r="B229"/>
      <c r="C229"/>
      <c r="D229"/>
      <c r="E229"/>
    </row>
    <row r="230" spans="1:5" x14ac:dyDescent="0.25">
      <c r="A230" s="7">
        <v>1175.6047143904641</v>
      </c>
      <c r="B230"/>
      <c r="C230"/>
      <c r="D230"/>
      <c r="E230"/>
    </row>
    <row r="231" spans="1:5" x14ac:dyDescent="0.25">
      <c r="A231" s="7">
        <v>1152.5536415592785</v>
      </c>
      <c r="B231"/>
      <c r="C231"/>
      <c r="D231"/>
      <c r="E231"/>
    </row>
    <row r="232" spans="1:5" x14ac:dyDescent="0.25">
      <c r="A232" s="7">
        <v>1129.9545505483122</v>
      </c>
      <c r="B232"/>
      <c r="C232"/>
      <c r="D232"/>
      <c r="E232"/>
    </row>
    <row r="233" spans="1:5" x14ac:dyDescent="0.25">
      <c r="A233" s="7">
        <v>1107.7985789689335</v>
      </c>
      <c r="B233"/>
      <c r="C233"/>
      <c r="D233"/>
      <c r="E233"/>
    </row>
    <row r="234" spans="1:5" x14ac:dyDescent="0.25">
      <c r="A234" s="7">
        <v>1086.0770382048368</v>
      </c>
      <c r="B234"/>
      <c r="C234"/>
      <c r="D234"/>
      <c r="E234"/>
    </row>
    <row r="235" spans="1:5" x14ac:dyDescent="0.25">
      <c r="A235" s="7">
        <v>1064.7814100047419</v>
      </c>
      <c r="B235"/>
      <c r="C235"/>
      <c r="D235"/>
      <c r="E235"/>
    </row>
    <row r="236" spans="1:5" x14ac:dyDescent="0.25">
      <c r="A236" s="7">
        <v>1043.9033431419039</v>
      </c>
      <c r="B236"/>
      <c r="C236"/>
      <c r="D236"/>
      <c r="E236"/>
    </row>
    <row r="237" spans="1:5" x14ac:dyDescent="0.25">
      <c r="A237" s="7">
        <v>1023.4346501391215</v>
      </c>
      <c r="B237"/>
      <c r="C237"/>
      <c r="D237"/>
      <c r="E237"/>
    </row>
    <row r="238" spans="1:5" x14ac:dyDescent="0.25">
      <c r="A238" s="7">
        <v>1003.3673040579622</v>
      </c>
      <c r="B238"/>
      <c r="C238"/>
      <c r="D238"/>
      <c r="E238"/>
    </row>
    <row r="239" spans="1:5" x14ac:dyDescent="0.25">
      <c r="A239" s="7">
        <v>983.69343535094333</v>
      </c>
      <c r="B239"/>
      <c r="C239"/>
      <c r="D239"/>
      <c r="E239"/>
    </row>
    <row r="240" spans="1:5" x14ac:dyDescent="0.25">
      <c r="A240" s="7">
        <v>964.40532877543467</v>
      </c>
      <c r="B240"/>
      <c r="C240"/>
      <c r="D240"/>
      <c r="E240"/>
    </row>
    <row r="241" spans="1:5" x14ac:dyDescent="0.25">
      <c r="A241" s="7">
        <v>945.49542036807316</v>
      </c>
      <c r="B241"/>
      <c r="C241"/>
      <c r="D241"/>
      <c r="E241"/>
    </row>
    <row r="242" spans="1:5" x14ac:dyDescent="0.25">
      <c r="A242" s="7">
        <v>926.95629447850308</v>
      </c>
      <c r="B242"/>
      <c r="C242"/>
      <c r="D242"/>
      <c r="E242"/>
    </row>
    <row r="243" spans="1:5" x14ac:dyDescent="0.25">
      <c r="A243" s="7">
        <v>908.78068086127746</v>
      </c>
      <c r="B243"/>
      <c r="C243"/>
      <c r="D243"/>
      <c r="E243"/>
    </row>
    <row r="244" spans="1:5" x14ac:dyDescent="0.25">
      <c r="A244" s="7">
        <v>890.96145182478176</v>
      </c>
      <c r="B244"/>
      <c r="C244"/>
      <c r="D244"/>
      <c r="E244"/>
    </row>
    <row r="245" spans="1:5" x14ac:dyDescent="0.25">
      <c r="A245" s="7">
        <v>873.49161943606055</v>
      </c>
      <c r="B245"/>
      <c r="C245"/>
      <c r="D245"/>
      <c r="E245"/>
    </row>
    <row r="246" spans="1:5" x14ac:dyDescent="0.25">
      <c r="A246" s="7">
        <v>856.36433278045149</v>
      </c>
      <c r="B246"/>
      <c r="C246"/>
      <c r="D246"/>
      <c r="E246"/>
    </row>
    <row r="247" spans="1:5" x14ac:dyDescent="0.25">
      <c r="A247" s="7">
        <v>839.57287527495248</v>
      </c>
      <c r="B247"/>
      <c r="C247"/>
      <c r="D247"/>
      <c r="E247"/>
    </row>
    <row r="248" spans="1:5" x14ac:dyDescent="0.25">
      <c r="A248" s="7">
        <v>823.11066203426708</v>
      </c>
      <c r="B248"/>
      <c r="C248"/>
      <c r="D248"/>
      <c r="E248"/>
    </row>
    <row r="249" spans="1:5" x14ac:dyDescent="0.25">
      <c r="A249" s="7">
        <v>806.97123728849715</v>
      </c>
      <c r="B249"/>
      <c r="C249"/>
      <c r="D249"/>
      <c r="E249"/>
    </row>
    <row r="250" spans="1:5" x14ac:dyDescent="0.25">
      <c r="A250" s="7">
        <v>791.14827185146783</v>
      </c>
      <c r="B250"/>
      <c r="C250"/>
      <c r="D250"/>
      <c r="E250"/>
    </row>
    <row r="251" spans="1:5" x14ac:dyDescent="0.25">
      <c r="A251" s="7">
        <v>775.63556063869396</v>
      </c>
      <c r="B251"/>
      <c r="C251"/>
      <c r="D251"/>
      <c r="E251"/>
    </row>
    <row r="252" spans="1:5" x14ac:dyDescent="0.25">
      <c r="A252" s="7">
        <v>760.42702023401364</v>
      </c>
      <c r="B252"/>
      <c r="C252"/>
      <c r="D252"/>
      <c r="E252"/>
    </row>
    <row r="253" spans="1:5" x14ac:dyDescent="0.25">
      <c r="A253" s="7">
        <v>745.51668650393492</v>
      </c>
      <c r="B253"/>
      <c r="C253"/>
      <c r="D253"/>
      <c r="E253"/>
    </row>
    <row r="254" spans="1:5" x14ac:dyDescent="0.25">
      <c r="A254" s="7">
        <v>730.8987122587597</v>
      </c>
      <c r="B254"/>
      <c r="C254"/>
      <c r="D254"/>
      <c r="E254"/>
    </row>
    <row r="255" spans="1:5" x14ac:dyDescent="0.25">
      <c r="A255" s="7">
        <v>716.56736495956829</v>
      </c>
      <c r="B255"/>
      <c r="C255"/>
      <c r="D255"/>
      <c r="E255"/>
    </row>
    <row r="256" spans="1:5" x14ac:dyDescent="0.25">
      <c r="A256" s="7">
        <v>702.51702447016498</v>
      </c>
      <c r="B256"/>
      <c r="C256"/>
      <c r="D256"/>
      <c r="E256"/>
    </row>
    <row r="257" spans="1:5" x14ac:dyDescent="0.25">
      <c r="A257" s="7">
        <v>688.74218085310292</v>
      </c>
      <c r="B257"/>
      <c r="C257"/>
      <c r="D257"/>
      <c r="E257"/>
    </row>
    <row r="258" spans="1:5" x14ac:dyDescent="0.25">
      <c r="A258" s="7">
        <v>675.23743220892447</v>
      </c>
      <c r="B258"/>
      <c r="C258"/>
      <c r="D258"/>
      <c r="E258"/>
    </row>
    <row r="259" spans="1:5" x14ac:dyDescent="0.25">
      <c r="A259" s="7">
        <v>661.9974825577691</v>
      </c>
      <c r="B259"/>
      <c r="C259"/>
      <c r="D259"/>
      <c r="E259"/>
    </row>
    <row r="260" spans="1:5" x14ac:dyDescent="0.25">
      <c r="A260" s="7">
        <v>649.0171397625187</v>
      </c>
      <c r="B260"/>
      <c r="C260"/>
      <c r="D260"/>
      <c r="E260"/>
    </row>
    <row r="261" spans="1:5" x14ac:dyDescent="0.25">
      <c r="A261" s="7">
        <v>636.29131349266538</v>
      </c>
      <c r="B261"/>
      <c r="C261"/>
      <c r="D261"/>
      <c r="E261"/>
    </row>
    <row r="262" spans="1:5" x14ac:dyDescent="0.25">
      <c r="A262" s="7">
        <v>623.81501322810334</v>
      </c>
      <c r="B262"/>
      <c r="C262"/>
      <c r="D262"/>
      <c r="E262"/>
    </row>
    <row r="263" spans="1:5" x14ac:dyDescent="0.25">
      <c r="A263" s="7">
        <v>611.58334630206207</v>
      </c>
      <c r="B263"/>
      <c r="C263"/>
      <c r="D263"/>
      <c r="E263"/>
    </row>
    <row r="264" spans="1:5" x14ac:dyDescent="0.25">
      <c r="A264" s="7">
        <v>599.59151598241374</v>
      </c>
      <c r="B264"/>
      <c r="C264"/>
      <c r="D264"/>
      <c r="E264"/>
    </row>
    <row r="265" spans="1:5" x14ac:dyDescent="0.25">
      <c r="A265" s="7">
        <v>587.83481959060168</v>
      </c>
      <c r="B265"/>
      <c r="C265"/>
      <c r="D265"/>
      <c r="E265"/>
    </row>
    <row r="266" spans="1:5" x14ac:dyDescent="0.25">
      <c r="A266" s="7">
        <v>576.30864665745264</v>
      </c>
      <c r="B266"/>
      <c r="C266"/>
      <c r="D266"/>
      <c r="E266"/>
    </row>
    <row r="267" spans="1:5" x14ac:dyDescent="0.25">
      <c r="A267" s="7">
        <v>565.00847711514962</v>
      </c>
      <c r="B267"/>
      <c r="C267"/>
      <c r="D267"/>
      <c r="E267"/>
    </row>
    <row r="268" spans="1:5" x14ac:dyDescent="0.25">
      <c r="A268" s="7">
        <v>553.92987952465649</v>
      </c>
      <c r="B268"/>
      <c r="C268"/>
      <c r="D268"/>
      <c r="E268"/>
    </row>
    <row r="269" spans="1:5" x14ac:dyDescent="0.25">
      <c r="A269" s="7">
        <v>543.06850933789849</v>
      </c>
      <c r="B269"/>
      <c r="C269"/>
      <c r="D269"/>
      <c r="E269"/>
    </row>
    <row r="270" spans="1:5" x14ac:dyDescent="0.25">
      <c r="A270" s="7">
        <v>532.4201071940181</v>
      </c>
      <c r="B270"/>
      <c r="C270"/>
      <c r="D270"/>
      <c r="E270"/>
    </row>
    <row r="271" spans="1:5" x14ac:dyDescent="0.25">
      <c r="A271" s="7">
        <v>521.9804972490374</v>
      </c>
      <c r="B271"/>
      <c r="C271"/>
      <c r="D271"/>
      <c r="E271"/>
    </row>
    <row r="272" spans="1:5" x14ac:dyDescent="0.25">
      <c r="A272" s="7">
        <v>511.74558553827194</v>
      </c>
      <c r="B272"/>
      <c r="C272"/>
      <c r="D272"/>
      <c r="E272"/>
    </row>
    <row r="273" spans="1:5" x14ac:dyDescent="0.25">
      <c r="A273" s="7">
        <v>501.71135837085484</v>
      </c>
      <c r="B273"/>
      <c r="C273"/>
      <c r="D273"/>
      <c r="E273"/>
    </row>
    <row r="274" spans="1:5" x14ac:dyDescent="0.25">
      <c r="A274" s="7">
        <v>491.87388075574</v>
      </c>
      <c r="B274"/>
      <c r="C274"/>
      <c r="D274"/>
      <c r="E274"/>
    </row>
    <row r="275" spans="1:5" x14ac:dyDescent="0.25">
      <c r="A275" s="7">
        <v>482.22929485856861</v>
      </c>
      <c r="B275"/>
      <c r="C275"/>
      <c r="D275"/>
      <c r="E275"/>
    </row>
    <row r="276" spans="1:5" x14ac:dyDescent="0.25">
      <c r="A276" s="7">
        <v>472.77381848879276</v>
      </c>
      <c r="B276"/>
      <c r="C276"/>
      <c r="D276"/>
      <c r="E276"/>
    </row>
    <row r="277" spans="1:5" x14ac:dyDescent="0.25">
      <c r="A277" s="7">
        <v>463.50374361646345</v>
      </c>
      <c r="B277"/>
      <c r="C277"/>
      <c r="D277"/>
      <c r="E277"/>
    </row>
    <row r="278" spans="1:5" x14ac:dyDescent="0.25">
      <c r="A278" s="7">
        <v>454.41543491810143</v>
      </c>
      <c r="B278"/>
      <c r="C278"/>
      <c r="D278"/>
      <c r="E278"/>
    </row>
    <row r="279" spans="1:5" x14ac:dyDescent="0.25">
      <c r="A279" s="7">
        <v>445.50532835107981</v>
      </c>
      <c r="B279"/>
      <c r="C279"/>
      <c r="D279"/>
      <c r="E279"/>
    </row>
    <row r="280" spans="1:5" x14ac:dyDescent="0.25">
      <c r="A280" s="7">
        <v>436.76992975596062</v>
      </c>
      <c r="B280"/>
      <c r="C280"/>
      <c r="D280"/>
      <c r="E280"/>
    </row>
    <row r="281" spans="1:5" x14ac:dyDescent="0.25">
      <c r="A281" s="7">
        <v>428.20581348623591</v>
      </c>
      <c r="B281"/>
      <c r="C281"/>
      <c r="D281"/>
      <c r="E281"/>
    </row>
    <row r="282" spans="1:5" x14ac:dyDescent="0.25">
      <c r="A282" s="7">
        <v>419.80962106493718</v>
      </c>
      <c r="B282"/>
      <c r="C282"/>
      <c r="D282"/>
      <c r="E282"/>
    </row>
    <row r="283" spans="1:5" x14ac:dyDescent="0.25">
      <c r="A283" s="7">
        <v>411.57805986758547</v>
      </c>
      <c r="B283"/>
      <c r="C283"/>
      <c r="D283"/>
      <c r="E283"/>
    </row>
    <row r="284" spans="1:5" x14ac:dyDescent="0.25">
      <c r="A284" s="7">
        <v>403.50790183096615</v>
      </c>
      <c r="B284"/>
      <c r="C284"/>
      <c r="D284"/>
      <c r="E284"/>
    </row>
    <row r="285" spans="1:5" x14ac:dyDescent="0.25">
      <c r="A285" s="7">
        <v>395.59598218722169</v>
      </c>
      <c r="B285"/>
      <c r="C285"/>
      <c r="D285"/>
      <c r="E285"/>
    </row>
    <row r="286" spans="1:5" x14ac:dyDescent="0.25">
      <c r="A286" s="7">
        <v>387.83919822276636</v>
      </c>
      <c r="B286"/>
      <c r="C286"/>
      <c r="D286"/>
      <c r="E286"/>
    </row>
    <row r="287" spans="1:5" x14ac:dyDescent="0.25">
      <c r="A287" s="7">
        <v>380.23450806153562</v>
      </c>
      <c r="B287"/>
      <c r="C287"/>
      <c r="D287"/>
      <c r="E287"/>
    </row>
    <row r="288" spans="1:5" x14ac:dyDescent="0.25">
      <c r="A288" s="7">
        <v>372.77892947209375</v>
      </c>
      <c r="B288"/>
      <c r="C288"/>
      <c r="D288"/>
      <c r="E288"/>
    </row>
    <row r="289" spans="1:5" x14ac:dyDescent="0.25">
      <c r="A289" s="7">
        <v>365.46953869813115</v>
      </c>
      <c r="B289"/>
      <c r="C289"/>
      <c r="D289"/>
      <c r="E289"/>
    </row>
    <row r="290" spans="1:5" x14ac:dyDescent="0.25">
      <c r="A290" s="7">
        <v>358.30346931189325</v>
      </c>
      <c r="B290"/>
      <c r="C290"/>
      <c r="D290"/>
      <c r="E290"/>
    </row>
    <row r="291" spans="1:5" x14ac:dyDescent="0.25">
      <c r="A291" s="7">
        <v>351.27791109009144</v>
      </c>
      <c r="B291"/>
      <c r="C291"/>
      <c r="D291"/>
      <c r="E291"/>
    </row>
    <row r="292" spans="1:5" x14ac:dyDescent="0.25">
      <c r="A292" s="7">
        <v>344.39010891185433</v>
      </c>
      <c r="B292"/>
      <c r="C292"/>
      <c r="D292"/>
      <c r="E292"/>
    </row>
    <row r="293" spans="1:5" x14ac:dyDescent="0.25">
      <c r="A293" s="7">
        <v>337.63736167828853</v>
      </c>
      <c r="B293"/>
      <c r="C293"/>
      <c r="D293"/>
      <c r="E293"/>
    </row>
    <row r="294" spans="1:5" x14ac:dyDescent="0.25">
      <c r="A294" s="7">
        <v>331.01702125322402</v>
      </c>
      <c r="B294"/>
      <c r="C294"/>
      <c r="D294"/>
      <c r="E294"/>
    </row>
    <row r="295" spans="1:5" x14ac:dyDescent="0.25">
      <c r="A295" s="7">
        <v>324.52649142472944</v>
      </c>
      <c r="B295"/>
      <c r="C295"/>
      <c r="D295"/>
      <c r="E295"/>
    </row>
    <row r="296" spans="1:5" x14ac:dyDescent="0.25">
      <c r="A296" s="7">
        <v>318.16322688698966</v>
      </c>
      <c r="B296"/>
      <c r="C296"/>
      <c r="D296"/>
      <c r="E296"/>
    </row>
    <row r="297" spans="1:5" x14ac:dyDescent="0.25">
      <c r="A297" s="7">
        <v>311.92473224214672</v>
      </c>
      <c r="B297"/>
      <c r="C297"/>
      <c r="D297"/>
      <c r="E297"/>
    </row>
    <row r="298" spans="1:5" x14ac:dyDescent="0.25">
      <c r="A298" s="7">
        <v>305.80856102171248</v>
      </c>
      <c r="B298"/>
      <c r="C298"/>
      <c r="D298"/>
      <c r="E298"/>
    </row>
    <row r="299" spans="1:5" x14ac:dyDescent="0.25">
      <c r="A299" s="7">
        <v>299.81231472716911</v>
      </c>
      <c r="B299"/>
      <c r="C299"/>
      <c r="D299"/>
      <c r="E299"/>
    </row>
    <row r="300" spans="1:5" x14ac:dyDescent="0.25">
      <c r="A300" s="7">
        <v>293.93364188938148</v>
      </c>
      <c r="B300"/>
      <c r="C300"/>
      <c r="D300"/>
      <c r="E300"/>
    </row>
    <row r="301" spans="1:5" x14ac:dyDescent="0.25">
      <c r="A301" s="7">
        <v>288.17023714645245</v>
      </c>
      <c r="B301"/>
      <c r="C301"/>
      <c r="D301"/>
      <c r="E301"/>
    </row>
    <row r="302" spans="1:5" x14ac:dyDescent="0.25">
      <c r="A302" s="7">
        <v>282.51984033965925</v>
      </c>
      <c r="B302"/>
      <c r="C302"/>
      <c r="D302"/>
      <c r="E302"/>
    </row>
    <row r="303" spans="1:5" x14ac:dyDescent="0.25">
      <c r="A303" s="7">
        <v>276.98023562711688</v>
      </c>
      <c r="B303"/>
      <c r="C303"/>
      <c r="D303"/>
      <c r="E303"/>
    </row>
    <row r="304" spans="1:5" x14ac:dyDescent="0.25">
      <c r="A304" s="7">
        <v>271.54925061482049</v>
      </c>
      <c r="B304"/>
      <c r="C304"/>
      <c r="D304"/>
      <c r="E304"/>
    </row>
    <row r="305" spans="1:5" x14ac:dyDescent="0.25">
      <c r="A305" s="7">
        <v>266.22475550472598</v>
      </c>
      <c r="B305"/>
      <c r="C305"/>
      <c r="D305"/>
      <c r="E305"/>
    </row>
    <row r="306" spans="1:5" x14ac:dyDescent="0.25">
      <c r="A306" s="7">
        <v>261.00466225953528</v>
      </c>
      <c r="B306"/>
      <c r="C306"/>
      <c r="D306"/>
      <c r="E306"/>
    </row>
    <row r="307" spans="1:5" x14ac:dyDescent="0.25">
      <c r="A307" s="7">
        <v>255.88692378385809</v>
      </c>
      <c r="B307"/>
      <c r="C307"/>
      <c r="D307"/>
      <c r="E307"/>
    </row>
    <row r="308" spans="1:5" x14ac:dyDescent="0.25">
      <c r="A308" s="7">
        <v>250.8695331214295</v>
      </c>
      <c r="B308"/>
      <c r="C308"/>
      <c r="D308"/>
      <c r="E308"/>
    </row>
    <row r="309" spans="1:5" x14ac:dyDescent="0.25">
      <c r="A309" s="7">
        <v>245.95052266806812</v>
      </c>
      <c r="B309"/>
      <c r="C309"/>
      <c r="D309"/>
      <c r="E309"/>
    </row>
    <row r="310" spans="1:5" x14ac:dyDescent="0.25">
      <c r="A310" s="7">
        <v>241.12796340006679</v>
      </c>
      <c r="B310"/>
      <c r="C310"/>
      <c r="D310"/>
      <c r="E310"/>
    </row>
    <row r="311" spans="1:5" x14ac:dyDescent="0.25">
      <c r="A311" s="7">
        <v>236.39996411771253</v>
      </c>
      <c r="B311"/>
      <c r="C311"/>
      <c r="D311"/>
      <c r="E311"/>
    </row>
    <row r="312" spans="1:5" x14ac:dyDescent="0.25">
      <c r="A312" s="7">
        <v>231.76467070363972</v>
      </c>
      <c r="B312"/>
      <c r="C312"/>
      <c r="D312"/>
      <c r="E312"/>
    </row>
    <row r="313" spans="1:5" x14ac:dyDescent="0.25">
      <c r="A313" s="7">
        <v>227.22026539572522</v>
      </c>
      <c r="B313"/>
      <c r="C313"/>
      <c r="D313"/>
      <c r="E313"/>
    </row>
    <row r="314" spans="1:5" x14ac:dyDescent="0.25">
      <c r="A314" s="7">
        <v>222.76496607424042</v>
      </c>
      <c r="B314"/>
      <c r="C314"/>
      <c r="D314"/>
      <c r="E314"/>
    </row>
    <row r="315" spans="1:5" x14ac:dyDescent="0.25">
      <c r="A315" s="7">
        <v>218.39702556298079</v>
      </c>
      <c r="B315"/>
      <c r="C315"/>
      <c r="D315"/>
      <c r="E315"/>
    </row>
    <row r="316" spans="1:5" x14ac:dyDescent="0.25">
      <c r="A316" s="7">
        <v>214.1147309440988</v>
      </c>
      <c r="B316"/>
      <c r="C316"/>
      <c r="D316"/>
      <c r="E316"/>
    </row>
    <row r="317" spans="1:5" x14ac:dyDescent="0.25">
      <c r="A317" s="7">
        <v>209.91640288637137</v>
      </c>
      <c r="B317"/>
      <c r="C317"/>
      <c r="D317"/>
      <c r="E317"/>
    </row>
    <row r="318" spans="1:5" x14ac:dyDescent="0.25">
      <c r="A318" s="7">
        <v>205.80039498663859</v>
      </c>
      <c r="B318"/>
      <c r="C318"/>
      <c r="D318"/>
      <c r="E318"/>
    </row>
    <row r="319" spans="1:5" x14ac:dyDescent="0.25">
      <c r="A319" s="7">
        <v>201.76509312415547</v>
      </c>
      <c r="B319"/>
      <c r="C319"/>
      <c r="D319"/>
      <c r="E319"/>
    </row>
    <row r="320" spans="1:5" x14ac:dyDescent="0.25">
      <c r="A320" s="7">
        <v>197.80891482760339</v>
      </c>
      <c r="B320"/>
      <c r="C320"/>
      <c r="D320"/>
      <c r="E320"/>
    </row>
    <row r="321" spans="1:5" x14ac:dyDescent="0.25">
      <c r="A321" s="7">
        <v>193.93030865451311</v>
      </c>
      <c r="B321"/>
      <c r="C321"/>
      <c r="D321"/>
      <c r="E321"/>
    </row>
    <row r="322" spans="1:5" x14ac:dyDescent="0.25">
      <c r="A322" s="7">
        <v>190.127753582856</v>
      </c>
      <c r="B322"/>
      <c r="C322"/>
      <c r="D322"/>
      <c r="E322"/>
    </row>
    <row r="323" spans="1:5" x14ac:dyDescent="0.25">
      <c r="A323" s="7">
        <v>186.3997584145647</v>
      </c>
      <c r="B323"/>
      <c r="C323"/>
      <c r="D323"/>
      <c r="E323"/>
    </row>
    <row r="324" spans="1:5" x14ac:dyDescent="0.25">
      <c r="A324" s="7">
        <v>182.7448611907497</v>
      </c>
      <c r="B324"/>
      <c r="C324"/>
      <c r="D324"/>
      <c r="E324"/>
    </row>
    <row r="325" spans="1:5" x14ac:dyDescent="0.25">
      <c r="A325" s="7">
        <v>179.16162861838205</v>
      </c>
      <c r="B325"/>
      <c r="C325"/>
      <c r="D325"/>
      <c r="E325"/>
    </row>
    <row r="326" spans="1:5" x14ac:dyDescent="0.25">
      <c r="A326" s="7">
        <v>175.6486555082177</v>
      </c>
      <c r="B326"/>
      <c r="C326"/>
      <c r="D326"/>
      <c r="E326"/>
    </row>
    <row r="327" spans="1:5" x14ac:dyDescent="0.25">
      <c r="A327" s="7">
        <v>172.20456422374284</v>
      </c>
      <c r="B327"/>
      <c r="C327"/>
      <c r="D327"/>
      <c r="E327"/>
    </row>
    <row r="328" spans="1:5" x14ac:dyDescent="0.25">
      <c r="A328" s="7">
        <v>168.82800414092435</v>
      </c>
      <c r="B328"/>
      <c r="C328"/>
      <c r="D328"/>
      <c r="E328"/>
    </row>
    <row r="329" spans="1:5" x14ac:dyDescent="0.25">
      <c r="A329" s="7">
        <v>165.51765111855329</v>
      </c>
      <c r="B329"/>
      <c r="C329"/>
      <c r="D329"/>
      <c r="E329"/>
    </row>
    <row r="330" spans="1:5" x14ac:dyDescent="0.25">
      <c r="A330" s="7">
        <v>162.2722069789738</v>
      </c>
      <c r="B330"/>
      <c r="C330"/>
      <c r="D330"/>
      <c r="E330"/>
    </row>
    <row r="331" spans="1:5" x14ac:dyDescent="0.25">
      <c r="A331" s="7">
        <v>159.09039899899392</v>
      </c>
      <c r="B331"/>
      <c r="C331"/>
      <c r="D331"/>
      <c r="E331"/>
    </row>
    <row r="332" spans="1:5" x14ac:dyDescent="0.25">
      <c r="A332" s="7">
        <v>155.97097941077834</v>
      </c>
      <c r="B332"/>
      <c r="C332"/>
      <c r="D332"/>
      <c r="E332"/>
    </row>
    <row r="333" spans="1:5" x14ac:dyDescent="0.25">
      <c r="A333" s="7">
        <v>152.91272491252778</v>
      </c>
      <c r="B333"/>
      <c r="C333"/>
      <c r="D333"/>
      <c r="E333"/>
    </row>
    <row r="334" spans="1:5" x14ac:dyDescent="0.25">
      <c r="A334" s="7">
        <v>149.91443618875272</v>
      </c>
      <c r="B334"/>
      <c r="C334"/>
      <c r="D334"/>
      <c r="E334"/>
    </row>
    <row r="335" spans="1:5" x14ac:dyDescent="0.25">
      <c r="A335" s="7">
        <v>146.97493743995364</v>
      </c>
      <c r="B335"/>
      <c r="C335"/>
      <c r="D335"/>
      <c r="E335"/>
    </row>
    <row r="336" spans="1:5" x14ac:dyDescent="0.25">
      <c r="A336" s="7">
        <v>144.09307592152317</v>
      </c>
      <c r="B336"/>
      <c r="C336"/>
      <c r="D336"/>
      <c r="E336"/>
    </row>
    <row r="337" spans="1:5" x14ac:dyDescent="0.25">
      <c r="A337" s="7">
        <v>141.26772149168937</v>
      </c>
      <c r="B337"/>
      <c r="C337"/>
      <c r="D337"/>
      <c r="E337"/>
    </row>
    <row r="338" spans="1:5" x14ac:dyDescent="0.25">
      <c r="A338" s="7">
        <v>138.4977661683229</v>
      </c>
      <c r="B338"/>
      <c r="C338"/>
      <c r="D338"/>
      <c r="E338"/>
    </row>
    <row r="339" spans="1:5" x14ac:dyDescent="0.25">
      <c r="A339" s="7">
        <v>135.7821236944342</v>
      </c>
      <c r="B339"/>
      <c r="C339"/>
      <c r="D339"/>
      <c r="E339"/>
    </row>
    <row r="340" spans="1:5" x14ac:dyDescent="0.25">
      <c r="A340" s="7">
        <v>133.11972911219038</v>
      </c>
      <c r="B340"/>
      <c r="C340"/>
      <c r="D340"/>
      <c r="E340"/>
    </row>
    <row r="341" spans="1:5" x14ac:dyDescent="0.25">
      <c r="A341" s="7">
        <v>130.50953834528468</v>
      </c>
      <c r="B341"/>
      <c r="C341"/>
      <c r="D341"/>
      <c r="E341"/>
    </row>
    <row r="342" spans="1:5" x14ac:dyDescent="0.25">
      <c r="A342" s="7">
        <v>127.95052778949477</v>
      </c>
      <c r="B342"/>
      <c r="C342"/>
      <c r="D342"/>
      <c r="E342"/>
    </row>
    <row r="343" spans="1:5" x14ac:dyDescent="0.25">
      <c r="A343" s="7">
        <v>125.44169391126938</v>
      </c>
      <c r="B343"/>
      <c r="C343"/>
      <c r="D343"/>
      <c r="E343"/>
    </row>
    <row r="344" spans="1:5" x14ac:dyDescent="0.25">
      <c r="A344" s="7">
        <v>122.98205285418567</v>
      </c>
      <c r="B344"/>
      <c r="C344"/>
      <c r="D344"/>
      <c r="E344"/>
    </row>
    <row r="345" spans="1:5" x14ac:dyDescent="0.25">
      <c r="A345" s="7">
        <v>120.5706400531232</v>
      </c>
      <c r="B345"/>
      <c r="C345"/>
      <c r="D345"/>
      <c r="E345"/>
    </row>
    <row r="346" spans="1:5" x14ac:dyDescent="0.25">
      <c r="A346" s="7">
        <v>118.20650985600314</v>
      </c>
      <c r="B346"/>
      <c r="C346"/>
      <c r="D346"/>
      <c r="E346"/>
    </row>
    <row r="347" spans="1:5" x14ac:dyDescent="0.25">
      <c r="A347" s="7">
        <v>115.88873515294425</v>
      </c>
      <c r="B347"/>
      <c r="C347"/>
      <c r="D347"/>
      <c r="E347"/>
    </row>
    <row r="348" spans="1:5" x14ac:dyDescent="0.25">
      <c r="A348" s="7">
        <v>113.61640701269044</v>
      </c>
      <c r="B348"/>
      <c r="C348"/>
      <c r="D348"/>
      <c r="E348"/>
    </row>
    <row r="349" spans="1:5" x14ac:dyDescent="0.25">
      <c r="A349" s="7">
        <v>111.38863432616711</v>
      </c>
      <c r="B349"/>
      <c r="C349"/>
      <c r="D349"/>
      <c r="E349"/>
    </row>
    <row r="350" spans="1:5" x14ac:dyDescent="0.25">
      <c r="A350" s="7">
        <v>109.20454345702657</v>
      </c>
      <c r="B350"/>
      <c r="C350"/>
      <c r="D350"/>
      <c r="E350"/>
    </row>
    <row r="351" spans="1:5" x14ac:dyDescent="0.25">
      <c r="A351" s="7">
        <v>107.06327789904566</v>
      </c>
      <c r="B351"/>
      <c r="C351"/>
      <c r="D351"/>
      <c r="E351"/>
    </row>
    <row r="352" spans="1:5" x14ac:dyDescent="0.25">
      <c r="A352" s="7">
        <v>104.96399794024084</v>
      </c>
      <c r="B352"/>
      <c r="C352"/>
      <c r="D352"/>
      <c r="E352"/>
    </row>
    <row r="353" spans="1:5" x14ac:dyDescent="0.25">
      <c r="A353" s="7">
        <v>102.90588033356946</v>
      </c>
      <c r="B353"/>
      <c r="C353"/>
      <c r="D353"/>
      <c r="E353"/>
    </row>
    <row r="354" spans="1:5" x14ac:dyDescent="0.25">
      <c r="A354" s="7">
        <v>100.88811797408771</v>
      </c>
      <c r="B354"/>
      <c r="C354"/>
      <c r="D354"/>
      <c r="E354"/>
    </row>
    <row r="355" spans="1:5" x14ac:dyDescent="0.25">
      <c r="A355" s="7">
        <v>98.909919582438931</v>
      </c>
      <c r="B355"/>
      <c r="C355"/>
      <c r="D355"/>
      <c r="E355"/>
    </row>
    <row r="356" spans="1:5" x14ac:dyDescent="0.25">
      <c r="A356" s="7">
        <v>96.970509394547975</v>
      </c>
      <c r="B356"/>
      <c r="C356"/>
      <c r="D356"/>
      <c r="E356"/>
    </row>
    <row r="357" spans="1:5" x14ac:dyDescent="0.25">
      <c r="A357" s="7">
        <v>95.069126857399979</v>
      </c>
      <c r="B357"/>
      <c r="C357"/>
      <c r="D357"/>
      <c r="E357"/>
    </row>
    <row r="358" spans="1:5" x14ac:dyDescent="0.25">
      <c r="A358" s="7">
        <v>93.205026330784293</v>
      </c>
      <c r="B358"/>
      <c r="C358"/>
      <c r="D358"/>
      <c r="E358"/>
    </row>
    <row r="359" spans="1:5" x14ac:dyDescent="0.25">
      <c r="A359" s="7">
        <v>91.377476794886562</v>
      </c>
      <c r="B359"/>
      <c r="C359"/>
      <c r="D359"/>
      <c r="E359"/>
    </row>
    <row r="360" spans="1:5" x14ac:dyDescent="0.25">
      <c r="A360" s="7">
        <v>89.58576156361427</v>
      </c>
      <c r="B360"/>
      <c r="C360"/>
      <c r="D360"/>
      <c r="E360"/>
    </row>
    <row r="361" spans="1:5" x14ac:dyDescent="0.25">
      <c r="A361" s="7">
        <v>87.829178003543404</v>
      </c>
      <c r="B361"/>
      <c r="C361"/>
      <c r="D361"/>
      <c r="E361"/>
    </row>
    <row r="362" spans="1:5" x14ac:dyDescent="0.25">
      <c r="A362" s="7">
        <v>86.107037258375883</v>
      </c>
      <c r="B362"/>
      <c r="C362"/>
      <c r="D362"/>
      <c r="E362"/>
    </row>
    <row r="363" spans="1:5" x14ac:dyDescent="0.25">
      <c r="A363" s="7">
        <v>84.418663978799884</v>
      </c>
      <c r="B363"/>
      <c r="C363"/>
      <c r="D363"/>
      <c r="E363"/>
    </row>
    <row r="364" spans="1:5" x14ac:dyDescent="0.25">
      <c r="A364" s="7">
        <v>82.763396057646943</v>
      </c>
      <c r="B364"/>
      <c r="C364"/>
      <c r="D364"/>
      <c r="E364"/>
    </row>
    <row r="365" spans="1:5" x14ac:dyDescent="0.25">
      <c r="A365" s="7">
        <v>81.140584370242095</v>
      </c>
      <c r="B365"/>
      <c r="C365"/>
      <c r="D365"/>
      <c r="E365"/>
    </row>
    <row r="366" spans="1:5" x14ac:dyDescent="0.25">
      <c r="A366" s="7">
        <v>79.549592519845191</v>
      </c>
      <c r="B366"/>
      <c r="C366"/>
      <c r="D366"/>
      <c r="E366"/>
    </row>
    <row r="367" spans="1:5" x14ac:dyDescent="0.25">
      <c r="A367" s="7">
        <v>77.989796588083522</v>
      </c>
      <c r="B367"/>
      <c r="C367"/>
      <c r="D367"/>
      <c r="E367"/>
    </row>
    <row r="368" spans="1:5" x14ac:dyDescent="0.25">
      <c r="A368" s="7">
        <v>76.460584890277957</v>
      </c>
      <c r="B368"/>
      <c r="C368"/>
      <c r="D368"/>
      <c r="E368"/>
    </row>
    <row r="369" spans="1:5" x14ac:dyDescent="0.25">
      <c r="A369" s="7">
        <v>74.961357735566622</v>
      </c>
      <c r="B369"/>
      <c r="C369"/>
      <c r="D369"/>
      <c r="E369"/>
    </row>
    <row r="370" spans="1:5" x14ac:dyDescent="0.25">
      <c r="A370" s="7">
        <v>73.491527191731976</v>
      </c>
      <c r="B370"/>
      <c r="C370"/>
      <c r="D370"/>
      <c r="E370"/>
    </row>
    <row r="371" spans="1:5" x14ac:dyDescent="0.25">
      <c r="A371" s="7">
        <v>72.050516854639184</v>
      </c>
      <c r="B371"/>
      <c r="C371"/>
      <c r="D371"/>
      <c r="E371"/>
    </row>
    <row r="372" spans="1:5" x14ac:dyDescent="0.25">
      <c r="A372" s="7">
        <v>70.637761622195271</v>
      </c>
      <c r="B372"/>
      <c r="C372"/>
      <c r="D372"/>
      <c r="E372"/>
    </row>
    <row r="373" spans="1:5" x14ac:dyDescent="0.25">
      <c r="A373" s="7">
        <v>69.252707472740454</v>
      </c>
      <c r="B373"/>
      <c r="C373"/>
      <c r="D373"/>
      <c r="E373"/>
    </row>
    <row r="374" spans="1:5" x14ac:dyDescent="0.25">
      <c r="A374" s="7">
        <v>67.894811247784759</v>
      </c>
      <c r="B374"/>
      <c r="C374"/>
      <c r="D374"/>
      <c r="E374"/>
    </row>
    <row r="375" spans="1:5" x14ac:dyDescent="0.25">
      <c r="A375" s="7">
        <v>66.563540439004669</v>
      </c>
      <c r="B375"/>
      <c r="C375"/>
      <c r="D375"/>
      <c r="E375"/>
    </row>
    <row r="376" spans="1:5" x14ac:dyDescent="0.25">
      <c r="A376" s="7">
        <v>65.258372979416336</v>
      </c>
      <c r="B376"/>
      <c r="C376"/>
      <c r="D376"/>
      <c r="E376"/>
    </row>
    <row r="377" spans="1:5" x14ac:dyDescent="0.25">
      <c r="A377" s="7">
        <v>63.978797038643471</v>
      </c>
      <c r="B377"/>
      <c r="C377"/>
      <c r="D377"/>
      <c r="E377"/>
    </row>
    <row r="378" spans="1:5" x14ac:dyDescent="0.25">
      <c r="A378" s="7">
        <v>62.724310822199477</v>
      </c>
      <c r="B378"/>
      <c r="C378"/>
      <c r="D378"/>
      <c r="E378"/>
    </row>
    <row r="379" spans="1:5" x14ac:dyDescent="0.25">
      <c r="A379" s="7">
        <v>61.494422374705366</v>
      </c>
      <c r="B379"/>
      <c r="C379"/>
      <c r="D379"/>
      <c r="E379"/>
    </row>
    <row r="380" spans="1:5" x14ac:dyDescent="0.25">
      <c r="A380" s="7">
        <v>60.288649386966043</v>
      </c>
      <c r="B380"/>
      <c r="C380"/>
      <c r="D380"/>
      <c r="E380"/>
    </row>
    <row r="381" spans="1:5" x14ac:dyDescent="0.25">
      <c r="A381" s="7">
        <v>59.106519006829451</v>
      </c>
      <c r="B381"/>
      <c r="C381"/>
      <c r="D381"/>
      <c r="E381"/>
    </row>
    <row r="382" spans="1:5" x14ac:dyDescent="0.25">
      <c r="A382" s="7">
        <v>57.947567653754362</v>
      </c>
      <c r="B382"/>
      <c r="C382"/>
      <c r="D382"/>
      <c r="E382"/>
    </row>
    <row r="383" spans="1:5" x14ac:dyDescent="0.25">
      <c r="A383" s="7">
        <v>56.811340837014079</v>
      </c>
      <c r="B383"/>
      <c r="C383"/>
      <c r="D383"/>
      <c r="E383"/>
    </row>
    <row r="384" spans="1:5" x14ac:dyDescent="0.25">
      <c r="A384" s="7">
        <v>55.69739297746478</v>
      </c>
      <c r="B384"/>
      <c r="C384"/>
      <c r="D384"/>
      <c r="E384"/>
    </row>
    <row r="385" spans="1:5" x14ac:dyDescent="0.25">
      <c r="A385" s="7">
        <v>54.605287232808607</v>
      </c>
      <c r="B385"/>
      <c r="C385"/>
      <c r="D385"/>
      <c r="E385"/>
    </row>
    <row r="386" spans="1:5" x14ac:dyDescent="0.25">
      <c r="A386" s="7">
        <v>53.534595326282947</v>
      </c>
      <c r="B386"/>
      <c r="C386"/>
      <c r="D386"/>
      <c r="E386"/>
    </row>
    <row r="387" spans="1:5" x14ac:dyDescent="0.25">
      <c r="A387" s="7">
        <v>52.484897378708773</v>
      </c>
      <c r="B387"/>
      <c r="C387"/>
      <c r="D387"/>
      <c r="E387"/>
    </row>
    <row r="388" spans="1:5" x14ac:dyDescent="0.25">
      <c r="A388" s="7">
        <v>51.455781743832127</v>
      </c>
      <c r="B388"/>
      <c r="C388"/>
      <c r="D388"/>
      <c r="E388"/>
    </row>
    <row r="389" spans="1:5" x14ac:dyDescent="0.25">
      <c r="A389" s="7">
        <v>50.446844846894244</v>
      </c>
      <c r="B389"/>
      <c r="C389"/>
      <c r="D389"/>
      <c r="E389"/>
    </row>
    <row r="390" spans="1:5" x14ac:dyDescent="0.25">
      <c r="A390" s="7">
        <v>49.457691026366902</v>
      </c>
      <c r="B390"/>
      <c r="C390"/>
      <c r="D390"/>
      <c r="E390"/>
    </row>
    <row r="391" spans="1:5" x14ac:dyDescent="0.25">
      <c r="A391" s="7">
        <v>48.487932378791079</v>
      </c>
      <c r="B391"/>
      <c r="C391"/>
      <c r="D391"/>
      <c r="E391"/>
    </row>
    <row r="392" spans="1:5" x14ac:dyDescent="0.25">
      <c r="A392" s="7">
        <v>47.537188606657921</v>
      </c>
      <c r="B392"/>
      <c r="C392"/>
      <c r="D392"/>
      <c r="E392"/>
    </row>
    <row r="393" spans="1:5" x14ac:dyDescent="0.25">
      <c r="A393" s="7">
        <v>46.605086869272469</v>
      </c>
      <c r="B393"/>
      <c r="C393"/>
      <c r="D393"/>
      <c r="E393"/>
    </row>
    <row r="394" spans="1:5" x14ac:dyDescent="0.25">
      <c r="A394" s="7">
        <v>45.691261636541633</v>
      </c>
      <c r="B394"/>
      <c r="C394"/>
      <c r="D394"/>
      <c r="E394"/>
    </row>
    <row r="395" spans="1:5" x14ac:dyDescent="0.25">
      <c r="A395" s="7">
        <v>44.795354545629053</v>
      </c>
      <c r="B395"/>
      <c r="C395"/>
      <c r="D395"/>
      <c r="E395"/>
    </row>
    <row r="396" spans="1:5" x14ac:dyDescent="0.25">
      <c r="A396" s="7">
        <v>43.917014260420636</v>
      </c>
      <c r="B396"/>
      <c r="C396"/>
      <c r="D396"/>
      <c r="E396"/>
    </row>
    <row r="397" spans="1:5" x14ac:dyDescent="0.25">
      <c r="A397" s="7">
        <v>43.055896333745721</v>
      </c>
      <c r="B397"/>
      <c r="C397"/>
      <c r="D397"/>
      <c r="E397"/>
    </row>
    <row r="398" spans="1:5" x14ac:dyDescent="0.25">
      <c r="A398" s="7">
        <v>42.211663072299729</v>
      </c>
      <c r="B398"/>
      <c r="C398"/>
      <c r="D398"/>
      <c r="E398"/>
    </row>
    <row r="399" spans="1:5" x14ac:dyDescent="0.25">
      <c r="A399" s="7">
        <v>41.383983404215421</v>
      </c>
      <c r="B399"/>
      <c r="C399"/>
      <c r="D399"/>
      <c r="E399"/>
    </row>
    <row r="400" spans="1:5" x14ac:dyDescent="0.25">
      <c r="A400" s="7">
        <v>40.572532749230803</v>
      </c>
      <c r="B400"/>
      <c r="C400"/>
      <c r="D400"/>
      <c r="E400"/>
    </row>
    <row r="401" spans="1:5" x14ac:dyDescent="0.25">
      <c r="A401" s="7">
        <v>39.776992891402749</v>
      </c>
      <c r="B401"/>
      <c r="C401"/>
      <c r="D401"/>
      <c r="E401"/>
    </row>
    <row r="402" spans="1:5" x14ac:dyDescent="0.25">
      <c r="A402" s="7">
        <v>38.997051854316418</v>
      </c>
      <c r="B402"/>
      <c r="C402"/>
      <c r="D402"/>
      <c r="E402"/>
    </row>
    <row r="403" spans="1:5" x14ac:dyDescent="0.25">
      <c r="A403" s="7">
        <v>38.232403778741585</v>
      </c>
      <c r="B403"/>
      <c r="C403"/>
      <c r="D403"/>
      <c r="E403"/>
    </row>
    <row r="404" spans="1:5" x14ac:dyDescent="0.25">
      <c r="A404" s="7">
        <v>37.48274880268783</v>
      </c>
      <c r="B404"/>
      <c r="C404"/>
      <c r="D404"/>
      <c r="E404"/>
    </row>
    <row r="405" spans="1:5" x14ac:dyDescent="0.25">
      <c r="A405" s="7">
        <v>36.747792943811596</v>
      </c>
      <c r="B405"/>
      <c r="C405"/>
      <c r="D405"/>
      <c r="E405"/>
    </row>
    <row r="406" spans="1:5" x14ac:dyDescent="0.25">
      <c r="A406" s="7">
        <v>36.027247984129012</v>
      </c>
      <c r="B406"/>
      <c r="C406"/>
      <c r="D406"/>
      <c r="E406"/>
    </row>
    <row r="407" spans="1:5" x14ac:dyDescent="0.25">
      <c r="A407" s="7">
        <v>35.320831356989224</v>
      </c>
      <c r="B407"/>
      <c r="C407"/>
      <c r="D407"/>
      <c r="E407"/>
    </row>
    <row r="408" spans="1:5" x14ac:dyDescent="0.25">
      <c r="A408" s="7">
        <v>34.628266036263945</v>
      </c>
      <c r="B408"/>
      <c r="C408"/>
      <c r="D408"/>
      <c r="E408"/>
    </row>
    <row r="409" spans="1:5" x14ac:dyDescent="0.25">
      <c r="A409" s="7">
        <v>33.949280427709752</v>
      </c>
      <c r="B409"/>
      <c r="C409"/>
      <c r="D409"/>
      <c r="E409"/>
    </row>
    <row r="410" spans="1:5" x14ac:dyDescent="0.25">
      <c r="A410" s="7">
        <v>33.28360826246054</v>
      </c>
      <c r="B410"/>
      <c r="C410"/>
      <c r="D410"/>
      <c r="E410"/>
    </row>
    <row r="411" spans="1:5" x14ac:dyDescent="0.25">
      <c r="A411" s="7">
        <v>32.630988492608374</v>
      </c>
      <c r="B411"/>
      <c r="C411"/>
      <c r="D411"/>
      <c r="E411"/>
    </row>
    <row r="412" spans="1:5" x14ac:dyDescent="0.25">
      <c r="A412" s="7">
        <v>31.99116518883174</v>
      </c>
      <c r="B412"/>
      <c r="C412"/>
      <c r="D412"/>
      <c r="E412"/>
    </row>
    <row r="413" spans="1:5" x14ac:dyDescent="0.25">
      <c r="A413" s="7">
        <v>31.363887440031117</v>
      </c>
      <c r="B413"/>
      <c r="C413"/>
      <c r="D413"/>
      <c r="E413"/>
    </row>
    <row r="414" spans="1:5" x14ac:dyDescent="0.25">
      <c r="A414" s="7">
        <v>30.748909254932467</v>
      </c>
      <c r="B414"/>
      <c r="C414"/>
      <c r="D414"/>
      <c r="E414"/>
    </row>
    <row r="415" spans="1:5" x14ac:dyDescent="0.25">
      <c r="A415" s="7">
        <v>30.145989465620065</v>
      </c>
      <c r="B415"/>
      <c r="C415"/>
      <c r="D415"/>
      <c r="E415"/>
    </row>
    <row r="416" spans="1:5" x14ac:dyDescent="0.25">
      <c r="A416" s="7">
        <v>29.55489163296085</v>
      </c>
      <c r="B416"/>
      <c r="C416"/>
      <c r="D416"/>
      <c r="E416"/>
    </row>
    <row r="417" spans="1:5" x14ac:dyDescent="0.25">
      <c r="A417" s="7">
        <v>28.975383953883185</v>
      </c>
      <c r="B417"/>
      <c r="C417"/>
      <c r="D417"/>
      <c r="E417"/>
    </row>
    <row r="418" spans="1:5" x14ac:dyDescent="0.25">
      <c r="A418" s="7">
        <v>28.407239170473709</v>
      </c>
      <c r="B418"/>
      <c r="C418"/>
      <c r="D418"/>
      <c r="E418"/>
    </row>
    <row r="419" spans="1:5" x14ac:dyDescent="0.25">
      <c r="A419" s="7">
        <v>27.850234480856578</v>
      </c>
      <c r="B419"/>
      <c r="C419"/>
      <c r="D419"/>
      <c r="E419"/>
    </row>
    <row r="420" spans="1:5" x14ac:dyDescent="0.25">
      <c r="A420" s="7">
        <v>27.304151451820175</v>
      </c>
      <c r="B420"/>
      <c r="C420"/>
      <c r="D420"/>
      <c r="E420"/>
    </row>
    <row r="421" spans="1:5" x14ac:dyDescent="0.25">
      <c r="A421" s="7">
        <v>26.768775933157034</v>
      </c>
      <c r="B421"/>
      <c r="C421"/>
      <c r="D421"/>
      <c r="E421"/>
    </row>
    <row r="422" spans="1:5" x14ac:dyDescent="0.25">
      <c r="A422" s="7">
        <v>26.243897973683367</v>
      </c>
      <c r="B422"/>
      <c r="C422"/>
      <c r="D422"/>
      <c r="E422"/>
    </row>
    <row r="423" spans="1:5" x14ac:dyDescent="0.25">
      <c r="A423" s="7">
        <v>25.729311738905263</v>
      </c>
      <c r="B423"/>
      <c r="C423"/>
      <c r="D423"/>
      <c r="E423"/>
    </row>
    <row r="424" spans="1:5" x14ac:dyDescent="0.25">
      <c r="A424" s="7">
        <v>25.224815430299277</v>
      </c>
      <c r="B424"/>
      <c r="C424"/>
      <c r="D424"/>
      <c r="E424"/>
    </row>
    <row r="425" spans="1:5" x14ac:dyDescent="0.25">
      <c r="A425" s="7">
        <v>24.73021120617576</v>
      </c>
      <c r="B425"/>
      <c r="C425"/>
      <c r="D425"/>
      <c r="E425"/>
    </row>
    <row r="426" spans="1:5" x14ac:dyDescent="0.25">
      <c r="A426" s="7">
        <v>24.24530510409388</v>
      </c>
      <c r="B426"/>
      <c r="C426"/>
      <c r="D426"/>
      <c r="E426"/>
    </row>
    <row r="427" spans="1:5" x14ac:dyDescent="0.25">
      <c r="A427" s="7">
        <v>23.769906964797922</v>
      </c>
      <c r="B427"/>
      <c r="C427"/>
      <c r="D427"/>
      <c r="E427"/>
    </row>
    <row r="428" spans="1:5" x14ac:dyDescent="0.25">
      <c r="A428" s="7">
        <v>23.303830357645023</v>
      </c>
      <c r="B428"/>
      <c r="C428"/>
      <c r="D428"/>
      <c r="E428"/>
    </row>
    <row r="429" spans="1:5" x14ac:dyDescent="0.25">
      <c r="A429" s="7">
        <v>22.84689250749512</v>
      </c>
      <c r="B429"/>
      <c r="C429"/>
      <c r="D429"/>
      <c r="E429"/>
    </row>
    <row r="430" spans="1:5" x14ac:dyDescent="0.25">
      <c r="A430" s="7">
        <v>22.398914223034431</v>
      </c>
      <c r="B430"/>
      <c r="C430"/>
      <c r="D430"/>
      <c r="E430"/>
    </row>
    <row r="431" spans="1:5" x14ac:dyDescent="0.25">
      <c r="A431" s="7">
        <v>21.959719826504344</v>
      </c>
      <c r="B431"/>
      <c r="C431"/>
      <c r="D431"/>
      <c r="E431"/>
    </row>
    <row r="432" spans="1:5" x14ac:dyDescent="0.25">
      <c r="A432" s="7">
        <v>21.52913708480818</v>
      </c>
      <c r="B432"/>
      <c r="C432"/>
      <c r="D432"/>
      <c r="E432"/>
    </row>
    <row r="433" spans="1:5" x14ac:dyDescent="0.25">
      <c r="A433" s="7">
        <v>21.106997141968804</v>
      </c>
      <c r="B433"/>
      <c r="C433"/>
      <c r="D433"/>
      <c r="E433"/>
    </row>
    <row r="434" spans="1:5" x14ac:dyDescent="0.25">
      <c r="A434" s="7">
        <v>20.693134452910591</v>
      </c>
      <c r="B434"/>
      <c r="C434"/>
      <c r="D434"/>
      <c r="E434"/>
    </row>
    <row r="435" spans="1:5" x14ac:dyDescent="0.25">
      <c r="A435" s="7">
        <v>20.287386718539796</v>
      </c>
      <c r="B435"/>
      <c r="C435"/>
      <c r="D435"/>
      <c r="E435"/>
    </row>
    <row r="436" spans="1:5" x14ac:dyDescent="0.25">
      <c r="A436" s="7">
        <v>19.889594822097838</v>
      </c>
      <c r="B436"/>
      <c r="C436"/>
      <c r="D436"/>
      <c r="E436"/>
    </row>
    <row r="437" spans="1:5" x14ac:dyDescent="0.25">
      <c r="A437" s="7">
        <v>19.499602766762585</v>
      </c>
      <c r="B437"/>
      <c r="C437"/>
      <c r="D437"/>
      <c r="E437"/>
    </row>
    <row r="438" spans="1:5" x14ac:dyDescent="0.25">
      <c r="A438" s="7">
        <v>19.117257614473122</v>
      </c>
      <c r="B438"/>
      <c r="C438"/>
      <c r="D438"/>
      <c r="E438"/>
    </row>
    <row r="439" spans="1:5" x14ac:dyDescent="0.25">
      <c r="A439" s="7">
        <v>18.74240942595404</v>
      </c>
      <c r="B439"/>
      <c r="C439"/>
      <c r="D439"/>
      <c r="E439"/>
    </row>
    <row r="440" spans="1:5" x14ac:dyDescent="0.25">
      <c r="A440" s="7">
        <v>18.374911201915726</v>
      </c>
      <c r="B440"/>
      <c r="C440"/>
      <c r="D440"/>
      <c r="E440"/>
    </row>
    <row r="441" spans="1:5" x14ac:dyDescent="0.25">
      <c r="A441" s="7">
        <v>18.014618825407574</v>
      </c>
      <c r="B441"/>
      <c r="C441"/>
      <c r="D441"/>
      <c r="E441"/>
    </row>
    <row r="442" spans="1:5" x14ac:dyDescent="0.25">
      <c r="A442" s="7">
        <v>17.661391005301542</v>
      </c>
      <c r="B442"/>
      <c r="C442"/>
      <c r="D442"/>
      <c r="E442"/>
    </row>
    <row r="443" spans="1:5" x14ac:dyDescent="0.25">
      <c r="A443" s="7">
        <v>17.315089220883866</v>
      </c>
      <c r="B443"/>
      <c r="C443"/>
      <c r="D443"/>
      <c r="E443"/>
    </row>
    <row r="444" spans="1:5" x14ac:dyDescent="0.25">
      <c r="A444" s="7">
        <v>16.975577667533202</v>
      </c>
      <c r="B444"/>
      <c r="C444"/>
      <c r="D444"/>
      <c r="E444"/>
    </row>
    <row r="445" spans="1:5" x14ac:dyDescent="0.25">
      <c r="A445" s="7">
        <v>16.642723203463923</v>
      </c>
      <c r="B445"/>
      <c r="C445"/>
      <c r="D445"/>
      <c r="E445"/>
    </row>
    <row r="446" spans="1:5" x14ac:dyDescent="0.25">
      <c r="A446" s="7">
        <v>16.316395297513651</v>
      </c>
      <c r="B446"/>
      <c r="C446"/>
      <c r="D446"/>
      <c r="E446"/>
    </row>
    <row r="447" spans="1:5" x14ac:dyDescent="0.25">
      <c r="A447" s="7">
        <v>15.996465977954561</v>
      </c>
      <c r="B447"/>
      <c r="C447"/>
      <c r="D447"/>
      <c r="E447"/>
    </row>
    <row r="448" spans="1:5" x14ac:dyDescent="0.25">
      <c r="A448" s="7">
        <v>15.682809782308393</v>
      </c>
      <c r="B448"/>
      <c r="C448"/>
      <c r="D448"/>
      <c r="E448"/>
    </row>
    <row r="449" spans="1:5" x14ac:dyDescent="0.25">
      <c r="A449" s="7">
        <v>15.375303708145482</v>
      </c>
      <c r="B449"/>
      <c r="C449"/>
      <c r="D449"/>
      <c r="E449"/>
    </row>
    <row r="450" spans="1:5" x14ac:dyDescent="0.25">
      <c r="A450" s="7">
        <v>15.073827164848511</v>
      </c>
      <c r="B450"/>
      <c r="C450"/>
      <c r="D450"/>
      <c r="E450"/>
    </row>
    <row r="451" spans="1:5" x14ac:dyDescent="0.25">
      <c r="A451" s="7">
        <v>14.77826192632207</v>
      </c>
      <c r="B451"/>
      <c r="C451"/>
      <c r="D451"/>
      <c r="E451"/>
    </row>
    <row r="452" spans="1:5" x14ac:dyDescent="0.25">
      <c r="A452" s="7">
        <v>14.488492084629481</v>
      </c>
      <c r="B452"/>
      <c r="C452"/>
      <c r="D452"/>
      <c r="E452"/>
    </row>
    <row r="453" spans="1:5" x14ac:dyDescent="0.25">
      <c r="A453" s="7">
        <v>14.204404004538707</v>
      </c>
      <c r="B453"/>
      <c r="C453"/>
      <c r="D453"/>
      <c r="E453"/>
    </row>
    <row r="454" spans="1:5" x14ac:dyDescent="0.25">
      <c r="A454" s="7">
        <v>13.925886278959517</v>
      </c>
      <c r="B454"/>
      <c r="C454"/>
      <c r="D454"/>
      <c r="E454"/>
    </row>
    <row r="455" spans="1:5" x14ac:dyDescent="0.25">
      <c r="A455" s="7">
        <v>13.652829685254428</v>
      </c>
      <c r="B455"/>
      <c r="C455"/>
      <c r="D455"/>
      <c r="E455"/>
    </row>
    <row r="456" spans="1:5" x14ac:dyDescent="0.25">
      <c r="A456" s="7">
        <v>13.385127142406303</v>
      </c>
      <c r="B456"/>
      <c r="C456"/>
      <c r="D456"/>
      <c r="E456"/>
    </row>
    <row r="457" spans="1:5" x14ac:dyDescent="0.25">
      <c r="A457" s="7">
        <v>13.122673669025787</v>
      </c>
      <c r="B457"/>
      <c r="C457"/>
      <c r="D457"/>
      <c r="E457"/>
    </row>
    <row r="458" spans="1:5" x14ac:dyDescent="0.25">
      <c r="A458" s="7">
        <v>12.865366342182144</v>
      </c>
      <c r="B458"/>
      <c r="C458"/>
      <c r="D458"/>
      <c r="E458"/>
    </row>
    <row r="459" spans="1:5" x14ac:dyDescent="0.25">
      <c r="A459" s="7">
        <v>12.613104257041318</v>
      </c>
      <c r="B459"/>
      <c r="C459"/>
      <c r="D459"/>
      <c r="E459"/>
    </row>
    <row r="460" spans="1:5" x14ac:dyDescent="0.25">
      <c r="A460" s="7">
        <v>12.36578848729541</v>
      </c>
      <c r="B460"/>
      <c r="C460"/>
      <c r="D460"/>
      <c r="E460"/>
    </row>
    <row r="461" spans="1:5" x14ac:dyDescent="0.25">
      <c r="A461" s="7">
        <v>12.123322046368049</v>
      </c>
      <c r="B461"/>
      <c r="C461"/>
      <c r="D461"/>
      <c r="E461"/>
    </row>
    <row r="462" spans="1:5" x14ac:dyDescent="0.25">
      <c r="A462" s="7">
        <v>11.88560984938044</v>
      </c>
      <c r="B462"/>
      <c r="C462"/>
      <c r="D462"/>
      <c r="E462"/>
    </row>
    <row r="463" spans="1:5" x14ac:dyDescent="0.25">
      <c r="A463" s="7">
        <v>11.652558675863176</v>
      </c>
      <c r="B463"/>
      <c r="C463"/>
      <c r="D463"/>
      <c r="E463"/>
    </row>
    <row r="464" spans="1:5" x14ac:dyDescent="0.25">
      <c r="A464" s="7">
        <v>11.424077133199193</v>
      </c>
      <c r="B464"/>
      <c r="C464"/>
      <c r="D464"/>
      <c r="E464"/>
    </row>
    <row r="465" spans="1:5" x14ac:dyDescent="0.25">
      <c r="A465" s="7">
        <v>11.200075620783522</v>
      </c>
      <c r="B465"/>
      <c r="C465"/>
      <c r="D465"/>
      <c r="E465"/>
    </row>
    <row r="466" spans="1:5" x14ac:dyDescent="0.25">
      <c r="A466" s="7">
        <v>10.980466294885806</v>
      </c>
      <c r="B466"/>
      <c r="C466"/>
      <c r="D466"/>
      <c r="E466"/>
    </row>
    <row r="467" spans="1:5" x14ac:dyDescent="0.25">
      <c r="A467" s="7">
        <v>10.765163034201771</v>
      </c>
      <c r="B467"/>
      <c r="C467"/>
      <c r="D467"/>
      <c r="E467"/>
    </row>
    <row r="468" spans="1:5" x14ac:dyDescent="0.25">
      <c r="A468" s="7">
        <v>10.554081406080169</v>
      </c>
      <c r="B468"/>
      <c r="C468"/>
      <c r="D468"/>
      <c r="E468"/>
    </row>
    <row r="469" spans="1:5" x14ac:dyDescent="0.25">
      <c r="A469" s="7">
        <v>10.34713863341193</v>
      </c>
      <c r="B469"/>
      <c r="C469"/>
      <c r="D469"/>
      <c r="E469"/>
    </row>
    <row r="470" spans="1:5" x14ac:dyDescent="0.25">
      <c r="A470" s="7">
        <v>10.14425356216856</v>
      </c>
      <c r="B470"/>
      <c r="C470"/>
      <c r="D470"/>
      <c r="E470"/>
    </row>
    <row r="471" spans="1:5" x14ac:dyDescent="0.25">
      <c r="A471" s="7">
        <v>9.9453466295770188</v>
      </c>
      <c r="B471"/>
      <c r="C471"/>
      <c r="D471"/>
      <c r="E471"/>
    </row>
    <row r="472" spans="1:5" x14ac:dyDescent="0.25">
      <c r="A472" s="7">
        <v>9.7503398329186464</v>
      </c>
      <c r="B472"/>
      <c r="C472"/>
      <c r="D472"/>
      <c r="E472"/>
    </row>
    <row r="473" spans="1:5" x14ac:dyDescent="0.25">
      <c r="A473" s="7">
        <v>9.5591566989398498</v>
      </c>
      <c r="B473"/>
      <c r="C473"/>
      <c r="D473"/>
      <c r="E473"/>
    </row>
    <row r="474" spans="1:5" x14ac:dyDescent="0.25">
      <c r="A474" s="7">
        <v>9.3717222538625968</v>
      </c>
      <c r="B474"/>
      <c r="C474"/>
      <c r="D474"/>
      <c r="E474"/>
    </row>
    <row r="475" spans="1:5" x14ac:dyDescent="0.25">
      <c r="A475" s="7">
        <v>9.1879629939829375</v>
      </c>
      <c r="B475"/>
      <c r="C475"/>
      <c r="D475"/>
      <c r="E475"/>
    </row>
    <row r="476" spans="1:5" x14ac:dyDescent="0.25">
      <c r="A476" s="7">
        <v>9.0078068568460168</v>
      </c>
      <c r="B476"/>
      <c r="C476"/>
      <c r="D476"/>
      <c r="E476"/>
    </row>
    <row r="477" spans="1:5" x14ac:dyDescent="0.25">
      <c r="A477" s="7">
        <v>8.8311831929862912</v>
      </c>
      <c r="B477"/>
      <c r="C477"/>
      <c r="D477"/>
      <c r="E477"/>
    </row>
    <row r="478" spans="1:5" x14ac:dyDescent="0.25">
      <c r="A478" s="7">
        <v>8.6580227382218542</v>
      </c>
      <c r="B478"/>
      <c r="C478"/>
      <c r="D478"/>
      <c r="E478"/>
    </row>
    <row r="479" spans="1:5" x14ac:dyDescent="0.25">
      <c r="A479" s="7">
        <v>8.4882575864920131</v>
      </c>
      <c r="B479"/>
      <c r="C479"/>
      <c r="D479"/>
      <c r="E479"/>
    </row>
    <row r="480" spans="1:5" x14ac:dyDescent="0.25">
      <c r="A480" s="7">
        <v>8.3218211632274635</v>
      </c>
      <c r="B480"/>
      <c r="C480"/>
      <c r="D480"/>
      <c r="E480"/>
    </row>
    <row r="481" spans="1:5" x14ac:dyDescent="0.25">
      <c r="A481" s="7">
        <v>8.1586481992426112</v>
      </c>
      <c r="B481"/>
      <c r="C481"/>
      <c r="D481"/>
      <c r="E481"/>
    </row>
    <row r="482" spans="1:5" x14ac:dyDescent="0.25">
      <c r="A482" s="7">
        <v>7.9986747051398144</v>
      </c>
      <c r="B482"/>
      <c r="C482"/>
      <c r="D482"/>
      <c r="E482"/>
    </row>
    <row r="483" spans="1:5" x14ac:dyDescent="0.25">
      <c r="A483" s="7">
        <v>7.8418379462155041</v>
      </c>
      <c r="B483"/>
      <c r="C483"/>
      <c r="D483"/>
      <c r="E483"/>
    </row>
    <row r="484" spans="1:5" x14ac:dyDescent="0.25">
      <c r="A484" s="7">
        <v>7.688076417858337</v>
      </c>
      <c r="B484"/>
      <c r="C484"/>
      <c r="D484"/>
      <c r="E484"/>
    </row>
    <row r="485" spans="1:5" x14ac:dyDescent="0.25">
      <c r="A485" s="7">
        <v>7.5373298214297417</v>
      </c>
      <c r="B485"/>
      <c r="C485"/>
      <c r="D485"/>
      <c r="E485"/>
    </row>
    <row r="486" spans="1:5" x14ac:dyDescent="0.25">
      <c r="A486" s="7">
        <v>7.389539040617394</v>
      </c>
      <c r="B486"/>
      <c r="C486"/>
      <c r="D486"/>
      <c r="E486"/>
    </row>
    <row r="487" spans="1:5" x14ac:dyDescent="0.25">
      <c r="A487" s="7">
        <v>7.2446461182523469</v>
      </c>
      <c r="B487"/>
      <c r="C487"/>
      <c r="D487"/>
      <c r="E487"/>
    </row>
    <row r="488" spans="1:5" x14ac:dyDescent="0.25">
      <c r="A488" s="7">
        <v>7.1025942335807324</v>
      </c>
      <c r="B488"/>
      <c r="C488"/>
      <c r="D488"/>
      <c r="E488"/>
    </row>
    <row r="489" spans="1:5" x14ac:dyDescent="0.25">
      <c r="A489" s="7">
        <v>6.9633276799811101</v>
      </c>
      <c r="B489"/>
      <c r="C489"/>
      <c r="D489"/>
      <c r="E489"/>
    </row>
    <row r="490" spans="1:5" x14ac:dyDescent="0.25">
      <c r="A490" s="7">
        <v>6.8267918431187349</v>
      </c>
      <c r="B490"/>
      <c r="C490"/>
      <c r="D490"/>
      <c r="E490"/>
    </row>
    <row r="491" spans="1:5" x14ac:dyDescent="0.25">
      <c r="A491" s="7">
        <v>6.692933179528171</v>
      </c>
      <c r="B491"/>
      <c r="C491"/>
      <c r="D491"/>
      <c r="E491"/>
    </row>
    <row r="492" spans="1:5" x14ac:dyDescent="0.25">
      <c r="A492" s="7">
        <v>6.5616991956158541</v>
      </c>
      <c r="B492"/>
      <c r="C492"/>
      <c r="D492"/>
      <c r="E492"/>
    </row>
    <row r="493" spans="1:5" x14ac:dyDescent="0.25">
      <c r="A493" s="7">
        <v>6.4330384270743668</v>
      </c>
      <c r="B493"/>
      <c r="C493"/>
      <c r="D493"/>
      <c r="E493"/>
    </row>
    <row r="494" spans="1:5" x14ac:dyDescent="0.25">
      <c r="A494" s="7">
        <v>6.3069004187003594</v>
      </c>
      <c r="B494"/>
      <c r="C494"/>
      <c r="D494"/>
      <c r="E494"/>
    </row>
    <row r="495" spans="1:5" x14ac:dyDescent="0.25">
      <c r="A495" s="7">
        <v>6.1832357046081956</v>
      </c>
      <c r="B495"/>
      <c r="C495"/>
      <c r="D495"/>
      <c r="E495"/>
    </row>
    <row r="496" spans="1:5" x14ac:dyDescent="0.25">
      <c r="A496" s="7">
        <v>6.0619957888315641</v>
      </c>
      <c r="B496"/>
      <c r="C496"/>
      <c r="D496"/>
      <c r="E496"/>
    </row>
    <row r="497" spans="1:5" x14ac:dyDescent="0.25">
      <c r="A497" s="7">
        <v>5.9431331263054545</v>
      </c>
      <c r="B497"/>
      <c r="C497"/>
      <c r="D497"/>
      <c r="E497"/>
    </row>
    <row r="498" spans="1:5" x14ac:dyDescent="0.25">
      <c r="A498" s="7">
        <v>5.8266011042210337</v>
      </c>
      <c r="B498"/>
      <c r="C498"/>
      <c r="D498"/>
      <c r="E498"/>
    </row>
    <row r="499" spans="1:5" x14ac:dyDescent="0.25">
      <c r="A499" s="7">
        <v>5.7123540237461112</v>
      </c>
      <c r="B499"/>
      <c r="C499"/>
      <c r="D499"/>
      <c r="E499"/>
    </row>
    <row r="500" spans="1:5" x14ac:dyDescent="0.25">
      <c r="A500" s="7">
        <v>5.6003470821040304</v>
      </c>
      <c r="B500"/>
      <c r="C500"/>
      <c r="D500"/>
      <c r="E500"/>
    </row>
    <row r="501" spans="1:5" x14ac:dyDescent="0.25">
      <c r="A501" s="7">
        <v>5.4905363550039512</v>
      </c>
      <c r="B501"/>
      <c r="C501"/>
      <c r="D501"/>
      <c r="E501"/>
    </row>
    <row r="502" spans="1:5" x14ac:dyDescent="0.25">
      <c r="A502" s="7">
        <v>5.3828787794156385</v>
      </c>
      <c r="B502"/>
      <c r="C502"/>
      <c r="D502"/>
      <c r="E502"/>
    </row>
    <row r="503" spans="1:5" x14ac:dyDescent="0.25">
      <c r="A503" s="7">
        <v>5.2773321366819985</v>
      </c>
      <c r="B503"/>
      <c r="C503"/>
      <c r="D503"/>
      <c r="E503"/>
    </row>
    <row r="504" spans="1:5" x14ac:dyDescent="0.25">
      <c r="A504" s="7">
        <v>5.1738550359627435</v>
      </c>
      <c r="B504"/>
      <c r="C504"/>
      <c r="D504"/>
      <c r="E504"/>
    </row>
    <row r="505" spans="1:5" x14ac:dyDescent="0.25">
      <c r="A505" s="7">
        <v>5.07240689800269</v>
      </c>
      <c r="B505"/>
      <c r="C505"/>
      <c r="D505"/>
      <c r="E505"/>
    </row>
    <row r="506" spans="1:5" x14ac:dyDescent="0.25">
      <c r="A506" s="7">
        <v>4.9729479392183231</v>
      </c>
      <c r="B506"/>
      <c r="C506"/>
      <c r="D506"/>
      <c r="E506"/>
    </row>
    <row r="507" spans="1:5" x14ac:dyDescent="0.25">
      <c r="A507" s="7">
        <v>4.8754391560963954</v>
      </c>
      <c r="B507"/>
      <c r="C507"/>
      <c r="D507"/>
      <c r="E507"/>
    </row>
    <row r="508" spans="1:5" x14ac:dyDescent="0.25">
      <c r="A508" s="7">
        <v>4.7798423098984264</v>
      </c>
      <c r="B508"/>
      <c r="C508"/>
      <c r="D508"/>
      <c r="E508"/>
    </row>
    <row r="509" spans="1:5" x14ac:dyDescent="0.25">
      <c r="A509" s="7">
        <v>4.6861199116651235</v>
      </c>
      <c r="B509"/>
      <c r="C509"/>
      <c r="D509"/>
      <c r="E509"/>
    </row>
    <row r="510" spans="1:5" x14ac:dyDescent="0.25">
      <c r="A510" s="7">
        <v>4.5942352075148269</v>
      </c>
      <c r="B510"/>
      <c r="C510"/>
      <c r="D510"/>
      <c r="E510"/>
    </row>
    <row r="511" spans="1:5" x14ac:dyDescent="0.25">
      <c r="A511" s="7">
        <v>4.5041521642302227</v>
      </c>
      <c r="B511"/>
      <c r="C511"/>
      <c r="D511"/>
      <c r="E511"/>
    </row>
    <row r="512" spans="1:5" x14ac:dyDescent="0.25">
      <c r="A512" s="7">
        <v>4.4158354551276693</v>
      </c>
      <c r="B512"/>
      <c r="C512"/>
      <c r="D512"/>
      <c r="E512"/>
    </row>
    <row r="513" spans="1:5" x14ac:dyDescent="0.25">
      <c r="A513" s="7">
        <v>4.3292504462035977</v>
      </c>
      <c r="B513"/>
      <c r="C513"/>
      <c r="D513"/>
      <c r="E513"/>
    </row>
    <row r="514" spans="1:5" x14ac:dyDescent="0.25">
      <c r="A514" s="7">
        <v>4.2443631825525463</v>
      </c>
      <c r="B514"/>
      <c r="C514"/>
      <c r="D514"/>
      <c r="E514"/>
    </row>
    <row r="515" spans="1:5" x14ac:dyDescent="0.25">
      <c r="A515" s="7">
        <v>4.1611403750515157</v>
      </c>
      <c r="B515"/>
      <c r="C515"/>
      <c r="D515"/>
      <c r="E515"/>
    </row>
    <row r="516" spans="1:5" x14ac:dyDescent="0.25">
      <c r="A516" s="7">
        <v>4.0795493873054074</v>
      </c>
      <c r="B516"/>
      <c r="C516"/>
      <c r="D516"/>
      <c r="E516"/>
    </row>
    <row r="517" spans="1:5" x14ac:dyDescent="0.25">
      <c r="A517" s="7">
        <v>3.9995582228484383</v>
      </c>
      <c r="B517"/>
      <c r="C517"/>
      <c r="D517"/>
      <c r="E517"/>
    </row>
    <row r="518" spans="1:5" x14ac:dyDescent="0.25">
      <c r="A518" s="7">
        <v>3.9211355125965079</v>
      </c>
      <c r="B518"/>
      <c r="C518"/>
      <c r="D518"/>
      <c r="E518"/>
    </row>
    <row r="519" spans="1:5" x14ac:dyDescent="0.25">
      <c r="A519" s="7">
        <v>3.844250502545596</v>
      </c>
      <c r="B519"/>
      <c r="C519"/>
      <c r="D519"/>
      <c r="E519"/>
    </row>
    <row r="520" spans="1:5" x14ac:dyDescent="0.25">
      <c r="A520" s="7">
        <v>3.7688730417113687</v>
      </c>
      <c r="B520"/>
      <c r="C520"/>
      <c r="D520"/>
      <c r="E520"/>
    </row>
    <row r="521" spans="1:5" x14ac:dyDescent="0.25">
      <c r="A521" s="7">
        <v>3.6949735703052635</v>
      </c>
      <c r="B521"/>
      <c r="C521"/>
      <c r="D521"/>
      <c r="E521"/>
    </row>
    <row r="522" spans="1:5" x14ac:dyDescent="0.25">
      <c r="A522" s="7">
        <v>3.6225231081424152</v>
      </c>
      <c r="B522"/>
      <c r="C522"/>
      <c r="D522"/>
      <c r="E522"/>
    </row>
    <row r="523" spans="1:5" x14ac:dyDescent="0.25">
      <c r="A523" s="7">
        <v>3.5514932432768775</v>
      </c>
      <c r="B523"/>
      <c r="C523"/>
      <c r="D523"/>
      <c r="E523"/>
    </row>
    <row r="524" spans="1:5" x14ac:dyDescent="0.25">
      <c r="A524" s="7">
        <v>3.4818561208596837</v>
      </c>
      <c r="B524"/>
      <c r="C524"/>
      <c r="D524"/>
      <c r="E524"/>
    </row>
    <row r="525" spans="1:5" x14ac:dyDescent="0.25">
      <c r="A525" s="7">
        <v>3.4135844322153761</v>
      </c>
      <c r="B525"/>
      <c r="C525"/>
      <c r="D525"/>
      <c r="E525"/>
    </row>
    <row r="526" spans="1:5" x14ac:dyDescent="0.25">
      <c r="A526" s="7">
        <v>3.3466514041327216</v>
      </c>
      <c r="B526"/>
      <c r="C526"/>
      <c r="D526"/>
      <c r="E526"/>
    </row>
    <row r="527" spans="1:5" x14ac:dyDescent="0.25">
      <c r="A527" s="7">
        <v>3.2810307883654133</v>
      </c>
      <c r="B527"/>
      <c r="C527"/>
      <c r="D527"/>
      <c r="E527"/>
    </row>
    <row r="528" spans="1:5" x14ac:dyDescent="0.25">
      <c r="A528" s="7">
        <v>3.2166968513386403</v>
      </c>
      <c r="B528"/>
      <c r="C528"/>
      <c r="D528"/>
      <c r="E528"/>
    </row>
    <row r="529" spans="1:5" x14ac:dyDescent="0.25">
      <c r="A529" s="7">
        <v>3.1536243640574906</v>
      </c>
      <c r="B529"/>
      <c r="C529"/>
      <c r="D529"/>
      <c r="E529"/>
    </row>
    <row r="530" spans="1:5" x14ac:dyDescent="0.25">
      <c r="A530" s="7">
        <v>3.0917885922132262</v>
      </c>
      <c r="B530"/>
      <c r="C530"/>
      <c r="D530"/>
      <c r="E530"/>
    </row>
    <row r="531" spans="1:5" x14ac:dyDescent="0.25">
      <c r="A531" s="7">
        <v>3.0311652864835552</v>
      </c>
      <c r="B531"/>
      <c r="C531"/>
      <c r="D531"/>
      <c r="E531"/>
    </row>
    <row r="532" spans="1:5" x14ac:dyDescent="0.25">
      <c r="A532" s="7">
        <v>2.9717306730230932</v>
      </c>
      <c r="B532"/>
      <c r="C532"/>
      <c r="D532"/>
      <c r="E532"/>
    </row>
    <row r="533" spans="1:5" x14ac:dyDescent="0.25">
      <c r="A533" s="7">
        <v>2.9134614441402875</v>
      </c>
      <c r="B533"/>
      <c r="C533"/>
      <c r="D533"/>
      <c r="E533"/>
    </row>
    <row r="534" spans="1:5" x14ac:dyDescent="0.25">
      <c r="A534" s="7">
        <v>2.8563347491571447</v>
      </c>
      <c r="B534"/>
      <c r="C534"/>
      <c r="D534"/>
      <c r="E534"/>
    </row>
    <row r="535" spans="1:5" x14ac:dyDescent="0.25">
      <c r="A535" s="7">
        <v>2.8003281854481812</v>
      </c>
      <c r="B535"/>
      <c r="C535"/>
      <c r="D535"/>
      <c r="E535"/>
    </row>
    <row r="536" spans="1:5" x14ac:dyDescent="0.25">
      <c r="A536" s="7">
        <v>2.7454197896550796</v>
      </c>
      <c r="B536"/>
      <c r="C536"/>
      <c r="D536"/>
      <c r="E536"/>
    </row>
    <row r="537" spans="1:5" x14ac:dyDescent="0.25">
      <c r="A537" s="7">
        <v>2.6915880290736074</v>
      </c>
      <c r="B537"/>
      <c r="C537"/>
      <c r="D537"/>
      <c r="E537"/>
    </row>
    <row r="538" spans="1:5" x14ac:dyDescent="0.25">
      <c r="A538" s="7">
        <v>2.6388117932094191</v>
      </c>
      <c r="B538"/>
      <c r="C538"/>
      <c r="D538"/>
      <c r="E538"/>
    </row>
    <row r="539" spans="1:5" x14ac:dyDescent="0.25">
      <c r="A539" s="7">
        <v>2.5870703854994304</v>
      </c>
      <c r="B539"/>
      <c r="C539"/>
      <c r="D539"/>
      <c r="E539"/>
    </row>
    <row r="540" spans="1:5" x14ac:dyDescent="0.25">
      <c r="A540" s="7">
        <v>2.53634351519552</v>
      </c>
      <c r="B540"/>
      <c r="C540"/>
      <c r="D540"/>
      <c r="E540"/>
    </row>
    <row r="541" spans="1:5" x14ac:dyDescent="0.25">
      <c r="A541" s="7">
        <v>2.4866112894073726</v>
      </c>
      <c r="B541"/>
      <c r="C541"/>
      <c r="D541"/>
      <c r="E541"/>
    </row>
    <row r="542" spans="1:5" x14ac:dyDescent="0.25">
      <c r="A542" s="7">
        <v>2.4378542053013459</v>
      </c>
      <c r="B542"/>
      <c r="C542"/>
      <c r="D542"/>
      <c r="E542"/>
    </row>
    <row r="543" spans="1:5" x14ac:dyDescent="0.25">
      <c r="A543" s="7">
        <v>2.3900531424522997</v>
      </c>
      <c r="B543"/>
      <c r="C543"/>
      <c r="D543"/>
      <c r="E543"/>
    </row>
    <row r="544" spans="1:5" x14ac:dyDescent="0.25">
      <c r="A544" s="7">
        <v>2.343189355345392</v>
      </c>
      <c r="B544"/>
      <c r="C544"/>
      <c r="D544"/>
      <c r="E544"/>
    </row>
    <row r="545" spans="1:5" x14ac:dyDescent="0.25">
      <c r="A545" s="7">
        <v>2.2972444660248938</v>
      </c>
      <c r="B545"/>
      <c r="C545"/>
      <c r="D545"/>
      <c r="E545"/>
    </row>
    <row r="546" spans="1:5" x14ac:dyDescent="0.25">
      <c r="A546" s="7">
        <v>2.252200456887151</v>
      </c>
      <c r="B546"/>
      <c r="C546"/>
      <c r="D546"/>
      <c r="E546"/>
    </row>
    <row r="547" spans="1:5" x14ac:dyDescent="0.25">
      <c r="A547" s="7">
        <v>2.208039663614854</v>
      </c>
      <c r="B547"/>
      <c r="C547"/>
      <c r="D547"/>
      <c r="E547"/>
    </row>
    <row r="548" spans="1:5" x14ac:dyDescent="0.25">
      <c r="A548" s="7">
        <v>2.1647447682498568</v>
      </c>
      <c r="B548"/>
      <c r="C548"/>
      <c r="D548"/>
      <c r="E548"/>
    </row>
    <row r="549" spans="1:5" x14ac:dyDescent="0.25">
      <c r="A549" s="7">
        <v>2.1222987924018204</v>
      </c>
      <c r="B549"/>
      <c r="C549"/>
      <c r="D549"/>
      <c r="E549"/>
    </row>
    <row r="550" spans="1:5" x14ac:dyDescent="0.25">
      <c r="A550" s="7">
        <v>2.0806850905900198</v>
      </c>
      <c r="B550"/>
      <c r="C550"/>
      <c r="D550"/>
      <c r="E550"/>
    </row>
    <row r="551" spans="1:5" x14ac:dyDescent="0.25">
      <c r="A551" s="7">
        <v>2.0398873437157055</v>
      </c>
      <c r="B551"/>
      <c r="C551"/>
      <c r="D551"/>
      <c r="E551"/>
    </row>
    <row r="552" spans="1:5" x14ac:dyDescent="0.25">
      <c r="A552" s="7">
        <v>1.9998895526624565</v>
      </c>
      <c r="B552"/>
      <c r="C552"/>
      <c r="D552"/>
      <c r="E552"/>
    </row>
    <row r="553" spans="1:5" x14ac:dyDescent="0.25">
      <c r="A553" s="7">
        <v>1.9606760320220162</v>
      </c>
      <c r="B553"/>
      <c r="C553"/>
      <c r="D553"/>
      <c r="E553"/>
    </row>
    <row r="554" spans="1:5" x14ac:dyDescent="0.25">
      <c r="A554" s="7">
        <v>1.9222314039431532</v>
      </c>
      <c r="B554"/>
      <c r="C554"/>
      <c r="D554"/>
      <c r="E554"/>
    </row>
    <row r="555" spans="1:5" x14ac:dyDescent="0.25">
      <c r="A555" s="7">
        <v>1.8845405921011305</v>
      </c>
      <c r="B555"/>
      <c r="C555"/>
      <c r="D555"/>
      <c r="E555"/>
    </row>
    <row r="556" spans="1:5" x14ac:dyDescent="0.25">
      <c r="A556" s="7">
        <v>1.8475888157854219</v>
      </c>
      <c r="B556"/>
      <c r="C556"/>
      <c r="D556"/>
      <c r="E556"/>
    </row>
    <row r="557" spans="1:5" x14ac:dyDescent="0.25">
      <c r="A557" s="7">
        <v>1.8113615841033548</v>
      </c>
      <c r="B557"/>
      <c r="C557"/>
      <c r="D557"/>
      <c r="E557"/>
    </row>
    <row r="558" spans="1:5" x14ac:dyDescent="0.25">
      <c r="A558" s="7">
        <v>1.7758446902974065</v>
      </c>
      <c r="B558"/>
      <c r="C558"/>
      <c r="D558"/>
      <c r="E558"/>
    </row>
    <row r="559" spans="1:5" x14ac:dyDescent="0.25">
      <c r="A559" s="7">
        <v>1.7410242061739281</v>
      </c>
      <c r="B559"/>
      <c r="C559"/>
      <c r="D559"/>
      <c r="E559"/>
    </row>
    <row r="560" spans="1:5" x14ac:dyDescent="0.25">
      <c r="A560" s="7">
        <v>1.7068864766411058</v>
      </c>
      <c r="B560"/>
      <c r="C560"/>
      <c r="D560"/>
      <c r="E560"/>
    </row>
    <row r="561" spans="1:5" x14ac:dyDescent="0.25">
      <c r="A561" s="7">
        <v>1.6734181143540252</v>
      </c>
      <c r="B561"/>
      <c r="C561"/>
      <c r="D561"/>
      <c r="E561"/>
    </row>
    <row r="562" spans="1:5" x14ac:dyDescent="0.25">
      <c r="A562" s="7">
        <v>1.6406059944647307</v>
      </c>
      <c r="B562"/>
      <c r="C562"/>
      <c r="D562"/>
      <c r="E562"/>
    </row>
    <row r="563" spans="1:5" x14ac:dyDescent="0.25">
      <c r="A563" s="7">
        <v>1.6084372494752261</v>
      </c>
      <c r="B563"/>
      <c r="C563"/>
      <c r="D563"/>
      <c r="E563"/>
    </row>
    <row r="564" spans="1:5" x14ac:dyDescent="0.25">
      <c r="A564" s="7">
        <v>1.5768992641913981</v>
      </c>
      <c r="B564"/>
      <c r="C564"/>
      <c r="D564"/>
      <c r="E564"/>
    </row>
    <row r="565" spans="1:5" x14ac:dyDescent="0.25">
      <c r="A565" s="7">
        <v>1.5459796707758806</v>
      </c>
      <c r="B565"/>
      <c r="C565"/>
      <c r="D565"/>
      <c r="E565"/>
    </row>
    <row r="566" spans="1:5" x14ac:dyDescent="0.25">
      <c r="A566" s="7">
        <v>1.5156663438979221</v>
      </c>
      <c r="B566"/>
      <c r="C566"/>
      <c r="D566"/>
      <c r="E566"/>
    </row>
    <row r="567" spans="1:5" x14ac:dyDescent="0.25">
      <c r="A567" s="7">
        <v>1.4859473959783549</v>
      </c>
      <c r="B567"/>
      <c r="C567"/>
      <c r="D567"/>
      <c r="E567"/>
    </row>
    <row r="568" spans="1:5" x14ac:dyDescent="0.25">
      <c r="A568" s="7">
        <v>1.4568111725277988</v>
      </c>
      <c r="B568"/>
      <c r="C568"/>
      <c r="D568"/>
      <c r="E568"/>
    </row>
    <row r="569" spans="1:5" x14ac:dyDescent="0.25">
      <c r="A569" s="7">
        <v>1.4282462475762734</v>
      </c>
      <c r="B569"/>
      <c r="C569"/>
      <c r="D569"/>
      <c r="E569"/>
    </row>
    <row r="570" spans="1:5" x14ac:dyDescent="0.25">
      <c r="A570" s="7">
        <v>1.4002414191924248</v>
      </c>
      <c r="B570"/>
      <c r="C570"/>
      <c r="D570"/>
      <c r="E570"/>
    </row>
    <row r="571" spans="1:5" x14ac:dyDescent="0.25">
      <c r="A571" s="7">
        <v>1.3727857050906125</v>
      </c>
      <c r="B571"/>
      <c r="C571"/>
      <c r="D571"/>
      <c r="E571"/>
    </row>
    <row r="572" spans="1:5" x14ac:dyDescent="0.25">
      <c r="A572" s="7">
        <v>1.3458683383241299</v>
      </c>
      <c r="B572"/>
      <c r="C572"/>
      <c r="D572"/>
      <c r="E572"/>
    </row>
    <row r="573" spans="1:5" x14ac:dyDescent="0.25">
      <c r="A573" s="7">
        <v>1.3194787630628724</v>
      </c>
      <c r="B573"/>
      <c r="C573"/>
      <c r="D573"/>
      <c r="E573"/>
    </row>
    <row r="574" spans="1:5" x14ac:dyDescent="0.25">
      <c r="A574" s="7">
        <v>1.2936066304537963</v>
      </c>
      <c r="B574"/>
      <c r="C574"/>
      <c r="D574"/>
      <c r="E574"/>
    </row>
    <row r="575" spans="1:5" x14ac:dyDescent="0.25">
      <c r="A575" s="7">
        <v>1.2682417945625455</v>
      </c>
      <c r="B575"/>
      <c r="C575"/>
      <c r="D575"/>
      <c r="E575"/>
    </row>
    <row r="576" spans="1:5" x14ac:dyDescent="0.25">
      <c r="A576" s="7">
        <v>1.2433743083946525</v>
      </c>
      <c r="B576"/>
      <c r="C576"/>
      <c r="D576"/>
      <c r="E576"/>
    </row>
    <row r="577" spans="1:119" x14ac:dyDescent="0.25">
      <c r="A577" s="7">
        <v>1.2189944199947573</v>
      </c>
      <c r="B577"/>
      <c r="C577"/>
      <c r="D577"/>
      <c r="E577"/>
    </row>
    <row r="578" spans="1:119" x14ac:dyDescent="0.25">
      <c r="A578" s="7">
        <v>1.1950925686223111</v>
      </c>
      <c r="B578"/>
      <c r="C578"/>
      <c r="D578"/>
      <c r="E578"/>
      <c r="BQ578" s="27" t="s">
        <v>8</v>
      </c>
    </row>
    <row r="579" spans="1:119" x14ac:dyDescent="0.25">
      <c r="A579" s="7">
        <v>1.1716593810022657</v>
      </c>
      <c r="B579"/>
      <c r="C579"/>
      <c r="D579"/>
      <c r="E579"/>
      <c r="BO579" s="27" t="s">
        <v>8</v>
      </c>
      <c r="BQ579" s="27" t="s">
        <v>8</v>
      </c>
      <c r="BR579" s="27" t="s">
        <v>7</v>
      </c>
    </row>
    <row r="580" spans="1:119" x14ac:dyDescent="0.25">
      <c r="A580" s="7">
        <v>1.14868566764928</v>
      </c>
      <c r="B580"/>
      <c r="C580"/>
      <c r="D580"/>
      <c r="E580"/>
      <c r="BO580" s="27" t="s">
        <v>8</v>
      </c>
      <c r="BP580" s="27" t="s">
        <v>7</v>
      </c>
      <c r="BQ580" s="27" t="s">
        <v>8</v>
      </c>
      <c r="BR580" s="27" t="s">
        <v>7</v>
      </c>
    </row>
    <row r="581" spans="1:119" x14ac:dyDescent="0.25">
      <c r="A581" s="7">
        <v>1.1261624192640001</v>
      </c>
      <c r="B581"/>
      <c r="C581"/>
      <c r="D581"/>
      <c r="E581"/>
      <c r="BO581" s="27" t="s">
        <v>8</v>
      </c>
      <c r="BP581" s="27" t="s">
        <v>7</v>
      </c>
      <c r="BQ581" s="27" t="s">
        <v>8</v>
      </c>
      <c r="BR581" s="27" t="s">
        <v>7</v>
      </c>
      <c r="CE581" s="27" t="s">
        <v>8</v>
      </c>
    </row>
    <row r="582" spans="1:119" x14ac:dyDescent="0.25">
      <c r="A582" s="7">
        <v>1.1040808032</v>
      </c>
      <c r="B582"/>
      <c r="C582"/>
      <c r="D582"/>
      <c r="E582"/>
      <c r="BO582" s="27" t="s">
        <v>8</v>
      </c>
      <c r="BP582" s="27" t="s">
        <v>7</v>
      </c>
      <c r="BQ582" s="27" t="s">
        <v>8</v>
      </c>
      <c r="BR582" s="27" t="s">
        <v>7</v>
      </c>
      <c r="CE582" s="27" t="s">
        <v>8</v>
      </c>
      <c r="CF582" s="27" t="s">
        <v>7</v>
      </c>
    </row>
    <row r="583" spans="1:119" x14ac:dyDescent="0.25">
      <c r="A583" s="7">
        <v>1.08243216</v>
      </c>
      <c r="B583"/>
      <c r="C583"/>
      <c r="D583"/>
      <c r="E583"/>
      <c r="BO583" s="27" t="s">
        <v>8</v>
      </c>
      <c r="BP583" s="27" t="s">
        <v>7</v>
      </c>
      <c r="BQ583" s="27" t="s">
        <v>8</v>
      </c>
      <c r="BR583" s="27" t="s">
        <v>7</v>
      </c>
      <c r="CE583" s="27" t="s">
        <v>8</v>
      </c>
      <c r="CF583" s="27" t="s">
        <v>7</v>
      </c>
    </row>
    <row r="584" spans="1:119" x14ac:dyDescent="0.25">
      <c r="A584" s="7">
        <v>1.0612079999999999</v>
      </c>
      <c r="B584"/>
      <c r="C584"/>
      <c r="D584"/>
      <c r="E584"/>
      <c r="BO584" s="27" t="s">
        <v>8</v>
      </c>
      <c r="BP584" s="27" t="s">
        <v>7</v>
      </c>
      <c r="BQ584" s="27" t="s">
        <v>8</v>
      </c>
      <c r="BR584" s="27" t="s">
        <v>7</v>
      </c>
      <c r="CE584" s="27" t="s">
        <v>8</v>
      </c>
      <c r="CF584" s="27" t="s">
        <v>7</v>
      </c>
    </row>
    <row r="585" spans="1:119" x14ac:dyDescent="0.25">
      <c r="A585" s="7">
        <v>1.0404</v>
      </c>
      <c r="B585"/>
      <c r="C585"/>
      <c r="D585"/>
      <c r="E585"/>
      <c r="BO585" s="27" t="s">
        <v>8</v>
      </c>
      <c r="BP585" s="27" t="s">
        <v>7</v>
      </c>
      <c r="BQ585" s="27" t="s">
        <v>8</v>
      </c>
      <c r="BR585" s="27" t="s">
        <v>7</v>
      </c>
      <c r="CE585" s="27" t="s">
        <v>8</v>
      </c>
      <c r="CF585" s="27" t="s">
        <v>7</v>
      </c>
    </row>
    <row r="586" spans="1:119" x14ac:dyDescent="0.25">
      <c r="A586" s="7">
        <v>1.02</v>
      </c>
      <c r="B586"/>
      <c r="C586"/>
      <c r="D586"/>
      <c r="E586"/>
      <c r="BO586" s="27" t="s">
        <v>8</v>
      </c>
      <c r="BP586" s="27" t="s">
        <v>7</v>
      </c>
      <c r="BQ586" s="27" t="s">
        <v>8</v>
      </c>
      <c r="BR586" s="27" t="s">
        <v>7</v>
      </c>
      <c r="CE586" s="27" t="s">
        <v>8</v>
      </c>
      <c r="CF586" s="27" t="s">
        <v>7</v>
      </c>
    </row>
    <row r="587" spans="1:119" x14ac:dyDescent="0.25">
      <c r="A587" s="7">
        <v>1</v>
      </c>
      <c r="B587"/>
      <c r="C587"/>
      <c r="D587"/>
      <c r="E587" s="29" t="s">
        <v>8</v>
      </c>
      <c r="BO587" s="27" t="s">
        <v>8</v>
      </c>
      <c r="BP587" s="27" t="s">
        <v>7</v>
      </c>
      <c r="BQ587" s="27" t="s">
        <v>8</v>
      </c>
      <c r="BR587" s="27" t="s">
        <v>7</v>
      </c>
      <c r="CE587" s="27" t="s">
        <v>8</v>
      </c>
      <c r="CF587" s="27" t="s">
        <v>7</v>
      </c>
    </row>
    <row r="588" spans="1:119" x14ac:dyDescent="0.25">
      <c r="A588" s="7">
        <v>0.98039215686274506</v>
      </c>
      <c r="B588"/>
      <c r="C588"/>
      <c r="D588"/>
      <c r="E588"/>
      <c r="F588" s="27" t="s">
        <v>7</v>
      </c>
      <c r="BO588" s="27" t="s">
        <v>8</v>
      </c>
      <c r="BP588" s="27" t="s">
        <v>7</v>
      </c>
      <c r="BQ588" s="27" t="s">
        <v>8</v>
      </c>
      <c r="BR588" s="27" t="s">
        <v>7</v>
      </c>
      <c r="CE588" s="27" t="s">
        <v>8</v>
      </c>
      <c r="CF588" s="27" t="s">
        <v>7</v>
      </c>
    </row>
    <row r="589" spans="1:119" x14ac:dyDescent="0.25">
      <c r="A589" s="7">
        <v>0.96116878123798544</v>
      </c>
      <c r="B589"/>
      <c r="C589"/>
      <c r="D589"/>
      <c r="E589"/>
      <c r="F589" s="27" t="s">
        <v>7</v>
      </c>
      <c r="BO589" s="27" t="s">
        <v>8</v>
      </c>
      <c r="BP589" s="27" t="s">
        <v>7</v>
      </c>
      <c r="BQ589" s="27" t="s">
        <v>8</v>
      </c>
      <c r="BR589" s="27" t="s">
        <v>7</v>
      </c>
      <c r="CE589" s="27" t="s">
        <v>8</v>
      </c>
      <c r="CF589" s="27" t="s">
        <v>7</v>
      </c>
    </row>
    <row r="590" spans="1:119" x14ac:dyDescent="0.25">
      <c r="A590" s="7">
        <v>0.94232233454704462</v>
      </c>
      <c r="B590"/>
      <c r="C590"/>
      <c r="D590"/>
      <c r="E590"/>
      <c r="F590" s="27" t="s">
        <v>7</v>
      </c>
      <c r="BO590" s="27" t="s">
        <v>8</v>
      </c>
      <c r="BP590" s="27" t="s">
        <v>7</v>
      </c>
      <c r="BQ590" s="27" t="s">
        <v>8</v>
      </c>
      <c r="BR590" s="27" t="s">
        <v>7</v>
      </c>
      <c r="CE590" s="27" t="s">
        <v>8</v>
      </c>
      <c r="CF590" s="27" t="s">
        <v>7</v>
      </c>
    </row>
    <row r="591" spans="1:119" x14ac:dyDescent="0.25">
      <c r="A591" s="7">
        <v>0.92384542602651432</v>
      </c>
      <c r="B591"/>
      <c r="C591"/>
      <c r="D591"/>
      <c r="E591"/>
      <c r="F591" s="27" t="s">
        <v>7</v>
      </c>
      <c r="BO591" s="27" t="s">
        <v>8</v>
      </c>
      <c r="BP591" s="27" t="s">
        <v>7</v>
      </c>
      <c r="BQ591" s="27" t="s">
        <v>8</v>
      </c>
      <c r="BR591" s="27" t="s">
        <v>7</v>
      </c>
      <c r="CE591" s="27" t="s">
        <v>8</v>
      </c>
      <c r="CF591" s="27" t="s">
        <v>7</v>
      </c>
    </row>
    <row r="592" spans="1:119" x14ac:dyDescent="0.25">
      <c r="A592" s="7">
        <v>0.90573080982991594</v>
      </c>
      <c r="B592"/>
      <c r="C592"/>
      <c r="D592"/>
      <c r="E592"/>
      <c r="F592" s="27" t="s">
        <v>7</v>
      </c>
      <c r="BO592" s="27" t="s">
        <v>8</v>
      </c>
      <c r="BP592" s="27" t="s">
        <v>7</v>
      </c>
      <c r="BQ592" s="27" t="s">
        <v>8</v>
      </c>
      <c r="BR592" s="27" t="s">
        <v>7</v>
      </c>
      <c r="CE592" s="27" t="s">
        <v>8</v>
      </c>
      <c r="CF592" s="27" t="s">
        <v>7</v>
      </c>
      <c r="CQ592" s="27" t="s">
        <v>8</v>
      </c>
      <c r="DO592" s="27" t="s">
        <v>8</v>
      </c>
    </row>
    <row r="593" spans="1:125" x14ac:dyDescent="0.25">
      <c r="A593" s="7">
        <v>0.8879713821861922</v>
      </c>
      <c r="B593"/>
      <c r="C593"/>
      <c r="D593"/>
      <c r="E593"/>
      <c r="F593" s="27" t="s">
        <v>7</v>
      </c>
      <c r="BO593" s="27" t="s">
        <v>8</v>
      </c>
      <c r="BP593" s="27" t="s">
        <v>7</v>
      </c>
      <c r="BQ593" s="27" t="s">
        <v>8</v>
      </c>
      <c r="BR593" s="27" t="s">
        <v>7</v>
      </c>
      <c r="CE593" s="27" t="s">
        <v>8</v>
      </c>
      <c r="CF593" s="27" t="s">
        <v>7</v>
      </c>
      <c r="CQ593" s="27" t="s">
        <v>8</v>
      </c>
      <c r="CR593" s="27" t="s">
        <v>7</v>
      </c>
      <c r="CS593" s="27" t="s">
        <v>8</v>
      </c>
      <c r="DO593" s="27" t="s">
        <v>8</v>
      </c>
      <c r="DP593" s="27" t="s">
        <v>7</v>
      </c>
    </row>
    <row r="594" spans="1:125" x14ac:dyDescent="0.25">
      <c r="A594" s="7">
        <v>0.87056017861391399</v>
      </c>
      <c r="B594"/>
      <c r="C594"/>
      <c r="D594"/>
      <c r="E594"/>
      <c r="F594" s="27" t="s">
        <v>7</v>
      </c>
      <c r="BO594" s="27" t="s">
        <v>8</v>
      </c>
      <c r="BP594" s="27" t="s">
        <v>7</v>
      </c>
      <c r="BQ594" s="27" t="s">
        <v>8</v>
      </c>
      <c r="BR594" s="27" t="s">
        <v>7</v>
      </c>
      <c r="CE594" s="27" t="s">
        <v>8</v>
      </c>
      <c r="CF594" s="27" t="s">
        <v>7</v>
      </c>
      <c r="CQ594" s="27" t="s">
        <v>8</v>
      </c>
      <c r="CR594" s="27" t="s">
        <v>7</v>
      </c>
      <c r="CS594" s="27" t="s">
        <v>8</v>
      </c>
      <c r="CT594" s="27" t="s">
        <v>7</v>
      </c>
      <c r="DO594" s="27" t="s">
        <v>8</v>
      </c>
      <c r="DP594" s="27" t="s">
        <v>7</v>
      </c>
    </row>
    <row r="595" spans="1:125" x14ac:dyDescent="0.25">
      <c r="A595" s="7">
        <v>0.85349037119011173</v>
      </c>
      <c r="B595"/>
      <c r="C595"/>
      <c r="D595"/>
      <c r="E595"/>
      <c r="F595" s="27" t="s">
        <v>7</v>
      </c>
      <c r="BO595" s="27" t="s">
        <v>8</v>
      </c>
      <c r="BP595" s="27" t="s">
        <v>7</v>
      </c>
      <c r="BQ595" s="27" t="s">
        <v>8</v>
      </c>
      <c r="BR595" s="27" t="s">
        <v>7</v>
      </c>
      <c r="CE595" s="27" t="s">
        <v>8</v>
      </c>
      <c r="CF595" s="27" t="s">
        <v>7</v>
      </c>
      <c r="CO595" s="27" t="s">
        <v>8</v>
      </c>
      <c r="CQ595" s="27" t="s">
        <v>8</v>
      </c>
      <c r="CR595" s="27" t="s">
        <v>7</v>
      </c>
      <c r="CS595" s="27" t="s">
        <v>8</v>
      </c>
      <c r="CT595" s="27" t="s">
        <v>7</v>
      </c>
      <c r="CU595" s="27" t="s">
        <v>8</v>
      </c>
      <c r="DO595" s="27" t="s">
        <v>8</v>
      </c>
      <c r="DP595" s="27" t="s">
        <v>7</v>
      </c>
    </row>
    <row r="596" spans="1:125" x14ac:dyDescent="0.25">
      <c r="A596" s="7">
        <v>0.83675526587265858</v>
      </c>
      <c r="B596"/>
      <c r="C596"/>
      <c r="D596"/>
      <c r="E596"/>
      <c r="F596" s="27" t="s">
        <v>7</v>
      </c>
      <c r="BO596" s="27" t="s">
        <v>8</v>
      </c>
      <c r="BP596" s="27" t="s">
        <v>7</v>
      </c>
      <c r="BQ596" s="27" t="s">
        <v>8</v>
      </c>
      <c r="BR596" s="27" t="s">
        <v>7</v>
      </c>
      <c r="BS596" s="27" t="s">
        <v>8</v>
      </c>
      <c r="BW596" s="27" t="s">
        <v>8</v>
      </c>
      <c r="CE596" s="27" t="s">
        <v>8</v>
      </c>
      <c r="CF596" s="27" t="s">
        <v>7</v>
      </c>
      <c r="CO596" s="27" t="s">
        <v>8</v>
      </c>
      <c r="CP596" s="27" t="s">
        <v>7</v>
      </c>
      <c r="CQ596" s="27" t="s">
        <v>8</v>
      </c>
      <c r="CR596" s="27" t="s">
        <v>7</v>
      </c>
      <c r="CS596" s="27" t="s">
        <v>8</v>
      </c>
      <c r="CT596" s="27" t="s">
        <v>7</v>
      </c>
      <c r="CU596" s="27" t="s">
        <v>8</v>
      </c>
      <c r="CV596" s="27" t="s">
        <v>7</v>
      </c>
      <c r="DO596" s="27" t="s">
        <v>8</v>
      </c>
      <c r="DP596" s="27" t="s">
        <v>7</v>
      </c>
    </row>
    <row r="597" spans="1:125" x14ac:dyDescent="0.25">
      <c r="A597" s="7">
        <v>0.82034829987515545</v>
      </c>
      <c r="B597"/>
      <c r="C597"/>
      <c r="D597"/>
      <c r="E597"/>
      <c r="F597" s="27" t="s">
        <v>7</v>
      </c>
      <c r="BO597" s="27" t="s">
        <v>8</v>
      </c>
      <c r="BP597" s="27" t="s">
        <v>7</v>
      </c>
      <c r="BQ597" s="27" t="s">
        <v>8</v>
      </c>
      <c r="BR597" s="27" t="s">
        <v>7</v>
      </c>
      <c r="BS597" s="27" t="s">
        <v>8</v>
      </c>
      <c r="BT597" s="27" t="s">
        <v>7</v>
      </c>
      <c r="BW597" s="27" t="s">
        <v>8</v>
      </c>
      <c r="BX597" s="27" t="s">
        <v>7</v>
      </c>
      <c r="CE597" s="27" t="s">
        <v>8</v>
      </c>
      <c r="CF597" s="27" t="s">
        <v>7</v>
      </c>
      <c r="CO597" s="27" t="s">
        <v>8</v>
      </c>
      <c r="CP597" s="27" t="s">
        <v>7</v>
      </c>
      <c r="CQ597" s="27" t="s">
        <v>8</v>
      </c>
      <c r="CR597" s="27" t="s">
        <v>7</v>
      </c>
      <c r="CS597" s="27" t="s">
        <v>8</v>
      </c>
      <c r="CT597" s="27" t="s">
        <v>7</v>
      </c>
      <c r="CU597" s="27" t="s">
        <v>8</v>
      </c>
      <c r="CV597" s="27" t="s">
        <v>7</v>
      </c>
      <c r="DO597" s="27" t="s">
        <v>8</v>
      </c>
      <c r="DP597" s="27" t="s">
        <v>7</v>
      </c>
    </row>
    <row r="598" spans="1:125" x14ac:dyDescent="0.25">
      <c r="A598" s="7">
        <v>0.80426303909328967</v>
      </c>
      <c r="B598"/>
      <c r="C598"/>
      <c r="D598"/>
      <c r="E598"/>
      <c r="F598" s="27" t="s">
        <v>7</v>
      </c>
      <c r="BO598" s="27" t="s">
        <v>8</v>
      </c>
      <c r="BP598" s="27" t="s">
        <v>7</v>
      </c>
      <c r="BQ598" s="27" t="s">
        <v>8</v>
      </c>
      <c r="BR598" s="27" t="s">
        <v>7</v>
      </c>
      <c r="BS598" s="27" t="s">
        <v>8</v>
      </c>
      <c r="BT598" s="27" t="s">
        <v>7</v>
      </c>
      <c r="BW598" s="27" t="s">
        <v>8</v>
      </c>
      <c r="BX598" s="27" t="s">
        <v>7</v>
      </c>
      <c r="BY598" s="27" t="s">
        <v>8</v>
      </c>
      <c r="CE598" s="27" t="s">
        <v>8</v>
      </c>
      <c r="CF598" s="27" t="s">
        <v>7</v>
      </c>
      <c r="CI598" s="27" t="s">
        <v>8</v>
      </c>
      <c r="CO598" s="27" t="s">
        <v>8</v>
      </c>
      <c r="CP598" s="27" t="s">
        <v>7</v>
      </c>
      <c r="CQ598" s="27" t="s">
        <v>8</v>
      </c>
      <c r="CR598" s="27" t="s">
        <v>7</v>
      </c>
      <c r="CS598" s="27" t="s">
        <v>8</v>
      </c>
      <c r="CT598" s="27" t="s">
        <v>7</v>
      </c>
      <c r="CU598" s="27" t="s">
        <v>8</v>
      </c>
      <c r="CV598" s="27" t="s">
        <v>7</v>
      </c>
      <c r="DO598" s="27" t="s">
        <v>8</v>
      </c>
      <c r="DP598" s="27" t="s">
        <v>7</v>
      </c>
    </row>
    <row r="599" spans="1:125" x14ac:dyDescent="0.25">
      <c r="A599" s="7">
        <v>0.78849317558165644</v>
      </c>
      <c r="B599"/>
      <c r="C599"/>
      <c r="D599"/>
      <c r="E599"/>
      <c r="F599" s="27" t="s">
        <v>7</v>
      </c>
      <c r="BO599" s="27" t="s">
        <v>8</v>
      </c>
      <c r="BP599" s="27" t="s">
        <v>7</v>
      </c>
      <c r="BQ599" s="27" t="s">
        <v>8</v>
      </c>
      <c r="BR599" s="27" t="s">
        <v>7</v>
      </c>
      <c r="BS599" s="27" t="s">
        <v>8</v>
      </c>
      <c r="BT599" s="27" t="s">
        <v>7</v>
      </c>
      <c r="BW599" s="27" t="s">
        <v>8</v>
      </c>
      <c r="BX599" s="27" t="s">
        <v>7</v>
      </c>
      <c r="BY599" s="27" t="s">
        <v>8</v>
      </c>
      <c r="BZ599" s="27" t="s">
        <v>7</v>
      </c>
      <c r="CE599" s="27" t="s">
        <v>8</v>
      </c>
      <c r="CF599" s="27" t="s">
        <v>7</v>
      </c>
      <c r="CI599" s="27" t="s">
        <v>8</v>
      </c>
      <c r="CJ599" s="27" t="s">
        <v>7</v>
      </c>
      <c r="CK599" s="27" t="s">
        <v>8</v>
      </c>
      <c r="CM599" s="27" t="s">
        <v>8</v>
      </c>
      <c r="CO599" s="27" t="s">
        <v>8</v>
      </c>
      <c r="CP599" s="27" t="s">
        <v>7</v>
      </c>
      <c r="CQ599" s="27" t="s">
        <v>8</v>
      </c>
      <c r="CR599" s="27" t="s">
        <v>7</v>
      </c>
      <c r="CS599" s="27" t="s">
        <v>8</v>
      </c>
      <c r="CT599" s="27" t="s">
        <v>7</v>
      </c>
      <c r="CU599" s="27" t="s">
        <v>8</v>
      </c>
      <c r="CV599" s="27" t="s">
        <v>7</v>
      </c>
      <c r="DM599" s="27" t="s">
        <v>8</v>
      </c>
      <c r="DO599" s="27" t="s">
        <v>8</v>
      </c>
      <c r="DP599" s="27" t="s">
        <v>7</v>
      </c>
    </row>
    <row r="600" spans="1:125" x14ac:dyDescent="0.25">
      <c r="A600" s="7">
        <v>0.77303252508005538</v>
      </c>
      <c r="B600"/>
      <c r="C600"/>
      <c r="D600"/>
      <c r="E600"/>
      <c r="F600" s="27" t="s">
        <v>7</v>
      </c>
      <c r="BO600" s="27" t="s">
        <v>8</v>
      </c>
      <c r="BP600" s="27" t="s">
        <v>7</v>
      </c>
      <c r="BQ600" s="27" t="s">
        <v>8</v>
      </c>
      <c r="BR600" s="27" t="s">
        <v>7</v>
      </c>
      <c r="BS600" s="27" t="s">
        <v>8</v>
      </c>
      <c r="BT600" s="27" t="s">
        <v>7</v>
      </c>
      <c r="BW600" s="27" t="s">
        <v>8</v>
      </c>
      <c r="BX600" s="27" t="s">
        <v>7</v>
      </c>
      <c r="BY600" s="27" t="s">
        <v>8</v>
      </c>
      <c r="BZ600" s="27" t="s">
        <v>7</v>
      </c>
      <c r="CE600" s="27" t="s">
        <v>8</v>
      </c>
      <c r="CF600" s="27" t="s">
        <v>7</v>
      </c>
      <c r="CI600" s="27" t="s">
        <v>8</v>
      </c>
      <c r="CJ600" s="27" t="s">
        <v>7</v>
      </c>
      <c r="CK600" s="27" t="s">
        <v>8</v>
      </c>
      <c r="CL600" s="27" t="s">
        <v>7</v>
      </c>
      <c r="CM600" s="27" t="s">
        <v>8</v>
      </c>
      <c r="CN600" s="27" t="s">
        <v>7</v>
      </c>
      <c r="CO600" s="27" t="s">
        <v>8</v>
      </c>
      <c r="CP600" s="27" t="s">
        <v>7</v>
      </c>
      <c r="CQ600" s="27" t="s">
        <v>8</v>
      </c>
      <c r="CR600" s="27" t="s">
        <v>7</v>
      </c>
      <c r="CS600" s="27" t="s">
        <v>8</v>
      </c>
      <c r="CT600" s="27" t="s">
        <v>7</v>
      </c>
      <c r="CV600" s="27" t="s">
        <v>7</v>
      </c>
      <c r="DM600" s="27" t="s">
        <v>8</v>
      </c>
      <c r="DN600" s="27" t="s">
        <v>7</v>
      </c>
      <c r="DO600" s="27" t="s">
        <v>8</v>
      </c>
      <c r="DP600" s="27" t="s">
        <v>7</v>
      </c>
    </row>
    <row r="601" spans="1:125" x14ac:dyDescent="0.25">
      <c r="A601" s="7">
        <v>0.75787502458828959</v>
      </c>
      <c r="B601"/>
      <c r="C601"/>
      <c r="D601"/>
      <c r="E601"/>
      <c r="F601" s="27" t="s">
        <v>7</v>
      </c>
      <c r="BO601" s="27" t="s">
        <v>8</v>
      </c>
      <c r="BP601" s="27" t="s">
        <v>7</v>
      </c>
      <c r="BQ601" s="27" t="s">
        <v>8</v>
      </c>
      <c r="BR601" s="27" t="s">
        <v>7</v>
      </c>
      <c r="BS601" s="27" t="s">
        <v>8</v>
      </c>
      <c r="BT601" s="27" t="s">
        <v>7</v>
      </c>
      <c r="BW601" s="27" t="s">
        <v>8</v>
      </c>
      <c r="BX601" s="27" t="s">
        <v>7</v>
      </c>
      <c r="BY601" s="27" t="s">
        <v>8</v>
      </c>
      <c r="BZ601" s="27" t="s">
        <v>7</v>
      </c>
      <c r="CA601" s="27" t="s">
        <v>8</v>
      </c>
      <c r="CE601" s="27" t="s">
        <v>8</v>
      </c>
      <c r="CF601" s="27" t="s">
        <v>7</v>
      </c>
      <c r="CI601" s="27" t="s">
        <v>8</v>
      </c>
      <c r="CJ601" s="27" t="s">
        <v>7</v>
      </c>
      <c r="CK601" s="27" t="s">
        <v>8</v>
      </c>
      <c r="CL601" s="27" t="s">
        <v>7</v>
      </c>
      <c r="CM601" s="27" t="s">
        <v>8</v>
      </c>
      <c r="CN601" s="27" t="s">
        <v>7</v>
      </c>
      <c r="CO601" s="27" t="s">
        <v>8</v>
      </c>
      <c r="CP601" s="27" t="s">
        <v>7</v>
      </c>
      <c r="CQ601" s="27" t="s">
        <v>8</v>
      </c>
      <c r="CR601" s="27" t="s">
        <v>7</v>
      </c>
      <c r="CV601" s="27" t="s">
        <v>7</v>
      </c>
      <c r="CW601" s="27" t="s">
        <v>8</v>
      </c>
      <c r="DM601" s="27" t="s">
        <v>8</v>
      </c>
      <c r="DN601" s="27" t="s">
        <v>7</v>
      </c>
      <c r="DO601" s="27" t="s">
        <v>8</v>
      </c>
      <c r="DP601" s="27" t="s">
        <v>7</v>
      </c>
    </row>
    <row r="602" spans="1:125" x14ac:dyDescent="0.25">
      <c r="A602" s="7">
        <v>0.74301472998851925</v>
      </c>
      <c r="B602"/>
      <c r="C602"/>
      <c r="D602"/>
      <c r="E602"/>
      <c r="F602" s="27" t="s">
        <v>7</v>
      </c>
      <c r="BO602" s="27" t="s">
        <v>8</v>
      </c>
      <c r="BP602" s="27" t="s">
        <v>7</v>
      </c>
      <c r="BQ602" s="27" t="s">
        <v>8</v>
      </c>
      <c r="BR602" s="27" t="s">
        <v>7</v>
      </c>
      <c r="BS602" s="27" t="s">
        <v>8</v>
      </c>
      <c r="BT602" s="27" t="s">
        <v>7</v>
      </c>
      <c r="BU602" s="27" t="s">
        <v>8</v>
      </c>
      <c r="BW602" s="27" t="s">
        <v>8</v>
      </c>
      <c r="BX602" s="27" t="s">
        <v>7</v>
      </c>
      <c r="BY602" s="27" t="s">
        <v>8</v>
      </c>
      <c r="BZ602" s="27" t="s">
        <v>7</v>
      </c>
      <c r="CA602" s="27" t="s">
        <v>8</v>
      </c>
      <c r="CB602" s="27" t="s">
        <v>7</v>
      </c>
      <c r="CE602" s="27" t="s">
        <v>8</v>
      </c>
      <c r="CF602" s="27" t="s">
        <v>7</v>
      </c>
      <c r="CG602" s="27" t="s">
        <v>8</v>
      </c>
      <c r="CI602" s="27" t="s">
        <v>8</v>
      </c>
      <c r="CJ602" s="27" t="s">
        <v>7</v>
      </c>
      <c r="CK602" s="27" t="s">
        <v>8</v>
      </c>
      <c r="CL602" s="27" t="s">
        <v>7</v>
      </c>
      <c r="CM602" s="27" t="s">
        <v>8</v>
      </c>
      <c r="CN602" s="27" t="s">
        <v>7</v>
      </c>
      <c r="CO602" s="27" t="s">
        <v>8</v>
      </c>
      <c r="CP602" s="27" t="s">
        <v>7</v>
      </c>
      <c r="CQ602" s="27" t="s">
        <v>8</v>
      </c>
      <c r="CV602" s="27" t="s">
        <v>7</v>
      </c>
      <c r="CW602" s="27" t="s">
        <v>8</v>
      </c>
      <c r="CX602" s="27" t="s">
        <v>7</v>
      </c>
      <c r="DK602" s="27" t="s">
        <v>8</v>
      </c>
      <c r="DM602" s="27" t="s">
        <v>8</v>
      </c>
      <c r="DN602" s="27" t="s">
        <v>7</v>
      </c>
      <c r="DO602" s="27" t="s">
        <v>8</v>
      </c>
      <c r="DP602" s="27" t="s">
        <v>7</v>
      </c>
    </row>
    <row r="603" spans="1:125" x14ac:dyDescent="0.25">
      <c r="A603" s="7">
        <v>0.72844581371423456</v>
      </c>
      <c r="B603"/>
      <c r="C603"/>
      <c r="D603"/>
      <c r="E603"/>
      <c r="F603" s="27" t="s">
        <v>7</v>
      </c>
      <c r="BO603" s="27" t="s">
        <v>8</v>
      </c>
      <c r="BP603" s="27" t="s">
        <v>7</v>
      </c>
      <c r="BQ603" s="27" t="s">
        <v>8</v>
      </c>
      <c r="BR603" s="27" t="s">
        <v>7</v>
      </c>
      <c r="BS603" s="27" t="s">
        <v>8</v>
      </c>
      <c r="BT603" s="27" t="s">
        <v>7</v>
      </c>
      <c r="BU603" s="27" t="s">
        <v>8</v>
      </c>
      <c r="BV603" s="27" t="s">
        <v>7</v>
      </c>
      <c r="BW603" s="27" t="s">
        <v>8</v>
      </c>
      <c r="BX603" s="27" t="s">
        <v>7</v>
      </c>
      <c r="BY603" s="27" t="s">
        <v>8</v>
      </c>
      <c r="BZ603" s="27" t="s">
        <v>7</v>
      </c>
      <c r="CA603" s="27" t="s">
        <v>8</v>
      </c>
      <c r="CB603" s="27" t="s">
        <v>7</v>
      </c>
      <c r="CE603" s="27" t="s">
        <v>8</v>
      </c>
      <c r="CF603" s="27" t="s">
        <v>7</v>
      </c>
      <c r="CG603" s="27" t="s">
        <v>8</v>
      </c>
      <c r="CH603" s="27" t="s">
        <v>7</v>
      </c>
      <c r="CI603" s="27" t="s">
        <v>8</v>
      </c>
      <c r="CJ603" s="27" t="s">
        <v>7</v>
      </c>
      <c r="CK603" s="27" t="s">
        <v>8</v>
      </c>
      <c r="CL603" s="27" t="s">
        <v>7</v>
      </c>
      <c r="CM603" s="27" t="s">
        <v>8</v>
      </c>
      <c r="CN603" s="27" t="s">
        <v>7</v>
      </c>
      <c r="CO603" s="27" t="s">
        <v>8</v>
      </c>
      <c r="CP603" s="27" t="s">
        <v>7</v>
      </c>
      <c r="CQ603" s="27" t="s">
        <v>8</v>
      </c>
      <c r="CV603" s="27" t="s">
        <v>7</v>
      </c>
      <c r="CW603" s="27" t="s">
        <v>8</v>
      </c>
      <c r="CX603" s="27" t="s">
        <v>7</v>
      </c>
      <c r="CY603" s="27" t="s">
        <v>8</v>
      </c>
      <c r="DK603" s="27" t="s">
        <v>8</v>
      </c>
      <c r="DL603" s="27" t="s">
        <v>7</v>
      </c>
      <c r="DM603" s="27" t="s">
        <v>8</v>
      </c>
      <c r="DN603" s="27" t="s">
        <v>7</v>
      </c>
      <c r="DO603" s="27" t="s">
        <v>8</v>
      </c>
      <c r="DP603" s="27" t="s">
        <v>7</v>
      </c>
    </row>
    <row r="604" spans="1:125" x14ac:dyDescent="0.25">
      <c r="A604" s="7">
        <v>0.71416256246493581</v>
      </c>
      <c r="B604"/>
      <c r="C604"/>
      <c r="D604"/>
      <c r="E604"/>
      <c r="F604" s="27" t="s">
        <v>7</v>
      </c>
      <c r="BO604" s="27" t="s">
        <v>8</v>
      </c>
      <c r="BP604" s="27" t="s">
        <v>7</v>
      </c>
      <c r="BQ604" s="27" t="s">
        <v>8</v>
      </c>
      <c r="BR604" s="27" t="s">
        <v>7</v>
      </c>
      <c r="BS604" s="27" t="s">
        <v>8</v>
      </c>
      <c r="BT604" s="27" t="s">
        <v>7</v>
      </c>
      <c r="BU604" s="27" t="s">
        <v>8</v>
      </c>
      <c r="BV604" s="27" t="s">
        <v>7</v>
      </c>
      <c r="BW604" s="27" t="s">
        <v>8</v>
      </c>
      <c r="BX604" s="27" t="s">
        <v>7</v>
      </c>
      <c r="BY604" s="27" t="s">
        <v>8</v>
      </c>
      <c r="BZ604" s="27" t="s">
        <v>7</v>
      </c>
      <c r="CA604" s="27" t="s">
        <v>8</v>
      </c>
      <c r="CB604" s="27" t="s">
        <v>7</v>
      </c>
      <c r="CE604" s="27" t="s">
        <v>8</v>
      </c>
      <c r="CF604" s="27" t="s">
        <v>7</v>
      </c>
      <c r="CG604" s="27" t="s">
        <v>8</v>
      </c>
      <c r="CH604" s="27" t="s">
        <v>7</v>
      </c>
      <c r="CI604" s="27" t="s">
        <v>8</v>
      </c>
      <c r="CJ604" s="27" t="s">
        <v>7</v>
      </c>
      <c r="CL604" s="27" t="s">
        <v>7</v>
      </c>
      <c r="CM604" s="27" t="s">
        <v>8</v>
      </c>
      <c r="CN604" s="27" t="s">
        <v>7</v>
      </c>
      <c r="CP604" s="27" t="s">
        <v>7</v>
      </c>
      <c r="CV604" s="27" t="s">
        <v>7</v>
      </c>
      <c r="CW604" s="27" t="s">
        <v>8</v>
      </c>
      <c r="CX604" s="27" t="s">
        <v>7</v>
      </c>
      <c r="CY604" s="27" t="s">
        <v>8</v>
      </c>
      <c r="CZ604" s="27" t="s">
        <v>7</v>
      </c>
      <c r="DI604" s="27" t="s">
        <v>8</v>
      </c>
      <c r="DK604" s="27" t="s">
        <v>8</v>
      </c>
      <c r="DL604" s="27" t="s">
        <v>7</v>
      </c>
      <c r="DM604" s="27" t="s">
        <v>8</v>
      </c>
      <c r="DN604" s="27" t="s">
        <v>7</v>
      </c>
      <c r="DO604" s="27" t="s">
        <v>8</v>
      </c>
      <c r="DP604" s="27" t="s">
        <v>7</v>
      </c>
    </row>
    <row r="605" spans="1:125" x14ac:dyDescent="0.25">
      <c r="A605" s="7">
        <v>0.7001593749656233</v>
      </c>
      <c r="B605"/>
      <c r="C605"/>
      <c r="D605"/>
      <c r="E605"/>
      <c r="F605" s="27" t="s">
        <v>7</v>
      </c>
      <c r="BO605" s="27" t="s">
        <v>8</v>
      </c>
      <c r="BP605" s="27" t="s">
        <v>7</v>
      </c>
      <c r="BQ605" s="27" t="s">
        <v>8</v>
      </c>
      <c r="BR605" s="27" t="s">
        <v>7</v>
      </c>
      <c r="BS605" s="27" t="s">
        <v>8</v>
      </c>
      <c r="BT605" s="27" t="s">
        <v>7</v>
      </c>
      <c r="BU605" s="27" t="s">
        <v>8</v>
      </c>
      <c r="BV605" s="27" t="s">
        <v>7</v>
      </c>
      <c r="BW605" s="27" t="s">
        <v>8</v>
      </c>
      <c r="BX605" s="27" t="s">
        <v>7</v>
      </c>
      <c r="BY605" s="27" t="s">
        <v>8</v>
      </c>
      <c r="BZ605" s="27" t="s">
        <v>7</v>
      </c>
      <c r="CA605" s="27" t="s">
        <v>8</v>
      </c>
      <c r="CB605" s="27" t="s">
        <v>7</v>
      </c>
      <c r="CE605" s="27" t="s">
        <v>8</v>
      </c>
      <c r="CF605" s="27" t="s">
        <v>7</v>
      </c>
      <c r="CG605" s="27" t="s">
        <v>8</v>
      </c>
      <c r="CH605" s="27" t="s">
        <v>7</v>
      </c>
      <c r="CI605" s="27" t="s">
        <v>8</v>
      </c>
      <c r="CL605" s="27" t="s">
        <v>7</v>
      </c>
      <c r="CM605" s="27" t="s">
        <v>8</v>
      </c>
      <c r="CV605" s="27" t="s">
        <v>7</v>
      </c>
      <c r="CW605" s="27" t="s">
        <v>8</v>
      </c>
      <c r="CX605" s="27" t="s">
        <v>7</v>
      </c>
      <c r="CY605" s="27" t="s">
        <v>8</v>
      </c>
      <c r="CZ605" s="27" t="s">
        <v>7</v>
      </c>
      <c r="DI605" s="27" t="s">
        <v>8</v>
      </c>
      <c r="DJ605" s="27" t="s">
        <v>7</v>
      </c>
      <c r="DK605" s="27" t="s">
        <v>8</v>
      </c>
      <c r="DL605" s="27" t="s">
        <v>7</v>
      </c>
      <c r="DM605" s="27" t="s">
        <v>8</v>
      </c>
      <c r="DN605" s="27" t="s">
        <v>7</v>
      </c>
      <c r="DP605" s="27" t="s">
        <v>7</v>
      </c>
    </row>
    <row r="606" spans="1:125" x14ac:dyDescent="0.25">
      <c r="A606" s="7">
        <v>0.68643075977021883</v>
      </c>
      <c r="B606"/>
      <c r="C606"/>
      <c r="D606"/>
      <c r="E606"/>
      <c r="F606" s="27" t="s">
        <v>7</v>
      </c>
      <c r="BO606" s="27" t="s">
        <v>8</v>
      </c>
      <c r="BP606" s="27" t="s">
        <v>7</v>
      </c>
      <c r="BQ606" s="27" t="s">
        <v>8</v>
      </c>
      <c r="BR606" s="27" t="s">
        <v>7</v>
      </c>
      <c r="BT606" s="27" t="s">
        <v>7</v>
      </c>
      <c r="BU606" s="27" t="s">
        <v>8</v>
      </c>
      <c r="BV606" s="27" t="s">
        <v>7</v>
      </c>
      <c r="BW606" s="27" t="s">
        <v>8</v>
      </c>
      <c r="BX606" s="27" t="s">
        <v>7</v>
      </c>
      <c r="BY606" s="27" t="s">
        <v>8</v>
      </c>
      <c r="BZ606" s="27" t="s">
        <v>7</v>
      </c>
      <c r="CB606" s="27" t="s">
        <v>7</v>
      </c>
      <c r="CC606" s="27" t="s">
        <v>8</v>
      </c>
      <c r="CE606" s="27" t="s">
        <v>8</v>
      </c>
      <c r="CF606" s="27" t="s">
        <v>7</v>
      </c>
      <c r="CH606" s="27" t="s">
        <v>7</v>
      </c>
      <c r="CI606" s="27" t="s">
        <v>8</v>
      </c>
      <c r="CL606" s="27" t="s">
        <v>7</v>
      </c>
      <c r="CV606" s="27" t="s">
        <v>7</v>
      </c>
      <c r="CW606" s="27" t="s">
        <v>8</v>
      </c>
      <c r="CX606" s="27" t="s">
        <v>7</v>
      </c>
      <c r="CY606" s="27" t="s">
        <v>8</v>
      </c>
      <c r="CZ606" s="27" t="s">
        <v>7</v>
      </c>
      <c r="DG606" s="27" t="s">
        <v>8</v>
      </c>
      <c r="DI606" s="27" t="s">
        <v>8</v>
      </c>
      <c r="DJ606" s="27" t="s">
        <v>7</v>
      </c>
      <c r="DK606" s="27" t="s">
        <v>8</v>
      </c>
      <c r="DL606" s="27" t="s">
        <v>7</v>
      </c>
      <c r="DM606" s="27" t="s">
        <v>8</v>
      </c>
      <c r="DP606" s="27" t="s">
        <v>7</v>
      </c>
    </row>
    <row r="607" spans="1:125" x14ac:dyDescent="0.25">
      <c r="A607" s="7">
        <v>0.67297133310805768</v>
      </c>
      <c r="B607"/>
      <c r="C607"/>
      <c r="D607"/>
      <c r="E607"/>
      <c r="F607" s="27" t="s">
        <v>7</v>
      </c>
      <c r="BO607" s="27" t="s">
        <v>8</v>
      </c>
      <c r="BP607" s="27" t="s">
        <v>7</v>
      </c>
      <c r="BQ607" s="27" t="s">
        <v>8</v>
      </c>
      <c r="BT607" s="27" t="s">
        <v>7</v>
      </c>
      <c r="BU607" s="27" t="s">
        <v>8</v>
      </c>
      <c r="BV607" s="27" t="s">
        <v>7</v>
      </c>
      <c r="BW607" s="27" t="s">
        <v>8</v>
      </c>
      <c r="BX607" s="27" t="s">
        <v>7</v>
      </c>
      <c r="CB607" s="27" t="s">
        <v>7</v>
      </c>
      <c r="CC607" s="27" t="s">
        <v>8</v>
      </c>
      <c r="CD607" s="27" t="s">
        <v>7</v>
      </c>
      <c r="CE607" s="27" t="s">
        <v>8</v>
      </c>
      <c r="CH607" s="27" t="s">
        <v>7</v>
      </c>
      <c r="CI607" s="27" t="s">
        <v>8</v>
      </c>
      <c r="CV607" s="27" t="s">
        <v>7</v>
      </c>
      <c r="CW607" s="27" t="s">
        <v>8</v>
      </c>
      <c r="CX607" s="27" t="s">
        <v>7</v>
      </c>
      <c r="CY607" s="27" t="s">
        <v>8</v>
      </c>
      <c r="CZ607" s="27" t="s">
        <v>7</v>
      </c>
      <c r="DA607" s="27" t="s">
        <v>8</v>
      </c>
      <c r="DG607" s="27" t="s">
        <v>8</v>
      </c>
      <c r="DH607" s="27" t="s">
        <v>7</v>
      </c>
      <c r="DI607" s="27" t="s">
        <v>8</v>
      </c>
      <c r="DJ607" s="27" t="s">
        <v>7</v>
      </c>
      <c r="DL607" s="27" t="s">
        <v>7</v>
      </c>
      <c r="DM607" s="27" t="s">
        <v>8</v>
      </c>
      <c r="DP607" s="27" t="s">
        <v>7</v>
      </c>
      <c r="DS607" s="27" t="s">
        <v>8</v>
      </c>
    </row>
    <row r="608" spans="1:125" x14ac:dyDescent="0.25">
      <c r="A608" s="7">
        <v>0.65977581677260566</v>
      </c>
      <c r="B608"/>
      <c r="C608"/>
      <c r="D608"/>
      <c r="E608"/>
      <c r="F608" s="27" t="s">
        <v>7</v>
      </c>
      <c r="AS608" s="27" t="s">
        <v>8</v>
      </c>
      <c r="BO608" s="27" t="s">
        <v>8</v>
      </c>
      <c r="BP608" s="27" t="s">
        <v>7</v>
      </c>
      <c r="BT608" s="27" t="s">
        <v>7</v>
      </c>
      <c r="BU608" s="27" t="s">
        <v>8</v>
      </c>
      <c r="BV608" s="27" t="s">
        <v>7</v>
      </c>
      <c r="BW608" s="27" t="s">
        <v>8</v>
      </c>
      <c r="CB608" s="27" t="s">
        <v>7</v>
      </c>
      <c r="CC608" s="27" t="s">
        <v>8</v>
      </c>
      <c r="CD608" s="27" t="s">
        <v>7</v>
      </c>
      <c r="CE608" s="27" t="s">
        <v>8</v>
      </c>
      <c r="CH608" s="27" t="s">
        <v>7</v>
      </c>
      <c r="CI608" s="27" t="s">
        <v>8</v>
      </c>
      <c r="CV608" s="27" t="s">
        <v>7</v>
      </c>
      <c r="CW608" s="27" t="s">
        <v>8</v>
      </c>
      <c r="CX608" s="27" t="s">
        <v>7</v>
      </c>
      <c r="CY608" s="27" t="s">
        <v>8</v>
      </c>
      <c r="CZ608" s="27" t="s">
        <v>7</v>
      </c>
      <c r="DA608" s="27" t="s">
        <v>8</v>
      </c>
      <c r="DB608" s="27" t="s">
        <v>7</v>
      </c>
      <c r="DC608" s="27" t="s">
        <v>8</v>
      </c>
      <c r="DG608" s="27" t="s">
        <v>8</v>
      </c>
      <c r="DH608" s="27" t="s">
        <v>7</v>
      </c>
      <c r="DI608" s="27" t="s">
        <v>8</v>
      </c>
      <c r="DL608" s="27" t="s">
        <v>7</v>
      </c>
      <c r="DM608" s="27" t="s">
        <v>8</v>
      </c>
      <c r="DP608" s="27" t="s">
        <v>7</v>
      </c>
      <c r="DS608" s="27" t="s">
        <v>8</v>
      </c>
      <c r="DT608" s="27" t="s">
        <v>7</v>
      </c>
      <c r="DU608" s="27" t="s">
        <v>8</v>
      </c>
    </row>
    <row r="609" spans="1:126" x14ac:dyDescent="0.25">
      <c r="A609" s="7">
        <v>0.64683903605157422</v>
      </c>
      <c r="B609"/>
      <c r="C609"/>
      <c r="D609"/>
      <c r="E609"/>
      <c r="F609" s="27" t="s">
        <v>7</v>
      </c>
      <c r="AS609" s="27" t="s">
        <v>8</v>
      </c>
      <c r="AT609" s="27" t="s">
        <v>7</v>
      </c>
      <c r="BO609" s="27" t="s">
        <v>8</v>
      </c>
      <c r="BT609" s="27" t="s">
        <v>7</v>
      </c>
      <c r="BU609" s="27" t="s">
        <v>8</v>
      </c>
      <c r="BV609" s="27" t="s">
        <v>7</v>
      </c>
      <c r="BW609" s="27" t="s">
        <v>8</v>
      </c>
      <c r="CB609" s="27" t="s">
        <v>7</v>
      </c>
      <c r="CC609" s="27" t="s">
        <v>8</v>
      </c>
      <c r="CD609" s="27" t="s">
        <v>7</v>
      </c>
      <c r="CE609" s="27" t="s">
        <v>8</v>
      </c>
      <c r="CH609" s="27" t="s">
        <v>7</v>
      </c>
      <c r="CI609" s="27" t="s">
        <v>8</v>
      </c>
      <c r="CV609" s="27" t="s">
        <v>7</v>
      </c>
      <c r="CW609" s="27" t="s">
        <v>8</v>
      </c>
      <c r="CX609" s="27" t="s">
        <v>7</v>
      </c>
      <c r="CY609" s="27" t="s">
        <v>8</v>
      </c>
      <c r="CZ609" s="27" t="s">
        <v>7</v>
      </c>
      <c r="DA609" s="27" t="s">
        <v>8</v>
      </c>
      <c r="DB609" s="27" t="s">
        <v>7</v>
      </c>
      <c r="DC609" s="27" t="s">
        <v>8</v>
      </c>
      <c r="DD609" s="27" t="s">
        <v>7</v>
      </c>
      <c r="DG609" s="27" t="s">
        <v>8</v>
      </c>
      <c r="DH609" s="27" t="s">
        <v>7</v>
      </c>
      <c r="DL609" s="27" t="s">
        <v>7</v>
      </c>
      <c r="DM609" s="27" t="s">
        <v>8</v>
      </c>
      <c r="DP609" s="27" t="s">
        <v>7</v>
      </c>
      <c r="DS609" s="27" t="s">
        <v>8</v>
      </c>
      <c r="DT609" s="27" t="s">
        <v>7</v>
      </c>
      <c r="DU609" s="27" t="s">
        <v>8</v>
      </c>
      <c r="DV609" s="27" t="s">
        <v>7</v>
      </c>
    </row>
    <row r="610" spans="1:126" x14ac:dyDescent="0.25">
      <c r="A610" s="7">
        <v>0.63415591769762181</v>
      </c>
      <c r="B610"/>
      <c r="C610"/>
      <c r="D610"/>
      <c r="E610"/>
      <c r="F610" s="27" t="s">
        <v>7</v>
      </c>
      <c r="AS610" s="27" t="s">
        <v>8</v>
      </c>
      <c r="AT610" s="27" t="s">
        <v>7</v>
      </c>
      <c r="BO610" s="27" t="s">
        <v>8</v>
      </c>
      <c r="BT610" s="27" t="s">
        <v>7</v>
      </c>
      <c r="BU610" s="27" t="s">
        <v>8</v>
      </c>
      <c r="BV610" s="27" t="s">
        <v>7</v>
      </c>
      <c r="CB610" s="27" t="s">
        <v>7</v>
      </c>
      <c r="CC610" s="27" t="s">
        <v>8</v>
      </c>
      <c r="CD610" s="27" t="s">
        <v>7</v>
      </c>
      <c r="CH610" s="27" t="s">
        <v>7</v>
      </c>
      <c r="CV610" s="27" t="s">
        <v>7</v>
      </c>
      <c r="CW610" s="27" t="s">
        <v>8</v>
      </c>
      <c r="CX610" s="27" t="s">
        <v>7</v>
      </c>
      <c r="CY610" s="27" t="s">
        <v>8</v>
      </c>
      <c r="CZ610" s="27" t="s">
        <v>7</v>
      </c>
      <c r="DA610" s="27" t="s">
        <v>8</v>
      </c>
      <c r="DB610" s="27" t="s">
        <v>7</v>
      </c>
      <c r="DC610" s="27" t="s">
        <v>8</v>
      </c>
      <c r="DD610" s="27" t="s">
        <v>7</v>
      </c>
      <c r="DE610" s="27" t="s">
        <v>8</v>
      </c>
      <c r="DG610" s="27" t="s">
        <v>8</v>
      </c>
      <c r="DL610" s="27" t="s">
        <v>7</v>
      </c>
      <c r="DM610" s="27" t="s">
        <v>8</v>
      </c>
      <c r="DP610" s="27" t="s">
        <v>7</v>
      </c>
      <c r="DQ610" s="27" t="s">
        <v>8</v>
      </c>
      <c r="DS610" s="27" t="s">
        <v>8</v>
      </c>
      <c r="DT610" s="27" t="s">
        <v>7</v>
      </c>
      <c r="DU610" s="27" t="s">
        <v>8</v>
      </c>
      <c r="DV610" s="27" t="s">
        <v>7</v>
      </c>
    </row>
    <row r="611" spans="1:126" x14ac:dyDescent="0.25">
      <c r="A611" s="7">
        <v>0.62172148793884496</v>
      </c>
      <c r="B611"/>
      <c r="C611"/>
      <c r="D611"/>
      <c r="E611"/>
      <c r="F611" s="27" t="s">
        <v>7</v>
      </c>
      <c r="AS611" s="27" t="s">
        <v>8</v>
      </c>
      <c r="AT611" s="27" t="s">
        <v>7</v>
      </c>
      <c r="BO611" s="27" t="s">
        <v>8</v>
      </c>
      <c r="BT611" s="27" t="s">
        <v>7</v>
      </c>
      <c r="BU611" s="27" t="s">
        <v>8</v>
      </c>
      <c r="CB611" s="27" t="s">
        <v>7</v>
      </c>
      <c r="CC611" s="27" t="s">
        <v>8</v>
      </c>
      <c r="CV611" s="27" t="s">
        <v>7</v>
      </c>
      <c r="CW611" s="27" t="s">
        <v>8</v>
      </c>
      <c r="CX611" s="27" t="s">
        <v>7</v>
      </c>
      <c r="CZ611" s="27" t="s">
        <v>7</v>
      </c>
      <c r="DA611" s="27" t="s">
        <v>8</v>
      </c>
      <c r="DB611" s="27" t="s">
        <v>7</v>
      </c>
      <c r="DC611" s="27" t="s">
        <v>8</v>
      </c>
      <c r="DD611" s="27" t="s">
        <v>7</v>
      </c>
      <c r="DE611" s="27" t="s">
        <v>8</v>
      </c>
      <c r="DF611" s="27" t="s">
        <v>7</v>
      </c>
      <c r="DG611" s="27" t="s">
        <v>8</v>
      </c>
      <c r="DL611" s="27" t="s">
        <v>7</v>
      </c>
      <c r="DM611" s="27" t="s">
        <v>8</v>
      </c>
      <c r="DP611" s="27" t="s">
        <v>7</v>
      </c>
      <c r="DQ611" s="27" t="s">
        <v>8</v>
      </c>
      <c r="DR611" s="27" t="s">
        <v>7</v>
      </c>
      <c r="DS611" s="27" t="s">
        <v>8</v>
      </c>
      <c r="DT611" s="27" t="s">
        <v>7</v>
      </c>
      <c r="DV611" s="27" t="s">
        <v>7</v>
      </c>
    </row>
    <row r="612" spans="1:126" x14ac:dyDescent="0.25">
      <c r="A612" s="7">
        <v>0.60953087052827937</v>
      </c>
      <c r="B612"/>
      <c r="C612"/>
      <c r="D612"/>
      <c r="E612"/>
      <c r="F612" s="27" t="s">
        <v>7</v>
      </c>
      <c r="AS612" s="27" t="s">
        <v>8</v>
      </c>
      <c r="AT612" s="27" t="s">
        <v>7</v>
      </c>
      <c r="BO612" s="27" t="s">
        <v>8</v>
      </c>
      <c r="BT612" s="27" t="s">
        <v>7</v>
      </c>
      <c r="CB612" s="27" t="s">
        <v>7</v>
      </c>
      <c r="CC612" s="27" t="s">
        <v>8</v>
      </c>
      <c r="CV612" s="27" t="s">
        <v>7</v>
      </c>
      <c r="CW612" s="27" t="s">
        <v>8</v>
      </c>
      <c r="CZ612" s="27" t="s">
        <v>7</v>
      </c>
      <c r="DA612" s="27" t="s">
        <v>8</v>
      </c>
      <c r="DB612" s="27" t="s">
        <v>7</v>
      </c>
      <c r="DC612" s="27" t="s">
        <v>8</v>
      </c>
      <c r="DD612" s="27" t="s">
        <v>7</v>
      </c>
      <c r="DE612" s="27" t="s">
        <v>8</v>
      </c>
      <c r="DF612" s="27" t="s">
        <v>7</v>
      </c>
      <c r="DG612" s="27" t="s">
        <v>8</v>
      </c>
      <c r="DL612" s="27" t="s">
        <v>7</v>
      </c>
      <c r="DP612" s="27" t="s">
        <v>7</v>
      </c>
      <c r="DQ612" s="27" t="s">
        <v>8</v>
      </c>
      <c r="DR612" s="27" t="s">
        <v>7</v>
      </c>
      <c r="DS612" s="27" t="s">
        <v>8</v>
      </c>
      <c r="DV612" s="27" t="s">
        <v>7</v>
      </c>
    </row>
    <row r="613" spans="1:126" x14ac:dyDescent="0.25">
      <c r="A613" s="7">
        <v>0.59757928483164646</v>
      </c>
      <c r="B613"/>
      <c r="C613"/>
      <c r="D613"/>
      <c r="E613"/>
      <c r="F613" s="27" t="s">
        <v>7</v>
      </c>
      <c r="AS613" s="27" t="s">
        <v>8</v>
      </c>
      <c r="AT613" s="27" t="s">
        <v>7</v>
      </c>
      <c r="BO613" s="27" t="s">
        <v>8</v>
      </c>
      <c r="CB613" s="27" t="s">
        <v>7</v>
      </c>
      <c r="CC613" s="27" t="s">
        <v>8</v>
      </c>
      <c r="CV613" s="27" t="s">
        <v>7</v>
      </c>
      <c r="CW613" s="27" t="s">
        <v>8</v>
      </c>
      <c r="CZ613" s="27" t="s">
        <v>7</v>
      </c>
      <c r="DB613" s="27" t="s">
        <v>7</v>
      </c>
      <c r="DC613" s="27" t="s">
        <v>8</v>
      </c>
      <c r="DD613" s="27" t="s">
        <v>7</v>
      </c>
      <c r="DE613" s="27" t="s">
        <v>8</v>
      </c>
      <c r="DF613" s="27" t="s">
        <v>7</v>
      </c>
      <c r="DG613" s="27" t="s">
        <v>8</v>
      </c>
      <c r="DP613" s="27" t="s">
        <v>7</v>
      </c>
      <c r="DR613" s="27" t="s">
        <v>7</v>
      </c>
      <c r="DS613" s="27" t="s">
        <v>8</v>
      </c>
      <c r="DV613" s="27" t="s">
        <v>7</v>
      </c>
    </row>
    <row r="614" spans="1:126" x14ac:dyDescent="0.25">
      <c r="A614" s="7">
        <v>0.58586204395259456</v>
      </c>
      <c r="B614"/>
      <c r="C614"/>
      <c r="D614"/>
      <c r="E614"/>
      <c r="F614" s="27" t="s">
        <v>7</v>
      </c>
      <c r="AS614" s="27" t="s">
        <v>8</v>
      </c>
      <c r="AT614" s="27" t="s">
        <v>7</v>
      </c>
      <c r="BO614" s="27" t="s">
        <v>8</v>
      </c>
      <c r="CB614" s="27" t="s">
        <v>7</v>
      </c>
      <c r="CV614" s="27" t="s">
        <v>7</v>
      </c>
      <c r="DB614" s="27" t="s">
        <v>7</v>
      </c>
      <c r="DD614" s="27" t="s">
        <v>7</v>
      </c>
      <c r="DE614" s="27" t="s">
        <v>8</v>
      </c>
      <c r="DF614" s="27" t="s">
        <v>7</v>
      </c>
      <c r="DG614" s="27" t="s">
        <v>8</v>
      </c>
      <c r="DR614" s="27" t="s">
        <v>7</v>
      </c>
      <c r="DS614" s="27" t="s">
        <v>8</v>
      </c>
      <c r="DV614" s="27" t="s">
        <v>7</v>
      </c>
    </row>
    <row r="615" spans="1:126" x14ac:dyDescent="0.25">
      <c r="A615" s="7">
        <v>0.57437455289470052</v>
      </c>
      <c r="B615"/>
      <c r="C615"/>
      <c r="D615"/>
      <c r="E615"/>
      <c r="F615" s="27" t="s">
        <v>7</v>
      </c>
      <c r="AS615" s="27" t="s">
        <v>8</v>
      </c>
      <c r="AT615" s="27" t="s">
        <v>7</v>
      </c>
      <c r="BO615" s="27" t="s">
        <v>8</v>
      </c>
      <c r="DD615" s="27" t="s">
        <v>7</v>
      </c>
      <c r="DF615" s="27" t="s">
        <v>7</v>
      </c>
      <c r="DR615" s="27" t="s">
        <v>7</v>
      </c>
      <c r="DS615" s="27" t="s">
        <v>8</v>
      </c>
      <c r="DV615" s="27" t="s">
        <v>7</v>
      </c>
    </row>
    <row r="616" spans="1:126" x14ac:dyDescent="0.25">
      <c r="A616" s="7">
        <v>0.56311230675951029</v>
      </c>
      <c r="B616"/>
      <c r="C616"/>
      <c r="D616"/>
      <c r="E616"/>
      <c r="F616" s="27" t="s">
        <v>7</v>
      </c>
      <c r="AS616" s="27" t="s">
        <v>8</v>
      </c>
      <c r="AT616" s="27" t="s">
        <v>7</v>
      </c>
      <c r="BO616" s="27" t="s">
        <v>8</v>
      </c>
      <c r="DR616" s="27" t="s">
        <v>7</v>
      </c>
      <c r="DV616" s="27" t="s">
        <v>7</v>
      </c>
    </row>
    <row r="617" spans="1:126" x14ac:dyDescent="0.25">
      <c r="A617" s="7">
        <v>0.55207088897991208</v>
      </c>
      <c r="B617"/>
      <c r="C617"/>
      <c r="D617"/>
      <c r="E617"/>
      <c r="F617" s="27" t="s">
        <v>7</v>
      </c>
      <c r="AS617" s="27" t="s">
        <v>8</v>
      </c>
      <c r="AT617" s="27" t="s">
        <v>7</v>
      </c>
      <c r="BO617" s="27" t="s">
        <v>8</v>
      </c>
      <c r="DV617" s="27" t="s">
        <v>7</v>
      </c>
    </row>
    <row r="618" spans="1:126" x14ac:dyDescent="0.25">
      <c r="A618" s="7">
        <v>0.54124596958814908</v>
      </c>
      <c r="B618"/>
      <c r="C618"/>
      <c r="D618"/>
      <c r="E618"/>
      <c r="F618" s="27" t="s">
        <v>7</v>
      </c>
      <c r="AS618" s="27" t="s">
        <v>8</v>
      </c>
      <c r="AT618" s="27" t="s">
        <v>7</v>
      </c>
      <c r="AY618" s="27" t="s">
        <v>8</v>
      </c>
      <c r="BA618" s="27" t="s">
        <v>8</v>
      </c>
      <c r="BO618" s="27" t="s">
        <v>8</v>
      </c>
      <c r="DV618" s="27" t="s">
        <v>7</v>
      </c>
    </row>
    <row r="619" spans="1:126" x14ac:dyDescent="0.25">
      <c r="A619" s="7">
        <v>0.53063330351779314</v>
      </c>
      <c r="B619"/>
      <c r="C619"/>
      <c r="D619"/>
      <c r="E619"/>
      <c r="F619" s="27" t="s">
        <v>7</v>
      </c>
      <c r="AS619" s="27" t="s">
        <v>8</v>
      </c>
      <c r="AT619" s="27" t="s">
        <v>7</v>
      </c>
      <c r="AY619" s="27" t="s">
        <v>8</v>
      </c>
      <c r="AZ619" s="27" t="s">
        <v>7</v>
      </c>
      <c r="BA619" s="27" t="s">
        <v>8</v>
      </c>
      <c r="BB619" s="27" t="s">
        <v>7</v>
      </c>
      <c r="BO619" s="27" t="s">
        <v>8</v>
      </c>
      <c r="DV619" s="27" t="s">
        <v>7</v>
      </c>
    </row>
    <row r="620" spans="1:126" x14ac:dyDescent="0.25">
      <c r="A620" s="7">
        <v>0.52022872893901284</v>
      </c>
      <c r="B620"/>
      <c r="C620"/>
      <c r="D620"/>
      <c r="E620"/>
      <c r="F620" s="27" t="s">
        <v>7</v>
      </c>
      <c r="AS620" s="27" t="s">
        <v>8</v>
      </c>
      <c r="AT620" s="27" t="s">
        <v>7</v>
      </c>
      <c r="AY620" s="27" t="s">
        <v>8</v>
      </c>
      <c r="AZ620" s="27" t="s">
        <v>7</v>
      </c>
      <c r="BA620" s="27" t="s">
        <v>8</v>
      </c>
      <c r="BB620" s="27" t="s">
        <v>7</v>
      </c>
      <c r="BO620" s="27" t="s">
        <v>8</v>
      </c>
      <c r="DV620" s="27" t="s">
        <v>7</v>
      </c>
    </row>
    <row r="621" spans="1:126" x14ac:dyDescent="0.25">
      <c r="A621" s="7">
        <v>0.51002816562648323</v>
      </c>
      <c r="B621"/>
      <c r="C621"/>
      <c r="D621"/>
      <c r="E621"/>
      <c r="F621" s="27" t="s">
        <v>7</v>
      </c>
      <c r="AS621" s="27" t="s">
        <v>8</v>
      </c>
      <c r="AT621" s="27" t="s">
        <v>7</v>
      </c>
      <c r="AY621" s="27" t="s">
        <v>8</v>
      </c>
      <c r="AZ621" s="27" t="s">
        <v>7</v>
      </c>
      <c r="BA621" s="27" t="s">
        <v>8</v>
      </c>
      <c r="BB621" s="27" t="s">
        <v>7</v>
      </c>
      <c r="BO621" s="27" t="s">
        <v>8</v>
      </c>
      <c r="DV621" s="27" t="s">
        <v>7</v>
      </c>
    </row>
    <row r="622" spans="1:126" x14ac:dyDescent="0.25">
      <c r="A622" s="7">
        <v>0.50002761335929735</v>
      </c>
      <c r="B622"/>
      <c r="C622"/>
      <c r="D622"/>
      <c r="E622"/>
      <c r="F622" s="27" t="s">
        <v>7</v>
      </c>
      <c r="AS622" s="27" t="s">
        <v>8</v>
      </c>
      <c r="AT622" s="27" t="s">
        <v>7</v>
      </c>
      <c r="AU622" s="27" t="s">
        <v>8</v>
      </c>
      <c r="AY622" s="27" t="s">
        <v>8</v>
      </c>
      <c r="AZ622" s="27" t="s">
        <v>7</v>
      </c>
      <c r="BA622" s="27" t="s">
        <v>8</v>
      </c>
      <c r="BB622" s="27" t="s">
        <v>7</v>
      </c>
      <c r="BO622" s="27" t="s">
        <v>8</v>
      </c>
      <c r="DV622" s="27" t="s">
        <v>7</v>
      </c>
    </row>
    <row r="623" spans="1:126" x14ac:dyDescent="0.25">
      <c r="A623" s="7">
        <v>0.49022315035225228</v>
      </c>
      <c r="B623"/>
      <c r="C623"/>
      <c r="D623"/>
      <c r="E623"/>
      <c r="F623" s="27" t="s">
        <v>7</v>
      </c>
      <c r="AS623" s="27" t="s">
        <v>8</v>
      </c>
      <c r="AT623" s="27" t="s">
        <v>7</v>
      </c>
      <c r="AU623" s="27" t="s">
        <v>8</v>
      </c>
      <c r="AV623" s="27" t="s">
        <v>7</v>
      </c>
      <c r="AY623" s="27" t="s">
        <v>8</v>
      </c>
      <c r="AZ623" s="27" t="s">
        <v>7</v>
      </c>
      <c r="BA623" s="27" t="s">
        <v>8</v>
      </c>
      <c r="BB623" s="27" t="s">
        <v>7</v>
      </c>
      <c r="BO623" s="27" t="s">
        <v>8</v>
      </c>
      <c r="DV623" s="27" t="s">
        <v>7</v>
      </c>
    </row>
    <row r="624" spans="1:126" x14ac:dyDescent="0.25">
      <c r="A624" s="7">
        <v>0.48061093171789437</v>
      </c>
      <c r="B624"/>
      <c r="C624"/>
      <c r="D624"/>
      <c r="E624"/>
      <c r="F624" s="27" t="s">
        <v>7</v>
      </c>
      <c r="AS624" s="27" t="s">
        <v>8</v>
      </c>
      <c r="AT624" s="27" t="s">
        <v>7</v>
      </c>
      <c r="AU624" s="27" t="s">
        <v>8</v>
      </c>
      <c r="AV624" s="27" t="s">
        <v>7</v>
      </c>
      <c r="AY624" s="27" t="s">
        <v>8</v>
      </c>
      <c r="AZ624" s="27" t="s">
        <v>7</v>
      </c>
      <c r="BA624" s="27" t="s">
        <v>8</v>
      </c>
      <c r="BB624" s="27" t="s">
        <v>7</v>
      </c>
      <c r="BO624" s="27" t="s">
        <v>8</v>
      </c>
      <c r="DV624" s="27" t="s">
        <v>7</v>
      </c>
    </row>
    <row r="625" spans="1:130" x14ac:dyDescent="0.25">
      <c r="A625" s="7">
        <v>0.47118718795871994</v>
      </c>
      <c r="B625"/>
      <c r="C625"/>
      <c r="D625"/>
      <c r="E625"/>
      <c r="F625" s="27" t="s">
        <v>7</v>
      </c>
      <c r="AS625" s="27" t="s">
        <v>8</v>
      </c>
      <c r="AT625" s="27" t="s">
        <v>7</v>
      </c>
      <c r="AU625" s="27" t="s">
        <v>8</v>
      </c>
      <c r="AV625" s="27" t="s">
        <v>7</v>
      </c>
      <c r="AY625" s="27" t="s">
        <v>8</v>
      </c>
      <c r="AZ625" s="27" t="s">
        <v>7</v>
      </c>
      <c r="BA625" s="27" t="s">
        <v>8</v>
      </c>
      <c r="BB625" s="27" t="s">
        <v>7</v>
      </c>
      <c r="BO625" s="27" t="s">
        <v>8</v>
      </c>
      <c r="DV625" s="27" t="s">
        <v>7</v>
      </c>
    </row>
    <row r="626" spans="1:130" x14ac:dyDescent="0.25">
      <c r="A626" s="7">
        <v>0.46194822348894116</v>
      </c>
      <c r="B626"/>
      <c r="C626"/>
      <c r="D626"/>
      <c r="E626"/>
      <c r="F626" s="27" t="s">
        <v>7</v>
      </c>
      <c r="AQ626" s="27" t="s">
        <v>8</v>
      </c>
      <c r="AS626" s="27" t="s">
        <v>8</v>
      </c>
      <c r="AT626" s="27" t="s">
        <v>7</v>
      </c>
      <c r="AU626" s="27" t="s">
        <v>8</v>
      </c>
      <c r="AV626" s="27" t="s">
        <v>7</v>
      </c>
      <c r="AY626" s="27" t="s">
        <v>8</v>
      </c>
      <c r="AZ626" s="27" t="s">
        <v>7</v>
      </c>
      <c r="BB626" s="27" t="s">
        <v>7</v>
      </c>
      <c r="BO626" s="27" t="s">
        <v>8</v>
      </c>
      <c r="DV626" s="27" t="s">
        <v>7</v>
      </c>
    </row>
    <row r="627" spans="1:130" x14ac:dyDescent="0.25">
      <c r="A627" s="7">
        <v>0.45289041518523643</v>
      </c>
      <c r="B627"/>
      <c r="C627"/>
      <c r="D627"/>
      <c r="E627"/>
      <c r="F627" s="27" t="s">
        <v>7</v>
      </c>
      <c r="AQ627" s="27" t="s">
        <v>8</v>
      </c>
      <c r="AR627" s="27" t="s">
        <v>7</v>
      </c>
      <c r="AS627" s="27" t="s">
        <v>8</v>
      </c>
      <c r="AT627" s="27" t="s">
        <v>7</v>
      </c>
      <c r="AU627" s="27" t="s">
        <v>8</v>
      </c>
      <c r="AV627" s="27" t="s">
        <v>7</v>
      </c>
      <c r="AW627" s="27" t="s">
        <v>8</v>
      </c>
      <c r="AY627" s="27" t="s">
        <v>8</v>
      </c>
      <c r="BB627" s="27" t="s">
        <v>7</v>
      </c>
      <c r="BK627" s="27" t="s">
        <v>8</v>
      </c>
      <c r="BO627" s="27" t="s">
        <v>8</v>
      </c>
      <c r="DV627" s="27" t="s">
        <v>7</v>
      </c>
    </row>
    <row r="628" spans="1:130" x14ac:dyDescent="0.25">
      <c r="A628" s="7">
        <v>0.44401021096591808</v>
      </c>
      <c r="B628"/>
      <c r="C628"/>
      <c r="D628"/>
      <c r="E628"/>
      <c r="F628" s="27" t="s">
        <v>7</v>
      </c>
      <c r="AK628" s="27" t="s">
        <v>8</v>
      </c>
      <c r="AQ628" s="27" t="s">
        <v>8</v>
      </c>
      <c r="AR628" s="27" t="s">
        <v>7</v>
      </c>
      <c r="AS628" s="27" t="s">
        <v>8</v>
      </c>
      <c r="AT628" s="27" t="s">
        <v>7</v>
      </c>
      <c r="AU628" s="27" t="s">
        <v>8</v>
      </c>
      <c r="AV628" s="27" t="s">
        <v>7</v>
      </c>
      <c r="AW628" s="27" t="s">
        <v>8</v>
      </c>
      <c r="AX628" s="27" t="s">
        <v>7</v>
      </c>
      <c r="AY628" s="27" t="s">
        <v>8</v>
      </c>
      <c r="BB628" s="27" t="s">
        <v>7</v>
      </c>
      <c r="BK628" s="27" t="s">
        <v>8</v>
      </c>
      <c r="BL628" s="27" t="s">
        <v>7</v>
      </c>
      <c r="BM628" s="27" t="s">
        <v>8</v>
      </c>
      <c r="BO628" s="27" t="s">
        <v>8</v>
      </c>
      <c r="DV628" s="27" t="s">
        <v>7</v>
      </c>
      <c r="DY628" s="27" t="s">
        <v>8</v>
      </c>
    </row>
    <row r="629" spans="1:130" x14ac:dyDescent="0.25">
      <c r="A629" s="7">
        <v>0.4353041283979589</v>
      </c>
      <c r="B629"/>
      <c r="C629"/>
      <c r="D629"/>
      <c r="E629"/>
      <c r="F629" s="27" t="s">
        <v>7</v>
      </c>
      <c r="AK629" s="27" t="s">
        <v>8</v>
      </c>
      <c r="AL629" s="27" t="s">
        <v>7</v>
      </c>
      <c r="AO629" s="27" t="s">
        <v>8</v>
      </c>
      <c r="AQ629" s="27" t="s">
        <v>8</v>
      </c>
      <c r="AR629" s="27" t="s">
        <v>7</v>
      </c>
      <c r="AS629" s="27" t="s">
        <v>8</v>
      </c>
      <c r="AT629" s="27" t="s">
        <v>7</v>
      </c>
      <c r="AU629" s="27" t="s">
        <v>8</v>
      </c>
      <c r="AV629" s="27" t="s">
        <v>7</v>
      </c>
      <c r="AW629" s="27" t="s">
        <v>8</v>
      </c>
      <c r="AX629" s="27" t="s">
        <v>7</v>
      </c>
      <c r="AY629" s="27" t="s">
        <v>8</v>
      </c>
      <c r="BB629" s="27" t="s">
        <v>7</v>
      </c>
      <c r="BK629" s="27" t="s">
        <v>8</v>
      </c>
      <c r="BL629" s="27" t="s">
        <v>7</v>
      </c>
      <c r="BM629" s="27" t="s">
        <v>8</v>
      </c>
      <c r="BN629" s="27" t="s">
        <v>7</v>
      </c>
      <c r="BO629" s="27" t="s">
        <v>8</v>
      </c>
      <c r="DV629" s="27" t="s">
        <v>7</v>
      </c>
      <c r="DW629" s="27" t="s">
        <v>8</v>
      </c>
      <c r="DY629" s="27" t="s">
        <v>8</v>
      </c>
      <c r="DZ629" s="27" t="s">
        <v>7</v>
      </c>
    </row>
    <row r="630" spans="1:130" x14ac:dyDescent="0.25">
      <c r="A630" s="7">
        <v>0.4267687533313323</v>
      </c>
      <c r="B630"/>
      <c r="C630"/>
      <c r="D630"/>
      <c r="E630"/>
      <c r="F630" s="27" t="s">
        <v>7</v>
      </c>
      <c r="AK630" s="27" t="s">
        <v>8</v>
      </c>
      <c r="AL630" s="27" t="s">
        <v>7</v>
      </c>
      <c r="AM630" s="27" t="s">
        <v>8</v>
      </c>
      <c r="AO630" s="27" t="s">
        <v>8</v>
      </c>
      <c r="AP630" s="27" t="s">
        <v>7</v>
      </c>
      <c r="AQ630" s="27" t="s">
        <v>8</v>
      </c>
      <c r="AR630" s="27" t="s">
        <v>7</v>
      </c>
      <c r="AT630" s="27" t="s">
        <v>7</v>
      </c>
      <c r="AU630" s="27" t="s">
        <v>8</v>
      </c>
      <c r="AV630" s="27" t="s">
        <v>7</v>
      </c>
      <c r="AW630" s="27" t="s">
        <v>8</v>
      </c>
      <c r="AX630" s="27" t="s">
        <v>7</v>
      </c>
      <c r="AY630" s="27" t="s">
        <v>8</v>
      </c>
      <c r="BB630" s="27" t="s">
        <v>7</v>
      </c>
      <c r="BI630" s="27" t="s">
        <v>8</v>
      </c>
      <c r="BK630" s="27" t="s">
        <v>8</v>
      </c>
      <c r="BL630" s="27" t="s">
        <v>7</v>
      </c>
      <c r="BM630" s="27" t="s">
        <v>8</v>
      </c>
      <c r="BN630" s="27" t="s">
        <v>7</v>
      </c>
      <c r="BO630" s="27" t="s">
        <v>8</v>
      </c>
      <c r="DV630" s="27" t="s">
        <v>7</v>
      </c>
      <c r="DW630" s="27" t="s">
        <v>8</v>
      </c>
      <c r="DX630" s="27" t="s">
        <v>7</v>
      </c>
      <c r="DY630" s="27" t="s">
        <v>8</v>
      </c>
      <c r="DZ630" s="27" t="s">
        <v>7</v>
      </c>
    </row>
    <row r="631" spans="1:130" x14ac:dyDescent="0.25">
      <c r="A631" s="7">
        <v>0.41840073856012971</v>
      </c>
      <c r="B631"/>
      <c r="C631"/>
      <c r="D631"/>
      <c r="E631"/>
      <c r="F631" s="27" t="s">
        <v>7</v>
      </c>
      <c r="AG631" s="27" t="s">
        <v>8</v>
      </c>
      <c r="AK631" s="27" t="s">
        <v>8</v>
      </c>
      <c r="AL631" s="27" t="s">
        <v>7</v>
      </c>
      <c r="AM631" s="27" t="s">
        <v>8</v>
      </c>
      <c r="AN631" s="27" t="s">
        <v>7</v>
      </c>
      <c r="AO631" s="27" t="s">
        <v>8</v>
      </c>
      <c r="AP631" s="27" t="s">
        <v>7</v>
      </c>
      <c r="AQ631" s="27" t="s">
        <v>8</v>
      </c>
      <c r="AT631" s="27" t="s">
        <v>7</v>
      </c>
      <c r="AU631" s="27" t="s">
        <v>8</v>
      </c>
      <c r="AV631" s="27" t="s">
        <v>7</v>
      </c>
      <c r="AW631" s="27" t="s">
        <v>8</v>
      </c>
      <c r="AX631" s="27" t="s">
        <v>7</v>
      </c>
      <c r="AY631" s="27" t="s">
        <v>8</v>
      </c>
      <c r="BB631" s="27" t="s">
        <v>7</v>
      </c>
      <c r="BI631" s="27" t="s">
        <v>8</v>
      </c>
      <c r="BJ631" s="27" t="s">
        <v>7</v>
      </c>
      <c r="BK631" s="27" t="s">
        <v>8</v>
      </c>
      <c r="BL631" s="27" t="s">
        <v>7</v>
      </c>
      <c r="BN631" s="27" t="s">
        <v>7</v>
      </c>
      <c r="BO631" s="27" t="s">
        <v>8</v>
      </c>
      <c r="DV631" s="27" t="s">
        <v>7</v>
      </c>
      <c r="DW631" s="27" t="s">
        <v>8</v>
      </c>
      <c r="DX631" s="27" t="s">
        <v>7</v>
      </c>
      <c r="DY631" s="27" t="s">
        <v>8</v>
      </c>
      <c r="DZ631" s="27" t="s">
        <v>7</v>
      </c>
    </row>
    <row r="632" spans="1:130" x14ac:dyDescent="0.25">
      <c r="A632" s="7">
        <v>0.41019680250993112</v>
      </c>
      <c r="B632"/>
      <c r="C632"/>
      <c r="D632"/>
      <c r="E632"/>
      <c r="F632" s="27" t="s">
        <v>7</v>
      </c>
      <c r="AG632" s="27" t="s">
        <v>8</v>
      </c>
      <c r="AH632" s="27" t="s">
        <v>7</v>
      </c>
      <c r="AI632" s="27" t="s">
        <v>8</v>
      </c>
      <c r="AK632" s="27" t="s">
        <v>8</v>
      </c>
      <c r="AL632" s="27" t="s">
        <v>7</v>
      </c>
      <c r="AM632" s="27" t="s">
        <v>8</v>
      </c>
      <c r="AN632" s="27" t="s">
        <v>7</v>
      </c>
      <c r="AO632" s="27" t="s">
        <v>8</v>
      </c>
      <c r="AP632" s="27" t="s">
        <v>7</v>
      </c>
      <c r="AQ632" s="27" t="s">
        <v>8</v>
      </c>
      <c r="AT632" s="27" t="s">
        <v>7</v>
      </c>
      <c r="AU632" s="27" t="s">
        <v>8</v>
      </c>
      <c r="AV632" s="27" t="s">
        <v>7</v>
      </c>
      <c r="AW632" s="27" t="s">
        <v>8</v>
      </c>
      <c r="AX632" s="27" t="s">
        <v>7</v>
      </c>
      <c r="AY632" s="27" t="s">
        <v>8</v>
      </c>
      <c r="BB632" s="27" t="s">
        <v>7</v>
      </c>
      <c r="BI632" s="27" t="s">
        <v>8</v>
      </c>
      <c r="BJ632" s="27" t="s">
        <v>7</v>
      </c>
      <c r="BK632" s="27" t="s">
        <v>8</v>
      </c>
      <c r="BN632" s="27" t="s">
        <v>7</v>
      </c>
      <c r="BO632" s="27" t="s">
        <v>8</v>
      </c>
      <c r="DV632" s="27" t="s">
        <v>7</v>
      </c>
      <c r="DW632" s="27" t="s">
        <v>8</v>
      </c>
      <c r="DX632" s="27" t="s">
        <v>7</v>
      </c>
      <c r="DY632" s="27" t="s">
        <v>8</v>
      </c>
      <c r="DZ632" s="27" t="s">
        <v>7</v>
      </c>
    </row>
    <row r="633" spans="1:130" x14ac:dyDescent="0.25">
      <c r="A633" s="7">
        <v>0.40215372795091286</v>
      </c>
      <c r="B633"/>
      <c r="C633"/>
      <c r="D633"/>
      <c r="E633"/>
      <c r="F633" s="27" t="s">
        <v>7</v>
      </c>
      <c r="AG633" s="27" t="s">
        <v>8</v>
      </c>
      <c r="AH633" s="27" t="s">
        <v>7</v>
      </c>
      <c r="AI633" s="27" t="s">
        <v>8</v>
      </c>
      <c r="AJ633" s="27" t="s">
        <v>7</v>
      </c>
      <c r="AK633" s="27" t="s">
        <v>8</v>
      </c>
      <c r="AL633" s="27" t="s">
        <v>7</v>
      </c>
      <c r="AM633" s="27" t="s">
        <v>8</v>
      </c>
      <c r="AN633" s="27" t="s">
        <v>7</v>
      </c>
      <c r="AO633" s="27" t="s">
        <v>8</v>
      </c>
      <c r="AP633" s="27" t="s">
        <v>7</v>
      </c>
      <c r="AQ633" s="27" t="s">
        <v>8</v>
      </c>
      <c r="AT633" s="27" t="s">
        <v>7</v>
      </c>
      <c r="AU633" s="27" t="s">
        <v>8</v>
      </c>
      <c r="AV633" s="27" t="s">
        <v>7</v>
      </c>
      <c r="AX633" s="27" t="s">
        <v>7</v>
      </c>
      <c r="AY633" s="27" t="s">
        <v>8</v>
      </c>
      <c r="BB633" s="27" t="s">
        <v>7</v>
      </c>
      <c r="BC633" s="27" t="s">
        <v>8</v>
      </c>
      <c r="BI633" s="27" t="s">
        <v>8</v>
      </c>
      <c r="BJ633" s="27" t="s">
        <v>7</v>
      </c>
      <c r="BK633" s="27" t="s">
        <v>8</v>
      </c>
      <c r="BN633" s="27" t="s">
        <v>7</v>
      </c>
      <c r="BO633" s="27" t="s">
        <v>8</v>
      </c>
      <c r="DV633" s="27" t="s">
        <v>7</v>
      </c>
      <c r="DW633" s="27" t="s">
        <v>8</v>
      </c>
      <c r="DX633" s="27" t="s">
        <v>7</v>
      </c>
      <c r="DY633" s="27" t="s">
        <v>8</v>
      </c>
      <c r="DZ633" s="27" t="s">
        <v>7</v>
      </c>
    </row>
    <row r="634" spans="1:130" x14ac:dyDescent="0.25">
      <c r="A634" s="7">
        <v>0.39426836073618904</v>
      </c>
      <c r="B634"/>
      <c r="C634"/>
      <c r="D634"/>
      <c r="E634"/>
      <c r="F634" s="27" t="s">
        <v>7</v>
      </c>
      <c r="AG634" s="27" t="s">
        <v>8</v>
      </c>
      <c r="AH634" s="27" t="s">
        <v>7</v>
      </c>
      <c r="AI634" s="27" t="s">
        <v>8</v>
      </c>
      <c r="AJ634" s="27" t="s">
        <v>7</v>
      </c>
      <c r="AK634" s="27" t="s">
        <v>8</v>
      </c>
      <c r="AL634" s="27" t="s">
        <v>7</v>
      </c>
      <c r="AN634" s="27" t="s">
        <v>7</v>
      </c>
      <c r="AO634" s="27" t="s">
        <v>8</v>
      </c>
      <c r="AP634" s="27" t="s">
        <v>7</v>
      </c>
      <c r="AT634" s="27" t="s">
        <v>7</v>
      </c>
      <c r="AU634" s="27" t="s">
        <v>8</v>
      </c>
      <c r="AX634" s="27" t="s">
        <v>7</v>
      </c>
      <c r="AY634" s="27" t="s">
        <v>8</v>
      </c>
      <c r="BB634" s="27" t="s">
        <v>7</v>
      </c>
      <c r="BC634" s="27" t="s">
        <v>8</v>
      </c>
      <c r="BD634" s="27" t="s">
        <v>7</v>
      </c>
      <c r="BE634" s="27" t="s">
        <v>8</v>
      </c>
      <c r="BI634" s="27" t="s">
        <v>8</v>
      </c>
      <c r="BJ634" s="27" t="s">
        <v>7</v>
      </c>
      <c r="BK634" s="27" t="s">
        <v>8</v>
      </c>
      <c r="BN634" s="27" t="s">
        <v>7</v>
      </c>
      <c r="DV634" s="27" t="s">
        <v>7</v>
      </c>
      <c r="DW634" s="27" t="s">
        <v>8</v>
      </c>
      <c r="DX634" s="27" t="s">
        <v>7</v>
      </c>
      <c r="DY634" s="27" t="s">
        <v>8</v>
      </c>
    </row>
    <row r="635" spans="1:130" x14ac:dyDescent="0.25">
      <c r="A635" s="7">
        <v>0.38653760856489122</v>
      </c>
      <c r="B635"/>
      <c r="C635"/>
      <c r="D635"/>
      <c r="E635"/>
      <c r="F635" s="27" t="s">
        <v>7</v>
      </c>
      <c r="O635" s="27" t="s">
        <v>8</v>
      </c>
      <c r="AG635" s="27" t="s">
        <v>8</v>
      </c>
      <c r="AH635" s="27" t="s">
        <v>7</v>
      </c>
      <c r="AI635" s="27" t="s">
        <v>8</v>
      </c>
      <c r="AJ635" s="27" t="s">
        <v>7</v>
      </c>
      <c r="AK635" s="27" t="s">
        <v>8</v>
      </c>
      <c r="AN635" s="27" t="s">
        <v>7</v>
      </c>
      <c r="AO635" s="27" t="s">
        <v>8</v>
      </c>
      <c r="AT635" s="27" t="s">
        <v>7</v>
      </c>
      <c r="AX635" s="27" t="s">
        <v>7</v>
      </c>
      <c r="BB635" s="27" t="s">
        <v>7</v>
      </c>
      <c r="BC635" s="27" t="s">
        <v>8</v>
      </c>
      <c r="BD635" s="27" t="s">
        <v>7</v>
      </c>
      <c r="BE635" s="27" t="s">
        <v>8</v>
      </c>
      <c r="BF635" s="27" t="s">
        <v>7</v>
      </c>
      <c r="BG635" s="27" t="s">
        <v>8</v>
      </c>
      <c r="BI635" s="27" t="s">
        <v>8</v>
      </c>
      <c r="BJ635" s="27" t="s">
        <v>7</v>
      </c>
      <c r="BK635" s="27" t="s">
        <v>8</v>
      </c>
      <c r="DV635" s="27" t="s">
        <v>7</v>
      </c>
      <c r="DW635" s="27" t="s">
        <v>8</v>
      </c>
      <c r="DX635" s="27" t="s">
        <v>7</v>
      </c>
      <c r="DY635" s="27" t="s">
        <v>8</v>
      </c>
    </row>
    <row r="636" spans="1:130" x14ac:dyDescent="0.25">
      <c r="A636" s="7">
        <v>0.37895843976950117</v>
      </c>
      <c r="B636"/>
      <c r="C636"/>
      <c r="D636"/>
      <c r="E636"/>
      <c r="F636" s="27" t="s">
        <v>7</v>
      </c>
      <c r="O636" s="27" t="s">
        <v>8</v>
      </c>
      <c r="P636" s="27" t="s">
        <v>7</v>
      </c>
      <c r="AE636" s="27" t="s">
        <v>8</v>
      </c>
      <c r="AG636" s="27" t="s">
        <v>8</v>
      </c>
      <c r="AH636" s="27" t="s">
        <v>7</v>
      </c>
      <c r="AI636" s="27" t="s">
        <v>8</v>
      </c>
      <c r="AJ636" s="27" t="s">
        <v>7</v>
      </c>
      <c r="AK636" s="27" t="s">
        <v>8</v>
      </c>
      <c r="AN636" s="27" t="s">
        <v>7</v>
      </c>
      <c r="AO636" s="27" t="s">
        <v>8</v>
      </c>
      <c r="BB636" s="27" t="s">
        <v>7</v>
      </c>
      <c r="BC636" s="27" t="s">
        <v>8</v>
      </c>
      <c r="BD636" s="27" t="s">
        <v>7</v>
      </c>
      <c r="BE636" s="27" t="s">
        <v>8</v>
      </c>
      <c r="BF636" s="27" t="s">
        <v>7</v>
      </c>
      <c r="BG636" s="27" t="s">
        <v>8</v>
      </c>
      <c r="BH636" s="27" t="s">
        <v>7</v>
      </c>
      <c r="BI636" s="27" t="s">
        <v>8</v>
      </c>
      <c r="BJ636" s="27" t="s">
        <v>7</v>
      </c>
      <c r="DV636" s="27" t="s">
        <v>7</v>
      </c>
      <c r="DW636" s="27" t="s">
        <v>8</v>
      </c>
      <c r="DX636" s="27" t="s">
        <v>7</v>
      </c>
      <c r="DY636" s="27" t="s">
        <v>8</v>
      </c>
    </row>
    <row r="637" spans="1:130" x14ac:dyDescent="0.25">
      <c r="A637" s="7">
        <v>0.37152788212696197</v>
      </c>
      <c r="B637"/>
      <c r="C637"/>
      <c r="D637"/>
      <c r="E637"/>
      <c r="F637" s="27" t="s">
        <v>7</v>
      </c>
      <c r="O637" s="27" t="s">
        <v>8</v>
      </c>
      <c r="P637" s="27" t="s">
        <v>7</v>
      </c>
      <c r="AE637" s="27" t="s">
        <v>8</v>
      </c>
      <c r="AF637" s="27" t="s">
        <v>7</v>
      </c>
      <c r="AG637" s="27" t="s">
        <v>8</v>
      </c>
      <c r="AH637" s="27" t="s">
        <v>7</v>
      </c>
      <c r="AJ637" s="27" t="s">
        <v>7</v>
      </c>
      <c r="AK637" s="27" t="s">
        <v>8</v>
      </c>
      <c r="AN637" s="27" t="s">
        <v>7</v>
      </c>
      <c r="BB637" s="27" t="s">
        <v>7</v>
      </c>
      <c r="BC637" s="27" t="s">
        <v>8</v>
      </c>
      <c r="BD637" s="27" t="s">
        <v>7</v>
      </c>
      <c r="BE637" s="27" t="s">
        <v>8</v>
      </c>
      <c r="BF637" s="27" t="s">
        <v>7</v>
      </c>
      <c r="BG637" s="27" t="s">
        <v>8</v>
      </c>
      <c r="BH637" s="27" t="s">
        <v>7</v>
      </c>
      <c r="BI637" s="27" t="s">
        <v>8</v>
      </c>
      <c r="DV637" s="27" t="s">
        <v>7</v>
      </c>
      <c r="DW637" s="27" t="s">
        <v>8</v>
      </c>
      <c r="DX637" s="27" t="s">
        <v>7</v>
      </c>
      <c r="DY637" s="27" t="s">
        <v>8</v>
      </c>
    </row>
    <row r="638" spans="1:130" x14ac:dyDescent="0.25">
      <c r="A638" s="7">
        <v>0.36424302169310002</v>
      </c>
      <c r="B638"/>
      <c r="C638"/>
      <c r="D638"/>
      <c r="E638"/>
      <c r="F638" s="27" t="s">
        <v>7</v>
      </c>
      <c r="O638" s="27" t="s">
        <v>8</v>
      </c>
      <c r="P638" s="27" t="s">
        <v>7</v>
      </c>
      <c r="AE638" s="27" t="s">
        <v>8</v>
      </c>
      <c r="AF638" s="27" t="s">
        <v>7</v>
      </c>
      <c r="AG638" s="27" t="s">
        <v>8</v>
      </c>
      <c r="AJ638" s="27" t="s">
        <v>7</v>
      </c>
      <c r="AK638" s="27" t="s">
        <v>8</v>
      </c>
      <c r="BB638" s="27" t="s">
        <v>7</v>
      </c>
      <c r="BC638" s="27" t="s">
        <v>8</v>
      </c>
      <c r="BD638" s="27" t="s">
        <v>7</v>
      </c>
      <c r="BE638" s="27" t="s">
        <v>8</v>
      </c>
      <c r="BF638" s="27" t="s">
        <v>7</v>
      </c>
      <c r="BG638" s="27" t="s">
        <v>8</v>
      </c>
      <c r="BH638" s="27" t="s">
        <v>7</v>
      </c>
      <c r="BI638" s="27" t="s">
        <v>8</v>
      </c>
      <c r="DV638" s="27" t="s">
        <v>7</v>
      </c>
      <c r="DX638" s="27" t="s">
        <v>7</v>
      </c>
      <c r="DY638" s="27" t="s">
        <v>8</v>
      </c>
    </row>
    <row r="639" spans="1:130" x14ac:dyDescent="0.25">
      <c r="A639" s="7">
        <v>0.35710100165990194</v>
      </c>
      <c r="B639"/>
      <c r="C639"/>
      <c r="D639"/>
      <c r="E639"/>
      <c r="F639" s="27" t="s">
        <v>7</v>
      </c>
      <c r="O639" s="27" t="s">
        <v>8</v>
      </c>
      <c r="P639" s="27" t="s">
        <v>7</v>
      </c>
      <c r="AE639" s="27" t="s">
        <v>8</v>
      </c>
      <c r="AF639" s="27" t="s">
        <v>7</v>
      </c>
      <c r="AG639" s="27" t="s">
        <v>8</v>
      </c>
      <c r="AJ639" s="27" t="s">
        <v>7</v>
      </c>
      <c r="AK639" s="27" t="s">
        <v>8</v>
      </c>
      <c r="BB639" s="27" t="s">
        <v>7</v>
      </c>
      <c r="BC639" s="27" t="s">
        <v>8</v>
      </c>
      <c r="BD639" s="27" t="s">
        <v>7</v>
      </c>
      <c r="BE639" s="27" t="s">
        <v>8</v>
      </c>
      <c r="BF639" s="27" t="s">
        <v>7</v>
      </c>
      <c r="BG639" s="27" t="s">
        <v>8</v>
      </c>
      <c r="BH639" s="27" t="s">
        <v>7</v>
      </c>
      <c r="BI639" s="27" t="s">
        <v>8</v>
      </c>
      <c r="DX639" s="27" t="s">
        <v>7</v>
      </c>
    </row>
    <row r="640" spans="1:130" x14ac:dyDescent="0.25">
      <c r="A640" s="7">
        <v>0.35009902123519804</v>
      </c>
      <c r="B640"/>
      <c r="C640"/>
      <c r="D640"/>
      <c r="E640"/>
      <c r="F640" s="27" t="s">
        <v>7</v>
      </c>
      <c r="O640" s="27" t="s">
        <v>8</v>
      </c>
      <c r="P640" s="27" t="s">
        <v>7</v>
      </c>
      <c r="AE640" s="27" t="s">
        <v>8</v>
      </c>
      <c r="AF640" s="27" t="s">
        <v>7</v>
      </c>
      <c r="AG640" s="27" t="s">
        <v>8</v>
      </c>
      <c r="AJ640" s="27" t="s">
        <v>7</v>
      </c>
      <c r="AK640" s="27" t="s">
        <v>8</v>
      </c>
      <c r="BB640" s="27" t="s">
        <v>7</v>
      </c>
      <c r="BC640" s="27" t="s">
        <v>8</v>
      </c>
      <c r="BD640" s="27" t="s">
        <v>7</v>
      </c>
      <c r="BE640" s="27" t="s">
        <v>8</v>
      </c>
      <c r="BF640" s="27" t="s">
        <v>7</v>
      </c>
      <c r="BH640" s="27" t="s">
        <v>7</v>
      </c>
      <c r="BI640" s="27" t="s">
        <v>8</v>
      </c>
    </row>
    <row r="641" spans="1:61" x14ac:dyDescent="0.25">
      <c r="A641" s="7">
        <v>0.34323433454431179</v>
      </c>
      <c r="B641"/>
      <c r="C641"/>
      <c r="D641"/>
      <c r="E641"/>
      <c r="F641" s="27" t="s">
        <v>7</v>
      </c>
      <c r="O641" s="27" t="s">
        <v>8</v>
      </c>
      <c r="P641" s="27" t="s">
        <v>7</v>
      </c>
      <c r="AA641" s="27" t="s">
        <v>8</v>
      </c>
      <c r="AE641" s="27" t="s">
        <v>8</v>
      </c>
      <c r="AF641" s="27" t="s">
        <v>7</v>
      </c>
      <c r="AG641" s="27" t="s">
        <v>8</v>
      </c>
      <c r="AJ641" s="27" t="s">
        <v>7</v>
      </c>
      <c r="AK641" s="27" t="s">
        <v>8</v>
      </c>
      <c r="BB641" s="27" t="s">
        <v>7</v>
      </c>
      <c r="BC641" s="27" t="s">
        <v>8</v>
      </c>
      <c r="BD641" s="27" t="s">
        <v>7</v>
      </c>
      <c r="BE641" s="27" t="s">
        <v>8</v>
      </c>
      <c r="BH641" s="27" t="s">
        <v>7</v>
      </c>
      <c r="BI641" s="27" t="s">
        <v>8</v>
      </c>
    </row>
    <row r="642" spans="1:61" x14ac:dyDescent="0.25">
      <c r="A642" s="7">
        <v>0.33650424955324681</v>
      </c>
      <c r="B642"/>
      <c r="C642"/>
      <c r="D642"/>
      <c r="E642"/>
      <c r="F642" s="27" t="s">
        <v>7</v>
      </c>
      <c r="O642" s="27" t="s">
        <v>8</v>
      </c>
      <c r="P642" s="27" t="s">
        <v>7</v>
      </c>
      <c r="Q642" s="27" t="s">
        <v>8</v>
      </c>
      <c r="AA642" s="27" t="s">
        <v>8</v>
      </c>
      <c r="AB642" s="27" t="s">
        <v>7</v>
      </c>
      <c r="AC642" s="27" t="s">
        <v>8</v>
      </c>
      <c r="AE642" s="27" t="s">
        <v>8</v>
      </c>
      <c r="AF642" s="27" t="s">
        <v>7</v>
      </c>
      <c r="AG642" s="27" t="s">
        <v>8</v>
      </c>
      <c r="AJ642" s="27" t="s">
        <v>7</v>
      </c>
      <c r="AK642" s="27" t="s">
        <v>8</v>
      </c>
      <c r="BB642" s="27" t="s">
        <v>7</v>
      </c>
      <c r="BD642" s="27" t="s">
        <v>7</v>
      </c>
      <c r="BH642" s="27" t="s">
        <v>7</v>
      </c>
    </row>
    <row r="643" spans="1:61" x14ac:dyDescent="0.25">
      <c r="A643" s="7">
        <v>0.3299061270129871</v>
      </c>
      <c r="B643"/>
      <c r="C643"/>
      <c r="D643"/>
      <c r="E643"/>
      <c r="F643" s="27" t="s">
        <v>7</v>
      </c>
      <c r="O643" s="27" t="s">
        <v>8</v>
      </c>
      <c r="P643" s="27" t="s">
        <v>7</v>
      </c>
      <c r="Q643" s="27" t="s">
        <v>8</v>
      </c>
      <c r="R643" s="27" t="s">
        <v>7</v>
      </c>
      <c r="AA643" s="27" t="s">
        <v>8</v>
      </c>
      <c r="AB643" s="27" t="s">
        <v>7</v>
      </c>
      <c r="AC643" s="27" t="s">
        <v>8</v>
      </c>
      <c r="AD643" s="27" t="s">
        <v>7</v>
      </c>
      <c r="AE643" s="27" t="s">
        <v>8</v>
      </c>
      <c r="AF643" s="27" t="s">
        <v>7</v>
      </c>
      <c r="AG643" s="27" t="s">
        <v>8</v>
      </c>
      <c r="AJ643" s="27" t="s">
        <v>7</v>
      </c>
    </row>
    <row r="644" spans="1:61" x14ac:dyDescent="0.25">
      <c r="A644" s="7">
        <v>0.32343737942449713</v>
      </c>
      <c r="B644"/>
      <c r="C644"/>
      <c r="D644"/>
      <c r="E644"/>
      <c r="F644" s="27" t="s">
        <v>7</v>
      </c>
      <c r="I644" s="27" t="s">
        <v>8</v>
      </c>
      <c r="O644" s="27" t="s">
        <v>8</v>
      </c>
      <c r="P644" s="27" t="s">
        <v>7</v>
      </c>
      <c r="Q644" s="27" t="s">
        <v>8</v>
      </c>
      <c r="R644" s="27" t="s">
        <v>7</v>
      </c>
      <c r="AA644" s="27" t="s">
        <v>8</v>
      </c>
      <c r="AB644" s="27" t="s">
        <v>7</v>
      </c>
      <c r="AC644" s="27" t="s">
        <v>8</v>
      </c>
      <c r="AD644" s="27" t="s">
        <v>7</v>
      </c>
      <c r="AE644" s="27" t="s">
        <v>8</v>
      </c>
      <c r="AF644" s="27" t="s">
        <v>7</v>
      </c>
    </row>
    <row r="645" spans="1:61" x14ac:dyDescent="0.25">
      <c r="A645" s="7">
        <v>0.31709547002401678</v>
      </c>
      <c r="B645"/>
      <c r="C645"/>
      <c r="D645"/>
      <c r="E645"/>
      <c r="F645" s="27" t="s">
        <v>7</v>
      </c>
      <c r="G645" s="27" t="s">
        <v>8</v>
      </c>
      <c r="I645" s="27" t="s">
        <v>8</v>
      </c>
      <c r="J645" s="27" t="s">
        <v>7</v>
      </c>
      <c r="O645" s="27" t="s">
        <v>8</v>
      </c>
      <c r="P645" s="27" t="s">
        <v>7</v>
      </c>
      <c r="Q645" s="27" t="s">
        <v>8</v>
      </c>
      <c r="R645" s="27" t="s">
        <v>7</v>
      </c>
      <c r="AA645" s="27" t="s">
        <v>8</v>
      </c>
      <c r="AB645" s="27" t="s">
        <v>7</v>
      </c>
      <c r="AC645" s="27" t="s">
        <v>8</v>
      </c>
      <c r="AD645" s="27" t="s">
        <v>7</v>
      </c>
      <c r="AE645" s="27" t="s">
        <v>8</v>
      </c>
    </row>
    <row r="646" spans="1:61" x14ac:dyDescent="0.25">
      <c r="A646" s="7">
        <v>0.31087791178825175</v>
      </c>
      <c r="B646"/>
      <c r="C646"/>
      <c r="D646"/>
      <c r="E646"/>
      <c r="F646" s="27" t="s">
        <v>7</v>
      </c>
      <c r="G646" s="27" t="s">
        <v>8</v>
      </c>
      <c r="H646" s="27" t="s">
        <v>7</v>
      </c>
      <c r="I646" s="27" t="s">
        <v>8</v>
      </c>
      <c r="J646" s="27" t="s">
        <v>7</v>
      </c>
      <c r="K646" s="27" t="s">
        <v>8</v>
      </c>
      <c r="O646" s="27" t="s">
        <v>8</v>
      </c>
      <c r="P646" s="27" t="s">
        <v>7</v>
      </c>
      <c r="Q646" s="27" t="s">
        <v>8</v>
      </c>
      <c r="R646" s="27" t="s">
        <v>7</v>
      </c>
      <c r="AA646" s="27" t="s">
        <v>8</v>
      </c>
      <c r="AB646" s="27" t="s">
        <v>7</v>
      </c>
      <c r="AC646" s="27" t="s">
        <v>8</v>
      </c>
      <c r="AD646" s="27" t="s">
        <v>7</v>
      </c>
      <c r="AE646" s="27" t="s">
        <v>8</v>
      </c>
    </row>
    <row r="647" spans="1:61" x14ac:dyDescent="0.25">
      <c r="A647" s="7">
        <v>0.30478226645907036</v>
      </c>
      <c r="B647"/>
      <c r="C647"/>
      <c r="D647"/>
      <c r="E647"/>
      <c r="F647" s="27" t="s">
        <v>7</v>
      </c>
      <c r="G647" s="27" t="s">
        <v>8</v>
      </c>
      <c r="H647" s="27" t="s">
        <v>7</v>
      </c>
      <c r="I647" s="27" t="s">
        <v>8</v>
      </c>
      <c r="J647" s="27" t="s">
        <v>7</v>
      </c>
      <c r="K647" s="27" t="s">
        <v>8</v>
      </c>
      <c r="L647" s="27" t="s">
        <v>7</v>
      </c>
      <c r="O647" s="27" t="s">
        <v>8</v>
      </c>
      <c r="P647" s="27" t="s">
        <v>7</v>
      </c>
      <c r="Q647" s="27" t="s">
        <v>8</v>
      </c>
      <c r="R647" s="27" t="s">
        <v>7</v>
      </c>
      <c r="AA647" s="27" t="s">
        <v>8</v>
      </c>
      <c r="AB647" s="27" t="s">
        <v>7</v>
      </c>
      <c r="AC647" s="27" t="s">
        <v>8</v>
      </c>
      <c r="AD647" s="27" t="s">
        <v>7</v>
      </c>
      <c r="AE647" s="27" t="s">
        <v>8</v>
      </c>
    </row>
    <row r="648" spans="1:61" x14ac:dyDescent="0.25">
      <c r="A648" s="7">
        <v>0.29880614358732388</v>
      </c>
      <c r="B648"/>
      <c r="C648"/>
      <c r="D648"/>
      <c r="E648"/>
      <c r="F648" s="27" t="s">
        <v>7</v>
      </c>
      <c r="G648" s="27" t="s">
        <v>8</v>
      </c>
      <c r="H648" s="27" t="s">
        <v>7</v>
      </c>
      <c r="I648" s="27" t="s">
        <v>8</v>
      </c>
      <c r="J648" s="27" t="s">
        <v>7</v>
      </c>
      <c r="K648" s="27" t="s">
        <v>8</v>
      </c>
      <c r="L648" s="27" t="s">
        <v>7</v>
      </c>
      <c r="O648" s="27" t="s">
        <v>8</v>
      </c>
      <c r="P648" s="27" t="s">
        <v>7</v>
      </c>
      <c r="Q648" s="27" t="s">
        <v>8</v>
      </c>
      <c r="R648" s="27" t="s">
        <v>7</v>
      </c>
      <c r="AA648" s="27" t="s">
        <v>8</v>
      </c>
      <c r="AB648" s="27" t="s">
        <v>7</v>
      </c>
      <c r="AC648" s="27" t="s">
        <v>8</v>
      </c>
      <c r="AD648" s="27" t="s">
        <v>7</v>
      </c>
      <c r="AE648" s="27" t="s">
        <v>8</v>
      </c>
    </row>
    <row r="649" spans="1:61" x14ac:dyDescent="0.25">
      <c r="A649" s="7">
        <v>0.2929471995954156</v>
      </c>
      <c r="B649"/>
      <c r="C649"/>
      <c r="D649"/>
      <c r="E649"/>
      <c r="F649" s="27" t="s">
        <v>7</v>
      </c>
      <c r="G649" s="27" t="s">
        <v>8</v>
      </c>
      <c r="H649" s="27" t="s">
        <v>7</v>
      </c>
      <c r="I649" s="27" t="s">
        <v>8</v>
      </c>
      <c r="J649" s="27" t="s">
        <v>7</v>
      </c>
      <c r="K649" s="27" t="s">
        <v>8</v>
      </c>
      <c r="L649" s="27" t="s">
        <v>7</v>
      </c>
      <c r="O649" s="27" t="s">
        <v>8</v>
      </c>
      <c r="P649" s="27" t="s">
        <v>7</v>
      </c>
      <c r="Q649" s="27" t="s">
        <v>8</v>
      </c>
      <c r="R649" s="27" t="s">
        <v>7</v>
      </c>
      <c r="S649" s="27" t="s">
        <v>8</v>
      </c>
      <c r="AA649" s="27" t="s">
        <v>8</v>
      </c>
      <c r="AB649" s="27" t="s">
        <v>7</v>
      </c>
      <c r="AC649" s="27" t="s">
        <v>8</v>
      </c>
      <c r="AD649" s="27" t="s">
        <v>7</v>
      </c>
      <c r="AE649" s="27" t="s">
        <v>8</v>
      </c>
    </row>
    <row r="650" spans="1:61" x14ac:dyDescent="0.25">
      <c r="A650" s="7">
        <v>0.28720313685825055</v>
      </c>
      <c r="B650"/>
      <c r="C650"/>
      <c r="D650"/>
      <c r="E650"/>
      <c r="F650" s="27" t="s">
        <v>7</v>
      </c>
      <c r="G650" s="27" t="s">
        <v>8</v>
      </c>
      <c r="H650" s="27" t="s">
        <v>7</v>
      </c>
      <c r="I650" s="27" t="s">
        <v>8</v>
      </c>
      <c r="J650" s="27" t="s">
        <v>7</v>
      </c>
      <c r="K650" s="27" t="s">
        <v>8</v>
      </c>
      <c r="L650" s="27" t="s">
        <v>7</v>
      </c>
      <c r="O650" s="27" t="s">
        <v>8</v>
      </c>
      <c r="P650" s="27" t="s">
        <v>7</v>
      </c>
      <c r="Q650" s="27" t="s">
        <v>8</v>
      </c>
      <c r="R650" s="27" t="s">
        <v>7</v>
      </c>
      <c r="S650" s="27" t="s">
        <v>8</v>
      </c>
      <c r="T650" s="27" t="s">
        <v>7</v>
      </c>
      <c r="AA650" s="27" t="s">
        <v>8</v>
      </c>
      <c r="AB650" s="27" t="s">
        <v>7</v>
      </c>
      <c r="AC650" s="27" t="s">
        <v>8</v>
      </c>
      <c r="AD650" s="27" t="s">
        <v>7</v>
      </c>
    </row>
    <row r="651" spans="1:61" x14ac:dyDescent="0.25">
      <c r="A651" s="7">
        <v>0.28157170280220645</v>
      </c>
      <c r="B651"/>
      <c r="C651"/>
      <c r="D651"/>
      <c r="E651"/>
      <c r="F651" s="27" t="s">
        <v>7</v>
      </c>
      <c r="G651" s="27" t="s">
        <v>8</v>
      </c>
      <c r="H651" s="27" t="s">
        <v>7</v>
      </c>
      <c r="I651" s="27" t="s">
        <v>8</v>
      </c>
      <c r="J651" s="27" t="s">
        <v>7</v>
      </c>
      <c r="K651" s="27" t="s">
        <v>8</v>
      </c>
      <c r="L651" s="27" t="s">
        <v>7</v>
      </c>
      <c r="M651" s="27" t="s">
        <v>8</v>
      </c>
      <c r="O651" s="27" t="s">
        <v>8</v>
      </c>
      <c r="P651" s="27" t="s">
        <v>7</v>
      </c>
      <c r="Q651" s="27" t="s">
        <v>8</v>
      </c>
      <c r="R651" s="27" t="s">
        <v>7</v>
      </c>
      <c r="S651" s="27" t="s">
        <v>8</v>
      </c>
      <c r="T651" s="27" t="s">
        <v>7</v>
      </c>
      <c r="AA651" s="27" t="s">
        <v>8</v>
      </c>
      <c r="AB651" s="27" t="s">
        <v>7</v>
      </c>
      <c r="AC651" s="27" t="s">
        <v>8</v>
      </c>
    </row>
    <row r="652" spans="1:61" x14ac:dyDescent="0.25">
      <c r="A652" s="7">
        <v>0.27605068902177105</v>
      </c>
      <c r="B652"/>
      <c r="C652"/>
      <c r="D652"/>
      <c r="E652"/>
      <c r="F652" s="27" t="s">
        <v>7</v>
      </c>
      <c r="G652" s="27" t="s">
        <v>8</v>
      </c>
      <c r="H652" s="27" t="s">
        <v>7</v>
      </c>
      <c r="I652" s="27" t="s">
        <v>8</v>
      </c>
      <c r="J652" s="27" t="s">
        <v>7</v>
      </c>
      <c r="L652" s="27" t="s">
        <v>7</v>
      </c>
      <c r="M652" s="27" t="s">
        <v>8</v>
      </c>
      <c r="N652" s="27" t="s">
        <v>7</v>
      </c>
      <c r="O652" s="27" t="s">
        <v>8</v>
      </c>
      <c r="P652" s="27" t="s">
        <v>7</v>
      </c>
      <c r="Q652" s="27" t="s">
        <v>8</v>
      </c>
      <c r="R652" s="27" t="s">
        <v>7</v>
      </c>
      <c r="S652" s="27" t="s">
        <v>8</v>
      </c>
      <c r="T652" s="27" t="s">
        <v>7</v>
      </c>
      <c r="AA652" s="27" t="s">
        <v>8</v>
      </c>
      <c r="AB652" s="27" t="s">
        <v>7</v>
      </c>
      <c r="AC652" s="27" t="s">
        <v>8</v>
      </c>
    </row>
    <row r="653" spans="1:61" x14ac:dyDescent="0.25">
      <c r="A653" s="7">
        <v>0.27063793041350104</v>
      </c>
      <c r="B653"/>
      <c r="C653"/>
      <c r="D653"/>
      <c r="E653"/>
      <c r="F653" s="27" t="s">
        <v>7</v>
      </c>
      <c r="G653" s="27" t="s">
        <v>8</v>
      </c>
      <c r="H653" s="27" t="s">
        <v>7</v>
      </c>
      <c r="I653" s="27" t="s">
        <v>8</v>
      </c>
      <c r="L653" s="27" t="s">
        <v>7</v>
      </c>
      <c r="M653" s="27" t="s">
        <v>8</v>
      </c>
      <c r="N653" s="27" t="s">
        <v>7</v>
      </c>
      <c r="O653" s="27" t="s">
        <v>8</v>
      </c>
      <c r="P653" s="27" t="s">
        <v>7</v>
      </c>
      <c r="R653" s="27" t="s">
        <v>7</v>
      </c>
      <c r="S653" s="27" t="s">
        <v>8</v>
      </c>
      <c r="T653" s="27" t="s">
        <v>7</v>
      </c>
      <c r="Y653" s="27" t="s">
        <v>8</v>
      </c>
      <c r="AA653" s="27" t="s">
        <v>8</v>
      </c>
      <c r="AB653" s="27" t="s">
        <v>7</v>
      </c>
    </row>
    <row r="654" spans="1:61" x14ac:dyDescent="0.25">
      <c r="A654" s="7">
        <v>0.26533130432696184</v>
      </c>
      <c r="B654"/>
      <c r="C654"/>
      <c r="D654"/>
      <c r="E654"/>
      <c r="F654" s="27" t="s">
        <v>7</v>
      </c>
      <c r="G654" s="27" t="s">
        <v>8</v>
      </c>
      <c r="H654" s="27" t="s">
        <v>7</v>
      </c>
      <c r="I654" s="27" t="s">
        <v>8</v>
      </c>
      <c r="L654" s="27" t="s">
        <v>7</v>
      </c>
      <c r="M654" s="27" t="s">
        <v>8</v>
      </c>
      <c r="N654" s="27" t="s">
        <v>7</v>
      </c>
      <c r="O654" s="27" t="s">
        <v>8</v>
      </c>
      <c r="R654" s="27" t="s">
        <v>7</v>
      </c>
      <c r="T654" s="27" t="s">
        <v>7</v>
      </c>
      <c r="W654" s="27" t="s">
        <v>8</v>
      </c>
      <c r="Y654" s="27" t="s">
        <v>8</v>
      </c>
      <c r="Z654" s="27" t="s">
        <v>7</v>
      </c>
      <c r="AA654" s="27" t="s">
        <v>8</v>
      </c>
    </row>
    <row r="655" spans="1:61" x14ac:dyDescent="0.25">
      <c r="A655" s="7">
        <v>0.26012872973231554</v>
      </c>
      <c r="B655"/>
      <c r="C655"/>
      <c r="D655"/>
      <c r="E655"/>
      <c r="F655" s="27" t="s">
        <v>7</v>
      </c>
      <c r="G655" s="27" t="s">
        <v>8</v>
      </c>
      <c r="H655" s="27" t="s">
        <v>7</v>
      </c>
      <c r="I655" s="27" t="s">
        <v>8</v>
      </c>
      <c r="L655" s="27" t="s">
        <v>7</v>
      </c>
      <c r="M655" s="27" t="s">
        <v>8</v>
      </c>
      <c r="N655" s="27" t="s">
        <v>7</v>
      </c>
      <c r="O655" s="27" t="s">
        <v>8</v>
      </c>
      <c r="T655" s="27" t="s">
        <v>7</v>
      </c>
      <c r="W655" s="27" t="s">
        <v>8</v>
      </c>
      <c r="X655" s="27" t="s">
        <v>7</v>
      </c>
      <c r="Y655" s="27" t="s">
        <v>8</v>
      </c>
      <c r="Z655" s="27" t="s">
        <v>7</v>
      </c>
      <c r="AA655" s="27" t="s">
        <v>8</v>
      </c>
    </row>
    <row r="656" spans="1:61" x14ac:dyDescent="0.25">
      <c r="A656" s="7">
        <v>0.25502816640423093</v>
      </c>
      <c r="B656"/>
      <c r="C656"/>
      <c r="D656"/>
      <c r="E656"/>
      <c r="F656" s="27" t="s">
        <v>7</v>
      </c>
      <c r="G656" s="27" t="s">
        <v>8</v>
      </c>
      <c r="H656" s="27" t="s">
        <v>7</v>
      </c>
      <c r="I656" s="27" t="s">
        <v>8</v>
      </c>
      <c r="L656" s="27" t="s">
        <v>7</v>
      </c>
      <c r="M656" s="27" t="s">
        <v>8</v>
      </c>
      <c r="N656" s="27" t="s">
        <v>7</v>
      </c>
      <c r="T656" s="27" t="s">
        <v>7</v>
      </c>
      <c r="U656" s="27" t="s">
        <v>8</v>
      </c>
      <c r="W656" s="27" t="s">
        <v>8</v>
      </c>
      <c r="X656" s="27" t="s">
        <v>7</v>
      </c>
      <c r="Y656" s="27" t="s">
        <v>8</v>
      </c>
      <c r="Z656" s="27" t="s">
        <v>7</v>
      </c>
      <c r="AA656" s="27" t="s">
        <v>8</v>
      </c>
    </row>
    <row r="657" spans="1:27" x14ac:dyDescent="0.25">
      <c r="A657" s="7">
        <v>0.25002761412179503</v>
      </c>
      <c r="B657"/>
      <c r="C657"/>
      <c r="D657"/>
      <c r="E657"/>
      <c r="F657" s="27" t="s">
        <v>7</v>
      </c>
      <c r="G657" s="27" t="s">
        <v>8</v>
      </c>
      <c r="H657" s="27" t="s">
        <v>7</v>
      </c>
      <c r="I657" s="27" t="s">
        <v>8</v>
      </c>
      <c r="L657" s="27" t="s">
        <v>7</v>
      </c>
      <c r="M657" s="27" t="s">
        <v>8</v>
      </c>
      <c r="T657" s="27" t="s">
        <v>7</v>
      </c>
      <c r="U657" s="27" t="s">
        <v>8</v>
      </c>
      <c r="V657" s="27" t="s">
        <v>7</v>
      </c>
      <c r="W657" s="27" t="s">
        <v>8</v>
      </c>
      <c r="X657" s="27" t="s">
        <v>7</v>
      </c>
      <c r="Y657" s="27" t="s">
        <v>8</v>
      </c>
      <c r="Z657" s="27" t="s">
        <v>7</v>
      </c>
      <c r="AA657" s="27" t="s">
        <v>8</v>
      </c>
    </row>
    <row r="658" spans="1:27" x14ac:dyDescent="0.25">
      <c r="A658" s="7">
        <v>0.24512511188411276</v>
      </c>
      <c r="B658"/>
      <c r="C658"/>
      <c r="D658"/>
      <c r="E658"/>
      <c r="F658" s="27" t="s">
        <v>7</v>
      </c>
      <c r="G658" s="27" t="s">
        <v>8</v>
      </c>
      <c r="H658" s="27" t="s">
        <v>7</v>
      </c>
      <c r="I658" s="27" t="s">
        <v>8</v>
      </c>
      <c r="L658" s="27" t="s">
        <v>7</v>
      </c>
      <c r="T658" s="18" t="s">
        <v>7</v>
      </c>
      <c r="U658" s="27" t="s">
        <v>8</v>
      </c>
      <c r="V658" s="27" t="s">
        <v>7</v>
      </c>
      <c r="W658" s="27" t="s">
        <v>8</v>
      </c>
      <c r="X658" s="27" t="s">
        <v>7</v>
      </c>
      <c r="Z658" s="27" t="s">
        <v>7</v>
      </c>
      <c r="AA658" s="27" t="s">
        <v>8</v>
      </c>
    </row>
    <row r="659" spans="1:27" x14ac:dyDescent="0.25">
      <c r="A659" s="7">
        <v>0.24031873714128701</v>
      </c>
      <c r="B659"/>
      <c r="C659"/>
      <c r="D659"/>
      <c r="E659"/>
      <c r="F659" s="27" t="s">
        <v>7</v>
      </c>
      <c r="H659" s="27" t="s">
        <v>7</v>
      </c>
      <c r="I659" s="27" t="s">
        <v>8</v>
      </c>
      <c r="T659" s="27" t="s">
        <v>7</v>
      </c>
      <c r="U659" s="27" t="s">
        <v>8</v>
      </c>
      <c r="V659" s="27" t="s">
        <v>7</v>
      </c>
      <c r="W659" s="27" t="s">
        <v>8</v>
      </c>
      <c r="Z659" s="27" t="s">
        <v>7</v>
      </c>
      <c r="AA659" s="27" t="s">
        <v>8</v>
      </c>
    </row>
    <row r="660" spans="1:27" x14ac:dyDescent="0.25">
      <c r="A660" s="7">
        <v>0.23560660504047748</v>
      </c>
      <c r="B660"/>
      <c r="C660"/>
      <c r="D660"/>
      <c r="E660"/>
      <c r="H660" s="27" t="s">
        <v>7</v>
      </c>
      <c r="I660" s="27" t="s">
        <v>8</v>
      </c>
      <c r="T660" s="27" t="s">
        <v>7</v>
      </c>
      <c r="U660" s="27" t="s">
        <v>8</v>
      </c>
      <c r="V660" s="27" t="s">
        <v>7</v>
      </c>
      <c r="Z660" s="27" t="s">
        <v>7</v>
      </c>
    </row>
    <row r="661" spans="1:27" x14ac:dyDescent="0.25">
      <c r="A661" s="7">
        <v>0.23098686768674265</v>
      </c>
      <c r="B661"/>
      <c r="C661"/>
      <c r="D661"/>
      <c r="E661"/>
      <c r="H661" s="27" t="s">
        <v>7</v>
      </c>
      <c r="I661" s="27" t="s">
        <v>8</v>
      </c>
      <c r="T661" s="27" t="s">
        <v>7</v>
      </c>
      <c r="U661" s="27" t="s">
        <v>8</v>
      </c>
    </row>
    <row r="662" spans="1:27" x14ac:dyDescent="0.25">
      <c r="A662" s="7">
        <v>0.22645771341837515</v>
      </c>
      <c r="B662"/>
      <c r="C662"/>
      <c r="D662"/>
      <c r="E662"/>
      <c r="H662" s="27" t="s">
        <v>7</v>
      </c>
      <c r="T662" s="27" t="s">
        <v>7</v>
      </c>
      <c r="U662" s="27" t="s">
        <v>8</v>
      </c>
    </row>
    <row r="663" spans="1:27" x14ac:dyDescent="0.25">
      <c r="A663" s="7">
        <v>0.22201736609644623</v>
      </c>
      <c r="B663"/>
      <c r="C663"/>
      <c r="D663"/>
      <c r="E663"/>
      <c r="T663" s="27" t="s">
        <v>7</v>
      </c>
      <c r="U663" s="27" t="s">
        <v>8</v>
      </c>
    </row>
    <row r="664" spans="1:27" x14ac:dyDescent="0.25">
      <c r="A664" s="7">
        <v>0.21766408440828061</v>
      </c>
      <c r="B664"/>
      <c r="C664"/>
      <c r="D664"/>
      <c r="E664"/>
      <c r="T664" s="27" t="s">
        <v>7</v>
      </c>
      <c r="U664" s="27" t="s">
        <v>8</v>
      </c>
    </row>
    <row r="665" spans="1:27" x14ac:dyDescent="0.25">
      <c r="A665" s="7">
        <v>0.21339616118458882</v>
      </c>
      <c r="B665"/>
      <c r="C665"/>
      <c r="D665"/>
      <c r="E665"/>
      <c r="T665" s="27" t="s">
        <v>7</v>
      </c>
    </row>
    <row r="666" spans="1:27" x14ac:dyDescent="0.25">
      <c r="A666" s="7">
        <v>0.20921192272998904</v>
      </c>
      <c r="B666"/>
      <c r="C666"/>
      <c r="D666"/>
      <c r="E666"/>
    </row>
    <row r="667" spans="1:27" x14ac:dyDescent="0.25">
      <c r="A667" s="7">
        <v>0.20510972816665593</v>
      </c>
      <c r="B667"/>
      <c r="C667"/>
      <c r="D667"/>
      <c r="E667"/>
    </row>
    <row r="668" spans="1:27" x14ac:dyDescent="0.25">
      <c r="A668" s="7">
        <v>0.20108796879083912</v>
      </c>
      <c r="B668"/>
      <c r="C668"/>
      <c r="D668"/>
      <c r="E668"/>
    </row>
    <row r="669" spans="1:27" x14ac:dyDescent="0.25">
      <c r="A669" s="7">
        <v>0.19714506744199917</v>
      </c>
      <c r="B669"/>
      <c r="C669"/>
      <c r="D669"/>
      <c r="E669"/>
    </row>
    <row r="670" spans="1:27" x14ac:dyDescent="0.25">
      <c r="A670" s="7">
        <v>0.19327947788431293</v>
      </c>
      <c r="B670"/>
      <c r="C670"/>
      <c r="D670"/>
      <c r="E670"/>
    </row>
    <row r="671" spans="1:27" x14ac:dyDescent="0.25">
      <c r="A671" s="7">
        <v>0.18948968420030682</v>
      </c>
      <c r="B671"/>
      <c r="C671"/>
      <c r="D671"/>
      <c r="E671"/>
    </row>
    <row r="672" spans="1:27" x14ac:dyDescent="0.25">
      <c r="A672" s="7">
        <v>0.18577420019637925</v>
      </c>
      <c r="B672"/>
      <c r="C672"/>
      <c r="D672"/>
      <c r="E672"/>
    </row>
    <row r="673" spans="1:5" x14ac:dyDescent="0.25">
      <c r="A673" s="7">
        <v>0.18213156881997963</v>
      </c>
      <c r="B673"/>
      <c r="C673"/>
      <c r="D673"/>
      <c r="E673"/>
    </row>
    <row r="674" spans="1:5" x14ac:dyDescent="0.25">
      <c r="A674" s="7">
        <v>0.17856036158821534</v>
      </c>
      <c r="B674"/>
      <c r="C674"/>
      <c r="D674"/>
      <c r="E674"/>
    </row>
    <row r="675" spans="1:5" x14ac:dyDescent="0.25">
      <c r="A675" s="7">
        <v>0.17505917802766208</v>
      </c>
      <c r="B675"/>
      <c r="C675"/>
      <c r="D675"/>
      <c r="E675"/>
    </row>
    <row r="676" spans="1:5" x14ac:dyDescent="0.25">
      <c r="A676" s="7">
        <v>0.17162664512515888</v>
      </c>
      <c r="B676"/>
      <c r="C676"/>
      <c r="D676"/>
      <c r="E676"/>
    </row>
    <row r="677" spans="1:5" x14ac:dyDescent="0.25">
      <c r="A677" s="7">
        <v>0.16826141678937145</v>
      </c>
      <c r="B677"/>
      <c r="C677"/>
      <c r="D677"/>
      <c r="E677"/>
    </row>
    <row r="678" spans="1:5" x14ac:dyDescent="0.25">
      <c r="A678" s="7">
        <v>0.16496217332291319</v>
      </c>
      <c r="B678"/>
      <c r="C678"/>
      <c r="D678"/>
      <c r="E678"/>
    </row>
    <row r="679" spans="1:5" x14ac:dyDescent="0.25">
      <c r="A679" s="7">
        <v>0.16172762090481685</v>
      </c>
      <c r="B679"/>
      <c r="C679"/>
      <c r="D679"/>
      <c r="E679"/>
    </row>
    <row r="680" spans="1:5" x14ac:dyDescent="0.25">
      <c r="A680" s="7">
        <v>0.15855649108315376</v>
      </c>
      <c r="B680"/>
      <c r="C680"/>
      <c r="D680"/>
      <c r="E680"/>
    </row>
    <row r="681" spans="1:5" x14ac:dyDescent="0.25">
      <c r="A681" s="7">
        <v>0.15544754027760171</v>
      </c>
      <c r="B681"/>
      <c r="C681"/>
      <c r="D681"/>
      <c r="E681"/>
    </row>
    <row r="682" spans="1:5" x14ac:dyDescent="0.25">
      <c r="A682" s="7">
        <v>0.15239954929176638</v>
      </c>
      <c r="B682"/>
      <c r="C682"/>
      <c r="D682"/>
      <c r="E682"/>
    </row>
    <row r="683" spans="1:5" x14ac:dyDescent="0.25">
      <c r="A683" s="7">
        <v>0.14941132283506509</v>
      </c>
      <c r="B683"/>
      <c r="C683"/>
      <c r="D683"/>
      <c r="E683"/>
    </row>
    <row r="684" spans="1:5" x14ac:dyDescent="0.25">
      <c r="A684" s="7">
        <v>0.14648168905398537</v>
      </c>
      <c r="B684"/>
      <c r="C684"/>
      <c r="D684"/>
      <c r="E684"/>
    </row>
    <row r="685" spans="1:5" x14ac:dyDescent="0.25">
      <c r="A685" s="7">
        <v>0.14360949907253467</v>
      </c>
      <c r="B685"/>
      <c r="C685"/>
      <c r="D685"/>
      <c r="E685"/>
    </row>
    <row r="686" spans="1:5" x14ac:dyDescent="0.25">
      <c r="A686" s="7">
        <v>0.14079362654170066</v>
      </c>
      <c r="B686"/>
      <c r="C686"/>
      <c r="D686"/>
      <c r="E686"/>
    </row>
    <row r="687" spans="1:5" x14ac:dyDescent="0.25">
      <c r="A687" s="7">
        <v>0.13803296719774574</v>
      </c>
      <c r="B687"/>
      <c r="C687"/>
      <c r="D687"/>
      <c r="E687"/>
    </row>
    <row r="688" spans="1:5" x14ac:dyDescent="0.25">
      <c r="A688" s="7">
        <v>0.1353264384291625</v>
      </c>
      <c r="B688"/>
      <c r="C688"/>
      <c r="D688"/>
      <c r="E688"/>
    </row>
    <row r="689" spans="1:5" x14ac:dyDescent="0.25">
      <c r="A689" s="7">
        <v>0.13267297885212009</v>
      </c>
      <c r="B689"/>
      <c r="C689"/>
      <c r="D689"/>
      <c r="E689"/>
    </row>
    <row r="690" spans="1:5" x14ac:dyDescent="0.25">
      <c r="A690" s="7">
        <v>0.13007154789423539</v>
      </c>
      <c r="B690"/>
      <c r="C690"/>
      <c r="D690"/>
      <c r="E690"/>
    </row>
    <row r="691" spans="1:5" x14ac:dyDescent="0.25">
      <c r="A691" s="7">
        <v>0.12752112538650529</v>
      </c>
      <c r="B691"/>
      <c r="C691"/>
      <c r="D691"/>
      <c r="E691"/>
    </row>
    <row r="692" spans="1:5" x14ac:dyDescent="0.25">
      <c r="A692" s="7">
        <v>0.12502071116324048</v>
      </c>
      <c r="B692"/>
      <c r="C692"/>
      <c r="D692"/>
      <c r="E692"/>
    </row>
    <row r="693" spans="1:5" x14ac:dyDescent="0.25">
      <c r="A693" s="7">
        <v>0.1225693246698436</v>
      </c>
      <c r="B693"/>
      <c r="C693"/>
      <c r="D693"/>
      <c r="E693"/>
    </row>
    <row r="694" spans="1:5" x14ac:dyDescent="0.25">
      <c r="A694" s="7">
        <v>0.12016600457827803</v>
      </c>
      <c r="B694"/>
      <c r="C694"/>
      <c r="D694"/>
      <c r="E694"/>
    </row>
    <row r="695" spans="1:5" x14ac:dyDescent="0.25">
      <c r="A695" s="7">
        <v>0.1178098084100765</v>
      </c>
      <c r="B695"/>
      <c r="C695"/>
      <c r="D695"/>
      <c r="E695"/>
    </row>
    <row r="696" spans="1:5" x14ac:dyDescent="0.25">
      <c r="A696" s="7">
        <v>0.11549981216674166</v>
      </c>
      <c r="B696"/>
      <c r="C696"/>
      <c r="D696"/>
      <c r="E696"/>
    </row>
    <row r="697" spans="1:5" x14ac:dyDescent="0.25">
      <c r="A697" s="7">
        <v>0.11323510996739378</v>
      </c>
      <c r="B697"/>
      <c r="C697"/>
      <c r="D697"/>
      <c r="E697"/>
    </row>
    <row r="698" spans="1:5" x14ac:dyDescent="0.25">
      <c r="A698" s="7">
        <v>0.11101481369352331</v>
      </c>
      <c r="B698"/>
      <c r="C698"/>
      <c r="D698"/>
      <c r="E698"/>
    </row>
    <row r="699" spans="1:5" x14ac:dyDescent="0.25">
      <c r="A699" s="7">
        <v>0.10883805264070913</v>
      </c>
      <c r="B699"/>
      <c r="C699"/>
      <c r="D699"/>
      <c r="E699"/>
    </row>
    <row r="700" spans="1:5" x14ac:dyDescent="0.25">
      <c r="A700" s="7">
        <v>0.10670397317716582</v>
      </c>
      <c r="B700"/>
      <c r="C700"/>
      <c r="D700"/>
      <c r="E700"/>
    </row>
    <row r="701" spans="1:5" x14ac:dyDescent="0.25">
      <c r="A701" s="7">
        <v>0.1046117384089861</v>
      </c>
      <c r="B701"/>
      <c r="C701"/>
      <c r="D701"/>
      <c r="E701"/>
    </row>
    <row r="702" spans="1:5" x14ac:dyDescent="0.25">
      <c r="A702" s="7">
        <v>0.10256052785194716</v>
      </c>
      <c r="B702"/>
      <c r="C702"/>
      <c r="D702"/>
      <c r="E702"/>
    </row>
    <row r="703" spans="1:5" x14ac:dyDescent="0.25">
      <c r="A703" s="7">
        <v>0.10054953710975212</v>
      </c>
      <c r="B703"/>
      <c r="C703"/>
      <c r="D703"/>
      <c r="E703"/>
    </row>
    <row r="704" spans="1:5" x14ac:dyDescent="0.25">
      <c r="A704" s="7">
        <v>9.8577977558580512E-2</v>
      </c>
      <c r="B704"/>
      <c r="C704"/>
      <c r="D704"/>
      <c r="E704"/>
    </row>
    <row r="705" spans="1:5" x14ac:dyDescent="0.25">
      <c r="A705" s="7">
        <v>9.6645076037824032E-2</v>
      </c>
      <c r="B705"/>
      <c r="C705"/>
      <c r="D705"/>
      <c r="E705"/>
    </row>
    <row r="706" spans="1:5" x14ac:dyDescent="0.25">
      <c r="A706" s="7">
        <v>9.4750074546886304E-2</v>
      </c>
      <c r="B706"/>
      <c r="C706"/>
      <c r="D706"/>
      <c r="E706"/>
    </row>
    <row r="707" spans="1:5" x14ac:dyDescent="0.25">
      <c r="A707" s="7">
        <v>9.2892229947927743E-2</v>
      </c>
      <c r="B707"/>
      <c r="C707"/>
      <c r="D707"/>
      <c r="E707"/>
    </row>
    <row r="708" spans="1:5" x14ac:dyDescent="0.25">
      <c r="A708" s="7">
        <v>9.1070813674438963E-2</v>
      </c>
      <c r="B708"/>
      <c r="C708"/>
      <c r="D708"/>
      <c r="E708"/>
    </row>
    <row r="709" spans="1:5" x14ac:dyDescent="0.25">
      <c r="A709" s="7">
        <v>8.9285111445528392E-2</v>
      </c>
      <c r="B709"/>
      <c r="C709"/>
      <c r="D709"/>
      <c r="E709"/>
    </row>
    <row r="710" spans="1:5" x14ac:dyDescent="0.25">
      <c r="A710" s="7">
        <v>8.7534422985812155E-2</v>
      </c>
      <c r="B710"/>
      <c r="C710"/>
      <c r="D710"/>
      <c r="E710"/>
    </row>
    <row r="711" spans="1:5" x14ac:dyDescent="0.25">
      <c r="A711" s="7">
        <v>8.5818061750796232E-2</v>
      </c>
      <c r="B711"/>
      <c r="C711"/>
      <c r="D711"/>
      <c r="E711"/>
    </row>
    <row r="712" spans="1:5" x14ac:dyDescent="0.25">
      <c r="A712" s="7">
        <v>8.4135354657643366E-2</v>
      </c>
      <c r="B712"/>
      <c r="C712"/>
      <c r="D712"/>
      <c r="E712"/>
    </row>
    <row r="713" spans="1:5" x14ac:dyDescent="0.25">
      <c r="A713" s="7">
        <v>8.248564182121898E-2</v>
      </c>
      <c r="B713"/>
      <c r="C713"/>
      <c r="D713"/>
      <c r="E713"/>
    </row>
    <row r="714" spans="1:5" x14ac:dyDescent="0.25">
      <c r="A714" s="7">
        <v>8.0868276295312735E-2</v>
      </c>
      <c r="B714"/>
      <c r="C714"/>
      <c r="D714"/>
      <c r="E714"/>
    </row>
    <row r="715" spans="1:5" x14ac:dyDescent="0.25">
      <c r="A715" s="7">
        <v>7.9282623818934056E-2</v>
      </c>
      <c r="B715"/>
      <c r="C715"/>
      <c r="D715"/>
      <c r="E715"/>
    </row>
    <row r="716" spans="1:5" x14ac:dyDescent="0.25">
      <c r="A716" s="7">
        <v>7.7728062567582412E-2</v>
      </c>
      <c r="B716"/>
      <c r="C716"/>
      <c r="D716"/>
      <c r="E716"/>
    </row>
    <row r="717" spans="1:5" x14ac:dyDescent="0.25">
      <c r="A717" s="7">
        <v>7.6203982909394521E-2</v>
      </c>
      <c r="B717"/>
      <c r="C717"/>
      <c r="D717"/>
      <c r="E717"/>
    </row>
    <row r="718" spans="1:5" x14ac:dyDescent="0.25">
      <c r="A718" s="7">
        <v>7.4709787166073058E-2</v>
      </c>
      <c r="B718"/>
      <c r="C718"/>
      <c r="D718"/>
      <c r="E718"/>
    </row>
    <row r="719" spans="1:5" x14ac:dyDescent="0.25">
      <c r="A719" s="7">
        <v>7.3244889378503E-2</v>
      </c>
      <c r="B719"/>
      <c r="C719"/>
      <c r="D719"/>
      <c r="E719"/>
    </row>
    <row r="720" spans="1:5" x14ac:dyDescent="0.25">
      <c r="A720" s="7">
        <v>7.1808715076963722E-2</v>
      </c>
      <c r="B720"/>
      <c r="C720"/>
      <c r="D720"/>
      <c r="E720"/>
    </row>
    <row r="721" spans="1:5" x14ac:dyDescent="0.25">
      <c r="A721" s="7">
        <v>7.0400701055846782E-2</v>
      </c>
      <c r="B721"/>
      <c r="C721"/>
      <c r="D721"/>
      <c r="E721"/>
    </row>
    <row r="722" spans="1:5" x14ac:dyDescent="0.25">
      <c r="A722" s="7">
        <v>6.9020295152790956E-2</v>
      </c>
      <c r="B722"/>
      <c r="C722"/>
      <c r="D722"/>
      <c r="E722"/>
    </row>
    <row r="723" spans="1:5" x14ac:dyDescent="0.25">
      <c r="A723" s="7">
        <v>6.7666956032147993E-2</v>
      </c>
      <c r="B723"/>
      <c r="C723"/>
      <c r="D723"/>
      <c r="E723"/>
    </row>
    <row r="724" spans="1:5" x14ac:dyDescent="0.25">
      <c r="A724" s="7">
        <v>6.6340152972694105E-2</v>
      </c>
      <c r="B724"/>
      <c r="C724"/>
      <c r="D724"/>
      <c r="E724"/>
    </row>
    <row r="725" spans="1:5" x14ac:dyDescent="0.25">
      <c r="A725" s="7">
        <v>6.5039365659504023E-2</v>
      </c>
      <c r="B725"/>
      <c r="C725"/>
      <c r="D725"/>
      <c r="E725"/>
    </row>
    <row r="726" spans="1:5" x14ac:dyDescent="0.25">
      <c r="A726" s="7">
        <v>6.3764083979905906E-2</v>
      </c>
      <c r="B726"/>
      <c r="C726"/>
      <c r="D726"/>
      <c r="E726"/>
    </row>
    <row r="727" spans="1:5" x14ac:dyDescent="0.25">
      <c r="A727" s="7">
        <v>6.251380782343717E-2</v>
      </c>
      <c r="B727"/>
      <c r="C727"/>
      <c r="D727"/>
      <c r="E727"/>
    </row>
    <row r="728" spans="1:5" x14ac:dyDescent="0.25">
      <c r="A728" s="7">
        <v>6.1288046885722716E-2</v>
      </c>
      <c r="B728"/>
      <c r="C728"/>
      <c r="D728"/>
      <c r="E728"/>
    </row>
    <row r="729" spans="1:5" x14ac:dyDescent="0.25">
      <c r="A729" s="7">
        <v>6.0086320476198739E-2</v>
      </c>
      <c r="B729"/>
      <c r="C729"/>
      <c r="D729"/>
      <c r="E729"/>
    </row>
    <row r="730" spans="1:5" x14ac:dyDescent="0.25">
      <c r="A730" s="7">
        <v>5.8908157329606609E-2</v>
      </c>
      <c r="B730"/>
      <c r="C730"/>
      <c r="D730"/>
      <c r="E730"/>
    </row>
    <row r="731" spans="1:5" x14ac:dyDescent="0.25">
      <c r="A731" s="7">
        <v>5.7753095421182947E-2</v>
      </c>
      <c r="B731"/>
      <c r="C731"/>
      <c r="D731"/>
      <c r="E731"/>
    </row>
    <row r="732" spans="1:5" x14ac:dyDescent="0.25">
      <c r="A732" s="7">
        <v>5.6620681785473484E-2</v>
      </c>
      <c r="B732"/>
      <c r="C732"/>
      <c r="D732"/>
      <c r="E732"/>
    </row>
    <row r="733" spans="1:5" x14ac:dyDescent="0.25">
      <c r="A733" s="7">
        <v>5.5510472338699497E-2</v>
      </c>
      <c r="B733"/>
      <c r="C733"/>
      <c r="D733"/>
      <c r="E733"/>
    </row>
    <row r="734" spans="1:5" x14ac:dyDescent="0.25">
      <c r="A734" s="7">
        <v>5.4422031704607354E-2</v>
      </c>
      <c r="B734"/>
      <c r="C734"/>
      <c r="D734"/>
      <c r="E734"/>
    </row>
    <row r="735" spans="1:5" x14ac:dyDescent="0.25">
      <c r="A735" s="7">
        <v>5.3354933043732705E-2</v>
      </c>
      <c r="B735"/>
      <c r="C735"/>
      <c r="D735"/>
      <c r="E735"/>
    </row>
    <row r="736" spans="1:5" x14ac:dyDescent="0.25">
      <c r="A736" s="7">
        <v>5.2308757886012455E-2</v>
      </c>
      <c r="B736"/>
      <c r="C736"/>
      <c r="D736"/>
      <c r="E736"/>
    </row>
    <row r="737" spans="1:5" x14ac:dyDescent="0.25">
      <c r="A737" s="7">
        <v>5.1283095966678877E-2</v>
      </c>
      <c r="B737"/>
      <c r="C737"/>
      <c r="D737"/>
      <c r="E737"/>
    </row>
    <row r="738" spans="1:5" x14ac:dyDescent="0.25">
      <c r="A738" s="7">
        <v>5.0277545065371444E-2</v>
      </c>
      <c r="B738"/>
      <c r="C738"/>
      <c r="D738"/>
      <c r="E738"/>
    </row>
    <row r="739" spans="1:5" x14ac:dyDescent="0.25">
      <c r="A739" s="7">
        <v>4.9291710848403378E-2</v>
      </c>
      <c r="B739"/>
      <c r="C739"/>
      <c r="D739"/>
      <c r="E739"/>
    </row>
    <row r="740" spans="1:5" x14ac:dyDescent="0.25">
      <c r="A740" s="7">
        <v>4.8325206714120959E-2</v>
      </c>
      <c r="B740"/>
      <c r="C740"/>
      <c r="D740"/>
      <c r="E740"/>
    </row>
    <row r="741" spans="1:5" x14ac:dyDescent="0.25">
      <c r="A741" s="7">
        <v>4.7377653641295057E-2</v>
      </c>
      <c r="B741"/>
      <c r="C741"/>
      <c r="D741"/>
      <c r="E741"/>
    </row>
    <row r="742" spans="1:5" x14ac:dyDescent="0.25">
      <c r="A742" s="7">
        <v>4.644868004048535E-2</v>
      </c>
      <c r="B742"/>
      <c r="C742"/>
      <c r="D742"/>
      <c r="E742"/>
    </row>
    <row r="743" spans="1:5" x14ac:dyDescent="0.25">
      <c r="A743" s="7">
        <v>4.5537921608318974E-2</v>
      </c>
      <c r="B743"/>
      <c r="C743"/>
      <c r="D743"/>
      <c r="E743"/>
    </row>
    <row r="744" spans="1:5" x14ac:dyDescent="0.25">
      <c r="A744" s="7">
        <v>4.4645021184626446E-2</v>
      </c>
      <c r="B744"/>
      <c r="C744"/>
      <c r="D744"/>
      <c r="E744"/>
    </row>
    <row r="745" spans="1:5" x14ac:dyDescent="0.25">
      <c r="A745" s="7">
        <v>4.3769628612378868E-2</v>
      </c>
      <c r="B745"/>
      <c r="C745"/>
      <c r="D745"/>
      <c r="E745"/>
    </row>
    <row r="746" spans="1:5" x14ac:dyDescent="0.25">
      <c r="A746" s="7">
        <v>4.2911400600371442E-2</v>
      </c>
      <c r="B746"/>
      <c r="C746"/>
      <c r="D746"/>
      <c r="E746"/>
    </row>
    <row r="747" spans="1:5" x14ac:dyDescent="0.25">
      <c r="A747" s="7">
        <v>4.2070000588599457E-2</v>
      </c>
      <c r="B747"/>
      <c r="C747"/>
      <c r="D747"/>
      <c r="E747"/>
    </row>
    <row r="748" spans="1:5" x14ac:dyDescent="0.25">
      <c r="A748" s="7">
        <v>4.1245098616273977E-2</v>
      </c>
      <c r="B748"/>
      <c r="C748"/>
      <c r="D748"/>
      <c r="E748"/>
    </row>
    <row r="749" spans="1:5" x14ac:dyDescent="0.25">
      <c r="A749" s="7">
        <v>4.043637119242547E-2</v>
      </c>
      <c r="B749"/>
      <c r="C749"/>
      <c r="D749"/>
      <c r="E749"/>
    </row>
    <row r="750" spans="1:5" x14ac:dyDescent="0.25">
      <c r="A750" s="7">
        <v>3.9643501169044582E-2</v>
      </c>
      <c r="B750"/>
      <c r="C750"/>
      <c r="D750"/>
      <c r="E750"/>
    </row>
    <row r="751" spans="1:5" x14ac:dyDescent="0.25">
      <c r="A751" s="7">
        <v>3.8866177616710372E-2</v>
      </c>
      <c r="B751"/>
      <c r="C751"/>
      <c r="D751"/>
      <c r="E751"/>
    </row>
    <row r="752" spans="1:5" x14ac:dyDescent="0.25">
      <c r="A752" s="7">
        <v>3.8104095702657229E-2</v>
      </c>
      <c r="B752"/>
      <c r="C752"/>
      <c r="D752"/>
      <c r="E752"/>
    </row>
    <row r="753" spans="1:5" x14ac:dyDescent="0.25">
      <c r="A753" s="7">
        <v>3.7356956571232579E-2</v>
      </c>
      <c r="B753"/>
      <c r="C753"/>
      <c r="D753"/>
      <c r="E753"/>
    </row>
    <row r="754" spans="1:5" x14ac:dyDescent="0.25">
      <c r="A754" s="7">
        <v>3.6624467226698605E-2</v>
      </c>
      <c r="B754"/>
      <c r="C754"/>
      <c r="D754"/>
      <c r="E754"/>
    </row>
    <row r="755" spans="1:5" x14ac:dyDescent="0.25">
      <c r="A755" s="7">
        <v>3.5906340418331961E-2</v>
      </c>
      <c r="B755"/>
      <c r="C755"/>
      <c r="D755"/>
      <c r="E755"/>
    </row>
    <row r="756" spans="1:5" x14ac:dyDescent="0.25">
      <c r="A756" s="7">
        <v>3.5202294527776436E-2</v>
      </c>
      <c r="B756"/>
      <c r="C756"/>
      <c r="D756"/>
      <c r="E756"/>
    </row>
    <row r="757" spans="1:5" x14ac:dyDescent="0.25">
      <c r="A757" s="7">
        <v>3.451205345860435E-2</v>
      </c>
      <c r="B757"/>
      <c r="C757"/>
      <c r="D757"/>
      <c r="E757"/>
    </row>
    <row r="758" spans="1:5" x14ac:dyDescent="0.25">
      <c r="A758" s="7">
        <v>3.3835346528043479E-2</v>
      </c>
      <c r="B758"/>
      <c r="C758"/>
      <c r="D758"/>
      <c r="E758"/>
    </row>
    <row r="759" spans="1:5" x14ac:dyDescent="0.25">
      <c r="A759" s="7">
        <v>3.3171908360826938E-2</v>
      </c>
      <c r="B759"/>
      <c r="C759"/>
      <c r="D759"/>
      <c r="E759"/>
    </row>
    <row r="760" spans="1:5" x14ac:dyDescent="0.25">
      <c r="A760" s="7">
        <v>3.2521478785124451E-2</v>
      </c>
      <c r="B760"/>
      <c r="C760"/>
      <c r="D760"/>
      <c r="E760"/>
    </row>
    <row r="761" spans="1:5" x14ac:dyDescent="0.25">
      <c r="A761" s="7">
        <v>3.1883802730514173E-2</v>
      </c>
      <c r="B761"/>
      <c r="C761"/>
      <c r="D761"/>
      <c r="E761"/>
    </row>
    <row r="762" spans="1:5" x14ac:dyDescent="0.25">
      <c r="A762" s="7">
        <v>3.1258630127955073E-2</v>
      </c>
      <c r="B762"/>
      <c r="C762"/>
      <c r="D762"/>
      <c r="E762"/>
    </row>
    <row r="763" spans="1:5" x14ac:dyDescent="0.25">
      <c r="A763" s="7">
        <v>3.064571581172066E-2</v>
      </c>
      <c r="B763"/>
      <c r="C763"/>
      <c r="D763"/>
      <c r="E763"/>
    </row>
    <row r="764" spans="1:5" x14ac:dyDescent="0.25">
      <c r="A764" s="7">
        <v>3.0044819423255549E-2</v>
      </c>
      <c r="B764"/>
      <c r="C764"/>
      <c r="D764"/>
      <c r="E764"/>
    </row>
    <row r="765" spans="1:5" x14ac:dyDescent="0.25">
      <c r="A765" s="7">
        <v>2.9455705316917203E-2</v>
      </c>
      <c r="B765"/>
      <c r="C765"/>
      <c r="D765"/>
      <c r="E765"/>
    </row>
    <row r="766" spans="1:5" x14ac:dyDescent="0.25">
      <c r="A766" s="7">
        <v>2.8878142467565884E-2</v>
      </c>
      <c r="B766"/>
      <c r="C766"/>
      <c r="D766"/>
      <c r="E766"/>
    </row>
    <row r="767" spans="1:5" x14ac:dyDescent="0.25">
      <c r="A767" s="7">
        <v>2.8311904379966554E-2</v>
      </c>
      <c r="B767"/>
      <c r="C767"/>
      <c r="D767"/>
      <c r="E767"/>
    </row>
    <row r="768" spans="1:5" x14ac:dyDescent="0.25">
      <c r="A768" s="7">
        <v>2.7756768999967207E-2</v>
      </c>
      <c r="B768"/>
      <c r="C768"/>
      <c r="D768"/>
      <c r="E768"/>
    </row>
    <row r="769" spans="1:5" x14ac:dyDescent="0.25">
      <c r="A769" s="7">
        <v>2.7212518627418834E-2</v>
      </c>
      <c r="B769"/>
      <c r="C769"/>
      <c r="D769"/>
      <c r="E769"/>
    </row>
    <row r="770" spans="1:5" x14ac:dyDescent="0.25">
      <c r="A770" s="7">
        <v>2.6678939830802779E-2</v>
      </c>
      <c r="B770"/>
      <c r="C770"/>
      <c r="D770"/>
      <c r="E770"/>
    </row>
    <row r="771" spans="1:5" x14ac:dyDescent="0.25">
      <c r="A771" s="7">
        <v>2.615582336353214E-2</v>
      </c>
      <c r="B771"/>
      <c r="C771"/>
      <c r="D771"/>
      <c r="E771"/>
    </row>
    <row r="772" spans="1:5" x14ac:dyDescent="0.25">
      <c r="A772" s="7">
        <v>2.5642964081894253E-2</v>
      </c>
      <c r="B772"/>
      <c r="C772"/>
      <c r="D772"/>
      <c r="E772"/>
    </row>
    <row r="773" spans="1:5" x14ac:dyDescent="0.25">
      <c r="A773" s="7">
        <v>2.5140160864602207E-2</v>
      </c>
      <c r="B773"/>
      <c r="C773"/>
      <c r="D773"/>
      <c r="E773"/>
    </row>
    <row r="774" spans="1:5" x14ac:dyDescent="0.25">
      <c r="A774" s="7">
        <v>2.4647216533923735E-2</v>
      </c>
      <c r="B774"/>
      <c r="C774"/>
      <c r="D774"/>
      <c r="E774"/>
    </row>
    <row r="775" spans="1:5" x14ac:dyDescent="0.25">
      <c r="A775" s="7">
        <v>2.4163937778356601E-2</v>
      </c>
      <c r="B775"/>
      <c r="C775"/>
      <c r="D775"/>
      <c r="E775"/>
    </row>
    <row r="776" spans="1:5" x14ac:dyDescent="0.25">
      <c r="A776" s="7">
        <v>2.3690135076820197E-2</v>
      </c>
      <c r="B776"/>
      <c r="C776"/>
      <c r="D776"/>
      <c r="E776"/>
    </row>
    <row r="777" spans="1:5" x14ac:dyDescent="0.25">
      <c r="A777" s="7">
        <v>2.3225622624333527E-2</v>
      </c>
      <c r="B777"/>
      <c r="C777"/>
      <c r="D777"/>
      <c r="E777"/>
    </row>
    <row r="778" spans="1:5" x14ac:dyDescent="0.25">
      <c r="A778" s="7">
        <v>2.2770218259150519E-2</v>
      </c>
      <c r="B778"/>
      <c r="C778"/>
      <c r="D778"/>
      <c r="E778"/>
    </row>
    <row r="779" spans="1:5" x14ac:dyDescent="0.25">
      <c r="A779" s="7">
        <v>2.2323743391324039E-2</v>
      </c>
      <c r="B779"/>
      <c r="C779"/>
      <c r="D779"/>
      <c r="E779"/>
    </row>
    <row r="780" spans="1:5" x14ac:dyDescent="0.25">
      <c r="A780" s="7">
        <v>2.188602293267063E-2</v>
      </c>
      <c r="B780"/>
      <c r="C780"/>
      <c r="D780"/>
      <c r="E780"/>
    </row>
    <row r="781" spans="1:5" x14ac:dyDescent="0.25">
      <c r="A781" s="7">
        <v>2.1456885228108461E-2</v>
      </c>
      <c r="B781"/>
      <c r="C781"/>
      <c r="D781"/>
      <c r="E781"/>
    </row>
    <row r="782" spans="1:5" x14ac:dyDescent="0.25">
      <c r="A782" s="7">
        <v>2.1036161988341632E-2</v>
      </c>
      <c r="B782"/>
      <c r="C782"/>
      <c r="D782"/>
      <c r="E782"/>
    </row>
    <row r="783" spans="1:5" x14ac:dyDescent="0.25">
      <c r="A783" s="7">
        <v>2.0623688223864345E-2</v>
      </c>
      <c r="B783"/>
      <c r="C783"/>
      <c r="D783"/>
      <c r="E783"/>
    </row>
    <row r="784" spans="1:5" x14ac:dyDescent="0.25">
      <c r="A784" s="7">
        <v>2.021930218025916E-2</v>
      </c>
      <c r="B784"/>
      <c r="C784"/>
      <c r="D784"/>
      <c r="E784"/>
    </row>
    <row r="785" spans="1:5" x14ac:dyDescent="0.25">
      <c r="A785" s="7">
        <v>1.9822845274763884E-2</v>
      </c>
      <c r="B785"/>
      <c r="C785"/>
      <c r="D785"/>
      <c r="E785"/>
    </row>
    <row r="786" spans="1:5" x14ac:dyDescent="0.25">
      <c r="A786" s="7">
        <v>1.9434162034082238E-2</v>
      </c>
      <c r="B786"/>
      <c r="C786"/>
      <c r="D786"/>
      <c r="E786"/>
    </row>
    <row r="787" spans="1:5" x14ac:dyDescent="0.25">
      <c r="A787" s="7">
        <v>1.9053100033413959E-2</v>
      </c>
      <c r="B787"/>
      <c r="C787"/>
      <c r="D787"/>
      <c r="E787"/>
    </row>
    <row r="788" spans="1:5" x14ac:dyDescent="0.25">
      <c r="A788" s="7">
        <v>1.867950983668035E-2</v>
      </c>
      <c r="B788"/>
      <c r="C788"/>
      <c r="D788"/>
      <c r="E788"/>
    </row>
    <row r="789" spans="1:5" x14ac:dyDescent="0.25">
      <c r="A789" s="7">
        <v>1.8313244937921913E-2</v>
      </c>
      <c r="B789"/>
      <c r="C789"/>
      <c r="D789"/>
      <c r="E789"/>
    </row>
    <row r="790" spans="1:5" x14ac:dyDescent="0.25">
      <c r="A790" s="7">
        <v>1.7954161703845013E-2</v>
      </c>
      <c r="B790"/>
      <c r="C790"/>
      <c r="D790"/>
      <c r="E790"/>
    </row>
    <row r="791" spans="1:5" x14ac:dyDescent="0.25">
      <c r="A791" s="7">
        <v>1.7602119317495109E-2</v>
      </c>
      <c r="B791"/>
      <c r="C791"/>
      <c r="D791"/>
      <c r="E791"/>
    </row>
    <row r="792" spans="1:5" x14ac:dyDescent="0.25">
      <c r="A792" s="7">
        <v>1.7256979723034419E-2</v>
      </c>
      <c r="B792"/>
      <c r="C792"/>
      <c r="D792"/>
      <c r="E792"/>
    </row>
    <row r="793" spans="1:5" x14ac:dyDescent="0.25">
      <c r="A793" s="7">
        <v>1.6918607571602372E-2</v>
      </c>
      <c r="B793"/>
      <c r="C793"/>
      <c r="D793"/>
      <c r="E793"/>
    </row>
    <row r="794" spans="1:5" x14ac:dyDescent="0.25">
      <c r="A794" s="7">
        <v>1.6586870168237622E-2</v>
      </c>
      <c r="B794"/>
      <c r="C794"/>
      <c r="D794"/>
      <c r="E794"/>
    </row>
    <row r="795" spans="1:5" x14ac:dyDescent="0.25">
      <c r="A795" s="7">
        <v>1.6261637419840807E-2</v>
      </c>
      <c r="B795"/>
      <c r="C795"/>
      <c r="D795"/>
      <c r="E795"/>
    </row>
    <row r="796" spans="1:5" x14ac:dyDescent="0.25">
      <c r="A796" s="7">
        <v>1.5942781784157655E-2</v>
      </c>
      <c r="B796"/>
      <c r="C796"/>
      <c r="D796"/>
      <c r="E796"/>
    </row>
    <row r="797" spans="1:5" x14ac:dyDescent="0.25">
      <c r="A797" s="7">
        <v>1.5630178219762408E-2</v>
      </c>
      <c r="B797"/>
      <c r="C797"/>
      <c r="D797"/>
      <c r="E797"/>
    </row>
    <row r="798" spans="1:5" x14ac:dyDescent="0.25">
      <c r="A798" s="7">
        <v>1.5323704137021967E-2</v>
      </c>
      <c r="B798"/>
      <c r="C798"/>
      <c r="D798"/>
      <c r="E798"/>
    </row>
    <row r="799" spans="1:5" x14ac:dyDescent="0.25">
      <c r="A799" s="7">
        <v>1.5023239350021535E-2</v>
      </c>
      <c r="B799"/>
      <c r="C799"/>
      <c r="D799"/>
      <c r="E799"/>
    </row>
    <row r="800" spans="1:5" x14ac:dyDescent="0.25">
      <c r="A800" s="7">
        <v>1.4728666029432878E-2</v>
      </c>
      <c r="B800"/>
      <c r="C800"/>
      <c r="D800"/>
      <c r="E800"/>
    </row>
    <row r="801" spans="1:5" x14ac:dyDescent="0.25">
      <c r="A801" s="7">
        <v>1.4439868656306743E-2</v>
      </c>
      <c r="B801"/>
      <c r="C801"/>
      <c r="D801"/>
      <c r="E801"/>
    </row>
    <row r="802" spans="1:5" x14ac:dyDescent="0.25">
      <c r="A802" s="7">
        <v>1.4156733976771318E-2</v>
      </c>
      <c r="B802"/>
      <c r="C802"/>
      <c r="D802"/>
      <c r="E802"/>
    </row>
    <row r="803" spans="1:5" x14ac:dyDescent="0.25">
      <c r="A803" s="7">
        <v>1.3879150957618939E-2</v>
      </c>
      <c r="B803"/>
      <c r="C803"/>
      <c r="D803"/>
      <c r="E803"/>
    </row>
    <row r="804" spans="1:5" x14ac:dyDescent="0.25">
      <c r="A804" s="7">
        <v>1.3607010742763666E-2</v>
      </c>
      <c r="B804"/>
      <c r="C804"/>
      <c r="D804"/>
      <c r="E804"/>
    </row>
    <row r="805" spans="1:5" x14ac:dyDescent="0.25">
      <c r="A805" s="7">
        <v>1.3340206610552614E-2</v>
      </c>
      <c r="B805"/>
      <c r="C805"/>
      <c r="D805"/>
      <c r="E805"/>
    </row>
    <row r="806" spans="1:5" x14ac:dyDescent="0.25">
      <c r="A806" s="7">
        <v>1.3078633931914328E-2</v>
      </c>
      <c r="B806"/>
      <c r="C806"/>
      <c r="D806"/>
      <c r="E806"/>
    </row>
    <row r="807" spans="1:5" x14ac:dyDescent="0.25">
      <c r="A807" s="7">
        <v>1.2822190129327771E-2</v>
      </c>
      <c r="B807"/>
      <c r="C807"/>
      <c r="D807"/>
      <c r="E807"/>
    </row>
    <row r="808" spans="1:5" x14ac:dyDescent="0.25">
      <c r="A808" s="7">
        <v>1.2570774636595854E-2</v>
      </c>
      <c r="B808"/>
      <c r="C808"/>
      <c r="D808"/>
      <c r="E808"/>
    </row>
    <row r="809" spans="1:5" x14ac:dyDescent="0.25">
      <c r="A809" s="7">
        <v>1.23242888594077E-2</v>
      </c>
      <c r="B809"/>
      <c r="C809"/>
      <c r="D809"/>
      <c r="E809"/>
    </row>
    <row r="810" spans="1:5" x14ac:dyDescent="0.25">
      <c r="A810" s="7">
        <v>1.2082636136674216E-2</v>
      </c>
      <c r="B810"/>
      <c r="C810"/>
      <c r="D810"/>
      <c r="E810"/>
    </row>
    <row r="811" spans="1:5" x14ac:dyDescent="0.25">
      <c r="A811" s="7">
        <v>1.184572170262178E-2</v>
      </c>
      <c r="B811"/>
      <c r="C811"/>
      <c r="D811"/>
      <c r="E811"/>
    </row>
    <row r="812" spans="1:5" x14ac:dyDescent="0.25">
      <c r="A812" s="7">
        <v>1.1613452649629196E-2</v>
      </c>
      <c r="B812"/>
      <c r="C812"/>
      <c r="D812"/>
      <c r="E812"/>
    </row>
    <row r="813" spans="1:5" x14ac:dyDescent="0.25">
      <c r="A813" s="7">
        <v>1.138573789179333E-2</v>
      </c>
      <c r="B813"/>
      <c r="C813"/>
      <c r="D813"/>
      <c r="E813"/>
    </row>
    <row r="814" spans="1:5" x14ac:dyDescent="0.25">
      <c r="A814" s="7">
        <v>1.1162488129209149E-2</v>
      </c>
      <c r="B814"/>
      <c r="C814"/>
      <c r="D814"/>
      <c r="E814"/>
    </row>
    <row r="815" spans="1:5" x14ac:dyDescent="0.25">
      <c r="A815" s="7">
        <v>1.0943615812950145E-2</v>
      </c>
      <c r="B815"/>
      <c r="C815"/>
      <c r="D815"/>
      <c r="E815"/>
    </row>
    <row r="816" spans="1:5" x14ac:dyDescent="0.25">
      <c r="A816" s="7">
        <v>1.0729035110735436E-2</v>
      </c>
      <c r="B816"/>
      <c r="C816"/>
      <c r="D816"/>
      <c r="E816"/>
    </row>
    <row r="817" spans="1:5" x14ac:dyDescent="0.25">
      <c r="A817" s="7">
        <v>1.0518661873270036E-2</v>
      </c>
      <c r="B817"/>
      <c r="C817"/>
      <c r="D817"/>
      <c r="E817"/>
    </row>
    <row r="818" spans="1:5" x14ac:dyDescent="0.25">
      <c r="A818" s="7">
        <v>1.0312413601245135E-2</v>
      </c>
      <c r="B818"/>
      <c r="C818"/>
      <c r="D818"/>
      <c r="E818"/>
    </row>
    <row r="819" spans="1:5" x14ac:dyDescent="0.25">
      <c r="A819" s="7">
        <v>1.0110209412985426E-2</v>
      </c>
      <c r="B819"/>
      <c r="C819"/>
      <c r="D819"/>
      <c r="E819"/>
    </row>
    <row r="820" spans="1:5" x14ac:dyDescent="0.25">
      <c r="A820" s="7">
        <v>9.9119700127308103E-3</v>
      </c>
      <c r="B820"/>
      <c r="C820"/>
      <c r="D820"/>
      <c r="E820"/>
    </row>
    <row r="821" spans="1:5" x14ac:dyDescent="0.25">
      <c r="A821" s="7">
        <v>9.717617659540009E-3</v>
      </c>
      <c r="B821"/>
      <c r="C821"/>
      <c r="D821"/>
      <c r="E821"/>
    </row>
    <row r="822" spans="1:5" x14ac:dyDescent="0.25">
      <c r="A822" s="7">
        <v>9.5270761368039299E-3</v>
      </c>
      <c r="B822"/>
      <c r="C822"/>
      <c r="D822"/>
      <c r="E822"/>
    </row>
    <row r="823" spans="1:5" x14ac:dyDescent="0.25">
      <c r="A823" s="7">
        <v>9.3402707223567936E-3</v>
      </c>
      <c r="B823"/>
      <c r="C823"/>
      <c r="D823"/>
      <c r="E823"/>
    </row>
    <row r="824" spans="1:5" x14ac:dyDescent="0.25">
      <c r="A824" s="7">
        <v>9.1571281591733261E-3</v>
      </c>
      <c r="B824"/>
      <c r="C824"/>
      <c r="D824"/>
      <c r="E824"/>
    </row>
    <row r="825" spans="1:5" x14ac:dyDescent="0.25">
      <c r="A825" s="7">
        <v>8.9775766266405148E-3</v>
      </c>
      <c r="B825"/>
      <c r="C825"/>
      <c r="D825"/>
      <c r="E825"/>
    </row>
    <row r="826" spans="1:5" x14ac:dyDescent="0.25">
      <c r="A826" s="7">
        <v>8.8015457123926614E-3</v>
      </c>
      <c r="B826"/>
      <c r="C826"/>
      <c r="D826"/>
      <c r="E826"/>
    </row>
    <row r="827" spans="1:5" x14ac:dyDescent="0.25">
      <c r="A827" s="7">
        <v>8.6289663846986879E-3</v>
      </c>
      <c r="B827"/>
      <c r="C827"/>
      <c r="D827"/>
      <c r="E827"/>
    </row>
    <row r="828" spans="1:5" x14ac:dyDescent="0.25">
      <c r="A828" s="7">
        <v>8.4597709653908715E-3</v>
      </c>
      <c r="B828"/>
      <c r="C828"/>
      <c r="D828"/>
      <c r="E828"/>
    </row>
    <row r="829" spans="1:5" x14ac:dyDescent="0.25">
      <c r="A829" s="7">
        <v>8.2938931033243839E-3</v>
      </c>
      <c r="B829"/>
      <c r="C829"/>
      <c r="D829"/>
      <c r="E829"/>
    </row>
    <row r="830" spans="1:5" x14ac:dyDescent="0.25">
      <c r="A830" s="7">
        <v>8.1312677483572383E-3</v>
      </c>
      <c r="B830"/>
      <c r="C830"/>
      <c r="D830"/>
      <c r="E830"/>
    </row>
    <row r="831" spans="1:5" x14ac:dyDescent="0.25">
      <c r="A831" s="7">
        <v>7.9718311258404305E-3</v>
      </c>
      <c r="B831"/>
      <c r="C831"/>
      <c r="D831"/>
      <c r="E831"/>
    </row>
    <row r="832" spans="1:5" x14ac:dyDescent="0.25">
      <c r="A832" s="7">
        <v>7.8155207116082648E-3</v>
      </c>
      <c r="B832"/>
      <c r="C832"/>
      <c r="D832"/>
      <c r="E832"/>
    </row>
    <row r="833" spans="1:5" x14ac:dyDescent="0.25">
      <c r="A833" s="7">
        <v>7.6622752074590825E-3</v>
      </c>
      <c r="B833"/>
      <c r="C833"/>
      <c r="D833"/>
      <c r="E833"/>
    </row>
    <row r="834" spans="1:5" x14ac:dyDescent="0.25">
      <c r="A834" s="7">
        <v>7.5120345171167469E-3</v>
      </c>
      <c r="B834"/>
      <c r="C834"/>
      <c r="D834"/>
      <c r="E834"/>
    </row>
    <row r="835" spans="1:5" x14ac:dyDescent="0.25">
      <c r="A835" s="7">
        <v>7.3647397226634772E-3</v>
      </c>
      <c r="B835"/>
      <c r="C835"/>
      <c r="D835"/>
      <c r="E835"/>
    </row>
    <row r="836" spans="1:5" x14ac:dyDescent="0.25">
      <c r="A836" s="7">
        <v>7.2203330614347815E-3</v>
      </c>
      <c r="B836"/>
      <c r="C836"/>
      <c r="D836"/>
      <c r="E836"/>
    </row>
    <row r="837" spans="1:5" x14ac:dyDescent="0.25">
      <c r="A837" s="7">
        <v>7.0787579033674327E-3</v>
      </c>
      <c r="B837"/>
      <c r="C837"/>
      <c r="D837"/>
      <c r="E837"/>
    </row>
    <row r="838" spans="1:5" x14ac:dyDescent="0.25">
      <c r="A838" s="7">
        <v>6.9399587287916013E-3</v>
      </c>
      <c r="B838"/>
      <c r="C838"/>
      <c r="D838"/>
      <c r="E838"/>
    </row>
    <row r="839" spans="1:5" x14ac:dyDescent="0.25">
      <c r="A839" s="7">
        <v>6.8038811066584333E-3</v>
      </c>
      <c r="B839"/>
      <c r="C839"/>
      <c r="D839"/>
      <c r="E839"/>
    </row>
    <row r="840" spans="1:5" x14ac:dyDescent="0.25">
      <c r="A840" s="7">
        <v>6.6704716731945425E-3</v>
      </c>
      <c r="B840"/>
      <c r="C840"/>
      <c r="D840"/>
      <c r="E840"/>
    </row>
    <row r="841" spans="1:5" x14ac:dyDescent="0.25">
      <c r="A841" s="7">
        <v>6.5396781109750427E-3</v>
      </c>
      <c r="B841"/>
      <c r="C841"/>
      <c r="D841"/>
      <c r="E841"/>
    </row>
    <row r="842" spans="1:5" x14ac:dyDescent="0.25">
      <c r="A842" s="7">
        <v>6.4114491284069045E-3</v>
      </c>
      <c r="B842"/>
      <c r="C842"/>
      <c r="D842"/>
      <c r="E842"/>
    </row>
    <row r="843" spans="1:5" x14ac:dyDescent="0.25">
      <c r="A843" s="7">
        <v>6.2857344396146115E-3</v>
      </c>
      <c r="B843"/>
      <c r="C843"/>
      <c r="D843"/>
      <c r="E843"/>
    </row>
    <row r="844" spans="1:5" x14ac:dyDescent="0.25">
      <c r="A844" s="7">
        <v>6.1624847447202076E-3</v>
      </c>
      <c r="B844"/>
      <c r="C844"/>
      <c r="D844"/>
      <c r="E844"/>
    </row>
    <row r="845" spans="1:5" x14ac:dyDescent="0.25">
      <c r="A845" s="7">
        <v>6.0416517105100079E-3</v>
      </c>
      <c r="B845"/>
      <c r="C845"/>
      <c r="D845"/>
      <c r="E845"/>
    </row>
    <row r="846" spans="1:5" x14ac:dyDescent="0.25">
      <c r="A846" s="7">
        <v>5.9231879514803996E-3</v>
      </c>
      <c r="B846"/>
      <c r="C846"/>
      <c r="D846"/>
      <c r="E846"/>
    </row>
    <row r="847" spans="1:5" x14ac:dyDescent="0.25">
      <c r="A847" s="7">
        <v>5.8070470112552936E-3</v>
      </c>
      <c r="B847"/>
      <c r="C847"/>
      <c r="D847"/>
      <c r="E847"/>
    </row>
    <row r="848" spans="1:5" x14ac:dyDescent="0.25">
      <c r="A848" s="7">
        <v>5.6931833443679353E-3</v>
      </c>
      <c r="B848"/>
      <c r="C848"/>
      <c r="D848"/>
      <c r="E848"/>
    </row>
    <row r="849" spans="1:5" x14ac:dyDescent="0.25">
      <c r="A849" s="7">
        <v>5.5815522983999367E-3</v>
      </c>
      <c r="B849"/>
      <c r="C849"/>
      <c r="D849"/>
      <c r="E849"/>
    </row>
    <row r="850" spans="1:5" x14ac:dyDescent="0.25">
      <c r="A850" s="7">
        <v>5.4721100964705257E-3</v>
      </c>
      <c r="B850"/>
      <c r="C850"/>
      <c r="D850"/>
      <c r="E850"/>
    </row>
    <row r="851" spans="1:5" x14ac:dyDescent="0.25">
      <c r="A851" s="7">
        <v>5.3648138200691423E-3</v>
      </c>
      <c r="B851"/>
      <c r="C851"/>
      <c r="D851"/>
      <c r="E851"/>
    </row>
    <row r="852" spans="1:5" x14ac:dyDescent="0.25">
      <c r="A852" s="7">
        <v>5.2596213922246494E-3</v>
      </c>
      <c r="B852"/>
      <c r="C852"/>
      <c r="D852"/>
      <c r="E852"/>
    </row>
    <row r="853" spans="1:5" x14ac:dyDescent="0.25">
      <c r="A853" s="7">
        <v>5.1564915610045588E-3</v>
      </c>
      <c r="B853"/>
      <c r="C853"/>
      <c r="D853"/>
      <c r="E853"/>
    </row>
    <row r="854" spans="1:5" x14ac:dyDescent="0.25">
      <c r="A854" s="7">
        <v>5.0553838833378023E-3</v>
      </c>
      <c r="B854"/>
      <c r="C854"/>
      <c r="D854"/>
      <c r="E854"/>
    </row>
    <row r="855" spans="1:5" x14ac:dyDescent="0.25">
      <c r="A855" s="7">
        <v>4.9562587091547079E-3</v>
      </c>
      <c r="B855"/>
      <c r="C855"/>
      <c r="D855"/>
      <c r="E855"/>
    </row>
    <row r="856" spans="1:5" x14ac:dyDescent="0.25">
      <c r="A856" s="7">
        <v>4.8590771658379491E-3</v>
      </c>
      <c r="B856"/>
      <c r="C856"/>
      <c r="D856"/>
      <c r="E856"/>
    </row>
    <row r="857" spans="1:5" x14ac:dyDescent="0.25">
      <c r="A857" s="7">
        <v>4.7638011429783815E-3</v>
      </c>
      <c r="B857"/>
      <c r="C857"/>
      <c r="D857"/>
      <c r="E857"/>
    </row>
    <row r="858" spans="1:5" x14ac:dyDescent="0.25">
      <c r="A858" s="7">
        <v>4.6703932774297859E-3</v>
      </c>
      <c r="B858"/>
      <c r="C858"/>
      <c r="D858"/>
      <c r="E858"/>
    </row>
    <row r="859" spans="1:5" x14ac:dyDescent="0.25">
      <c r="A859" s="7">
        <v>4.5788169386566527E-3</v>
      </c>
      <c r="B859"/>
      <c r="C859"/>
      <c r="D859"/>
      <c r="E859"/>
    </row>
    <row r="860" spans="1:5" x14ac:dyDescent="0.25">
      <c r="A860" s="7">
        <v>4.4890362143692672E-3</v>
      </c>
      <c r="B860"/>
      <c r="C860"/>
      <c r="D860"/>
      <c r="E860"/>
    </row>
    <row r="861" spans="1:5" x14ac:dyDescent="0.25">
      <c r="A861" s="7">
        <v>4.4010158964404578E-3</v>
      </c>
      <c r="B861"/>
      <c r="C861"/>
      <c r="D861"/>
      <c r="E861"/>
    </row>
    <row r="862" spans="1:5" x14ac:dyDescent="0.25">
      <c r="A862" s="7">
        <v>4.314721467098488E-3</v>
      </c>
      <c r="B862"/>
      <c r="C862"/>
      <c r="D862"/>
      <c r="E862"/>
    </row>
    <row r="863" spans="1:5" x14ac:dyDescent="0.25">
      <c r="A863" s="7">
        <v>4.2301190853906746E-3</v>
      </c>
      <c r="B863"/>
      <c r="C863"/>
      <c r="D863"/>
      <c r="E863"/>
    </row>
    <row r="864" spans="1:5" x14ac:dyDescent="0.25">
      <c r="A864" s="7">
        <v>4.1471755739124266E-3</v>
      </c>
      <c r="B864"/>
      <c r="C864"/>
      <c r="D864"/>
      <c r="E864"/>
    </row>
    <row r="865" spans="1:5" x14ac:dyDescent="0.25">
      <c r="A865" s="7">
        <v>4.0658584057964966E-3</v>
      </c>
      <c r="B865"/>
      <c r="C865"/>
      <c r="D865"/>
      <c r="E865"/>
    </row>
    <row r="866" spans="1:5" x14ac:dyDescent="0.25">
      <c r="A866" s="7">
        <v>3.9861356919573491E-3</v>
      </c>
      <c r="B866"/>
      <c r="C866"/>
      <c r="D866"/>
      <c r="E866"/>
    </row>
    <row r="867" spans="1:5" x14ac:dyDescent="0.25">
      <c r="A867" s="7">
        <v>3.9079761685856364E-3</v>
      </c>
      <c r="B867"/>
      <c r="C867"/>
      <c r="D867"/>
      <c r="E867"/>
    </row>
    <row r="868" spans="1:5" x14ac:dyDescent="0.25">
      <c r="A868" s="7">
        <v>3.8313491848878793E-3</v>
      </c>
      <c r="B868"/>
      <c r="C868"/>
      <c r="D868"/>
      <c r="E868"/>
    </row>
    <row r="869" spans="1:5" x14ac:dyDescent="0.25">
      <c r="A869" s="7">
        <v>3.7562246910665485E-3</v>
      </c>
      <c r="B869"/>
      <c r="C869"/>
      <c r="D869"/>
      <c r="E869"/>
    </row>
    <row r="870" spans="1:5" x14ac:dyDescent="0.25">
      <c r="A870" s="7">
        <v>3.6825732265358315E-3</v>
      </c>
      <c r="B870"/>
      <c r="C870"/>
      <c r="D870"/>
      <c r="E870"/>
    </row>
    <row r="871" spans="1:5" x14ac:dyDescent="0.25">
      <c r="A871" s="7">
        <v>3.6103659083684624E-3</v>
      </c>
      <c r="B871"/>
      <c r="C871"/>
      <c r="D871"/>
      <c r="E871"/>
    </row>
    <row r="872" spans="1:5" x14ac:dyDescent="0.25">
      <c r="A872" s="7">
        <v>3.539574419969081E-3</v>
      </c>
      <c r="B872"/>
      <c r="C872"/>
      <c r="D872"/>
      <c r="E872"/>
    </row>
    <row r="873" spans="1:5" x14ac:dyDescent="0.25">
      <c r="A873" s="7">
        <v>3.4701709999696872E-3</v>
      </c>
      <c r="B873"/>
      <c r="C873"/>
      <c r="D873"/>
      <c r="E873"/>
    </row>
    <row r="874" spans="1:5" x14ac:dyDescent="0.25">
      <c r="A874" s="7">
        <v>3.4021284313428307E-3</v>
      </c>
      <c r="B874"/>
      <c r="C874"/>
      <c r="D874"/>
      <c r="E874"/>
    </row>
    <row r="875" spans="1:5" x14ac:dyDescent="0.25">
      <c r="A875" s="7">
        <v>3.3354200307282654E-3</v>
      </c>
      <c r="B875"/>
      <c r="C875"/>
      <c r="D875"/>
      <c r="E875"/>
    </row>
    <row r="876" spans="1:5" x14ac:dyDescent="0.25">
      <c r="A876" s="7">
        <v>3.2700196379688881E-3</v>
      </c>
      <c r="B876"/>
      <c r="C876"/>
      <c r="D876"/>
      <c r="E876"/>
    </row>
    <row r="877" spans="1:5" x14ac:dyDescent="0.25">
      <c r="A877" s="7">
        <v>3.205901605851851E-3</v>
      </c>
      <c r="B877"/>
      <c r="C877"/>
      <c r="D877"/>
      <c r="E877"/>
    </row>
    <row r="878" spans="1:5" x14ac:dyDescent="0.25">
      <c r="A878" s="7">
        <v>3.1430407900508344E-3</v>
      </c>
      <c r="B878"/>
      <c r="C878"/>
      <c r="D878"/>
      <c r="E878"/>
    </row>
    <row r="879" spans="1:5" x14ac:dyDescent="0.25">
      <c r="A879" s="7">
        <v>3.0814125392655241E-3</v>
      </c>
      <c r="B879"/>
      <c r="C879"/>
      <c r="D879"/>
      <c r="E879"/>
    </row>
    <row r="880" spans="1:5" x14ac:dyDescent="0.25">
      <c r="A880" s="7">
        <v>3.0209926855544354E-3</v>
      </c>
      <c r="B880"/>
      <c r="C880"/>
      <c r="D880"/>
      <c r="E880"/>
    </row>
    <row r="881" spans="1:5" x14ac:dyDescent="0.25">
      <c r="A881" s="7">
        <v>2.9617575348572897E-3</v>
      </c>
      <c r="B881"/>
      <c r="C881"/>
      <c r="D881"/>
      <c r="E881"/>
    </row>
    <row r="882" spans="1:5" x14ac:dyDescent="0.25">
      <c r="A882" s="7">
        <v>2.9036838577032251E-3</v>
      </c>
      <c r="B882"/>
      <c r="C882"/>
      <c r="D882"/>
      <c r="E882"/>
    </row>
    <row r="883" spans="1:5" x14ac:dyDescent="0.25">
      <c r="A883" s="7">
        <v>2.8467488801012012E-3</v>
      </c>
      <c r="B883"/>
      <c r="C883"/>
      <c r="D883"/>
      <c r="E883"/>
    </row>
    <row r="884" spans="1:5" x14ac:dyDescent="0.25">
      <c r="A884" s="7">
        <v>2.7909302746090209E-3</v>
      </c>
      <c r="B884"/>
      <c r="C884"/>
      <c r="D884"/>
      <c r="E884"/>
    </row>
    <row r="885" spans="1:5" x14ac:dyDescent="0.25">
      <c r="A885" s="7">
        <v>2.7362061515774716E-3</v>
      </c>
      <c r="B885"/>
      <c r="C885"/>
      <c r="D885"/>
      <c r="E885"/>
    </row>
    <row r="886" spans="1:5" x14ac:dyDescent="0.25">
      <c r="A886" s="7">
        <v>2.6825550505661486E-3</v>
      </c>
      <c r="B886"/>
      <c r="C886"/>
      <c r="D886"/>
      <c r="E886"/>
    </row>
    <row r="887" spans="1:5" x14ac:dyDescent="0.25">
      <c r="A887" s="7">
        <v>2.6299559319275965E-3</v>
      </c>
      <c r="B887"/>
      <c r="C887"/>
      <c r="D887"/>
      <c r="E887"/>
    </row>
    <row r="888" spans="1:5" x14ac:dyDescent="0.25">
      <c r="A888" s="7">
        <v>2.578388168556467E-3</v>
      </c>
      <c r="B888"/>
      <c r="C888"/>
      <c r="D888"/>
      <c r="E888"/>
    </row>
    <row r="889" spans="1:5" x14ac:dyDescent="0.25">
      <c r="A889" s="7">
        <v>2.5278315378004577E-3</v>
      </c>
      <c r="B889"/>
      <c r="C889"/>
      <c r="D889"/>
      <c r="E889"/>
    </row>
    <row r="890" spans="1:5" x14ac:dyDescent="0.25">
      <c r="A890" s="7">
        <v>2.4782662135298603E-3</v>
      </c>
      <c r="B890"/>
      <c r="C890"/>
      <c r="D890"/>
      <c r="E890"/>
    </row>
    <row r="891" spans="1:5" x14ac:dyDescent="0.25">
      <c r="A891" s="7">
        <v>2.4296727583626083E-3</v>
      </c>
      <c r="B891"/>
      <c r="C891"/>
      <c r="D891"/>
      <c r="E891"/>
    </row>
    <row r="892" spans="1:5" x14ac:dyDescent="0.25">
      <c r="A892" s="7">
        <v>2.3820321160417726E-3</v>
      </c>
      <c r="B892"/>
      <c r="C892"/>
      <c r="D892"/>
      <c r="E892"/>
    </row>
    <row r="893" spans="1:5" x14ac:dyDescent="0.25">
      <c r="A893" s="7">
        <v>2.3353256039625224E-3</v>
      </c>
      <c r="B893"/>
      <c r="C893"/>
      <c r="D893"/>
      <c r="E893"/>
    </row>
    <row r="894" spans="1:5" x14ac:dyDescent="0.25">
      <c r="A894" s="7">
        <v>2.2895349058456101E-3</v>
      </c>
      <c r="B894"/>
      <c r="C894"/>
      <c r="D894"/>
      <c r="E894"/>
    </row>
    <row r="895" spans="1:5" x14ac:dyDescent="0.25">
      <c r="A895" s="7">
        <v>2.24464206455452E-3</v>
      </c>
      <c r="B895"/>
      <c r="C895"/>
      <c r="D895"/>
      <c r="E895"/>
    </row>
    <row r="896" spans="1:5" x14ac:dyDescent="0.25">
      <c r="A896" s="7">
        <v>2.200629475053451E-3</v>
      </c>
      <c r="B896"/>
      <c r="C896"/>
      <c r="D896"/>
      <c r="E896"/>
    </row>
    <row r="897" spans="1:5" x14ac:dyDescent="0.25">
      <c r="A897" s="7">
        <v>2.1574798775033832E-3</v>
      </c>
      <c r="B897"/>
      <c r="C897"/>
      <c r="D897"/>
      <c r="E897"/>
    </row>
    <row r="898" spans="1:5" x14ac:dyDescent="0.25">
      <c r="A898" s="7">
        <v>2.115176350493513E-3</v>
      </c>
      <c r="B898"/>
      <c r="C898"/>
      <c r="D898"/>
      <c r="E898"/>
    </row>
    <row r="899" spans="1:5" x14ac:dyDescent="0.25">
      <c r="A899" s="7">
        <v>2.0737023044054047E-3</v>
      </c>
      <c r="B899"/>
      <c r="C899"/>
      <c r="D899"/>
      <c r="E899"/>
    </row>
    <row r="900" spans="1:5" x14ac:dyDescent="0.25">
      <c r="A900" s="7">
        <v>2.0330414749072595E-3</v>
      </c>
      <c r="B900"/>
      <c r="C900"/>
      <c r="D900"/>
      <c r="E900"/>
    </row>
    <row r="901" spans="1:5" x14ac:dyDescent="0.25">
      <c r="A901" s="7">
        <v>1.9931779165757446E-3</v>
      </c>
      <c r="B901"/>
      <c r="C901"/>
      <c r="D901"/>
      <c r="E901"/>
    </row>
    <row r="902" spans="1:5" x14ac:dyDescent="0.25">
      <c r="A902" s="7">
        <v>1.954095996642887E-3</v>
      </c>
      <c r="B902"/>
      <c r="C902"/>
      <c r="D902"/>
      <c r="E902"/>
    </row>
    <row r="903" spans="1:5" x14ac:dyDescent="0.25">
      <c r="A903" s="7">
        <v>1.9157803888655755E-3</v>
      </c>
      <c r="B903"/>
      <c r="C903"/>
      <c r="D903"/>
      <c r="E903"/>
    </row>
    <row r="904" spans="1:5" x14ac:dyDescent="0.25">
      <c r="A904" s="7">
        <v>1.8782160675152703E-3</v>
      </c>
      <c r="B904"/>
      <c r="C904"/>
      <c r="D904"/>
      <c r="E904"/>
    </row>
    <row r="905" spans="1:5" x14ac:dyDescent="0.25">
      <c r="A905" s="7">
        <v>1.8413883014855592E-3</v>
      </c>
      <c r="B905"/>
      <c r="C905"/>
      <c r="D905"/>
      <c r="E905"/>
    </row>
    <row r="906" spans="1:5" x14ac:dyDescent="0.25">
      <c r="A906" s="7">
        <v>1.8052826485152542E-3</v>
      </c>
      <c r="B906"/>
      <c r="C906"/>
      <c r="D906"/>
      <c r="E906"/>
    </row>
    <row r="907" spans="1:5" x14ac:dyDescent="0.25">
      <c r="A907" s="7">
        <v>1.7698849495247592E-3</v>
      </c>
      <c r="B907"/>
      <c r="C907"/>
      <c r="D907"/>
      <c r="E907"/>
    </row>
    <row r="908" spans="1:5" x14ac:dyDescent="0.25">
      <c r="A908" s="7">
        <v>1.7351813230634893E-3</v>
      </c>
      <c r="B908"/>
      <c r="C908"/>
      <c r="D908"/>
      <c r="E908"/>
    </row>
    <row r="909" spans="1:5" x14ac:dyDescent="0.25">
      <c r="A909" s="7">
        <v>1.701158159866166E-3</v>
      </c>
      <c r="B909"/>
      <c r="C909"/>
      <c r="D909"/>
      <c r="E909"/>
    </row>
    <row r="910" spans="1:5" x14ac:dyDescent="0.25">
      <c r="A910" s="7">
        <v>1.6678021175158492E-3</v>
      </c>
      <c r="B910"/>
      <c r="C910"/>
      <c r="D910"/>
      <c r="E910"/>
    </row>
    <row r="911" spans="1:5" x14ac:dyDescent="0.25">
      <c r="A911" s="7">
        <v>1.6351001152116167E-3</v>
      </c>
      <c r="B911"/>
      <c r="C911"/>
      <c r="D911"/>
      <c r="E911"/>
    </row>
    <row r="912" spans="1:5" x14ac:dyDescent="0.25">
      <c r="A912" s="7">
        <v>1.60303932863884E-3</v>
      </c>
      <c r="B912"/>
      <c r="C912"/>
      <c r="D912"/>
      <c r="E912"/>
    </row>
    <row r="913" spans="1:5" x14ac:dyDescent="0.25">
      <c r="A913" s="7">
        <v>1.5716071849400392E-3</v>
      </c>
      <c r="B913"/>
      <c r="C913"/>
      <c r="D913"/>
      <c r="E913"/>
    </row>
    <row r="914" spans="1:5" x14ac:dyDescent="0.25">
      <c r="A914" s="7">
        <v>1.5407913577843522E-3</v>
      </c>
      <c r="B914"/>
      <c r="C914"/>
      <c r="D914"/>
      <c r="E914"/>
    </row>
    <row r="915" spans="1:5" x14ac:dyDescent="0.25">
      <c r="A915" s="7">
        <v>1.5105797625336785E-3</v>
      </c>
      <c r="B915"/>
      <c r="C915"/>
      <c r="D915"/>
      <c r="E915"/>
    </row>
    <row r="916" spans="1:5" x14ac:dyDescent="0.25">
      <c r="A916" s="7">
        <v>1.4809605515036064E-3</v>
      </c>
      <c r="B916"/>
      <c r="C916"/>
      <c r="D916"/>
      <c r="E916"/>
    </row>
    <row r="917" spans="1:5" x14ac:dyDescent="0.25">
      <c r="A917" s="7">
        <v>1.4519221093172612E-3</v>
      </c>
      <c r="B917"/>
      <c r="C917"/>
      <c r="D917"/>
      <c r="E917"/>
    </row>
    <row r="918" spans="1:5" x14ac:dyDescent="0.25">
      <c r="A918" s="7">
        <v>1.423453048350256E-3</v>
      </c>
      <c r="B918"/>
      <c r="C918"/>
      <c r="D918"/>
      <c r="E918"/>
    </row>
    <row r="919" spans="1:5" x14ac:dyDescent="0.25">
      <c r="A919" s="7">
        <v>1.3955422042649568E-3</v>
      </c>
      <c r="B919"/>
      <c r="C919"/>
      <c r="D919"/>
      <c r="E919"/>
    </row>
    <row r="920" spans="1:5" x14ac:dyDescent="0.25">
      <c r="A920" s="7">
        <v>1.3681786316323105E-3</v>
      </c>
      <c r="B920"/>
      <c r="C920"/>
      <c r="D920"/>
      <c r="E920"/>
    </row>
    <row r="921" spans="1:5" x14ac:dyDescent="0.25">
      <c r="A921" s="7">
        <v>1.3413515996395203E-3</v>
      </c>
      <c r="B921"/>
      <c r="C921"/>
      <c r="D921"/>
      <c r="E921"/>
    </row>
    <row r="922" spans="1:5" x14ac:dyDescent="0.25">
      <c r="A922" s="7">
        <v>1.3150505878818826E-3</v>
      </c>
      <c r="B922"/>
      <c r="C922"/>
      <c r="D922"/>
      <c r="E922"/>
    </row>
    <row r="923" spans="1:5" x14ac:dyDescent="0.25">
      <c r="A923" s="7">
        <v>1.2892652822371396E-3</v>
      </c>
      <c r="B923"/>
      <c r="C923"/>
      <c r="D923"/>
      <c r="E923"/>
    </row>
    <row r="924" spans="1:5" x14ac:dyDescent="0.25">
      <c r="A924" s="7">
        <v>1.2639855708207251E-3</v>
      </c>
      <c r="B924"/>
      <c r="C924"/>
      <c r="D924"/>
      <c r="E924"/>
    </row>
    <row r="925" spans="1:5" x14ac:dyDescent="0.25">
      <c r="A925" s="7">
        <v>1.2392015400203187E-3</v>
      </c>
      <c r="B925"/>
      <c r="C925"/>
      <c r="D925"/>
      <c r="E925"/>
    </row>
    <row r="926" spans="1:5" x14ac:dyDescent="0.25">
      <c r="A926" s="7">
        <v>1.2149034706081556E-3</v>
      </c>
      <c r="B926"/>
      <c r="C926"/>
      <c r="D926"/>
      <c r="E926"/>
    </row>
    <row r="927" spans="1:5" x14ac:dyDescent="0.25">
      <c r="A927" s="7">
        <v>1.1910818339295644E-3</v>
      </c>
      <c r="B927"/>
      <c r="C927"/>
      <c r="D927"/>
      <c r="E927"/>
    </row>
    <row r="928" spans="1:5" x14ac:dyDescent="0.25">
      <c r="A928" s="7">
        <v>1.1677272881662395E-3</v>
      </c>
      <c r="B928"/>
      <c r="C928"/>
      <c r="D928"/>
      <c r="E928"/>
    </row>
    <row r="929" spans="1:5" x14ac:dyDescent="0.25">
      <c r="A929" s="7">
        <v>1.1448306746727837E-3</v>
      </c>
      <c r="B929"/>
      <c r="C929"/>
      <c r="D929"/>
      <c r="E929"/>
    </row>
    <row r="930" spans="1:5" x14ac:dyDescent="0.25">
      <c r="A930" s="7">
        <v>1.1223830143850821E-3</v>
      </c>
      <c r="B930"/>
      <c r="C930"/>
      <c r="D930"/>
      <c r="E930"/>
    </row>
    <row r="931" spans="1:5" x14ac:dyDescent="0.25">
      <c r="A931" s="7">
        <v>1.1003755042991001E-3</v>
      </c>
      <c r="B931"/>
      <c r="C931"/>
      <c r="D931"/>
      <c r="E931"/>
    </row>
    <row r="932" spans="1:5" x14ac:dyDescent="0.25">
      <c r="A932" s="7">
        <v>1.0787995140187257E-3</v>
      </c>
      <c r="B932"/>
      <c r="C932"/>
      <c r="D932"/>
      <c r="E932"/>
    </row>
    <row r="933" spans="1:5" x14ac:dyDescent="0.25">
      <c r="A933" s="7">
        <v>1.0576465823712996E-3</v>
      </c>
      <c r="B933"/>
      <c r="C933"/>
      <c r="D933"/>
      <c r="E933"/>
    </row>
    <row r="934" spans="1:5" x14ac:dyDescent="0.25">
      <c r="A934" s="7">
        <v>1.0369084140895094E-3</v>
      </c>
      <c r="B934"/>
      <c r="C934"/>
      <c r="D934"/>
      <c r="E934"/>
    </row>
    <row r="935" spans="1:5" x14ac:dyDescent="0.25">
      <c r="A935" s="7">
        <v>1.0165768765583426E-3</v>
      </c>
      <c r="B935"/>
      <c r="C935"/>
      <c r="D935"/>
      <c r="E935"/>
    </row>
    <row r="936" spans="1:5" x14ac:dyDescent="0.25">
      <c r="A936" s="7">
        <v>9.966439966258261E-4</v>
      </c>
      <c r="B936"/>
      <c r="C936"/>
      <c r="D936"/>
      <c r="E936"/>
    </row>
  </sheetData>
  <conditionalFormatting sqref="C27">
    <cfRule type="cellIs" dxfId="90" priority="630" operator="equal">
      <formula>$U$1</formula>
    </cfRule>
    <cfRule type="cellIs" dxfId="89" priority="631" operator="equal">
      <formula>$S$1</formula>
    </cfRule>
  </conditionalFormatting>
  <conditionalFormatting sqref="D27">
    <cfRule type="cellIs" dxfId="88" priority="628" operator="equal">
      <formula>$S$1</formula>
    </cfRule>
    <cfRule type="cellIs" dxfId="87" priority="629" operator="equal">
      <formula>$U$1</formula>
    </cfRule>
  </conditionalFormatting>
  <conditionalFormatting sqref="C164">
    <cfRule type="cellIs" dxfId="86" priority="626" operator="equal">
      <formula>$U$1</formula>
    </cfRule>
    <cfRule type="cellIs" dxfId="85" priority="627" operator="equal">
      <formula>$S$1</formula>
    </cfRule>
  </conditionalFormatting>
  <conditionalFormatting sqref="D164">
    <cfRule type="cellIs" dxfId="84" priority="624" operator="equal">
      <formula>$S$1</formula>
    </cfRule>
    <cfRule type="cellIs" dxfId="83" priority="625" operator="equal">
      <formula>$U$1</formula>
    </cfRule>
  </conditionalFormatting>
  <conditionalFormatting sqref="C55">
    <cfRule type="cellIs" dxfId="82" priority="622" operator="equal">
      <formula>$U$1</formula>
    </cfRule>
    <cfRule type="cellIs" dxfId="81" priority="623" operator="equal">
      <formula>$S$1</formula>
    </cfRule>
  </conditionalFormatting>
  <conditionalFormatting sqref="D55">
    <cfRule type="cellIs" dxfId="80" priority="620" operator="equal">
      <formula>$S$1</formula>
    </cfRule>
    <cfRule type="cellIs" dxfId="79" priority="621" operator="equal">
      <formula>$U$1</formula>
    </cfRule>
  </conditionalFormatting>
  <conditionalFormatting sqref="C89">
    <cfRule type="cellIs" dxfId="78" priority="618" operator="equal">
      <formula>$U$1</formula>
    </cfRule>
    <cfRule type="cellIs" dxfId="77" priority="619" operator="equal">
      <formula>$S$1</formula>
    </cfRule>
  </conditionalFormatting>
  <conditionalFormatting sqref="D89">
    <cfRule type="cellIs" dxfId="76" priority="616" operator="equal">
      <formula>$S$1</formula>
    </cfRule>
    <cfRule type="cellIs" dxfId="75" priority="617" operator="equal">
      <formula>$U$1</formula>
    </cfRule>
  </conditionalFormatting>
  <conditionalFormatting sqref="C136">
    <cfRule type="cellIs" dxfId="74" priority="614" operator="equal">
      <formula>$U$1</formula>
    </cfRule>
    <cfRule type="cellIs" dxfId="73" priority="615" operator="equal">
      <formula>$S$1</formula>
    </cfRule>
  </conditionalFormatting>
  <conditionalFormatting sqref="D136">
    <cfRule type="cellIs" dxfId="72" priority="612" operator="equal">
      <formula>$S$1</formula>
    </cfRule>
    <cfRule type="cellIs" dxfId="71" priority="613" operator="equal">
      <formula>$U$1</formula>
    </cfRule>
  </conditionalFormatting>
  <conditionalFormatting sqref="C1">
    <cfRule type="cellIs" dxfId="70" priority="611" operator="lessThan">
      <formula>$A$2</formula>
    </cfRule>
  </conditionalFormatting>
  <conditionalFormatting sqref="D130">
    <cfRule type="cellIs" dxfId="6" priority="1" operator="lessThan">
      <formula>$A$2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rgb="FF00B0F0"/>
  </sheetPr>
  <dimension ref="A1:ZZ807"/>
  <sheetViews>
    <sheetView topLeftCell="A243" zoomScale="90" zoomScaleNormal="90" workbookViewId="0">
      <pane xSplit="4" topLeftCell="G1" activePane="topRight" state="frozen"/>
      <selection activeCell="A109" sqref="A109"/>
      <selection pane="topRight" activeCell="BG257" sqref="BG257"/>
    </sheetView>
  </sheetViews>
  <sheetFormatPr defaultRowHeight="15" x14ac:dyDescent="0.25"/>
  <cols>
    <col min="1" max="1" width="10.7109375" style="30" customWidth="1"/>
    <col min="2" max="5" width="10.7109375" style="1" hidden="1" customWidth="1"/>
    <col min="6" max="6" width="10.7109375" style="27" hidden="1" customWidth="1"/>
    <col min="7" max="702" width="3" style="27" customWidth="1"/>
  </cols>
  <sheetData>
    <row r="1" spans="1:21" x14ac:dyDescent="0.25">
      <c r="S1" s="27" t="s">
        <v>7</v>
      </c>
      <c r="U1" s="27" t="s">
        <v>8</v>
      </c>
    </row>
    <row r="4" spans="1:21" x14ac:dyDescent="0.25">
      <c r="A4" s="30">
        <v>100155.44859784204</v>
      </c>
    </row>
    <row r="5" spans="1:21" x14ac:dyDescent="0.25">
      <c r="A5" s="30">
        <v>95386.141521754325</v>
      </c>
    </row>
    <row r="6" spans="1:21" x14ac:dyDescent="0.25">
      <c r="A6" s="30">
        <v>90843.944306432692</v>
      </c>
    </row>
    <row r="7" spans="1:21" x14ac:dyDescent="0.25">
      <c r="A7" s="30">
        <v>86518.042196602561</v>
      </c>
    </row>
    <row r="8" spans="1:21" x14ac:dyDescent="0.25">
      <c r="A8" s="30">
        <v>82398.135425335771</v>
      </c>
    </row>
    <row r="9" spans="1:21" x14ac:dyDescent="0.25">
      <c r="A9" s="30">
        <v>78474.414690795966</v>
      </c>
    </row>
    <row r="10" spans="1:21" x14ac:dyDescent="0.25">
      <c r="A10" s="30">
        <v>74737.537800758058</v>
      </c>
    </row>
    <row r="11" spans="1:21" x14ac:dyDescent="0.25">
      <c r="A11" s="30">
        <v>71178.607429293392</v>
      </c>
    </row>
    <row r="12" spans="1:21" x14ac:dyDescent="0.25">
      <c r="A12" s="30">
        <v>67789.149932660366</v>
      </c>
    </row>
    <row r="13" spans="1:21" x14ac:dyDescent="0.25">
      <c r="A13" s="30">
        <v>64561.095173962254</v>
      </c>
    </row>
    <row r="14" spans="1:21" x14ac:dyDescent="0.25">
      <c r="A14" s="30">
        <v>61486.757308535474</v>
      </c>
    </row>
    <row r="15" spans="1:21" x14ac:dyDescent="0.25">
      <c r="A15" s="30">
        <v>58558.816484319497</v>
      </c>
    </row>
    <row r="16" spans="1:21" x14ac:dyDescent="0.25">
      <c r="A16" s="30">
        <v>55770.301413637615</v>
      </c>
    </row>
    <row r="17" spans="1:7" x14ac:dyDescent="0.25">
      <c r="A17" s="30">
        <v>53114.572774892964</v>
      </c>
    </row>
    <row r="18" spans="1:7" x14ac:dyDescent="0.25">
      <c r="A18" s="30">
        <v>50585.307404659965</v>
      </c>
    </row>
    <row r="19" spans="1:7" x14ac:dyDescent="0.25">
      <c r="A19" s="30">
        <v>48176.483242533301</v>
      </c>
    </row>
    <row r="20" spans="1:7" x14ac:dyDescent="0.25">
      <c r="A20" s="30">
        <v>45882.364992888855</v>
      </c>
    </row>
    <row r="21" spans="1:7" x14ac:dyDescent="0.25">
      <c r="A21" s="30">
        <v>43697.490469417957</v>
      </c>
      <c r="C21" s="1" t="s">
        <v>15</v>
      </c>
      <c r="G21" s="11"/>
    </row>
    <row r="22" spans="1:7" x14ac:dyDescent="0.25">
      <c r="A22" s="30">
        <v>41616.657589921859</v>
      </c>
      <c r="C22" s="7">
        <v>0.11686133436193799</v>
      </c>
      <c r="D22"/>
    </row>
    <row r="23" spans="1:7" x14ac:dyDescent="0.25">
      <c r="A23" s="30">
        <v>39634.911990401772</v>
      </c>
    </row>
    <row r="24" spans="1:7" x14ac:dyDescent="0.25">
      <c r="A24" s="30">
        <v>37747.535228954068</v>
      </c>
      <c r="C24" s="1" t="s">
        <v>11</v>
      </c>
      <c r="D24" s="1" t="s">
        <v>12</v>
      </c>
    </row>
    <row r="25" spans="1:7" x14ac:dyDescent="0.25">
      <c r="A25" s="30">
        <v>35950.033551384826</v>
      </c>
      <c r="C25"/>
      <c r="D25"/>
    </row>
    <row r="26" spans="1:7" x14ac:dyDescent="0.25">
      <c r="A26" s="30">
        <v>34238.127191795073</v>
      </c>
    </row>
    <row r="27" spans="1:7" x14ac:dyDescent="0.25">
      <c r="A27" s="30">
        <v>32607.740182661972</v>
      </c>
      <c r="C27" s="1" t="s">
        <v>13</v>
      </c>
    </row>
    <row r="28" spans="1:7" x14ac:dyDescent="0.25">
      <c r="A28" s="30">
        <v>31054.990650154257</v>
      </c>
      <c r="C28" s="1">
        <f>C17</f>
        <v>0</v>
      </c>
    </row>
    <row r="29" spans="1:7" x14ac:dyDescent="0.25">
      <c r="A29" s="30">
        <v>29576.181571575482</v>
      </c>
      <c r="C29"/>
    </row>
    <row r="30" spans="1:7" x14ac:dyDescent="0.25">
      <c r="A30" s="30">
        <v>28167.79197292903</v>
      </c>
      <c r="C30" s="1" t="s">
        <v>14</v>
      </c>
    </row>
    <row r="31" spans="1:7" x14ac:dyDescent="0.25">
      <c r="A31" s="30">
        <v>26826.468545646694</v>
      </c>
      <c r="C31" s="1" t="str">
        <f>IF(C28=$S$1,IF(D25&lt;(C22*0.952380952380952),$S$1,IF(C25&gt;(C22*1.157625),$U$1,"")),"")</f>
        <v/>
      </c>
      <c r="D31" s="1" t="str">
        <f>IF(C28=$U$1,IF(C25&gt;(C22*1.05),$U$1,IF(D25&lt;(C22*0.863837598531476),$S$1,"")),"")</f>
        <v/>
      </c>
    </row>
    <row r="32" spans="1:7" x14ac:dyDescent="0.25">
      <c r="A32" s="30">
        <v>25549.017662520659</v>
      </c>
    </row>
    <row r="33" spans="1:5" x14ac:dyDescent="0.25">
      <c r="A33" s="30">
        <v>24332.397773829198</v>
      </c>
      <c r="E33"/>
    </row>
    <row r="34" spans="1:5" x14ac:dyDescent="0.25">
      <c r="A34" s="30">
        <v>23173.712165551617</v>
      </c>
      <c r="E34"/>
    </row>
    <row r="35" spans="1:5" x14ac:dyDescent="0.25">
      <c r="A35" s="30">
        <v>22070.202062430111</v>
      </c>
      <c r="E35"/>
    </row>
    <row r="36" spans="1:5" x14ac:dyDescent="0.25">
      <c r="A36" s="30">
        <v>21019.240059457246</v>
      </c>
      <c r="E36"/>
    </row>
    <row r="37" spans="1:5" x14ac:dyDescent="0.25">
      <c r="A37" s="30">
        <v>20018.323866149756</v>
      </c>
      <c r="E37"/>
    </row>
    <row r="38" spans="1:5" x14ac:dyDescent="0.25">
      <c r="A38" s="30">
        <v>19065.070348714053</v>
      </c>
      <c r="E38"/>
    </row>
    <row r="39" spans="1:5" x14ac:dyDescent="0.25">
      <c r="A39" s="30">
        <v>18157.209855918143</v>
      </c>
      <c r="E39"/>
    </row>
    <row r="40" spans="1:5" x14ac:dyDescent="0.25">
      <c r="A40" s="30">
        <v>17292.580815160134</v>
      </c>
      <c r="E40"/>
    </row>
    <row r="41" spans="1:5" x14ac:dyDescent="0.25">
      <c r="A41" s="30">
        <v>16469.124585866793</v>
      </c>
      <c r="E41"/>
    </row>
    <row r="42" spans="1:5" x14ac:dyDescent="0.25">
      <c r="A42" s="30">
        <v>15684.880557968376</v>
      </c>
      <c r="E42"/>
    </row>
    <row r="43" spans="1:5" x14ac:dyDescent="0.25">
      <c r="A43" s="30">
        <v>14937.981483779406</v>
      </c>
      <c r="E43"/>
    </row>
    <row r="44" spans="1:5" x14ac:dyDescent="0.25">
      <c r="A44" s="30">
        <v>14226.649032170862</v>
      </c>
      <c r="E44"/>
    </row>
    <row r="45" spans="1:5" x14ac:dyDescent="0.25">
      <c r="A45" s="30">
        <v>13549.18955444844</v>
      </c>
      <c r="E45"/>
    </row>
    <row r="46" spans="1:5" x14ac:dyDescent="0.25">
      <c r="A46" s="30">
        <v>12903.990051855657</v>
      </c>
      <c r="C46" s="1" t="s">
        <v>15</v>
      </c>
      <c r="E46"/>
    </row>
    <row r="47" spans="1:5" x14ac:dyDescent="0.25">
      <c r="A47" s="30">
        <v>12289.514335100625</v>
      </c>
      <c r="C47" s="7">
        <v>0.11686133436193799</v>
      </c>
      <c r="D47"/>
      <c r="E47"/>
    </row>
    <row r="48" spans="1:5" x14ac:dyDescent="0.25">
      <c r="A48" s="30">
        <v>11704.2993667625</v>
      </c>
      <c r="E48"/>
    </row>
    <row r="49" spans="1:5" x14ac:dyDescent="0.25">
      <c r="A49" s="30">
        <v>11146.951777869046</v>
      </c>
      <c r="C49" s="1" t="s">
        <v>11</v>
      </c>
      <c r="D49" s="1" t="s">
        <v>12</v>
      </c>
      <c r="E49"/>
    </row>
    <row r="50" spans="1:5" x14ac:dyDescent="0.25">
      <c r="A50" s="30">
        <v>10616.144550351471</v>
      </c>
      <c r="C50"/>
      <c r="D50"/>
      <c r="E50"/>
    </row>
    <row r="51" spans="1:5" x14ac:dyDescent="0.25">
      <c r="A51" s="30">
        <v>10110.613857477592</v>
      </c>
      <c r="E51"/>
    </row>
    <row r="52" spans="1:5" x14ac:dyDescent="0.25">
      <c r="A52" s="30">
        <v>9629.1560547405643</v>
      </c>
      <c r="C52" s="1" t="s">
        <v>13</v>
      </c>
      <c r="E52"/>
    </row>
    <row r="53" spans="1:5" x14ac:dyDescent="0.25">
      <c r="A53" s="30">
        <v>9170.6248140386324</v>
      </c>
      <c r="C53" s="1">
        <f>C42</f>
        <v>0</v>
      </c>
      <c r="E53"/>
    </row>
    <row r="54" spans="1:5" x14ac:dyDescent="0.25">
      <c r="A54" s="30">
        <v>8733.9283943225073</v>
      </c>
      <c r="C54"/>
      <c r="E54"/>
    </row>
    <row r="55" spans="1:5" x14ac:dyDescent="0.25">
      <c r="A55" s="30">
        <v>8318.027042211912</v>
      </c>
      <c r="C55" s="1" t="s">
        <v>14</v>
      </c>
      <c r="E55"/>
    </row>
    <row r="56" spans="1:5" x14ac:dyDescent="0.25">
      <c r="A56" s="30">
        <v>7921.9305163922963</v>
      </c>
      <c r="C56" s="1" t="str">
        <f>IF(C53=$S$1,IF(D50&lt;(C47*0.952380952380952),$S$1,IF(C50&gt;(C47*1.157625),$U$1,"")),"")</f>
        <v/>
      </c>
      <c r="D56" s="1" t="str">
        <f>IF(C53=$U$1,IF(C50&gt;(C47*1.05),$U$1,IF(D50&lt;(C47*0.863837598531476),$S$1,"")),"")</f>
        <v/>
      </c>
      <c r="E56"/>
    </row>
    <row r="57" spans="1:5" x14ac:dyDescent="0.25">
      <c r="A57" s="30">
        <v>7544.6957298974248</v>
      </c>
      <c r="E57"/>
    </row>
    <row r="58" spans="1:5" x14ac:dyDescent="0.25">
      <c r="A58" s="30">
        <v>7185.4245046642136</v>
      </c>
      <c r="E58"/>
    </row>
    <row r="59" spans="1:5" x14ac:dyDescent="0.25">
      <c r="A59" s="30">
        <v>6843.2614330135366</v>
      </c>
      <c r="E59"/>
    </row>
    <row r="60" spans="1:5" x14ac:dyDescent="0.25">
      <c r="A60" s="30">
        <v>6517.3918409652724</v>
      </c>
      <c r="E60"/>
    </row>
    <row r="61" spans="1:5" x14ac:dyDescent="0.25">
      <c r="A61" s="30">
        <v>6207.0398485383548</v>
      </c>
      <c r="E61"/>
    </row>
    <row r="62" spans="1:5" x14ac:dyDescent="0.25">
      <c r="A62" s="30">
        <v>5911.4665224174805</v>
      </c>
      <c r="E62"/>
    </row>
    <row r="63" spans="1:5" x14ac:dyDescent="0.25">
      <c r="A63" s="30">
        <v>5629.9681165880766</v>
      </c>
      <c r="E63"/>
    </row>
    <row r="64" spans="1:5" x14ac:dyDescent="0.25">
      <c r="A64" s="30">
        <v>5361.8743967505488</v>
      </c>
      <c r="E64"/>
    </row>
    <row r="65" spans="1:5" x14ac:dyDescent="0.25">
      <c r="A65" s="30">
        <v>5106.5470445243318</v>
      </c>
      <c r="E65"/>
    </row>
    <row r="66" spans="1:5" x14ac:dyDescent="0.25">
      <c r="A66" s="30">
        <v>4863.3781376422203</v>
      </c>
      <c r="E66"/>
    </row>
    <row r="67" spans="1:5" x14ac:dyDescent="0.25">
      <c r="A67" s="30">
        <v>4631.7887025164</v>
      </c>
      <c r="E67"/>
    </row>
    <row r="68" spans="1:5" x14ac:dyDescent="0.25">
      <c r="A68" s="30">
        <v>4411.2273357299046</v>
      </c>
      <c r="E68"/>
    </row>
    <row r="69" spans="1:5" x14ac:dyDescent="0.25">
      <c r="A69" s="30">
        <v>4201.1688911713372</v>
      </c>
      <c r="E69"/>
    </row>
    <row r="70" spans="1:5" x14ac:dyDescent="0.25">
      <c r="A70" s="30">
        <v>4001.1132296869878</v>
      </c>
      <c r="E70"/>
    </row>
    <row r="71" spans="1:5" x14ac:dyDescent="0.25">
      <c r="A71" s="30">
        <v>3810.5840282733216</v>
      </c>
      <c r="C71" s="1" t="s">
        <v>15</v>
      </c>
      <c r="E71"/>
    </row>
    <row r="72" spans="1:5" x14ac:dyDescent="0.25">
      <c r="A72" s="30">
        <v>3629.1276459745918</v>
      </c>
      <c r="C72" s="7">
        <v>0.11686133436193799</v>
      </c>
      <c r="D72"/>
      <c r="E72"/>
    </row>
    <row r="73" spans="1:5" x14ac:dyDescent="0.25">
      <c r="A73" s="30">
        <v>3456.3120437853254</v>
      </c>
      <c r="E73"/>
    </row>
    <row r="74" spans="1:5" x14ac:dyDescent="0.25">
      <c r="A74" s="30">
        <v>3291.7257559860241</v>
      </c>
      <c r="C74" s="1" t="s">
        <v>11</v>
      </c>
      <c r="D74" s="1" t="s">
        <v>12</v>
      </c>
      <c r="E74"/>
    </row>
    <row r="75" spans="1:5" x14ac:dyDescent="0.25">
      <c r="A75" s="30">
        <v>3134.9769104628799</v>
      </c>
      <c r="C75"/>
      <c r="D75"/>
      <c r="E75"/>
    </row>
    <row r="76" spans="1:5" x14ac:dyDescent="0.25">
      <c r="A76" s="30">
        <v>2985.6922956789331</v>
      </c>
      <c r="E76"/>
    </row>
    <row r="77" spans="1:5" x14ac:dyDescent="0.25">
      <c r="A77" s="30">
        <v>2843.5164720751741</v>
      </c>
      <c r="C77" s="1" t="s">
        <v>13</v>
      </c>
      <c r="E77"/>
    </row>
    <row r="78" spans="1:5" x14ac:dyDescent="0.25">
      <c r="A78" s="30">
        <v>2708.1109257858798</v>
      </c>
      <c r="C78" s="1">
        <f>C67</f>
        <v>0</v>
      </c>
      <c r="E78"/>
    </row>
    <row r="79" spans="1:5" x14ac:dyDescent="0.25">
      <c r="A79" s="30">
        <v>2579.1532626532189</v>
      </c>
      <c r="C79"/>
      <c r="E79"/>
    </row>
    <row r="80" spans="1:5" x14ac:dyDescent="0.25">
      <c r="A80" s="30">
        <v>2456.3364406221131</v>
      </c>
      <c r="C80" s="1" t="s">
        <v>14</v>
      </c>
      <c r="E80"/>
    </row>
    <row r="81" spans="1:5" x14ac:dyDescent="0.25">
      <c r="A81" s="30">
        <v>2339.3680386877268</v>
      </c>
      <c r="C81" s="1" t="str">
        <f>IF(C78=$S$1,IF(D75&lt;(C72*0.952380952380952),$S$1,IF(C75&gt;(C72*1.157625),$U$1,"")),"")</f>
        <v/>
      </c>
      <c r="D81" s="1" t="str">
        <f>IF(C78=$U$1,IF(C75&gt;(C72*1.05),$U$1,IF(D75&lt;(C72*0.863837598531476),$S$1,"")),"")</f>
        <v/>
      </c>
      <c r="E81"/>
    </row>
    <row r="82" spans="1:5" x14ac:dyDescent="0.25">
      <c r="A82" s="30">
        <v>2227.9695606549776</v>
      </c>
      <c r="E82"/>
    </row>
    <row r="83" spans="1:5" x14ac:dyDescent="0.25">
      <c r="A83" s="30">
        <v>2121.8757720523595</v>
      </c>
      <c r="E83"/>
    </row>
    <row r="84" spans="1:5" x14ac:dyDescent="0.25">
      <c r="A84" s="30">
        <v>2020.8340686212948</v>
      </c>
      <c r="E84"/>
    </row>
    <row r="85" spans="1:5" x14ac:dyDescent="0.25">
      <c r="A85" s="30">
        <v>1924.6038748774236</v>
      </c>
      <c r="E85"/>
    </row>
    <row r="86" spans="1:5" x14ac:dyDescent="0.25">
      <c r="A86" s="30">
        <v>1832.9560713118319</v>
      </c>
      <c r="E86"/>
    </row>
    <row r="87" spans="1:5" x14ac:dyDescent="0.25">
      <c r="A87" s="30">
        <v>1745.6724488684113</v>
      </c>
      <c r="E87"/>
    </row>
    <row r="88" spans="1:5" x14ac:dyDescent="0.25">
      <c r="A88" s="30">
        <v>1662.5451893984869</v>
      </c>
      <c r="E88"/>
    </row>
    <row r="89" spans="1:5" x14ac:dyDescent="0.25">
      <c r="A89" s="30">
        <v>1583.3763708557017</v>
      </c>
      <c r="E89"/>
    </row>
    <row r="90" spans="1:5" x14ac:dyDescent="0.25">
      <c r="A90" s="30">
        <v>1507.9774960530492</v>
      </c>
      <c r="E90"/>
    </row>
    <row r="91" spans="1:5" x14ac:dyDescent="0.25">
      <c r="A91" s="30">
        <v>1436.1690438600467</v>
      </c>
      <c r="E91"/>
    </row>
    <row r="92" spans="1:5" x14ac:dyDescent="0.25">
      <c r="A92" s="30">
        <v>1367.780041771473</v>
      </c>
      <c r="E92"/>
    </row>
    <row r="93" spans="1:5" x14ac:dyDescent="0.25">
      <c r="A93" s="30">
        <v>1302.6476588299743</v>
      </c>
      <c r="E93"/>
    </row>
    <row r="94" spans="1:5" x14ac:dyDescent="0.25">
      <c r="A94" s="30">
        <v>1240.6168179333088</v>
      </c>
      <c r="E94"/>
    </row>
    <row r="95" spans="1:5" x14ac:dyDescent="0.25">
      <c r="A95" s="30">
        <v>1181.5398266031511</v>
      </c>
      <c r="E95"/>
    </row>
    <row r="96" spans="1:5" x14ac:dyDescent="0.25">
      <c r="A96" s="30">
        <v>1125.2760253363344</v>
      </c>
      <c r="C96" s="1" t="s">
        <v>15</v>
      </c>
      <c r="E96"/>
    </row>
    <row r="97" spans="1:5" x14ac:dyDescent="0.25">
      <c r="A97" s="30">
        <v>1071.6914527012709</v>
      </c>
      <c r="C97" s="7">
        <v>0.11686133436193799</v>
      </c>
      <c r="D97"/>
      <c r="E97"/>
    </row>
    <row r="98" spans="1:5" x14ac:dyDescent="0.25">
      <c r="A98" s="30">
        <v>1020.6585263821628</v>
      </c>
      <c r="E98"/>
    </row>
    <row r="99" spans="1:5" x14ac:dyDescent="0.25">
      <c r="A99" s="30">
        <v>972.05573941158355</v>
      </c>
      <c r="C99" s="1" t="s">
        <v>11</v>
      </c>
      <c r="D99" s="1" t="s">
        <v>12</v>
      </c>
      <c r="E99"/>
    </row>
    <row r="100" spans="1:5" x14ac:dyDescent="0.25">
      <c r="A100" s="30">
        <v>925.76737086817479</v>
      </c>
      <c r="C100"/>
      <c r="D100"/>
      <c r="E100"/>
    </row>
    <row r="101" spans="1:5" x14ac:dyDescent="0.25">
      <c r="A101" s="30">
        <v>881.68321035064264</v>
      </c>
      <c r="E101"/>
    </row>
    <row r="102" spans="1:5" x14ac:dyDescent="0.25">
      <c r="A102" s="30">
        <v>839.69829557204059</v>
      </c>
      <c r="C102" s="1" t="s">
        <v>13</v>
      </c>
      <c r="E102"/>
    </row>
    <row r="103" spans="1:5" x14ac:dyDescent="0.25">
      <c r="A103" s="30">
        <v>799.71266244956246</v>
      </c>
      <c r="C103" s="1">
        <f>C92</f>
        <v>0</v>
      </c>
      <c r="E103"/>
    </row>
    <row r="104" spans="1:5" x14ac:dyDescent="0.25">
      <c r="A104" s="30">
        <v>761.63110709482135</v>
      </c>
      <c r="C104"/>
      <c r="E104"/>
    </row>
    <row r="105" spans="1:5" x14ac:dyDescent="0.25">
      <c r="A105" s="30">
        <v>725.36295913792503</v>
      </c>
      <c r="C105" s="1" t="s">
        <v>14</v>
      </c>
      <c r="E105"/>
    </row>
    <row r="106" spans="1:5" x14ac:dyDescent="0.25">
      <c r="A106" s="30">
        <v>690.82186584564283</v>
      </c>
      <c r="C106" s="1" t="str">
        <f>IF(C103=$S$1,IF(D100&lt;(C97*0.952380952380952),$S$1,IF(C100&gt;(C97*1.157625),$U$1,"")),"")</f>
        <v/>
      </c>
      <c r="D106" s="1" t="str">
        <f>IF(C103=$U$1,IF(C100&gt;(C97*1.05),$U$1,IF(D100&lt;(C97*0.863837598531476),$S$1,"")),"")</f>
        <v/>
      </c>
      <c r="E106"/>
    </row>
    <row r="107" spans="1:5" x14ac:dyDescent="0.25">
      <c r="A107" s="30">
        <v>657.92558651965976</v>
      </c>
      <c r="E107"/>
    </row>
    <row r="108" spans="1:5" x14ac:dyDescent="0.25">
      <c r="A108" s="30">
        <v>626.59579668539027</v>
      </c>
      <c r="E108"/>
    </row>
    <row r="109" spans="1:5" x14ac:dyDescent="0.25">
      <c r="A109" s="30">
        <v>596.75790160513361</v>
      </c>
      <c r="E109"/>
    </row>
    <row r="110" spans="1:5" x14ac:dyDescent="0.25">
      <c r="A110" s="30">
        <v>568.34085867155579</v>
      </c>
      <c r="E110"/>
    </row>
    <row r="111" spans="1:5" x14ac:dyDescent="0.25">
      <c r="A111" s="30">
        <v>541.27700825862451</v>
      </c>
      <c r="C111" s="1" t="str">
        <f>ADDRESS(C121-1,1,1,1)</f>
        <v>$A$256</v>
      </c>
      <c r="D111" s="1" t="str">
        <f>ADDRESS(C121-1,D121,1,1)</f>
        <v>$BG$256</v>
      </c>
      <c r="E111"/>
    </row>
    <row r="112" spans="1:5" x14ac:dyDescent="0.25">
      <c r="A112" s="30">
        <v>515.50191262726139</v>
      </c>
      <c r="C112" s="1" t="str">
        <f>ADDRESS(C121,1,1,1)</f>
        <v>$A$257</v>
      </c>
      <c r="D112" s="1" t="str">
        <f>ADDRESS(C121,D121-1,1,1)</f>
        <v>$BF$257</v>
      </c>
      <c r="E112"/>
    </row>
    <row r="113" spans="1:5" x14ac:dyDescent="0.25">
      <c r="A113" s="30">
        <v>490.95420250215363</v>
      </c>
      <c r="C113" s="1" t="str">
        <f>ADDRESS(C121+1,1,1,1)</f>
        <v>$A$258</v>
      </c>
      <c r="D113" s="1" t="str">
        <f>ADDRESS(C121-1,D121+1,1,1)</f>
        <v>$BH$256</v>
      </c>
    </row>
    <row r="114" spans="1:5" x14ac:dyDescent="0.25">
      <c r="A114" s="30">
        <v>467.57543095443202</v>
      </c>
      <c r="C114" s="1" t="str">
        <f>ADDRESS(C121,D121,1,1)</f>
        <v>$BG$257</v>
      </c>
      <c r="D114" s="1" t="str">
        <f>ADDRESS(C121+1,D121+1,1,1)</f>
        <v>$BH$258</v>
      </c>
    </row>
    <row r="115" spans="1:5" x14ac:dyDescent="0.25">
      <c r="A115" s="30">
        <v>445.30993424231622</v>
      </c>
      <c r="C115" s="1" t="str">
        <f>ADDRESS(C121+1,D121,1,1)</f>
        <v>$BG$258</v>
      </c>
    </row>
    <row r="116" spans="1:5" x14ac:dyDescent="0.25">
      <c r="A116" s="30">
        <v>424.10469927839637</v>
      </c>
      <c r="C116" s="1">
        <f>C117-1</f>
        <v>256</v>
      </c>
    </row>
    <row r="117" spans="1:5" x14ac:dyDescent="0.25">
      <c r="A117" s="30">
        <v>403.9092374079965</v>
      </c>
      <c r="C117" s="1">
        <f>C121</f>
        <v>257</v>
      </c>
      <c r="D117" s="1">
        <f>D121</f>
        <v>59</v>
      </c>
    </row>
    <row r="118" spans="1:5" x14ac:dyDescent="0.25">
      <c r="A118" s="30">
        <v>384.6754641980919</v>
      </c>
      <c r="C118" s="1">
        <f>C117+1</f>
        <v>258</v>
      </c>
      <c r="D118" s="1">
        <f>D117+1</f>
        <v>60</v>
      </c>
    </row>
    <row r="119" spans="1:5" x14ac:dyDescent="0.25">
      <c r="A119" s="30">
        <v>366.35758495056371</v>
      </c>
    </row>
    <row r="120" spans="1:5" x14ac:dyDescent="0.25">
      <c r="A120" s="30">
        <v>348.91198566720351</v>
      </c>
      <c r="C120" s="1" t="s">
        <v>9</v>
      </c>
    </row>
    <row r="121" spans="1:5" x14ac:dyDescent="0.25">
      <c r="A121" s="30">
        <v>332.29712920686046</v>
      </c>
      <c r="C121" s="18">
        <v>257</v>
      </c>
      <c r="D121" s="19">
        <v>59</v>
      </c>
      <c r="E121" s="19"/>
    </row>
    <row r="122" spans="1:5" x14ac:dyDescent="0.25">
      <c r="A122" s="30">
        <v>316.47345638748612</v>
      </c>
      <c r="C122" s="1" t="str">
        <f>INDEX(1:1048576,C117,D117)</f>
        <v>X</v>
      </c>
    </row>
    <row r="123" spans="1:5" x14ac:dyDescent="0.25">
      <c r="A123" s="30">
        <v>301.40329179760585</v>
      </c>
      <c r="C123" s="1" t="str">
        <f>"R"&amp;C121</f>
        <v>R257</v>
      </c>
      <c r="D123" s="1" t="str">
        <f>"C"&amp;D121</f>
        <v>C59</v>
      </c>
    </row>
    <row r="124" spans="1:5" x14ac:dyDescent="0.25">
      <c r="A124" s="30">
        <v>287.05075409295796</v>
      </c>
      <c r="C124" s="1">
        <f>SUM(C130:D130)</f>
        <v>0</v>
      </c>
      <c r="D124" s="1">
        <f>IF(C124=0,0,1)</f>
        <v>0</v>
      </c>
    </row>
    <row r="125" spans="1:5" x14ac:dyDescent="0.25">
      <c r="A125" s="30">
        <v>273.38167056472184</v>
      </c>
    </row>
    <row r="126" spans="1:5" x14ac:dyDescent="0.25">
      <c r="A126" s="30">
        <v>260.36349577592557</v>
      </c>
      <c r="C126" s="1" t="s">
        <v>10</v>
      </c>
    </row>
    <row r="127" spans="1:5" x14ac:dyDescent="0.25">
      <c r="A127" s="30">
        <v>247.96523407231004</v>
      </c>
      <c r="C127" s="30">
        <v>0.43629668761085438</v>
      </c>
      <c r="D127"/>
    </row>
    <row r="128" spans="1:5" x14ac:dyDescent="0.25">
      <c r="A128" s="30">
        <v>236.15736578315241</v>
      </c>
    </row>
    <row r="129" spans="1:5" x14ac:dyDescent="0.25">
      <c r="A129" s="30">
        <v>224.91177693633563</v>
      </c>
      <c r="C129" s="1" t="s">
        <v>11</v>
      </c>
      <c r="D129" s="1" t="s">
        <v>12</v>
      </c>
      <c r="E129"/>
    </row>
    <row r="130" spans="1:5" x14ac:dyDescent="0.25">
      <c r="A130" s="30">
        <v>214.20169232031964</v>
      </c>
      <c r="C130" s="6"/>
      <c r="D130" s="6"/>
      <c r="E130"/>
    </row>
    <row r="131" spans="1:5" x14ac:dyDescent="0.25">
      <c r="A131" s="30">
        <v>204.00161173363773</v>
      </c>
      <c r="E131"/>
    </row>
    <row r="132" spans="1:5" x14ac:dyDescent="0.25">
      <c r="A132" s="30">
        <v>194.28724927013116</v>
      </c>
      <c r="C132" s="1" t="s">
        <v>13</v>
      </c>
      <c r="E132"/>
    </row>
    <row r="133" spans="1:5" x14ac:dyDescent="0.25">
      <c r="A133" s="30">
        <v>185.03547549536299</v>
      </c>
      <c r="C133" s="1" t="str">
        <f>C122</f>
        <v>X</v>
      </c>
      <c r="E133"/>
    </row>
    <row r="134" spans="1:5" x14ac:dyDescent="0.25">
      <c r="A134" s="30">
        <v>176.22426237653616</v>
      </c>
      <c r="C134"/>
      <c r="E134"/>
    </row>
    <row r="135" spans="1:5" x14ac:dyDescent="0.25">
      <c r="A135" s="30">
        <v>167.83263083479633</v>
      </c>
      <c r="C135" s="1" t="s">
        <v>14</v>
      </c>
      <c r="E135"/>
    </row>
    <row r="136" spans="1:5" x14ac:dyDescent="0.25">
      <c r="A136" s="30">
        <v>159.84060079504411</v>
      </c>
      <c r="C136" s="1" t="str">
        <f>IF(C133=$S$1,IF(D130&lt;(C127*0.952380952380952),$S$1,IF(C130&gt;(C127*1.157625),$U$1,"")),"")</f>
        <v/>
      </c>
      <c r="D136" s="1" t="str">
        <f>IF(C133=$U$1,IF(C130&gt;(C127*1.05),$U$1,IF(D130&lt;(C127*0.863837598531476),$S$1,"")),"")</f>
        <v>O</v>
      </c>
      <c r="E136"/>
    </row>
    <row r="137" spans="1:5" x14ac:dyDescent="0.25">
      <c r="A137" s="30">
        <v>152.22914361432771</v>
      </c>
      <c r="E137"/>
    </row>
    <row r="138" spans="1:5" x14ac:dyDescent="0.25">
      <c r="A138" s="30">
        <v>144.98013677555019</v>
      </c>
      <c r="C138" s="1">
        <f>IF(AND(C136="",D136=""),0,IF(AND(C133="X",D136="X"),1,IF(AND(C133="O",C136="O"),2,(IF(AND(C133="X",D136="O"),3,4)))))</f>
        <v>3</v>
      </c>
      <c r="E138"/>
    </row>
    <row r="139" spans="1:5" x14ac:dyDescent="0.25">
      <c r="A139" s="30">
        <v>138.07632073861922</v>
      </c>
      <c r="E139"/>
    </row>
    <row r="140" spans="1:5" x14ac:dyDescent="0.25">
      <c r="A140" s="30">
        <v>131.50125784630401</v>
      </c>
      <c r="C140" s="1">
        <v>0</v>
      </c>
      <c r="E140"/>
    </row>
    <row r="141" spans="1:5" x14ac:dyDescent="0.25">
      <c r="A141" s="30">
        <v>125.23929318695619</v>
      </c>
      <c r="C141" s="1">
        <v>1</v>
      </c>
      <c r="E141"/>
    </row>
    <row r="142" spans="1:5" x14ac:dyDescent="0.25">
      <c r="A142" s="30">
        <v>119.27551732091065</v>
      </c>
      <c r="C142" s="1">
        <v>2</v>
      </c>
      <c r="E142"/>
    </row>
    <row r="143" spans="1:5" x14ac:dyDescent="0.25">
      <c r="A143" s="30">
        <v>113.59573078181967</v>
      </c>
      <c r="C143" s="1">
        <v>3</v>
      </c>
      <c r="E143"/>
    </row>
    <row r="144" spans="1:5" x14ac:dyDescent="0.25">
      <c r="A144" s="30">
        <v>108.18641026839968</v>
      </c>
      <c r="C144" s="1">
        <v>4</v>
      </c>
      <c r="E144"/>
    </row>
    <row r="145" spans="1:5" x14ac:dyDescent="0.25">
      <c r="A145" s="30">
        <v>103.03467644609493</v>
      </c>
      <c r="E145"/>
    </row>
    <row r="146" spans="1:5" x14ac:dyDescent="0.25">
      <c r="A146" s="30">
        <v>98.128263281995174</v>
      </c>
      <c r="E146"/>
    </row>
    <row r="147" spans="1:5" x14ac:dyDescent="0.25">
      <c r="A147" s="30">
        <v>93.455488839995397</v>
      </c>
      <c r="E147"/>
    </row>
    <row r="148" spans="1:5" x14ac:dyDescent="0.25">
      <c r="A148" s="30">
        <v>89.005227466662276</v>
      </c>
      <c r="E148"/>
    </row>
    <row r="149" spans="1:5" x14ac:dyDescent="0.25">
      <c r="A149" s="30">
        <v>84.766883301583121</v>
      </c>
      <c r="E149"/>
    </row>
    <row r="150" spans="1:5" x14ac:dyDescent="0.25">
      <c r="A150" s="30">
        <v>80.730365049126775</v>
      </c>
      <c r="E150"/>
    </row>
    <row r="151" spans="1:5" x14ac:dyDescent="0.25">
      <c r="A151" s="30">
        <v>76.886061951549308</v>
      </c>
      <c r="E151"/>
    </row>
    <row r="152" spans="1:5" x14ac:dyDescent="0.25">
      <c r="A152" s="30">
        <v>73.22482090623744</v>
      </c>
      <c r="E152"/>
    </row>
    <row r="153" spans="1:5" x14ac:dyDescent="0.25">
      <c r="A153" s="30">
        <v>69.737924672607079</v>
      </c>
      <c r="C153" s="7"/>
      <c r="D153"/>
      <c r="E153"/>
    </row>
    <row r="154" spans="1:5" x14ac:dyDescent="0.25">
      <c r="A154" s="30">
        <v>66.417071116768639</v>
      </c>
      <c r="E154"/>
    </row>
    <row r="155" spans="1:5" x14ac:dyDescent="0.25">
      <c r="A155" s="30">
        <v>63.254353444541557</v>
      </c>
      <c r="E155"/>
    </row>
    <row r="156" spans="1:5" x14ac:dyDescent="0.25">
      <c r="A156" s="30">
        <v>60.242241375753864</v>
      </c>
      <c r="C156"/>
      <c r="D156"/>
      <c r="E156"/>
    </row>
    <row r="157" spans="1:5" x14ac:dyDescent="0.25">
      <c r="A157" s="30">
        <v>57.373563215003678</v>
      </c>
      <c r="E157"/>
    </row>
    <row r="158" spans="1:5" x14ac:dyDescent="0.25">
      <c r="A158" s="30">
        <v>54.641488776193974</v>
      </c>
      <c r="E158"/>
    </row>
    <row r="159" spans="1:5" x14ac:dyDescent="0.25">
      <c r="A159" s="30">
        <v>52.039513120184736</v>
      </c>
      <c r="E159"/>
    </row>
    <row r="160" spans="1:5" x14ac:dyDescent="0.25">
      <c r="A160" s="30">
        <v>49.561441066842605</v>
      </c>
      <c r="C160"/>
      <c r="E160"/>
    </row>
    <row r="161" spans="1:5" x14ac:dyDescent="0.25">
      <c r="A161" s="30">
        <v>47.201372444612005</v>
      </c>
      <c r="E161"/>
    </row>
    <row r="162" spans="1:5" x14ac:dyDescent="0.25">
      <c r="A162" s="30">
        <v>44.95368804248762</v>
      </c>
      <c r="E162"/>
    </row>
    <row r="163" spans="1:5" x14ac:dyDescent="0.25">
      <c r="A163" s="30">
        <v>42.81303623094059</v>
      </c>
      <c r="E163"/>
    </row>
    <row r="164" spans="1:5" x14ac:dyDescent="0.25">
      <c r="A164" s="30">
        <v>40.774320219943419</v>
      </c>
      <c r="E164"/>
    </row>
    <row r="165" spans="1:5" x14ac:dyDescent="0.25">
      <c r="A165" s="30">
        <v>38.832685923755633</v>
      </c>
      <c r="E165"/>
    </row>
    <row r="166" spans="1:5" x14ac:dyDescent="0.25">
      <c r="A166" s="30">
        <v>36.983510403576794</v>
      </c>
      <c r="E166"/>
    </row>
    <row r="167" spans="1:5" x14ac:dyDescent="0.25">
      <c r="A167" s="30">
        <v>35.222390860549325</v>
      </c>
      <c r="E167"/>
    </row>
    <row r="168" spans="1:5" x14ac:dyDescent="0.25">
      <c r="A168" s="30">
        <v>33.545134152904119</v>
      </c>
      <c r="E168"/>
    </row>
    <row r="169" spans="1:5" x14ac:dyDescent="0.25">
      <c r="A169" s="30">
        <v>31.947746812289637</v>
      </c>
      <c r="E169"/>
    </row>
    <row r="170" spans="1:5" x14ac:dyDescent="0.25">
      <c r="A170" s="30">
        <v>30.426425535513939</v>
      </c>
      <c r="E170"/>
    </row>
    <row r="171" spans="1:5" x14ac:dyDescent="0.25">
      <c r="A171" s="30">
        <v>28.977548129060892</v>
      </c>
      <c r="E171"/>
    </row>
    <row r="172" spans="1:5" x14ac:dyDescent="0.25">
      <c r="A172" s="30">
        <v>27.597664884819896</v>
      </c>
      <c r="E172"/>
    </row>
    <row r="173" spans="1:5" x14ac:dyDescent="0.25">
      <c r="A173" s="30">
        <v>26.283490366495137</v>
      </c>
      <c r="E173"/>
    </row>
    <row r="174" spans="1:5" x14ac:dyDescent="0.25">
      <c r="A174" s="30">
        <v>25.031895587138223</v>
      </c>
      <c r="E174"/>
    </row>
    <row r="175" spans="1:5" x14ac:dyDescent="0.25">
      <c r="A175" s="30">
        <v>23.839900559179259</v>
      </c>
      <c r="E175"/>
    </row>
    <row r="176" spans="1:5" x14ac:dyDescent="0.25">
      <c r="A176" s="30">
        <v>22.704667199218342</v>
      </c>
      <c r="E176"/>
    </row>
    <row r="177" spans="1:5" x14ac:dyDescent="0.25">
      <c r="A177" s="30">
        <v>21.623492570684135</v>
      </c>
      <c r="E177"/>
    </row>
    <row r="178" spans="1:5" x14ac:dyDescent="0.25">
      <c r="A178" s="30">
        <v>20.593802448270605</v>
      </c>
      <c r="C178" s="7"/>
      <c r="D178"/>
      <c r="E178"/>
    </row>
    <row r="179" spans="1:5" x14ac:dyDescent="0.25">
      <c r="A179" s="30">
        <v>19.613145188829147</v>
      </c>
      <c r="E179"/>
    </row>
    <row r="180" spans="1:5" x14ac:dyDescent="0.25">
      <c r="A180" s="30">
        <v>18.679185894122998</v>
      </c>
      <c r="E180"/>
    </row>
    <row r="181" spans="1:5" x14ac:dyDescent="0.25">
      <c r="A181" s="30">
        <v>17.78970085154571</v>
      </c>
      <c r="C181"/>
      <c r="D181"/>
      <c r="E181"/>
    </row>
    <row r="182" spans="1:5" x14ac:dyDescent="0.25">
      <c r="A182" s="30">
        <v>16.942572239567344</v>
      </c>
      <c r="E182"/>
    </row>
    <row r="183" spans="1:5" x14ac:dyDescent="0.25">
      <c r="A183" s="30">
        <v>16.135783085302233</v>
      </c>
      <c r="E183"/>
    </row>
    <row r="184" spans="1:5" x14ac:dyDescent="0.25">
      <c r="A184" s="30">
        <v>15.367412462192602</v>
      </c>
      <c r="E184"/>
    </row>
    <row r="185" spans="1:5" x14ac:dyDescent="0.25">
      <c r="A185" s="30">
        <v>14.635630916373906</v>
      </c>
      <c r="C185"/>
      <c r="E185"/>
    </row>
    <row r="186" spans="1:5" x14ac:dyDescent="0.25">
      <c r="A186" s="30">
        <v>13.938696110832291</v>
      </c>
      <c r="E186"/>
    </row>
    <row r="187" spans="1:5" x14ac:dyDescent="0.25">
      <c r="A187" s="30">
        <v>13.274948676983135</v>
      </c>
      <c r="C187" s="1" t="str">
        <f>IF(C184=$S$1,IF(D181&lt;(C178*0.952380952380952),$S$1,IF(C181&gt;(C178*1.157625),$U$1,"")),"")</f>
        <v/>
      </c>
      <c r="D187" s="1" t="str">
        <f>IF(C184=$U$1,IF(C181&gt;(C178*1.05),$U$1,IF(D181&lt;(C178*0.863837598531476),$S$1,"")),"")</f>
        <v/>
      </c>
      <c r="E187"/>
    </row>
    <row r="188" spans="1:5" x14ac:dyDescent="0.25">
      <c r="A188" s="30">
        <v>12.64280826379346</v>
      </c>
      <c r="E188"/>
    </row>
    <row r="189" spans="1:5" x14ac:dyDescent="0.25">
      <c r="A189" s="30">
        <v>12.04076977504139</v>
      </c>
      <c r="E189"/>
    </row>
    <row r="190" spans="1:5" x14ac:dyDescent="0.25">
      <c r="A190" s="30">
        <v>11.467399785753704</v>
      </c>
      <c r="E190"/>
    </row>
    <row r="191" spans="1:5" x14ac:dyDescent="0.25">
      <c r="A191" s="30">
        <v>10.921333129289241</v>
      </c>
      <c r="E191"/>
    </row>
    <row r="192" spans="1:5" x14ac:dyDescent="0.25">
      <c r="A192" s="30">
        <v>10.401269646942135</v>
      </c>
      <c r="E192"/>
    </row>
    <row r="193" spans="1:5" x14ac:dyDescent="0.25">
      <c r="A193" s="30">
        <v>9.9059710923258422</v>
      </c>
      <c r="E193"/>
    </row>
    <row r="194" spans="1:5" x14ac:dyDescent="0.25">
      <c r="A194" s="30">
        <v>9.4342581831674686</v>
      </c>
      <c r="E194"/>
    </row>
    <row r="195" spans="1:5" x14ac:dyDescent="0.25">
      <c r="A195" s="30">
        <v>8.9850077934928265</v>
      </c>
      <c r="E195"/>
    </row>
    <row r="196" spans="1:5" x14ac:dyDescent="0.25">
      <c r="A196" s="30">
        <v>8.5571502795169767</v>
      </c>
      <c r="E196"/>
    </row>
    <row r="197" spans="1:5" x14ac:dyDescent="0.25">
      <c r="A197" s="30">
        <v>8.1496669328733109</v>
      </c>
      <c r="E197"/>
    </row>
    <row r="198" spans="1:5" x14ac:dyDescent="0.25">
      <c r="A198" s="30">
        <v>7.7615875551174378</v>
      </c>
      <c r="E198"/>
    </row>
    <row r="199" spans="1:5" x14ac:dyDescent="0.25">
      <c r="A199" s="30">
        <v>7.3919881477308929</v>
      </c>
      <c r="E199"/>
    </row>
    <row r="200" spans="1:5" x14ac:dyDescent="0.25">
      <c r="A200" s="30">
        <v>7.0399887121246598</v>
      </c>
      <c r="E200"/>
    </row>
    <row r="201" spans="1:5" x14ac:dyDescent="0.25">
      <c r="A201" s="30">
        <v>6.7047511544044376</v>
      </c>
      <c r="E201"/>
    </row>
    <row r="202" spans="1:5" x14ac:dyDescent="0.25">
      <c r="A202" s="30">
        <v>6.3854772899089882</v>
      </c>
      <c r="E202"/>
    </row>
    <row r="203" spans="1:5" x14ac:dyDescent="0.25">
      <c r="A203" s="30">
        <v>6.0814069427704647</v>
      </c>
      <c r="C203" s="7"/>
      <c r="D203"/>
      <c r="E203"/>
    </row>
    <row r="204" spans="1:5" x14ac:dyDescent="0.25">
      <c r="A204" s="30">
        <v>5.7918161359718709</v>
      </c>
      <c r="E204"/>
    </row>
    <row r="205" spans="1:5" x14ac:dyDescent="0.25">
      <c r="A205" s="30">
        <v>5.5160153675922574</v>
      </c>
      <c r="E205"/>
    </row>
    <row r="206" spans="1:5" x14ac:dyDescent="0.25">
      <c r="A206" s="30">
        <v>5.2533479691354827</v>
      </c>
      <c r="C206"/>
      <c r="D206"/>
      <c r="E206"/>
    </row>
    <row r="207" spans="1:5" x14ac:dyDescent="0.25">
      <c r="A207" s="30">
        <v>5.0031885420337927</v>
      </c>
      <c r="E207"/>
    </row>
    <row r="208" spans="1:5" x14ac:dyDescent="0.25">
      <c r="A208" s="30">
        <v>4.7649414686036122</v>
      </c>
      <c r="E208"/>
    </row>
    <row r="209" spans="1:5" x14ac:dyDescent="0.25">
      <c r="A209" s="30">
        <v>4.5380394939082018</v>
      </c>
      <c r="E209"/>
    </row>
    <row r="210" spans="1:5" x14ac:dyDescent="0.25">
      <c r="A210" s="30">
        <v>4.3219423751506678</v>
      </c>
      <c r="C210"/>
      <c r="E210"/>
    </row>
    <row r="211" spans="1:5" x14ac:dyDescent="0.25">
      <c r="A211" s="30">
        <v>4.1161355953815884</v>
      </c>
      <c r="E211"/>
    </row>
    <row r="212" spans="1:5" x14ac:dyDescent="0.25">
      <c r="A212" s="30">
        <v>3.9201291384586554</v>
      </c>
      <c r="E212"/>
    </row>
    <row r="213" spans="1:5" x14ac:dyDescent="0.25">
      <c r="A213" s="30">
        <v>3.7334563223415764</v>
      </c>
      <c r="E213"/>
    </row>
    <row r="214" spans="1:5" x14ac:dyDescent="0.25">
      <c r="A214" s="30">
        <v>3.5556726879443583</v>
      </c>
      <c r="E214"/>
    </row>
    <row r="215" spans="1:5" x14ac:dyDescent="0.25">
      <c r="A215" s="30">
        <v>3.3863549408993889</v>
      </c>
      <c r="E215"/>
    </row>
    <row r="216" spans="1:5" x14ac:dyDescent="0.25">
      <c r="A216" s="30">
        <v>3.2250999437137038</v>
      </c>
      <c r="E216"/>
    </row>
    <row r="217" spans="1:5" x14ac:dyDescent="0.25">
      <c r="A217" s="30">
        <v>3.0715237559178128</v>
      </c>
      <c r="E217"/>
    </row>
    <row r="218" spans="1:5" x14ac:dyDescent="0.25">
      <c r="A218" s="30">
        <v>2.9252607199217264</v>
      </c>
      <c r="E218"/>
    </row>
    <row r="219" spans="1:5" x14ac:dyDescent="0.25">
      <c r="A219" s="30">
        <v>2.7859625904016441</v>
      </c>
      <c r="E219"/>
    </row>
    <row r="220" spans="1:5" x14ac:dyDescent="0.25">
      <c r="A220" s="30">
        <v>2.6532977051444226</v>
      </c>
      <c r="E220"/>
    </row>
    <row r="221" spans="1:5" x14ac:dyDescent="0.25">
      <c r="A221" s="30">
        <v>2.5269501953756404</v>
      </c>
      <c r="E221"/>
    </row>
    <row r="222" spans="1:5" x14ac:dyDescent="0.25">
      <c r="A222" s="30">
        <v>2.4066192336910861</v>
      </c>
      <c r="E222"/>
    </row>
    <row r="223" spans="1:5" x14ac:dyDescent="0.25">
      <c r="A223" s="30">
        <v>2.2920183178010345</v>
      </c>
      <c r="E223"/>
    </row>
    <row r="224" spans="1:5" x14ac:dyDescent="0.25">
      <c r="A224" s="30">
        <v>2.1828745883819374</v>
      </c>
      <c r="E224"/>
    </row>
    <row r="225" spans="1:44" x14ac:dyDescent="0.25">
      <c r="A225" s="30">
        <v>2.0789281794113688</v>
      </c>
      <c r="E225"/>
    </row>
    <row r="226" spans="1:44" x14ac:dyDescent="0.25">
      <c r="A226" s="30">
        <v>1.9799315994393987</v>
      </c>
      <c r="E226"/>
    </row>
    <row r="227" spans="1:44" x14ac:dyDescent="0.25">
      <c r="A227" s="30">
        <v>1.8856491423232367</v>
      </c>
      <c r="E227"/>
    </row>
    <row r="228" spans="1:44" x14ac:dyDescent="0.25">
      <c r="A228" s="30">
        <v>1.7958563260221301</v>
      </c>
      <c r="C228" s="7"/>
      <c r="D228"/>
      <c r="E228"/>
    </row>
    <row r="229" spans="1:44" x14ac:dyDescent="0.25">
      <c r="A229" s="30">
        <v>1.7103393581163142</v>
      </c>
      <c r="E229"/>
    </row>
    <row r="230" spans="1:44" x14ac:dyDescent="0.25">
      <c r="A230" s="30">
        <v>1.628894626777442</v>
      </c>
      <c r="E230"/>
    </row>
    <row r="231" spans="1:44" x14ac:dyDescent="0.25">
      <c r="A231" s="30">
        <v>1.5513282159785162</v>
      </c>
      <c r="C231"/>
      <c r="D231"/>
      <c r="E231"/>
    </row>
    <row r="232" spans="1:44" x14ac:dyDescent="0.25">
      <c r="A232" s="30">
        <v>1.477455443789063</v>
      </c>
      <c r="E232"/>
    </row>
    <row r="233" spans="1:44" x14ac:dyDescent="0.25">
      <c r="A233" s="30">
        <v>1.4071004226562505</v>
      </c>
      <c r="E233"/>
    </row>
    <row r="234" spans="1:44" x14ac:dyDescent="0.25">
      <c r="A234" s="30">
        <v>1.3400956406250004</v>
      </c>
      <c r="E234"/>
    </row>
    <row r="235" spans="1:44" x14ac:dyDescent="0.25">
      <c r="A235" s="30">
        <v>1.2762815625000004</v>
      </c>
      <c r="C235"/>
      <c r="E235"/>
    </row>
    <row r="236" spans="1:44" x14ac:dyDescent="0.25">
      <c r="A236" s="30">
        <v>1.2155062500000002</v>
      </c>
      <c r="E236"/>
    </row>
    <row r="237" spans="1:44" x14ac:dyDescent="0.25">
      <c r="A237" s="30">
        <v>1.1576249999999999</v>
      </c>
      <c r="C237" s="1" t="str">
        <f>IF(C234=$S$1,IF(D231&lt;(C228*0.952380952380952),$S$1,IF(C231&gt;(C228*1.157625),$U$1,"")),"")</f>
        <v/>
      </c>
      <c r="D237" s="1" t="str">
        <f>IF(C234=$U$1,IF(C231&gt;(C228*1.05),$U$1,IF(D231&lt;(C228*0.863837598531476),$S$1,"")),"")</f>
        <v/>
      </c>
      <c r="E237"/>
      <c r="AG237" s="27" t="s">
        <v>8</v>
      </c>
      <c r="AI237" s="27" t="s">
        <v>8</v>
      </c>
    </row>
    <row r="238" spans="1:44" x14ac:dyDescent="0.25">
      <c r="A238" s="30">
        <v>1.1025</v>
      </c>
      <c r="E238"/>
      <c r="AG238" s="27" t="s">
        <v>8</v>
      </c>
      <c r="AH238" s="27" t="s">
        <v>7</v>
      </c>
      <c r="AI238" s="27" t="s">
        <v>8</v>
      </c>
      <c r="AJ238" s="27" t="s">
        <v>7</v>
      </c>
      <c r="AQ238" s="27" t="s">
        <v>8</v>
      </c>
    </row>
    <row r="239" spans="1:44" x14ac:dyDescent="0.25">
      <c r="A239" s="30">
        <v>1.05</v>
      </c>
      <c r="E239"/>
      <c r="AG239" s="27" t="s">
        <v>8</v>
      </c>
      <c r="AH239" s="27" t="s">
        <v>7</v>
      </c>
      <c r="AI239" s="27" t="s">
        <v>8</v>
      </c>
      <c r="AJ239" s="27" t="s">
        <v>7</v>
      </c>
      <c r="AQ239" s="27" t="s">
        <v>8</v>
      </c>
      <c r="AR239" s="27" t="s">
        <v>7</v>
      </c>
    </row>
    <row r="240" spans="1:44" x14ac:dyDescent="0.25">
      <c r="A240" s="30">
        <v>1</v>
      </c>
      <c r="E240" s="29" t="s">
        <v>8</v>
      </c>
      <c r="AG240" s="27" t="s">
        <v>8</v>
      </c>
      <c r="AH240" s="27" t="s">
        <v>7</v>
      </c>
      <c r="AI240" s="27" t="s">
        <v>8</v>
      </c>
      <c r="AJ240" s="27" t="s">
        <v>7</v>
      </c>
      <c r="AQ240" s="27" t="s">
        <v>8</v>
      </c>
      <c r="AR240" s="27" t="s">
        <v>7</v>
      </c>
    </row>
    <row r="241" spans="1:56" x14ac:dyDescent="0.25">
      <c r="A241" s="30">
        <v>0.952380952380952</v>
      </c>
      <c r="B241"/>
      <c r="C241"/>
      <c r="D241"/>
      <c r="E241"/>
      <c r="F241" s="27" t="s">
        <v>7</v>
      </c>
      <c r="AG241" s="27" t="s">
        <v>8</v>
      </c>
      <c r="AH241" s="27" t="s">
        <v>7</v>
      </c>
      <c r="AI241" s="27" t="s">
        <v>8</v>
      </c>
      <c r="AJ241" s="27" t="s">
        <v>7</v>
      </c>
      <c r="AQ241" s="27" t="s">
        <v>8</v>
      </c>
      <c r="AR241" s="27" t="s">
        <v>7</v>
      </c>
    </row>
    <row r="242" spans="1:56" x14ac:dyDescent="0.25">
      <c r="A242" s="30">
        <v>0.90702947845804915</v>
      </c>
      <c r="B242"/>
      <c r="C242"/>
      <c r="D242"/>
      <c r="E242"/>
      <c r="F242" s="27" t="s">
        <v>7</v>
      </c>
      <c r="AG242" s="27" t="s">
        <v>8</v>
      </c>
      <c r="AH242" s="27" t="s">
        <v>7</v>
      </c>
      <c r="AI242" s="27" t="s">
        <v>8</v>
      </c>
      <c r="AJ242" s="27" t="s">
        <v>7</v>
      </c>
      <c r="AQ242" s="27" t="s">
        <v>8</v>
      </c>
      <c r="AR242" s="27" t="s">
        <v>7</v>
      </c>
      <c r="AU242" s="27" t="s">
        <v>8</v>
      </c>
      <c r="BA242" s="27" t="s">
        <v>8</v>
      </c>
    </row>
    <row r="243" spans="1:56" x14ac:dyDescent="0.25">
      <c r="A243" s="30">
        <v>0.86383759853147501</v>
      </c>
      <c r="B243"/>
      <c r="C243"/>
      <c r="D243"/>
      <c r="E243"/>
      <c r="F243" s="27" t="s">
        <v>7</v>
      </c>
      <c r="AG243" s="27" t="s">
        <v>8</v>
      </c>
      <c r="AH243" s="27" t="s">
        <v>7</v>
      </c>
      <c r="AI243" s="27" t="s">
        <v>8</v>
      </c>
      <c r="AJ243" s="27" t="s">
        <v>7</v>
      </c>
      <c r="AQ243" s="27" t="s">
        <v>8</v>
      </c>
      <c r="AR243" s="27" t="s">
        <v>7</v>
      </c>
      <c r="AU243" s="27" t="s">
        <v>8</v>
      </c>
      <c r="AV243" s="27" t="s">
        <v>7</v>
      </c>
      <c r="BA243" s="27" t="s">
        <v>8</v>
      </c>
      <c r="BB243" s="27" t="s">
        <v>7</v>
      </c>
    </row>
    <row r="244" spans="1:56" x14ac:dyDescent="0.25">
      <c r="A244" s="30">
        <v>0.82270247479188063</v>
      </c>
      <c r="B244"/>
      <c r="C244"/>
      <c r="D244"/>
      <c r="E244"/>
      <c r="F244" s="27" t="s">
        <v>7</v>
      </c>
      <c r="AG244" s="27" t="s">
        <v>8</v>
      </c>
      <c r="AH244" s="27" t="s">
        <v>7</v>
      </c>
      <c r="AI244" s="27" t="s">
        <v>8</v>
      </c>
      <c r="AJ244" s="27" t="s">
        <v>7</v>
      </c>
      <c r="AK244" s="27" t="s">
        <v>8</v>
      </c>
      <c r="AM244" s="27" t="s">
        <v>8</v>
      </c>
      <c r="AQ244" s="27" t="s">
        <v>8</v>
      </c>
      <c r="AR244" s="27" t="s">
        <v>7</v>
      </c>
      <c r="AS244" s="27" t="s">
        <v>8</v>
      </c>
      <c r="AU244" s="27" t="s">
        <v>8</v>
      </c>
      <c r="AV244" s="27" t="s">
        <v>7</v>
      </c>
      <c r="BA244" s="27" t="s">
        <v>8</v>
      </c>
      <c r="BB244" s="27" t="s">
        <v>7</v>
      </c>
    </row>
    <row r="245" spans="1:56" x14ac:dyDescent="0.25">
      <c r="A245" s="30">
        <v>0.78352616646845741</v>
      </c>
      <c r="B245"/>
      <c r="C245"/>
      <c r="D245"/>
      <c r="E245"/>
      <c r="F245" s="27" t="s">
        <v>7</v>
      </c>
      <c r="AG245" s="27" t="s">
        <v>8</v>
      </c>
      <c r="AH245" s="27" t="s">
        <v>7</v>
      </c>
      <c r="AI245" s="27" t="s">
        <v>8</v>
      </c>
      <c r="AJ245" s="27" t="s">
        <v>7</v>
      </c>
      <c r="AK245" s="27" t="s">
        <v>8</v>
      </c>
      <c r="AL245" s="27" t="s">
        <v>7</v>
      </c>
      <c r="AM245" s="27" t="s">
        <v>8</v>
      </c>
      <c r="AN245" s="27" t="s">
        <v>7</v>
      </c>
      <c r="AO245" s="27" t="s">
        <v>8</v>
      </c>
      <c r="AQ245" s="27" t="s">
        <v>8</v>
      </c>
      <c r="AR245" s="27" t="s">
        <v>7</v>
      </c>
      <c r="AS245" s="27" t="s">
        <v>8</v>
      </c>
      <c r="AT245" s="27" t="s">
        <v>7</v>
      </c>
      <c r="AU245" s="27" t="s">
        <v>8</v>
      </c>
      <c r="AV245" s="27" t="s">
        <v>7</v>
      </c>
      <c r="BA245" s="27" t="s">
        <v>8</v>
      </c>
      <c r="BB245" s="27" t="s">
        <v>7</v>
      </c>
    </row>
    <row r="246" spans="1:56" x14ac:dyDescent="0.25">
      <c r="A246" s="30">
        <v>0.74621539663662584</v>
      </c>
      <c r="B246"/>
      <c r="C246"/>
      <c r="D246"/>
      <c r="E246"/>
      <c r="F246" s="27" t="s">
        <v>7</v>
      </c>
      <c r="AG246" s="27" t="s">
        <v>8</v>
      </c>
      <c r="AH246" s="27" t="s">
        <v>7</v>
      </c>
      <c r="AI246" s="27" t="s">
        <v>8</v>
      </c>
      <c r="AJ246" s="27" t="s">
        <v>7</v>
      </c>
      <c r="AK246" s="27" t="s">
        <v>8</v>
      </c>
      <c r="AL246" s="27" t="s">
        <v>7</v>
      </c>
      <c r="AM246" s="27" t="s">
        <v>8</v>
      </c>
      <c r="AN246" s="27" t="s">
        <v>7</v>
      </c>
      <c r="AO246" s="27" t="s">
        <v>8</v>
      </c>
      <c r="AP246" s="27" t="s">
        <v>7</v>
      </c>
      <c r="AQ246" s="27" t="s">
        <v>8</v>
      </c>
      <c r="AR246" s="27" t="s">
        <v>7</v>
      </c>
      <c r="AS246" s="27" t="s">
        <v>8</v>
      </c>
      <c r="AT246" s="27" t="s">
        <v>7</v>
      </c>
      <c r="AU246" s="27" t="s">
        <v>8</v>
      </c>
      <c r="AV246" s="27" t="s">
        <v>7</v>
      </c>
      <c r="AW246" s="27" t="s">
        <v>8</v>
      </c>
      <c r="AY246" s="27" t="s">
        <v>8</v>
      </c>
      <c r="BA246" s="27" t="s">
        <v>8</v>
      </c>
      <c r="BB246" s="27" t="s">
        <v>7</v>
      </c>
    </row>
    <row r="247" spans="1:56" x14ac:dyDescent="0.25">
      <c r="A247" s="30">
        <v>0.71068133013011958</v>
      </c>
      <c r="B247"/>
      <c r="C247"/>
      <c r="D247"/>
      <c r="E247"/>
      <c r="F247" s="27" t="s">
        <v>7</v>
      </c>
      <c r="AG247" s="27" t="s">
        <v>8</v>
      </c>
      <c r="AH247" s="27" t="s">
        <v>7</v>
      </c>
      <c r="AI247" s="27" t="s">
        <v>8</v>
      </c>
      <c r="AJ247" s="27" t="s">
        <v>7</v>
      </c>
      <c r="AL247" s="27" t="s">
        <v>7</v>
      </c>
      <c r="AM247" s="27" t="s">
        <v>8</v>
      </c>
      <c r="AN247" s="27" t="s">
        <v>7</v>
      </c>
      <c r="AO247" s="27" t="s">
        <v>8</v>
      </c>
      <c r="AP247" s="27" t="s">
        <v>7</v>
      </c>
      <c r="AQ247" s="27" t="s">
        <v>8</v>
      </c>
      <c r="AR247" s="27" t="s">
        <v>7</v>
      </c>
      <c r="AS247" s="27" t="s">
        <v>8</v>
      </c>
      <c r="AT247" s="27" t="s">
        <v>7</v>
      </c>
      <c r="AV247" s="27" t="s">
        <v>7</v>
      </c>
      <c r="AW247" s="27" t="s">
        <v>8</v>
      </c>
      <c r="AX247" s="27" t="s">
        <v>7</v>
      </c>
      <c r="AY247" s="27" t="s">
        <v>8</v>
      </c>
      <c r="AZ247" s="27" t="s">
        <v>7</v>
      </c>
      <c r="BA247" s="27" t="s">
        <v>8</v>
      </c>
      <c r="BB247" s="27" t="s">
        <v>7</v>
      </c>
    </row>
    <row r="248" spans="1:56" x14ac:dyDescent="0.25">
      <c r="A248" s="30">
        <v>0.676839362028685</v>
      </c>
      <c r="B248"/>
      <c r="C248"/>
      <c r="D248"/>
      <c r="E248"/>
      <c r="F248" s="27" t="s">
        <v>7</v>
      </c>
      <c r="AG248" s="27" t="s">
        <v>8</v>
      </c>
      <c r="AH248" s="27" t="s">
        <v>7</v>
      </c>
      <c r="AL248" s="27" t="s">
        <v>7</v>
      </c>
      <c r="AM248" s="27" t="s">
        <v>8</v>
      </c>
      <c r="AN248" s="27" t="s">
        <v>7</v>
      </c>
      <c r="AP248" s="27" t="s">
        <v>7</v>
      </c>
      <c r="AQ248" s="27" t="s">
        <v>8</v>
      </c>
      <c r="AR248" s="27" t="s">
        <v>7</v>
      </c>
      <c r="AS248" s="27" t="s">
        <v>8</v>
      </c>
      <c r="AV248" s="27" t="s">
        <v>7</v>
      </c>
      <c r="AW248" s="27" t="s">
        <v>8</v>
      </c>
      <c r="AX248" s="27" t="s">
        <v>7</v>
      </c>
      <c r="AY248" s="27" t="s">
        <v>8</v>
      </c>
      <c r="AZ248" s="27" t="s">
        <v>7</v>
      </c>
      <c r="BA248" s="27" t="s">
        <v>8</v>
      </c>
      <c r="BB248" s="27" t="s">
        <v>7</v>
      </c>
      <c r="BC248" s="27" t="s">
        <v>8</v>
      </c>
    </row>
    <row r="249" spans="1:56" x14ac:dyDescent="0.25">
      <c r="A249" s="30">
        <v>0.64460891621779492</v>
      </c>
      <c r="B249"/>
      <c r="C249"/>
      <c r="D249"/>
      <c r="E249"/>
      <c r="F249" s="27" t="s">
        <v>7</v>
      </c>
      <c r="W249" s="27" t="s">
        <v>8</v>
      </c>
      <c r="AG249" s="27" t="s">
        <v>8</v>
      </c>
      <c r="AL249" s="27" t="s">
        <v>7</v>
      </c>
      <c r="AM249" s="27" t="s">
        <v>8</v>
      </c>
      <c r="AP249" s="27" t="s">
        <v>7</v>
      </c>
      <c r="AQ249" s="27" t="s">
        <v>8</v>
      </c>
      <c r="AR249" s="27" t="s">
        <v>7</v>
      </c>
      <c r="AV249" s="27" t="s">
        <v>7</v>
      </c>
      <c r="AW249" s="27" t="s">
        <v>8</v>
      </c>
      <c r="AX249" s="27" t="s">
        <v>7</v>
      </c>
      <c r="AY249" s="27" t="s">
        <v>8</v>
      </c>
      <c r="AZ249" s="27" t="s">
        <v>7</v>
      </c>
      <c r="BA249" s="27" t="s">
        <v>8</v>
      </c>
      <c r="BB249" s="27" t="s">
        <v>7</v>
      </c>
      <c r="BC249" s="27" t="s">
        <v>8</v>
      </c>
      <c r="BD249" s="27" t="s">
        <v>7</v>
      </c>
    </row>
    <row r="250" spans="1:56" x14ac:dyDescent="0.25">
      <c r="A250" s="30">
        <v>0.61391325354075688</v>
      </c>
      <c r="B250"/>
      <c r="C250"/>
      <c r="D250"/>
      <c r="E250"/>
      <c r="F250" s="27" t="s">
        <v>7</v>
      </c>
      <c r="W250" s="27" t="s">
        <v>8</v>
      </c>
      <c r="X250" s="27" t="s">
        <v>7</v>
      </c>
      <c r="AG250" s="27" t="s">
        <v>8</v>
      </c>
      <c r="AL250" s="27" t="s">
        <v>7</v>
      </c>
      <c r="AP250" s="27" t="s">
        <v>7</v>
      </c>
      <c r="AQ250" s="27" t="s">
        <v>8</v>
      </c>
      <c r="AV250" s="27" t="s">
        <v>7</v>
      </c>
      <c r="AW250" s="27" t="s">
        <v>8</v>
      </c>
      <c r="AX250" s="27" t="s">
        <v>7</v>
      </c>
      <c r="AY250" s="27" t="s">
        <v>8</v>
      </c>
      <c r="AZ250" s="27" t="s">
        <v>7</v>
      </c>
      <c r="BB250" s="27" t="s">
        <v>7</v>
      </c>
      <c r="BC250" s="27" t="s">
        <v>8</v>
      </c>
      <c r="BD250" s="27" t="s">
        <v>7</v>
      </c>
    </row>
    <row r="251" spans="1:56" x14ac:dyDescent="0.25">
      <c r="A251" s="30">
        <v>0.58467928908643485</v>
      </c>
      <c r="B251"/>
      <c r="C251"/>
      <c r="D251"/>
      <c r="E251"/>
      <c r="F251" s="27" t="s">
        <v>7</v>
      </c>
      <c r="W251" s="27" t="s">
        <v>8</v>
      </c>
      <c r="X251" s="27" t="s">
        <v>7</v>
      </c>
      <c r="AG251" s="27" t="s">
        <v>8</v>
      </c>
      <c r="AP251" s="27" t="s">
        <v>7</v>
      </c>
      <c r="AV251" s="27" t="s">
        <v>7</v>
      </c>
      <c r="AX251" s="27" t="s">
        <v>7</v>
      </c>
      <c r="BB251" s="27" t="s">
        <v>7</v>
      </c>
      <c r="BC251" s="27" t="s">
        <v>8</v>
      </c>
      <c r="BD251" s="27" t="s">
        <v>7</v>
      </c>
    </row>
    <row r="252" spans="1:56" x14ac:dyDescent="0.25">
      <c r="A252" s="30">
        <v>0.55683741817755672</v>
      </c>
      <c r="B252"/>
      <c r="C252"/>
      <c r="D252"/>
      <c r="E252"/>
      <c r="F252" s="27" t="s">
        <v>7</v>
      </c>
      <c r="W252" s="27" t="s">
        <v>8</v>
      </c>
      <c r="X252" s="27" t="s">
        <v>7</v>
      </c>
      <c r="AG252" s="27" t="s">
        <v>8</v>
      </c>
      <c r="BB252" s="27" t="s">
        <v>7</v>
      </c>
      <c r="BD252" s="27" t="s">
        <v>7</v>
      </c>
    </row>
    <row r="253" spans="1:56" x14ac:dyDescent="0.25">
      <c r="A253" s="30">
        <v>0.53032135064529184</v>
      </c>
      <c r="B253"/>
      <c r="C253"/>
      <c r="D253"/>
      <c r="E253"/>
      <c r="F253" s="27" t="s">
        <v>7</v>
      </c>
      <c r="W253" s="27" t="s">
        <v>8</v>
      </c>
      <c r="X253" s="27" t="s">
        <v>7</v>
      </c>
      <c r="AA253" s="27" t="s">
        <v>8</v>
      </c>
      <c r="AG253" s="27" t="s">
        <v>8</v>
      </c>
      <c r="BD253" s="27" t="s">
        <v>7</v>
      </c>
    </row>
    <row r="254" spans="1:56" x14ac:dyDescent="0.25">
      <c r="A254" s="30">
        <v>0.50506795299551588</v>
      </c>
      <c r="B254"/>
      <c r="C254"/>
      <c r="D254"/>
      <c r="E254"/>
      <c r="F254" s="27" t="s">
        <v>7</v>
      </c>
      <c r="W254" s="27" t="s">
        <v>8</v>
      </c>
      <c r="X254" s="27" t="s">
        <v>7</v>
      </c>
      <c r="AA254" s="27" t="s">
        <v>8</v>
      </c>
      <c r="AB254" s="27" t="s">
        <v>7</v>
      </c>
      <c r="AG254" s="27" t="s">
        <v>8</v>
      </c>
      <c r="BD254" s="27" t="s">
        <v>7</v>
      </c>
    </row>
    <row r="255" spans="1:56" x14ac:dyDescent="0.25">
      <c r="A255" s="30">
        <v>0.48101709809096732</v>
      </c>
      <c r="E255"/>
      <c r="F255" s="27" t="s">
        <v>7</v>
      </c>
      <c r="W255" s="27" t="s">
        <v>8</v>
      </c>
      <c r="X255" s="27" t="s">
        <v>7</v>
      </c>
      <c r="Y255" s="27" t="s">
        <v>8</v>
      </c>
      <c r="AA255" s="27" t="s">
        <v>8</v>
      </c>
      <c r="AB255" s="27" t="s">
        <v>7</v>
      </c>
      <c r="AG255" s="27" t="s">
        <v>8</v>
      </c>
      <c r="BD255" s="27" t="s">
        <v>7</v>
      </c>
    </row>
    <row r="256" spans="1:56" x14ac:dyDescent="0.25">
      <c r="A256" s="30">
        <v>0.45811152199139726</v>
      </c>
      <c r="E256"/>
      <c r="F256" s="27" t="s">
        <v>7</v>
      </c>
      <c r="W256" s="27" t="s">
        <v>8</v>
      </c>
      <c r="X256" s="27" t="s">
        <v>7</v>
      </c>
      <c r="Y256" s="27" t="s">
        <v>8</v>
      </c>
      <c r="Z256" s="27" t="s">
        <v>7</v>
      </c>
      <c r="AA256" s="27" t="s">
        <v>8</v>
      </c>
      <c r="AB256" s="27" t="s">
        <v>7</v>
      </c>
      <c r="AG256" s="27" t="s">
        <v>8</v>
      </c>
      <c r="BD256" s="27" t="s">
        <v>7</v>
      </c>
    </row>
    <row r="257" spans="1:59" x14ac:dyDescent="0.25">
      <c r="A257" s="30">
        <v>0.43629668761085438</v>
      </c>
      <c r="B257"/>
      <c r="C257"/>
      <c r="D257"/>
      <c r="E257"/>
      <c r="F257" s="27" t="s">
        <v>7</v>
      </c>
      <c r="U257" s="27" t="s">
        <v>8</v>
      </c>
      <c r="W257" s="27" t="s">
        <v>8</v>
      </c>
      <c r="X257" s="27" t="s">
        <v>7</v>
      </c>
      <c r="Y257" s="27" t="s">
        <v>8</v>
      </c>
      <c r="Z257" s="27" t="s">
        <v>7</v>
      </c>
      <c r="AA257" s="27" t="s">
        <v>8</v>
      </c>
      <c r="AB257" s="27" t="s">
        <v>7</v>
      </c>
      <c r="AG257" s="27" t="s">
        <v>8</v>
      </c>
      <c r="BD257" s="27" t="s">
        <v>7</v>
      </c>
      <c r="BE257" s="27" t="s">
        <v>8</v>
      </c>
      <c r="BG257" s="27" t="s">
        <v>8</v>
      </c>
    </row>
    <row r="258" spans="1:59" x14ac:dyDescent="0.25">
      <c r="A258" s="30">
        <v>0.41552065486748019</v>
      </c>
      <c r="B258"/>
      <c r="C258"/>
      <c r="D258"/>
      <c r="E258"/>
      <c r="F258" s="27" t="s">
        <v>7</v>
      </c>
      <c r="S258" s="27" t="s">
        <v>8</v>
      </c>
      <c r="U258" s="27" t="s">
        <v>8</v>
      </c>
      <c r="V258" s="27" t="s">
        <v>7</v>
      </c>
      <c r="W258" s="27" t="s">
        <v>8</v>
      </c>
      <c r="X258" s="27" t="s">
        <v>7</v>
      </c>
      <c r="Y258" s="27" t="s">
        <v>8</v>
      </c>
      <c r="Z258" s="27" t="s">
        <v>7</v>
      </c>
      <c r="AA258" s="27" t="s">
        <v>8</v>
      </c>
      <c r="AB258" s="27" t="s">
        <v>7</v>
      </c>
      <c r="AG258" s="27" t="s">
        <v>8</v>
      </c>
      <c r="BD258" s="27" t="s">
        <v>7</v>
      </c>
      <c r="BE258" s="27" t="s">
        <v>8</v>
      </c>
      <c r="BF258" s="27" t="s">
        <v>7</v>
      </c>
      <c r="BG258" s="27" t="s">
        <v>8</v>
      </c>
    </row>
    <row r="259" spans="1:59" x14ac:dyDescent="0.25">
      <c r="A259" s="30">
        <v>0.39573395701664765</v>
      </c>
      <c r="B259"/>
      <c r="C259"/>
      <c r="D259"/>
      <c r="E259"/>
      <c r="F259" s="27" t="s">
        <v>7</v>
      </c>
      <c r="S259" s="27" t="s">
        <v>8</v>
      </c>
      <c r="T259" s="27" t="s">
        <v>7</v>
      </c>
      <c r="U259" s="27" t="s">
        <v>8</v>
      </c>
      <c r="V259" s="27" t="s">
        <v>7</v>
      </c>
      <c r="W259" s="27" t="s">
        <v>8</v>
      </c>
      <c r="X259" s="27" t="s">
        <v>7</v>
      </c>
      <c r="Z259" s="27" t="s">
        <v>7</v>
      </c>
      <c r="AB259" s="27" t="s">
        <v>7</v>
      </c>
      <c r="AC259" s="27" t="s">
        <v>8</v>
      </c>
      <c r="AE259" s="27" t="s">
        <v>8</v>
      </c>
      <c r="AG259" s="27" t="s">
        <v>8</v>
      </c>
      <c r="BD259" s="27" t="s">
        <v>7</v>
      </c>
      <c r="BE259" s="27" t="s">
        <v>8</v>
      </c>
      <c r="BF259" s="27" t="s">
        <v>7</v>
      </c>
      <c r="BG259" s="27" t="s">
        <v>8</v>
      </c>
    </row>
    <row r="260" spans="1:59" x14ac:dyDescent="0.25">
      <c r="A260" s="30">
        <v>0.37688948287299762</v>
      </c>
      <c r="B260"/>
      <c r="C260"/>
      <c r="D260"/>
      <c r="E260"/>
      <c r="F260" s="27" t="s">
        <v>7</v>
      </c>
      <c r="K260" s="27" t="s">
        <v>8</v>
      </c>
      <c r="Q260" s="27" t="s">
        <v>8</v>
      </c>
      <c r="S260" s="27" t="s">
        <v>8</v>
      </c>
      <c r="T260" s="27" t="s">
        <v>7</v>
      </c>
      <c r="U260" s="27" t="s">
        <v>8</v>
      </c>
      <c r="V260" s="27" t="s">
        <v>7</v>
      </c>
      <c r="Y260" s="33"/>
      <c r="AB260" s="27" t="s">
        <v>7</v>
      </c>
      <c r="AC260" s="27" t="s">
        <v>8</v>
      </c>
      <c r="AD260" s="27" t="s">
        <v>7</v>
      </c>
      <c r="AE260" s="27" t="s">
        <v>8</v>
      </c>
      <c r="AF260" s="27" t="s">
        <v>7</v>
      </c>
      <c r="AG260" s="27" t="s">
        <v>8</v>
      </c>
      <c r="BD260" s="27" t="s">
        <v>7</v>
      </c>
      <c r="BF260" s="27" t="s">
        <v>7</v>
      </c>
      <c r="BG260" s="27" t="s">
        <v>8</v>
      </c>
    </row>
    <row r="261" spans="1:59" x14ac:dyDescent="0.25">
      <c r="A261" s="30">
        <v>0.35894236464094997</v>
      </c>
      <c r="B261"/>
      <c r="C261"/>
      <c r="D261"/>
      <c r="E261"/>
      <c r="F261" s="27" t="s">
        <v>7</v>
      </c>
      <c r="K261" s="27" t="s">
        <v>8</v>
      </c>
      <c r="L261" s="27" t="s">
        <v>7</v>
      </c>
      <c r="Q261" s="27" t="s">
        <v>8</v>
      </c>
      <c r="R261" s="27" t="s">
        <v>7</v>
      </c>
      <c r="S261" s="27" t="s">
        <v>8</v>
      </c>
      <c r="T261" s="27" t="s">
        <v>7</v>
      </c>
      <c r="U261" s="27" t="s">
        <v>8</v>
      </c>
      <c r="X261" s="33"/>
      <c r="AB261" s="27" t="s">
        <v>7</v>
      </c>
      <c r="AC261" s="27" t="s">
        <v>8</v>
      </c>
      <c r="AD261" s="27" t="s">
        <v>7</v>
      </c>
      <c r="AE261" s="27" t="s">
        <v>8</v>
      </c>
      <c r="AF261" s="27" t="s">
        <v>7</v>
      </c>
      <c r="AG261" s="27" t="s">
        <v>8</v>
      </c>
      <c r="BF261" s="27" t="s">
        <v>7</v>
      </c>
    </row>
    <row r="262" spans="1:59" x14ac:dyDescent="0.25">
      <c r="A262" s="30">
        <v>0.34184987108661891</v>
      </c>
      <c r="B262"/>
      <c r="C262"/>
      <c r="D262"/>
      <c r="E262"/>
      <c r="F262" s="27" t="s">
        <v>7</v>
      </c>
      <c r="K262" s="27" t="s">
        <v>8</v>
      </c>
      <c r="L262" s="27" t="s">
        <v>7</v>
      </c>
      <c r="O262" s="32" t="s">
        <v>8</v>
      </c>
      <c r="Q262" s="27" t="s">
        <v>8</v>
      </c>
      <c r="R262" s="27" t="s">
        <v>7</v>
      </c>
      <c r="S262" s="27" t="s">
        <v>8</v>
      </c>
      <c r="T262" s="27" t="s">
        <v>7</v>
      </c>
      <c r="W262" s="33"/>
      <c r="AB262" s="27" t="s">
        <v>7</v>
      </c>
      <c r="AD262" s="27" t="s">
        <v>7</v>
      </c>
      <c r="AF262" s="27" t="s">
        <v>7</v>
      </c>
    </row>
    <row r="263" spans="1:59" x14ac:dyDescent="0.25">
      <c r="A263" s="30">
        <v>0.32557130579677979</v>
      </c>
      <c r="B263"/>
      <c r="C263"/>
      <c r="D263"/>
      <c r="E263"/>
      <c r="F263" s="27" t="s">
        <v>7</v>
      </c>
      <c r="I263" s="27" t="s">
        <v>8</v>
      </c>
      <c r="K263" s="27" t="s">
        <v>8</v>
      </c>
      <c r="L263" s="27" t="s">
        <v>7</v>
      </c>
      <c r="M263" s="27" t="s">
        <v>8</v>
      </c>
      <c r="O263" s="27" t="s">
        <v>8</v>
      </c>
      <c r="P263" s="27" t="s">
        <v>7</v>
      </c>
      <c r="Q263" s="27" t="s">
        <v>8</v>
      </c>
      <c r="R263" s="27" t="s">
        <v>7</v>
      </c>
      <c r="V263" s="33"/>
    </row>
    <row r="264" spans="1:59" x14ac:dyDescent="0.25">
      <c r="A264" s="30">
        <v>0.3100679102826473</v>
      </c>
      <c r="B264"/>
      <c r="C264"/>
      <c r="D264"/>
      <c r="E264"/>
      <c r="F264" s="27" t="s">
        <v>7</v>
      </c>
      <c r="G264" s="27" t="s">
        <v>8</v>
      </c>
      <c r="I264" s="27" t="s">
        <v>8</v>
      </c>
      <c r="J264" s="27" t="s">
        <v>7</v>
      </c>
      <c r="K264" s="27" t="s">
        <v>8</v>
      </c>
      <c r="L264" s="27" t="s">
        <v>7</v>
      </c>
      <c r="M264" s="27" t="s">
        <v>8</v>
      </c>
      <c r="N264" s="27" t="s">
        <v>7</v>
      </c>
      <c r="O264" s="27" t="s">
        <v>8</v>
      </c>
      <c r="P264" s="27" t="s">
        <v>7</v>
      </c>
      <c r="Q264" s="27" t="s">
        <v>8</v>
      </c>
      <c r="U264" s="33"/>
    </row>
    <row r="265" spans="1:59" x14ac:dyDescent="0.25">
      <c r="A265" s="30">
        <v>0.2953027716977592</v>
      </c>
      <c r="B265"/>
      <c r="C265"/>
      <c r="D265"/>
      <c r="E265"/>
      <c r="F265" s="27" t="s">
        <v>7</v>
      </c>
      <c r="G265" s="27" t="s">
        <v>8</v>
      </c>
      <c r="H265" s="27" t="s">
        <v>7</v>
      </c>
      <c r="I265" s="27" t="s">
        <v>8</v>
      </c>
      <c r="J265" s="27" t="s">
        <v>7</v>
      </c>
      <c r="K265" s="27" t="s">
        <v>8</v>
      </c>
      <c r="L265" s="27" t="s">
        <v>7</v>
      </c>
      <c r="M265" s="27" t="s">
        <v>8</v>
      </c>
      <c r="N265" s="27" t="s">
        <v>7</v>
      </c>
      <c r="O265" s="27" t="s">
        <v>8</v>
      </c>
      <c r="P265" s="27" t="s">
        <v>7</v>
      </c>
      <c r="Q265" s="27" t="s">
        <v>8</v>
      </c>
      <c r="T265" s="33"/>
    </row>
    <row r="266" spans="1:59" x14ac:dyDescent="0.25">
      <c r="A266" s="30">
        <v>0.28124073495024676</v>
      </c>
      <c r="B266"/>
      <c r="C266"/>
      <c r="D266"/>
      <c r="E266"/>
      <c r="F266" s="27" t="s">
        <v>7</v>
      </c>
      <c r="G266" s="27" t="s">
        <v>8</v>
      </c>
      <c r="H266" s="27" t="s">
        <v>7</v>
      </c>
      <c r="I266" s="27" t="s">
        <v>8</v>
      </c>
      <c r="J266" s="27" t="s">
        <v>7</v>
      </c>
      <c r="K266" s="27" t="s">
        <v>8</v>
      </c>
      <c r="L266" s="27" t="s">
        <v>7</v>
      </c>
      <c r="M266" s="27" t="s">
        <v>8</v>
      </c>
      <c r="N266" s="27" t="s">
        <v>7</v>
      </c>
      <c r="O266" s="27" t="s">
        <v>8</v>
      </c>
      <c r="P266" s="27" t="s">
        <v>7</v>
      </c>
      <c r="S266" s="33"/>
    </row>
    <row r="267" spans="1:59" x14ac:dyDescent="0.25">
      <c r="A267" s="30">
        <v>0.26784831900023492</v>
      </c>
      <c r="B267"/>
      <c r="C267"/>
      <c r="D267"/>
      <c r="E267"/>
      <c r="F267" s="27" t="s">
        <v>7</v>
      </c>
      <c r="G267" s="27" t="s">
        <v>8</v>
      </c>
      <c r="H267" s="27" t="s">
        <v>7</v>
      </c>
      <c r="I267" s="27" t="s">
        <v>8</v>
      </c>
      <c r="J267" s="27" t="s">
        <v>7</v>
      </c>
      <c r="K267" s="27" t="s">
        <v>8</v>
      </c>
      <c r="L267" s="27" t="s">
        <v>7</v>
      </c>
      <c r="N267" s="27" t="s">
        <v>7</v>
      </c>
      <c r="O267" s="27" t="s">
        <v>8</v>
      </c>
      <c r="R267" s="33"/>
    </row>
    <row r="268" spans="1:59" x14ac:dyDescent="0.25">
      <c r="A268" s="30">
        <v>0.25509363714308075</v>
      </c>
      <c r="B268"/>
      <c r="C268"/>
      <c r="D268"/>
      <c r="E268"/>
      <c r="F268" s="27" t="s">
        <v>7</v>
      </c>
      <c r="G268" s="27" t="s">
        <v>8</v>
      </c>
      <c r="H268" s="27" t="s">
        <v>7</v>
      </c>
      <c r="I268" s="27" t="s">
        <v>8</v>
      </c>
      <c r="J268" s="27" t="s">
        <v>7</v>
      </c>
      <c r="K268" s="27" t="s">
        <v>8</v>
      </c>
      <c r="N268" s="31" t="s">
        <v>7</v>
      </c>
      <c r="O268" s="27" t="s">
        <v>8</v>
      </c>
      <c r="Q268" s="33"/>
    </row>
    <row r="269" spans="1:59" x14ac:dyDescent="0.25">
      <c r="A269" s="30">
        <v>0.24294632108864825</v>
      </c>
      <c r="B269"/>
      <c r="C269"/>
      <c r="D269"/>
      <c r="E269"/>
      <c r="F269" s="27" t="s">
        <v>7</v>
      </c>
      <c r="H269" s="27" t="s">
        <v>7</v>
      </c>
      <c r="I269" s="27" t="s">
        <v>8</v>
      </c>
      <c r="J269" s="27" t="s">
        <v>7</v>
      </c>
      <c r="N269" s="27" t="s">
        <v>7</v>
      </c>
      <c r="O269" s="27" t="s">
        <v>8</v>
      </c>
      <c r="P269" s="33"/>
    </row>
    <row r="270" spans="1:59" x14ac:dyDescent="0.25">
      <c r="A270" s="30">
        <v>0.23137744865585538</v>
      </c>
      <c r="B270"/>
      <c r="C270"/>
      <c r="D270"/>
      <c r="E270"/>
      <c r="H270" s="27" t="s">
        <v>7</v>
      </c>
      <c r="N270" s="27" t="s">
        <v>7</v>
      </c>
      <c r="O270" s="33" t="s">
        <v>8</v>
      </c>
    </row>
    <row r="271" spans="1:59" x14ac:dyDescent="0.25">
      <c r="A271" s="30">
        <v>0.22035947491033836</v>
      </c>
      <c r="B271"/>
      <c r="C271"/>
      <c r="D271"/>
      <c r="E271"/>
      <c r="N271" s="33" t="s">
        <v>7</v>
      </c>
    </row>
    <row r="272" spans="1:59" x14ac:dyDescent="0.25">
      <c r="A272" s="30">
        <v>0.20986616658127455</v>
      </c>
      <c r="B272"/>
      <c r="C272"/>
      <c r="D272"/>
      <c r="E272"/>
    </row>
    <row r="273" spans="1:5" x14ac:dyDescent="0.25">
      <c r="A273" s="30">
        <v>0.19987253960121379</v>
      </c>
      <c r="B273"/>
      <c r="C273"/>
      <c r="D273"/>
      <c r="E273"/>
    </row>
    <row r="274" spans="1:5" x14ac:dyDescent="0.25">
      <c r="A274" s="30">
        <v>0.19035479962020352</v>
      </c>
      <c r="B274"/>
      <c r="C274"/>
      <c r="D274"/>
      <c r="E274"/>
    </row>
    <row r="275" spans="1:5" x14ac:dyDescent="0.25">
      <c r="A275" s="30">
        <v>0.18129028535257471</v>
      </c>
      <c r="B275"/>
      <c r="C275"/>
      <c r="D275"/>
      <c r="E275"/>
    </row>
    <row r="276" spans="1:5" x14ac:dyDescent="0.25">
      <c r="A276" s="30">
        <v>0.17265741462149967</v>
      </c>
      <c r="B276"/>
      <c r="C276"/>
      <c r="D276"/>
      <c r="E276"/>
    </row>
    <row r="277" spans="1:5" x14ac:dyDescent="0.25">
      <c r="A277" s="30">
        <v>0.16443563297285677</v>
      </c>
      <c r="B277"/>
      <c r="C277"/>
      <c r="D277"/>
      <c r="E277"/>
    </row>
    <row r="278" spans="1:5" x14ac:dyDescent="0.25">
      <c r="A278" s="30">
        <v>0.15660536473605399</v>
      </c>
      <c r="B278"/>
      <c r="C278"/>
      <c r="D278"/>
      <c r="E278"/>
    </row>
    <row r="279" spans="1:5" x14ac:dyDescent="0.25">
      <c r="A279" s="30">
        <v>0.14914796641528946</v>
      </c>
      <c r="B279"/>
      <c r="C279"/>
      <c r="D279"/>
      <c r="E279"/>
    </row>
    <row r="280" spans="1:5" x14ac:dyDescent="0.25">
      <c r="A280" s="30">
        <v>0.14204568230027562</v>
      </c>
      <c r="B280"/>
      <c r="C280"/>
      <c r="D280"/>
      <c r="E280"/>
    </row>
    <row r="281" spans="1:5" x14ac:dyDescent="0.25">
      <c r="A281" s="30">
        <v>0.13528160219073862</v>
      </c>
      <c r="B281"/>
      <c r="C281"/>
      <c r="D281"/>
      <c r="E281"/>
    </row>
    <row r="282" spans="1:5" x14ac:dyDescent="0.25">
      <c r="A282" s="30">
        <v>0.12883962113403674</v>
      </c>
      <c r="B282"/>
      <c r="C282"/>
      <c r="D282"/>
      <c r="E282"/>
    </row>
    <row r="283" spans="1:5" x14ac:dyDescent="0.25">
      <c r="A283" s="30">
        <v>0.12270440108003494</v>
      </c>
      <c r="B283"/>
      <c r="C283"/>
      <c r="D283"/>
      <c r="E283"/>
    </row>
    <row r="284" spans="1:5" x14ac:dyDescent="0.25">
      <c r="A284" s="30">
        <v>0.11686133436193799</v>
      </c>
      <c r="B284"/>
      <c r="C284"/>
      <c r="D284"/>
      <c r="E284"/>
    </row>
    <row r="285" spans="1:5" x14ac:dyDescent="0.25">
      <c r="A285" s="30">
        <v>0.11129650891613138</v>
      </c>
      <c r="B285"/>
      <c r="C285"/>
      <c r="D285"/>
      <c r="E285"/>
    </row>
    <row r="286" spans="1:5" x14ac:dyDescent="0.25">
      <c r="A286" s="30">
        <v>0.10599667515822032</v>
      </c>
      <c r="B286"/>
      <c r="C286"/>
      <c r="D286"/>
      <c r="E286"/>
    </row>
    <row r="287" spans="1:5" x14ac:dyDescent="0.25">
      <c r="A287" s="30">
        <v>0.10094921443640027</v>
      </c>
      <c r="B287"/>
      <c r="C287"/>
      <c r="D287"/>
      <c r="E287"/>
    </row>
    <row r="288" spans="1:5" x14ac:dyDescent="0.25">
      <c r="A288" s="30">
        <v>9.6142108987047836E-2</v>
      </c>
      <c r="B288"/>
      <c r="C288"/>
      <c r="D288"/>
      <c r="E288"/>
    </row>
    <row r="289" spans="1:5" x14ac:dyDescent="0.25">
      <c r="A289" s="30">
        <v>9.1563913320997906E-2</v>
      </c>
      <c r="B289"/>
      <c r="C289"/>
      <c r="D289"/>
      <c r="E289"/>
    </row>
    <row r="290" spans="1:5" x14ac:dyDescent="0.25">
      <c r="A290" s="30">
        <v>8.7203726972378923E-2</v>
      </c>
      <c r="B290"/>
      <c r="C290"/>
      <c r="D290"/>
      <c r="E290"/>
    </row>
    <row r="291" spans="1:5" x14ac:dyDescent="0.25">
      <c r="A291" s="30">
        <v>8.3051168545122747E-2</v>
      </c>
      <c r="B291"/>
      <c r="C291"/>
      <c r="D291"/>
      <c r="E291"/>
    </row>
    <row r="292" spans="1:5" x14ac:dyDescent="0.25">
      <c r="A292" s="30">
        <v>7.9096350995354961E-2</v>
      </c>
      <c r="B292"/>
      <c r="C292"/>
      <c r="D292"/>
      <c r="E292"/>
    </row>
    <row r="293" spans="1:5" x14ac:dyDescent="0.25">
      <c r="A293" s="30">
        <v>7.5329858090814217E-2</v>
      </c>
      <c r="B293"/>
      <c r="C293"/>
      <c r="D293"/>
      <c r="E293"/>
    </row>
    <row r="294" spans="1:5" x14ac:dyDescent="0.25">
      <c r="A294" s="30">
        <v>7.1742721991251604E-2</v>
      </c>
      <c r="B294"/>
      <c r="C294"/>
      <c r="D294"/>
      <c r="E294"/>
    </row>
    <row r="295" spans="1:5" x14ac:dyDescent="0.25">
      <c r="A295" s="30">
        <v>6.8326401896430078E-2</v>
      </c>
      <c r="B295"/>
      <c r="C295"/>
      <c r="D295"/>
      <c r="E295"/>
    </row>
    <row r="296" spans="1:5" x14ac:dyDescent="0.25">
      <c r="A296" s="30">
        <v>6.5072763710885759E-2</v>
      </c>
      <c r="B296"/>
      <c r="C296"/>
      <c r="D296"/>
      <c r="E296"/>
    </row>
    <row r="297" spans="1:5" x14ac:dyDescent="0.25">
      <c r="A297" s="30">
        <v>6.197406067703403E-2</v>
      </c>
      <c r="B297"/>
      <c r="C297"/>
      <c r="D297"/>
      <c r="E297"/>
    </row>
    <row r="298" spans="1:5" x14ac:dyDescent="0.25">
      <c r="A298" s="30">
        <v>5.9022914930508576E-2</v>
      </c>
      <c r="B298"/>
      <c r="C298"/>
      <c r="D298"/>
      <c r="E298"/>
    </row>
    <row r="299" spans="1:5" x14ac:dyDescent="0.25">
      <c r="A299" s="30">
        <v>5.6212299933817669E-2</v>
      </c>
      <c r="B299"/>
      <c r="C299"/>
      <c r="D299"/>
      <c r="E299"/>
    </row>
    <row r="300" spans="1:5" x14ac:dyDescent="0.25">
      <c r="A300" s="30">
        <v>5.3535523746492994E-2</v>
      </c>
      <c r="B300"/>
      <c r="C300"/>
      <c r="D300"/>
      <c r="E300"/>
    </row>
    <row r="301" spans="1:5" x14ac:dyDescent="0.25">
      <c r="A301" s="30">
        <v>5.0986213091898068E-2</v>
      </c>
      <c r="B301"/>
      <c r="C301"/>
      <c r="D301"/>
      <c r="E301"/>
    </row>
    <row r="302" spans="1:5" x14ac:dyDescent="0.25">
      <c r="A302" s="30">
        <v>4.8558298182760043E-2</v>
      </c>
      <c r="B302"/>
      <c r="C302"/>
      <c r="D302"/>
      <c r="E302"/>
    </row>
    <row r="303" spans="1:5" x14ac:dyDescent="0.25">
      <c r="A303" s="30">
        <v>4.6245998269295263E-2</v>
      </c>
      <c r="B303"/>
      <c r="C303"/>
      <c r="D303"/>
      <c r="E303"/>
    </row>
    <row r="304" spans="1:5" x14ac:dyDescent="0.25">
      <c r="A304" s="30">
        <v>4.4043807875519279E-2</v>
      </c>
      <c r="B304"/>
      <c r="C304"/>
      <c r="D304"/>
      <c r="E304"/>
    </row>
    <row r="305" spans="1:5" x14ac:dyDescent="0.25">
      <c r="A305" s="30">
        <v>4.1946483690970725E-2</v>
      </c>
      <c r="B305"/>
      <c r="C305"/>
      <c r="D305"/>
      <c r="E305"/>
    </row>
    <row r="306" spans="1:5" x14ac:dyDescent="0.25">
      <c r="A306" s="30">
        <v>3.9949032086638768E-2</v>
      </c>
      <c r="B306"/>
      <c r="C306"/>
      <c r="D306"/>
      <c r="E306"/>
    </row>
    <row r="307" spans="1:5" x14ac:dyDescent="0.25">
      <c r="A307" s="30">
        <v>3.8046697225370241E-2</v>
      </c>
      <c r="B307"/>
      <c r="C307"/>
      <c r="D307"/>
      <c r="E307"/>
    </row>
    <row r="308" spans="1:5" x14ac:dyDescent="0.25">
      <c r="A308" s="30">
        <v>3.6234949738447833E-2</v>
      </c>
      <c r="B308"/>
      <c r="C308"/>
      <c r="D308"/>
      <c r="E308"/>
    </row>
    <row r="309" spans="1:5" x14ac:dyDescent="0.25">
      <c r="A309" s="30">
        <v>3.4509475941378875E-2</v>
      </c>
      <c r="B309"/>
      <c r="C309"/>
      <c r="D309"/>
      <c r="E309"/>
    </row>
    <row r="310" spans="1:5" x14ac:dyDescent="0.25">
      <c r="A310" s="30">
        <v>3.286616756321796E-2</v>
      </c>
      <c r="B310"/>
      <c r="C310"/>
      <c r="D310"/>
      <c r="E310"/>
    </row>
    <row r="311" spans="1:5" x14ac:dyDescent="0.25">
      <c r="A311" s="30">
        <v>3.1301111964969472E-2</v>
      </c>
      <c r="B311"/>
      <c r="C311"/>
      <c r="D311"/>
      <c r="E311"/>
    </row>
    <row r="312" spans="1:5" x14ac:dyDescent="0.25">
      <c r="A312" s="30">
        <v>2.9810582823780438E-2</v>
      </c>
      <c r="B312"/>
      <c r="C312"/>
      <c r="D312"/>
      <c r="E312"/>
    </row>
    <row r="313" spans="1:5" x14ac:dyDescent="0.25">
      <c r="A313" s="30">
        <v>2.8391031260743264E-2</v>
      </c>
      <c r="B313"/>
      <c r="C313"/>
      <c r="D313"/>
      <c r="E313"/>
    </row>
    <row r="314" spans="1:5" x14ac:dyDescent="0.25">
      <c r="A314" s="30">
        <v>2.7039077391184052E-2</v>
      </c>
      <c r="B314"/>
      <c r="C314"/>
      <c r="D314"/>
      <c r="E314"/>
    </row>
    <row r="315" spans="1:5" x14ac:dyDescent="0.25">
      <c r="A315" s="30">
        <v>2.5751502277318133E-2</v>
      </c>
      <c r="B315"/>
      <c r="C315"/>
      <c r="D315"/>
      <c r="E315"/>
    </row>
    <row r="316" spans="1:5" x14ac:dyDescent="0.25">
      <c r="A316" s="30">
        <v>2.4525240264112496E-2</v>
      </c>
      <c r="B316"/>
      <c r="C316"/>
      <c r="D316"/>
      <c r="E316"/>
    </row>
    <row r="317" spans="1:5" x14ac:dyDescent="0.25">
      <c r="A317" s="30">
        <v>2.3357371680107129E-2</v>
      </c>
      <c r="B317"/>
      <c r="C317"/>
      <c r="D317"/>
      <c r="E317"/>
    </row>
    <row r="318" spans="1:5" x14ac:dyDescent="0.25">
      <c r="A318" s="30">
        <v>2.2245115885816305E-2</v>
      </c>
      <c r="B318"/>
      <c r="C318"/>
      <c r="D318"/>
      <c r="E318"/>
    </row>
    <row r="319" spans="1:5" x14ac:dyDescent="0.25">
      <c r="A319" s="30">
        <v>2.1185824653158377E-2</v>
      </c>
      <c r="B319"/>
      <c r="C319"/>
      <c r="D319"/>
      <c r="E319"/>
    </row>
    <row r="320" spans="1:5" x14ac:dyDescent="0.25">
      <c r="A320" s="30">
        <v>2.0176975860150829E-2</v>
      </c>
      <c r="B320"/>
      <c r="C320"/>
      <c r="D320"/>
      <c r="E320"/>
    </row>
    <row r="321" spans="1:5" x14ac:dyDescent="0.25">
      <c r="A321" s="30">
        <v>1.9216167485857926E-2</v>
      </c>
      <c r="B321"/>
      <c r="C321"/>
      <c r="D321"/>
      <c r="E321"/>
    </row>
    <row r="322" spans="1:5" x14ac:dyDescent="0.25">
      <c r="A322" s="30">
        <v>1.8301111891293256E-2</v>
      </c>
      <c r="B322"/>
      <c r="C322"/>
      <c r="D322"/>
      <c r="E322"/>
    </row>
    <row r="323" spans="1:5" x14ac:dyDescent="0.25">
      <c r="A323" s="30">
        <v>1.7429630372660238E-2</v>
      </c>
      <c r="B323"/>
      <c r="C323"/>
      <c r="D323"/>
      <c r="E323"/>
    </row>
    <row r="324" spans="1:5" x14ac:dyDescent="0.25">
      <c r="A324" s="30">
        <v>1.6599647973962125E-2</v>
      </c>
      <c r="B324"/>
      <c r="C324"/>
      <c r="D324"/>
      <c r="E324"/>
    </row>
    <row r="325" spans="1:5" x14ac:dyDescent="0.25">
      <c r="A325" s="30">
        <v>1.580918854663059E-2</v>
      </c>
      <c r="B325"/>
      <c r="C325"/>
      <c r="D325"/>
      <c r="E325"/>
    </row>
    <row r="326" spans="1:5" x14ac:dyDescent="0.25">
      <c r="A326" s="30">
        <v>1.5056370044410079E-2</v>
      </c>
      <c r="B326"/>
      <c r="C326"/>
      <c r="D326"/>
      <c r="E326"/>
    </row>
    <row r="327" spans="1:5" x14ac:dyDescent="0.25">
      <c r="A327" s="30">
        <v>1.4339400042295308E-2</v>
      </c>
      <c r="B327"/>
      <c r="C327"/>
      <c r="D327"/>
      <c r="E327"/>
    </row>
    <row r="328" spans="1:5" x14ac:dyDescent="0.25">
      <c r="A328" s="30">
        <v>1.365657146885267E-2</v>
      </c>
      <c r="B328"/>
      <c r="C328"/>
      <c r="D328"/>
      <c r="E328"/>
    </row>
    <row r="329" spans="1:5" x14ac:dyDescent="0.25">
      <c r="A329" s="30">
        <v>1.3006258541764442E-2</v>
      </c>
      <c r="B329"/>
      <c r="C329"/>
      <c r="D329"/>
      <c r="E329"/>
    </row>
    <row r="330" spans="1:5" x14ac:dyDescent="0.25">
      <c r="A330" s="30">
        <v>1.2386912896918512E-2</v>
      </c>
      <c r="B330"/>
      <c r="C330"/>
      <c r="D330"/>
      <c r="E330"/>
    </row>
    <row r="331" spans="1:5" x14ac:dyDescent="0.25">
      <c r="A331" s="30">
        <v>1.179705990182715E-2</v>
      </c>
      <c r="B331"/>
      <c r="C331"/>
      <c r="D331"/>
      <c r="E331"/>
    </row>
    <row r="332" spans="1:5" x14ac:dyDescent="0.25">
      <c r="A332" s="30">
        <v>1.1235295144597281E-2</v>
      </c>
      <c r="B332"/>
      <c r="C332"/>
      <c r="D332"/>
      <c r="E332"/>
    </row>
    <row r="333" spans="1:5" x14ac:dyDescent="0.25">
      <c r="A333" s="30">
        <v>1.0700281090092644E-2</v>
      </c>
      <c r="B333"/>
      <c r="C333"/>
      <c r="D333"/>
      <c r="E333"/>
    </row>
    <row r="334" spans="1:5" x14ac:dyDescent="0.25">
      <c r="A334" s="30">
        <v>1.0190743895326324E-2</v>
      </c>
      <c r="B334"/>
      <c r="C334"/>
      <c r="D334"/>
      <c r="E334"/>
    </row>
    <row r="335" spans="1:5" x14ac:dyDescent="0.25">
      <c r="A335" s="30">
        <v>9.7054703765012563E-3</v>
      </c>
      <c r="B335"/>
      <c r="C335"/>
      <c r="D335"/>
      <c r="E335"/>
    </row>
    <row r="336" spans="1:5" x14ac:dyDescent="0.25">
      <c r="A336" s="30">
        <v>9.2433051204773835E-3</v>
      </c>
      <c r="B336"/>
      <c r="C336"/>
      <c r="D336"/>
      <c r="E336"/>
    </row>
    <row r="337" spans="1:5" x14ac:dyDescent="0.25">
      <c r="A337" s="30">
        <v>8.8031477337879808E-3</v>
      </c>
      <c r="B337"/>
      <c r="C337"/>
      <c r="D337"/>
      <c r="E337"/>
    </row>
    <row r="338" spans="1:5" x14ac:dyDescent="0.25">
      <c r="A338" s="30">
        <v>8.3839502226552166E-3</v>
      </c>
      <c r="B338"/>
      <c r="C338"/>
      <c r="D338"/>
      <c r="E338"/>
    </row>
    <row r="339" spans="1:5" x14ac:dyDescent="0.25">
      <c r="A339" s="30">
        <v>7.9847144977668698E-3</v>
      </c>
      <c r="B339"/>
      <c r="C339"/>
      <c r="D339"/>
      <c r="E339"/>
    </row>
    <row r="340" spans="1:5" x14ac:dyDescent="0.25">
      <c r="A340" s="30">
        <v>7.6044899978732058E-3</v>
      </c>
      <c r="B340"/>
      <c r="C340"/>
      <c r="D340"/>
      <c r="E340"/>
    </row>
    <row r="341" spans="1:5" x14ac:dyDescent="0.25">
      <c r="A341" s="30">
        <v>7.2423714265459072E-3</v>
      </c>
      <c r="B341"/>
      <c r="C341"/>
      <c r="D341"/>
      <c r="E341"/>
    </row>
    <row r="342" spans="1:5" x14ac:dyDescent="0.25">
      <c r="A342" s="30">
        <v>6.8974965967103846E-3</v>
      </c>
      <c r="B342"/>
      <c r="C342"/>
      <c r="D342"/>
      <c r="E342"/>
    </row>
    <row r="343" spans="1:5" x14ac:dyDescent="0.25">
      <c r="A343" s="30">
        <v>6.5690443778194116E-3</v>
      </c>
      <c r="B343"/>
      <c r="C343"/>
      <c r="D343"/>
      <c r="E343"/>
    </row>
    <row r="344" spans="1:5" x14ac:dyDescent="0.25">
      <c r="A344" s="30">
        <v>6.2562327407803897E-3</v>
      </c>
      <c r="B344"/>
      <c r="C344"/>
      <c r="D344"/>
      <c r="E344"/>
    </row>
    <row r="345" spans="1:5" x14ac:dyDescent="0.25">
      <c r="A345" s="30">
        <v>5.9583168959813212E-3</v>
      </c>
      <c r="B345"/>
      <c r="C345"/>
      <c r="D345"/>
      <c r="E345"/>
    </row>
    <row r="346" spans="1:5" x14ac:dyDescent="0.25">
      <c r="A346" s="30">
        <v>5.6745875199822084E-3</v>
      </c>
      <c r="B346"/>
      <c r="C346"/>
      <c r="D346"/>
      <c r="E346"/>
    </row>
    <row r="347" spans="1:5" x14ac:dyDescent="0.25">
      <c r="A347" s="30">
        <v>5.4043690666497205E-3</v>
      </c>
      <c r="B347"/>
      <c r="C347"/>
      <c r="D347"/>
      <c r="E347"/>
    </row>
    <row r="348" spans="1:5" x14ac:dyDescent="0.25">
      <c r="A348" s="30">
        <v>5.1470181587140174E-3</v>
      </c>
      <c r="B348"/>
      <c r="C348"/>
      <c r="D348"/>
      <c r="E348"/>
    </row>
    <row r="349" spans="1:5" x14ac:dyDescent="0.25">
      <c r="A349" s="30">
        <v>4.9019220559181099E-3</v>
      </c>
      <c r="B349"/>
      <c r="C349"/>
      <c r="D349"/>
      <c r="E349"/>
    </row>
    <row r="350" spans="1:5" x14ac:dyDescent="0.25">
      <c r="A350" s="30">
        <v>4.6684971961124836E-3</v>
      </c>
      <c r="B350"/>
      <c r="C350"/>
      <c r="D350"/>
      <c r="E350"/>
    </row>
    <row r="351" spans="1:5" x14ac:dyDescent="0.25">
      <c r="A351" s="30">
        <v>4.4461878058214112E-3</v>
      </c>
      <c r="B351"/>
      <c r="C351"/>
      <c r="D351"/>
      <c r="E351"/>
    </row>
    <row r="352" spans="1:5" x14ac:dyDescent="0.25">
      <c r="A352" s="30">
        <v>4.2344645769727711E-3</v>
      </c>
      <c r="B352"/>
      <c r="C352"/>
      <c r="D352"/>
      <c r="E352"/>
    </row>
    <row r="353" spans="1:5" x14ac:dyDescent="0.25">
      <c r="A353" s="30">
        <v>4.0328234066407329E-3</v>
      </c>
      <c r="B353"/>
      <c r="C353"/>
      <c r="D353"/>
      <c r="E353"/>
    </row>
    <row r="354" spans="1:5" x14ac:dyDescent="0.25">
      <c r="A354" s="30">
        <v>3.8407841968006963E-3</v>
      </c>
      <c r="B354"/>
      <c r="C354"/>
      <c r="D354"/>
      <c r="E354"/>
    </row>
    <row r="355" spans="1:5" x14ac:dyDescent="0.25">
      <c r="A355" s="30">
        <v>3.6578897112387568E-3</v>
      </c>
      <c r="B355"/>
      <c r="C355"/>
      <c r="D355"/>
      <c r="E355"/>
    </row>
    <row r="356" spans="1:5" x14ac:dyDescent="0.25">
      <c r="A356" s="30">
        <v>3.4837044868940526E-3</v>
      </c>
      <c r="B356"/>
      <c r="C356"/>
      <c r="D356"/>
      <c r="E356"/>
    </row>
    <row r="357" spans="1:5" x14ac:dyDescent="0.25">
      <c r="A357" s="30">
        <v>3.3178137970419535E-3</v>
      </c>
      <c r="B357"/>
      <c r="C357"/>
      <c r="D357"/>
      <c r="E357"/>
    </row>
    <row r="358" spans="1:5" x14ac:dyDescent="0.25">
      <c r="A358" s="30">
        <v>3.1598226638494781E-3</v>
      </c>
      <c r="B358"/>
      <c r="C358"/>
      <c r="D358"/>
      <c r="E358"/>
    </row>
    <row r="359" spans="1:5" x14ac:dyDescent="0.25">
      <c r="A359" s="30">
        <v>3.0093549179518826E-3</v>
      </c>
      <c r="B359"/>
      <c r="C359"/>
      <c r="D359"/>
      <c r="E359"/>
    </row>
    <row r="360" spans="1:5" x14ac:dyDescent="0.25">
      <c r="A360" s="30">
        <v>2.8660523028113155E-3</v>
      </c>
      <c r="B360"/>
      <c r="C360"/>
      <c r="D360"/>
      <c r="E360"/>
    </row>
    <row r="361" spans="1:5" x14ac:dyDescent="0.25">
      <c r="A361" s="30">
        <v>2.7295736217250611E-3</v>
      </c>
      <c r="B361"/>
      <c r="C361"/>
      <c r="D361"/>
      <c r="E361"/>
    </row>
    <row r="362" spans="1:5" x14ac:dyDescent="0.25">
      <c r="A362" s="30">
        <v>2.5995939254524381E-3</v>
      </c>
      <c r="B362"/>
      <c r="C362"/>
      <c r="D362"/>
      <c r="E362"/>
    </row>
    <row r="363" spans="1:5" x14ac:dyDescent="0.25">
      <c r="A363" s="30">
        <v>2.4758037385261304E-3</v>
      </c>
      <c r="B363"/>
      <c r="C363"/>
      <c r="D363"/>
      <c r="E363"/>
    </row>
    <row r="364" spans="1:5" x14ac:dyDescent="0.25">
      <c r="A364" s="30">
        <v>2.3579083224058374E-3</v>
      </c>
      <c r="B364"/>
      <c r="C364"/>
      <c r="D364"/>
      <c r="E364"/>
    </row>
    <row r="365" spans="1:5" x14ac:dyDescent="0.25">
      <c r="A365" s="30">
        <v>2.245626973719844E-3</v>
      </c>
      <c r="B365"/>
      <c r="C365"/>
      <c r="D365"/>
      <c r="E365"/>
    </row>
    <row r="366" spans="1:5" x14ac:dyDescent="0.25">
      <c r="A366" s="30">
        <v>2.1386923559236601E-3</v>
      </c>
      <c r="B366"/>
      <c r="C366"/>
      <c r="D366"/>
      <c r="E366"/>
    </row>
    <row r="367" spans="1:5" x14ac:dyDescent="0.25">
      <c r="A367" s="30">
        <v>2.0368498627844375E-3</v>
      </c>
      <c r="B367"/>
      <c r="C367"/>
      <c r="D367"/>
      <c r="E367"/>
    </row>
    <row r="368" spans="1:5" x14ac:dyDescent="0.25">
      <c r="A368" s="30">
        <v>1.9398570121756541E-3</v>
      </c>
      <c r="B368"/>
      <c r="C368"/>
      <c r="D368"/>
      <c r="E368"/>
    </row>
    <row r="369" spans="1:5" x14ac:dyDescent="0.25">
      <c r="A369" s="30">
        <v>1.8474828687387174E-3</v>
      </c>
      <c r="B369"/>
      <c r="C369"/>
      <c r="D369"/>
      <c r="E369"/>
    </row>
    <row r="370" spans="1:5" x14ac:dyDescent="0.25">
      <c r="A370" s="30">
        <v>1.759507494036873E-3</v>
      </c>
      <c r="B370"/>
      <c r="C370"/>
      <c r="D370"/>
      <c r="E370"/>
    </row>
    <row r="371" spans="1:5" x14ac:dyDescent="0.25">
      <c r="A371" s="30">
        <v>1.6757214228922594E-3</v>
      </c>
      <c r="B371"/>
      <c r="C371"/>
      <c r="D371"/>
      <c r="E371"/>
    </row>
    <row r="372" spans="1:5" x14ac:dyDescent="0.25">
      <c r="A372" s="30">
        <v>1.595925164659294E-3</v>
      </c>
      <c r="B372"/>
      <c r="C372"/>
      <c r="D372"/>
      <c r="E372"/>
    </row>
    <row r="373" spans="1:5" x14ac:dyDescent="0.25">
      <c r="A373" s="30">
        <v>1.5199287282469461E-3</v>
      </c>
      <c r="B373"/>
      <c r="C373"/>
      <c r="D373"/>
      <c r="E373"/>
    </row>
    <row r="374" spans="1:5" x14ac:dyDescent="0.25">
      <c r="A374" s="30">
        <v>1.4475511697589958E-3</v>
      </c>
      <c r="B374"/>
      <c r="C374"/>
      <c r="D374"/>
      <c r="E374"/>
    </row>
    <row r="375" spans="1:5" x14ac:dyDescent="0.25">
      <c r="A375" s="30">
        <v>1.3786201616752334E-3</v>
      </c>
      <c r="B375"/>
      <c r="C375"/>
      <c r="D375"/>
      <c r="E375"/>
    </row>
    <row r="376" spans="1:5" x14ac:dyDescent="0.25">
      <c r="A376" s="30">
        <v>1.3129715825478407E-3</v>
      </c>
      <c r="B376"/>
      <c r="C376"/>
      <c r="D376"/>
      <c r="E376"/>
    </row>
    <row r="377" spans="1:5" x14ac:dyDescent="0.25">
      <c r="A377" s="30">
        <v>1.2504491262360382E-3</v>
      </c>
      <c r="B377"/>
      <c r="C377"/>
      <c r="D377"/>
      <c r="E377"/>
    </row>
    <row r="378" spans="1:5" x14ac:dyDescent="0.25">
      <c r="A378" s="30">
        <v>1.1909039297486072E-3</v>
      </c>
      <c r="B378"/>
      <c r="C378"/>
      <c r="D378"/>
      <c r="E378"/>
    </row>
    <row r="379" spans="1:5" x14ac:dyDescent="0.25">
      <c r="A379" s="30">
        <v>1.1341942188081969E-3</v>
      </c>
      <c r="B379"/>
      <c r="C379"/>
      <c r="D379"/>
      <c r="E379"/>
    </row>
    <row r="380" spans="1:5" x14ac:dyDescent="0.25">
      <c r="A380" s="30">
        <v>1.0801849702935203E-3</v>
      </c>
      <c r="B380"/>
      <c r="C380"/>
      <c r="D380"/>
      <c r="E380"/>
    </row>
    <row r="381" spans="1:5" x14ac:dyDescent="0.25">
      <c r="A381" s="30">
        <v>1.0287475907557332E-3</v>
      </c>
      <c r="B381"/>
      <c r="C381"/>
      <c r="D381"/>
      <c r="E381"/>
    </row>
    <row r="382" spans="1:5" x14ac:dyDescent="0.25">
      <c r="A382" s="30">
        <v>9.7731021121794646E-4</v>
      </c>
    </row>
    <row r="383" spans="1:5" x14ac:dyDescent="0.25">
      <c r="A383" s="30">
        <v>9.2844470065704904E-4</v>
      </c>
    </row>
    <row r="384" spans="1:5" x14ac:dyDescent="0.25">
      <c r="A384" s="30">
        <v>8.8202246562419653E-4</v>
      </c>
    </row>
    <row r="385" spans="1:1" x14ac:dyDescent="0.25">
      <c r="A385" s="30">
        <v>8.3792134234298668E-4</v>
      </c>
    </row>
    <row r="386" spans="1:1" x14ac:dyDescent="0.25">
      <c r="A386" s="30">
        <v>7.9602527522583736E-4</v>
      </c>
    </row>
    <row r="387" spans="1:1" x14ac:dyDescent="0.25">
      <c r="A387" s="30">
        <v>7.5622401146454546E-4</v>
      </c>
    </row>
    <row r="388" spans="1:1" x14ac:dyDescent="0.25">
      <c r="A388" s="30">
        <v>7.1841281089131816E-4</v>
      </c>
    </row>
    <row r="389" spans="1:1" x14ac:dyDescent="0.25">
      <c r="A389" s="30">
        <v>6.8249217034675226E-4</v>
      </c>
    </row>
    <row r="390" spans="1:1" x14ac:dyDescent="0.25">
      <c r="A390" s="30">
        <v>6.4836756182941465E-4</v>
      </c>
    </row>
    <row r="391" spans="1:1" x14ac:dyDescent="0.25">
      <c r="A391" s="30">
        <v>6.1594918373794388E-4</v>
      </c>
    </row>
    <row r="392" spans="1:1" x14ac:dyDescent="0.25">
      <c r="A392" s="30">
        <v>5.8515172455104666E-4</v>
      </c>
    </row>
    <row r="393" spans="1:1" x14ac:dyDescent="0.25">
      <c r="A393" s="30">
        <v>5.5589413832349429E-4</v>
      </c>
    </row>
    <row r="394" spans="1:1" x14ac:dyDescent="0.25">
      <c r="A394" s="30">
        <v>5.2809943140731956E-4</v>
      </c>
    </row>
    <row r="395" spans="1:1" x14ac:dyDescent="0.25">
      <c r="A395" s="30">
        <v>5.0169445983695357E-4</v>
      </c>
    </row>
    <row r="396" spans="1:1" x14ac:dyDescent="0.25">
      <c r="A396" s="30">
        <v>4.7660973684510589E-4</v>
      </c>
    </row>
    <row r="397" spans="1:1" x14ac:dyDescent="0.25">
      <c r="A397" s="30">
        <v>4.5277925000285056E-4</v>
      </c>
    </row>
    <row r="398" spans="1:1" x14ac:dyDescent="0.25">
      <c r="A398" s="30">
        <v>4.3014028750270803E-4</v>
      </c>
    </row>
    <row r="399" spans="1:1" x14ac:dyDescent="0.25">
      <c r="A399" s="30">
        <v>4.0863327312757263E-4</v>
      </c>
    </row>
    <row r="400" spans="1:1" x14ac:dyDescent="0.25">
      <c r="A400" s="30">
        <v>3.8820160947119396E-4</v>
      </c>
    </row>
    <row r="401" spans="1:1" x14ac:dyDescent="0.25">
      <c r="A401" s="30">
        <v>3.6879152899763426E-4</v>
      </c>
    </row>
    <row r="402" spans="1:1" x14ac:dyDescent="0.25">
      <c r="A402" s="30">
        <v>3.5035195254775253E-4</v>
      </c>
    </row>
    <row r="403" spans="1:1" x14ac:dyDescent="0.25">
      <c r="A403" s="30">
        <v>3.3283435492036491E-4</v>
      </c>
    </row>
    <row r="404" spans="1:1" x14ac:dyDescent="0.25">
      <c r="A404" s="30">
        <v>3.1619263717434668E-4</v>
      </c>
    </row>
    <row r="405" spans="1:1" x14ac:dyDescent="0.25">
      <c r="A405" s="30">
        <v>3.0038300531562933E-4</v>
      </c>
    </row>
    <row r="406" spans="1:1" x14ac:dyDescent="0.25">
      <c r="A406" s="30">
        <v>2.8536385504984783E-4</v>
      </c>
    </row>
    <row r="407" spans="1:1" x14ac:dyDescent="0.25">
      <c r="A407" s="30">
        <v>2.7109566229735542E-4</v>
      </c>
    </row>
    <row r="408" spans="1:1" x14ac:dyDescent="0.25">
      <c r="A408" s="30">
        <v>2.5754087918248761E-4</v>
      </c>
    </row>
    <row r="409" spans="1:1" x14ac:dyDescent="0.25">
      <c r="A409" s="30">
        <v>2.4466383522336323E-4</v>
      </c>
    </row>
    <row r="410" spans="1:1" x14ac:dyDescent="0.25">
      <c r="A410" s="30">
        <v>2.3243064346219506E-4</v>
      </c>
    </row>
    <row r="411" spans="1:1" x14ac:dyDescent="0.25">
      <c r="A411" s="30">
        <v>2.2080911128908529E-4</v>
      </c>
    </row>
    <row r="412" spans="1:1" x14ac:dyDescent="0.25">
      <c r="A412" s="30">
        <v>2.0976865572463102E-4</v>
      </c>
    </row>
    <row r="413" spans="1:1" x14ac:dyDescent="0.25">
      <c r="A413" s="30">
        <v>1.9928022293839946E-4</v>
      </c>
    </row>
    <row r="414" spans="1:1" x14ac:dyDescent="0.25">
      <c r="A414" s="30">
        <v>1.8931621179147948E-4</v>
      </c>
    </row>
    <row r="415" spans="1:1" x14ac:dyDescent="0.25">
      <c r="A415" s="30">
        <v>1.798504012019055E-4</v>
      </c>
    </row>
    <row r="416" spans="1:1" x14ac:dyDescent="0.25">
      <c r="A416" s="30">
        <v>1.7085788114181021E-4</v>
      </c>
    </row>
    <row r="417" spans="1:1" x14ac:dyDescent="0.25">
      <c r="A417" s="30">
        <v>1.623149870847197E-4</v>
      </c>
    </row>
    <row r="418" spans="1:1" x14ac:dyDescent="0.25">
      <c r="A418" s="30">
        <v>1.541992377304837E-4</v>
      </c>
    </row>
    <row r="419" spans="1:1" x14ac:dyDescent="0.25">
      <c r="A419" s="30">
        <v>1.4648927584395952E-4</v>
      </c>
    </row>
    <row r="420" spans="1:1" x14ac:dyDescent="0.25">
      <c r="A420" s="30">
        <v>1.3916481205176153E-4</v>
      </c>
    </row>
    <row r="421" spans="1:1" x14ac:dyDescent="0.25">
      <c r="A421" s="30">
        <v>1.3220657144917344E-4</v>
      </c>
    </row>
    <row r="422" spans="1:1" x14ac:dyDescent="0.25">
      <c r="A422" s="30">
        <v>1.2559624287671476E-4</v>
      </c>
    </row>
    <row r="423" spans="1:1" x14ac:dyDescent="0.25">
      <c r="A423" s="30">
        <v>1.1931643073287902E-4</v>
      </c>
    </row>
    <row r="424" spans="1:1" x14ac:dyDescent="0.25">
      <c r="A424" s="30">
        <v>1.1335060919623506E-4</v>
      </c>
    </row>
    <row r="425" spans="1:1" x14ac:dyDescent="0.25">
      <c r="A425" s="30">
        <v>1.076830787364233E-4</v>
      </c>
    </row>
    <row r="426" spans="1:1" x14ac:dyDescent="0.25">
      <c r="A426" s="30">
        <v>1.0229892479960213E-4</v>
      </c>
    </row>
    <row r="427" spans="1:1" x14ac:dyDescent="0.25">
      <c r="A427" s="30">
        <v>9.7183978559622027E-5</v>
      </c>
    </row>
    <row r="428" spans="1:1" x14ac:dyDescent="0.25">
      <c r="A428" s="30">
        <v>9.2324779631640922E-5</v>
      </c>
    </row>
    <row r="429" spans="1:1" x14ac:dyDescent="0.25">
      <c r="A429" s="30">
        <v>8.7708540650058869E-5</v>
      </c>
    </row>
    <row r="430" spans="1:1" x14ac:dyDescent="0.25">
      <c r="A430" s="30">
        <v>8.3323113617555917E-5</v>
      </c>
    </row>
    <row r="431" spans="1:1" x14ac:dyDescent="0.25">
      <c r="A431" s="30">
        <v>7.9156957936678114E-5</v>
      </c>
    </row>
    <row r="432" spans="1:1" x14ac:dyDescent="0.25">
      <c r="A432" s="30">
        <v>7.5199110039844203E-5</v>
      </c>
    </row>
    <row r="433" spans="1:1" x14ac:dyDescent="0.25">
      <c r="A433" s="30">
        <v>7.1439154537851989E-5</v>
      </c>
    </row>
    <row r="434" spans="1:1" x14ac:dyDescent="0.25">
      <c r="A434" s="30">
        <v>6.7867196810959381E-5</v>
      </c>
    </row>
    <row r="435" spans="1:1" x14ac:dyDescent="0.25">
      <c r="A435" s="30">
        <v>6.4473836970411412E-5</v>
      </c>
    </row>
    <row r="436" spans="1:1" x14ac:dyDescent="0.25">
      <c r="A436" s="30">
        <v>6.1250145121890834E-5</v>
      </c>
    </row>
    <row r="437" spans="1:1" x14ac:dyDescent="0.25">
      <c r="A437" s="30">
        <v>5.8187637865796292E-5</v>
      </c>
    </row>
    <row r="438" spans="1:1" x14ac:dyDescent="0.25">
      <c r="A438" s="30">
        <v>5.5278255972506478E-5</v>
      </c>
    </row>
    <row r="439" spans="1:1" x14ac:dyDescent="0.25">
      <c r="A439" s="30">
        <v>5.251434317388115E-5</v>
      </c>
    </row>
    <row r="440" spans="1:1" x14ac:dyDescent="0.25">
      <c r="A440" s="30">
        <v>4.9888626015187091E-5</v>
      </c>
    </row>
    <row r="441" spans="1:1" x14ac:dyDescent="0.25">
      <c r="A441" s="30">
        <v>4.7394194714427735E-5</v>
      </c>
    </row>
    <row r="442" spans="1:1" x14ac:dyDescent="0.25">
      <c r="A442" s="30">
        <v>4.5024484978706345E-5</v>
      </c>
    </row>
    <row r="443" spans="1:1" x14ac:dyDescent="0.25">
      <c r="A443" s="30">
        <v>4.2773260729771024E-5</v>
      </c>
    </row>
    <row r="444" spans="1:1" x14ac:dyDescent="0.25">
      <c r="A444" s="30">
        <v>4.0634597693282472E-5</v>
      </c>
    </row>
    <row r="445" spans="1:1" x14ac:dyDescent="0.25">
      <c r="A445" s="30">
        <v>3.8602867808618349E-5</v>
      </c>
    </row>
    <row r="446" spans="1:1" x14ac:dyDescent="0.25">
      <c r="A446" s="30">
        <v>3.6672724418187428E-5</v>
      </c>
    </row>
    <row r="447" spans="1:1" x14ac:dyDescent="0.25">
      <c r="A447" s="30">
        <v>3.4839088197278057E-5</v>
      </c>
    </row>
    <row r="448" spans="1:1" x14ac:dyDescent="0.25">
      <c r="A448" s="30">
        <v>3.3097133787414149E-5</v>
      </c>
    </row>
    <row r="449" spans="1:1" x14ac:dyDescent="0.25">
      <c r="A449" s="30">
        <v>3.1442277098043439E-5</v>
      </c>
    </row>
    <row r="450" spans="1:1" x14ac:dyDescent="0.25">
      <c r="A450" s="30">
        <v>2.9870163243141264E-5</v>
      </c>
    </row>
    <row r="451" spans="1:1" x14ac:dyDescent="0.25">
      <c r="A451" s="30">
        <v>2.8376655080984199E-5</v>
      </c>
    </row>
    <row r="452" spans="1:1" x14ac:dyDescent="0.25">
      <c r="A452" s="30">
        <v>2.6957822326934987E-5</v>
      </c>
    </row>
    <row r="453" spans="1:1" x14ac:dyDescent="0.25">
      <c r="A453" s="30">
        <v>2.5609931210588235E-5</v>
      </c>
    </row>
    <row r="454" spans="1:1" x14ac:dyDescent="0.25">
      <c r="A454" s="30">
        <v>2.4329434650058821E-5</v>
      </c>
    </row>
    <row r="455" spans="1:1" x14ac:dyDescent="0.25">
      <c r="A455" s="30">
        <v>2.311296291755588E-5</v>
      </c>
    </row>
    <row r="456" spans="1:1" x14ac:dyDescent="0.25">
      <c r="A456" s="30">
        <v>2.1957314771678086E-5</v>
      </c>
    </row>
    <row r="457" spans="1:1" x14ac:dyDescent="0.25">
      <c r="A457" s="30">
        <v>2.085944903309418E-5</v>
      </c>
    </row>
    <row r="458" spans="1:1" x14ac:dyDescent="0.25">
      <c r="A458" s="30">
        <v>1.9816476581439472E-5</v>
      </c>
    </row>
    <row r="459" spans="1:1" x14ac:dyDescent="0.25">
      <c r="A459" s="30">
        <v>1.8825652752367499E-5</v>
      </c>
    </row>
    <row r="460" spans="1:1" x14ac:dyDescent="0.25">
      <c r="A460" s="30">
        <v>1.7884370114749124E-5</v>
      </c>
    </row>
    <row r="461" spans="1:1" x14ac:dyDescent="0.25">
      <c r="A461" s="30">
        <v>1.6990151609011666E-5</v>
      </c>
    </row>
    <row r="462" spans="1:1" x14ac:dyDescent="0.25">
      <c r="A462" s="30">
        <v>1.6140644028561083E-5</v>
      </c>
    </row>
    <row r="463" spans="1:1" x14ac:dyDescent="0.25">
      <c r="A463" s="30">
        <v>1.5333611827133028E-5</v>
      </c>
    </row>
    <row r="464" spans="1:1" x14ac:dyDescent="0.25">
      <c r="A464" s="30">
        <v>1.4566931235776375E-5</v>
      </c>
    </row>
    <row r="465" spans="1:1" x14ac:dyDescent="0.25">
      <c r="A465" s="30">
        <v>1.3838584673987556E-5</v>
      </c>
    </row>
    <row r="466" spans="1:1" x14ac:dyDescent="0.25">
      <c r="A466" s="30">
        <v>1.3146655440288178E-5</v>
      </c>
    </row>
    <row r="467" spans="1:1" x14ac:dyDescent="0.25">
      <c r="A467" s="30">
        <v>1.2489322668273768E-5</v>
      </c>
    </row>
    <row r="468" spans="1:1" x14ac:dyDescent="0.25">
      <c r="A468" s="30">
        <v>1.186485653486008E-5</v>
      </c>
    </row>
    <row r="469" spans="1:1" x14ac:dyDescent="0.25">
      <c r="A469" s="30">
        <v>1.1271613708117075E-5</v>
      </c>
    </row>
    <row r="470" spans="1:1" x14ac:dyDescent="0.25">
      <c r="A470" s="30">
        <v>1.0708033022711222E-5</v>
      </c>
    </row>
    <row r="471" spans="1:1" x14ac:dyDescent="0.25">
      <c r="A471" s="30">
        <v>1.0172631371575661E-5</v>
      </c>
    </row>
    <row r="472" spans="1:1" x14ac:dyDescent="0.25">
      <c r="A472" s="30">
        <v>9.6639998029968765E-6</v>
      </c>
    </row>
    <row r="473" spans="1:1" x14ac:dyDescent="0.25">
      <c r="A473" s="30">
        <v>9.1807998128470321E-6</v>
      </c>
    </row>
    <row r="474" spans="1:1" x14ac:dyDescent="0.25">
      <c r="A474" s="30">
        <v>8.7217598222046798E-6</v>
      </c>
    </row>
    <row r="475" spans="1:1" x14ac:dyDescent="0.25">
      <c r="A475" s="30">
        <v>8.2856718310944451E-6</v>
      </c>
    </row>
    <row r="476" spans="1:1" x14ac:dyDescent="0.25">
      <c r="A476" s="30">
        <v>7.8713882395397226E-6</v>
      </c>
    </row>
    <row r="477" spans="1:1" x14ac:dyDescent="0.25">
      <c r="A477" s="30">
        <v>7.4778188275627361E-6</v>
      </c>
    </row>
    <row r="478" spans="1:1" x14ac:dyDescent="0.25">
      <c r="A478" s="30">
        <v>7.1039278861845986E-6</v>
      </c>
    </row>
    <row r="479" spans="1:1" x14ac:dyDescent="0.25">
      <c r="A479" s="30">
        <v>6.7487314918753682E-6</v>
      </c>
    </row>
    <row r="480" spans="1:1" x14ac:dyDescent="0.25">
      <c r="A480" s="30">
        <v>6.4112949172815995E-6</v>
      </c>
    </row>
    <row r="481" spans="1:1" x14ac:dyDescent="0.25">
      <c r="A481" s="30">
        <v>6.0907301714175189E-6</v>
      </c>
    </row>
    <row r="482" spans="1:1" x14ac:dyDescent="0.25">
      <c r="A482" s="30">
        <v>5.7861936628466423E-6</v>
      </c>
    </row>
    <row r="483" spans="1:1" x14ac:dyDescent="0.25">
      <c r="A483" s="30">
        <v>5.4968839797043099E-6</v>
      </c>
    </row>
    <row r="484" spans="1:1" x14ac:dyDescent="0.25">
      <c r="A484" s="30">
        <v>5.2220397807190937E-6</v>
      </c>
    </row>
    <row r="485" spans="1:1" x14ac:dyDescent="0.25">
      <c r="A485" s="30">
        <v>4.9609377916831386E-6</v>
      </c>
    </row>
    <row r="486" spans="1:1" x14ac:dyDescent="0.25">
      <c r="A486" s="30">
        <v>4.7128909020989814E-6</v>
      </c>
    </row>
    <row r="487" spans="1:1" x14ac:dyDescent="0.25">
      <c r="A487" s="30">
        <v>4.4772463569940322E-6</v>
      </c>
    </row>
    <row r="488" spans="1:1" x14ac:dyDescent="0.25">
      <c r="A488" s="30">
        <v>4.2533840391443302E-6</v>
      </c>
    </row>
    <row r="489" spans="1:1" x14ac:dyDescent="0.25">
      <c r="A489" s="30">
        <v>4.0407148371871134E-6</v>
      </c>
    </row>
    <row r="490" spans="1:1" x14ac:dyDescent="0.25">
      <c r="A490" s="30">
        <v>3.838679095327758E-6</v>
      </c>
    </row>
    <row r="491" spans="1:1" x14ac:dyDescent="0.25">
      <c r="A491" s="30">
        <v>3.6467451405613698E-6</v>
      </c>
    </row>
    <row r="492" spans="1:1" x14ac:dyDescent="0.25">
      <c r="A492" s="30">
        <v>3.464407883533301E-6</v>
      </c>
    </row>
    <row r="493" spans="1:1" x14ac:dyDescent="0.25">
      <c r="A493" s="30">
        <v>3.2911874893566358E-6</v>
      </c>
    </row>
    <row r="494" spans="1:1" x14ac:dyDescent="0.25">
      <c r="A494" s="30">
        <v>3.1266281148888039E-6</v>
      </c>
    </row>
    <row r="495" spans="1:1" x14ac:dyDescent="0.25">
      <c r="A495" s="30">
        <v>2.9702967091443636E-6</v>
      </c>
    </row>
    <row r="496" spans="1:1" x14ac:dyDescent="0.25">
      <c r="A496" s="30">
        <v>2.8217818736871453E-6</v>
      </c>
    </row>
    <row r="497" spans="1:1" x14ac:dyDescent="0.25">
      <c r="A497" s="30">
        <v>2.6806927800027881E-6</v>
      </c>
    </row>
    <row r="498" spans="1:1" x14ac:dyDescent="0.25">
      <c r="A498" s="30">
        <v>2.5466581410026485E-6</v>
      </c>
    </row>
    <row r="499" spans="1:1" x14ac:dyDescent="0.25">
      <c r="A499" s="30">
        <v>2.4193252339525159E-6</v>
      </c>
    </row>
    <row r="500" spans="1:1" x14ac:dyDescent="0.25">
      <c r="A500" s="30">
        <v>2.2983589722548901E-6</v>
      </c>
    </row>
    <row r="501" spans="1:1" x14ac:dyDescent="0.25">
      <c r="A501" s="30">
        <v>2.1834410236421454E-6</v>
      </c>
    </row>
    <row r="502" spans="1:1" x14ac:dyDescent="0.25">
      <c r="A502" s="30">
        <v>2.0742689724600379E-6</v>
      </c>
    </row>
    <row r="503" spans="1:1" x14ac:dyDescent="0.25">
      <c r="A503" s="30">
        <v>1.9705555238370358E-6</v>
      </c>
    </row>
    <row r="504" spans="1:1" x14ac:dyDescent="0.25">
      <c r="A504" s="30">
        <v>1.8720277476451839E-6</v>
      </c>
    </row>
    <row r="505" spans="1:1" x14ac:dyDescent="0.25">
      <c r="A505" s="30">
        <v>1.7784263602629246E-6</v>
      </c>
    </row>
    <row r="506" spans="1:1" x14ac:dyDescent="0.25">
      <c r="A506" s="30">
        <v>1.6895050422497783E-6</v>
      </c>
    </row>
    <row r="507" spans="1:1" x14ac:dyDescent="0.25">
      <c r="A507" s="30">
        <v>1.6050297901372894E-6</v>
      </c>
    </row>
    <row r="508" spans="1:1" x14ac:dyDescent="0.25">
      <c r="A508" s="30">
        <v>1.5247783006304249E-6</v>
      </c>
    </row>
    <row r="509" spans="1:1" x14ac:dyDescent="0.25">
      <c r="A509" s="30">
        <v>1.4485393855989036E-6</v>
      </c>
    </row>
    <row r="510" spans="1:1" x14ac:dyDescent="0.25">
      <c r="A510" s="30">
        <v>1.3761124163189583E-6</v>
      </c>
    </row>
    <row r="511" spans="1:1" x14ac:dyDescent="0.25">
      <c r="A511" s="30">
        <v>1.3073067955030102E-6</v>
      </c>
    </row>
    <row r="512" spans="1:1" x14ac:dyDescent="0.25">
      <c r="A512" s="30">
        <v>1.2419414557278597E-6</v>
      </c>
    </row>
    <row r="513" spans="1:1" x14ac:dyDescent="0.25">
      <c r="A513" s="30">
        <v>1.1798443829414667E-6</v>
      </c>
    </row>
    <row r="514" spans="1:1" x14ac:dyDescent="0.25">
      <c r="A514" s="30">
        <v>1.1208521637943934E-6</v>
      </c>
    </row>
    <row r="515" spans="1:1" x14ac:dyDescent="0.25">
      <c r="A515" s="30">
        <v>1.0648095556046737E-6</v>
      </c>
    </row>
    <row r="516" spans="1:1" x14ac:dyDescent="0.25">
      <c r="A516" s="30">
        <v>1.01156907782444E-6</v>
      </c>
    </row>
    <row r="517" spans="1:1" x14ac:dyDescent="0.25">
      <c r="A517" s="30">
        <v>9.6099062393321788E-7</v>
      </c>
    </row>
    <row r="518" spans="1:1" x14ac:dyDescent="0.25">
      <c r="A518" s="30">
        <v>9.1294109273655694E-7</v>
      </c>
    </row>
    <row r="519" spans="1:1" x14ac:dyDescent="0.25">
      <c r="A519" s="30">
        <v>8.6729403809972904E-7</v>
      </c>
    </row>
    <row r="520" spans="1:1" x14ac:dyDescent="0.25">
      <c r="A520" s="30">
        <v>8.2392933619474258E-7</v>
      </c>
    </row>
    <row r="521" spans="1:1" x14ac:dyDescent="0.25">
      <c r="A521" s="30">
        <v>7.8273286938500543E-7</v>
      </c>
    </row>
    <row r="522" spans="1:1" x14ac:dyDescent="0.25">
      <c r="A522" s="30">
        <v>7.4359622591575509E-7</v>
      </c>
    </row>
    <row r="523" spans="1:1" x14ac:dyDescent="0.25">
      <c r="A523" s="30">
        <v>7.064164146199673E-7</v>
      </c>
    </row>
    <row r="524" spans="1:1" x14ac:dyDescent="0.25">
      <c r="A524" s="30">
        <v>6.7109559388896894E-7</v>
      </c>
    </row>
    <row r="525" spans="1:1" x14ac:dyDescent="0.25">
      <c r="A525" s="30">
        <v>6.3754081419452045E-7</v>
      </c>
    </row>
    <row r="526" spans="1:1" x14ac:dyDescent="0.25">
      <c r="A526" s="30">
        <v>6.056637734847944E-7</v>
      </c>
    </row>
    <row r="527" spans="1:1" x14ac:dyDescent="0.25">
      <c r="A527" s="30">
        <v>5.7538058481055464E-7</v>
      </c>
    </row>
    <row r="528" spans="1:1" x14ac:dyDescent="0.25">
      <c r="A528" s="30">
        <v>5.4661155557002689E-7</v>
      </c>
    </row>
    <row r="529" spans="1:1" x14ac:dyDescent="0.25">
      <c r="A529" s="30">
        <v>5.1928097779152547E-7</v>
      </c>
    </row>
    <row r="530" spans="1:1" x14ac:dyDescent="0.25">
      <c r="A530" s="30">
        <v>4.9331692890194916E-7</v>
      </c>
    </row>
    <row r="531" spans="1:1" x14ac:dyDescent="0.25">
      <c r="A531" s="30">
        <v>4.6865108245685168E-7</v>
      </c>
    </row>
    <row r="532" spans="1:1" x14ac:dyDescent="0.25">
      <c r="A532" s="30">
        <v>4.4521852833400909E-7</v>
      </c>
    </row>
    <row r="533" spans="1:1" x14ac:dyDescent="0.25">
      <c r="A533" s="30">
        <v>4.2295760191730863E-7</v>
      </c>
    </row>
    <row r="534" spans="1:1" x14ac:dyDescent="0.25">
      <c r="A534" s="30">
        <v>4.018097218214432E-7</v>
      </c>
    </row>
    <row r="535" spans="1:1" x14ac:dyDescent="0.25">
      <c r="A535" s="30">
        <v>3.8171923573037103E-7</v>
      </c>
    </row>
    <row r="536" spans="1:1" x14ac:dyDescent="0.25">
      <c r="A536" s="30">
        <v>3.6263327394385244E-7</v>
      </c>
    </row>
    <row r="537" spans="1:1" x14ac:dyDescent="0.25">
      <c r="A537" s="30">
        <v>3.4450161024665982E-7</v>
      </c>
    </row>
    <row r="538" spans="1:1" x14ac:dyDescent="0.25">
      <c r="A538" s="30">
        <v>3.2727652973432681E-7</v>
      </c>
    </row>
    <row r="539" spans="1:1" x14ac:dyDescent="0.25">
      <c r="A539" s="30">
        <v>3.1091270324761048E-7</v>
      </c>
    </row>
    <row r="540" spans="1:1" x14ac:dyDescent="0.25">
      <c r="A540" s="30">
        <v>2.9536706808522992E-7</v>
      </c>
    </row>
    <row r="541" spans="1:1" x14ac:dyDescent="0.25">
      <c r="A541" s="30">
        <v>2.8059871468096844E-7</v>
      </c>
    </row>
    <row r="542" spans="1:1" x14ac:dyDescent="0.25">
      <c r="A542" s="30">
        <v>2.6656877894691999E-7</v>
      </c>
    </row>
    <row r="543" spans="1:1" x14ac:dyDescent="0.25">
      <c r="A543" s="30">
        <v>2.5324033999957397E-7</v>
      </c>
    </row>
    <row r="544" spans="1:1" x14ac:dyDescent="0.25">
      <c r="A544" s="30">
        <v>2.4057832299959528E-7</v>
      </c>
    </row>
    <row r="545" spans="1:1" x14ac:dyDescent="0.25">
      <c r="A545" s="30">
        <v>2.2854940684961551E-7</v>
      </c>
    </row>
    <row r="546" spans="1:1" x14ac:dyDescent="0.25">
      <c r="A546" s="30">
        <v>2.1712193650713473E-7</v>
      </c>
    </row>
    <row r="547" spans="1:1" x14ac:dyDescent="0.25">
      <c r="A547" s="30">
        <v>2.0626583968177798E-7</v>
      </c>
    </row>
    <row r="548" spans="1:1" x14ac:dyDescent="0.25">
      <c r="A548" s="30">
        <v>1.9595254769768908E-7</v>
      </c>
    </row>
    <row r="549" spans="1:1" x14ac:dyDescent="0.25">
      <c r="A549" s="30">
        <v>1.8615492031280462E-7</v>
      </c>
    </row>
    <row r="550" spans="1:1" x14ac:dyDescent="0.25">
      <c r="A550" s="30">
        <v>1.7684717429716437E-7</v>
      </c>
    </row>
    <row r="551" spans="1:1" x14ac:dyDescent="0.25">
      <c r="A551" s="30">
        <v>1.6800481558230616E-7</v>
      </c>
    </row>
    <row r="552" spans="1:1" x14ac:dyDescent="0.25">
      <c r="A552" s="30">
        <v>1.5960457480319083E-7</v>
      </c>
    </row>
    <row r="553" spans="1:1" x14ac:dyDescent="0.25">
      <c r="A553" s="30">
        <v>1.5162434606303129E-7</v>
      </c>
    </row>
    <row r="554" spans="1:1" x14ac:dyDescent="0.25">
      <c r="A554" s="30">
        <v>1.4404312875987972E-7</v>
      </c>
    </row>
    <row r="555" spans="1:1" x14ac:dyDescent="0.25">
      <c r="A555" s="30">
        <v>1.3684097232188573E-7</v>
      </c>
    </row>
    <row r="556" spans="1:1" x14ac:dyDescent="0.25">
      <c r="A556" s="30">
        <v>1.2999892370579143E-7</v>
      </c>
    </row>
    <row r="557" spans="1:1" x14ac:dyDescent="0.25">
      <c r="A557" s="30">
        <v>1.2349897752050186E-7</v>
      </c>
    </row>
    <row r="558" spans="1:1" x14ac:dyDescent="0.25">
      <c r="A558" s="30">
        <v>1.1732402864447677E-7</v>
      </c>
    </row>
    <row r="559" spans="1:1" x14ac:dyDescent="0.25">
      <c r="A559" s="30">
        <v>1.1145782721225292E-7</v>
      </c>
    </row>
    <row r="560" spans="1:1" x14ac:dyDescent="0.25">
      <c r="A560" s="30">
        <v>1.0588493585164026E-7</v>
      </c>
    </row>
    <row r="561" spans="1:1" x14ac:dyDescent="0.25">
      <c r="A561" s="30">
        <v>1.0059068905905825E-7</v>
      </c>
    </row>
    <row r="562" spans="1:1" x14ac:dyDescent="0.25">
      <c r="A562" s="30">
        <v>9.5561154606105325E-8</v>
      </c>
    </row>
    <row r="563" spans="1:1" x14ac:dyDescent="0.25">
      <c r="A563" s="30">
        <v>9.0783096875800056E-8</v>
      </c>
    </row>
    <row r="564" spans="1:1" x14ac:dyDescent="0.25">
      <c r="A564" s="30">
        <v>8.6243942032010053E-8</v>
      </c>
    </row>
    <row r="565" spans="1:1" x14ac:dyDescent="0.25">
      <c r="A565" s="30">
        <v>8.1931744930409543E-8</v>
      </c>
    </row>
    <row r="566" spans="1:1" x14ac:dyDescent="0.25">
      <c r="A566" s="30">
        <v>7.7835157683889064E-8</v>
      </c>
    </row>
    <row r="567" spans="1:1" x14ac:dyDescent="0.25">
      <c r="A567" s="30">
        <v>7.3943399799694612E-8</v>
      </c>
    </row>
    <row r="568" spans="1:1" x14ac:dyDescent="0.25">
      <c r="A568" s="30">
        <v>7.0246229809709872E-8</v>
      </c>
    </row>
    <row r="569" spans="1:1" x14ac:dyDescent="0.25">
      <c r="A569" s="30">
        <v>6.6733918319224378E-8</v>
      </c>
    </row>
    <row r="570" spans="1:1" x14ac:dyDescent="0.25">
      <c r="A570" s="30">
        <v>6.3397222403263155E-8</v>
      </c>
    </row>
    <row r="571" spans="1:1" x14ac:dyDescent="0.25">
      <c r="A571" s="30">
        <v>6.0227361283099997E-8</v>
      </c>
    </row>
    <row r="572" spans="1:1" x14ac:dyDescent="0.25">
      <c r="A572" s="30">
        <v>5.7215993218944996E-8</v>
      </c>
    </row>
    <row r="573" spans="1:1" x14ac:dyDescent="0.25">
      <c r="A573" s="30">
        <v>5.4355193557997742E-8</v>
      </c>
    </row>
    <row r="574" spans="1:1" x14ac:dyDescent="0.25">
      <c r="A574" s="30">
        <v>5.1637433880097855E-8</v>
      </c>
    </row>
    <row r="575" spans="1:1" x14ac:dyDescent="0.25">
      <c r="A575" s="30">
        <v>4.9055562186092959E-8</v>
      </c>
    </row>
    <row r="576" spans="1:1" x14ac:dyDescent="0.25">
      <c r="A576" s="30">
        <v>4.6602784076788309E-8</v>
      </c>
    </row>
    <row r="577" spans="1:1" x14ac:dyDescent="0.25">
      <c r="A577" s="30">
        <v>4.4272644872948894E-8</v>
      </c>
    </row>
    <row r="578" spans="1:1" x14ac:dyDescent="0.25">
      <c r="A578" s="30">
        <v>4.2059012629301451E-8</v>
      </c>
    </row>
    <row r="579" spans="1:1" x14ac:dyDescent="0.25">
      <c r="A579" s="30">
        <v>3.9956061997836377E-8</v>
      </c>
    </row>
    <row r="580" spans="1:1" x14ac:dyDescent="0.25">
      <c r="A580" s="30">
        <v>3.7958258897944555E-8</v>
      </c>
    </row>
    <row r="581" spans="1:1" x14ac:dyDescent="0.25">
      <c r="A581" s="30">
        <v>3.6060345953047327E-8</v>
      </c>
    </row>
    <row r="582" spans="1:1" x14ac:dyDescent="0.25">
      <c r="A582" s="30">
        <v>3.4257328655394958E-8</v>
      </c>
    </row>
    <row r="583" spans="1:1" x14ac:dyDescent="0.25">
      <c r="A583" s="30">
        <v>3.2544462222625211E-8</v>
      </c>
    </row>
    <row r="584" spans="1:1" x14ac:dyDescent="0.25">
      <c r="A584" s="30">
        <v>3.0917239111493953E-8</v>
      </c>
    </row>
    <row r="585" spans="1:1" x14ac:dyDescent="0.25">
      <c r="A585" s="30">
        <v>2.9371377155919254E-8</v>
      </c>
    </row>
    <row r="586" spans="1:1" x14ac:dyDescent="0.25">
      <c r="A586" s="30">
        <v>2.7902808298123291E-8</v>
      </c>
    </row>
    <row r="587" spans="1:1" x14ac:dyDescent="0.25">
      <c r="A587" s="30">
        <v>2.6507667883217124E-8</v>
      </c>
    </row>
    <row r="588" spans="1:1" x14ac:dyDescent="0.25">
      <c r="A588" s="30">
        <v>2.5182284489056268E-8</v>
      </c>
    </row>
    <row r="589" spans="1:1" x14ac:dyDescent="0.25">
      <c r="A589" s="30">
        <v>2.3923170264603454E-8</v>
      </c>
    </row>
    <row r="590" spans="1:1" x14ac:dyDescent="0.25">
      <c r="A590" s="30">
        <v>2.2727011751373281E-8</v>
      </c>
    </row>
    <row r="591" spans="1:1" x14ac:dyDescent="0.25">
      <c r="A591" s="30">
        <v>2.1590661163804617E-8</v>
      </c>
    </row>
    <row r="592" spans="1:1" x14ac:dyDescent="0.25">
      <c r="A592" s="30">
        <v>2.0511128105614386E-8</v>
      </c>
    </row>
    <row r="593" spans="1:1" x14ac:dyDescent="0.25">
      <c r="A593" s="30">
        <v>1.9485571700333666E-8</v>
      </c>
    </row>
    <row r="594" spans="1:1" x14ac:dyDescent="0.25">
      <c r="A594" s="30">
        <v>1.8511293115316981E-8</v>
      </c>
    </row>
    <row r="595" spans="1:1" x14ac:dyDescent="0.25">
      <c r="A595" s="30">
        <v>1.758572845955113E-8</v>
      </c>
    </row>
    <row r="596" spans="1:1" x14ac:dyDescent="0.25">
      <c r="A596" s="30">
        <v>1.6706442036573572E-8</v>
      </c>
    </row>
    <row r="597" spans="1:1" x14ac:dyDescent="0.25">
      <c r="A597" s="30">
        <v>1.5871119934744892E-8</v>
      </c>
    </row>
    <row r="598" spans="1:1" x14ac:dyDescent="0.25">
      <c r="A598" s="30">
        <v>1.5077563938007645E-8</v>
      </c>
    </row>
    <row r="599" spans="1:1" x14ac:dyDescent="0.25">
      <c r="A599" s="30">
        <v>1.4323685741107262E-8</v>
      </c>
    </row>
    <row r="600" spans="1:1" x14ac:dyDescent="0.25">
      <c r="A600" s="30">
        <v>1.3607501454051899E-8</v>
      </c>
    </row>
    <row r="601" spans="1:1" x14ac:dyDescent="0.25">
      <c r="A601" s="30">
        <v>1.2927126381349303E-8</v>
      </c>
    </row>
    <row r="602" spans="1:1" x14ac:dyDescent="0.25">
      <c r="A602" s="30">
        <v>1.2280770062281838E-8</v>
      </c>
    </row>
    <row r="603" spans="1:1" x14ac:dyDescent="0.25">
      <c r="A603" s="30">
        <v>1.1666731559167746E-8</v>
      </c>
    </row>
    <row r="604" spans="1:1" x14ac:dyDescent="0.25">
      <c r="A604" s="30">
        <v>1.1083394981209357E-8</v>
      </c>
    </row>
    <row r="605" spans="1:1" x14ac:dyDescent="0.25">
      <c r="A605" s="30">
        <v>1.0529225232148889E-8</v>
      </c>
    </row>
    <row r="606" spans="1:1" x14ac:dyDescent="0.25">
      <c r="A606" s="30">
        <v>1.0002763970541444E-8</v>
      </c>
    </row>
    <row r="607" spans="1:1" x14ac:dyDescent="0.25">
      <c r="A607" s="30">
        <v>9.5026257720143712E-9</v>
      </c>
    </row>
    <row r="608" spans="1:1" x14ac:dyDescent="0.25">
      <c r="A608" s="30">
        <v>9.0274944834136515E-9</v>
      </c>
    </row>
    <row r="609" spans="1:1" x14ac:dyDescent="0.25">
      <c r="A609" s="30">
        <v>8.5761197592429686E-9</v>
      </c>
    </row>
    <row r="610" spans="1:1" x14ac:dyDescent="0.25">
      <c r="A610" s="30">
        <v>8.1473137712808194E-9</v>
      </c>
    </row>
    <row r="611" spans="1:1" x14ac:dyDescent="0.25">
      <c r="A611" s="30">
        <v>7.7399480827167776E-9</v>
      </c>
    </row>
    <row r="612" spans="1:1" x14ac:dyDescent="0.25">
      <c r="A612" s="30">
        <v>7.3529506785809386E-9</v>
      </c>
    </row>
    <row r="613" spans="1:1" x14ac:dyDescent="0.25">
      <c r="A613" s="30">
        <v>6.9853031446518911E-9</v>
      </c>
    </row>
    <row r="614" spans="1:1" x14ac:dyDescent="0.25">
      <c r="A614" s="30">
        <v>6.6360379874192963E-9</v>
      </c>
    </row>
    <row r="615" spans="1:1" x14ac:dyDescent="0.25">
      <c r="A615" s="30">
        <v>6.3042360880483309E-9</v>
      </c>
    </row>
    <row r="616" spans="1:1" x14ac:dyDescent="0.25">
      <c r="A616" s="30">
        <v>5.989024283645914E-9</v>
      </c>
    </row>
    <row r="617" spans="1:1" x14ac:dyDescent="0.25">
      <c r="A617" s="30">
        <v>5.6895730694636181E-9</v>
      </c>
    </row>
    <row r="618" spans="1:1" x14ac:dyDescent="0.25">
      <c r="A618" s="30">
        <v>5.4050944159904366E-9</v>
      </c>
    </row>
    <row r="619" spans="1:1" x14ac:dyDescent="0.25">
      <c r="A619" s="30">
        <v>5.1348396951909145E-9</v>
      </c>
    </row>
    <row r="620" spans="1:1" x14ac:dyDescent="0.25">
      <c r="A620" s="30">
        <v>4.8780977104313684E-9</v>
      </c>
    </row>
    <row r="621" spans="1:1" x14ac:dyDescent="0.25">
      <c r="A621" s="30">
        <v>4.6341928249097994E-9</v>
      </c>
    </row>
    <row r="622" spans="1:1" x14ac:dyDescent="0.25">
      <c r="A622" s="30">
        <v>4.4024831836643092E-9</v>
      </c>
    </row>
    <row r="623" spans="1:1" x14ac:dyDescent="0.25">
      <c r="A623" s="30">
        <v>4.1823590244810936E-9</v>
      </c>
    </row>
    <row r="624" spans="1:1" x14ac:dyDescent="0.25">
      <c r="A624" s="30">
        <v>3.9732410732570384E-9</v>
      </c>
    </row>
    <row r="625" spans="1:1" x14ac:dyDescent="0.25">
      <c r="A625" s="30">
        <v>3.7745790195941862E-9</v>
      </c>
    </row>
    <row r="626" spans="1:1" x14ac:dyDescent="0.25">
      <c r="A626" s="30">
        <v>3.5858500686144767E-9</v>
      </c>
    </row>
    <row r="627" spans="1:1" x14ac:dyDescent="0.25">
      <c r="A627" s="30">
        <v>3.4065575651837529E-9</v>
      </c>
    </row>
    <row r="628" spans="1:1" x14ac:dyDescent="0.25">
      <c r="A628" s="30">
        <v>3.236229686924565E-9</v>
      </c>
    </row>
    <row r="629" spans="1:1" x14ac:dyDescent="0.25">
      <c r="A629" s="30">
        <v>3.0744182025783365E-9</v>
      </c>
    </row>
    <row r="630" spans="1:1" x14ac:dyDescent="0.25">
      <c r="A630" s="30">
        <v>2.9206972924494197E-9</v>
      </c>
    </row>
    <row r="631" spans="1:1" x14ac:dyDescent="0.25">
      <c r="A631" s="30">
        <v>2.7746624278269484E-9</v>
      </c>
    </row>
    <row r="632" spans="1:1" x14ac:dyDescent="0.25">
      <c r="A632" s="30">
        <v>2.635929306435601E-9</v>
      </c>
    </row>
    <row r="633" spans="1:1" x14ac:dyDescent="0.25">
      <c r="A633" s="30">
        <v>2.504132841113821E-9</v>
      </c>
    </row>
    <row r="634" spans="1:1" x14ac:dyDescent="0.25">
      <c r="A634" s="30">
        <v>2.3789261990581298E-9</v>
      </c>
    </row>
    <row r="635" spans="1:1" x14ac:dyDescent="0.25">
      <c r="A635" s="30">
        <v>2.259979889105223E-9</v>
      </c>
    </row>
    <row r="636" spans="1:1" x14ac:dyDescent="0.25">
      <c r="A636" s="30">
        <v>2.1469808946499619E-9</v>
      </c>
    </row>
    <row r="637" spans="1:1" x14ac:dyDescent="0.25">
      <c r="A637" s="30">
        <v>2.0396318499174636E-9</v>
      </c>
    </row>
    <row r="638" spans="1:1" x14ac:dyDescent="0.25">
      <c r="A638" s="30">
        <v>1.9376502574215905E-9</v>
      </c>
    </row>
    <row r="639" spans="1:1" x14ac:dyDescent="0.25">
      <c r="A639" s="30">
        <v>1.8407677445505109E-9</v>
      </c>
    </row>
    <row r="640" spans="1:1" x14ac:dyDescent="0.25">
      <c r="A640" s="30">
        <v>1.7487293573229853E-9</v>
      </c>
    </row>
    <row r="641" spans="1:1" x14ac:dyDescent="0.25">
      <c r="A641" s="30">
        <v>1.661292889456836E-9</v>
      </c>
    </row>
    <row r="642" spans="1:1" x14ac:dyDescent="0.25">
      <c r="A642" s="30">
        <v>1.578228244983994E-9</v>
      </c>
    </row>
    <row r="643" spans="1:1" x14ac:dyDescent="0.25">
      <c r="A643" s="30">
        <v>1.4993168327347942E-9</v>
      </c>
    </row>
    <row r="644" spans="1:1" x14ac:dyDescent="0.25">
      <c r="A644" s="30">
        <v>1.4243509910980544E-9</v>
      </c>
    </row>
    <row r="645" spans="1:1" x14ac:dyDescent="0.25">
      <c r="A645" s="30">
        <v>1.3531334415431516E-9</v>
      </c>
    </row>
    <row r="646" spans="1:1" x14ac:dyDescent="0.25">
      <c r="A646" s="30">
        <v>1.285476769465994E-9</v>
      </c>
    </row>
    <row r="647" spans="1:1" x14ac:dyDescent="0.25">
      <c r="A647" s="30">
        <v>1.2212029309926942E-9</v>
      </c>
    </row>
    <row r="648" spans="1:1" x14ac:dyDescent="0.25">
      <c r="A648" s="30">
        <v>1.1601427844430595E-9</v>
      </c>
    </row>
    <row r="649" spans="1:1" x14ac:dyDescent="0.25">
      <c r="A649" s="30">
        <v>1.1021356452209065E-9</v>
      </c>
    </row>
    <row r="650" spans="1:1" x14ac:dyDescent="0.25">
      <c r="A650" s="30">
        <v>1.047028862959861E-9</v>
      </c>
    </row>
    <row r="651" spans="1:1" x14ac:dyDescent="0.25">
      <c r="A651" s="30">
        <v>9.9467741981186791E-10</v>
      </c>
    </row>
    <row r="652" spans="1:1" x14ac:dyDescent="0.25">
      <c r="A652" s="30">
        <v>9.4494354882127439E-10</v>
      </c>
    </row>
    <row r="653" spans="1:1" x14ac:dyDescent="0.25">
      <c r="A653" s="30">
        <v>8.9769637138021059E-10</v>
      </c>
    </row>
    <row r="654" spans="1:1" x14ac:dyDescent="0.25">
      <c r="A654" s="30">
        <v>8.5281155281120004E-10</v>
      </c>
    </row>
    <row r="655" spans="1:1" x14ac:dyDescent="0.25">
      <c r="A655" s="30">
        <v>8.1017097517064003E-10</v>
      </c>
    </row>
    <row r="656" spans="1:1" x14ac:dyDescent="0.25">
      <c r="A656" s="30">
        <v>7.69662426412108E-10</v>
      </c>
    </row>
    <row r="657" spans="1:1" x14ac:dyDescent="0.25">
      <c r="A657" s="30">
        <v>7.3117930509150257E-10</v>
      </c>
    </row>
    <row r="658" spans="1:1" x14ac:dyDescent="0.25">
      <c r="A658" s="30">
        <v>6.9462033983692743E-10</v>
      </c>
    </row>
    <row r="659" spans="1:1" x14ac:dyDescent="0.25">
      <c r="A659" s="30">
        <v>6.5988932284508105E-10</v>
      </c>
    </row>
    <row r="660" spans="1:1" x14ac:dyDescent="0.25">
      <c r="A660" s="30">
        <v>6.2689485670282699E-10</v>
      </c>
    </row>
    <row r="661" spans="1:1" x14ac:dyDescent="0.25">
      <c r="A661" s="30">
        <v>5.9555011386768556E-10</v>
      </c>
    </row>
    <row r="662" spans="1:1" x14ac:dyDescent="0.25">
      <c r="A662" s="30">
        <v>5.6577260817430128E-10</v>
      </c>
    </row>
    <row r="663" spans="1:1" x14ac:dyDescent="0.25">
      <c r="A663" s="30">
        <v>5.3748397776558616E-10</v>
      </c>
    </row>
    <row r="664" spans="1:1" x14ac:dyDescent="0.25">
      <c r="A664" s="30">
        <v>5.1060977887730685E-10</v>
      </c>
    </row>
    <row r="665" spans="1:1" x14ac:dyDescent="0.25">
      <c r="A665" s="30">
        <v>4.8507928993344152E-10</v>
      </c>
    </row>
    <row r="666" spans="1:1" x14ac:dyDescent="0.25">
      <c r="A666" s="30">
        <v>4.6082532543676942E-10</v>
      </c>
    </row>
    <row r="667" spans="1:1" x14ac:dyDescent="0.25">
      <c r="A667" s="30">
        <v>4.3778405916493093E-10</v>
      </c>
    </row>
    <row r="668" spans="1:1" x14ac:dyDescent="0.25">
      <c r="A668" s="30">
        <v>4.1589485620668437E-10</v>
      </c>
    </row>
    <row r="669" spans="1:1" x14ac:dyDescent="0.25">
      <c r="A669" s="30">
        <v>3.9510011339635012E-10</v>
      </c>
    </row>
    <row r="670" spans="1:1" x14ac:dyDescent="0.25">
      <c r="A670" s="30">
        <v>3.7534510772653259E-10</v>
      </c>
    </row>
    <row r="671" spans="1:1" x14ac:dyDescent="0.25">
      <c r="A671" s="30">
        <v>3.5657785234020594E-10</v>
      </c>
    </row>
    <row r="672" spans="1:1" x14ac:dyDescent="0.25">
      <c r="A672" s="30">
        <v>3.3874895972319565E-10</v>
      </c>
    </row>
    <row r="673" spans="1:1" x14ac:dyDescent="0.25">
      <c r="A673" s="30">
        <v>3.2181151173703586E-10</v>
      </c>
    </row>
    <row r="674" spans="1:1" x14ac:dyDescent="0.25">
      <c r="A674" s="30">
        <v>3.0572093615018408E-10</v>
      </c>
    </row>
    <row r="675" spans="1:1" x14ac:dyDescent="0.25">
      <c r="A675" s="30">
        <v>2.9043488934267484E-10</v>
      </c>
    </row>
    <row r="676" spans="1:1" x14ac:dyDescent="0.25">
      <c r="A676" s="30">
        <v>2.7591314487554109E-10</v>
      </c>
    </row>
    <row r="677" spans="1:1" x14ac:dyDescent="0.25">
      <c r="A677" s="30">
        <v>2.6211748763176403E-10</v>
      </c>
    </row>
    <row r="678" spans="1:1" x14ac:dyDescent="0.25">
      <c r="A678" s="30">
        <v>2.4901161325017583E-10</v>
      </c>
    </row>
    <row r="679" spans="1:1" x14ac:dyDescent="0.25">
      <c r="A679" s="30">
        <v>2.3656103258766704E-10</v>
      </c>
    </row>
    <row r="680" spans="1:1" x14ac:dyDescent="0.25">
      <c r="A680" s="30">
        <v>2.2473298095828367E-10</v>
      </c>
    </row>
    <row r="681" spans="1:1" x14ac:dyDescent="0.25">
      <c r="A681" s="30">
        <v>2.1349633191036949E-10</v>
      </c>
    </row>
    <row r="682" spans="1:1" x14ac:dyDescent="0.25">
      <c r="A682" s="30">
        <v>2.02821515314851E-10</v>
      </c>
    </row>
    <row r="683" spans="1:1" x14ac:dyDescent="0.25">
      <c r="A683" s="30">
        <v>1.9268043954910845E-10</v>
      </c>
    </row>
    <row r="684" spans="1:1" x14ac:dyDescent="0.25">
      <c r="A684" s="30">
        <v>1.8304641757165302E-10</v>
      </c>
    </row>
    <row r="685" spans="1:1" x14ac:dyDescent="0.25">
      <c r="A685" s="30">
        <v>1.7389409669307036E-10</v>
      </c>
    </row>
    <row r="686" spans="1:1" x14ac:dyDescent="0.25">
      <c r="A686" s="30">
        <v>1.6519939185841684E-10</v>
      </c>
    </row>
    <row r="687" spans="1:1" x14ac:dyDescent="0.25">
      <c r="A687" s="30">
        <v>1.5693942226549599E-10</v>
      </c>
    </row>
    <row r="688" spans="1:1" x14ac:dyDescent="0.25">
      <c r="A688" s="30">
        <v>1.4909245115222119E-10</v>
      </c>
    </row>
    <row r="689" spans="1:1" x14ac:dyDescent="0.25">
      <c r="A689" s="30">
        <v>1.4163782859461013E-10</v>
      </c>
    </row>
    <row r="690" spans="1:1" x14ac:dyDescent="0.25">
      <c r="A690" s="30">
        <v>1.3455593716487961E-10</v>
      </c>
    </row>
    <row r="691" spans="1:1" x14ac:dyDescent="0.25">
      <c r="A691" s="30">
        <v>1.2782814030663562E-10</v>
      </c>
    </row>
    <row r="692" spans="1:1" x14ac:dyDescent="0.25">
      <c r="A692" s="30">
        <v>1.2143673329130384E-10</v>
      </c>
    </row>
    <row r="693" spans="1:1" x14ac:dyDescent="0.25">
      <c r="A693" s="30">
        <v>1.1536489662673864E-10</v>
      </c>
    </row>
    <row r="694" spans="1:1" x14ac:dyDescent="0.25">
      <c r="A694" s="30">
        <v>1.095966517954017E-10</v>
      </c>
    </row>
    <row r="695" spans="1:1" x14ac:dyDescent="0.25">
      <c r="A695" s="30">
        <v>1.0411681920563161E-10</v>
      </c>
    </row>
    <row r="696" spans="1:1" x14ac:dyDescent="0.25">
      <c r="A696" s="30">
        <v>9.8910978245350022E-11</v>
      </c>
    </row>
    <row r="697" spans="1:1" x14ac:dyDescent="0.25">
      <c r="A697" s="30">
        <v>9.3965429333082514E-11</v>
      </c>
    </row>
    <row r="698" spans="1:1" x14ac:dyDescent="0.25">
      <c r="A698" s="30">
        <v>8.926715786642838E-11</v>
      </c>
    </row>
    <row r="699" spans="1:1" x14ac:dyDescent="0.25">
      <c r="A699" s="30">
        <v>8.4803799973106953E-11</v>
      </c>
    </row>
    <row r="700" spans="1:1" x14ac:dyDescent="0.25">
      <c r="A700" s="30">
        <v>8.0563609974451603E-11</v>
      </c>
    </row>
    <row r="701" spans="1:1" x14ac:dyDescent="0.25">
      <c r="A701" s="30">
        <v>7.6535429475729024E-11</v>
      </c>
    </row>
    <row r="702" spans="1:1" x14ac:dyDescent="0.25">
      <c r="A702" s="30">
        <v>7.270865800194257E-11</v>
      </c>
    </row>
    <row r="703" spans="1:1" x14ac:dyDescent="0.25">
      <c r="A703" s="30">
        <v>6.9073225101845444E-11</v>
      </c>
    </row>
    <row r="704" spans="1:1" x14ac:dyDescent="0.25">
      <c r="A704" s="30">
        <v>6.5619563846753168E-11</v>
      </c>
    </row>
    <row r="705" spans="1:1" x14ac:dyDescent="0.25">
      <c r="A705" s="30">
        <v>6.2338585654415507E-11</v>
      </c>
    </row>
    <row r="706" spans="1:1" x14ac:dyDescent="0.25">
      <c r="A706" s="30">
        <v>5.9221656371694723E-11</v>
      </c>
    </row>
    <row r="707" spans="1:1" x14ac:dyDescent="0.25">
      <c r="A707" s="30">
        <v>5.6260573553109984E-11</v>
      </c>
    </row>
    <row r="708" spans="1:1" x14ac:dyDescent="0.25">
      <c r="A708" s="30">
        <v>5.3447544875454483E-11</v>
      </c>
    </row>
    <row r="709" spans="1:1" x14ac:dyDescent="0.25">
      <c r="A709" s="30">
        <v>5.0775167631681754E-11</v>
      </c>
    </row>
    <row r="710" spans="1:1" x14ac:dyDescent="0.25">
      <c r="A710" s="30">
        <v>4.8236409250097665E-11</v>
      </c>
    </row>
    <row r="711" spans="1:1" x14ac:dyDescent="0.25">
      <c r="A711" s="30">
        <v>4.5824588787592778E-11</v>
      </c>
    </row>
    <row r="712" spans="1:1" x14ac:dyDescent="0.25">
      <c r="A712" s="30">
        <v>4.3533359348213134E-11</v>
      </c>
    </row>
    <row r="713" spans="1:1" x14ac:dyDescent="0.25">
      <c r="A713" s="30">
        <v>4.1356691380802478E-11</v>
      </c>
    </row>
    <row r="714" spans="1:1" x14ac:dyDescent="0.25">
      <c r="A714" s="30">
        <v>3.9288856811762353E-11</v>
      </c>
    </row>
    <row r="715" spans="1:1" x14ac:dyDescent="0.25">
      <c r="A715" s="30">
        <v>3.7324413971174231E-11</v>
      </c>
    </row>
    <row r="716" spans="1:1" x14ac:dyDescent="0.25">
      <c r="A716" s="30">
        <v>3.545819327261552E-11</v>
      </c>
    </row>
    <row r="717" spans="1:1" x14ac:dyDescent="0.25">
      <c r="A717" s="30">
        <v>3.3685283608984745E-11</v>
      </c>
    </row>
    <row r="718" spans="1:1" x14ac:dyDescent="0.25">
      <c r="A718" s="30">
        <v>3.2001019428535508E-11</v>
      </c>
    </row>
    <row r="719" spans="1:1" x14ac:dyDescent="0.25">
      <c r="A719" s="30">
        <v>3.0400968457108733E-11</v>
      </c>
    </row>
    <row r="720" spans="1:1" x14ac:dyDescent="0.25">
      <c r="A720" s="30">
        <v>2.8880920034253296E-11</v>
      </c>
    </row>
    <row r="721" spans="1:1" x14ac:dyDescent="0.25">
      <c r="A721" s="30">
        <v>2.7436874032540629E-11</v>
      </c>
    </row>
    <row r="722" spans="1:1" x14ac:dyDescent="0.25">
      <c r="A722" s="30">
        <v>2.6065030330913595E-11</v>
      </c>
    </row>
    <row r="723" spans="1:1" x14ac:dyDescent="0.25">
      <c r="A723" s="30">
        <v>2.4761778814367914E-11</v>
      </c>
    </row>
    <row r="724" spans="1:1" x14ac:dyDescent="0.25">
      <c r="A724" s="30">
        <v>2.3523689873649516E-11</v>
      </c>
    </row>
    <row r="725" spans="1:1" x14ac:dyDescent="0.25">
      <c r="A725" s="30">
        <v>2.234750537996704E-11</v>
      </c>
    </row>
    <row r="726" spans="1:1" x14ac:dyDescent="0.25">
      <c r="A726" s="30">
        <v>2.1230130110968688E-11</v>
      </c>
    </row>
    <row r="727" spans="1:1" x14ac:dyDescent="0.25">
      <c r="A727" s="30">
        <v>2.0168623605420253E-11</v>
      </c>
    </row>
    <row r="728" spans="1:1" x14ac:dyDescent="0.25">
      <c r="A728" s="30">
        <v>1.916019242514924E-11</v>
      </c>
    </row>
    <row r="729" spans="1:1" x14ac:dyDescent="0.25">
      <c r="A729" s="30">
        <v>1.8202182803891777E-11</v>
      </c>
    </row>
    <row r="730" spans="1:1" x14ac:dyDescent="0.25">
      <c r="A730" s="30">
        <v>1.7292073663697186E-11</v>
      </c>
    </row>
    <row r="731" spans="1:1" x14ac:dyDescent="0.25">
      <c r="A731" s="30">
        <v>1.6427469980512324E-11</v>
      </c>
    </row>
    <row r="732" spans="1:1" x14ac:dyDescent="0.25">
      <c r="A732" s="30">
        <v>1.5606096481486706E-11</v>
      </c>
    </row>
    <row r="733" spans="1:1" x14ac:dyDescent="0.25">
      <c r="A733" s="30">
        <v>1.482579165741237E-11</v>
      </c>
    </row>
    <row r="734" spans="1:1" x14ac:dyDescent="0.25">
      <c r="A734" s="30">
        <v>1.408450207454175E-11</v>
      </c>
    </row>
    <row r="735" spans="1:1" x14ac:dyDescent="0.25">
      <c r="A735" s="30">
        <v>1.3380276970814662E-11</v>
      </c>
    </row>
    <row r="736" spans="1:1" x14ac:dyDescent="0.25">
      <c r="A736" s="30">
        <v>1.2711263122273928E-11</v>
      </c>
    </row>
    <row r="737" spans="1:1" x14ac:dyDescent="0.25">
      <c r="A737" s="30">
        <v>1.2075699966160231E-11</v>
      </c>
    </row>
    <row r="738" spans="1:1" x14ac:dyDescent="0.25">
      <c r="A738" s="30">
        <v>1.1471914967852219E-11</v>
      </c>
    </row>
    <row r="739" spans="1:1" x14ac:dyDescent="0.25">
      <c r="A739" s="30">
        <v>1.0898319219459608E-11</v>
      </c>
    </row>
    <row r="740" spans="1:1" x14ac:dyDescent="0.25">
      <c r="A740" s="30">
        <v>1.0353403258486628E-11</v>
      </c>
    </row>
    <row r="741" spans="1:1" x14ac:dyDescent="0.25">
      <c r="A741" s="30">
        <v>9.8357330955622963E-12</v>
      </c>
    </row>
    <row r="742" spans="1:1" x14ac:dyDescent="0.25">
      <c r="A742" s="30">
        <v>9.3439464407841808E-12</v>
      </c>
    </row>
    <row r="743" spans="1:1" x14ac:dyDescent="0.25">
      <c r="A743" s="30">
        <v>8.8767491187449709E-12</v>
      </c>
    </row>
    <row r="744" spans="1:1" x14ac:dyDescent="0.25">
      <c r="A744" s="30">
        <v>8.4329116628077213E-12</v>
      </c>
    </row>
    <row r="745" spans="1:1" x14ac:dyDescent="0.25">
      <c r="A745" s="30">
        <v>8.0112660796673341E-12</v>
      </c>
    </row>
    <row r="746" spans="1:1" x14ac:dyDescent="0.25">
      <c r="A746" s="30">
        <v>7.6107027756839663E-12</v>
      </c>
    </row>
    <row r="747" spans="1:1" x14ac:dyDescent="0.25">
      <c r="A747" s="30">
        <v>7.2301676368997673E-12</v>
      </c>
    </row>
    <row r="748" spans="1:1" x14ac:dyDescent="0.25">
      <c r="A748" s="30">
        <v>6.8686592550547782E-12</v>
      </c>
    </row>
    <row r="749" spans="1:1" x14ac:dyDescent="0.25">
      <c r="A749" s="30">
        <v>6.5252262923020387E-12</v>
      </c>
    </row>
    <row r="750" spans="1:1" x14ac:dyDescent="0.25">
      <c r="A750" s="30">
        <v>6.1989649776869368E-12</v>
      </c>
    </row>
    <row r="751" spans="1:1" x14ac:dyDescent="0.25">
      <c r="A751" s="30">
        <v>5.8890167288025901E-12</v>
      </c>
    </row>
    <row r="752" spans="1:1" x14ac:dyDescent="0.25">
      <c r="A752" s="30">
        <v>5.5945658923624606E-12</v>
      </c>
    </row>
    <row r="753" spans="1:1" x14ac:dyDescent="0.25">
      <c r="A753" s="30">
        <v>5.3148375977443373E-12</v>
      </c>
    </row>
    <row r="754" spans="1:1" x14ac:dyDescent="0.25">
      <c r="A754" s="30">
        <v>5.0490957178571204E-12</v>
      </c>
    </row>
    <row r="755" spans="1:1" x14ac:dyDescent="0.25">
      <c r="A755" s="30">
        <v>4.796640931964264E-12</v>
      </c>
    </row>
    <row r="756" spans="1:1" x14ac:dyDescent="0.25">
      <c r="A756" s="30">
        <v>4.5568088853660509E-12</v>
      </c>
    </row>
    <row r="757" spans="1:1" x14ac:dyDescent="0.25">
      <c r="A757" s="30">
        <v>4.3289684410977484E-12</v>
      </c>
    </row>
    <row r="758" spans="1:1" x14ac:dyDescent="0.25">
      <c r="A758" s="30">
        <v>4.1125200190428609E-12</v>
      </c>
    </row>
    <row r="759" spans="1:1" x14ac:dyDescent="0.25">
      <c r="A759" s="30">
        <v>3.9068940180907175E-12</v>
      </c>
    </row>
    <row r="760" spans="1:1" x14ac:dyDescent="0.25">
      <c r="A760" s="30">
        <v>3.7115493171861816E-12</v>
      </c>
    </row>
    <row r="761" spans="1:1" x14ac:dyDescent="0.25">
      <c r="A761" s="30">
        <v>3.5259718513268725E-12</v>
      </c>
    </row>
    <row r="762" spans="1:1" x14ac:dyDescent="0.25">
      <c r="A762" s="30">
        <v>3.3496732587605286E-12</v>
      </c>
    </row>
    <row r="763" spans="1:1" x14ac:dyDescent="0.25">
      <c r="A763" s="30">
        <v>3.182189595822502E-12</v>
      </c>
    </row>
    <row r="764" spans="1:1" x14ac:dyDescent="0.25">
      <c r="A764" s="30">
        <v>3.0230801160313768E-12</v>
      </c>
    </row>
    <row r="765" spans="1:1" x14ac:dyDescent="0.25">
      <c r="A765" s="30">
        <v>2.8719261102298077E-12</v>
      </c>
    </row>
    <row r="766" spans="1:1" x14ac:dyDescent="0.25">
      <c r="A766" s="30">
        <v>2.7283298047183172E-12</v>
      </c>
    </row>
    <row r="767" spans="1:1" x14ac:dyDescent="0.25">
      <c r="A767" s="30">
        <v>2.5919133144824012E-12</v>
      </c>
    </row>
    <row r="768" spans="1:1" x14ac:dyDescent="0.25">
      <c r="A768" s="30">
        <v>2.4623176487582809E-12</v>
      </c>
    </row>
    <row r="769" spans="1:1" x14ac:dyDescent="0.25">
      <c r="A769" s="30">
        <v>2.339201766320367E-12</v>
      </c>
    </row>
    <row r="770" spans="1:1" x14ac:dyDescent="0.25">
      <c r="A770" s="30">
        <v>2.2222416780043484E-12</v>
      </c>
    </row>
    <row r="771" spans="1:1" x14ac:dyDescent="0.25">
      <c r="A771" s="30">
        <v>2.1111295941041311E-12</v>
      </c>
    </row>
    <row r="772" spans="1:1" x14ac:dyDescent="0.25">
      <c r="A772" s="30">
        <v>2.0055731143989244E-12</v>
      </c>
    </row>
    <row r="773" spans="1:1" x14ac:dyDescent="0.25">
      <c r="A773" s="30">
        <v>1.9052944586789781E-12</v>
      </c>
    </row>
    <row r="774" spans="1:1" x14ac:dyDescent="0.25">
      <c r="A774" s="30">
        <v>1.8100297357450291E-12</v>
      </c>
    </row>
    <row r="775" spans="1:1" x14ac:dyDescent="0.25">
      <c r="A775" s="30">
        <v>1.7195282489577775E-12</v>
      </c>
    </row>
    <row r="776" spans="1:1" x14ac:dyDescent="0.25">
      <c r="A776" s="30">
        <v>1.6335518365098885E-12</v>
      </c>
    </row>
    <row r="777" spans="1:1" x14ac:dyDescent="0.25">
      <c r="A777" s="30">
        <v>1.551874244684394E-12</v>
      </c>
    </row>
    <row r="778" spans="1:1" x14ac:dyDescent="0.25">
      <c r="A778" s="30">
        <v>1.4742805324501742E-12</v>
      </c>
    </row>
    <row r="779" spans="1:1" x14ac:dyDescent="0.25">
      <c r="A779" s="30">
        <v>1.4005665058276655E-12</v>
      </c>
    </row>
    <row r="780" spans="1:1" x14ac:dyDescent="0.25">
      <c r="A780" s="30">
        <v>1.3305381805362821E-12</v>
      </c>
    </row>
    <row r="781" spans="1:1" x14ac:dyDescent="0.25">
      <c r="A781" s="30">
        <v>1.264011271509468E-12</v>
      </c>
    </row>
    <row r="782" spans="1:1" x14ac:dyDescent="0.25">
      <c r="A782" s="30">
        <v>1.2008107079339945E-12</v>
      </c>
    </row>
    <row r="783" spans="1:1" x14ac:dyDescent="0.25">
      <c r="A783" s="30">
        <v>1.1407701725372948E-12</v>
      </c>
    </row>
    <row r="784" spans="1:1" x14ac:dyDescent="0.25">
      <c r="A784" s="30">
        <v>1.08373166391043E-12</v>
      </c>
    </row>
    <row r="785" spans="1:1" x14ac:dyDescent="0.25">
      <c r="A785" s="30">
        <v>1.0295450807149084E-12</v>
      </c>
    </row>
    <row r="786" spans="1:1" x14ac:dyDescent="0.25">
      <c r="A786" s="30">
        <v>9.7806782667916296E-13</v>
      </c>
    </row>
    <row r="787" spans="1:1" x14ac:dyDescent="0.25">
      <c r="A787" s="30">
        <v>9.2916443534520479E-13</v>
      </c>
    </row>
    <row r="788" spans="1:1" x14ac:dyDescent="0.25">
      <c r="A788" s="30">
        <v>8.8270621357794449E-13</v>
      </c>
    </row>
    <row r="789" spans="1:1" x14ac:dyDescent="0.25">
      <c r="A789" s="30">
        <v>8.3857090289904726E-13</v>
      </c>
    </row>
    <row r="790" spans="1:1" x14ac:dyDescent="0.25">
      <c r="A790" s="30">
        <v>7.9664235775409483E-13</v>
      </c>
    </row>
    <row r="791" spans="1:1" x14ac:dyDescent="0.25">
      <c r="A791" s="30">
        <v>7.5681023986639008E-13</v>
      </c>
    </row>
    <row r="792" spans="1:1" x14ac:dyDescent="0.25">
      <c r="A792" s="30">
        <v>7.1896972787307055E-13</v>
      </c>
    </row>
    <row r="793" spans="1:1" x14ac:dyDescent="0.25">
      <c r="A793" s="30">
        <v>6.8302124147941695E-13</v>
      </c>
    </row>
    <row r="794" spans="1:1" x14ac:dyDescent="0.25">
      <c r="A794" s="30">
        <v>6.4887017940544605E-13</v>
      </c>
    </row>
    <row r="795" spans="1:1" x14ac:dyDescent="0.25">
      <c r="A795" s="30">
        <v>6.1642667043517373E-13</v>
      </c>
    </row>
    <row r="796" spans="1:1" x14ac:dyDescent="0.25">
      <c r="A796" s="30">
        <v>5.8560533691341505E-13</v>
      </c>
    </row>
    <row r="797" spans="1:1" x14ac:dyDescent="0.25">
      <c r="A797" s="30">
        <v>5.5632507006774425E-13</v>
      </c>
    </row>
    <row r="798" spans="1:1" x14ac:dyDescent="0.25">
      <c r="A798" s="30">
        <v>5.2850881656435705E-13</v>
      </c>
    </row>
    <row r="799" spans="1:1" x14ac:dyDescent="0.25">
      <c r="A799" s="30">
        <v>5.0208337573613919E-13</v>
      </c>
    </row>
    <row r="800" spans="1:1" x14ac:dyDescent="0.25">
      <c r="A800" s="30">
        <v>4.7697920694933223E-13</v>
      </c>
    </row>
    <row r="801" spans="1:1" x14ac:dyDescent="0.25">
      <c r="A801" s="30">
        <v>4.5313024660186561E-13</v>
      </c>
    </row>
    <row r="802" spans="1:1" x14ac:dyDescent="0.25">
      <c r="A802" s="30">
        <v>4.3047373427177233E-13</v>
      </c>
    </row>
    <row r="803" spans="1:1" x14ac:dyDescent="0.25">
      <c r="A803" s="30">
        <v>4.089500475581837E-13</v>
      </c>
    </row>
    <row r="804" spans="1:1" x14ac:dyDescent="0.25">
      <c r="A804" s="30">
        <v>3.8850254518027451E-13</v>
      </c>
    </row>
    <row r="805" spans="1:1" x14ac:dyDescent="0.25">
      <c r="A805" s="30">
        <v>3.6907741792126075E-13</v>
      </c>
    </row>
    <row r="806" spans="1:1" x14ac:dyDescent="0.25">
      <c r="A806" s="30">
        <v>3.506235470251977E-13</v>
      </c>
    </row>
    <row r="807" spans="1:1" x14ac:dyDescent="0.25">
      <c r="A807" s="30">
        <v>3.3309236967393782E-13</v>
      </c>
    </row>
  </sheetData>
  <conditionalFormatting sqref="C136">
    <cfRule type="cellIs" dxfId="68" priority="645" operator="equal">
      <formula>$U$1</formula>
    </cfRule>
    <cfRule type="cellIs" dxfId="67" priority="646" operator="equal">
      <formula>$S$1</formula>
    </cfRule>
  </conditionalFormatting>
  <conditionalFormatting sqref="D136">
    <cfRule type="cellIs" dxfId="66" priority="643" operator="equal">
      <formula>$S$1</formula>
    </cfRule>
    <cfRule type="cellIs" dxfId="65" priority="644" operator="equal">
      <formula>$U$1</formula>
    </cfRule>
  </conditionalFormatting>
  <conditionalFormatting sqref="C162">
    <cfRule type="cellIs" dxfId="64" priority="641" operator="equal">
      <formula>$U$1</formula>
    </cfRule>
    <cfRule type="cellIs" dxfId="63" priority="642" operator="equal">
      <formula>$S$1</formula>
    </cfRule>
  </conditionalFormatting>
  <conditionalFormatting sqref="D162">
    <cfRule type="cellIs" dxfId="62" priority="639" operator="equal">
      <formula>$S$1</formula>
    </cfRule>
    <cfRule type="cellIs" dxfId="61" priority="640" operator="equal">
      <formula>$U$1</formula>
    </cfRule>
  </conditionalFormatting>
  <conditionalFormatting sqref="C187">
    <cfRule type="cellIs" dxfId="60" priority="637" operator="equal">
      <formula>$U$1</formula>
    </cfRule>
    <cfRule type="cellIs" dxfId="59" priority="638" operator="equal">
      <formula>$S$1</formula>
    </cfRule>
  </conditionalFormatting>
  <conditionalFormatting sqref="D187">
    <cfRule type="cellIs" dxfId="58" priority="635" operator="equal">
      <formula>$S$1</formula>
    </cfRule>
    <cfRule type="cellIs" dxfId="57" priority="636" operator="equal">
      <formula>$U$1</formula>
    </cfRule>
  </conditionalFormatting>
  <conditionalFormatting sqref="C212">
    <cfRule type="cellIs" dxfId="56" priority="633" operator="equal">
      <formula>$U$1</formula>
    </cfRule>
    <cfRule type="cellIs" dxfId="55" priority="634" operator="equal">
      <formula>$S$1</formula>
    </cfRule>
  </conditionalFormatting>
  <conditionalFormatting sqref="D212">
    <cfRule type="cellIs" dxfId="54" priority="631" operator="equal">
      <formula>$S$1</formula>
    </cfRule>
    <cfRule type="cellIs" dxfId="53" priority="632" operator="equal">
      <formula>$U$1</formula>
    </cfRule>
  </conditionalFormatting>
  <conditionalFormatting sqref="C237">
    <cfRule type="cellIs" dxfId="52" priority="629" operator="equal">
      <formula>$U$1</formula>
    </cfRule>
    <cfRule type="cellIs" dxfId="51" priority="630" operator="equal">
      <formula>$S$1</formula>
    </cfRule>
  </conditionalFormatting>
  <conditionalFormatting sqref="D237">
    <cfRule type="cellIs" dxfId="50" priority="627" operator="equal">
      <formula>$S$1</formula>
    </cfRule>
    <cfRule type="cellIs" dxfId="49" priority="628" operator="equal">
      <formula>$U$1</formula>
    </cfRule>
  </conditionalFormatting>
  <conditionalFormatting sqref="C106">
    <cfRule type="cellIs" dxfId="48" priority="625" operator="equal">
      <formula>$U$1</formula>
    </cfRule>
    <cfRule type="cellIs" dxfId="47" priority="626" operator="equal">
      <formula>$S$1</formula>
    </cfRule>
  </conditionalFormatting>
  <conditionalFormatting sqref="D106">
    <cfRule type="cellIs" dxfId="46" priority="623" operator="equal">
      <formula>$S$1</formula>
    </cfRule>
    <cfRule type="cellIs" dxfId="45" priority="624" operator="equal">
      <formula>$U$1</formula>
    </cfRule>
  </conditionalFormatting>
  <conditionalFormatting sqref="C81">
    <cfRule type="cellIs" dxfId="44" priority="621" operator="equal">
      <formula>$U$1</formula>
    </cfRule>
    <cfRule type="cellIs" dxfId="43" priority="622" operator="equal">
      <formula>$S$1</formula>
    </cfRule>
  </conditionalFormatting>
  <conditionalFormatting sqref="D81">
    <cfRule type="cellIs" dxfId="42" priority="619" operator="equal">
      <formula>$S$1</formula>
    </cfRule>
    <cfRule type="cellIs" dxfId="41" priority="620" operator="equal">
      <formula>$U$1</formula>
    </cfRule>
  </conditionalFormatting>
  <conditionalFormatting sqref="C56">
    <cfRule type="cellIs" dxfId="40" priority="617" operator="equal">
      <formula>$U$1</formula>
    </cfRule>
    <cfRule type="cellIs" dxfId="39" priority="618" operator="equal">
      <formula>$S$1</formula>
    </cfRule>
  </conditionalFormatting>
  <conditionalFormatting sqref="D56">
    <cfRule type="cellIs" dxfId="38" priority="615" operator="equal">
      <formula>$S$1</formula>
    </cfRule>
    <cfRule type="cellIs" dxfId="37" priority="616" operator="equal">
      <formula>$U$1</formula>
    </cfRule>
  </conditionalFormatting>
  <conditionalFormatting sqref="C31">
    <cfRule type="cellIs" dxfId="36" priority="613" operator="equal">
      <formula>$U$1</formula>
    </cfRule>
    <cfRule type="cellIs" dxfId="35" priority="614" operator="equal">
      <formula>$S$1</formula>
    </cfRule>
  </conditionalFormatting>
  <conditionalFormatting sqref="D31">
    <cfRule type="cellIs" dxfId="34" priority="611" operator="equal">
      <formula>$S$1</formula>
    </cfRule>
    <cfRule type="cellIs" dxfId="33" priority="612" operator="equal">
      <formula>$U$1</formula>
    </cfRule>
  </conditionalFormatting>
  <conditionalFormatting sqref="D130">
    <cfRule type="cellIs" dxfId="3" priority="1" operator="lessThan">
      <formula>$A$2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rgb="FF00B0F0"/>
  </sheetPr>
  <dimension ref="A1:ZZ489"/>
  <sheetViews>
    <sheetView zoomScale="90" zoomScaleNormal="90" workbookViewId="0">
      <pane xSplit="4" topLeftCell="G1" activePane="topRight" state="frozen"/>
      <selection activeCell="A109" sqref="A109"/>
      <selection pane="topRight" activeCell="X131" sqref="X131"/>
    </sheetView>
  </sheetViews>
  <sheetFormatPr defaultRowHeight="15" x14ac:dyDescent="0.25"/>
  <cols>
    <col min="1" max="1" width="10.7109375" style="30" customWidth="1"/>
    <col min="2" max="4" width="10.7109375" style="1" hidden="1" customWidth="1"/>
    <col min="5" max="5" width="3" style="1" hidden="1" customWidth="1"/>
    <col min="6" max="6" width="3" style="27" hidden="1" customWidth="1"/>
    <col min="7" max="702" width="3" style="27" customWidth="1"/>
  </cols>
  <sheetData>
    <row r="1" spans="1:21" x14ac:dyDescent="0.25">
      <c r="S1" s="27" t="s">
        <v>7</v>
      </c>
      <c r="U1" s="27" t="s">
        <v>8</v>
      </c>
    </row>
    <row r="3" spans="1:21" x14ac:dyDescent="0.25">
      <c r="A3" s="30">
        <v>76619.065138703256</v>
      </c>
    </row>
    <row r="4" spans="1:21" x14ac:dyDescent="0.25">
      <c r="A4" s="30">
        <v>69653.695580639323</v>
      </c>
    </row>
    <row r="5" spans="1:21" x14ac:dyDescent="0.25">
      <c r="A5" s="30">
        <v>63321.541436944834</v>
      </c>
    </row>
    <row r="6" spans="1:21" x14ac:dyDescent="0.25">
      <c r="A6" s="30">
        <v>57565.037669949845</v>
      </c>
    </row>
    <row r="7" spans="1:21" x14ac:dyDescent="0.25">
      <c r="A7" s="30">
        <v>52331.852427227124</v>
      </c>
    </row>
    <row r="8" spans="1:21" x14ac:dyDescent="0.25">
      <c r="A8" s="30">
        <v>47574.411297479201</v>
      </c>
    </row>
    <row r="9" spans="1:21" x14ac:dyDescent="0.25">
      <c r="A9" s="30">
        <v>43249.464815890176</v>
      </c>
    </row>
    <row r="10" spans="1:21" x14ac:dyDescent="0.25">
      <c r="A10" s="30">
        <v>39317.695287172886</v>
      </c>
    </row>
    <row r="11" spans="1:21" x14ac:dyDescent="0.25">
      <c r="A11" s="30">
        <v>35743.359351975349</v>
      </c>
    </row>
    <row r="12" spans="1:21" x14ac:dyDescent="0.25">
      <c r="A12" s="30">
        <v>32493.963047250312</v>
      </c>
    </row>
    <row r="13" spans="1:21" x14ac:dyDescent="0.25">
      <c r="A13" s="30">
        <v>29539.966406591189</v>
      </c>
    </row>
    <row r="14" spans="1:21" x14ac:dyDescent="0.25">
      <c r="A14" s="30">
        <v>26854.514915082898</v>
      </c>
    </row>
    <row r="15" spans="1:21" x14ac:dyDescent="0.25">
      <c r="A15" s="30">
        <v>24413.195377348089</v>
      </c>
    </row>
    <row r="16" spans="1:21" x14ac:dyDescent="0.25">
      <c r="A16" s="30">
        <v>22193.81397940735</v>
      </c>
      <c r="C16" s="1" t="s">
        <v>15</v>
      </c>
    </row>
    <row r="17" spans="1:5" x14ac:dyDescent="0.25">
      <c r="A17" s="30">
        <v>20176.194526733954</v>
      </c>
      <c r="C17" s="7">
        <v>0.11167815779424731</v>
      </c>
      <c r="D17"/>
      <c r="E17"/>
    </row>
    <row r="18" spans="1:5" x14ac:dyDescent="0.25">
      <c r="A18" s="30">
        <v>18341.995024303593</v>
      </c>
      <c r="E18"/>
    </row>
    <row r="19" spans="1:5" x14ac:dyDescent="0.25">
      <c r="A19" s="30">
        <v>16674.540931185082</v>
      </c>
      <c r="C19" s="1" t="s">
        <v>11</v>
      </c>
      <c r="D19" s="1" t="s">
        <v>12</v>
      </c>
      <c r="E19"/>
    </row>
    <row r="20" spans="1:5" x14ac:dyDescent="0.25">
      <c r="A20" s="30">
        <v>15158.673573804617</v>
      </c>
      <c r="C20"/>
      <c r="D20"/>
      <c r="E20"/>
    </row>
    <row r="21" spans="1:5" x14ac:dyDescent="0.25">
      <c r="A21" s="30">
        <v>13780.612339822379</v>
      </c>
      <c r="E21"/>
    </row>
    <row r="22" spans="1:5" x14ac:dyDescent="0.25">
      <c r="A22" s="30">
        <v>12527.829399838525</v>
      </c>
      <c r="C22" s="1" t="s">
        <v>13</v>
      </c>
      <c r="E22"/>
    </row>
    <row r="23" spans="1:5" x14ac:dyDescent="0.25">
      <c r="A23" s="30">
        <v>11388.935818035023</v>
      </c>
      <c r="C23" s="1">
        <f>C12</f>
        <v>0</v>
      </c>
      <c r="E23"/>
    </row>
    <row r="24" spans="1:5" x14ac:dyDescent="0.25">
      <c r="A24" s="30">
        <v>10353.578016395475</v>
      </c>
      <c r="C24"/>
      <c r="D24"/>
      <c r="E24"/>
    </row>
    <row r="25" spans="1:5" x14ac:dyDescent="0.25">
      <c r="A25" s="30">
        <v>9412.343651268613</v>
      </c>
      <c r="C25" s="1" t="s">
        <v>14</v>
      </c>
      <c r="E25"/>
    </row>
    <row r="26" spans="1:5" x14ac:dyDescent="0.25">
      <c r="A26" s="30">
        <v>8556.6760466078285</v>
      </c>
      <c r="C26" s="1" t="str">
        <f>IF(C23=$S$1,IF(D20&lt;(C17*0.909090909090909),$S$1,IF(C20&gt;(C17*1.331),$U$1,"")),"")</f>
        <v/>
      </c>
      <c r="D26" s="1" t="str">
        <f>IF(C23=$U$1,IF(C20&gt;(C17*1.1),$U$1,IF(D20&lt;(C17*0.751314800901578),$S$1,"")),"")</f>
        <v/>
      </c>
      <c r="E26"/>
    </row>
    <row r="27" spans="1:5" x14ac:dyDescent="0.25">
      <c r="A27" s="30">
        <v>7778.7964060071163</v>
      </c>
      <c r="E27"/>
    </row>
    <row r="28" spans="1:5" x14ac:dyDescent="0.25">
      <c r="A28" s="30">
        <v>7071.6330963701048</v>
      </c>
      <c r="E28"/>
    </row>
    <row r="29" spans="1:5" x14ac:dyDescent="0.25">
      <c r="A29" s="30">
        <v>6428.7573603364581</v>
      </c>
      <c r="E29"/>
    </row>
    <row r="30" spans="1:5" x14ac:dyDescent="0.25">
      <c r="A30" s="30">
        <v>5844.3248730331434</v>
      </c>
      <c r="E30"/>
    </row>
    <row r="31" spans="1:5" x14ac:dyDescent="0.25">
      <c r="A31" s="30">
        <v>5313.0226118483115</v>
      </c>
      <c r="E31"/>
    </row>
    <row r="32" spans="1:5" x14ac:dyDescent="0.25">
      <c r="A32" s="30">
        <v>4830.020556225737</v>
      </c>
      <c r="E32"/>
    </row>
    <row r="33" spans="1:5" x14ac:dyDescent="0.25">
      <c r="A33" s="30">
        <v>4390.927778387033</v>
      </c>
      <c r="E33"/>
    </row>
    <row r="34" spans="1:5" x14ac:dyDescent="0.25">
      <c r="A34" s="30">
        <v>3991.7525258063934</v>
      </c>
      <c r="E34"/>
    </row>
    <row r="35" spans="1:5" x14ac:dyDescent="0.25">
      <c r="A35" s="30">
        <v>3628.8659325512663</v>
      </c>
      <c r="E35"/>
    </row>
    <row r="36" spans="1:5" x14ac:dyDescent="0.25">
      <c r="A36" s="30">
        <v>3298.96902959206</v>
      </c>
      <c r="E36"/>
    </row>
    <row r="37" spans="1:5" x14ac:dyDescent="0.25">
      <c r="A37" s="30">
        <v>2999.0627541745998</v>
      </c>
      <c r="E37"/>
    </row>
    <row r="38" spans="1:5" x14ac:dyDescent="0.25">
      <c r="A38" s="30">
        <v>2726.4206856132723</v>
      </c>
      <c r="E38"/>
    </row>
    <row r="39" spans="1:5" x14ac:dyDescent="0.25">
      <c r="A39" s="30">
        <v>2478.564259648429</v>
      </c>
      <c r="E39"/>
    </row>
    <row r="40" spans="1:5" x14ac:dyDescent="0.25">
      <c r="A40" s="30">
        <v>2253.240236044026</v>
      </c>
      <c r="E40"/>
    </row>
    <row r="41" spans="1:5" x14ac:dyDescent="0.25">
      <c r="A41" s="30">
        <v>2048.4002145854779</v>
      </c>
      <c r="E41"/>
    </row>
    <row r="42" spans="1:5" x14ac:dyDescent="0.25">
      <c r="A42" s="30">
        <v>1862.1820132595253</v>
      </c>
      <c r="C42" s="1" t="s">
        <v>15</v>
      </c>
      <c r="E42"/>
    </row>
    <row r="43" spans="1:5" x14ac:dyDescent="0.25">
      <c r="A43" s="30">
        <v>1692.8927393268411</v>
      </c>
      <c r="C43" s="7">
        <v>0.11167815779424731</v>
      </c>
      <c r="D43"/>
      <c r="E43"/>
    </row>
    <row r="44" spans="1:5" x14ac:dyDescent="0.25">
      <c r="A44" s="30">
        <v>1538.9933993880372</v>
      </c>
      <c r="E44"/>
    </row>
    <row r="45" spans="1:5" x14ac:dyDescent="0.25">
      <c r="A45" s="30">
        <v>1399.0849085345792</v>
      </c>
      <c r="C45" s="1" t="s">
        <v>11</v>
      </c>
      <c r="D45" s="1" t="s">
        <v>12</v>
      </c>
      <c r="E45"/>
    </row>
    <row r="46" spans="1:5" x14ac:dyDescent="0.25">
      <c r="A46" s="30">
        <v>1271.8953713950718</v>
      </c>
      <c r="C46"/>
      <c r="D46"/>
      <c r="E46"/>
    </row>
    <row r="47" spans="1:5" x14ac:dyDescent="0.25">
      <c r="A47" s="30">
        <v>1156.2685194500652</v>
      </c>
      <c r="E47"/>
    </row>
    <row r="48" spans="1:5" x14ac:dyDescent="0.25">
      <c r="A48" s="30">
        <v>1051.1531995000591</v>
      </c>
      <c r="C48" s="1" t="s">
        <v>13</v>
      </c>
      <c r="E48"/>
    </row>
    <row r="49" spans="1:5" x14ac:dyDescent="0.25">
      <c r="A49" s="30">
        <v>955.59381772732638</v>
      </c>
      <c r="C49" s="1">
        <f>C38</f>
        <v>0</v>
      </c>
      <c r="E49"/>
    </row>
    <row r="50" spans="1:5" x14ac:dyDescent="0.25">
      <c r="A50" s="30">
        <v>868.72165247938756</v>
      </c>
      <c r="C50"/>
      <c r="D50"/>
      <c r="E50"/>
    </row>
    <row r="51" spans="1:5" x14ac:dyDescent="0.25">
      <c r="A51" s="30">
        <v>789.74695679944318</v>
      </c>
      <c r="C51" s="1" t="s">
        <v>14</v>
      </c>
      <c r="E51"/>
    </row>
    <row r="52" spans="1:5" x14ac:dyDescent="0.25">
      <c r="A52" s="30">
        <v>717.95177890858463</v>
      </c>
      <c r="C52" s="1" t="str">
        <f>IF(C49=$S$1,IF(D46&lt;(C43*0.909090909090909),$S$1,IF(C46&gt;(C43*1.331),$U$1,"")),"")</f>
        <v/>
      </c>
      <c r="D52" s="1" t="str">
        <f>IF(C49=$U$1,IF(C46&gt;(C43*1.1),$U$1,IF(D46&lt;(C43*0.751314800901578),$S$1,"")),"")</f>
        <v/>
      </c>
      <c r="E52"/>
    </row>
    <row r="53" spans="1:5" x14ac:dyDescent="0.25">
      <c r="A53" s="30">
        <v>652.68343537144051</v>
      </c>
      <c r="E53"/>
    </row>
    <row r="54" spans="1:5" x14ac:dyDescent="0.25">
      <c r="A54" s="30">
        <v>593.34857761040041</v>
      </c>
      <c r="E54"/>
    </row>
    <row r="55" spans="1:5" x14ac:dyDescent="0.25">
      <c r="A55" s="30">
        <v>539.40779782763673</v>
      </c>
      <c r="E55"/>
    </row>
    <row r="56" spans="1:5" x14ac:dyDescent="0.25">
      <c r="A56" s="30">
        <v>490.37072529785149</v>
      </c>
      <c r="E56"/>
    </row>
    <row r="57" spans="1:5" x14ac:dyDescent="0.25">
      <c r="A57" s="30">
        <v>445.79156845259223</v>
      </c>
      <c r="E57"/>
    </row>
    <row r="58" spans="1:5" x14ac:dyDescent="0.25">
      <c r="A58" s="30">
        <v>405.26506222962928</v>
      </c>
      <c r="E58"/>
    </row>
    <row r="59" spans="1:5" x14ac:dyDescent="0.25">
      <c r="A59" s="30">
        <v>368.42278384511752</v>
      </c>
      <c r="E59"/>
    </row>
    <row r="60" spans="1:5" x14ac:dyDescent="0.25">
      <c r="A60" s="30">
        <v>334.92980349556137</v>
      </c>
      <c r="E60"/>
    </row>
    <row r="61" spans="1:5" x14ac:dyDescent="0.25">
      <c r="A61" s="30">
        <v>304.48163954141938</v>
      </c>
      <c r="E61"/>
    </row>
    <row r="62" spans="1:5" x14ac:dyDescent="0.25">
      <c r="A62" s="30">
        <v>276.80149049219943</v>
      </c>
      <c r="E62"/>
    </row>
    <row r="63" spans="1:5" x14ac:dyDescent="0.25">
      <c r="A63" s="30">
        <v>251.63771862927217</v>
      </c>
      <c r="E63"/>
    </row>
    <row r="64" spans="1:5" x14ac:dyDescent="0.25">
      <c r="A64" s="30">
        <v>228.76156239024741</v>
      </c>
      <c r="E64"/>
    </row>
    <row r="65" spans="1:5" x14ac:dyDescent="0.25">
      <c r="A65" s="30">
        <v>207.96505671840671</v>
      </c>
      <c r="E65"/>
    </row>
    <row r="66" spans="1:5" x14ac:dyDescent="0.25">
      <c r="A66" s="30">
        <v>189.05914247127882</v>
      </c>
      <c r="E66"/>
    </row>
    <row r="67" spans="1:5" x14ac:dyDescent="0.25">
      <c r="A67" s="30">
        <v>171.87194770116255</v>
      </c>
      <c r="C67" s="1" t="s">
        <v>15</v>
      </c>
      <c r="E67"/>
    </row>
    <row r="68" spans="1:5" x14ac:dyDescent="0.25">
      <c r="A68" s="30">
        <v>156.24722518287504</v>
      </c>
      <c r="C68" s="7">
        <v>0.11167815779424731</v>
      </c>
      <c r="D68"/>
      <c r="E68"/>
    </row>
    <row r="69" spans="1:5" x14ac:dyDescent="0.25">
      <c r="A69" s="30">
        <v>142.04293198443185</v>
      </c>
      <c r="E69"/>
    </row>
    <row r="70" spans="1:5" x14ac:dyDescent="0.25">
      <c r="A70" s="30">
        <v>129.1299381676653</v>
      </c>
      <c r="C70" s="1" t="s">
        <v>11</v>
      </c>
      <c r="D70" s="1" t="s">
        <v>12</v>
      </c>
      <c r="E70"/>
    </row>
    <row r="71" spans="1:5" x14ac:dyDescent="0.25">
      <c r="A71" s="30">
        <v>117.39085287969573</v>
      </c>
      <c r="C71"/>
      <c r="D71"/>
      <c r="E71"/>
    </row>
    <row r="72" spans="1:5" x14ac:dyDescent="0.25">
      <c r="A72" s="30">
        <v>106.71895716335975</v>
      </c>
      <c r="E72"/>
    </row>
    <row r="73" spans="1:5" x14ac:dyDescent="0.25">
      <c r="A73" s="30">
        <v>97.017233784872488</v>
      </c>
      <c r="C73" s="1" t="s">
        <v>13</v>
      </c>
      <c r="E73"/>
    </row>
    <row r="74" spans="1:5" x14ac:dyDescent="0.25">
      <c r="A74" s="30">
        <v>88.197485258974979</v>
      </c>
      <c r="C74" s="1">
        <f>C63</f>
        <v>0</v>
      </c>
      <c r="E74"/>
    </row>
    <row r="75" spans="1:5" x14ac:dyDescent="0.25">
      <c r="A75" s="30">
        <v>80.179532053613613</v>
      </c>
      <c r="C75"/>
      <c r="D75"/>
      <c r="E75"/>
    </row>
    <row r="76" spans="1:5" x14ac:dyDescent="0.25">
      <c r="A76" s="30">
        <v>72.890483685103277</v>
      </c>
      <c r="C76" s="1" t="s">
        <v>14</v>
      </c>
      <c r="E76"/>
    </row>
    <row r="77" spans="1:5" x14ac:dyDescent="0.25">
      <c r="A77" s="30">
        <v>66.26407607736661</v>
      </c>
      <c r="C77" s="1" t="str">
        <f>IF(C74=$S$1,IF(D71&lt;(C68*0.909090909090909),$S$1,IF(C71&gt;(C68*1.331),$U$1,"")),"")</f>
        <v/>
      </c>
      <c r="D77" s="1" t="str">
        <f>IF(C74=$U$1,IF(C71&gt;(C68*1.1),$U$1,IF(D71&lt;(C68*0.751314800901578),$S$1,"")),"")</f>
        <v/>
      </c>
      <c r="E77"/>
    </row>
    <row r="78" spans="1:5" x14ac:dyDescent="0.25">
      <c r="A78" s="30">
        <v>60.240069161242367</v>
      </c>
      <c r="E78"/>
    </row>
    <row r="79" spans="1:5" x14ac:dyDescent="0.25">
      <c r="A79" s="30">
        <v>54.763699237493057</v>
      </c>
      <c r="E79"/>
    </row>
    <row r="80" spans="1:5" x14ac:dyDescent="0.25">
      <c r="A80" s="30">
        <v>49.785181124993684</v>
      </c>
      <c r="E80"/>
    </row>
    <row r="81" spans="1:5" x14ac:dyDescent="0.25">
      <c r="A81" s="30">
        <v>45.259255568176073</v>
      </c>
      <c r="E81"/>
    </row>
    <row r="82" spans="1:5" x14ac:dyDescent="0.25">
      <c r="A82" s="30">
        <v>41.144777789250973</v>
      </c>
      <c r="E82"/>
    </row>
    <row r="83" spans="1:5" x14ac:dyDescent="0.25">
      <c r="A83" s="30">
        <v>37.404343444773609</v>
      </c>
      <c r="E83"/>
    </row>
    <row r="84" spans="1:5" x14ac:dyDescent="0.25">
      <c r="A84" s="30">
        <v>34.003948586157826</v>
      </c>
      <c r="E84"/>
    </row>
    <row r="85" spans="1:5" x14ac:dyDescent="0.25">
      <c r="A85" s="30">
        <v>30.912680532870748</v>
      </c>
      <c r="E85"/>
    </row>
    <row r="86" spans="1:5" x14ac:dyDescent="0.25">
      <c r="A86" s="30">
        <v>28.102436848064315</v>
      </c>
      <c r="E86"/>
    </row>
    <row r="87" spans="1:5" x14ac:dyDescent="0.25">
      <c r="A87" s="30">
        <v>25.547669861876649</v>
      </c>
      <c r="E87"/>
    </row>
    <row r="88" spans="1:5" x14ac:dyDescent="0.25">
      <c r="A88" s="30">
        <v>23.225154419887861</v>
      </c>
      <c r="E88"/>
    </row>
    <row r="89" spans="1:5" x14ac:dyDescent="0.25">
      <c r="A89" s="30">
        <v>21.113776745352599</v>
      </c>
      <c r="E89"/>
    </row>
    <row r="90" spans="1:5" x14ac:dyDescent="0.25">
      <c r="A90" s="30">
        <v>19.194342495775089</v>
      </c>
      <c r="E90"/>
    </row>
    <row r="91" spans="1:5" x14ac:dyDescent="0.25">
      <c r="A91" s="30">
        <v>17.449402268886445</v>
      </c>
      <c r="E91"/>
    </row>
    <row r="92" spans="1:5" x14ac:dyDescent="0.25">
      <c r="A92" s="30">
        <v>15.863092971714948</v>
      </c>
      <c r="C92" s="1" t="s">
        <v>15</v>
      </c>
      <c r="E92"/>
    </row>
    <row r="93" spans="1:5" x14ac:dyDescent="0.25">
      <c r="A93" s="30">
        <v>14.420993610649951</v>
      </c>
      <c r="C93" s="7">
        <v>0.11167815779424731</v>
      </c>
      <c r="D93"/>
      <c r="E93"/>
    </row>
    <row r="94" spans="1:5" x14ac:dyDescent="0.25">
      <c r="A94" s="30">
        <v>13.109994191499954</v>
      </c>
      <c r="E94"/>
    </row>
    <row r="95" spans="1:5" x14ac:dyDescent="0.25">
      <c r="A95" s="30">
        <v>11.918176537727231</v>
      </c>
      <c r="C95" s="1" t="s">
        <v>11</v>
      </c>
      <c r="D95" s="1" t="s">
        <v>12</v>
      </c>
      <c r="E95"/>
    </row>
    <row r="96" spans="1:5" x14ac:dyDescent="0.25">
      <c r="A96" s="30">
        <v>10.834705943388391</v>
      </c>
      <c r="C96"/>
      <c r="D96"/>
      <c r="E96"/>
    </row>
    <row r="97" spans="1:5" x14ac:dyDescent="0.25">
      <c r="A97" s="30">
        <v>9.849732675807628</v>
      </c>
      <c r="E97"/>
    </row>
    <row r="98" spans="1:5" x14ac:dyDescent="0.25">
      <c r="A98" s="30">
        <v>8.9543024325523888</v>
      </c>
      <c r="C98" s="1" t="s">
        <v>13</v>
      </c>
      <c r="E98"/>
    </row>
    <row r="99" spans="1:5" x14ac:dyDescent="0.25">
      <c r="A99" s="30">
        <v>8.140274938683989</v>
      </c>
      <c r="C99" s="1">
        <f>C88</f>
        <v>0</v>
      </c>
      <c r="E99"/>
    </row>
    <row r="100" spans="1:5" x14ac:dyDescent="0.25">
      <c r="A100" s="30">
        <v>7.4002499442581717</v>
      </c>
      <c r="C100"/>
      <c r="D100"/>
      <c r="E100"/>
    </row>
    <row r="101" spans="1:5" x14ac:dyDescent="0.25">
      <c r="A101" s="30">
        <v>6.72749994932561</v>
      </c>
      <c r="C101" s="1" t="s">
        <v>14</v>
      </c>
      <c r="E101"/>
    </row>
    <row r="102" spans="1:5" x14ac:dyDescent="0.25">
      <c r="A102" s="30">
        <v>6.1159090448414632</v>
      </c>
      <c r="C102" s="1" t="str">
        <f>IF(C99=$S$1,IF(D96&lt;(C93*0.909090909090909),$S$1,IF(C96&gt;(C93*1.331),$U$1,"")),"")</f>
        <v/>
      </c>
      <c r="D102" s="1" t="str">
        <f>IF(C99=$U$1,IF(C96&gt;(C93*1.1),$U$1,IF(D96&lt;(C93*0.751314800901578),$S$1,"")),"")</f>
        <v/>
      </c>
      <c r="E102"/>
    </row>
    <row r="103" spans="1:5" x14ac:dyDescent="0.25">
      <c r="A103" s="30">
        <v>5.5599173134922388</v>
      </c>
      <c r="E103"/>
    </row>
    <row r="104" spans="1:5" x14ac:dyDescent="0.25">
      <c r="A104" s="30">
        <v>5.0544702849929442</v>
      </c>
      <c r="E104"/>
    </row>
    <row r="105" spans="1:5" x14ac:dyDescent="0.25">
      <c r="A105" s="30">
        <v>4.594972986357222</v>
      </c>
      <c r="E105"/>
    </row>
    <row r="106" spans="1:5" x14ac:dyDescent="0.25">
      <c r="A106" s="30">
        <v>4.1772481694156562</v>
      </c>
      <c r="E106"/>
    </row>
    <row r="107" spans="1:5" x14ac:dyDescent="0.25">
      <c r="A107" s="30">
        <v>3.7974983358324148</v>
      </c>
      <c r="E107"/>
    </row>
    <row r="108" spans="1:5" x14ac:dyDescent="0.25">
      <c r="A108" s="30">
        <v>3.4522712143931042</v>
      </c>
      <c r="E108"/>
    </row>
    <row r="109" spans="1:5" x14ac:dyDescent="0.25">
      <c r="A109" s="30">
        <v>3.1384283767210035</v>
      </c>
      <c r="E109"/>
    </row>
    <row r="110" spans="1:5" x14ac:dyDescent="0.25">
      <c r="A110" s="30">
        <v>2.8531167061100029</v>
      </c>
      <c r="E110"/>
    </row>
    <row r="111" spans="1:5" x14ac:dyDescent="0.25">
      <c r="A111" s="30">
        <v>2.5937424601000023</v>
      </c>
      <c r="C111" s="1" t="str">
        <f>ADDRESS(C121-1,1,1,1)</f>
        <v>$A$130</v>
      </c>
      <c r="D111" s="1" t="str">
        <f>ADDRESS(C121-1,D121,1,1)</f>
        <v>$X$130</v>
      </c>
      <c r="E111"/>
    </row>
    <row r="112" spans="1:5" x14ac:dyDescent="0.25">
      <c r="A112" s="30">
        <v>2.3579476910000019</v>
      </c>
      <c r="C112" s="1" t="str">
        <f>ADDRESS(C121,1,1,1)</f>
        <v>$A$131</v>
      </c>
      <c r="D112" s="1" t="str">
        <f>ADDRESS(C121,D121-1,1,1)</f>
        <v>$W$131</v>
      </c>
      <c r="E112"/>
    </row>
    <row r="113" spans="1:24" x14ac:dyDescent="0.25">
      <c r="A113" s="30">
        <v>2.1435888100000016</v>
      </c>
      <c r="C113" s="1" t="str">
        <f>ADDRESS(C121+1,1,1,1)</f>
        <v>$A$132</v>
      </c>
      <c r="D113" s="1" t="str">
        <f>ADDRESS(C121-1,D121+1,1,1)</f>
        <v>$Y$130</v>
      </c>
    </row>
    <row r="114" spans="1:24" x14ac:dyDescent="0.25">
      <c r="A114" s="30">
        <v>1.9487171000000014</v>
      </c>
      <c r="C114" s="1" t="str">
        <f>ADDRESS(C121,D121,1,1)</f>
        <v>$X$131</v>
      </c>
      <c r="D114" s="1" t="str">
        <f>ADDRESS(C121+1,D121+1,1,1)</f>
        <v>$Y$132</v>
      </c>
    </row>
    <row r="115" spans="1:24" x14ac:dyDescent="0.25">
      <c r="A115" s="30">
        <v>1.7715610000000011</v>
      </c>
      <c r="C115" s="1" t="str">
        <f>ADDRESS(C121+1,D121,1,1)</f>
        <v>$X$132</v>
      </c>
    </row>
    <row r="116" spans="1:24" x14ac:dyDescent="0.25">
      <c r="A116" s="30">
        <v>1.6105100000000008</v>
      </c>
      <c r="C116" s="1">
        <f>C117-1</f>
        <v>130</v>
      </c>
    </row>
    <row r="117" spans="1:24" x14ac:dyDescent="0.25">
      <c r="A117" s="30">
        <v>1.4641000000000006</v>
      </c>
      <c r="C117" s="1">
        <f>C121</f>
        <v>131</v>
      </c>
      <c r="D117" s="1">
        <f>D121</f>
        <v>24</v>
      </c>
    </row>
    <row r="118" spans="1:24" x14ac:dyDescent="0.25">
      <c r="A118" s="30">
        <v>1.3310000000000004</v>
      </c>
      <c r="C118" s="1">
        <f>C117+1</f>
        <v>132</v>
      </c>
      <c r="D118" s="1">
        <f>D117+1</f>
        <v>25</v>
      </c>
    </row>
    <row r="119" spans="1:24" x14ac:dyDescent="0.25">
      <c r="A119" s="30">
        <v>1.2100000000000002</v>
      </c>
    </row>
    <row r="120" spans="1:24" x14ac:dyDescent="0.25">
      <c r="A120" s="30">
        <v>1.1000000000000001</v>
      </c>
      <c r="C120" s="1" t="s">
        <v>9</v>
      </c>
      <c r="M120" s="27" t="s">
        <v>8</v>
      </c>
      <c r="O120" s="27" t="s">
        <v>8</v>
      </c>
      <c r="S120" s="27" t="s">
        <v>8</v>
      </c>
    </row>
    <row r="121" spans="1:24" x14ac:dyDescent="0.25">
      <c r="A121" s="30">
        <v>1</v>
      </c>
      <c r="C121" s="18">
        <v>131</v>
      </c>
      <c r="D121" s="19">
        <v>24</v>
      </c>
      <c r="E121" s="18" t="s">
        <v>8</v>
      </c>
      <c r="M121" s="27" t="s">
        <v>8</v>
      </c>
      <c r="N121" s="27" t="s">
        <v>7</v>
      </c>
      <c r="O121" s="27" t="s">
        <v>8</v>
      </c>
      <c r="P121" s="27" t="s">
        <v>7</v>
      </c>
      <c r="S121" s="27" t="s">
        <v>8</v>
      </c>
      <c r="T121" s="27" t="s">
        <v>7</v>
      </c>
    </row>
    <row r="122" spans="1:24" x14ac:dyDescent="0.25">
      <c r="A122" s="30">
        <v>0.90909090909090895</v>
      </c>
      <c r="C122" s="1" t="str">
        <f>INDEX(1:1048576,C117,D117)</f>
        <v>O</v>
      </c>
      <c r="F122" s="27" t="s">
        <v>7</v>
      </c>
      <c r="M122" s="27" t="s">
        <v>8</v>
      </c>
      <c r="N122" s="27" t="s">
        <v>7</v>
      </c>
      <c r="O122" s="27" t="s">
        <v>8</v>
      </c>
      <c r="P122" s="27" t="s">
        <v>7</v>
      </c>
      <c r="S122" s="27" t="s">
        <v>8</v>
      </c>
      <c r="T122" s="27" t="s">
        <v>7</v>
      </c>
      <c r="U122" s="27" t="s">
        <v>8</v>
      </c>
      <c r="W122" s="27" t="s">
        <v>8</v>
      </c>
    </row>
    <row r="123" spans="1:24" x14ac:dyDescent="0.25">
      <c r="A123" s="30">
        <v>0.82644628099173523</v>
      </c>
      <c r="C123" s="1" t="str">
        <f>"R"&amp;C121</f>
        <v>R131</v>
      </c>
      <c r="D123" s="1" t="str">
        <f>"C"&amp;D121</f>
        <v>C24</v>
      </c>
      <c r="F123" s="27" t="s">
        <v>7</v>
      </c>
      <c r="M123" s="27" t="s">
        <v>8</v>
      </c>
      <c r="N123" s="27" t="s">
        <v>7</v>
      </c>
      <c r="O123" s="27" t="s">
        <v>8</v>
      </c>
      <c r="P123" s="27" t="s">
        <v>7</v>
      </c>
      <c r="Q123" s="27" t="s">
        <v>8</v>
      </c>
      <c r="S123" s="27" t="s">
        <v>8</v>
      </c>
      <c r="T123" s="27" t="s">
        <v>7</v>
      </c>
      <c r="U123" s="27" t="s">
        <v>8</v>
      </c>
      <c r="V123" s="27" t="s">
        <v>7</v>
      </c>
      <c r="W123" s="27" t="s">
        <v>8</v>
      </c>
      <c r="X123" s="27" t="s">
        <v>7</v>
      </c>
    </row>
    <row r="124" spans="1:24" x14ac:dyDescent="0.25">
      <c r="A124" s="30">
        <v>0.75131480090157732</v>
      </c>
      <c r="C124" s="1">
        <f>SUM(C130:D130)</f>
        <v>0</v>
      </c>
      <c r="D124" s="1">
        <f>IF(C124=0,0,1)</f>
        <v>0</v>
      </c>
      <c r="F124" s="27" t="s">
        <v>7</v>
      </c>
      <c r="M124" s="27" t="s">
        <v>8</v>
      </c>
      <c r="N124" s="27" t="s">
        <v>7</v>
      </c>
      <c r="O124" s="27" t="s">
        <v>8</v>
      </c>
      <c r="P124" s="27" t="s">
        <v>7</v>
      </c>
      <c r="Q124" s="27" t="s">
        <v>8</v>
      </c>
      <c r="R124" s="27" t="s">
        <v>7</v>
      </c>
      <c r="S124" s="27" t="s">
        <v>8</v>
      </c>
      <c r="T124" s="27" t="s">
        <v>7</v>
      </c>
      <c r="U124" s="27" t="s">
        <v>8</v>
      </c>
      <c r="V124" s="27" t="s">
        <v>7</v>
      </c>
      <c r="W124" s="27" t="s">
        <v>8</v>
      </c>
      <c r="X124" s="27" t="s">
        <v>7</v>
      </c>
    </row>
    <row r="125" spans="1:24" x14ac:dyDescent="0.25">
      <c r="A125" s="30">
        <v>0.68301345536507019</v>
      </c>
      <c r="F125" s="27" t="s">
        <v>7</v>
      </c>
      <c r="M125" s="27" t="s">
        <v>8</v>
      </c>
      <c r="N125" s="27" t="s">
        <v>7</v>
      </c>
      <c r="P125" s="27" t="s">
        <v>7</v>
      </c>
      <c r="Q125" s="27" t="s">
        <v>8</v>
      </c>
      <c r="R125" s="27" t="s">
        <v>7</v>
      </c>
      <c r="S125" s="27" t="s">
        <v>8</v>
      </c>
      <c r="T125" s="27" t="s">
        <v>7</v>
      </c>
      <c r="V125" s="27" t="s">
        <v>7</v>
      </c>
      <c r="W125" s="27" t="s">
        <v>8</v>
      </c>
      <c r="X125" s="27" t="s">
        <v>7</v>
      </c>
    </row>
    <row r="126" spans="1:24" x14ac:dyDescent="0.25">
      <c r="A126" s="30">
        <v>0.6209213230591546</v>
      </c>
      <c r="C126" s="1" t="s">
        <v>10</v>
      </c>
      <c r="F126" s="27" t="s">
        <v>7</v>
      </c>
      <c r="I126" s="27" t="s">
        <v>8</v>
      </c>
      <c r="M126" s="27" t="s">
        <v>8</v>
      </c>
      <c r="P126" s="27" t="s">
        <v>7</v>
      </c>
      <c r="R126" s="27" t="s">
        <v>7</v>
      </c>
      <c r="V126" s="27" t="s">
        <v>7</v>
      </c>
      <c r="W126" s="27" t="s">
        <v>8</v>
      </c>
      <c r="X126" s="27" t="s">
        <v>7</v>
      </c>
    </row>
    <row r="127" spans="1:24" x14ac:dyDescent="0.25">
      <c r="A127" s="30">
        <v>0.56447393005377677</v>
      </c>
      <c r="C127" s="30">
        <v>0.38554328942953109</v>
      </c>
      <c r="D127"/>
      <c r="F127" s="27" t="s">
        <v>7</v>
      </c>
      <c r="I127" s="27" t="s">
        <v>8</v>
      </c>
      <c r="J127" s="27" t="s">
        <v>7</v>
      </c>
      <c r="M127" s="27" t="s">
        <v>8</v>
      </c>
      <c r="V127" s="27" t="s">
        <v>7</v>
      </c>
      <c r="X127" s="27" t="s">
        <v>7</v>
      </c>
    </row>
    <row r="128" spans="1:24" x14ac:dyDescent="0.25">
      <c r="A128" s="30">
        <v>0.51315811823070612</v>
      </c>
      <c r="F128" s="27" t="s">
        <v>7</v>
      </c>
      <c r="I128" s="27" t="s">
        <v>8</v>
      </c>
      <c r="J128" s="27" t="s">
        <v>7</v>
      </c>
      <c r="K128" s="27" t="s">
        <v>8</v>
      </c>
      <c r="M128" s="27" t="s">
        <v>8</v>
      </c>
      <c r="X128" s="27" t="s">
        <v>7</v>
      </c>
    </row>
    <row r="129" spans="1:24" x14ac:dyDescent="0.25">
      <c r="A129" s="30">
        <v>0.46650738020973276</v>
      </c>
      <c r="C129" s="1" t="s">
        <v>11</v>
      </c>
      <c r="D129" s="1" t="s">
        <v>12</v>
      </c>
      <c r="E129"/>
      <c r="F129" s="27" t="s">
        <v>7</v>
      </c>
      <c r="I129" s="27" t="s">
        <v>8</v>
      </c>
      <c r="J129" s="27" t="s">
        <v>7</v>
      </c>
      <c r="K129" s="27" t="s">
        <v>8</v>
      </c>
      <c r="L129" s="27" t="s">
        <v>7</v>
      </c>
      <c r="M129" s="27" t="s">
        <v>8</v>
      </c>
      <c r="X129" s="27" t="s">
        <v>7</v>
      </c>
    </row>
    <row r="130" spans="1:24" x14ac:dyDescent="0.25">
      <c r="A130" s="30">
        <v>0.42409761837248428</v>
      </c>
      <c r="C130" s="6"/>
      <c r="D130" s="6"/>
      <c r="E130"/>
      <c r="F130" s="27" t="s">
        <v>7</v>
      </c>
      <c r="I130" s="27" t="s">
        <v>8</v>
      </c>
      <c r="J130" s="27" t="s">
        <v>7</v>
      </c>
      <c r="K130" s="27" t="s">
        <v>8</v>
      </c>
      <c r="L130" s="27" t="s">
        <v>7</v>
      </c>
      <c r="M130" s="27" t="s">
        <v>8</v>
      </c>
      <c r="X130" s="27" t="s">
        <v>7</v>
      </c>
    </row>
    <row r="131" spans="1:24" x14ac:dyDescent="0.25">
      <c r="A131" s="30">
        <v>0.38554328942953109</v>
      </c>
      <c r="E131"/>
      <c r="F131" s="27" t="s">
        <v>7</v>
      </c>
      <c r="G131" s="27" t="s">
        <v>8</v>
      </c>
      <c r="I131" s="27" t="s">
        <v>8</v>
      </c>
      <c r="J131" s="27" t="s">
        <v>7</v>
      </c>
      <c r="L131" s="27" t="s">
        <v>7</v>
      </c>
      <c r="M131" s="27" t="s">
        <v>8</v>
      </c>
      <c r="X131" s="27" t="s">
        <v>7</v>
      </c>
    </row>
    <row r="132" spans="1:24" x14ac:dyDescent="0.25">
      <c r="A132" s="30">
        <v>0.35049389948139187</v>
      </c>
      <c r="C132" s="1" t="s">
        <v>13</v>
      </c>
      <c r="E132"/>
      <c r="F132" s="27" t="s">
        <v>7</v>
      </c>
      <c r="G132" s="27" t="s">
        <v>8</v>
      </c>
      <c r="H132" s="27" t="s">
        <v>7</v>
      </c>
      <c r="I132" s="27" t="s">
        <v>8</v>
      </c>
      <c r="L132" s="27" t="s">
        <v>7</v>
      </c>
    </row>
    <row r="133" spans="1:24" x14ac:dyDescent="0.25">
      <c r="A133" s="30">
        <v>0.31863081771035617</v>
      </c>
      <c r="C133" s="1" t="str">
        <f>C122</f>
        <v>O</v>
      </c>
      <c r="E133"/>
      <c r="F133" s="27" t="s">
        <v>7</v>
      </c>
      <c r="G133" s="27" t="s">
        <v>8</v>
      </c>
      <c r="H133" s="27" t="s">
        <v>7</v>
      </c>
      <c r="I133" s="27" t="s">
        <v>8</v>
      </c>
    </row>
    <row r="134" spans="1:24" x14ac:dyDescent="0.25">
      <c r="A134" s="30">
        <v>0.28966437973668741</v>
      </c>
      <c r="C134"/>
      <c r="D134"/>
      <c r="E134"/>
      <c r="F134" s="27" t="s">
        <v>7</v>
      </c>
      <c r="G134" s="27" t="s">
        <v>8</v>
      </c>
      <c r="H134" s="27" t="s">
        <v>7</v>
      </c>
      <c r="I134" s="27" t="s">
        <v>8</v>
      </c>
    </row>
    <row r="135" spans="1:24" x14ac:dyDescent="0.25">
      <c r="A135" s="30">
        <v>0.2633312543060794</v>
      </c>
      <c r="C135" s="1" t="s">
        <v>14</v>
      </c>
      <c r="E135"/>
      <c r="F135" s="27" t="s">
        <v>7</v>
      </c>
      <c r="G135" s="27" t="s">
        <v>8</v>
      </c>
      <c r="H135" s="18" t="s">
        <v>7</v>
      </c>
      <c r="I135" s="27" t="s">
        <v>8</v>
      </c>
    </row>
    <row r="136" spans="1:24" x14ac:dyDescent="0.25">
      <c r="A136" s="30">
        <v>0.23939204936916306</v>
      </c>
      <c r="C136" s="1" t="str">
        <f>IF(C133=$S$1,IF(D130&lt;(C127*0.909090909090909),$S$1,IF(C130&gt;(C127*1.331),$U$1,"")),"")</f>
        <v>O</v>
      </c>
      <c r="D136" s="1" t="str">
        <f>IF(C133=$U$1,IF(C130&gt;(C127*1.1),$U$1,IF(D130&lt;(C127*0.751314800901578),$S$1,"")),"")</f>
        <v/>
      </c>
      <c r="E136"/>
      <c r="F136" s="27" t="s">
        <v>7</v>
      </c>
      <c r="H136" s="27" t="s">
        <v>7</v>
      </c>
      <c r="I136" s="27" t="s">
        <v>8</v>
      </c>
    </row>
    <row r="137" spans="1:24" x14ac:dyDescent="0.25">
      <c r="A137" s="30">
        <v>0.2176291357901482</v>
      </c>
      <c r="E137"/>
      <c r="H137" s="27" t="s">
        <v>7</v>
      </c>
    </row>
    <row r="138" spans="1:24" x14ac:dyDescent="0.25">
      <c r="A138" s="30">
        <v>0.19784466890013469</v>
      </c>
      <c r="C138" s="1">
        <f>IF(AND(C136="",D136=""),0,IF(AND(C133="X",D136="X"),1,IF(AND(C133="O",C136="O"),2,(IF(AND(C133="X",D136="O"),3,4)))))</f>
        <v>2</v>
      </c>
      <c r="E138"/>
    </row>
    <row r="139" spans="1:24" x14ac:dyDescent="0.25">
      <c r="A139" s="30">
        <v>0.17985878990921333</v>
      </c>
      <c r="E139"/>
    </row>
    <row r="140" spans="1:24" x14ac:dyDescent="0.25">
      <c r="A140" s="30">
        <v>0.16350799082655756</v>
      </c>
      <c r="C140" s="1">
        <v>0</v>
      </c>
      <c r="E140"/>
    </row>
    <row r="141" spans="1:24" x14ac:dyDescent="0.25">
      <c r="A141" s="30">
        <v>0.14864362802414322</v>
      </c>
      <c r="C141" s="1">
        <v>1</v>
      </c>
      <c r="E141"/>
    </row>
    <row r="142" spans="1:24" x14ac:dyDescent="0.25">
      <c r="A142" s="30">
        <v>0.13513057093103928</v>
      </c>
      <c r="C142" s="1">
        <v>2</v>
      </c>
      <c r="E142"/>
    </row>
    <row r="143" spans="1:24" x14ac:dyDescent="0.25">
      <c r="A143" s="30">
        <v>0.12284597357367205</v>
      </c>
      <c r="C143" s="1">
        <v>3</v>
      </c>
      <c r="E143"/>
    </row>
    <row r="144" spans="1:24" x14ac:dyDescent="0.25">
      <c r="A144" s="30">
        <v>0.11167815779424731</v>
      </c>
      <c r="C144" s="1">
        <v>4</v>
      </c>
      <c r="E144"/>
    </row>
    <row r="145" spans="1:5" x14ac:dyDescent="0.25">
      <c r="A145" s="30">
        <v>0.10152559799477026</v>
      </c>
      <c r="B145"/>
      <c r="C145"/>
      <c r="D145"/>
      <c r="E145"/>
    </row>
    <row r="146" spans="1:5" x14ac:dyDescent="0.25">
      <c r="A146" s="30">
        <v>9.2295998177063854E-2</v>
      </c>
      <c r="B146"/>
      <c r="C146"/>
      <c r="D146"/>
      <c r="E146"/>
    </row>
    <row r="147" spans="1:5" x14ac:dyDescent="0.25">
      <c r="A147" s="30">
        <v>8.3905452888239848E-2</v>
      </c>
      <c r="B147"/>
      <c r="C147"/>
      <c r="D147"/>
      <c r="E147"/>
    </row>
    <row r="148" spans="1:5" x14ac:dyDescent="0.25">
      <c r="A148" s="30">
        <v>7.6277684443854396E-2</v>
      </c>
      <c r="B148"/>
      <c r="C148"/>
      <c r="D148"/>
      <c r="E148"/>
    </row>
    <row r="149" spans="1:5" x14ac:dyDescent="0.25">
      <c r="A149" s="30">
        <v>6.9343349494413078E-2</v>
      </c>
      <c r="B149"/>
      <c r="C149"/>
      <c r="D149"/>
      <c r="E149"/>
    </row>
    <row r="150" spans="1:5" x14ac:dyDescent="0.25">
      <c r="A150" s="30">
        <v>6.3039408631284613E-2</v>
      </c>
      <c r="B150"/>
      <c r="C150"/>
      <c r="D150"/>
      <c r="E150"/>
    </row>
    <row r="151" spans="1:5" x14ac:dyDescent="0.25">
      <c r="A151" s="30">
        <v>5.7308553301167818E-2</v>
      </c>
      <c r="B151"/>
      <c r="C151"/>
      <c r="D151"/>
      <c r="E151"/>
    </row>
    <row r="152" spans="1:5" x14ac:dyDescent="0.25">
      <c r="A152" s="30">
        <v>5.2098684819243464E-2</v>
      </c>
      <c r="B152"/>
      <c r="C152"/>
      <c r="D152"/>
      <c r="E152"/>
    </row>
    <row r="153" spans="1:5" x14ac:dyDescent="0.25">
      <c r="A153" s="30">
        <v>4.7362440744766775E-2</v>
      </c>
      <c r="B153"/>
      <c r="C153"/>
      <c r="D153"/>
      <c r="E153"/>
    </row>
    <row r="154" spans="1:5" x14ac:dyDescent="0.25">
      <c r="A154" s="30">
        <v>4.3056764313424332E-2</v>
      </c>
      <c r="B154"/>
      <c r="C154"/>
      <c r="D154"/>
      <c r="E154"/>
    </row>
    <row r="155" spans="1:5" x14ac:dyDescent="0.25">
      <c r="A155" s="30">
        <v>3.9142513012203929E-2</v>
      </c>
      <c r="B155"/>
      <c r="C155"/>
      <c r="D155"/>
      <c r="E155"/>
    </row>
    <row r="156" spans="1:5" x14ac:dyDescent="0.25">
      <c r="A156" s="30">
        <v>3.55841027383672E-2</v>
      </c>
      <c r="B156"/>
      <c r="C156"/>
      <c r="D156"/>
      <c r="E156"/>
    </row>
    <row r="157" spans="1:5" x14ac:dyDescent="0.25">
      <c r="A157" s="30">
        <v>3.2349184307606541E-2</v>
      </c>
      <c r="B157"/>
      <c r="C157"/>
      <c r="D157"/>
      <c r="E157"/>
    </row>
    <row r="158" spans="1:5" x14ac:dyDescent="0.25">
      <c r="A158" s="30">
        <v>2.9408349370551395E-2</v>
      </c>
      <c r="B158"/>
      <c r="C158"/>
      <c r="D158"/>
      <c r="E158"/>
    </row>
    <row r="159" spans="1:5" x14ac:dyDescent="0.25">
      <c r="A159" s="30">
        <v>2.6734863064137627E-2</v>
      </c>
      <c r="B159"/>
      <c r="C159"/>
      <c r="D159"/>
      <c r="E159"/>
    </row>
    <row r="160" spans="1:5" x14ac:dyDescent="0.25">
      <c r="A160" s="30">
        <v>2.4304420967397839E-2</v>
      </c>
      <c r="B160"/>
      <c r="C160"/>
      <c r="D160"/>
      <c r="E160"/>
    </row>
    <row r="161" spans="1:5" x14ac:dyDescent="0.25">
      <c r="A161" s="30">
        <v>2.2094928152179852E-2</v>
      </c>
      <c r="B161"/>
      <c r="C161"/>
      <c r="D161"/>
      <c r="E161"/>
    </row>
    <row r="162" spans="1:5" x14ac:dyDescent="0.25">
      <c r="A162" s="30">
        <v>2.0086298320163499E-2</v>
      </c>
      <c r="B162"/>
      <c r="C162"/>
      <c r="D162"/>
      <c r="E162"/>
    </row>
    <row r="163" spans="1:5" x14ac:dyDescent="0.25">
      <c r="A163" s="30">
        <v>1.8260271200148632E-2</v>
      </c>
      <c r="B163"/>
      <c r="C163"/>
      <c r="D163"/>
      <c r="E163"/>
    </row>
    <row r="164" spans="1:5" x14ac:dyDescent="0.25">
      <c r="A164" s="30">
        <v>1.6600246545589663E-2</v>
      </c>
      <c r="B164"/>
      <c r="C164"/>
      <c r="D164"/>
      <c r="E164"/>
    </row>
    <row r="165" spans="1:5" x14ac:dyDescent="0.25">
      <c r="A165" s="30">
        <v>1.5091133223263328E-2</v>
      </c>
      <c r="B165"/>
      <c r="C165"/>
      <c r="D165"/>
      <c r="E165"/>
    </row>
    <row r="166" spans="1:5" x14ac:dyDescent="0.25">
      <c r="A166" s="30">
        <v>1.3719212021148477E-2</v>
      </c>
      <c r="B166"/>
      <c r="C166"/>
      <c r="D166"/>
      <c r="E166"/>
    </row>
    <row r="167" spans="1:5" x14ac:dyDescent="0.25">
      <c r="A167" s="30">
        <v>1.2472010928316795E-2</v>
      </c>
      <c r="B167"/>
      <c r="C167"/>
      <c r="D167"/>
      <c r="E167"/>
    </row>
    <row r="168" spans="1:5" x14ac:dyDescent="0.25">
      <c r="A168" s="30">
        <v>1.1338191753015267E-2</v>
      </c>
      <c r="B168"/>
      <c r="C168"/>
      <c r="D168"/>
      <c r="E168"/>
    </row>
    <row r="169" spans="1:5" x14ac:dyDescent="0.25">
      <c r="A169" s="30">
        <v>1.0307447048195697E-2</v>
      </c>
      <c r="B169"/>
      <c r="C169"/>
      <c r="D169"/>
      <c r="E169"/>
    </row>
    <row r="170" spans="1:5" x14ac:dyDescent="0.25">
      <c r="A170" s="30">
        <v>9.3704064074506318E-3</v>
      </c>
      <c r="B170"/>
      <c r="C170"/>
      <c r="D170"/>
      <c r="E170"/>
    </row>
    <row r="171" spans="1:5" x14ac:dyDescent="0.25">
      <c r="A171" s="30">
        <v>8.5185512795005747E-3</v>
      </c>
    </row>
    <row r="172" spans="1:5" x14ac:dyDescent="0.25">
      <c r="A172" s="30">
        <v>7.744137526818704E-3</v>
      </c>
    </row>
    <row r="173" spans="1:5" x14ac:dyDescent="0.25">
      <c r="A173" s="30">
        <v>7.0401250243806394E-3</v>
      </c>
    </row>
    <row r="174" spans="1:5" x14ac:dyDescent="0.25">
      <c r="A174" s="30">
        <v>6.4001136585278536E-3</v>
      </c>
    </row>
    <row r="175" spans="1:5" x14ac:dyDescent="0.25">
      <c r="A175" s="30">
        <v>5.8182851441162305E-3</v>
      </c>
    </row>
    <row r="176" spans="1:5" x14ac:dyDescent="0.25">
      <c r="A176" s="30">
        <v>5.2893501310147546E-3</v>
      </c>
    </row>
    <row r="177" spans="1:1" x14ac:dyDescent="0.25">
      <c r="A177" s="30">
        <v>4.8085001191043222E-3</v>
      </c>
    </row>
    <row r="178" spans="1:1" x14ac:dyDescent="0.25">
      <c r="A178" s="30">
        <v>4.3713637446402926E-3</v>
      </c>
    </row>
    <row r="179" spans="1:1" x14ac:dyDescent="0.25">
      <c r="A179" s="30">
        <v>3.9739670405820838E-3</v>
      </c>
    </row>
    <row r="180" spans="1:1" x14ac:dyDescent="0.25">
      <c r="A180" s="30">
        <v>3.6126973096200759E-3</v>
      </c>
    </row>
    <row r="181" spans="1:1" x14ac:dyDescent="0.25">
      <c r="A181" s="30">
        <v>3.2842702814727962E-3</v>
      </c>
    </row>
    <row r="182" spans="1:1" x14ac:dyDescent="0.25">
      <c r="A182" s="30">
        <v>2.9857002558843601E-3</v>
      </c>
    </row>
    <row r="183" spans="1:1" x14ac:dyDescent="0.25">
      <c r="A183" s="30">
        <v>2.7142729598948726E-3</v>
      </c>
    </row>
    <row r="184" spans="1:1" x14ac:dyDescent="0.25">
      <c r="A184" s="30">
        <v>2.4675208726317021E-3</v>
      </c>
    </row>
    <row r="185" spans="1:1" x14ac:dyDescent="0.25">
      <c r="A185" s="30">
        <v>2.2432007933015472E-3</v>
      </c>
    </row>
    <row r="186" spans="1:1" x14ac:dyDescent="0.25">
      <c r="A186" s="30">
        <v>2.0392734484559519E-3</v>
      </c>
    </row>
    <row r="187" spans="1:1" x14ac:dyDescent="0.25">
      <c r="A187" s="30">
        <v>1.8538849531417744E-3</v>
      </c>
    </row>
    <row r="188" spans="1:1" x14ac:dyDescent="0.25">
      <c r="A188" s="30">
        <v>1.6853499574016129E-3</v>
      </c>
    </row>
    <row r="189" spans="1:1" x14ac:dyDescent="0.25">
      <c r="A189" s="30">
        <v>1.5321363249105571E-3</v>
      </c>
    </row>
    <row r="190" spans="1:1" x14ac:dyDescent="0.25">
      <c r="A190" s="30">
        <v>1.3928512044641427E-3</v>
      </c>
    </row>
    <row r="191" spans="1:1" x14ac:dyDescent="0.25">
      <c r="A191" s="30">
        <v>1.2662283676946752E-3</v>
      </c>
    </row>
    <row r="192" spans="1:1" x14ac:dyDescent="0.25">
      <c r="A192" s="30">
        <v>1.15111669790425E-3</v>
      </c>
    </row>
    <row r="193" spans="1:1" x14ac:dyDescent="0.25">
      <c r="A193" s="30">
        <v>1.0464697253675E-3</v>
      </c>
    </row>
    <row r="194" spans="1:1" x14ac:dyDescent="0.25">
      <c r="A194" s="30">
        <v>9.5133611397045449E-4</v>
      </c>
    </row>
    <row r="195" spans="1:1" x14ac:dyDescent="0.25">
      <c r="A195" s="30">
        <v>8.6485101270041313E-4</v>
      </c>
    </row>
    <row r="196" spans="1:1" x14ac:dyDescent="0.25">
      <c r="A196" s="30">
        <v>7.862281933640119E-4</v>
      </c>
    </row>
    <row r="197" spans="1:1" x14ac:dyDescent="0.25">
      <c r="A197" s="30">
        <v>7.0760537402761068E-4</v>
      </c>
    </row>
    <row r="198" spans="1:1" x14ac:dyDescent="0.25">
      <c r="A198" s="30">
        <v>6.368448366248496E-4</v>
      </c>
    </row>
    <row r="199" spans="1:1" x14ac:dyDescent="0.25">
      <c r="A199" s="30">
        <v>5.7316035296236471E-4</v>
      </c>
    </row>
    <row r="200" spans="1:1" x14ac:dyDescent="0.25">
      <c r="A200" s="30">
        <v>5.1584431766612821E-4</v>
      </c>
    </row>
    <row r="201" spans="1:1" x14ac:dyDescent="0.25">
      <c r="A201" s="30">
        <v>4.6425988589951538E-4</v>
      </c>
    </row>
    <row r="202" spans="1:1" x14ac:dyDescent="0.25">
      <c r="A202" s="30">
        <v>4.1783389730956383E-4</v>
      </c>
    </row>
    <row r="203" spans="1:1" x14ac:dyDescent="0.25">
      <c r="A203" s="30">
        <v>3.7605050757860746E-4</v>
      </c>
    </row>
    <row r="204" spans="1:1" x14ac:dyDescent="0.25">
      <c r="A204" s="30">
        <v>3.3844545682074675E-4</v>
      </c>
    </row>
    <row r="205" spans="1:1" x14ac:dyDescent="0.25">
      <c r="A205" s="30">
        <v>3.0460091113867208E-4</v>
      </c>
    </row>
    <row r="206" spans="1:1" x14ac:dyDescent="0.25">
      <c r="A206" s="30">
        <v>2.7414082002480487E-4</v>
      </c>
    </row>
    <row r="207" spans="1:1" x14ac:dyDescent="0.25">
      <c r="A207" s="30">
        <v>2.4672673802232442E-4</v>
      </c>
    </row>
    <row r="208" spans="1:1" x14ac:dyDescent="0.25">
      <c r="A208" s="30">
        <v>2.2205406422009198E-4</v>
      </c>
    </row>
    <row r="209" spans="1:1" x14ac:dyDescent="0.25">
      <c r="A209" s="30">
        <v>1.998486577980828E-4</v>
      </c>
    </row>
    <row r="210" spans="1:1" x14ac:dyDescent="0.25">
      <c r="A210" s="30">
        <v>1.7986379201827453E-4</v>
      </c>
    </row>
    <row r="211" spans="1:1" x14ac:dyDescent="0.25">
      <c r="A211" s="30">
        <v>1.6187741281644709E-4</v>
      </c>
    </row>
    <row r="212" spans="1:1" x14ac:dyDescent="0.25">
      <c r="A212" s="30">
        <v>1.4568967153480238E-4</v>
      </c>
    </row>
    <row r="213" spans="1:1" x14ac:dyDescent="0.25">
      <c r="A213" s="30">
        <v>1.3112070438132215E-4</v>
      </c>
    </row>
    <row r="214" spans="1:1" x14ac:dyDescent="0.25">
      <c r="A214" s="30">
        <v>1.1800863394318995E-4</v>
      </c>
    </row>
    <row r="215" spans="1:1" x14ac:dyDescent="0.25">
      <c r="A215" s="30">
        <v>1.0620777054887096E-4</v>
      </c>
    </row>
    <row r="216" spans="1:1" x14ac:dyDescent="0.25">
      <c r="A216" s="30">
        <v>9.5586993493983861E-5</v>
      </c>
    </row>
    <row r="217" spans="1:1" x14ac:dyDescent="0.25">
      <c r="A217" s="30">
        <v>8.6028294144585476E-5</v>
      </c>
    </row>
    <row r="218" spans="1:1" x14ac:dyDescent="0.25">
      <c r="A218" s="30">
        <v>7.7425464730126924E-5</v>
      </c>
    </row>
    <row r="219" spans="1:1" x14ac:dyDescent="0.25">
      <c r="A219" s="30">
        <v>6.9682918257114228E-5</v>
      </c>
    </row>
    <row r="220" spans="1:1" x14ac:dyDescent="0.25">
      <c r="A220" s="30">
        <v>6.2714626431402813E-5</v>
      </c>
    </row>
    <row r="221" spans="1:1" x14ac:dyDescent="0.25">
      <c r="A221" s="30">
        <v>5.6443163788262536E-5</v>
      </c>
    </row>
    <row r="222" spans="1:1" x14ac:dyDescent="0.25">
      <c r="A222" s="30">
        <v>5.0798847409436286E-5</v>
      </c>
    </row>
    <row r="223" spans="1:1" x14ac:dyDescent="0.25">
      <c r="A223" s="30">
        <v>4.5718962668492656E-5</v>
      </c>
    </row>
    <row r="224" spans="1:1" x14ac:dyDescent="0.25">
      <c r="A224" s="30">
        <v>4.1147066401643391E-5</v>
      </c>
    </row>
    <row r="225" spans="1:1" x14ac:dyDescent="0.25">
      <c r="A225" s="30">
        <v>3.7032359761479051E-5</v>
      </c>
    </row>
    <row r="226" spans="1:1" x14ac:dyDescent="0.25">
      <c r="A226" s="30">
        <v>3.3329123785331146E-5</v>
      </c>
    </row>
    <row r="227" spans="1:1" x14ac:dyDescent="0.25">
      <c r="A227" s="30">
        <v>2.9996211406798031E-5</v>
      </c>
    </row>
    <row r="228" spans="1:1" x14ac:dyDescent="0.25">
      <c r="A228" s="30">
        <v>2.6996590266118227E-5</v>
      </c>
    </row>
    <row r="229" spans="1:1" x14ac:dyDescent="0.25">
      <c r="A229" s="30">
        <v>2.4296931239506405E-5</v>
      </c>
    </row>
    <row r="230" spans="1:1" x14ac:dyDescent="0.25">
      <c r="A230" s="30">
        <v>2.1867238115555765E-5</v>
      </c>
    </row>
    <row r="231" spans="1:1" x14ac:dyDescent="0.25">
      <c r="A231" s="30">
        <v>1.968051430400019E-5</v>
      </c>
    </row>
    <row r="232" spans="1:1" x14ac:dyDescent="0.25">
      <c r="A232" s="30">
        <v>1.7712462873600173E-5</v>
      </c>
    </row>
    <row r="233" spans="1:1" x14ac:dyDescent="0.25">
      <c r="A233" s="30">
        <v>1.5941216586240156E-5</v>
      </c>
    </row>
    <row r="234" spans="1:1" x14ac:dyDescent="0.25">
      <c r="A234" s="30">
        <v>1.434709492761614E-5</v>
      </c>
    </row>
    <row r="235" spans="1:1" x14ac:dyDescent="0.25">
      <c r="A235" s="30">
        <v>1.2912385434854527E-5</v>
      </c>
    </row>
    <row r="236" spans="1:1" x14ac:dyDescent="0.25">
      <c r="A236" s="30">
        <v>1.1621146891369075E-5</v>
      </c>
    </row>
    <row r="237" spans="1:1" x14ac:dyDescent="0.25">
      <c r="A237" s="30">
        <v>1.0459032202232167E-5</v>
      </c>
    </row>
    <row r="238" spans="1:1" x14ac:dyDescent="0.25">
      <c r="A238" s="30">
        <v>9.4131289820089515E-6</v>
      </c>
    </row>
    <row r="239" spans="1:1" x14ac:dyDescent="0.25">
      <c r="A239" s="30">
        <v>8.4718160838080567E-6</v>
      </c>
    </row>
    <row r="240" spans="1:1" x14ac:dyDescent="0.25">
      <c r="A240" s="30">
        <v>7.6246344754272515E-6</v>
      </c>
    </row>
    <row r="241" spans="1:1" x14ac:dyDescent="0.25">
      <c r="A241" s="30">
        <v>6.8621710278845262E-6</v>
      </c>
    </row>
    <row r="242" spans="1:1" x14ac:dyDescent="0.25">
      <c r="A242" s="30">
        <v>6.1759539250960733E-6</v>
      </c>
    </row>
    <row r="243" spans="1:1" x14ac:dyDescent="0.25">
      <c r="A243" s="30">
        <v>5.5583585325864661E-6</v>
      </c>
    </row>
    <row r="244" spans="1:1" x14ac:dyDescent="0.25">
      <c r="A244" s="30">
        <v>5.0025226793278193E-6</v>
      </c>
    </row>
    <row r="245" spans="1:1" x14ac:dyDescent="0.25">
      <c r="A245" s="30">
        <v>4.5022704113950371E-6</v>
      </c>
    </row>
    <row r="246" spans="1:1" x14ac:dyDescent="0.25">
      <c r="A246" s="30">
        <v>4.0520433702555336E-6</v>
      </c>
    </row>
    <row r="247" spans="1:1" x14ac:dyDescent="0.25">
      <c r="A247" s="30">
        <v>3.6468390332299805E-6</v>
      </c>
    </row>
    <row r="248" spans="1:1" x14ac:dyDescent="0.25">
      <c r="A248" s="30">
        <v>3.2821551299069824E-6</v>
      </c>
    </row>
    <row r="249" spans="1:1" x14ac:dyDescent="0.25">
      <c r="A249" s="30">
        <v>2.9539396169162842E-6</v>
      </c>
    </row>
    <row r="250" spans="1:1" x14ac:dyDescent="0.25">
      <c r="A250" s="30">
        <v>2.6585456552246558E-6</v>
      </c>
    </row>
    <row r="251" spans="1:1" x14ac:dyDescent="0.25">
      <c r="A251" s="30">
        <v>2.39269108970219E-6</v>
      </c>
    </row>
    <row r="252" spans="1:1" x14ac:dyDescent="0.25">
      <c r="A252" s="30">
        <v>2.1534219807319713E-6</v>
      </c>
    </row>
    <row r="253" spans="1:1" x14ac:dyDescent="0.25">
      <c r="A253" s="30">
        <v>1.9380797826587742E-6</v>
      </c>
    </row>
    <row r="254" spans="1:1" x14ac:dyDescent="0.25">
      <c r="A254" s="30">
        <v>1.7442718043928968E-6</v>
      </c>
    </row>
    <row r="255" spans="1:1" x14ac:dyDescent="0.25">
      <c r="A255" s="30">
        <v>1.5698446239536072E-6</v>
      </c>
    </row>
    <row r="256" spans="1:1" x14ac:dyDescent="0.25">
      <c r="A256" s="30">
        <v>1.4128601615582464E-6</v>
      </c>
    </row>
    <row r="257" spans="1:1" x14ac:dyDescent="0.25">
      <c r="A257" s="30">
        <v>1.2715741454024219E-6</v>
      </c>
    </row>
    <row r="258" spans="1:1" x14ac:dyDescent="0.25">
      <c r="A258" s="30">
        <v>1.1444167308621797E-6</v>
      </c>
    </row>
    <row r="259" spans="1:1" x14ac:dyDescent="0.25">
      <c r="A259" s="30">
        <v>1.0299750577759617E-6</v>
      </c>
    </row>
    <row r="260" spans="1:1" x14ac:dyDescent="0.25">
      <c r="A260" s="30">
        <v>9.2697755199836562E-7</v>
      </c>
    </row>
    <row r="261" spans="1:1" x14ac:dyDescent="0.25">
      <c r="A261" s="30">
        <v>8.3427979679852907E-7</v>
      </c>
    </row>
    <row r="262" spans="1:1" x14ac:dyDescent="0.25">
      <c r="A262" s="30">
        <v>7.508518171186762E-7</v>
      </c>
    </row>
    <row r="263" spans="1:1" x14ac:dyDescent="0.25">
      <c r="A263" s="30">
        <v>6.7576663540680858E-7</v>
      </c>
    </row>
    <row r="264" spans="1:1" x14ac:dyDescent="0.25">
      <c r="A264" s="30">
        <v>6.0818997186612771E-7</v>
      </c>
    </row>
    <row r="265" spans="1:1" x14ac:dyDescent="0.25">
      <c r="A265" s="30">
        <v>5.4737097467951492E-7</v>
      </c>
    </row>
    <row r="266" spans="1:1" x14ac:dyDescent="0.25">
      <c r="A266" s="30">
        <v>4.9263387721156344E-7</v>
      </c>
    </row>
    <row r="267" spans="1:1" x14ac:dyDescent="0.25">
      <c r="A267" s="30">
        <v>4.4337048949040709E-7</v>
      </c>
    </row>
    <row r="268" spans="1:1" x14ac:dyDescent="0.25">
      <c r="A268" s="30">
        <v>3.9903344054136637E-7</v>
      </c>
    </row>
    <row r="269" spans="1:1" x14ac:dyDescent="0.25">
      <c r="A269" s="30">
        <v>3.5913009648722975E-7</v>
      </c>
    </row>
    <row r="270" spans="1:1" x14ac:dyDescent="0.25">
      <c r="A270" s="30">
        <v>3.2321708683850679E-7</v>
      </c>
    </row>
    <row r="271" spans="1:1" x14ac:dyDescent="0.25">
      <c r="A271" s="30">
        <v>2.908953781546561E-7</v>
      </c>
    </row>
    <row r="272" spans="1:1" x14ac:dyDescent="0.25">
      <c r="A272" s="30">
        <v>2.6180584033919052E-7</v>
      </c>
    </row>
    <row r="273" spans="1:1" x14ac:dyDescent="0.25">
      <c r="A273" s="30">
        <v>2.3562525630527146E-7</v>
      </c>
    </row>
    <row r="274" spans="1:1" x14ac:dyDescent="0.25">
      <c r="A274" s="30">
        <v>2.1206273067474431E-7</v>
      </c>
    </row>
    <row r="275" spans="1:1" x14ac:dyDescent="0.25">
      <c r="A275" s="30">
        <v>1.9085645760726988E-7</v>
      </c>
    </row>
    <row r="276" spans="1:1" x14ac:dyDescent="0.25">
      <c r="A276" s="30">
        <v>1.717708118465429E-7</v>
      </c>
    </row>
    <row r="277" spans="1:1" x14ac:dyDescent="0.25">
      <c r="A277" s="30">
        <v>1.5459373066188861E-7</v>
      </c>
    </row>
    <row r="278" spans="1:1" x14ac:dyDescent="0.25">
      <c r="A278" s="30">
        <v>1.3913435759569975E-7</v>
      </c>
    </row>
    <row r="279" spans="1:1" x14ac:dyDescent="0.25">
      <c r="A279" s="30">
        <v>1.2522092183612977E-7</v>
      </c>
    </row>
    <row r="280" spans="1:1" x14ac:dyDescent="0.25">
      <c r="A280" s="30">
        <v>1.1269882965251679E-7</v>
      </c>
    </row>
    <row r="281" spans="1:1" x14ac:dyDescent="0.25">
      <c r="A281" s="30">
        <v>1.0142894668726512E-7</v>
      </c>
    </row>
    <row r="282" spans="1:1" x14ac:dyDescent="0.25">
      <c r="A282" s="30">
        <v>9.1286052018538604E-8</v>
      </c>
    </row>
    <row r="283" spans="1:1" x14ac:dyDescent="0.25">
      <c r="A283" s="30">
        <v>8.2157446816684752E-8</v>
      </c>
    </row>
    <row r="284" spans="1:1" x14ac:dyDescent="0.25">
      <c r="A284" s="30">
        <v>7.3941702135016276E-8</v>
      </c>
    </row>
    <row r="285" spans="1:1" x14ac:dyDescent="0.25">
      <c r="A285" s="30">
        <v>6.6547531921514646E-8</v>
      </c>
    </row>
    <row r="286" spans="1:1" x14ac:dyDescent="0.25">
      <c r="A286" s="30">
        <v>5.9892778729363178E-8</v>
      </c>
    </row>
    <row r="287" spans="1:1" x14ac:dyDescent="0.25">
      <c r="A287" s="30">
        <v>5.3903500856426864E-8</v>
      </c>
    </row>
    <row r="288" spans="1:1" x14ac:dyDescent="0.25">
      <c r="A288" s="30">
        <v>4.851315077078418E-8</v>
      </c>
    </row>
    <row r="289" spans="1:1" x14ac:dyDescent="0.25">
      <c r="A289" s="30">
        <v>4.3661835693705764E-8</v>
      </c>
    </row>
    <row r="290" spans="1:1" x14ac:dyDescent="0.25">
      <c r="A290" s="30">
        <v>3.929565212433519E-8</v>
      </c>
    </row>
    <row r="291" spans="1:1" x14ac:dyDescent="0.25">
      <c r="A291" s="30">
        <v>3.536608691190167E-8</v>
      </c>
    </row>
    <row r="292" spans="1:1" x14ac:dyDescent="0.25">
      <c r="A292" s="30">
        <v>3.1829478220711501E-8</v>
      </c>
    </row>
    <row r="293" spans="1:1" x14ac:dyDescent="0.25">
      <c r="A293" s="30">
        <v>2.8646530398640351E-8</v>
      </c>
    </row>
    <row r="294" spans="1:1" x14ac:dyDescent="0.25">
      <c r="A294" s="30">
        <v>2.5781877358776315E-8</v>
      </c>
    </row>
    <row r="295" spans="1:1" x14ac:dyDescent="0.25">
      <c r="A295" s="30">
        <v>2.3203689622898683E-8</v>
      </c>
    </row>
    <row r="296" spans="1:1" x14ac:dyDescent="0.25">
      <c r="A296" s="30">
        <v>2.0883320660608816E-8</v>
      </c>
    </row>
    <row r="297" spans="1:1" x14ac:dyDescent="0.25">
      <c r="A297" s="30">
        <v>1.8794988594547934E-8</v>
      </c>
    </row>
    <row r="298" spans="1:1" x14ac:dyDescent="0.25">
      <c r="A298" s="30">
        <v>1.6915489735093139E-8</v>
      </c>
    </row>
    <row r="299" spans="1:1" x14ac:dyDescent="0.25">
      <c r="A299" s="30">
        <v>1.5223940761583825E-8</v>
      </c>
    </row>
    <row r="300" spans="1:1" x14ac:dyDescent="0.25">
      <c r="A300" s="30">
        <v>1.3701546685425444E-8</v>
      </c>
    </row>
    <row r="301" spans="1:1" x14ac:dyDescent="0.25">
      <c r="A301" s="30">
        <v>1.2331392016882899E-8</v>
      </c>
    </row>
    <row r="302" spans="1:1" x14ac:dyDescent="0.25">
      <c r="A302" s="30">
        <v>1.1098252815194609E-8</v>
      </c>
    </row>
    <row r="303" spans="1:1" x14ac:dyDescent="0.25">
      <c r="A303" s="30">
        <v>9.9884275336751485E-9</v>
      </c>
    </row>
    <row r="304" spans="1:1" x14ac:dyDescent="0.25">
      <c r="A304" s="30">
        <v>8.9895847803076335E-9</v>
      </c>
    </row>
    <row r="305" spans="1:1" x14ac:dyDescent="0.25">
      <c r="A305" s="30">
        <v>8.0906263022768703E-9</v>
      </c>
    </row>
    <row r="306" spans="1:1" x14ac:dyDescent="0.25">
      <c r="A306" s="30">
        <v>7.2815636720491835E-9</v>
      </c>
    </row>
    <row r="307" spans="1:1" x14ac:dyDescent="0.25">
      <c r="A307" s="30">
        <v>6.553407304844265E-9</v>
      </c>
    </row>
    <row r="308" spans="1:1" x14ac:dyDescent="0.25">
      <c r="A308" s="30">
        <v>5.8980665743598385E-9</v>
      </c>
    </row>
    <row r="309" spans="1:1" x14ac:dyDescent="0.25">
      <c r="A309" s="30">
        <v>5.3082599169238552E-9</v>
      </c>
    </row>
    <row r="310" spans="1:1" x14ac:dyDescent="0.25">
      <c r="A310" s="30">
        <v>4.7774339252314701E-9</v>
      </c>
    </row>
    <row r="311" spans="1:1" x14ac:dyDescent="0.25">
      <c r="A311" s="30">
        <v>4.2996905327083231E-9</v>
      </c>
    </row>
    <row r="312" spans="1:1" x14ac:dyDescent="0.25">
      <c r="A312" s="30">
        <v>3.8697214794374908E-9</v>
      </c>
    </row>
    <row r="313" spans="1:1" x14ac:dyDescent="0.25">
      <c r="A313" s="30">
        <v>3.4827493314937417E-9</v>
      </c>
    </row>
    <row r="314" spans="1:1" x14ac:dyDescent="0.25">
      <c r="A314" s="30">
        <v>3.1344743983443674E-9</v>
      </c>
    </row>
    <row r="315" spans="1:1" x14ac:dyDescent="0.25">
      <c r="A315" s="30">
        <v>2.8210269585099307E-9</v>
      </c>
    </row>
    <row r="316" spans="1:1" x14ac:dyDescent="0.25">
      <c r="A316" s="30">
        <v>2.5389242626589379E-9</v>
      </c>
    </row>
    <row r="317" spans="1:1" x14ac:dyDescent="0.25">
      <c r="A317" s="30">
        <v>2.285031836393044E-9</v>
      </c>
    </row>
    <row r="318" spans="1:1" x14ac:dyDescent="0.25">
      <c r="A318" s="30">
        <v>2.0565286527537398E-9</v>
      </c>
    </row>
    <row r="319" spans="1:1" x14ac:dyDescent="0.25">
      <c r="A319" s="30">
        <v>1.8508757874783659E-9</v>
      </c>
    </row>
    <row r="320" spans="1:1" x14ac:dyDescent="0.25">
      <c r="A320" s="30">
        <v>1.6657882087305294E-9</v>
      </c>
    </row>
    <row r="321" spans="1:1" x14ac:dyDescent="0.25">
      <c r="A321" s="30">
        <v>1.4992093878574765E-9</v>
      </c>
    </row>
    <row r="322" spans="1:1" x14ac:dyDescent="0.25">
      <c r="A322" s="30">
        <v>1.3492884490717289E-9</v>
      </c>
    </row>
    <row r="323" spans="1:1" x14ac:dyDescent="0.25">
      <c r="A323" s="30">
        <v>1.214359604164556E-9</v>
      </c>
    </row>
    <row r="324" spans="1:1" x14ac:dyDescent="0.25">
      <c r="A324" s="30">
        <v>1.0929236437481004E-9</v>
      </c>
    </row>
    <row r="325" spans="1:1" x14ac:dyDescent="0.25">
      <c r="A325" s="30">
        <v>9.8363127937329029E-10</v>
      </c>
    </row>
    <row r="326" spans="1:1" x14ac:dyDescent="0.25">
      <c r="A326" s="30">
        <v>8.8526815143596126E-10</v>
      </c>
    </row>
    <row r="327" spans="1:1" x14ac:dyDescent="0.25">
      <c r="A327" s="30">
        <v>7.967413362923651E-10</v>
      </c>
    </row>
    <row r="328" spans="1:1" x14ac:dyDescent="0.25">
      <c r="A328" s="30">
        <v>7.1706720266312858E-10</v>
      </c>
    </row>
    <row r="329" spans="1:1" x14ac:dyDescent="0.25">
      <c r="A329" s="30">
        <v>6.4536048239681569E-10</v>
      </c>
    </row>
    <row r="330" spans="1:1" x14ac:dyDescent="0.25">
      <c r="A330" s="30">
        <v>5.8082443415713415E-10</v>
      </c>
    </row>
    <row r="331" spans="1:1" x14ac:dyDescent="0.25">
      <c r="A331" s="30">
        <v>5.2274199074142077E-10</v>
      </c>
    </row>
    <row r="332" spans="1:1" x14ac:dyDescent="0.25">
      <c r="A332" s="30">
        <v>4.7046779166727869E-10</v>
      </c>
    </row>
    <row r="333" spans="1:1" x14ac:dyDescent="0.25">
      <c r="A333" s="30">
        <v>4.2342101250055083E-10</v>
      </c>
    </row>
    <row r="334" spans="1:1" x14ac:dyDescent="0.25">
      <c r="A334" s="30">
        <v>3.8107891125049577E-10</v>
      </c>
    </row>
    <row r="335" spans="1:1" x14ac:dyDescent="0.25">
      <c r="A335" s="30">
        <v>3.4297102012544618E-10</v>
      </c>
    </row>
    <row r="336" spans="1:1" x14ac:dyDescent="0.25">
      <c r="A336" s="30">
        <v>3.0867391811290155E-10</v>
      </c>
    </row>
    <row r="337" spans="1:1" x14ac:dyDescent="0.25">
      <c r="A337" s="30">
        <v>2.7780652630161142E-10</v>
      </c>
    </row>
    <row r="338" spans="1:1" x14ac:dyDescent="0.25">
      <c r="A338" s="30">
        <v>2.5002587367145027E-10</v>
      </c>
    </row>
    <row r="339" spans="1:1" x14ac:dyDescent="0.25">
      <c r="A339" s="30">
        <v>2.2502328630430526E-10</v>
      </c>
    </row>
    <row r="340" spans="1:1" x14ac:dyDescent="0.25">
      <c r="A340" s="30">
        <v>2.0252095767387472E-10</v>
      </c>
    </row>
    <row r="341" spans="1:1" x14ac:dyDescent="0.25">
      <c r="A341" s="30">
        <v>1.8226886190648727E-10</v>
      </c>
    </row>
    <row r="342" spans="1:1" x14ac:dyDescent="0.25">
      <c r="A342" s="30">
        <v>1.6404197571583855E-10</v>
      </c>
    </row>
    <row r="343" spans="1:1" x14ac:dyDescent="0.25">
      <c r="A343" s="30">
        <v>1.4763777814425471E-10</v>
      </c>
    </row>
    <row r="344" spans="1:1" x14ac:dyDescent="0.25">
      <c r="A344" s="30">
        <v>1.3287400032982923E-10</v>
      </c>
    </row>
    <row r="345" spans="1:1" x14ac:dyDescent="0.25">
      <c r="A345" s="30">
        <v>1.1958660029684632E-10</v>
      </c>
    </row>
    <row r="346" spans="1:1" x14ac:dyDescent="0.25">
      <c r="A346" s="30">
        <v>1.0762794026716169E-10</v>
      </c>
    </row>
    <row r="347" spans="1:1" x14ac:dyDescent="0.25">
      <c r="A347" s="30">
        <v>9.686514624044552E-11</v>
      </c>
    </row>
    <row r="348" spans="1:1" x14ac:dyDescent="0.25">
      <c r="A348" s="30">
        <v>8.7178631616400964E-11</v>
      </c>
    </row>
    <row r="349" spans="1:1" x14ac:dyDescent="0.25">
      <c r="A349" s="30">
        <v>7.8460768454760866E-11</v>
      </c>
    </row>
    <row r="350" spans="1:1" x14ac:dyDescent="0.25">
      <c r="A350" s="30">
        <v>7.0614691609284776E-11</v>
      </c>
    </row>
    <row r="351" spans="1:1" x14ac:dyDescent="0.25">
      <c r="A351" s="30">
        <v>6.3553222448356295E-11</v>
      </c>
    </row>
    <row r="352" spans="1:1" x14ac:dyDescent="0.25">
      <c r="A352" s="30">
        <v>5.7197900203520665E-11</v>
      </c>
    </row>
    <row r="353" spans="1:1" x14ac:dyDescent="0.25">
      <c r="A353" s="30">
        <v>5.1478110183168601E-11</v>
      </c>
    </row>
    <row r="354" spans="1:1" x14ac:dyDescent="0.25">
      <c r="A354" s="30">
        <v>4.633029916485174E-11</v>
      </c>
    </row>
    <row r="355" spans="1:1" x14ac:dyDescent="0.25">
      <c r="A355" s="30">
        <v>4.1697269248366565E-11</v>
      </c>
    </row>
    <row r="356" spans="1:1" x14ac:dyDescent="0.25">
      <c r="A356" s="30">
        <v>3.7527542323529907E-11</v>
      </c>
    </row>
    <row r="357" spans="1:1" x14ac:dyDescent="0.25">
      <c r="A357" s="30">
        <v>3.3774788091176915E-11</v>
      </c>
    </row>
    <row r="358" spans="1:1" x14ac:dyDescent="0.25">
      <c r="A358" s="30">
        <v>3.0397309282059222E-11</v>
      </c>
    </row>
    <row r="359" spans="1:1" x14ac:dyDescent="0.25">
      <c r="A359" s="30">
        <v>2.7357578353853301E-11</v>
      </c>
    </row>
    <row r="360" spans="1:1" x14ac:dyDescent="0.25">
      <c r="A360" s="30">
        <v>2.4621820518467972E-11</v>
      </c>
    </row>
    <row r="361" spans="1:1" x14ac:dyDescent="0.25">
      <c r="A361" s="30">
        <v>2.2159638466621177E-11</v>
      </c>
    </row>
    <row r="362" spans="1:1" x14ac:dyDescent="0.25">
      <c r="A362" s="30">
        <v>1.994367461995906E-11</v>
      </c>
    </row>
    <row r="363" spans="1:1" x14ac:dyDescent="0.25">
      <c r="A363" s="30">
        <v>1.7949307157963154E-11</v>
      </c>
    </row>
    <row r="364" spans="1:1" x14ac:dyDescent="0.25">
      <c r="A364" s="30">
        <v>1.615437644216684E-11</v>
      </c>
    </row>
    <row r="365" spans="1:1" x14ac:dyDescent="0.25">
      <c r="A365" s="30">
        <v>1.4538938797950156E-11</v>
      </c>
    </row>
    <row r="366" spans="1:1" x14ac:dyDescent="0.25">
      <c r="A366" s="30">
        <v>1.308504491815514E-11</v>
      </c>
    </row>
    <row r="367" spans="1:1" x14ac:dyDescent="0.25">
      <c r="A367" s="30">
        <v>1.1776540426339626E-11</v>
      </c>
    </row>
    <row r="368" spans="1:1" x14ac:dyDescent="0.25">
      <c r="A368" s="30">
        <v>1.0598886383705664E-11</v>
      </c>
    </row>
    <row r="369" spans="1:1" x14ac:dyDescent="0.25">
      <c r="A369" s="30">
        <v>9.5389977453350987E-12</v>
      </c>
    </row>
    <row r="370" spans="1:1" x14ac:dyDescent="0.25">
      <c r="A370" s="30">
        <v>8.5850979708015893E-12</v>
      </c>
    </row>
    <row r="371" spans="1:1" x14ac:dyDescent="0.25">
      <c r="A371" s="30">
        <v>7.7265881737214303E-12</v>
      </c>
    </row>
    <row r="372" spans="1:1" x14ac:dyDescent="0.25">
      <c r="A372" s="30">
        <v>6.9539293563492874E-12</v>
      </c>
    </row>
    <row r="373" spans="1:1" x14ac:dyDescent="0.25">
      <c r="A373" s="30">
        <v>6.2585364207143591E-12</v>
      </c>
    </row>
    <row r="374" spans="1:1" x14ac:dyDescent="0.25">
      <c r="A374" s="30">
        <v>5.632682778642923E-12</v>
      </c>
    </row>
    <row r="375" spans="1:1" x14ac:dyDescent="0.25">
      <c r="A375" s="30">
        <v>5.0694145007786311E-12</v>
      </c>
    </row>
    <row r="376" spans="1:1" x14ac:dyDescent="0.25">
      <c r="A376" s="30">
        <v>4.5624730507007684E-12</v>
      </c>
    </row>
    <row r="377" spans="1:1" x14ac:dyDescent="0.25">
      <c r="A377" s="30">
        <v>4.1062257456306914E-12</v>
      </c>
    </row>
    <row r="378" spans="1:1" x14ac:dyDescent="0.25">
      <c r="A378" s="30">
        <v>3.6956031710676221E-12</v>
      </c>
    </row>
    <row r="379" spans="1:1" x14ac:dyDescent="0.25">
      <c r="A379" s="30">
        <v>3.3260428539608601E-12</v>
      </c>
    </row>
    <row r="380" spans="1:1" x14ac:dyDescent="0.25">
      <c r="A380" s="30">
        <v>2.9934385685647741E-12</v>
      </c>
    </row>
    <row r="381" spans="1:1" x14ac:dyDescent="0.25">
      <c r="A381" s="30">
        <v>2.6940947117082966E-12</v>
      </c>
    </row>
    <row r="382" spans="1:1" x14ac:dyDescent="0.25">
      <c r="A382" s="30">
        <v>2.4246852405374669E-12</v>
      </c>
    </row>
    <row r="383" spans="1:1" x14ac:dyDescent="0.25">
      <c r="A383" s="30">
        <v>2.1822167164837201E-12</v>
      </c>
    </row>
    <row r="384" spans="1:1" x14ac:dyDescent="0.25">
      <c r="A384" s="30">
        <v>1.9639950448353481E-12</v>
      </c>
    </row>
    <row r="385" spans="1:1" x14ac:dyDescent="0.25">
      <c r="A385" s="30">
        <v>1.7675955403518133E-12</v>
      </c>
    </row>
    <row r="386" spans="1:1" x14ac:dyDescent="0.25">
      <c r="A386" s="30">
        <v>1.5908359863166319E-12</v>
      </c>
    </row>
    <row r="387" spans="1:1" x14ac:dyDescent="0.25">
      <c r="A387" s="30">
        <v>1.4317523876849688E-12</v>
      </c>
    </row>
    <row r="388" spans="1:1" x14ac:dyDescent="0.25">
      <c r="A388" s="30">
        <v>1.2885771489164719E-12</v>
      </c>
    </row>
    <row r="389" spans="1:1" x14ac:dyDescent="0.25">
      <c r="A389" s="30">
        <v>1.1597194340248247E-12</v>
      </c>
    </row>
    <row r="390" spans="1:1" x14ac:dyDescent="0.25">
      <c r="A390" s="30">
        <v>1.0437474906223423E-12</v>
      </c>
    </row>
    <row r="391" spans="1:1" x14ac:dyDescent="0.25">
      <c r="A391" s="30">
        <v>9.3937274156010802E-13</v>
      </c>
    </row>
    <row r="392" spans="1:1" x14ac:dyDescent="0.25">
      <c r="A392" s="30">
        <v>8.4543546740409726E-13</v>
      </c>
    </row>
    <row r="393" spans="1:1" x14ac:dyDescent="0.25">
      <c r="A393" s="30">
        <v>7.608919206636876E-13</v>
      </c>
    </row>
    <row r="394" spans="1:1" x14ac:dyDescent="0.25">
      <c r="A394" s="30">
        <v>6.8480272859731885E-13</v>
      </c>
    </row>
    <row r="395" spans="1:1" x14ac:dyDescent="0.25">
      <c r="A395" s="30">
        <v>6.16322455737587E-13</v>
      </c>
    </row>
    <row r="396" spans="1:1" x14ac:dyDescent="0.25">
      <c r="A396" s="30">
        <v>5.5469021016382834E-13</v>
      </c>
    </row>
    <row r="397" spans="1:1" x14ac:dyDescent="0.25">
      <c r="A397" s="30">
        <v>4.9922118914744555E-13</v>
      </c>
    </row>
    <row r="398" spans="1:1" x14ac:dyDescent="0.25">
      <c r="A398" s="30">
        <v>4.4929907023270098E-13</v>
      </c>
    </row>
    <row r="399" spans="1:1" x14ac:dyDescent="0.25">
      <c r="A399" s="30">
        <v>4.0436916320943091E-13</v>
      </c>
    </row>
    <row r="400" spans="1:1" x14ac:dyDescent="0.25">
      <c r="A400" s="30">
        <v>3.6393224688848781E-13</v>
      </c>
    </row>
    <row r="401" spans="1:1" x14ac:dyDescent="0.25">
      <c r="A401" s="30">
        <v>3.2753902219963903E-13</v>
      </c>
    </row>
    <row r="402" spans="1:1" x14ac:dyDescent="0.25">
      <c r="A402" s="30">
        <v>2.9478511997967513E-13</v>
      </c>
    </row>
    <row r="403" spans="1:1" x14ac:dyDescent="0.25">
      <c r="A403" s="30">
        <v>2.6530660798170763E-13</v>
      </c>
    </row>
    <row r="404" spans="1:1" x14ac:dyDescent="0.25">
      <c r="A404" s="30">
        <v>2.3877594718353686E-13</v>
      </c>
    </row>
    <row r="405" spans="1:1" x14ac:dyDescent="0.25">
      <c r="A405" s="30">
        <v>2.1489835246518316E-13</v>
      </c>
    </row>
    <row r="406" spans="1:1" x14ac:dyDescent="0.25">
      <c r="A406" s="30">
        <v>1.9340851721866486E-13</v>
      </c>
    </row>
    <row r="407" spans="1:1" x14ac:dyDescent="0.25">
      <c r="A407" s="30">
        <v>1.7406766549679839E-13</v>
      </c>
    </row>
    <row r="408" spans="1:1" x14ac:dyDescent="0.25">
      <c r="A408" s="30">
        <v>1.5666089894711856E-13</v>
      </c>
    </row>
    <row r="409" spans="1:1" x14ac:dyDescent="0.25">
      <c r="A409" s="30">
        <v>1.4099480905240672E-13</v>
      </c>
    </row>
    <row r="410" spans="1:1" x14ac:dyDescent="0.25">
      <c r="A410" s="30">
        <v>1.2689532814716606E-13</v>
      </c>
    </row>
    <row r="411" spans="1:1" x14ac:dyDescent="0.25">
      <c r="A411" s="30">
        <v>1.1420579533244944E-13</v>
      </c>
    </row>
    <row r="412" spans="1:1" x14ac:dyDescent="0.25">
      <c r="A412" s="30">
        <v>1.0278521579920451E-13</v>
      </c>
    </row>
    <row r="413" spans="1:1" x14ac:dyDescent="0.25">
      <c r="A413" s="30">
        <v>9.2506694219284062E-14</v>
      </c>
    </row>
    <row r="414" spans="1:1" x14ac:dyDescent="0.25">
      <c r="A414" s="30">
        <v>8.3256024797355662E-14</v>
      </c>
    </row>
    <row r="415" spans="1:1" x14ac:dyDescent="0.25">
      <c r="A415" s="30">
        <v>7.4930422317620103E-14</v>
      </c>
    </row>
    <row r="416" spans="1:1" x14ac:dyDescent="0.25">
      <c r="A416" s="30">
        <v>6.7437380085858099E-14</v>
      </c>
    </row>
    <row r="417" spans="1:1" x14ac:dyDescent="0.25">
      <c r="A417" s="30">
        <v>6.0693642077272288E-14</v>
      </c>
    </row>
    <row r="418" spans="1:1" x14ac:dyDescent="0.25">
      <c r="A418" s="30">
        <v>5.4624277869545061E-14</v>
      </c>
    </row>
    <row r="419" spans="1:1" x14ac:dyDescent="0.25">
      <c r="A419" s="30">
        <v>4.9161850082590553E-14</v>
      </c>
    </row>
    <row r="420" spans="1:1" x14ac:dyDescent="0.25">
      <c r="A420" s="30">
        <v>4.4245665074331497E-14</v>
      </c>
    </row>
    <row r="421" spans="1:1" x14ac:dyDescent="0.25">
      <c r="A421" s="30">
        <v>3.9821098566898348E-14</v>
      </c>
    </row>
    <row r="422" spans="1:1" x14ac:dyDescent="0.25">
      <c r="A422" s="30">
        <v>3.5838988710208514E-14</v>
      </c>
    </row>
    <row r="423" spans="1:1" x14ac:dyDescent="0.25">
      <c r="A423" s="30">
        <v>3.2255089839187663E-14</v>
      </c>
    </row>
    <row r="424" spans="1:1" x14ac:dyDescent="0.25">
      <c r="A424" s="30">
        <v>2.9029580855268898E-14</v>
      </c>
    </row>
    <row r="425" spans="1:1" x14ac:dyDescent="0.25">
      <c r="A425" s="30">
        <v>2.612662276974201E-14</v>
      </c>
    </row>
    <row r="426" spans="1:1" x14ac:dyDescent="0.25">
      <c r="A426" s="30">
        <v>2.3513960492767811E-14</v>
      </c>
    </row>
    <row r="427" spans="1:1" x14ac:dyDescent="0.25">
      <c r="A427" s="30">
        <v>2.1162564443491029E-14</v>
      </c>
    </row>
    <row r="428" spans="1:1" x14ac:dyDescent="0.25">
      <c r="A428" s="30">
        <v>1.9046307999141925E-14</v>
      </c>
    </row>
    <row r="429" spans="1:1" x14ac:dyDescent="0.25">
      <c r="A429" s="30">
        <v>1.7141677199227731E-14</v>
      </c>
    </row>
    <row r="430" spans="1:1" x14ac:dyDescent="0.25">
      <c r="A430" s="30">
        <v>1.5427509479304957E-14</v>
      </c>
    </row>
    <row r="431" spans="1:1" x14ac:dyDescent="0.25">
      <c r="A431" s="30">
        <v>1.3884758531374462E-14</v>
      </c>
    </row>
    <row r="432" spans="1:1" x14ac:dyDescent="0.25">
      <c r="A432" s="30">
        <v>1.2496282678237016E-14</v>
      </c>
    </row>
    <row r="433" spans="1:1" x14ac:dyDescent="0.25">
      <c r="A433" s="30">
        <v>1.1246654410413315E-14</v>
      </c>
    </row>
    <row r="434" spans="1:1" x14ac:dyDescent="0.25">
      <c r="A434" s="30">
        <v>1.0121988969371984E-14</v>
      </c>
    </row>
    <row r="435" spans="1:1" x14ac:dyDescent="0.25">
      <c r="A435" s="30">
        <v>9.1097900724347861E-15</v>
      </c>
    </row>
    <row r="436" spans="1:1" x14ac:dyDescent="0.25">
      <c r="A436" s="30">
        <v>8.1988110651913077E-15</v>
      </c>
    </row>
    <row r="437" spans="1:1" x14ac:dyDescent="0.25">
      <c r="A437" s="30">
        <v>7.3789299586721777E-15</v>
      </c>
    </row>
    <row r="438" spans="1:1" x14ac:dyDescent="0.25">
      <c r="A438" s="30">
        <v>6.6410369628049599E-15</v>
      </c>
    </row>
    <row r="439" spans="1:1" x14ac:dyDescent="0.25">
      <c r="A439" s="30">
        <v>5.9769332665244643E-15</v>
      </c>
    </row>
    <row r="440" spans="1:1" x14ac:dyDescent="0.25">
      <c r="A440" s="30">
        <v>5.3792399398720178E-15</v>
      </c>
    </row>
    <row r="441" spans="1:1" x14ac:dyDescent="0.25">
      <c r="A441" s="30">
        <v>4.8413159458848159E-15</v>
      </c>
    </row>
    <row r="442" spans="1:1" x14ac:dyDescent="0.25">
      <c r="A442" s="30">
        <v>4.3571843512963347E-15</v>
      </c>
    </row>
    <row r="443" spans="1:1" x14ac:dyDescent="0.25">
      <c r="A443" s="30">
        <v>3.921465916166701E-15</v>
      </c>
    </row>
    <row r="444" spans="1:1" x14ac:dyDescent="0.25">
      <c r="A444" s="30">
        <v>3.529319324550031E-15</v>
      </c>
    </row>
    <row r="445" spans="1:1" x14ac:dyDescent="0.25">
      <c r="A445" s="30">
        <v>3.176387392095028E-15</v>
      </c>
    </row>
    <row r="446" spans="1:1" x14ac:dyDescent="0.25">
      <c r="A446" s="30">
        <v>2.8587486528855254E-15</v>
      </c>
    </row>
    <row r="447" spans="1:1" x14ac:dyDescent="0.25">
      <c r="A447" s="30">
        <v>2.5728737875969727E-15</v>
      </c>
    </row>
    <row r="448" spans="1:1" x14ac:dyDescent="0.25">
      <c r="A448" s="30">
        <v>2.3155864088372755E-15</v>
      </c>
    </row>
    <row r="449" spans="1:1" x14ac:dyDescent="0.25">
      <c r="A449" s="30">
        <v>2.0840277679535482E-15</v>
      </c>
    </row>
    <row r="450" spans="1:1" x14ac:dyDescent="0.25">
      <c r="A450" s="30">
        <v>1.8756249911581935E-15</v>
      </c>
    </row>
    <row r="451" spans="1:1" x14ac:dyDescent="0.25">
      <c r="A451" s="30">
        <v>1.6880624920423743E-15</v>
      </c>
    </row>
    <row r="452" spans="1:1" x14ac:dyDescent="0.25">
      <c r="A452" s="30">
        <v>1.519256242838137E-15</v>
      </c>
    </row>
    <row r="453" spans="1:1" x14ac:dyDescent="0.25">
      <c r="A453" s="30">
        <v>1.3673306185543234E-15</v>
      </c>
    </row>
    <row r="454" spans="1:1" x14ac:dyDescent="0.25">
      <c r="A454" s="30">
        <v>1.230597556698891E-15</v>
      </c>
    </row>
    <row r="455" spans="1:1" x14ac:dyDescent="0.25">
      <c r="A455" s="30">
        <v>1.1075378010290018E-15</v>
      </c>
    </row>
    <row r="456" spans="1:1" x14ac:dyDescent="0.25">
      <c r="A456" s="30">
        <v>9.9678402092610166E-16</v>
      </c>
    </row>
    <row r="457" spans="1:1" x14ac:dyDescent="0.25">
      <c r="A457" s="30">
        <v>8.9710561883349156E-16</v>
      </c>
    </row>
    <row r="458" spans="1:1" x14ac:dyDescent="0.25">
      <c r="A458" s="30">
        <v>8.0739505695014242E-16</v>
      </c>
    </row>
    <row r="459" spans="1:1" x14ac:dyDescent="0.25">
      <c r="A459" s="30">
        <v>7.2665555125512816E-16</v>
      </c>
    </row>
    <row r="460" spans="1:1" x14ac:dyDescent="0.25">
      <c r="A460" s="30">
        <v>6.5398999612961539E-16</v>
      </c>
    </row>
    <row r="461" spans="1:1" x14ac:dyDescent="0.25">
      <c r="A461" s="30">
        <v>5.885909965166539E-16</v>
      </c>
    </row>
    <row r="462" spans="1:1" x14ac:dyDescent="0.25">
      <c r="A462" s="30">
        <v>5.2973189686498855E-16</v>
      </c>
    </row>
    <row r="463" spans="1:1" x14ac:dyDescent="0.25">
      <c r="A463" s="30">
        <v>4.767587071784897E-16</v>
      </c>
    </row>
    <row r="464" spans="1:1" x14ac:dyDescent="0.25">
      <c r="A464" s="30">
        <v>4.2908283646064075E-16</v>
      </c>
    </row>
    <row r="465" spans="1:1" x14ac:dyDescent="0.25">
      <c r="A465" s="30">
        <v>3.8617455281457667E-16</v>
      </c>
    </row>
    <row r="466" spans="1:1" x14ac:dyDescent="0.25">
      <c r="A466" s="30">
        <v>3.47557097533119E-16</v>
      </c>
    </row>
    <row r="467" spans="1:1" x14ac:dyDescent="0.25">
      <c r="A467" s="30">
        <v>3.1280138777980711E-16</v>
      </c>
    </row>
    <row r="468" spans="1:1" x14ac:dyDescent="0.25">
      <c r="A468" s="30">
        <v>2.815212490018264E-16</v>
      </c>
    </row>
    <row r="469" spans="1:1" x14ac:dyDescent="0.25">
      <c r="A469" s="30">
        <v>2.5336912410164374E-16</v>
      </c>
    </row>
    <row r="470" spans="1:1" x14ac:dyDescent="0.25">
      <c r="A470" s="30">
        <v>2.2803221169147938E-16</v>
      </c>
    </row>
    <row r="471" spans="1:1" x14ac:dyDescent="0.25">
      <c r="A471" s="30">
        <v>2.0522899052233145E-16</v>
      </c>
    </row>
    <row r="472" spans="1:1" x14ac:dyDescent="0.25">
      <c r="A472" s="30">
        <v>1.8470609147009832E-16</v>
      </c>
    </row>
    <row r="473" spans="1:1" x14ac:dyDescent="0.25">
      <c r="A473" s="30">
        <v>1.6623548232308849E-16</v>
      </c>
    </row>
    <row r="474" spans="1:1" x14ac:dyDescent="0.25">
      <c r="A474" s="30">
        <v>1.4961193409077965E-16</v>
      </c>
    </row>
    <row r="475" spans="1:1" x14ac:dyDescent="0.25">
      <c r="A475" s="30">
        <v>1.3465074068170169E-16</v>
      </c>
    </row>
    <row r="476" spans="1:1" x14ac:dyDescent="0.25">
      <c r="A476" s="30">
        <v>1.2118566661353153E-16</v>
      </c>
    </row>
    <row r="477" spans="1:1" x14ac:dyDescent="0.25">
      <c r="A477" s="30">
        <v>1.0906709995217838E-16</v>
      </c>
    </row>
    <row r="478" spans="1:1" x14ac:dyDescent="0.25">
      <c r="A478" s="30">
        <v>9.8160389956960543E-17</v>
      </c>
    </row>
    <row r="479" spans="1:1" x14ac:dyDescent="0.25">
      <c r="A479" s="30">
        <v>8.8344350961264486E-17</v>
      </c>
    </row>
    <row r="480" spans="1:1" x14ac:dyDescent="0.25">
      <c r="A480" s="30">
        <v>7.9509915865138035E-17</v>
      </c>
    </row>
    <row r="481" spans="1:1" x14ac:dyDescent="0.25">
      <c r="A481" s="30">
        <v>7.1558924278624229E-17</v>
      </c>
    </row>
    <row r="482" spans="1:1" x14ac:dyDescent="0.25">
      <c r="A482" s="30">
        <v>6.440303185076181E-17</v>
      </c>
    </row>
    <row r="483" spans="1:1" x14ac:dyDescent="0.25">
      <c r="A483" s="30">
        <v>5.7962728665685633E-17</v>
      </c>
    </row>
    <row r="484" spans="1:1" x14ac:dyDescent="0.25">
      <c r="A484" s="30">
        <v>5.2166455799117073E-17</v>
      </c>
    </row>
    <row r="485" spans="1:1" x14ac:dyDescent="0.25">
      <c r="A485" s="30">
        <v>4.6949810219205366E-17</v>
      </c>
    </row>
    <row r="486" spans="1:1" x14ac:dyDescent="0.25">
      <c r="A486" s="30">
        <v>4.2254829197284832E-17</v>
      </c>
    </row>
    <row r="487" spans="1:1" x14ac:dyDescent="0.25">
      <c r="A487" s="30">
        <v>3.8029346277556347E-17</v>
      </c>
    </row>
    <row r="488" spans="1:1" x14ac:dyDescent="0.25">
      <c r="A488" s="30">
        <v>3.4226411649800712E-17</v>
      </c>
    </row>
    <row r="489" spans="1:1" x14ac:dyDescent="0.25">
      <c r="A489" s="30">
        <v>3.0803770484820639E-17</v>
      </c>
    </row>
  </sheetData>
  <conditionalFormatting sqref="C136">
    <cfRule type="cellIs" dxfId="31" priority="629" operator="equal">
      <formula>$U$1</formula>
    </cfRule>
    <cfRule type="cellIs" dxfId="30" priority="630" operator="equal">
      <formula>$S$1</formula>
    </cfRule>
  </conditionalFormatting>
  <conditionalFormatting sqref="D136">
    <cfRule type="cellIs" dxfId="29" priority="627" operator="equal">
      <formula>$S$1</formula>
    </cfRule>
    <cfRule type="cellIs" dxfId="28" priority="628" operator="equal">
      <formula>$U$1</formula>
    </cfRule>
  </conditionalFormatting>
  <conditionalFormatting sqref="C102">
    <cfRule type="cellIs" dxfId="27" priority="625" operator="equal">
      <formula>$U$1</formula>
    </cfRule>
    <cfRule type="cellIs" dxfId="26" priority="626" operator="equal">
      <formula>$S$1</formula>
    </cfRule>
  </conditionalFormatting>
  <conditionalFormatting sqref="D102">
    <cfRule type="cellIs" dxfId="25" priority="623" operator="equal">
      <formula>$S$1</formula>
    </cfRule>
    <cfRule type="cellIs" dxfId="24" priority="624" operator="equal">
      <formula>$U$1</formula>
    </cfRule>
  </conditionalFormatting>
  <conditionalFormatting sqref="C77">
    <cfRule type="cellIs" dxfId="23" priority="621" operator="equal">
      <formula>$U$1</formula>
    </cfRule>
    <cfRule type="cellIs" dxfId="22" priority="622" operator="equal">
      <formula>$S$1</formula>
    </cfRule>
  </conditionalFormatting>
  <conditionalFormatting sqref="D77">
    <cfRule type="cellIs" dxfId="21" priority="619" operator="equal">
      <formula>$S$1</formula>
    </cfRule>
    <cfRule type="cellIs" dxfId="20" priority="620" operator="equal">
      <formula>$U$1</formula>
    </cfRule>
  </conditionalFormatting>
  <conditionalFormatting sqref="C52">
    <cfRule type="cellIs" dxfId="19" priority="617" operator="equal">
      <formula>$U$1</formula>
    </cfRule>
    <cfRule type="cellIs" dxfId="18" priority="618" operator="equal">
      <formula>$S$1</formula>
    </cfRule>
  </conditionalFormatting>
  <conditionalFormatting sqref="D52">
    <cfRule type="cellIs" dxfId="17" priority="615" operator="equal">
      <formula>$S$1</formula>
    </cfRule>
    <cfRule type="cellIs" dxfId="16" priority="616" operator="equal">
      <formula>$U$1</formula>
    </cfRule>
  </conditionalFormatting>
  <conditionalFormatting sqref="C26">
    <cfRule type="cellIs" dxfId="15" priority="613" operator="equal">
      <formula>$U$1</formula>
    </cfRule>
    <cfRule type="cellIs" dxfId="14" priority="614" operator="equal">
      <formula>$S$1</formula>
    </cfRule>
  </conditionalFormatting>
  <conditionalFormatting sqref="D26">
    <cfRule type="cellIs" dxfId="13" priority="611" operator="equal">
      <formula>$S$1</formula>
    </cfRule>
    <cfRule type="cellIs" dxfId="12" priority="612" operator="equal">
      <formula>$U$1</formula>
    </cfRule>
  </conditionalFormatting>
  <conditionalFormatting sqref="D130">
    <cfRule type="cellIs" dxfId="0" priority="1" operator="lessThan">
      <formula>$A$2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AI64"/>
  <sheetViews>
    <sheetView workbookViewId="0">
      <selection activeCell="G3" sqref="G3"/>
    </sheetView>
  </sheetViews>
  <sheetFormatPr defaultRowHeight="15" x14ac:dyDescent="0.25"/>
  <cols>
    <col min="1" max="1" width="7.5703125" style="1" customWidth="1"/>
    <col min="2" max="2" width="11" style="1" customWidth="1"/>
    <col min="3" max="3" width="11.5703125" style="1" customWidth="1"/>
    <col min="4" max="35" width="8.7109375" style="1" customWidth="1"/>
  </cols>
  <sheetData>
    <row r="1" spans="1:35" x14ac:dyDescent="0.25">
      <c r="A1" s="1" t="s">
        <v>16</v>
      </c>
      <c r="B1" s="34" t="s">
        <v>17</v>
      </c>
      <c r="C1" s="34"/>
      <c r="D1" s="20" t="s">
        <v>18</v>
      </c>
      <c r="E1" s="1" t="s">
        <v>19</v>
      </c>
      <c r="F1" s="1" t="s">
        <v>20</v>
      </c>
      <c r="G1" s="1" t="s">
        <v>21</v>
      </c>
      <c r="H1" s="21" t="s">
        <v>22</v>
      </c>
      <c r="I1" s="1" t="s">
        <v>23</v>
      </c>
      <c r="J1" s="22" t="s">
        <v>24</v>
      </c>
      <c r="K1" s="22" t="s">
        <v>25</v>
      </c>
      <c r="L1" s="22"/>
      <c r="M1" s="21" t="s">
        <v>22</v>
      </c>
      <c r="N1" s="21" t="s">
        <v>26</v>
      </c>
      <c r="O1" s="23" t="s">
        <v>27</v>
      </c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</row>
    <row r="2" spans="1:35" x14ac:dyDescent="0.25">
      <c r="B2" s="1" t="s">
        <v>28</v>
      </c>
      <c r="C2" s="1" t="s">
        <v>29</v>
      </c>
      <c r="D2" s="20" t="s">
        <v>30</v>
      </c>
      <c r="H2" s="21"/>
      <c r="J2" s="1" t="s">
        <v>28</v>
      </c>
      <c r="K2" s="1" t="s">
        <v>28</v>
      </c>
      <c r="L2" s="1" t="s">
        <v>31</v>
      </c>
      <c r="M2" s="21" t="s">
        <v>32</v>
      </c>
      <c r="N2" s="21" t="s">
        <v>33</v>
      </c>
      <c r="O2" s="23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</row>
    <row r="3" spans="1:35" x14ac:dyDescent="0.25">
      <c r="B3" s="24"/>
      <c r="C3" s="24"/>
      <c r="D3" s="20"/>
      <c r="E3" s="30">
        <v>0.22035947491033836</v>
      </c>
      <c r="F3" s="30">
        <v>0.23137744865585538</v>
      </c>
      <c r="G3" s="30">
        <v>0.34184987108661891</v>
      </c>
      <c r="H3" s="25">
        <f>IF(G3="","",(3*(G3-F3))+E3)</f>
        <v>0.55177674220262896</v>
      </c>
      <c r="I3" s="7"/>
      <c r="J3" s="7">
        <f>(E3+G3)/2</f>
        <v>0.28110467299847863</v>
      </c>
      <c r="K3" s="7">
        <f>H3/2</f>
        <v>0.27588837110131448</v>
      </c>
      <c r="M3" s="26">
        <f>IF(OR(J3="",H3=""),"",H3/J3)</f>
        <v>1.9628871207189615</v>
      </c>
      <c r="N3" s="26" t="str">
        <f>IF(L3="","",L3/J3)</f>
        <v/>
      </c>
      <c r="O3" s="23" t="str">
        <f>IF(C3="","",(C3-B3)/7)</f>
        <v/>
      </c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</row>
    <row r="4" spans="1:35" x14ac:dyDescent="0.25">
      <c r="B4" s="24"/>
      <c r="C4" s="24"/>
      <c r="D4" s="20"/>
      <c r="E4" s="7"/>
      <c r="F4" s="7"/>
      <c r="G4" s="7"/>
      <c r="H4" s="25" t="str">
        <f t="shared" ref="H4:H25" si="0">IF(G4="","",(3*(G4-F4))+E4)</f>
        <v/>
      </c>
      <c r="I4" s="7"/>
      <c r="J4" s="7"/>
      <c r="K4" s="7"/>
      <c r="M4" s="26" t="str">
        <f t="shared" ref="M4:M25" si="1">IF(OR(J4="",H4=""),"",H4/J4)</f>
        <v/>
      </c>
      <c r="N4" s="26" t="str">
        <f t="shared" ref="N4:N25" si="2">IF(L4="","",L4/J4)</f>
        <v/>
      </c>
      <c r="O4" s="23" t="str">
        <f t="shared" ref="O4:O25" si="3">IF(C4="","",(C4-B4)/7)</f>
        <v/>
      </c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</row>
    <row r="5" spans="1:35" x14ac:dyDescent="0.25">
      <c r="B5" s="24"/>
      <c r="C5" s="24"/>
      <c r="D5" s="20"/>
      <c r="E5" s="7"/>
      <c r="F5" s="7"/>
      <c r="G5" s="7"/>
      <c r="H5" s="25" t="str">
        <f t="shared" si="0"/>
        <v/>
      </c>
      <c r="I5" s="7"/>
      <c r="J5" s="7"/>
      <c r="K5" s="7"/>
      <c r="M5" s="26" t="str">
        <f t="shared" si="1"/>
        <v/>
      </c>
      <c r="N5" s="26" t="str">
        <f t="shared" si="2"/>
        <v/>
      </c>
      <c r="O5" s="23" t="str">
        <f t="shared" si="3"/>
        <v/>
      </c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</row>
    <row r="6" spans="1:35" x14ac:dyDescent="0.25">
      <c r="B6" s="24"/>
      <c r="C6" s="24"/>
      <c r="D6" s="20"/>
      <c r="E6" s="7"/>
      <c r="F6" s="7"/>
      <c r="G6" s="7"/>
      <c r="H6" s="25" t="str">
        <f t="shared" si="0"/>
        <v/>
      </c>
      <c r="I6" s="7"/>
      <c r="J6" s="7"/>
      <c r="K6" s="7"/>
      <c r="L6" s="7"/>
      <c r="M6" s="26" t="str">
        <f t="shared" si="1"/>
        <v/>
      </c>
      <c r="N6" s="26" t="str">
        <f t="shared" si="2"/>
        <v/>
      </c>
      <c r="O6" s="23" t="str">
        <f t="shared" si="3"/>
        <v/>
      </c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</row>
    <row r="7" spans="1:35" x14ac:dyDescent="0.25">
      <c r="B7" s="24"/>
      <c r="C7" s="24"/>
      <c r="D7" s="20"/>
      <c r="E7" s="7"/>
      <c r="F7" s="7"/>
      <c r="G7" s="7"/>
      <c r="H7" s="25" t="str">
        <f t="shared" si="0"/>
        <v/>
      </c>
      <c r="I7" s="7"/>
      <c r="J7" s="7"/>
      <c r="K7" s="7"/>
      <c r="L7" s="7"/>
      <c r="M7" s="26" t="str">
        <f t="shared" si="1"/>
        <v/>
      </c>
      <c r="N7" s="26" t="str">
        <f t="shared" si="2"/>
        <v/>
      </c>
      <c r="O7" s="23" t="str">
        <f t="shared" si="3"/>
        <v/>
      </c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</row>
    <row r="8" spans="1:35" x14ac:dyDescent="0.25">
      <c r="B8" s="24"/>
      <c r="C8" s="24"/>
      <c r="D8" s="20"/>
      <c r="E8" s="7"/>
      <c r="F8" s="7"/>
      <c r="G8" s="7"/>
      <c r="H8" s="25" t="str">
        <f t="shared" si="0"/>
        <v/>
      </c>
      <c r="I8" s="7"/>
      <c r="J8" s="7"/>
      <c r="K8" s="7"/>
      <c r="L8" s="7"/>
      <c r="M8" s="26" t="str">
        <f t="shared" si="1"/>
        <v/>
      </c>
      <c r="N8" s="26" t="str">
        <f t="shared" si="2"/>
        <v/>
      </c>
      <c r="O8" s="23" t="str">
        <f t="shared" si="3"/>
        <v/>
      </c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</row>
    <row r="9" spans="1:35" x14ac:dyDescent="0.25">
      <c r="B9" s="24"/>
      <c r="C9" s="24"/>
      <c r="D9" s="20"/>
      <c r="E9" s="7"/>
      <c r="F9" s="7"/>
      <c r="G9" s="7"/>
      <c r="H9" s="25" t="str">
        <f t="shared" si="0"/>
        <v/>
      </c>
      <c r="I9" s="7"/>
      <c r="J9" s="7"/>
      <c r="K9" s="7"/>
      <c r="L9" s="7"/>
      <c r="M9" s="26" t="str">
        <f t="shared" si="1"/>
        <v/>
      </c>
      <c r="N9" s="26" t="str">
        <f t="shared" si="2"/>
        <v/>
      </c>
      <c r="O9" s="23" t="str">
        <f t="shared" si="3"/>
        <v/>
      </c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</row>
    <row r="10" spans="1:35" x14ac:dyDescent="0.25">
      <c r="B10" s="24"/>
      <c r="D10" s="20"/>
      <c r="E10" s="7"/>
      <c r="F10" s="7"/>
      <c r="G10" s="7"/>
      <c r="H10" s="25" t="str">
        <f t="shared" si="0"/>
        <v/>
      </c>
      <c r="I10" s="7"/>
      <c r="J10" s="7"/>
      <c r="K10" s="7"/>
      <c r="M10" s="26" t="str">
        <f t="shared" si="1"/>
        <v/>
      </c>
      <c r="N10" s="26" t="str">
        <f t="shared" si="2"/>
        <v/>
      </c>
      <c r="O10" s="23" t="str">
        <f t="shared" si="3"/>
        <v/>
      </c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</row>
    <row r="11" spans="1:35" x14ac:dyDescent="0.25">
      <c r="B11" s="24"/>
      <c r="D11" s="20"/>
      <c r="E11" s="7"/>
      <c r="F11" s="7"/>
      <c r="G11" s="7"/>
      <c r="H11" s="25" t="str">
        <f t="shared" si="0"/>
        <v/>
      </c>
      <c r="I11" s="7"/>
      <c r="J11" s="7"/>
      <c r="K11" s="7"/>
      <c r="M11" s="26" t="str">
        <f t="shared" si="1"/>
        <v/>
      </c>
      <c r="N11" s="26" t="str">
        <f t="shared" si="2"/>
        <v/>
      </c>
      <c r="O11" s="23" t="str">
        <f t="shared" si="3"/>
        <v/>
      </c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</row>
    <row r="12" spans="1:35" x14ac:dyDescent="0.25">
      <c r="B12" s="24"/>
      <c r="D12" s="20"/>
      <c r="E12" s="7"/>
      <c r="F12" s="7"/>
      <c r="G12" s="7"/>
      <c r="H12" s="25" t="str">
        <f t="shared" si="0"/>
        <v/>
      </c>
      <c r="I12" s="7"/>
      <c r="J12" s="7"/>
      <c r="K12" s="7"/>
      <c r="M12" s="26" t="str">
        <f t="shared" si="1"/>
        <v/>
      </c>
      <c r="N12" s="26" t="str">
        <f t="shared" si="2"/>
        <v/>
      </c>
      <c r="O12" s="23" t="str">
        <f t="shared" si="3"/>
        <v/>
      </c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</row>
    <row r="13" spans="1:35" x14ac:dyDescent="0.25">
      <c r="B13" s="24"/>
      <c r="D13" s="20"/>
      <c r="E13" s="7"/>
      <c r="F13" s="7"/>
      <c r="G13" s="7"/>
      <c r="H13" s="25" t="str">
        <f t="shared" si="0"/>
        <v/>
      </c>
      <c r="I13" s="7"/>
      <c r="J13" s="7"/>
      <c r="K13" s="7"/>
      <c r="M13" s="26" t="str">
        <f t="shared" si="1"/>
        <v/>
      </c>
      <c r="N13" s="26" t="str">
        <f t="shared" si="2"/>
        <v/>
      </c>
      <c r="O13" s="23" t="str">
        <f t="shared" si="3"/>
        <v/>
      </c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</row>
    <row r="14" spans="1:35" x14ac:dyDescent="0.25">
      <c r="B14" s="24"/>
      <c r="D14" s="20"/>
      <c r="E14" s="7"/>
      <c r="F14" s="7"/>
      <c r="G14" s="7"/>
      <c r="H14" s="25" t="str">
        <f t="shared" si="0"/>
        <v/>
      </c>
      <c r="I14" s="7"/>
      <c r="J14" s="7"/>
      <c r="K14" s="7"/>
      <c r="M14" s="26" t="str">
        <f t="shared" si="1"/>
        <v/>
      </c>
      <c r="N14" s="26" t="str">
        <f t="shared" si="2"/>
        <v/>
      </c>
      <c r="O14" s="23" t="str">
        <f t="shared" si="3"/>
        <v/>
      </c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</row>
    <row r="15" spans="1:35" x14ac:dyDescent="0.25">
      <c r="B15" s="24"/>
      <c r="D15" s="20"/>
      <c r="E15" s="7"/>
      <c r="F15" s="7"/>
      <c r="G15" s="7"/>
      <c r="H15" s="25" t="str">
        <f t="shared" si="0"/>
        <v/>
      </c>
      <c r="I15" s="7"/>
      <c r="J15" s="7"/>
      <c r="K15" s="7"/>
      <c r="M15" s="26" t="str">
        <f t="shared" si="1"/>
        <v/>
      </c>
      <c r="N15" s="26" t="str">
        <f t="shared" si="2"/>
        <v/>
      </c>
      <c r="O15" s="23" t="str">
        <f t="shared" si="3"/>
        <v/>
      </c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</row>
    <row r="16" spans="1:35" x14ac:dyDescent="0.25">
      <c r="B16" s="24"/>
      <c r="D16" s="20"/>
      <c r="E16" s="7"/>
      <c r="F16" s="7"/>
      <c r="G16" s="7"/>
      <c r="H16" s="25" t="str">
        <f t="shared" si="0"/>
        <v/>
      </c>
      <c r="I16" s="7"/>
      <c r="J16" s="7"/>
      <c r="K16" s="7"/>
      <c r="M16" s="26" t="str">
        <f t="shared" si="1"/>
        <v/>
      </c>
      <c r="N16" s="26" t="str">
        <f t="shared" si="2"/>
        <v/>
      </c>
      <c r="O16" s="23" t="str">
        <f t="shared" si="3"/>
        <v/>
      </c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</row>
    <row r="17" spans="1:35" x14ac:dyDescent="0.25">
      <c r="B17" s="24"/>
      <c r="D17" s="20"/>
      <c r="E17" s="7"/>
      <c r="F17" s="7"/>
      <c r="G17" s="7"/>
      <c r="H17" s="25" t="str">
        <f t="shared" si="0"/>
        <v/>
      </c>
      <c r="I17" s="7"/>
      <c r="J17" s="7"/>
      <c r="K17" s="7"/>
      <c r="M17" s="26" t="str">
        <f t="shared" si="1"/>
        <v/>
      </c>
      <c r="N17" s="26" t="str">
        <f t="shared" si="2"/>
        <v/>
      </c>
      <c r="O17" s="23" t="str">
        <f t="shared" si="3"/>
        <v/>
      </c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</row>
    <row r="18" spans="1:35" x14ac:dyDescent="0.25">
      <c r="B18" s="24"/>
      <c r="D18" s="20"/>
      <c r="E18" s="7"/>
      <c r="F18" s="7"/>
      <c r="G18" s="7"/>
      <c r="H18" s="25" t="str">
        <f t="shared" si="0"/>
        <v/>
      </c>
      <c r="I18" s="7"/>
      <c r="J18" s="7"/>
      <c r="K18" s="7"/>
      <c r="M18" s="26" t="str">
        <f t="shared" si="1"/>
        <v/>
      </c>
      <c r="N18" s="26" t="str">
        <f t="shared" si="2"/>
        <v/>
      </c>
      <c r="O18" s="23" t="str">
        <f t="shared" si="3"/>
        <v/>
      </c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</row>
    <row r="19" spans="1:35" x14ac:dyDescent="0.25">
      <c r="B19" s="24"/>
      <c r="D19" s="20"/>
      <c r="E19" s="7"/>
      <c r="F19" s="7"/>
      <c r="G19" s="7"/>
      <c r="H19" s="25" t="str">
        <f t="shared" si="0"/>
        <v/>
      </c>
      <c r="I19" s="7"/>
      <c r="J19" s="7"/>
      <c r="K19" s="7"/>
      <c r="M19" s="26" t="str">
        <f t="shared" si="1"/>
        <v/>
      </c>
      <c r="N19" s="26" t="str">
        <f t="shared" si="2"/>
        <v/>
      </c>
      <c r="O19" s="23" t="str">
        <f t="shared" si="3"/>
        <v/>
      </c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</row>
    <row r="20" spans="1:35" x14ac:dyDescent="0.25">
      <c r="B20" s="24"/>
      <c r="D20" s="20"/>
      <c r="E20" s="7"/>
      <c r="F20" s="7"/>
      <c r="G20" s="7"/>
      <c r="H20" s="25" t="str">
        <f t="shared" si="0"/>
        <v/>
      </c>
      <c r="I20" s="7"/>
      <c r="J20" s="7"/>
      <c r="K20" s="7"/>
      <c r="M20" s="26" t="str">
        <f t="shared" si="1"/>
        <v/>
      </c>
      <c r="N20" s="26" t="str">
        <f t="shared" si="2"/>
        <v/>
      </c>
      <c r="O20" s="23" t="str">
        <f t="shared" si="3"/>
        <v/>
      </c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</row>
    <row r="21" spans="1:35" x14ac:dyDescent="0.25">
      <c r="B21" s="24"/>
      <c r="D21" s="20"/>
      <c r="E21" s="7"/>
      <c r="F21" s="7"/>
      <c r="G21" s="7"/>
      <c r="H21" s="25" t="str">
        <f t="shared" si="0"/>
        <v/>
      </c>
      <c r="I21" s="7"/>
      <c r="J21" s="7"/>
      <c r="K21" s="7"/>
      <c r="M21" s="26" t="str">
        <f t="shared" si="1"/>
        <v/>
      </c>
      <c r="N21" s="26" t="str">
        <f t="shared" si="2"/>
        <v/>
      </c>
      <c r="O21" s="23" t="str">
        <f t="shared" si="3"/>
        <v/>
      </c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</row>
    <row r="22" spans="1:35" x14ac:dyDescent="0.25">
      <c r="B22" s="24"/>
      <c r="D22" s="20"/>
      <c r="E22" s="7"/>
      <c r="F22" s="7"/>
      <c r="G22" s="7"/>
      <c r="H22" s="25" t="str">
        <f t="shared" si="0"/>
        <v/>
      </c>
      <c r="I22" s="7"/>
      <c r="J22" s="7"/>
      <c r="K22" s="7"/>
      <c r="M22" s="26" t="str">
        <f t="shared" si="1"/>
        <v/>
      </c>
      <c r="N22" s="26" t="str">
        <f t="shared" si="2"/>
        <v/>
      </c>
      <c r="O22" s="23" t="str">
        <f t="shared" si="3"/>
        <v/>
      </c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</row>
    <row r="23" spans="1:35" x14ac:dyDescent="0.25">
      <c r="B23" s="24"/>
      <c r="D23" s="20"/>
      <c r="E23" s="7"/>
      <c r="F23" s="7"/>
      <c r="G23" s="7"/>
      <c r="H23" s="25" t="str">
        <f t="shared" si="0"/>
        <v/>
      </c>
      <c r="I23" s="7"/>
      <c r="J23" s="7"/>
      <c r="K23" s="7"/>
      <c r="M23" s="26" t="str">
        <f t="shared" si="1"/>
        <v/>
      </c>
      <c r="N23" s="26" t="str">
        <f t="shared" si="2"/>
        <v/>
      </c>
      <c r="O23" s="23" t="str">
        <f t="shared" si="3"/>
        <v/>
      </c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</row>
    <row r="24" spans="1:35" x14ac:dyDescent="0.25">
      <c r="B24" s="24"/>
      <c r="D24" s="20"/>
      <c r="E24" s="7"/>
      <c r="F24" s="7"/>
      <c r="G24" s="7"/>
      <c r="H24" s="25" t="str">
        <f t="shared" si="0"/>
        <v/>
      </c>
      <c r="I24" s="7"/>
      <c r="J24" s="7"/>
      <c r="K24" s="7"/>
      <c r="M24" s="26" t="str">
        <f t="shared" si="1"/>
        <v/>
      </c>
      <c r="N24" s="26" t="str">
        <f t="shared" si="2"/>
        <v/>
      </c>
      <c r="O24" s="23" t="str">
        <f t="shared" si="3"/>
        <v/>
      </c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</row>
    <row r="25" spans="1:35" x14ac:dyDescent="0.25">
      <c r="B25" s="24"/>
      <c r="D25" s="20"/>
      <c r="E25" s="7"/>
      <c r="F25" s="7"/>
      <c r="G25" s="7"/>
      <c r="H25" s="25" t="str">
        <f t="shared" si="0"/>
        <v/>
      </c>
      <c r="I25" s="7"/>
      <c r="J25" s="7"/>
      <c r="K25" s="7"/>
      <c r="M25" s="26" t="str">
        <f t="shared" si="1"/>
        <v/>
      </c>
      <c r="N25" s="26" t="str">
        <f t="shared" si="2"/>
        <v/>
      </c>
      <c r="O25" s="23" t="str">
        <f t="shared" si="3"/>
        <v/>
      </c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</row>
    <row r="26" spans="1:35" x14ac:dyDescent="0.25">
      <c r="A26" s="7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</row>
    <row r="27" spans="1:35" x14ac:dyDescent="0.25">
      <c r="A27" s="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</row>
    <row r="28" spans="1:35" x14ac:dyDescent="0.25">
      <c r="A28" s="7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</row>
    <row r="29" spans="1:35" x14ac:dyDescent="0.25">
      <c r="A29" s="7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</row>
    <row r="30" spans="1:35" x14ac:dyDescent="0.25">
      <c r="A30" s="7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</row>
    <row r="31" spans="1:35" x14ac:dyDescent="0.25">
      <c r="A31" s="7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</row>
    <row r="32" spans="1:35" x14ac:dyDescent="0.25">
      <c r="A32" s="7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</row>
    <row r="33" spans="1:35" x14ac:dyDescent="0.25">
      <c r="A33" s="7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</row>
    <row r="34" spans="1:35" x14ac:dyDescent="0.25">
      <c r="A34" s="7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</row>
    <row r="35" spans="1:35" x14ac:dyDescent="0.25">
      <c r="A35" s="7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</row>
    <row r="36" spans="1:35" x14ac:dyDescent="0.25">
      <c r="A36" s="7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</row>
    <row r="37" spans="1:35" x14ac:dyDescent="0.25">
      <c r="A37" s="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</row>
    <row r="38" spans="1:35" x14ac:dyDescent="0.25">
      <c r="A38" s="7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</row>
    <row r="39" spans="1:35" x14ac:dyDescent="0.25">
      <c r="A39" s="7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</row>
    <row r="40" spans="1:35" x14ac:dyDescent="0.25">
      <c r="A40" s="7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</row>
    <row r="41" spans="1:35" x14ac:dyDescent="0.25">
      <c r="A41" s="7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</row>
    <row r="42" spans="1:35" x14ac:dyDescent="0.25">
      <c r="A42" s="7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</row>
    <row r="43" spans="1:35" x14ac:dyDescent="0.25">
      <c r="A43" s="7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</row>
    <row r="44" spans="1:35" x14ac:dyDescent="0.25">
      <c r="A44" s="7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</row>
    <row r="45" spans="1:35" x14ac:dyDescent="0.25">
      <c r="A45" s="7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</row>
    <row r="46" spans="1:35" x14ac:dyDescent="0.25">
      <c r="A46" s="7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</row>
    <row r="47" spans="1:35" x14ac:dyDescent="0.25">
      <c r="A47" s="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</row>
    <row r="48" spans="1:35" x14ac:dyDescent="0.25">
      <c r="A48" s="7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</row>
    <row r="49" spans="1:35" x14ac:dyDescent="0.25">
      <c r="A49" s="7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</row>
    <row r="50" spans="1:35" x14ac:dyDescent="0.25">
      <c r="A50" s="7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</row>
    <row r="51" spans="1:35" x14ac:dyDescent="0.25">
      <c r="A51" s="7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</row>
    <row r="52" spans="1:35" x14ac:dyDescent="0.25">
      <c r="A52" s="7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</row>
    <row r="53" spans="1:35" x14ac:dyDescent="0.25">
      <c r="A53" s="7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</row>
    <row r="54" spans="1:35" x14ac:dyDescent="0.25">
      <c r="A54" s="7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</row>
    <row r="55" spans="1:35" x14ac:dyDescent="0.25">
      <c r="A55" s="7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</row>
    <row r="56" spans="1:35" x14ac:dyDescent="0.25">
      <c r="A56" s="7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</row>
    <row r="57" spans="1:35" x14ac:dyDescent="0.25">
      <c r="A57" s="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</row>
    <row r="58" spans="1:35" x14ac:dyDescent="0.25">
      <c r="A58" s="7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</row>
    <row r="59" spans="1:35" x14ac:dyDescent="0.25">
      <c r="A59" s="7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</row>
    <row r="60" spans="1:35" x14ac:dyDescent="0.25">
      <c r="A60" s="7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</row>
    <row r="61" spans="1:35" x14ac:dyDescent="0.25">
      <c r="A61" s="7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</row>
    <row r="62" spans="1:35" x14ac:dyDescent="0.25">
      <c r="A62" s="7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</row>
    <row r="63" spans="1:35" x14ac:dyDescent="0.25">
      <c r="A63" s="7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</row>
    <row r="64" spans="1:35" x14ac:dyDescent="0.25">
      <c r="A64" s="7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</row>
  </sheetData>
  <mergeCells count="1">
    <mergeCell ref="B1:C1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CZ1503"/>
  <sheetViews>
    <sheetView zoomScale="90" zoomScaleNormal="90" workbookViewId="0">
      <selection activeCell="A5" sqref="A5"/>
    </sheetView>
  </sheetViews>
  <sheetFormatPr defaultRowHeight="15" x14ac:dyDescent="0.25"/>
  <cols>
    <col min="1" max="1" width="11" customWidth="1"/>
    <col min="2" max="2" width="6" customWidth="1"/>
    <col min="3" max="4" width="9.140625" style="6"/>
    <col min="5" max="5" width="7" customWidth="1"/>
  </cols>
  <sheetData>
    <row r="1" spans="1:14" x14ac:dyDescent="0.25">
      <c r="A1" s="28" t="s">
        <v>0</v>
      </c>
      <c r="B1" s="28" t="s">
        <v>1</v>
      </c>
      <c r="C1" s="2" t="s">
        <v>2</v>
      </c>
      <c r="D1" s="2" t="s">
        <v>3</v>
      </c>
      <c r="E1" s="28" t="s">
        <v>4</v>
      </c>
      <c r="F1" s="28" t="s">
        <v>5</v>
      </c>
      <c r="G1" s="28" t="s">
        <v>6</v>
      </c>
      <c r="I1">
        <v>5.6055499999999999E-3</v>
      </c>
      <c r="K1" s="3">
        <v>0.01</v>
      </c>
      <c r="L1" s="3">
        <v>0.02</v>
      </c>
      <c r="M1" s="3">
        <v>0.05</v>
      </c>
      <c r="N1" s="3">
        <v>0.1</v>
      </c>
    </row>
    <row r="2" spans="1:14" x14ac:dyDescent="0.25">
      <c r="A2" s="28"/>
      <c r="B2" s="28"/>
      <c r="C2" s="4">
        <f>MAX(C3:C1700)</f>
        <v>0</v>
      </c>
      <c r="D2" s="4">
        <f>MIN(D3:D1700)</f>
        <v>0</v>
      </c>
      <c r="E2" s="28"/>
      <c r="F2" s="28"/>
      <c r="G2" s="28"/>
    </row>
    <row r="5" spans="1:14" x14ac:dyDescent="0.25">
      <c r="A5" s="5"/>
    </row>
    <row r="6" spans="1:14" x14ac:dyDescent="0.25">
      <c r="A6" s="5"/>
    </row>
    <row r="7" spans="1:14" x14ac:dyDescent="0.25">
      <c r="A7" s="5"/>
    </row>
    <row r="8" spans="1:14" x14ac:dyDescent="0.25">
      <c r="A8" s="5"/>
    </row>
    <row r="9" spans="1:14" x14ac:dyDescent="0.25">
      <c r="A9" s="5"/>
    </row>
    <row r="10" spans="1:14" x14ac:dyDescent="0.25">
      <c r="A10" s="5"/>
    </row>
    <row r="11" spans="1:14" x14ac:dyDescent="0.25">
      <c r="A11" s="5"/>
    </row>
    <row r="12" spans="1:14" x14ac:dyDescent="0.25">
      <c r="A12" s="5"/>
    </row>
    <row r="13" spans="1:14" x14ac:dyDescent="0.25">
      <c r="A13" s="5"/>
    </row>
    <row r="14" spans="1:14" x14ac:dyDescent="0.25">
      <c r="A14" s="5"/>
    </row>
    <row r="15" spans="1:14" x14ac:dyDescent="0.25">
      <c r="A15" s="5"/>
      <c r="B15" s="28"/>
      <c r="C15" s="2"/>
      <c r="D15" s="2"/>
      <c r="E15" s="28"/>
      <c r="F15" s="28"/>
    </row>
    <row r="16" spans="1:14" x14ac:dyDescent="0.25">
      <c r="A16" s="5"/>
      <c r="B16" s="28"/>
      <c r="C16" s="2"/>
      <c r="D16" s="2"/>
      <c r="E16" s="28"/>
      <c r="F16" s="28"/>
    </row>
    <row r="17" spans="1:6" x14ac:dyDescent="0.25">
      <c r="A17" s="5"/>
      <c r="B17" s="28"/>
      <c r="C17" s="2"/>
      <c r="D17" s="2"/>
      <c r="E17" s="28"/>
      <c r="F17" s="28"/>
    </row>
    <row r="18" spans="1:6" x14ac:dyDescent="0.25">
      <c r="A18" s="5"/>
      <c r="B18" s="28"/>
      <c r="C18" s="2"/>
      <c r="D18" s="2"/>
      <c r="E18" s="28"/>
      <c r="F18" s="28"/>
    </row>
    <row r="19" spans="1:6" x14ac:dyDescent="0.25">
      <c r="A19" s="5"/>
      <c r="B19" s="28"/>
      <c r="C19" s="2"/>
      <c r="D19" s="2"/>
      <c r="E19" s="28"/>
      <c r="F19" s="28"/>
    </row>
    <row r="20" spans="1:6" x14ac:dyDescent="0.25">
      <c r="A20" s="5"/>
      <c r="B20" s="28"/>
      <c r="C20" s="2"/>
      <c r="D20" s="2"/>
      <c r="E20" s="28"/>
      <c r="F20" s="28"/>
    </row>
    <row r="21" spans="1:6" x14ac:dyDescent="0.25">
      <c r="A21" s="5"/>
      <c r="B21" s="28"/>
      <c r="C21" s="2"/>
      <c r="D21" s="2"/>
      <c r="E21" s="28"/>
      <c r="F21" s="28"/>
    </row>
    <row r="22" spans="1:6" x14ac:dyDescent="0.25">
      <c r="A22" s="5"/>
      <c r="B22" s="28"/>
      <c r="C22" s="2"/>
      <c r="D22" s="2"/>
      <c r="E22" s="28"/>
      <c r="F22" s="28"/>
    </row>
    <row r="23" spans="1:6" x14ac:dyDescent="0.25">
      <c r="A23" s="5"/>
      <c r="B23" s="28"/>
      <c r="C23" s="2"/>
      <c r="D23" s="2"/>
      <c r="E23" s="28"/>
      <c r="F23" s="28"/>
    </row>
    <row r="24" spans="1:6" x14ac:dyDescent="0.25">
      <c r="A24" s="5"/>
      <c r="B24" s="28"/>
      <c r="C24" s="2"/>
      <c r="D24" s="2"/>
      <c r="E24" s="28"/>
      <c r="F24" s="28"/>
    </row>
    <row r="25" spans="1:6" x14ac:dyDescent="0.25">
      <c r="A25" s="5"/>
      <c r="B25" s="28"/>
      <c r="C25" s="2"/>
      <c r="D25" s="2"/>
      <c r="E25" s="28"/>
      <c r="F25" s="28"/>
    </row>
    <row r="26" spans="1:6" x14ac:dyDescent="0.25">
      <c r="A26" s="5"/>
      <c r="B26" s="28"/>
      <c r="C26" s="2"/>
      <c r="D26" s="2"/>
      <c r="E26" s="28"/>
      <c r="F26" s="28"/>
    </row>
    <row r="27" spans="1:6" x14ac:dyDescent="0.25">
      <c r="A27" s="5"/>
      <c r="B27" s="28"/>
      <c r="C27" s="2"/>
      <c r="D27" s="2"/>
      <c r="E27" s="28"/>
      <c r="F27" s="28"/>
    </row>
    <row r="28" spans="1:6" x14ac:dyDescent="0.25">
      <c r="A28" s="5"/>
      <c r="B28" s="28"/>
      <c r="C28" s="2"/>
      <c r="D28" s="2"/>
      <c r="E28" s="28"/>
      <c r="F28" s="28"/>
    </row>
    <row r="29" spans="1:6" x14ac:dyDescent="0.25">
      <c r="A29" s="5"/>
      <c r="B29" s="28"/>
      <c r="C29" s="2"/>
      <c r="D29" s="2"/>
      <c r="E29" s="28"/>
      <c r="F29" s="28"/>
    </row>
    <row r="30" spans="1:6" x14ac:dyDescent="0.25">
      <c r="A30" s="5"/>
      <c r="B30" s="28"/>
      <c r="C30" s="2"/>
      <c r="D30" s="2"/>
      <c r="E30" s="28"/>
      <c r="F30" s="28"/>
    </row>
    <row r="31" spans="1:6" x14ac:dyDescent="0.25">
      <c r="A31" s="5"/>
      <c r="B31" s="28"/>
      <c r="C31" s="2"/>
      <c r="D31" s="2"/>
      <c r="E31" s="28"/>
      <c r="F31" s="28"/>
    </row>
    <row r="32" spans="1:6" x14ac:dyDescent="0.25">
      <c r="A32" s="5"/>
      <c r="B32" s="28"/>
      <c r="C32" s="2"/>
      <c r="D32" s="2"/>
      <c r="E32" s="28"/>
      <c r="F32" s="28"/>
    </row>
    <row r="33" spans="1:6" x14ac:dyDescent="0.25">
      <c r="A33" s="5"/>
      <c r="B33" s="28"/>
      <c r="C33" s="2"/>
      <c r="D33" s="2"/>
      <c r="E33" s="28"/>
      <c r="F33" s="28"/>
    </row>
    <row r="34" spans="1:6" x14ac:dyDescent="0.25">
      <c r="A34" s="5"/>
      <c r="B34" s="28"/>
      <c r="C34" s="2"/>
      <c r="D34" s="2"/>
      <c r="E34" s="28"/>
      <c r="F34" s="28"/>
    </row>
    <row r="35" spans="1:6" x14ac:dyDescent="0.25">
      <c r="A35" s="5"/>
      <c r="B35" s="28"/>
      <c r="C35" s="2"/>
      <c r="D35" s="2"/>
      <c r="E35" s="28"/>
      <c r="F35" s="28"/>
    </row>
    <row r="36" spans="1:6" x14ac:dyDescent="0.25">
      <c r="A36" s="5"/>
      <c r="B36" s="28"/>
      <c r="C36" s="2"/>
      <c r="D36" s="2"/>
      <c r="E36" s="28"/>
      <c r="F36" s="28"/>
    </row>
    <row r="37" spans="1:6" x14ac:dyDescent="0.25">
      <c r="A37" s="5"/>
      <c r="B37" s="28"/>
      <c r="C37" s="2"/>
      <c r="D37" s="2"/>
      <c r="E37" s="28"/>
      <c r="F37" s="28"/>
    </row>
    <row r="38" spans="1:6" x14ac:dyDescent="0.25">
      <c r="A38" s="5"/>
      <c r="B38" s="28"/>
      <c r="C38" s="2"/>
      <c r="D38" s="2"/>
      <c r="E38" s="28"/>
      <c r="F38" s="28"/>
    </row>
    <row r="39" spans="1:6" x14ac:dyDescent="0.25">
      <c r="A39" s="5"/>
      <c r="B39" s="28"/>
      <c r="C39" s="2"/>
      <c r="D39" s="2"/>
      <c r="E39" s="28"/>
      <c r="F39" s="28"/>
    </row>
    <row r="40" spans="1:6" x14ac:dyDescent="0.25">
      <c r="A40" s="5"/>
      <c r="B40" s="28"/>
      <c r="C40" s="2"/>
      <c r="D40" s="2"/>
      <c r="E40" s="28"/>
      <c r="F40" s="28"/>
    </row>
    <row r="41" spans="1:6" x14ac:dyDescent="0.25">
      <c r="A41" s="5"/>
      <c r="B41" s="28"/>
      <c r="C41" s="2"/>
      <c r="D41" s="2"/>
      <c r="E41" s="28"/>
      <c r="F41" s="28"/>
    </row>
    <row r="42" spans="1:6" x14ac:dyDescent="0.25">
      <c r="A42" s="5"/>
      <c r="B42" s="28"/>
      <c r="C42" s="2"/>
      <c r="D42" s="2"/>
      <c r="E42" s="28"/>
      <c r="F42" s="28"/>
    </row>
    <row r="43" spans="1:6" x14ac:dyDescent="0.25">
      <c r="A43" s="5"/>
      <c r="B43" s="28"/>
      <c r="C43" s="2"/>
      <c r="D43" s="2"/>
      <c r="E43" s="28"/>
      <c r="F43" s="28"/>
    </row>
    <row r="44" spans="1:6" x14ac:dyDescent="0.25">
      <c r="A44" s="5"/>
      <c r="B44" s="28"/>
      <c r="C44" s="2"/>
      <c r="D44" s="2"/>
      <c r="E44" s="28"/>
      <c r="F44" s="28"/>
    </row>
    <row r="45" spans="1:6" x14ac:dyDescent="0.25">
      <c r="A45" s="5"/>
      <c r="B45" s="28"/>
      <c r="C45" s="2"/>
      <c r="D45" s="2"/>
      <c r="E45" s="28"/>
      <c r="F45" s="28"/>
    </row>
    <row r="46" spans="1:6" x14ac:dyDescent="0.25">
      <c r="A46" s="5"/>
      <c r="B46" s="28"/>
      <c r="C46" s="2"/>
      <c r="D46" s="2"/>
      <c r="E46" s="28"/>
      <c r="F46" s="28"/>
    </row>
    <row r="47" spans="1:6" x14ac:dyDescent="0.25">
      <c r="A47" s="5"/>
      <c r="B47" s="28"/>
      <c r="C47" s="2"/>
      <c r="D47" s="2"/>
      <c r="E47" s="28"/>
      <c r="F47" s="28"/>
    </row>
    <row r="48" spans="1:6" x14ac:dyDescent="0.25">
      <c r="A48" s="5"/>
      <c r="B48" s="28"/>
      <c r="C48" s="2"/>
      <c r="D48" s="2"/>
      <c r="E48" s="28"/>
      <c r="F48" s="28"/>
    </row>
    <row r="49" spans="1:6" x14ac:dyDescent="0.25">
      <c r="A49" s="5"/>
      <c r="B49" s="28"/>
      <c r="C49" s="2"/>
      <c r="D49" s="2"/>
      <c r="E49" s="28"/>
      <c r="F49" s="28"/>
    </row>
    <row r="50" spans="1:6" x14ac:dyDescent="0.25">
      <c r="A50" s="5"/>
      <c r="B50" s="28"/>
      <c r="C50" s="2"/>
      <c r="D50" s="2"/>
      <c r="E50" s="28"/>
      <c r="F50" s="28"/>
    </row>
    <row r="51" spans="1:6" x14ac:dyDescent="0.25">
      <c r="A51" s="5"/>
      <c r="B51" s="28"/>
      <c r="C51" s="2"/>
      <c r="D51" s="2"/>
      <c r="E51" s="28"/>
      <c r="F51" s="28"/>
    </row>
    <row r="52" spans="1:6" x14ac:dyDescent="0.25">
      <c r="A52" s="5"/>
      <c r="B52" s="28"/>
      <c r="C52" s="2"/>
      <c r="D52" s="2"/>
      <c r="E52" s="28"/>
      <c r="F52" s="28"/>
    </row>
    <row r="53" spans="1:6" x14ac:dyDescent="0.25">
      <c r="A53" s="5"/>
      <c r="B53" s="28"/>
      <c r="C53" s="2"/>
      <c r="D53" s="2"/>
      <c r="E53" s="28"/>
      <c r="F53" s="28"/>
    </row>
    <row r="54" spans="1:6" x14ac:dyDescent="0.25">
      <c r="A54" s="5"/>
      <c r="B54" s="28"/>
      <c r="C54" s="2"/>
      <c r="D54" s="2"/>
      <c r="E54" s="28"/>
      <c r="F54" s="28"/>
    </row>
    <row r="55" spans="1:6" x14ac:dyDescent="0.25">
      <c r="A55" s="5"/>
      <c r="B55" s="28"/>
      <c r="C55" s="2"/>
      <c r="D55" s="2"/>
      <c r="E55" s="28"/>
      <c r="F55" s="28"/>
    </row>
    <row r="56" spans="1:6" x14ac:dyDescent="0.25">
      <c r="A56" s="5"/>
      <c r="B56" s="28"/>
      <c r="C56" s="2"/>
      <c r="D56" s="2"/>
      <c r="E56" s="28"/>
      <c r="F56" s="28"/>
    </row>
    <row r="57" spans="1:6" x14ac:dyDescent="0.25">
      <c r="A57" s="5"/>
      <c r="B57" s="28"/>
      <c r="C57" s="2"/>
      <c r="D57" s="2"/>
      <c r="E57" s="28"/>
      <c r="F57" s="28"/>
    </row>
    <row r="58" spans="1:6" x14ac:dyDescent="0.25">
      <c r="A58" s="5"/>
      <c r="B58" s="28"/>
      <c r="C58" s="2"/>
      <c r="D58" s="2"/>
      <c r="E58" s="28"/>
      <c r="F58" s="28"/>
    </row>
    <row r="59" spans="1:6" x14ac:dyDescent="0.25">
      <c r="A59" s="5"/>
      <c r="B59" s="28"/>
      <c r="C59" s="2"/>
      <c r="D59" s="2"/>
      <c r="E59" s="28"/>
      <c r="F59" s="28"/>
    </row>
    <row r="60" spans="1:6" x14ac:dyDescent="0.25">
      <c r="A60" s="5"/>
      <c r="B60" s="28"/>
      <c r="C60" s="2"/>
      <c r="D60" s="2"/>
      <c r="E60" s="28"/>
      <c r="F60" s="28"/>
    </row>
    <row r="61" spans="1:6" x14ac:dyDescent="0.25">
      <c r="A61" s="5"/>
      <c r="B61" s="28"/>
      <c r="C61" s="2"/>
      <c r="D61" s="2"/>
      <c r="E61" s="28"/>
      <c r="F61" s="28"/>
    </row>
    <row r="62" spans="1:6" x14ac:dyDescent="0.25">
      <c r="A62" s="5"/>
      <c r="B62" s="28"/>
      <c r="C62" s="2"/>
      <c r="D62" s="2"/>
      <c r="E62" s="28"/>
      <c r="F62" s="28"/>
    </row>
    <row r="63" spans="1:6" x14ac:dyDescent="0.25">
      <c r="A63" s="5"/>
      <c r="B63" s="28"/>
      <c r="C63" s="2"/>
      <c r="D63" s="2"/>
      <c r="E63" s="28"/>
      <c r="F63" s="28"/>
    </row>
    <row r="64" spans="1:6" x14ac:dyDescent="0.25">
      <c r="A64" s="5"/>
      <c r="B64" s="28"/>
      <c r="C64" s="2"/>
      <c r="D64" s="2"/>
      <c r="E64" s="28"/>
      <c r="F64" s="28"/>
    </row>
    <row r="65" spans="1:6" x14ac:dyDescent="0.25">
      <c r="A65" s="5"/>
      <c r="B65" s="28"/>
      <c r="C65" s="2"/>
      <c r="D65" s="2"/>
      <c r="E65" s="28"/>
      <c r="F65" s="28"/>
    </row>
    <row r="66" spans="1:6" x14ac:dyDescent="0.25">
      <c r="A66" s="5"/>
      <c r="B66" s="28"/>
      <c r="C66" s="2"/>
      <c r="D66" s="2"/>
      <c r="E66" s="28"/>
      <c r="F66" s="28"/>
    </row>
    <row r="67" spans="1:6" x14ac:dyDescent="0.25">
      <c r="A67" s="5"/>
      <c r="B67" s="28"/>
      <c r="C67" s="2"/>
      <c r="D67" s="2"/>
      <c r="E67" s="28"/>
      <c r="F67" s="28"/>
    </row>
    <row r="68" spans="1:6" x14ac:dyDescent="0.25">
      <c r="A68" s="5"/>
      <c r="B68" s="28"/>
      <c r="C68" s="2"/>
      <c r="D68" s="2"/>
      <c r="E68" s="28"/>
      <c r="F68" s="28"/>
    </row>
    <row r="69" spans="1:6" x14ac:dyDescent="0.25">
      <c r="A69" s="5"/>
      <c r="B69" s="28"/>
      <c r="C69" s="2"/>
      <c r="D69" s="2"/>
      <c r="E69" s="28"/>
      <c r="F69" s="28"/>
    </row>
    <row r="70" spans="1:6" x14ac:dyDescent="0.25">
      <c r="A70" s="5"/>
      <c r="B70" s="28"/>
      <c r="C70" s="2"/>
      <c r="D70" s="2"/>
      <c r="E70" s="28"/>
      <c r="F70" s="28"/>
    </row>
    <row r="71" spans="1:6" x14ac:dyDescent="0.25">
      <c r="A71" s="5"/>
      <c r="B71" s="28"/>
      <c r="C71" s="2"/>
      <c r="D71" s="2"/>
      <c r="E71" s="28"/>
      <c r="F71" s="28"/>
    </row>
    <row r="72" spans="1:6" x14ac:dyDescent="0.25">
      <c r="A72" s="5"/>
      <c r="B72" s="28"/>
      <c r="C72" s="2"/>
      <c r="D72" s="2"/>
      <c r="E72" s="28"/>
      <c r="F72" s="28"/>
    </row>
    <row r="73" spans="1:6" x14ac:dyDescent="0.25">
      <c r="A73" s="5"/>
      <c r="B73" s="28"/>
      <c r="C73" s="2"/>
      <c r="D73" s="2"/>
      <c r="E73" s="28"/>
      <c r="F73" s="28"/>
    </row>
    <row r="74" spans="1:6" x14ac:dyDescent="0.25">
      <c r="A74" s="5"/>
      <c r="B74" s="28"/>
      <c r="C74" s="2"/>
      <c r="D74" s="2"/>
      <c r="E74" s="28"/>
      <c r="F74" s="28"/>
    </row>
    <row r="75" spans="1:6" x14ac:dyDescent="0.25">
      <c r="A75" s="5"/>
      <c r="B75" s="28"/>
      <c r="C75" s="2"/>
      <c r="D75" s="2"/>
      <c r="E75" s="28"/>
      <c r="F75" s="28"/>
    </row>
    <row r="76" spans="1:6" x14ac:dyDescent="0.25">
      <c r="A76" s="5"/>
      <c r="B76" s="28"/>
      <c r="C76" s="2"/>
      <c r="D76" s="2"/>
      <c r="E76" s="28"/>
      <c r="F76" s="28"/>
    </row>
    <row r="77" spans="1:6" x14ac:dyDescent="0.25">
      <c r="A77" s="5"/>
      <c r="B77" s="28"/>
      <c r="C77" s="2"/>
      <c r="D77" s="2"/>
      <c r="E77" s="28"/>
      <c r="F77" s="28"/>
    </row>
    <row r="78" spans="1:6" x14ac:dyDescent="0.25">
      <c r="A78" s="5"/>
      <c r="B78" s="28"/>
      <c r="C78" s="2"/>
      <c r="D78" s="2"/>
      <c r="E78" s="28"/>
      <c r="F78" s="28"/>
    </row>
    <row r="79" spans="1:6" x14ac:dyDescent="0.25">
      <c r="A79" s="5"/>
      <c r="B79" s="28"/>
      <c r="C79" s="2"/>
      <c r="D79" s="2"/>
      <c r="E79" s="28"/>
      <c r="F79" s="28"/>
    </row>
    <row r="80" spans="1:6" x14ac:dyDescent="0.25">
      <c r="A80" s="5"/>
      <c r="B80" s="28"/>
      <c r="C80" s="2"/>
      <c r="D80" s="2"/>
      <c r="E80" s="28"/>
      <c r="F80" s="28"/>
    </row>
    <row r="81" spans="1:6" x14ac:dyDescent="0.25">
      <c r="A81" s="5"/>
      <c r="B81" s="28"/>
      <c r="C81" s="2"/>
      <c r="D81" s="2"/>
      <c r="E81" s="28"/>
      <c r="F81" s="28"/>
    </row>
    <row r="82" spans="1:6" x14ac:dyDescent="0.25">
      <c r="A82" s="5"/>
      <c r="B82" s="28"/>
      <c r="C82" s="2"/>
      <c r="D82" s="2"/>
      <c r="E82" s="28"/>
      <c r="F82" s="28"/>
    </row>
    <row r="83" spans="1:6" x14ac:dyDescent="0.25">
      <c r="A83" s="5"/>
      <c r="B83" s="28"/>
      <c r="C83" s="2"/>
      <c r="D83" s="2"/>
      <c r="E83" s="28"/>
      <c r="F83" s="28"/>
    </row>
    <row r="84" spans="1:6" x14ac:dyDescent="0.25">
      <c r="A84" s="5"/>
      <c r="B84" s="28"/>
      <c r="C84" s="2"/>
      <c r="D84" s="2"/>
      <c r="E84" s="28"/>
      <c r="F84" s="28"/>
    </row>
    <row r="85" spans="1:6" x14ac:dyDescent="0.25">
      <c r="A85" s="5"/>
      <c r="B85" s="28"/>
      <c r="C85" s="2"/>
      <c r="D85" s="2"/>
      <c r="E85" s="28"/>
      <c r="F85" s="28"/>
    </row>
    <row r="86" spans="1:6" x14ac:dyDescent="0.25">
      <c r="A86" s="5"/>
      <c r="B86" s="28"/>
      <c r="C86" s="2"/>
      <c r="D86" s="2"/>
      <c r="E86" s="28"/>
      <c r="F86" s="28"/>
    </row>
    <row r="87" spans="1:6" x14ac:dyDescent="0.25">
      <c r="A87" s="5"/>
      <c r="B87" s="28"/>
      <c r="C87" s="2"/>
      <c r="D87" s="2"/>
      <c r="E87" s="28"/>
      <c r="F87" s="28"/>
    </row>
    <row r="88" spans="1:6" x14ac:dyDescent="0.25">
      <c r="A88" s="5"/>
      <c r="B88" s="28"/>
      <c r="C88" s="2"/>
      <c r="D88" s="2"/>
      <c r="E88" s="28"/>
      <c r="F88" s="28"/>
    </row>
    <row r="89" spans="1:6" x14ac:dyDescent="0.25">
      <c r="A89" s="5"/>
      <c r="B89" s="28"/>
      <c r="C89" s="2"/>
      <c r="D89" s="2"/>
      <c r="E89" s="28"/>
      <c r="F89" s="28"/>
    </row>
    <row r="90" spans="1:6" x14ac:dyDescent="0.25">
      <c r="A90" s="5"/>
      <c r="B90" s="28"/>
      <c r="C90" s="2"/>
      <c r="D90" s="2"/>
      <c r="E90" s="28"/>
      <c r="F90" s="28"/>
    </row>
    <row r="91" spans="1:6" x14ac:dyDescent="0.25">
      <c r="A91" s="5"/>
      <c r="B91" s="28"/>
      <c r="C91" s="2"/>
      <c r="D91" s="2"/>
      <c r="E91" s="28"/>
      <c r="F91" s="28"/>
    </row>
    <row r="92" spans="1:6" x14ac:dyDescent="0.25">
      <c r="A92" s="5"/>
      <c r="B92" s="28"/>
      <c r="C92" s="2"/>
      <c r="D92" s="2"/>
      <c r="E92" s="28"/>
      <c r="F92" s="28"/>
    </row>
    <row r="93" spans="1:6" x14ac:dyDescent="0.25">
      <c r="A93" s="5"/>
      <c r="B93" s="28"/>
      <c r="C93" s="2"/>
      <c r="D93" s="2"/>
      <c r="E93" s="28"/>
      <c r="F93" s="28"/>
    </row>
    <row r="94" spans="1:6" x14ac:dyDescent="0.25">
      <c r="A94" s="5"/>
      <c r="B94" s="28"/>
      <c r="C94" s="2"/>
      <c r="D94" s="2"/>
      <c r="E94" s="28"/>
      <c r="F94" s="28"/>
    </row>
    <row r="95" spans="1:6" x14ac:dyDescent="0.25">
      <c r="A95" s="5"/>
      <c r="B95" s="28"/>
      <c r="C95" s="2"/>
      <c r="D95" s="2"/>
      <c r="E95" s="28"/>
      <c r="F95" s="28"/>
    </row>
    <row r="96" spans="1:6" x14ac:dyDescent="0.25">
      <c r="A96" s="5"/>
      <c r="B96" s="28"/>
      <c r="C96" s="2"/>
      <c r="D96" s="2"/>
      <c r="E96" s="28"/>
      <c r="F96" s="28"/>
    </row>
    <row r="97" spans="1:6" x14ac:dyDescent="0.25">
      <c r="A97" s="5"/>
      <c r="B97" s="28"/>
      <c r="C97" s="2"/>
      <c r="D97" s="2"/>
      <c r="E97" s="28"/>
      <c r="F97" s="28"/>
    </row>
    <row r="98" spans="1:6" x14ac:dyDescent="0.25">
      <c r="A98" s="5"/>
      <c r="B98" s="28"/>
      <c r="C98" s="2"/>
      <c r="D98" s="2"/>
      <c r="E98" s="28"/>
      <c r="F98" s="28"/>
    </row>
    <row r="99" spans="1:6" x14ac:dyDescent="0.25">
      <c r="A99" s="5"/>
      <c r="B99" s="28"/>
      <c r="C99" s="2"/>
      <c r="D99" s="2"/>
      <c r="E99" s="28"/>
      <c r="F99" s="28"/>
    </row>
    <row r="100" spans="1:6" x14ac:dyDescent="0.25">
      <c r="A100" s="5"/>
      <c r="B100" s="28"/>
      <c r="C100" s="2"/>
      <c r="D100" s="2"/>
      <c r="E100" s="28"/>
      <c r="F100" s="28"/>
    </row>
    <row r="101" spans="1:6" x14ac:dyDescent="0.25">
      <c r="A101" s="5"/>
      <c r="B101" s="28"/>
      <c r="C101" s="2"/>
      <c r="D101" s="2"/>
      <c r="E101" s="28"/>
      <c r="F101" s="28"/>
    </row>
    <row r="102" spans="1:6" x14ac:dyDescent="0.25">
      <c r="A102" s="5"/>
    </row>
    <row r="103" spans="1:6" x14ac:dyDescent="0.25">
      <c r="A103" s="5"/>
    </row>
    <row r="104" spans="1:6" x14ac:dyDescent="0.25">
      <c r="A104" s="5"/>
    </row>
    <row r="105" spans="1:6" x14ac:dyDescent="0.25">
      <c r="A105" s="5"/>
    </row>
    <row r="106" spans="1:6" x14ac:dyDescent="0.25">
      <c r="A106" s="5"/>
    </row>
    <row r="107" spans="1:6" x14ac:dyDescent="0.25">
      <c r="A107" s="5"/>
    </row>
    <row r="108" spans="1:6" x14ac:dyDescent="0.25">
      <c r="A108" s="5"/>
    </row>
    <row r="109" spans="1:6" x14ac:dyDescent="0.25">
      <c r="A109" s="5"/>
    </row>
    <row r="110" spans="1:6" x14ac:dyDescent="0.25">
      <c r="A110" s="5"/>
    </row>
    <row r="111" spans="1:6" x14ac:dyDescent="0.25">
      <c r="A111" s="5"/>
    </row>
    <row r="112" spans="1:6" x14ac:dyDescent="0.25">
      <c r="A112" s="5"/>
    </row>
    <row r="113" spans="1:1" customFormat="1" x14ac:dyDescent="0.25">
      <c r="A113" s="5"/>
    </row>
    <row r="114" spans="1:1" customFormat="1" x14ac:dyDescent="0.25">
      <c r="A114" s="5"/>
    </row>
    <row r="115" spans="1:1" customFormat="1" x14ac:dyDescent="0.25">
      <c r="A115" s="5"/>
    </row>
    <row r="116" spans="1:1" customFormat="1" x14ac:dyDescent="0.25">
      <c r="A116" s="5"/>
    </row>
    <row r="117" spans="1:1" customFormat="1" x14ac:dyDescent="0.25">
      <c r="A117" s="5"/>
    </row>
    <row r="118" spans="1:1" customFormat="1" x14ac:dyDescent="0.25">
      <c r="A118" s="5"/>
    </row>
    <row r="119" spans="1:1" customFormat="1" x14ac:dyDescent="0.25">
      <c r="A119" s="5"/>
    </row>
    <row r="120" spans="1:1" customFormat="1" x14ac:dyDescent="0.25">
      <c r="A120" s="5"/>
    </row>
    <row r="121" spans="1:1" customFormat="1" x14ac:dyDescent="0.25">
      <c r="A121" s="5"/>
    </row>
    <row r="122" spans="1:1" customFormat="1" x14ac:dyDescent="0.25">
      <c r="A122" s="5"/>
    </row>
    <row r="123" spans="1:1" customFormat="1" x14ac:dyDescent="0.25">
      <c r="A123" s="5"/>
    </row>
    <row r="124" spans="1:1" customFormat="1" x14ac:dyDescent="0.25">
      <c r="A124" s="5"/>
    </row>
    <row r="125" spans="1:1" customFormat="1" x14ac:dyDescent="0.25">
      <c r="A125" s="5"/>
    </row>
    <row r="126" spans="1:1" customFormat="1" x14ac:dyDescent="0.25">
      <c r="A126" s="5"/>
    </row>
    <row r="127" spans="1:1" customFormat="1" x14ac:dyDescent="0.25">
      <c r="A127" s="5"/>
    </row>
    <row r="128" spans="1:1" customFormat="1" x14ac:dyDescent="0.25">
      <c r="A128" s="5"/>
    </row>
    <row r="129" spans="1:1" customFormat="1" x14ac:dyDescent="0.25">
      <c r="A129" s="5"/>
    </row>
    <row r="130" spans="1:1" customFormat="1" x14ac:dyDescent="0.25">
      <c r="A130" s="5"/>
    </row>
    <row r="131" spans="1:1" customFormat="1" x14ac:dyDescent="0.25">
      <c r="A131" s="5"/>
    </row>
    <row r="132" spans="1:1" customFormat="1" x14ac:dyDescent="0.25">
      <c r="A132" s="5"/>
    </row>
    <row r="133" spans="1:1" customFormat="1" x14ac:dyDescent="0.25">
      <c r="A133" s="5"/>
    </row>
    <row r="134" spans="1:1" customFormat="1" x14ac:dyDescent="0.25">
      <c r="A134" s="5"/>
    </row>
    <row r="135" spans="1:1" customFormat="1" x14ac:dyDescent="0.25">
      <c r="A135" s="5"/>
    </row>
    <row r="136" spans="1:1" customFormat="1" x14ac:dyDescent="0.25">
      <c r="A136" s="5"/>
    </row>
    <row r="137" spans="1:1" customFormat="1" x14ac:dyDescent="0.25">
      <c r="A137" s="5"/>
    </row>
    <row r="138" spans="1:1" customFormat="1" x14ac:dyDescent="0.25">
      <c r="A138" s="5"/>
    </row>
    <row r="139" spans="1:1" customFormat="1" x14ac:dyDescent="0.25">
      <c r="A139" s="5"/>
    </row>
    <row r="140" spans="1:1" customFormat="1" x14ac:dyDescent="0.25">
      <c r="A140" s="5"/>
    </row>
    <row r="141" spans="1:1" customFormat="1" x14ac:dyDescent="0.25">
      <c r="A141" s="5"/>
    </row>
    <row r="142" spans="1:1" customFormat="1" x14ac:dyDescent="0.25">
      <c r="A142" s="5"/>
    </row>
    <row r="143" spans="1:1" customFormat="1" x14ac:dyDescent="0.25">
      <c r="A143" s="5"/>
    </row>
    <row r="144" spans="1:1" customFormat="1" x14ac:dyDescent="0.25">
      <c r="A144" s="5"/>
    </row>
    <row r="145" spans="1:1" customFormat="1" x14ac:dyDescent="0.25">
      <c r="A145" s="5"/>
    </row>
    <row r="146" spans="1:1" customFormat="1" x14ac:dyDescent="0.25">
      <c r="A146" s="5"/>
    </row>
    <row r="147" spans="1:1" customFormat="1" x14ac:dyDescent="0.25">
      <c r="A147" s="5"/>
    </row>
    <row r="148" spans="1:1" customFormat="1" x14ac:dyDescent="0.25">
      <c r="A148" s="5"/>
    </row>
    <row r="149" spans="1:1" customFormat="1" x14ac:dyDescent="0.25">
      <c r="A149" s="5"/>
    </row>
    <row r="150" spans="1:1" customFormat="1" x14ac:dyDescent="0.25">
      <c r="A150" s="5"/>
    </row>
    <row r="151" spans="1:1" customFormat="1" x14ac:dyDescent="0.25">
      <c r="A151" s="5"/>
    </row>
    <row r="152" spans="1:1" customFormat="1" x14ac:dyDescent="0.25">
      <c r="A152" s="5"/>
    </row>
    <row r="153" spans="1:1" customFormat="1" x14ac:dyDescent="0.25">
      <c r="A153" s="5"/>
    </row>
    <row r="154" spans="1:1" customFormat="1" x14ac:dyDescent="0.25">
      <c r="A154" s="5"/>
    </row>
    <row r="155" spans="1:1" customFormat="1" x14ac:dyDescent="0.25">
      <c r="A155" s="5"/>
    </row>
    <row r="156" spans="1:1" customFormat="1" x14ac:dyDescent="0.25">
      <c r="A156" s="5"/>
    </row>
    <row r="157" spans="1:1" customFormat="1" x14ac:dyDescent="0.25">
      <c r="A157" s="5"/>
    </row>
    <row r="158" spans="1:1" customFormat="1" x14ac:dyDescent="0.25">
      <c r="A158" s="5"/>
    </row>
    <row r="159" spans="1:1" customFormat="1" x14ac:dyDescent="0.25">
      <c r="A159" s="5"/>
    </row>
    <row r="160" spans="1:1" customFormat="1" x14ac:dyDescent="0.25">
      <c r="A160" s="5"/>
    </row>
    <row r="161" spans="1:1" customFormat="1" x14ac:dyDescent="0.25">
      <c r="A161" s="5"/>
    </row>
    <row r="162" spans="1:1" customFormat="1" x14ac:dyDescent="0.25">
      <c r="A162" s="5"/>
    </row>
    <row r="163" spans="1:1" customFormat="1" x14ac:dyDescent="0.25">
      <c r="A163" s="5"/>
    </row>
    <row r="164" spans="1:1" customFormat="1" x14ac:dyDescent="0.25">
      <c r="A164" s="5"/>
    </row>
    <row r="165" spans="1:1" customFormat="1" x14ac:dyDescent="0.25">
      <c r="A165" s="5"/>
    </row>
    <row r="166" spans="1:1" customFormat="1" x14ac:dyDescent="0.25">
      <c r="A166" s="5"/>
    </row>
    <row r="167" spans="1:1" customFormat="1" x14ac:dyDescent="0.25">
      <c r="A167" s="5"/>
    </row>
    <row r="168" spans="1:1" customFormat="1" x14ac:dyDescent="0.25">
      <c r="A168" s="5"/>
    </row>
    <row r="169" spans="1:1" customFormat="1" x14ac:dyDescent="0.25">
      <c r="A169" s="5"/>
    </row>
    <row r="170" spans="1:1" customFormat="1" x14ac:dyDescent="0.25">
      <c r="A170" s="5"/>
    </row>
    <row r="171" spans="1:1" customFormat="1" x14ac:dyDescent="0.25">
      <c r="A171" s="5"/>
    </row>
    <row r="172" spans="1:1" customFormat="1" x14ac:dyDescent="0.25">
      <c r="A172" s="5"/>
    </row>
    <row r="173" spans="1:1" customFormat="1" x14ac:dyDescent="0.25">
      <c r="A173" s="5"/>
    </row>
    <row r="174" spans="1:1" customFormat="1" x14ac:dyDescent="0.25">
      <c r="A174" s="5"/>
    </row>
    <row r="175" spans="1:1" customFormat="1" x14ac:dyDescent="0.25">
      <c r="A175" s="5"/>
    </row>
    <row r="176" spans="1:1" customFormat="1" x14ac:dyDescent="0.25">
      <c r="A176" s="5"/>
    </row>
    <row r="177" spans="1:1" customFormat="1" x14ac:dyDescent="0.25">
      <c r="A177" s="5"/>
    </row>
    <row r="178" spans="1:1" customFormat="1" x14ac:dyDescent="0.25">
      <c r="A178" s="5"/>
    </row>
    <row r="179" spans="1:1" customFormat="1" x14ac:dyDescent="0.25">
      <c r="A179" s="5"/>
    </row>
    <row r="180" spans="1:1" customFormat="1" x14ac:dyDescent="0.25">
      <c r="A180" s="5"/>
    </row>
    <row r="181" spans="1:1" customFormat="1" x14ac:dyDescent="0.25">
      <c r="A181" s="5"/>
    </row>
    <row r="182" spans="1:1" customFormat="1" x14ac:dyDescent="0.25">
      <c r="A182" s="5"/>
    </row>
    <row r="183" spans="1:1" customFormat="1" x14ac:dyDescent="0.25">
      <c r="A183" s="5"/>
    </row>
    <row r="184" spans="1:1" customFormat="1" x14ac:dyDescent="0.25">
      <c r="A184" s="5"/>
    </row>
    <row r="185" spans="1:1" customFormat="1" x14ac:dyDescent="0.25">
      <c r="A185" s="5"/>
    </row>
    <row r="186" spans="1:1" customFormat="1" x14ac:dyDescent="0.25">
      <c r="A186" s="5"/>
    </row>
    <row r="187" spans="1:1" customFormat="1" x14ac:dyDescent="0.25">
      <c r="A187" s="5"/>
    </row>
    <row r="188" spans="1:1" customFormat="1" x14ac:dyDescent="0.25">
      <c r="A188" s="5"/>
    </row>
    <row r="189" spans="1:1" customFormat="1" x14ac:dyDescent="0.25">
      <c r="A189" s="5"/>
    </row>
    <row r="190" spans="1:1" customFormat="1" x14ac:dyDescent="0.25">
      <c r="A190" s="5"/>
    </row>
    <row r="191" spans="1:1" customFormat="1" x14ac:dyDescent="0.25">
      <c r="A191" s="5"/>
    </row>
    <row r="192" spans="1:1" customFormat="1" x14ac:dyDescent="0.25">
      <c r="A192" s="5"/>
    </row>
    <row r="193" spans="1:1" customFormat="1" x14ac:dyDescent="0.25">
      <c r="A193" s="5"/>
    </row>
    <row r="194" spans="1:1" customFormat="1" x14ac:dyDescent="0.25">
      <c r="A194" s="5"/>
    </row>
    <row r="195" spans="1:1" customFormat="1" x14ac:dyDescent="0.25">
      <c r="A195" s="5"/>
    </row>
    <row r="196" spans="1:1" customFormat="1" x14ac:dyDescent="0.25">
      <c r="A196" s="5"/>
    </row>
    <row r="197" spans="1:1" customFormat="1" x14ac:dyDescent="0.25">
      <c r="A197" s="5"/>
    </row>
    <row r="198" spans="1:1" customFormat="1" x14ac:dyDescent="0.25">
      <c r="A198" s="5"/>
    </row>
    <row r="199" spans="1:1" customFormat="1" x14ac:dyDescent="0.25">
      <c r="A199" s="5"/>
    </row>
    <row r="200" spans="1:1" customFormat="1" x14ac:dyDescent="0.25">
      <c r="A200" s="5"/>
    </row>
    <row r="201" spans="1:1" customFormat="1" x14ac:dyDescent="0.25">
      <c r="A201" s="5"/>
    </row>
    <row r="202" spans="1:1" customFormat="1" x14ac:dyDescent="0.25">
      <c r="A202" s="5"/>
    </row>
    <row r="203" spans="1:1" customFormat="1" x14ac:dyDescent="0.25">
      <c r="A203" s="5"/>
    </row>
    <row r="204" spans="1:1" customFormat="1" x14ac:dyDescent="0.25">
      <c r="A204" s="5"/>
    </row>
    <row r="205" spans="1:1" customFormat="1" x14ac:dyDescent="0.25">
      <c r="A205" s="5"/>
    </row>
    <row r="206" spans="1:1" customFormat="1" x14ac:dyDescent="0.25">
      <c r="A206" s="5"/>
    </row>
    <row r="207" spans="1:1" customFormat="1" x14ac:dyDescent="0.25">
      <c r="A207" s="5"/>
    </row>
    <row r="208" spans="1:1" customFormat="1" x14ac:dyDescent="0.25">
      <c r="A208" s="5"/>
    </row>
    <row r="209" spans="1:1" customFormat="1" x14ac:dyDescent="0.25">
      <c r="A209" s="5"/>
    </row>
    <row r="210" spans="1:1" customFormat="1" x14ac:dyDescent="0.25">
      <c r="A210" s="5"/>
    </row>
    <row r="211" spans="1:1" customFormat="1" x14ac:dyDescent="0.25">
      <c r="A211" s="5"/>
    </row>
    <row r="212" spans="1:1" customFormat="1" x14ac:dyDescent="0.25">
      <c r="A212" s="5"/>
    </row>
    <row r="213" spans="1:1" customFormat="1" x14ac:dyDescent="0.25">
      <c r="A213" s="5"/>
    </row>
    <row r="214" spans="1:1" customFormat="1" x14ac:dyDescent="0.25">
      <c r="A214" s="5"/>
    </row>
    <row r="215" spans="1:1" customFormat="1" x14ac:dyDescent="0.25">
      <c r="A215" s="5"/>
    </row>
    <row r="216" spans="1:1" customFormat="1" x14ac:dyDescent="0.25">
      <c r="A216" s="5"/>
    </row>
    <row r="217" spans="1:1" customFormat="1" x14ac:dyDescent="0.25">
      <c r="A217" s="5"/>
    </row>
    <row r="218" spans="1:1" customFormat="1" x14ac:dyDescent="0.25">
      <c r="A218" s="5"/>
    </row>
    <row r="219" spans="1:1" customFormat="1" x14ac:dyDescent="0.25">
      <c r="A219" s="5"/>
    </row>
    <row r="220" spans="1:1" customFormat="1" x14ac:dyDescent="0.25">
      <c r="A220" s="5"/>
    </row>
    <row r="221" spans="1:1" customFormat="1" x14ac:dyDescent="0.25">
      <c r="A221" s="5"/>
    </row>
    <row r="222" spans="1:1" customFormat="1" x14ac:dyDescent="0.25">
      <c r="A222" s="5"/>
    </row>
    <row r="223" spans="1:1" customFormat="1" x14ac:dyDescent="0.25">
      <c r="A223" s="5"/>
    </row>
    <row r="224" spans="1:1" customFormat="1" x14ac:dyDescent="0.25">
      <c r="A224" s="5"/>
    </row>
    <row r="225" spans="1:1" customFormat="1" x14ac:dyDescent="0.25">
      <c r="A225" s="5"/>
    </row>
    <row r="226" spans="1:1" customFormat="1" x14ac:dyDescent="0.25">
      <c r="A226" s="5"/>
    </row>
    <row r="227" spans="1:1" customFormat="1" x14ac:dyDescent="0.25">
      <c r="A227" s="5"/>
    </row>
    <row r="228" spans="1:1" customFormat="1" x14ac:dyDescent="0.25">
      <c r="A228" s="5"/>
    </row>
    <row r="229" spans="1:1" customFormat="1" x14ac:dyDescent="0.25">
      <c r="A229" s="5"/>
    </row>
    <row r="230" spans="1:1" customFormat="1" x14ac:dyDescent="0.25">
      <c r="A230" s="5"/>
    </row>
    <row r="231" spans="1:1" customFormat="1" x14ac:dyDescent="0.25">
      <c r="A231" s="5"/>
    </row>
    <row r="232" spans="1:1" customFormat="1" x14ac:dyDescent="0.25">
      <c r="A232" s="5"/>
    </row>
    <row r="233" spans="1:1" customFormat="1" x14ac:dyDescent="0.25">
      <c r="A233" s="5"/>
    </row>
    <row r="234" spans="1:1" customFormat="1" x14ac:dyDescent="0.25">
      <c r="A234" s="5"/>
    </row>
    <row r="235" spans="1:1" customFormat="1" x14ac:dyDescent="0.25">
      <c r="A235" s="5"/>
    </row>
    <row r="236" spans="1:1" customFormat="1" x14ac:dyDescent="0.25">
      <c r="A236" s="5"/>
    </row>
    <row r="237" spans="1:1" customFormat="1" x14ac:dyDescent="0.25">
      <c r="A237" s="5"/>
    </row>
    <row r="238" spans="1:1" customFormat="1" x14ac:dyDescent="0.25">
      <c r="A238" s="5"/>
    </row>
    <row r="239" spans="1:1" customFormat="1" x14ac:dyDescent="0.25">
      <c r="A239" s="5"/>
    </row>
    <row r="240" spans="1:1" customFormat="1" x14ac:dyDescent="0.25">
      <c r="A240" s="5"/>
    </row>
    <row r="241" spans="1:1" customFormat="1" x14ac:dyDescent="0.25">
      <c r="A241" s="5"/>
    </row>
    <row r="242" spans="1:1" customFormat="1" x14ac:dyDescent="0.25">
      <c r="A242" s="5"/>
    </row>
    <row r="243" spans="1:1" customFormat="1" x14ac:dyDescent="0.25">
      <c r="A243" s="5"/>
    </row>
    <row r="244" spans="1:1" customFormat="1" x14ac:dyDescent="0.25">
      <c r="A244" s="5"/>
    </row>
    <row r="245" spans="1:1" customFormat="1" x14ac:dyDescent="0.25">
      <c r="A245" s="5"/>
    </row>
    <row r="246" spans="1:1" customFormat="1" x14ac:dyDescent="0.25">
      <c r="A246" s="5"/>
    </row>
    <row r="247" spans="1:1" customFormat="1" x14ac:dyDescent="0.25">
      <c r="A247" s="5"/>
    </row>
    <row r="248" spans="1:1" customFormat="1" x14ac:dyDescent="0.25">
      <c r="A248" s="5"/>
    </row>
    <row r="249" spans="1:1" customFormat="1" x14ac:dyDescent="0.25">
      <c r="A249" s="5"/>
    </row>
    <row r="250" spans="1:1" customFormat="1" x14ac:dyDescent="0.25">
      <c r="A250" s="5"/>
    </row>
    <row r="251" spans="1:1" customFormat="1" x14ac:dyDescent="0.25">
      <c r="A251" s="5"/>
    </row>
    <row r="252" spans="1:1" customFormat="1" x14ac:dyDescent="0.25">
      <c r="A252" s="5"/>
    </row>
    <row r="253" spans="1:1" customFormat="1" x14ac:dyDescent="0.25">
      <c r="A253" s="5"/>
    </row>
    <row r="254" spans="1:1" customFormat="1" x14ac:dyDescent="0.25">
      <c r="A254" s="5"/>
    </row>
    <row r="255" spans="1:1" customFormat="1" x14ac:dyDescent="0.25">
      <c r="A255" s="5"/>
    </row>
    <row r="256" spans="1:1" customFormat="1" x14ac:dyDescent="0.25">
      <c r="A256" s="5"/>
    </row>
    <row r="257" spans="1:1" customFormat="1" x14ac:dyDescent="0.25">
      <c r="A257" s="5"/>
    </row>
    <row r="258" spans="1:1" customFormat="1" x14ac:dyDescent="0.25">
      <c r="A258" s="5"/>
    </row>
    <row r="259" spans="1:1" customFormat="1" x14ac:dyDescent="0.25">
      <c r="A259" s="5"/>
    </row>
    <row r="260" spans="1:1" customFormat="1" x14ac:dyDescent="0.25">
      <c r="A260" s="5"/>
    </row>
    <row r="261" spans="1:1" customFormat="1" x14ac:dyDescent="0.25">
      <c r="A261" s="5"/>
    </row>
    <row r="262" spans="1:1" customFormat="1" x14ac:dyDescent="0.25">
      <c r="A262" s="5"/>
    </row>
    <row r="263" spans="1:1" customFormat="1" x14ac:dyDescent="0.25">
      <c r="A263" s="5"/>
    </row>
    <row r="264" spans="1:1" customFormat="1" x14ac:dyDescent="0.25">
      <c r="A264" s="5"/>
    </row>
    <row r="265" spans="1:1" customFormat="1" x14ac:dyDescent="0.25">
      <c r="A265" s="5"/>
    </row>
    <row r="266" spans="1:1" customFormat="1" x14ac:dyDescent="0.25">
      <c r="A266" s="5"/>
    </row>
    <row r="267" spans="1:1" customFormat="1" x14ac:dyDescent="0.25">
      <c r="A267" s="5"/>
    </row>
    <row r="268" spans="1:1" customFormat="1" x14ac:dyDescent="0.25">
      <c r="A268" s="5"/>
    </row>
    <row r="269" spans="1:1" customFormat="1" x14ac:dyDescent="0.25">
      <c r="A269" s="5"/>
    </row>
    <row r="270" spans="1:1" customFormat="1" x14ac:dyDescent="0.25">
      <c r="A270" s="5"/>
    </row>
    <row r="271" spans="1:1" customFormat="1" x14ac:dyDescent="0.25">
      <c r="A271" s="5"/>
    </row>
    <row r="272" spans="1:1" customFormat="1" x14ac:dyDescent="0.25">
      <c r="A272" s="5"/>
    </row>
    <row r="273" spans="1:1" customFormat="1" x14ac:dyDescent="0.25">
      <c r="A273" s="5"/>
    </row>
    <row r="274" spans="1:1" customFormat="1" x14ac:dyDescent="0.25">
      <c r="A274" s="5"/>
    </row>
    <row r="275" spans="1:1" customFormat="1" x14ac:dyDescent="0.25">
      <c r="A275" s="5"/>
    </row>
    <row r="276" spans="1:1" customFormat="1" x14ac:dyDescent="0.25">
      <c r="A276" s="5"/>
    </row>
    <row r="277" spans="1:1" customFormat="1" x14ac:dyDescent="0.25">
      <c r="A277" s="5"/>
    </row>
    <row r="278" spans="1:1" customFormat="1" x14ac:dyDescent="0.25">
      <c r="A278" s="5"/>
    </row>
    <row r="279" spans="1:1" customFormat="1" x14ac:dyDescent="0.25">
      <c r="A279" s="5"/>
    </row>
    <row r="280" spans="1:1" customFormat="1" x14ac:dyDescent="0.25">
      <c r="A280" s="5"/>
    </row>
    <row r="281" spans="1:1" customFormat="1" x14ac:dyDescent="0.25">
      <c r="A281" s="5"/>
    </row>
    <row r="282" spans="1:1" customFormat="1" x14ac:dyDescent="0.25">
      <c r="A282" s="5"/>
    </row>
    <row r="283" spans="1:1" customFormat="1" x14ac:dyDescent="0.25">
      <c r="A283" s="5"/>
    </row>
    <row r="284" spans="1:1" customFormat="1" x14ac:dyDescent="0.25">
      <c r="A284" s="5"/>
    </row>
    <row r="285" spans="1:1" customFormat="1" x14ac:dyDescent="0.25">
      <c r="A285" s="5"/>
    </row>
    <row r="286" spans="1:1" customFormat="1" x14ac:dyDescent="0.25">
      <c r="A286" s="5"/>
    </row>
    <row r="287" spans="1:1" customFormat="1" x14ac:dyDescent="0.25">
      <c r="A287" s="5"/>
    </row>
    <row r="288" spans="1:1" customFormat="1" x14ac:dyDescent="0.25">
      <c r="A288" s="5"/>
    </row>
    <row r="289" spans="1:1" customFormat="1" x14ac:dyDescent="0.25">
      <c r="A289" s="5"/>
    </row>
    <row r="290" spans="1:1" customFormat="1" x14ac:dyDescent="0.25">
      <c r="A290" s="5"/>
    </row>
    <row r="291" spans="1:1" customFormat="1" x14ac:dyDescent="0.25">
      <c r="A291" s="5"/>
    </row>
    <row r="292" spans="1:1" customFormat="1" x14ac:dyDescent="0.25">
      <c r="A292" s="5"/>
    </row>
    <row r="293" spans="1:1" customFormat="1" x14ac:dyDescent="0.25">
      <c r="A293" s="5"/>
    </row>
    <row r="294" spans="1:1" customFormat="1" x14ac:dyDescent="0.25">
      <c r="A294" s="5"/>
    </row>
    <row r="295" spans="1:1" customFormat="1" x14ac:dyDescent="0.25">
      <c r="A295" s="5"/>
    </row>
    <row r="296" spans="1:1" customFormat="1" x14ac:dyDescent="0.25">
      <c r="A296" s="5"/>
    </row>
    <row r="297" spans="1:1" customFormat="1" x14ac:dyDescent="0.25">
      <c r="A297" s="5"/>
    </row>
    <row r="298" spans="1:1" customFormat="1" x14ac:dyDescent="0.25">
      <c r="A298" s="5"/>
    </row>
    <row r="299" spans="1:1" customFormat="1" x14ac:dyDescent="0.25">
      <c r="A299" s="5"/>
    </row>
    <row r="300" spans="1:1" customFormat="1" x14ac:dyDescent="0.25">
      <c r="A300" s="5"/>
    </row>
    <row r="301" spans="1:1" customFormat="1" x14ac:dyDescent="0.25">
      <c r="A301" s="5"/>
    </row>
    <row r="302" spans="1:1" customFormat="1" x14ac:dyDescent="0.25">
      <c r="A302" s="5"/>
    </row>
    <row r="303" spans="1:1" customFormat="1" x14ac:dyDescent="0.25">
      <c r="A303" s="5"/>
    </row>
    <row r="304" spans="1:1" customFormat="1" x14ac:dyDescent="0.25">
      <c r="A304" s="5"/>
    </row>
    <row r="305" spans="1:1" customFormat="1" x14ac:dyDescent="0.25">
      <c r="A305" s="5"/>
    </row>
    <row r="306" spans="1:1" customFormat="1" x14ac:dyDescent="0.25">
      <c r="A306" s="5"/>
    </row>
    <row r="307" spans="1:1" customFormat="1" x14ac:dyDescent="0.25">
      <c r="A307" s="5"/>
    </row>
    <row r="308" spans="1:1" customFormat="1" x14ac:dyDescent="0.25">
      <c r="A308" s="5"/>
    </row>
    <row r="309" spans="1:1" customFormat="1" x14ac:dyDescent="0.25">
      <c r="A309" s="5"/>
    </row>
    <row r="310" spans="1:1" customFormat="1" x14ac:dyDescent="0.25">
      <c r="A310" s="5"/>
    </row>
    <row r="311" spans="1:1" customFormat="1" x14ac:dyDescent="0.25">
      <c r="A311" s="5"/>
    </row>
    <row r="312" spans="1:1" customFormat="1" x14ac:dyDescent="0.25">
      <c r="A312" s="5"/>
    </row>
    <row r="313" spans="1:1" customFormat="1" x14ac:dyDescent="0.25">
      <c r="A313" s="5"/>
    </row>
    <row r="314" spans="1:1" customFormat="1" x14ac:dyDescent="0.25">
      <c r="A314" s="5"/>
    </row>
    <row r="315" spans="1:1" customFormat="1" x14ac:dyDescent="0.25">
      <c r="A315" s="5"/>
    </row>
    <row r="316" spans="1:1" customFormat="1" x14ac:dyDescent="0.25">
      <c r="A316" s="5"/>
    </row>
    <row r="317" spans="1:1" customFormat="1" x14ac:dyDescent="0.25">
      <c r="A317" s="5"/>
    </row>
    <row r="318" spans="1:1" customFormat="1" x14ac:dyDescent="0.25">
      <c r="A318" s="5"/>
    </row>
    <row r="319" spans="1:1" customFormat="1" x14ac:dyDescent="0.25">
      <c r="A319" s="5"/>
    </row>
    <row r="320" spans="1:1" customFormat="1" x14ac:dyDescent="0.25">
      <c r="A320" s="5"/>
    </row>
    <row r="321" spans="1:1" customFormat="1" x14ac:dyDescent="0.25">
      <c r="A321" s="5"/>
    </row>
    <row r="322" spans="1:1" customFormat="1" x14ac:dyDescent="0.25">
      <c r="A322" s="5"/>
    </row>
    <row r="323" spans="1:1" customFormat="1" x14ac:dyDescent="0.25">
      <c r="A323" s="5"/>
    </row>
    <row r="324" spans="1:1" customFormat="1" x14ac:dyDescent="0.25">
      <c r="A324" s="5"/>
    </row>
    <row r="325" spans="1:1" customFormat="1" x14ac:dyDescent="0.25">
      <c r="A325" s="5"/>
    </row>
    <row r="326" spans="1:1" customFormat="1" x14ac:dyDescent="0.25">
      <c r="A326" s="5"/>
    </row>
    <row r="327" spans="1:1" customFormat="1" x14ac:dyDescent="0.25">
      <c r="A327" s="5"/>
    </row>
    <row r="328" spans="1:1" customFormat="1" x14ac:dyDescent="0.25">
      <c r="A328" s="5"/>
    </row>
    <row r="329" spans="1:1" customFormat="1" x14ac:dyDescent="0.25">
      <c r="A329" s="5"/>
    </row>
    <row r="330" spans="1:1" customFormat="1" x14ac:dyDescent="0.25">
      <c r="A330" s="5"/>
    </row>
    <row r="331" spans="1:1" customFormat="1" x14ac:dyDescent="0.25">
      <c r="A331" s="5"/>
    </row>
    <row r="332" spans="1:1" customFormat="1" x14ac:dyDescent="0.25">
      <c r="A332" s="5"/>
    </row>
    <row r="333" spans="1:1" customFormat="1" x14ac:dyDescent="0.25">
      <c r="A333" s="5"/>
    </row>
    <row r="334" spans="1:1" customFormat="1" x14ac:dyDescent="0.25">
      <c r="A334" s="5"/>
    </row>
    <row r="335" spans="1:1" customFormat="1" x14ac:dyDescent="0.25">
      <c r="A335" s="5"/>
    </row>
    <row r="336" spans="1:1" customFormat="1" x14ac:dyDescent="0.25">
      <c r="A336" s="5"/>
    </row>
    <row r="337" spans="1:104" x14ac:dyDescent="0.25">
      <c r="A337" s="5"/>
    </row>
    <row r="338" spans="1:104" x14ac:dyDescent="0.25">
      <c r="A338" s="5"/>
    </row>
    <row r="339" spans="1:104" x14ac:dyDescent="0.25">
      <c r="A339" s="5"/>
    </row>
    <row r="340" spans="1:104" x14ac:dyDescent="0.25">
      <c r="A340" s="5"/>
    </row>
    <row r="341" spans="1:104" x14ac:dyDescent="0.25">
      <c r="A341" s="5"/>
    </row>
    <row r="342" spans="1:104" x14ac:dyDescent="0.25">
      <c r="A342" s="5"/>
    </row>
    <row r="343" spans="1:104" x14ac:dyDescent="0.25">
      <c r="A343" s="5"/>
    </row>
    <row r="344" spans="1:104" x14ac:dyDescent="0.25">
      <c r="A344" s="5"/>
    </row>
    <row r="345" spans="1:104" x14ac:dyDescent="0.25">
      <c r="A345" s="5"/>
    </row>
    <row r="346" spans="1:104" x14ac:dyDescent="0.25">
      <c r="A346" s="5"/>
    </row>
    <row r="347" spans="1:104" x14ac:dyDescent="0.25">
      <c r="A347" s="5"/>
    </row>
    <row r="348" spans="1:104" x14ac:dyDescent="0.25">
      <c r="A348" s="5"/>
    </row>
    <row r="349" spans="1:104" x14ac:dyDescent="0.25">
      <c r="A349" s="5"/>
      <c r="CZ349" t="s">
        <v>7</v>
      </c>
    </row>
    <row r="350" spans="1:104" x14ac:dyDescent="0.25">
      <c r="A350" s="5"/>
      <c r="CZ350" t="s">
        <v>7</v>
      </c>
    </row>
    <row r="351" spans="1:104" x14ac:dyDescent="0.25">
      <c r="A351" s="5"/>
      <c r="CZ351" t="s">
        <v>7</v>
      </c>
    </row>
    <row r="352" spans="1:104" x14ac:dyDescent="0.25">
      <c r="A352" s="5"/>
    </row>
    <row r="353" spans="1:1" customFormat="1" x14ac:dyDescent="0.25">
      <c r="A353" s="5"/>
    </row>
    <row r="354" spans="1:1" customFormat="1" x14ac:dyDescent="0.25">
      <c r="A354" s="5"/>
    </row>
    <row r="355" spans="1:1" customFormat="1" x14ac:dyDescent="0.25">
      <c r="A355" s="5"/>
    </row>
    <row r="356" spans="1:1" customFormat="1" x14ac:dyDescent="0.25">
      <c r="A356" s="5"/>
    </row>
    <row r="357" spans="1:1" customFormat="1" x14ac:dyDescent="0.25">
      <c r="A357" s="5"/>
    </row>
    <row r="358" spans="1:1" customFormat="1" x14ac:dyDescent="0.25">
      <c r="A358" s="5"/>
    </row>
    <row r="359" spans="1:1" customFormat="1" x14ac:dyDescent="0.25">
      <c r="A359" s="5"/>
    </row>
    <row r="360" spans="1:1" customFormat="1" x14ac:dyDescent="0.25">
      <c r="A360" s="5"/>
    </row>
    <row r="361" spans="1:1" customFormat="1" x14ac:dyDescent="0.25">
      <c r="A361" s="5"/>
    </row>
    <row r="362" spans="1:1" customFormat="1" x14ac:dyDescent="0.25">
      <c r="A362" s="5"/>
    </row>
    <row r="363" spans="1:1" customFormat="1" x14ac:dyDescent="0.25">
      <c r="A363" s="5"/>
    </row>
    <row r="364" spans="1:1" customFormat="1" x14ac:dyDescent="0.25">
      <c r="A364" s="5"/>
    </row>
    <row r="365" spans="1:1" customFormat="1" x14ac:dyDescent="0.25">
      <c r="A365" s="5"/>
    </row>
    <row r="366" spans="1:1" customFormat="1" x14ac:dyDescent="0.25">
      <c r="A366" s="5"/>
    </row>
    <row r="367" spans="1:1" customFormat="1" x14ac:dyDescent="0.25">
      <c r="A367" s="5"/>
    </row>
    <row r="368" spans="1:1" customFormat="1" x14ac:dyDescent="0.25">
      <c r="A368" s="5"/>
    </row>
    <row r="369" spans="1:1" customFormat="1" x14ac:dyDescent="0.25">
      <c r="A369" s="5"/>
    </row>
    <row r="370" spans="1:1" customFormat="1" x14ac:dyDescent="0.25">
      <c r="A370" s="5"/>
    </row>
    <row r="371" spans="1:1" customFormat="1" x14ac:dyDescent="0.25">
      <c r="A371" s="5"/>
    </row>
    <row r="372" spans="1:1" customFormat="1" x14ac:dyDescent="0.25">
      <c r="A372" s="5"/>
    </row>
    <row r="373" spans="1:1" customFormat="1" x14ac:dyDescent="0.25">
      <c r="A373" s="5"/>
    </row>
    <row r="374" spans="1:1" customFormat="1" x14ac:dyDescent="0.25">
      <c r="A374" s="5"/>
    </row>
    <row r="375" spans="1:1" customFormat="1" x14ac:dyDescent="0.25">
      <c r="A375" s="5"/>
    </row>
    <row r="376" spans="1:1" customFormat="1" x14ac:dyDescent="0.25">
      <c r="A376" s="5"/>
    </row>
    <row r="377" spans="1:1" customFormat="1" x14ac:dyDescent="0.25">
      <c r="A377" s="5"/>
    </row>
    <row r="378" spans="1:1" customFormat="1" x14ac:dyDescent="0.25">
      <c r="A378" s="5"/>
    </row>
    <row r="379" spans="1:1" customFormat="1" x14ac:dyDescent="0.25">
      <c r="A379" s="5"/>
    </row>
    <row r="380" spans="1:1" customFormat="1" x14ac:dyDescent="0.25">
      <c r="A380" s="5"/>
    </row>
    <row r="381" spans="1:1" customFormat="1" x14ac:dyDescent="0.25">
      <c r="A381" s="5"/>
    </row>
    <row r="382" spans="1:1" customFormat="1" x14ac:dyDescent="0.25">
      <c r="A382" s="5"/>
    </row>
    <row r="383" spans="1:1" customFormat="1" x14ac:dyDescent="0.25">
      <c r="A383" s="5"/>
    </row>
    <row r="384" spans="1:1" customFormat="1" x14ac:dyDescent="0.25">
      <c r="A384" s="5"/>
    </row>
    <row r="385" spans="1:1" customFormat="1" x14ac:dyDescent="0.25">
      <c r="A385" s="5"/>
    </row>
    <row r="386" spans="1:1" customFormat="1" x14ac:dyDescent="0.25">
      <c r="A386" s="5"/>
    </row>
    <row r="387" spans="1:1" customFormat="1" x14ac:dyDescent="0.25">
      <c r="A387" s="5"/>
    </row>
    <row r="388" spans="1:1" customFormat="1" x14ac:dyDescent="0.25">
      <c r="A388" s="5"/>
    </row>
    <row r="389" spans="1:1" customFormat="1" x14ac:dyDescent="0.25">
      <c r="A389" s="5"/>
    </row>
    <row r="390" spans="1:1" customFormat="1" x14ac:dyDescent="0.25">
      <c r="A390" s="5"/>
    </row>
    <row r="391" spans="1:1" customFormat="1" x14ac:dyDescent="0.25">
      <c r="A391" s="5"/>
    </row>
    <row r="392" spans="1:1" customFormat="1" x14ac:dyDescent="0.25">
      <c r="A392" s="5"/>
    </row>
    <row r="393" spans="1:1" customFormat="1" x14ac:dyDescent="0.25">
      <c r="A393" s="5"/>
    </row>
    <row r="394" spans="1:1" customFormat="1" x14ac:dyDescent="0.25">
      <c r="A394" s="5"/>
    </row>
    <row r="395" spans="1:1" customFormat="1" x14ac:dyDescent="0.25">
      <c r="A395" s="5"/>
    </row>
    <row r="396" spans="1:1" customFormat="1" x14ac:dyDescent="0.25">
      <c r="A396" s="5"/>
    </row>
    <row r="397" spans="1:1" customFormat="1" x14ac:dyDescent="0.25">
      <c r="A397" s="5"/>
    </row>
    <row r="398" spans="1:1" customFormat="1" x14ac:dyDescent="0.25">
      <c r="A398" s="5"/>
    </row>
    <row r="399" spans="1:1" customFormat="1" x14ac:dyDescent="0.25">
      <c r="A399" s="5"/>
    </row>
    <row r="400" spans="1:1" customFormat="1" x14ac:dyDescent="0.25">
      <c r="A400" s="5"/>
    </row>
    <row r="401" spans="1:1" customFormat="1" x14ac:dyDescent="0.25">
      <c r="A401" s="5"/>
    </row>
    <row r="402" spans="1:1" customFormat="1" x14ac:dyDescent="0.25">
      <c r="A402" s="5"/>
    </row>
    <row r="403" spans="1:1" customFormat="1" x14ac:dyDescent="0.25">
      <c r="A403" s="5"/>
    </row>
    <row r="404" spans="1:1" customFormat="1" x14ac:dyDescent="0.25">
      <c r="A404" s="5"/>
    </row>
    <row r="405" spans="1:1" customFormat="1" x14ac:dyDescent="0.25">
      <c r="A405" s="5"/>
    </row>
    <row r="406" spans="1:1" customFormat="1" x14ac:dyDescent="0.25">
      <c r="A406" s="5"/>
    </row>
    <row r="407" spans="1:1" customFormat="1" x14ac:dyDescent="0.25">
      <c r="A407" s="5"/>
    </row>
    <row r="408" spans="1:1" customFormat="1" x14ac:dyDescent="0.25">
      <c r="A408" s="5"/>
    </row>
    <row r="409" spans="1:1" customFormat="1" x14ac:dyDescent="0.25">
      <c r="A409" s="5"/>
    </row>
    <row r="410" spans="1:1" customFormat="1" x14ac:dyDescent="0.25">
      <c r="A410" s="5"/>
    </row>
    <row r="411" spans="1:1" customFormat="1" x14ac:dyDescent="0.25">
      <c r="A411" s="5"/>
    </row>
    <row r="412" spans="1:1" customFormat="1" x14ac:dyDescent="0.25">
      <c r="A412" s="5"/>
    </row>
    <row r="413" spans="1:1" customFormat="1" x14ac:dyDescent="0.25">
      <c r="A413" s="5"/>
    </row>
    <row r="414" spans="1:1" customFormat="1" x14ac:dyDescent="0.25">
      <c r="A414" s="5"/>
    </row>
    <row r="415" spans="1:1" customFormat="1" x14ac:dyDescent="0.25">
      <c r="A415" s="5"/>
    </row>
    <row r="416" spans="1:1" customFormat="1" x14ac:dyDescent="0.25">
      <c r="A416" s="5"/>
    </row>
    <row r="417" spans="1:1" customFormat="1" x14ac:dyDescent="0.25">
      <c r="A417" s="5"/>
    </row>
    <row r="418" spans="1:1" customFormat="1" x14ac:dyDescent="0.25">
      <c r="A418" s="5"/>
    </row>
    <row r="419" spans="1:1" customFormat="1" x14ac:dyDescent="0.25">
      <c r="A419" s="5"/>
    </row>
    <row r="420" spans="1:1" customFormat="1" x14ac:dyDescent="0.25">
      <c r="A420" s="5"/>
    </row>
    <row r="421" spans="1:1" customFormat="1" x14ac:dyDescent="0.25">
      <c r="A421" s="5"/>
    </row>
    <row r="422" spans="1:1" customFormat="1" x14ac:dyDescent="0.25">
      <c r="A422" s="5"/>
    </row>
    <row r="423" spans="1:1" customFormat="1" x14ac:dyDescent="0.25">
      <c r="A423" s="5"/>
    </row>
    <row r="424" spans="1:1" customFormat="1" x14ac:dyDescent="0.25">
      <c r="A424" s="5"/>
    </row>
    <row r="425" spans="1:1" customFormat="1" x14ac:dyDescent="0.25">
      <c r="A425" s="5"/>
    </row>
    <row r="426" spans="1:1" customFormat="1" x14ac:dyDescent="0.25">
      <c r="A426" s="5"/>
    </row>
    <row r="427" spans="1:1" customFormat="1" x14ac:dyDescent="0.25">
      <c r="A427" s="5"/>
    </row>
    <row r="428" spans="1:1" customFormat="1" x14ac:dyDescent="0.25">
      <c r="A428" s="5"/>
    </row>
    <row r="429" spans="1:1" customFormat="1" x14ac:dyDescent="0.25">
      <c r="A429" s="5"/>
    </row>
    <row r="430" spans="1:1" customFormat="1" x14ac:dyDescent="0.25">
      <c r="A430" s="5"/>
    </row>
    <row r="431" spans="1:1" customFormat="1" x14ac:dyDescent="0.25">
      <c r="A431" s="5"/>
    </row>
    <row r="432" spans="1:1" customFormat="1" x14ac:dyDescent="0.25">
      <c r="A432" s="5"/>
    </row>
    <row r="433" spans="1:1" customFormat="1" x14ac:dyDescent="0.25">
      <c r="A433" s="5"/>
    </row>
    <row r="434" spans="1:1" customFormat="1" x14ac:dyDescent="0.25">
      <c r="A434" s="5"/>
    </row>
    <row r="435" spans="1:1" customFormat="1" x14ac:dyDescent="0.25">
      <c r="A435" s="5"/>
    </row>
    <row r="436" spans="1:1" customFormat="1" x14ac:dyDescent="0.25">
      <c r="A436" s="5"/>
    </row>
    <row r="437" spans="1:1" customFormat="1" x14ac:dyDescent="0.25">
      <c r="A437" s="5"/>
    </row>
    <row r="438" spans="1:1" customFormat="1" x14ac:dyDescent="0.25">
      <c r="A438" s="5"/>
    </row>
    <row r="439" spans="1:1" customFormat="1" x14ac:dyDescent="0.25">
      <c r="A439" s="5"/>
    </row>
    <row r="440" spans="1:1" customFormat="1" x14ac:dyDescent="0.25">
      <c r="A440" s="5"/>
    </row>
    <row r="441" spans="1:1" customFormat="1" x14ac:dyDescent="0.25">
      <c r="A441" s="5"/>
    </row>
    <row r="442" spans="1:1" customFormat="1" x14ac:dyDescent="0.25">
      <c r="A442" s="5"/>
    </row>
    <row r="443" spans="1:1" customFormat="1" x14ac:dyDescent="0.25">
      <c r="A443" s="5"/>
    </row>
    <row r="444" spans="1:1" customFormat="1" x14ac:dyDescent="0.25">
      <c r="A444" s="5"/>
    </row>
    <row r="445" spans="1:1" customFormat="1" x14ac:dyDescent="0.25">
      <c r="A445" s="5"/>
    </row>
    <row r="446" spans="1:1" customFormat="1" x14ac:dyDescent="0.25">
      <c r="A446" s="5"/>
    </row>
    <row r="447" spans="1:1" customFormat="1" x14ac:dyDescent="0.25">
      <c r="A447" s="5"/>
    </row>
    <row r="448" spans="1:1" customFormat="1" x14ac:dyDescent="0.25">
      <c r="A448" s="5"/>
    </row>
    <row r="449" spans="1:4" x14ac:dyDescent="0.25">
      <c r="A449" s="5"/>
    </row>
    <row r="450" spans="1:4" x14ac:dyDescent="0.25">
      <c r="A450" s="5"/>
    </row>
    <row r="451" spans="1:4" x14ac:dyDescent="0.25">
      <c r="A451" s="5"/>
    </row>
    <row r="452" spans="1:4" x14ac:dyDescent="0.25">
      <c r="A452" s="5"/>
      <c r="C452" s="4"/>
      <c r="D452" s="4"/>
    </row>
    <row r="453" spans="1:4" x14ac:dyDescent="0.25">
      <c r="A453" s="5"/>
      <c r="C453" s="4"/>
      <c r="D453" s="4"/>
    </row>
    <row r="454" spans="1:4" x14ac:dyDescent="0.25">
      <c r="A454" s="5"/>
      <c r="C454" s="4"/>
      <c r="D454" s="4"/>
    </row>
    <row r="455" spans="1:4" x14ac:dyDescent="0.25">
      <c r="A455" s="5"/>
      <c r="C455" s="4"/>
      <c r="D455" s="4"/>
    </row>
    <row r="456" spans="1:4" x14ac:dyDescent="0.25">
      <c r="A456" s="5"/>
      <c r="C456" s="4"/>
      <c r="D456" s="4"/>
    </row>
    <row r="457" spans="1:4" x14ac:dyDescent="0.25">
      <c r="A457" s="5"/>
      <c r="C457" s="4"/>
      <c r="D457" s="4"/>
    </row>
    <row r="458" spans="1:4" x14ac:dyDescent="0.25">
      <c r="A458" s="5"/>
      <c r="C458" s="4"/>
      <c r="D458" s="4"/>
    </row>
    <row r="459" spans="1:4" x14ac:dyDescent="0.25">
      <c r="A459" s="5"/>
      <c r="C459" s="4"/>
      <c r="D459" s="4"/>
    </row>
    <row r="460" spans="1:4" x14ac:dyDescent="0.25">
      <c r="A460" s="5"/>
      <c r="C460" s="4"/>
      <c r="D460" s="4"/>
    </row>
    <row r="461" spans="1:4" x14ac:dyDescent="0.25">
      <c r="A461" s="5"/>
      <c r="C461" s="4"/>
      <c r="D461" s="4"/>
    </row>
    <row r="462" spans="1:4" x14ac:dyDescent="0.25">
      <c r="A462" s="5"/>
      <c r="C462" s="4"/>
      <c r="D462" s="4"/>
    </row>
    <row r="463" spans="1:4" x14ac:dyDescent="0.25">
      <c r="A463" s="5"/>
      <c r="C463" s="4"/>
      <c r="D463" s="4"/>
    </row>
    <row r="464" spans="1:4" x14ac:dyDescent="0.25">
      <c r="A464" s="5"/>
      <c r="C464" s="4"/>
      <c r="D464" s="4"/>
    </row>
    <row r="465" spans="1:4" x14ac:dyDescent="0.25">
      <c r="A465" s="5"/>
      <c r="C465" s="4"/>
      <c r="D465" s="4"/>
    </row>
    <row r="466" spans="1:4" x14ac:dyDescent="0.25">
      <c r="A466" s="5"/>
      <c r="C466" s="4"/>
      <c r="D466" s="4"/>
    </row>
    <row r="467" spans="1:4" x14ac:dyDescent="0.25">
      <c r="A467" s="5"/>
      <c r="C467" s="4"/>
      <c r="D467" s="4"/>
    </row>
    <row r="468" spans="1:4" x14ac:dyDescent="0.25">
      <c r="A468" s="5"/>
      <c r="C468" s="4"/>
      <c r="D468" s="4"/>
    </row>
    <row r="469" spans="1:4" x14ac:dyDescent="0.25">
      <c r="A469" s="5"/>
      <c r="C469" s="4"/>
      <c r="D469" s="4"/>
    </row>
    <row r="470" spans="1:4" x14ac:dyDescent="0.25">
      <c r="A470" s="5"/>
      <c r="C470" s="4"/>
      <c r="D470" s="4"/>
    </row>
    <row r="471" spans="1:4" x14ac:dyDescent="0.25">
      <c r="A471" s="5"/>
      <c r="C471" s="4"/>
      <c r="D471" s="4"/>
    </row>
    <row r="472" spans="1:4" x14ac:dyDescent="0.25">
      <c r="A472" s="5"/>
      <c r="C472" s="4"/>
      <c r="D472" s="4"/>
    </row>
    <row r="473" spans="1:4" x14ac:dyDescent="0.25">
      <c r="A473" s="5"/>
      <c r="C473" s="4"/>
      <c r="D473" s="4"/>
    </row>
    <row r="474" spans="1:4" x14ac:dyDescent="0.25">
      <c r="A474" s="5"/>
      <c r="C474" s="4"/>
      <c r="D474" s="4"/>
    </row>
    <row r="475" spans="1:4" x14ac:dyDescent="0.25">
      <c r="A475" s="5"/>
      <c r="C475" s="4"/>
      <c r="D475" s="4"/>
    </row>
    <row r="476" spans="1:4" x14ac:dyDescent="0.25">
      <c r="A476" s="5"/>
      <c r="C476" s="4"/>
      <c r="D476" s="4"/>
    </row>
    <row r="477" spans="1:4" x14ac:dyDescent="0.25">
      <c r="A477" s="5"/>
      <c r="C477" s="4"/>
      <c r="D477" s="4"/>
    </row>
    <row r="478" spans="1:4" x14ac:dyDescent="0.25">
      <c r="A478" s="5"/>
      <c r="C478" s="4"/>
      <c r="D478" s="4"/>
    </row>
    <row r="479" spans="1:4" x14ac:dyDescent="0.25">
      <c r="A479" s="5"/>
      <c r="C479" s="4"/>
      <c r="D479" s="4"/>
    </row>
    <row r="480" spans="1:4" x14ac:dyDescent="0.25">
      <c r="A480" s="5"/>
      <c r="C480" s="4"/>
      <c r="D480" s="4"/>
    </row>
    <row r="481" spans="1:4" x14ac:dyDescent="0.25">
      <c r="A481" s="5"/>
      <c r="C481" s="4"/>
      <c r="D481" s="4"/>
    </row>
    <row r="482" spans="1:4" x14ac:dyDescent="0.25">
      <c r="A482" s="5"/>
      <c r="C482" s="4"/>
      <c r="D482" s="4"/>
    </row>
    <row r="483" spans="1:4" x14ac:dyDescent="0.25">
      <c r="A483" s="5"/>
      <c r="C483" s="4"/>
      <c r="D483" s="4"/>
    </row>
    <row r="484" spans="1:4" x14ac:dyDescent="0.25">
      <c r="A484" s="5"/>
      <c r="C484" s="4"/>
      <c r="D484" s="4"/>
    </row>
    <row r="485" spans="1:4" x14ac:dyDescent="0.25">
      <c r="A485" s="5"/>
      <c r="C485" s="4"/>
      <c r="D485" s="4"/>
    </row>
    <row r="486" spans="1:4" x14ac:dyDescent="0.25">
      <c r="A486" s="5"/>
      <c r="C486" s="4"/>
      <c r="D486" s="4"/>
    </row>
    <row r="487" spans="1:4" x14ac:dyDescent="0.25">
      <c r="A487" s="5"/>
      <c r="C487" s="4"/>
      <c r="D487" s="4"/>
    </row>
    <row r="488" spans="1:4" x14ac:dyDescent="0.25">
      <c r="A488" s="5"/>
      <c r="C488" s="4"/>
      <c r="D488" s="4"/>
    </row>
    <row r="489" spans="1:4" x14ac:dyDescent="0.25">
      <c r="A489" s="5"/>
      <c r="C489" s="4"/>
      <c r="D489" s="4"/>
    </row>
    <row r="490" spans="1:4" x14ac:dyDescent="0.25">
      <c r="A490" s="5"/>
      <c r="C490" s="4"/>
      <c r="D490" s="4"/>
    </row>
    <row r="491" spans="1:4" x14ac:dyDescent="0.25">
      <c r="A491" s="5"/>
      <c r="C491" s="4"/>
      <c r="D491" s="4"/>
    </row>
    <row r="492" spans="1:4" x14ac:dyDescent="0.25">
      <c r="A492" s="5"/>
      <c r="C492" s="4"/>
      <c r="D492" s="4"/>
    </row>
    <row r="493" spans="1:4" x14ac:dyDescent="0.25">
      <c r="A493" s="5"/>
      <c r="C493" s="4"/>
      <c r="D493" s="4"/>
    </row>
    <row r="494" spans="1:4" x14ac:dyDescent="0.25">
      <c r="A494" s="5"/>
      <c r="C494" s="4"/>
      <c r="D494" s="4"/>
    </row>
    <row r="495" spans="1:4" x14ac:dyDescent="0.25">
      <c r="A495" s="5"/>
      <c r="C495" s="4"/>
      <c r="D495" s="4"/>
    </row>
    <row r="496" spans="1:4" x14ac:dyDescent="0.25">
      <c r="A496" s="5"/>
      <c r="C496" s="4"/>
      <c r="D496" s="4"/>
    </row>
    <row r="497" spans="1:4" x14ac:dyDescent="0.25">
      <c r="A497" s="5"/>
      <c r="C497" s="4"/>
      <c r="D497" s="4"/>
    </row>
    <row r="498" spans="1:4" x14ac:dyDescent="0.25">
      <c r="A498" s="5"/>
      <c r="C498" s="4"/>
      <c r="D498" s="4"/>
    </row>
    <row r="499" spans="1:4" x14ac:dyDescent="0.25">
      <c r="A499" s="5"/>
      <c r="C499" s="4"/>
      <c r="D499" s="4"/>
    </row>
    <row r="500" spans="1:4" x14ac:dyDescent="0.25">
      <c r="A500" s="5"/>
      <c r="C500" s="4"/>
      <c r="D500" s="4"/>
    </row>
    <row r="501" spans="1:4" x14ac:dyDescent="0.25">
      <c r="A501" s="5"/>
      <c r="C501" s="4"/>
      <c r="D501" s="4"/>
    </row>
    <row r="502" spans="1:4" x14ac:dyDescent="0.25">
      <c r="A502" s="5"/>
      <c r="C502" s="4"/>
      <c r="D502" s="4"/>
    </row>
    <row r="503" spans="1:4" x14ac:dyDescent="0.25">
      <c r="A503" s="5"/>
      <c r="C503" s="4"/>
      <c r="D503" s="4"/>
    </row>
    <row r="504" spans="1:4" x14ac:dyDescent="0.25">
      <c r="A504" s="5"/>
      <c r="C504" s="4"/>
      <c r="D504" s="4"/>
    </row>
    <row r="505" spans="1:4" x14ac:dyDescent="0.25">
      <c r="A505" s="5"/>
      <c r="C505" s="4"/>
      <c r="D505" s="4"/>
    </row>
    <row r="506" spans="1:4" x14ac:dyDescent="0.25">
      <c r="A506" s="5"/>
      <c r="C506" s="4"/>
      <c r="D506" s="4"/>
    </row>
    <row r="507" spans="1:4" x14ac:dyDescent="0.25">
      <c r="A507" s="5"/>
      <c r="C507" s="4"/>
      <c r="D507" s="4"/>
    </row>
    <row r="508" spans="1:4" x14ac:dyDescent="0.25">
      <c r="A508" s="5"/>
      <c r="C508" s="4"/>
      <c r="D508" s="4"/>
    </row>
    <row r="509" spans="1:4" x14ac:dyDescent="0.25">
      <c r="A509" s="5"/>
      <c r="C509" s="4"/>
      <c r="D509" s="4"/>
    </row>
    <row r="510" spans="1:4" x14ac:dyDescent="0.25">
      <c r="A510" s="5"/>
      <c r="C510" s="4"/>
      <c r="D510" s="4"/>
    </row>
    <row r="511" spans="1:4" x14ac:dyDescent="0.25">
      <c r="A511" s="5"/>
      <c r="C511" s="4"/>
      <c r="D511" s="4"/>
    </row>
    <row r="512" spans="1:4" x14ac:dyDescent="0.25">
      <c r="A512" s="5"/>
      <c r="C512" s="4"/>
      <c r="D512" s="4"/>
    </row>
    <row r="513" spans="1:4" x14ac:dyDescent="0.25">
      <c r="A513" s="5"/>
      <c r="C513" s="4"/>
      <c r="D513" s="4"/>
    </row>
    <row r="514" spans="1:4" x14ac:dyDescent="0.25">
      <c r="A514" s="5"/>
      <c r="C514" s="4"/>
      <c r="D514" s="4"/>
    </row>
    <row r="515" spans="1:4" x14ac:dyDescent="0.25">
      <c r="A515" s="5"/>
      <c r="C515" s="4"/>
      <c r="D515" s="4"/>
    </row>
    <row r="516" spans="1:4" x14ac:dyDescent="0.25">
      <c r="A516" s="5"/>
      <c r="C516" s="4"/>
      <c r="D516" s="4"/>
    </row>
    <row r="517" spans="1:4" x14ac:dyDescent="0.25">
      <c r="A517" s="5"/>
      <c r="C517" s="4"/>
      <c r="D517" s="4"/>
    </row>
    <row r="518" spans="1:4" x14ac:dyDescent="0.25">
      <c r="A518" s="5"/>
      <c r="C518" s="4"/>
      <c r="D518" s="4"/>
    </row>
    <row r="519" spans="1:4" x14ac:dyDescent="0.25">
      <c r="A519" s="5"/>
      <c r="C519" s="4"/>
      <c r="D519" s="4"/>
    </row>
    <row r="520" spans="1:4" x14ac:dyDescent="0.25">
      <c r="A520" s="5"/>
      <c r="C520" s="4"/>
      <c r="D520" s="4"/>
    </row>
    <row r="521" spans="1:4" x14ac:dyDescent="0.25">
      <c r="A521" s="5"/>
      <c r="C521" s="4"/>
      <c r="D521" s="4"/>
    </row>
    <row r="522" spans="1:4" x14ac:dyDescent="0.25">
      <c r="A522" s="5"/>
      <c r="C522" s="4"/>
      <c r="D522" s="4"/>
    </row>
    <row r="523" spans="1:4" x14ac:dyDescent="0.25">
      <c r="A523" s="5"/>
      <c r="C523" s="4"/>
      <c r="D523" s="4"/>
    </row>
    <row r="524" spans="1:4" x14ac:dyDescent="0.25">
      <c r="A524" s="5"/>
      <c r="C524" s="4"/>
      <c r="D524" s="4"/>
    </row>
    <row r="525" spans="1:4" x14ac:dyDescent="0.25">
      <c r="A525" s="5"/>
      <c r="C525" s="4"/>
      <c r="D525" s="4"/>
    </row>
    <row r="526" spans="1:4" x14ac:dyDescent="0.25">
      <c r="A526" s="5"/>
      <c r="C526" s="4"/>
      <c r="D526" s="4"/>
    </row>
    <row r="527" spans="1:4" x14ac:dyDescent="0.25">
      <c r="A527" s="5"/>
      <c r="C527" s="4"/>
      <c r="D527" s="4"/>
    </row>
    <row r="528" spans="1:4" x14ac:dyDescent="0.25">
      <c r="A528" s="5"/>
      <c r="C528" s="4"/>
      <c r="D528" s="4"/>
    </row>
    <row r="529" spans="1:4" x14ac:dyDescent="0.25">
      <c r="A529" s="5"/>
      <c r="C529" s="4"/>
      <c r="D529" s="4"/>
    </row>
    <row r="530" spans="1:4" x14ac:dyDescent="0.25">
      <c r="A530" s="5"/>
      <c r="C530" s="4"/>
      <c r="D530" s="4"/>
    </row>
    <row r="531" spans="1:4" x14ac:dyDescent="0.25">
      <c r="A531" s="5"/>
      <c r="C531" s="4"/>
      <c r="D531" s="4"/>
    </row>
    <row r="532" spans="1:4" x14ac:dyDescent="0.25">
      <c r="A532" s="5"/>
      <c r="C532" s="4"/>
      <c r="D532" s="4"/>
    </row>
    <row r="533" spans="1:4" x14ac:dyDescent="0.25">
      <c r="A533" s="5"/>
      <c r="C533" s="4"/>
      <c r="D533" s="4"/>
    </row>
    <row r="534" spans="1:4" x14ac:dyDescent="0.25">
      <c r="A534" s="5"/>
      <c r="C534" s="4"/>
      <c r="D534" s="4"/>
    </row>
    <row r="535" spans="1:4" x14ac:dyDescent="0.25">
      <c r="A535" s="5"/>
      <c r="C535" s="4"/>
      <c r="D535" s="4"/>
    </row>
    <row r="536" spans="1:4" x14ac:dyDescent="0.25">
      <c r="A536" s="5"/>
      <c r="C536" s="4"/>
      <c r="D536" s="4"/>
    </row>
    <row r="537" spans="1:4" x14ac:dyDescent="0.25">
      <c r="A537" s="5"/>
      <c r="C537" s="4"/>
      <c r="D537" s="4"/>
    </row>
    <row r="538" spans="1:4" x14ac:dyDescent="0.25">
      <c r="A538" s="5"/>
      <c r="C538" s="4"/>
      <c r="D538" s="4"/>
    </row>
    <row r="539" spans="1:4" x14ac:dyDescent="0.25">
      <c r="A539" s="5"/>
      <c r="C539" s="4"/>
      <c r="D539" s="4"/>
    </row>
    <row r="540" spans="1:4" x14ac:dyDescent="0.25">
      <c r="A540" s="5"/>
      <c r="C540" s="4"/>
      <c r="D540" s="4"/>
    </row>
    <row r="541" spans="1:4" x14ac:dyDescent="0.25">
      <c r="A541" s="5"/>
      <c r="C541" s="4"/>
      <c r="D541" s="4"/>
    </row>
    <row r="542" spans="1:4" x14ac:dyDescent="0.25">
      <c r="A542" s="5"/>
      <c r="C542" s="4"/>
      <c r="D542" s="4"/>
    </row>
    <row r="543" spans="1:4" x14ac:dyDescent="0.25">
      <c r="A543" s="5"/>
      <c r="C543" s="4"/>
      <c r="D543" s="4"/>
    </row>
    <row r="544" spans="1:4" x14ac:dyDescent="0.25">
      <c r="A544" s="5"/>
      <c r="C544" s="4"/>
      <c r="D544" s="4"/>
    </row>
    <row r="545" spans="1:4" x14ac:dyDescent="0.25">
      <c r="A545" s="5"/>
      <c r="C545" s="4"/>
      <c r="D545" s="4"/>
    </row>
    <row r="546" spans="1:4" x14ac:dyDescent="0.25">
      <c r="A546" s="5"/>
      <c r="C546" s="4"/>
      <c r="D546" s="4"/>
    </row>
    <row r="547" spans="1:4" x14ac:dyDescent="0.25">
      <c r="A547" s="5"/>
      <c r="C547" s="4"/>
      <c r="D547" s="4"/>
    </row>
    <row r="548" spans="1:4" x14ac:dyDescent="0.25">
      <c r="A548" s="5"/>
      <c r="C548" s="4"/>
      <c r="D548" s="4"/>
    </row>
    <row r="549" spans="1:4" x14ac:dyDescent="0.25">
      <c r="A549" s="5"/>
      <c r="C549" s="4"/>
      <c r="D549" s="4"/>
    </row>
    <row r="550" spans="1:4" x14ac:dyDescent="0.25">
      <c r="A550" s="5"/>
      <c r="C550" s="4"/>
      <c r="D550" s="4"/>
    </row>
    <row r="551" spans="1:4" x14ac:dyDescent="0.25">
      <c r="A551" s="5"/>
      <c r="C551" s="4"/>
      <c r="D551" s="4"/>
    </row>
    <row r="552" spans="1:4" x14ac:dyDescent="0.25">
      <c r="A552" s="5"/>
      <c r="C552" s="4"/>
      <c r="D552" s="4"/>
    </row>
    <row r="553" spans="1:4" x14ac:dyDescent="0.25">
      <c r="A553" s="5"/>
      <c r="C553" s="4"/>
      <c r="D553" s="4"/>
    </row>
    <row r="554" spans="1:4" x14ac:dyDescent="0.25">
      <c r="A554" s="5"/>
      <c r="C554" s="4"/>
      <c r="D554" s="4"/>
    </row>
    <row r="555" spans="1:4" x14ac:dyDescent="0.25">
      <c r="A555" s="5"/>
      <c r="C555" s="4"/>
      <c r="D555" s="4"/>
    </row>
    <row r="556" spans="1:4" x14ac:dyDescent="0.25">
      <c r="A556" s="5"/>
      <c r="C556" s="4"/>
      <c r="D556" s="4"/>
    </row>
    <row r="557" spans="1:4" x14ac:dyDescent="0.25">
      <c r="A557" s="5"/>
      <c r="C557" s="4"/>
      <c r="D557" s="4"/>
    </row>
    <row r="558" spans="1:4" x14ac:dyDescent="0.25">
      <c r="A558" s="5"/>
      <c r="C558" s="4"/>
      <c r="D558" s="4"/>
    </row>
    <row r="559" spans="1:4" x14ac:dyDescent="0.25">
      <c r="A559" s="5"/>
      <c r="C559" s="4"/>
      <c r="D559" s="4"/>
    </row>
    <row r="560" spans="1:4" x14ac:dyDescent="0.25">
      <c r="A560" s="5"/>
      <c r="C560" s="4"/>
      <c r="D560" s="4"/>
    </row>
    <row r="561" spans="1:4" x14ac:dyDescent="0.25">
      <c r="A561" s="5"/>
      <c r="C561" s="4"/>
      <c r="D561" s="4"/>
    </row>
    <row r="562" spans="1:4" x14ac:dyDescent="0.25">
      <c r="A562" s="5"/>
      <c r="C562" s="4"/>
      <c r="D562" s="4"/>
    </row>
    <row r="563" spans="1:4" x14ac:dyDescent="0.25">
      <c r="A563" s="5"/>
      <c r="C563" s="4"/>
      <c r="D563" s="4"/>
    </row>
    <row r="564" spans="1:4" x14ac:dyDescent="0.25">
      <c r="A564" s="5"/>
      <c r="C564" s="4"/>
      <c r="D564" s="4"/>
    </row>
    <row r="565" spans="1:4" x14ac:dyDescent="0.25">
      <c r="A565" s="5"/>
      <c r="C565" s="4"/>
      <c r="D565" s="4"/>
    </row>
    <row r="566" spans="1:4" x14ac:dyDescent="0.25">
      <c r="A566" s="5"/>
      <c r="C566" s="4"/>
      <c r="D566" s="4"/>
    </row>
    <row r="567" spans="1:4" x14ac:dyDescent="0.25">
      <c r="A567" s="5"/>
      <c r="C567" s="4"/>
      <c r="D567" s="4"/>
    </row>
    <row r="568" spans="1:4" x14ac:dyDescent="0.25">
      <c r="A568" s="5"/>
      <c r="C568" s="4"/>
      <c r="D568" s="4"/>
    </row>
    <row r="569" spans="1:4" x14ac:dyDescent="0.25">
      <c r="A569" s="5"/>
      <c r="C569" s="4"/>
      <c r="D569" s="4"/>
    </row>
    <row r="570" spans="1:4" x14ac:dyDescent="0.25">
      <c r="A570" s="5"/>
      <c r="C570" s="4"/>
      <c r="D570" s="4"/>
    </row>
    <row r="571" spans="1:4" x14ac:dyDescent="0.25">
      <c r="A571" s="5"/>
      <c r="C571" s="4"/>
      <c r="D571" s="4"/>
    </row>
    <row r="572" spans="1:4" x14ac:dyDescent="0.25">
      <c r="A572" s="5"/>
      <c r="C572" s="4"/>
      <c r="D572" s="4"/>
    </row>
    <row r="573" spans="1:4" x14ac:dyDescent="0.25">
      <c r="A573" s="5"/>
      <c r="C573" s="4"/>
      <c r="D573" s="4"/>
    </row>
    <row r="574" spans="1:4" x14ac:dyDescent="0.25">
      <c r="A574" s="5"/>
      <c r="C574" s="4"/>
      <c r="D574" s="4"/>
    </row>
    <row r="575" spans="1:4" x14ac:dyDescent="0.25">
      <c r="A575" s="5"/>
      <c r="C575" s="4"/>
      <c r="D575" s="4"/>
    </row>
    <row r="576" spans="1:4" x14ac:dyDescent="0.25">
      <c r="A576" s="5"/>
      <c r="C576" s="4"/>
      <c r="D576" s="4"/>
    </row>
    <row r="577" spans="1:4" x14ac:dyDescent="0.25">
      <c r="A577" s="5"/>
      <c r="C577" s="4"/>
      <c r="D577" s="4"/>
    </row>
    <row r="578" spans="1:4" x14ac:dyDescent="0.25">
      <c r="A578" s="5"/>
      <c r="C578" s="4"/>
      <c r="D578" s="4"/>
    </row>
    <row r="579" spans="1:4" x14ac:dyDescent="0.25">
      <c r="A579" s="5"/>
      <c r="C579" s="4"/>
      <c r="D579" s="4"/>
    </row>
    <row r="580" spans="1:4" x14ac:dyDescent="0.25">
      <c r="A580" s="5"/>
      <c r="C580" s="4"/>
      <c r="D580" s="4"/>
    </row>
    <row r="581" spans="1:4" x14ac:dyDescent="0.25">
      <c r="A581" s="5"/>
      <c r="C581" s="4"/>
      <c r="D581" s="4"/>
    </row>
    <row r="582" spans="1:4" x14ac:dyDescent="0.25">
      <c r="A582" s="5"/>
      <c r="C582" s="4"/>
      <c r="D582" s="4"/>
    </row>
    <row r="583" spans="1:4" x14ac:dyDescent="0.25">
      <c r="A583" s="5"/>
      <c r="C583" s="4"/>
      <c r="D583" s="4"/>
    </row>
    <row r="584" spans="1:4" x14ac:dyDescent="0.25">
      <c r="A584" s="5"/>
      <c r="C584" s="4"/>
      <c r="D584" s="4"/>
    </row>
    <row r="585" spans="1:4" x14ac:dyDescent="0.25">
      <c r="A585" s="5"/>
      <c r="C585" s="4"/>
      <c r="D585" s="4"/>
    </row>
    <row r="586" spans="1:4" x14ac:dyDescent="0.25">
      <c r="A586" s="5"/>
      <c r="C586" s="4"/>
      <c r="D586" s="4"/>
    </row>
    <row r="587" spans="1:4" x14ac:dyDescent="0.25">
      <c r="A587" s="5"/>
      <c r="C587" s="4"/>
      <c r="D587" s="4"/>
    </row>
    <row r="588" spans="1:4" x14ac:dyDescent="0.25">
      <c r="A588" s="5"/>
      <c r="C588" s="4"/>
      <c r="D588" s="4"/>
    </row>
    <row r="589" spans="1:4" x14ac:dyDescent="0.25">
      <c r="A589" s="5"/>
      <c r="C589" s="4"/>
      <c r="D589" s="4"/>
    </row>
    <row r="590" spans="1:4" x14ac:dyDescent="0.25">
      <c r="A590" s="5"/>
      <c r="C590" s="4"/>
      <c r="D590" s="4"/>
    </row>
    <row r="591" spans="1:4" x14ac:dyDescent="0.25">
      <c r="A591" s="5"/>
      <c r="C591" s="4"/>
      <c r="D591" s="4"/>
    </row>
    <row r="592" spans="1:4" x14ac:dyDescent="0.25">
      <c r="A592" s="5"/>
      <c r="C592" s="4"/>
      <c r="D592" s="4"/>
    </row>
    <row r="593" spans="1:4" x14ac:dyDescent="0.25">
      <c r="A593" s="5"/>
      <c r="C593" s="4"/>
      <c r="D593" s="4"/>
    </row>
    <row r="594" spans="1:4" x14ac:dyDescent="0.25">
      <c r="A594" s="5"/>
      <c r="C594" s="4"/>
      <c r="D594" s="4"/>
    </row>
    <row r="595" spans="1:4" x14ac:dyDescent="0.25">
      <c r="A595" s="5"/>
      <c r="C595" s="4"/>
      <c r="D595" s="4"/>
    </row>
    <row r="596" spans="1:4" x14ac:dyDescent="0.25">
      <c r="A596" s="5"/>
      <c r="C596" s="4"/>
      <c r="D596" s="4"/>
    </row>
    <row r="597" spans="1:4" x14ac:dyDescent="0.25">
      <c r="A597" s="5"/>
      <c r="C597" s="4"/>
      <c r="D597" s="4"/>
    </row>
    <row r="598" spans="1:4" x14ac:dyDescent="0.25">
      <c r="A598" s="5"/>
      <c r="C598" s="4"/>
      <c r="D598" s="4"/>
    </row>
    <row r="599" spans="1:4" x14ac:dyDescent="0.25">
      <c r="A599" s="5"/>
      <c r="C599" s="4"/>
      <c r="D599" s="4"/>
    </row>
    <row r="600" spans="1:4" x14ac:dyDescent="0.25">
      <c r="A600" s="5"/>
      <c r="C600" s="4"/>
      <c r="D600" s="4"/>
    </row>
    <row r="601" spans="1:4" x14ac:dyDescent="0.25">
      <c r="A601" s="5"/>
      <c r="C601" s="4"/>
      <c r="D601" s="4"/>
    </row>
    <row r="602" spans="1:4" x14ac:dyDescent="0.25">
      <c r="A602" s="5"/>
      <c r="C602" s="4"/>
      <c r="D602" s="4"/>
    </row>
    <row r="603" spans="1:4" x14ac:dyDescent="0.25">
      <c r="A603" s="5"/>
      <c r="C603" s="4"/>
      <c r="D603" s="4"/>
    </row>
    <row r="604" spans="1:4" x14ac:dyDescent="0.25">
      <c r="A604" s="5"/>
      <c r="C604" s="4"/>
      <c r="D604" s="4"/>
    </row>
    <row r="605" spans="1:4" x14ac:dyDescent="0.25">
      <c r="A605" s="5"/>
      <c r="C605" s="4"/>
      <c r="D605" s="4"/>
    </row>
    <row r="606" spans="1:4" x14ac:dyDescent="0.25">
      <c r="A606" s="5"/>
      <c r="C606" s="4"/>
      <c r="D606" s="4"/>
    </row>
    <row r="607" spans="1:4" x14ac:dyDescent="0.25">
      <c r="A607" s="5"/>
      <c r="C607" s="4"/>
      <c r="D607" s="4"/>
    </row>
    <row r="608" spans="1:4" x14ac:dyDescent="0.25">
      <c r="A608" s="8"/>
      <c r="C608" s="4"/>
      <c r="D608" s="4"/>
    </row>
    <row r="609" spans="1:4" x14ac:dyDescent="0.25">
      <c r="A609" s="5"/>
      <c r="C609" s="4"/>
      <c r="D609" s="4"/>
    </row>
    <row r="610" spans="1:4" x14ac:dyDescent="0.25">
      <c r="A610" s="5"/>
      <c r="C610" s="4"/>
      <c r="D610" s="4"/>
    </row>
    <row r="611" spans="1:4" x14ac:dyDescent="0.25">
      <c r="A611" s="5"/>
      <c r="C611" s="4"/>
      <c r="D611" s="4"/>
    </row>
    <row r="612" spans="1:4" x14ac:dyDescent="0.25">
      <c r="A612" s="9"/>
      <c r="C612" s="4"/>
      <c r="D612" s="4"/>
    </row>
    <row r="613" spans="1:4" x14ac:dyDescent="0.25">
      <c r="A613" s="5"/>
      <c r="C613" s="4"/>
      <c r="D613" s="4"/>
    </row>
    <row r="614" spans="1:4" x14ac:dyDescent="0.25">
      <c r="A614" s="9"/>
      <c r="C614" s="4"/>
      <c r="D614" s="4"/>
    </row>
    <row r="615" spans="1:4" x14ac:dyDescent="0.25">
      <c r="A615" s="5"/>
      <c r="C615" s="4"/>
      <c r="D615" s="4"/>
    </row>
    <row r="616" spans="1:4" x14ac:dyDescent="0.25">
      <c r="A616" s="5"/>
      <c r="C616" s="4"/>
      <c r="D616" s="4"/>
    </row>
    <row r="617" spans="1:4" x14ac:dyDescent="0.25">
      <c r="A617" s="5"/>
      <c r="C617" s="4"/>
      <c r="D617" s="4"/>
    </row>
    <row r="618" spans="1:4" x14ac:dyDescent="0.25">
      <c r="A618" s="5"/>
      <c r="C618" s="4"/>
      <c r="D618" s="4"/>
    </row>
    <row r="619" spans="1:4" x14ac:dyDescent="0.25">
      <c r="A619" s="5"/>
      <c r="C619" s="4"/>
      <c r="D619" s="4"/>
    </row>
    <row r="620" spans="1:4" x14ac:dyDescent="0.25">
      <c r="A620" s="5"/>
      <c r="C620" s="4"/>
      <c r="D620" s="4"/>
    </row>
    <row r="621" spans="1:4" x14ac:dyDescent="0.25">
      <c r="A621" s="5"/>
      <c r="C621" s="4"/>
      <c r="D621" s="4"/>
    </row>
    <row r="622" spans="1:4" x14ac:dyDescent="0.25">
      <c r="A622" s="5"/>
      <c r="C622" s="4"/>
      <c r="D622" s="4"/>
    </row>
    <row r="623" spans="1:4" x14ac:dyDescent="0.25">
      <c r="A623" s="5"/>
      <c r="C623" s="4"/>
      <c r="D623" s="4"/>
    </row>
    <row r="624" spans="1:4" x14ac:dyDescent="0.25">
      <c r="A624" s="5"/>
      <c r="C624" s="4"/>
      <c r="D624" s="4"/>
    </row>
    <row r="625" spans="1:4" x14ac:dyDescent="0.25">
      <c r="A625" s="5"/>
      <c r="C625" s="4"/>
      <c r="D625" s="4"/>
    </row>
    <row r="626" spans="1:4" x14ac:dyDescent="0.25">
      <c r="A626" s="5"/>
      <c r="C626" s="4"/>
      <c r="D626" s="4"/>
    </row>
    <row r="627" spans="1:4" x14ac:dyDescent="0.25">
      <c r="A627" s="5"/>
      <c r="C627" s="4"/>
      <c r="D627" s="4"/>
    </row>
    <row r="628" spans="1:4" x14ac:dyDescent="0.25">
      <c r="A628" s="5"/>
      <c r="C628" s="4"/>
      <c r="D628" s="4"/>
    </row>
    <row r="629" spans="1:4" x14ac:dyDescent="0.25">
      <c r="A629" s="5"/>
      <c r="C629" s="4"/>
      <c r="D629" s="4"/>
    </row>
    <row r="630" spans="1:4" x14ac:dyDescent="0.25">
      <c r="A630" s="5"/>
      <c r="C630" s="4"/>
      <c r="D630" s="4"/>
    </row>
    <row r="631" spans="1:4" x14ac:dyDescent="0.25">
      <c r="A631" s="5"/>
      <c r="C631" s="4"/>
      <c r="D631" s="4"/>
    </row>
    <row r="632" spans="1:4" x14ac:dyDescent="0.25">
      <c r="A632" s="5"/>
      <c r="C632" s="4"/>
      <c r="D632" s="4"/>
    </row>
    <row r="633" spans="1:4" x14ac:dyDescent="0.25">
      <c r="A633" s="5"/>
      <c r="C633" s="4"/>
      <c r="D633" s="4"/>
    </row>
    <row r="634" spans="1:4" x14ac:dyDescent="0.25">
      <c r="A634" s="5"/>
      <c r="C634" s="4"/>
      <c r="D634" s="4"/>
    </row>
    <row r="635" spans="1:4" x14ac:dyDescent="0.25">
      <c r="A635" s="5"/>
      <c r="C635" s="4"/>
      <c r="D635" s="4"/>
    </row>
    <row r="636" spans="1:4" x14ac:dyDescent="0.25">
      <c r="A636" s="5"/>
      <c r="C636" s="4"/>
      <c r="D636" s="4"/>
    </row>
    <row r="637" spans="1:4" x14ac:dyDescent="0.25">
      <c r="A637" s="5"/>
      <c r="C637" s="4"/>
      <c r="D637" s="4"/>
    </row>
    <row r="638" spans="1:4" x14ac:dyDescent="0.25">
      <c r="A638" s="5"/>
      <c r="C638" s="4"/>
      <c r="D638" s="4"/>
    </row>
    <row r="639" spans="1:4" x14ac:dyDescent="0.25">
      <c r="A639" s="5"/>
      <c r="C639" s="4"/>
      <c r="D639" s="4"/>
    </row>
    <row r="640" spans="1:4" x14ac:dyDescent="0.25">
      <c r="A640" s="5"/>
      <c r="C640" s="4"/>
      <c r="D640" s="4"/>
    </row>
    <row r="641" spans="1:4" x14ac:dyDescent="0.25">
      <c r="A641" s="5"/>
      <c r="C641" s="4"/>
      <c r="D641" s="4"/>
    </row>
    <row r="642" spans="1:4" x14ac:dyDescent="0.25">
      <c r="A642" s="5"/>
      <c r="C642" s="4"/>
      <c r="D642" s="4"/>
    </row>
    <row r="643" spans="1:4" x14ac:dyDescent="0.25">
      <c r="A643" s="5"/>
      <c r="C643" s="4"/>
      <c r="D643" s="4"/>
    </row>
    <row r="644" spans="1:4" x14ac:dyDescent="0.25">
      <c r="A644" s="5"/>
      <c r="C644" s="4"/>
      <c r="D644" s="4"/>
    </row>
    <row r="645" spans="1:4" x14ac:dyDescent="0.25">
      <c r="A645" s="5"/>
      <c r="C645" s="4"/>
      <c r="D645" s="4"/>
    </row>
    <row r="646" spans="1:4" x14ac:dyDescent="0.25">
      <c r="A646" s="5"/>
      <c r="C646" s="4"/>
      <c r="D646" s="4"/>
    </row>
    <row r="647" spans="1:4" x14ac:dyDescent="0.25">
      <c r="A647" s="5"/>
      <c r="C647" s="4"/>
      <c r="D647" s="4"/>
    </row>
    <row r="648" spans="1:4" x14ac:dyDescent="0.25">
      <c r="A648" s="5"/>
      <c r="C648" s="4"/>
      <c r="D648" s="4"/>
    </row>
    <row r="649" spans="1:4" x14ac:dyDescent="0.25">
      <c r="A649" s="5"/>
      <c r="C649" s="4"/>
      <c r="D649" s="4"/>
    </row>
    <row r="650" spans="1:4" x14ac:dyDescent="0.25">
      <c r="A650" s="5"/>
      <c r="C650" s="4"/>
      <c r="D650" s="4"/>
    </row>
    <row r="651" spans="1:4" x14ac:dyDescent="0.25">
      <c r="A651" s="5"/>
      <c r="C651" s="4"/>
      <c r="D651" s="4"/>
    </row>
    <row r="652" spans="1:4" x14ac:dyDescent="0.25">
      <c r="A652" s="5"/>
      <c r="C652" s="4"/>
      <c r="D652" s="4"/>
    </row>
    <row r="653" spans="1:4" x14ac:dyDescent="0.25">
      <c r="A653" s="5"/>
      <c r="C653" s="4"/>
      <c r="D653" s="4"/>
    </row>
    <row r="654" spans="1:4" x14ac:dyDescent="0.25">
      <c r="A654" s="5"/>
      <c r="C654" s="4"/>
      <c r="D654" s="4"/>
    </row>
    <row r="655" spans="1:4" x14ac:dyDescent="0.25">
      <c r="A655" s="5"/>
      <c r="C655" s="4"/>
      <c r="D655" s="4"/>
    </row>
    <row r="656" spans="1:4" x14ac:dyDescent="0.25">
      <c r="A656" s="5"/>
      <c r="C656" s="4"/>
      <c r="D656" s="4"/>
    </row>
    <row r="657" spans="1:4" x14ac:dyDescent="0.25">
      <c r="A657" s="5"/>
      <c r="C657" s="4"/>
      <c r="D657" s="4"/>
    </row>
    <row r="658" spans="1:4" x14ac:dyDescent="0.25">
      <c r="A658" s="5"/>
      <c r="C658" s="4"/>
      <c r="D658" s="4"/>
    </row>
    <row r="659" spans="1:4" x14ac:dyDescent="0.25">
      <c r="A659" s="5"/>
      <c r="C659" s="4"/>
      <c r="D659" s="4"/>
    </row>
    <row r="660" spans="1:4" x14ac:dyDescent="0.25">
      <c r="A660" s="5"/>
      <c r="C660" s="4"/>
      <c r="D660" s="4"/>
    </row>
    <row r="661" spans="1:4" x14ac:dyDescent="0.25">
      <c r="A661" s="5"/>
      <c r="C661" s="4"/>
      <c r="D661" s="4"/>
    </row>
    <row r="662" spans="1:4" x14ac:dyDescent="0.25">
      <c r="A662" s="5"/>
      <c r="C662" s="4"/>
      <c r="D662" s="4"/>
    </row>
    <row r="663" spans="1:4" x14ac:dyDescent="0.25">
      <c r="A663" s="5"/>
      <c r="C663" s="4"/>
      <c r="D663" s="4"/>
    </row>
    <row r="664" spans="1:4" x14ac:dyDescent="0.25">
      <c r="A664" s="5"/>
      <c r="C664" s="4"/>
      <c r="D664" s="4"/>
    </row>
    <row r="665" spans="1:4" x14ac:dyDescent="0.25">
      <c r="A665" s="5"/>
      <c r="C665" s="4"/>
      <c r="D665" s="4"/>
    </row>
    <row r="666" spans="1:4" x14ac:dyDescent="0.25">
      <c r="A666" s="5"/>
      <c r="C666" s="4"/>
      <c r="D666" s="4"/>
    </row>
    <row r="667" spans="1:4" x14ac:dyDescent="0.25">
      <c r="A667" s="5"/>
      <c r="C667" s="4"/>
      <c r="D667" s="4"/>
    </row>
    <row r="668" spans="1:4" x14ac:dyDescent="0.25">
      <c r="A668" s="5"/>
      <c r="C668" s="4"/>
      <c r="D668" s="4"/>
    </row>
    <row r="669" spans="1:4" x14ac:dyDescent="0.25">
      <c r="A669" s="5"/>
      <c r="C669" s="4"/>
      <c r="D669" s="4"/>
    </row>
    <row r="670" spans="1:4" x14ac:dyDescent="0.25">
      <c r="A670" s="5"/>
      <c r="C670" s="4"/>
      <c r="D670" s="4"/>
    </row>
    <row r="671" spans="1:4" x14ac:dyDescent="0.25">
      <c r="A671" s="5"/>
      <c r="C671" s="4"/>
      <c r="D671" s="4"/>
    </row>
    <row r="672" spans="1:4" x14ac:dyDescent="0.25">
      <c r="A672" s="5"/>
      <c r="C672" s="4"/>
      <c r="D672" s="4"/>
    </row>
    <row r="673" spans="1:4" x14ac:dyDescent="0.25">
      <c r="A673" s="5"/>
      <c r="C673" s="4"/>
      <c r="D673" s="4"/>
    </row>
    <row r="674" spans="1:4" x14ac:dyDescent="0.25">
      <c r="A674" s="5"/>
      <c r="C674" s="4"/>
      <c r="D674" s="4"/>
    </row>
    <row r="675" spans="1:4" x14ac:dyDescent="0.25">
      <c r="A675" s="5"/>
      <c r="C675" s="4"/>
      <c r="D675" s="4"/>
    </row>
    <row r="676" spans="1:4" x14ac:dyDescent="0.25">
      <c r="A676" s="5"/>
      <c r="C676" s="4"/>
      <c r="D676" s="4"/>
    </row>
    <row r="677" spans="1:4" x14ac:dyDescent="0.25">
      <c r="A677" s="5"/>
      <c r="C677" s="4"/>
      <c r="D677" s="4"/>
    </row>
    <row r="678" spans="1:4" x14ac:dyDescent="0.25">
      <c r="A678" s="5"/>
      <c r="C678" s="4"/>
      <c r="D678" s="4"/>
    </row>
    <row r="679" spans="1:4" x14ac:dyDescent="0.25">
      <c r="A679" s="5"/>
      <c r="C679" s="4"/>
      <c r="D679" s="4"/>
    </row>
    <row r="680" spans="1:4" x14ac:dyDescent="0.25">
      <c r="A680" s="5"/>
      <c r="C680" s="4"/>
      <c r="D680" s="4"/>
    </row>
    <row r="681" spans="1:4" x14ac:dyDescent="0.25">
      <c r="A681" s="5"/>
      <c r="C681" s="4"/>
      <c r="D681" s="4"/>
    </row>
    <row r="682" spans="1:4" x14ac:dyDescent="0.25">
      <c r="A682" s="5"/>
      <c r="C682" s="4"/>
      <c r="D682" s="4"/>
    </row>
    <row r="683" spans="1:4" x14ac:dyDescent="0.25">
      <c r="A683" s="5"/>
      <c r="C683" s="4"/>
      <c r="D683" s="4"/>
    </row>
    <row r="684" spans="1:4" x14ac:dyDescent="0.25">
      <c r="A684" s="5"/>
      <c r="C684" s="4"/>
      <c r="D684" s="4"/>
    </row>
    <row r="685" spans="1:4" x14ac:dyDescent="0.25">
      <c r="A685" s="5"/>
      <c r="C685" s="4"/>
      <c r="D685" s="4"/>
    </row>
    <row r="686" spans="1:4" x14ac:dyDescent="0.25">
      <c r="A686" s="5"/>
      <c r="C686" s="4"/>
      <c r="D686" s="4"/>
    </row>
    <row r="687" spans="1:4" x14ac:dyDescent="0.25">
      <c r="A687" s="5"/>
      <c r="C687" s="4"/>
      <c r="D687" s="4"/>
    </row>
    <row r="688" spans="1:4" x14ac:dyDescent="0.25">
      <c r="A688" s="5"/>
      <c r="C688" s="4"/>
      <c r="D688" s="4"/>
    </row>
    <row r="689" spans="1:4" x14ac:dyDescent="0.25">
      <c r="A689" s="5"/>
      <c r="C689" s="4"/>
      <c r="D689" s="4"/>
    </row>
    <row r="690" spans="1:4" x14ac:dyDescent="0.25">
      <c r="A690" s="5"/>
      <c r="C690" s="4"/>
      <c r="D690" s="4"/>
    </row>
    <row r="691" spans="1:4" x14ac:dyDescent="0.25">
      <c r="A691" s="5"/>
      <c r="C691" s="4"/>
      <c r="D691" s="4"/>
    </row>
    <row r="692" spans="1:4" x14ac:dyDescent="0.25">
      <c r="A692" s="5"/>
      <c r="C692" s="4"/>
      <c r="D692" s="4"/>
    </row>
    <row r="693" spans="1:4" x14ac:dyDescent="0.25">
      <c r="A693" s="5"/>
      <c r="C693" s="4"/>
      <c r="D693" s="4"/>
    </row>
    <row r="694" spans="1:4" x14ac:dyDescent="0.25">
      <c r="A694" s="5"/>
      <c r="C694" s="4"/>
      <c r="D694" s="4"/>
    </row>
    <row r="695" spans="1:4" x14ac:dyDescent="0.25">
      <c r="A695" s="5"/>
      <c r="C695" s="4"/>
      <c r="D695" s="4"/>
    </row>
    <row r="696" spans="1:4" x14ac:dyDescent="0.25">
      <c r="A696" s="5"/>
      <c r="C696" s="4"/>
      <c r="D696" s="4"/>
    </row>
    <row r="697" spans="1:4" x14ac:dyDescent="0.25">
      <c r="A697" s="5"/>
      <c r="C697" s="4"/>
      <c r="D697" s="4"/>
    </row>
    <row r="698" spans="1:4" x14ac:dyDescent="0.25">
      <c r="A698" s="5"/>
      <c r="C698" s="4"/>
      <c r="D698" s="4"/>
    </row>
    <row r="699" spans="1:4" x14ac:dyDescent="0.25">
      <c r="A699" s="5"/>
      <c r="C699" s="4"/>
      <c r="D699" s="4"/>
    </row>
    <row r="700" spans="1:4" x14ac:dyDescent="0.25">
      <c r="A700" s="5"/>
      <c r="C700" s="4"/>
      <c r="D700" s="4"/>
    </row>
    <row r="701" spans="1:4" x14ac:dyDescent="0.25">
      <c r="A701" s="5"/>
      <c r="C701" s="4"/>
      <c r="D701" s="4"/>
    </row>
    <row r="702" spans="1:4" x14ac:dyDescent="0.25">
      <c r="A702" s="5"/>
      <c r="C702" s="4"/>
      <c r="D702" s="4"/>
    </row>
    <row r="703" spans="1:4" x14ac:dyDescent="0.25">
      <c r="A703" s="5"/>
      <c r="C703" s="4"/>
      <c r="D703" s="4"/>
    </row>
    <row r="704" spans="1:4" x14ac:dyDescent="0.25">
      <c r="A704" s="5"/>
      <c r="C704" s="4"/>
      <c r="D704" s="4"/>
    </row>
    <row r="705" spans="1:4" x14ac:dyDescent="0.25">
      <c r="A705" s="5"/>
      <c r="C705" s="4"/>
      <c r="D705" s="4"/>
    </row>
    <row r="706" spans="1:4" x14ac:dyDescent="0.25">
      <c r="A706" s="5"/>
      <c r="C706" s="4"/>
      <c r="D706" s="4"/>
    </row>
    <row r="707" spans="1:4" x14ac:dyDescent="0.25">
      <c r="A707" s="5"/>
      <c r="C707" s="4"/>
      <c r="D707" s="4"/>
    </row>
    <row r="708" spans="1:4" x14ac:dyDescent="0.25">
      <c r="A708" s="5"/>
      <c r="C708" s="4"/>
      <c r="D708" s="4"/>
    </row>
    <row r="709" spans="1:4" x14ac:dyDescent="0.25">
      <c r="A709" s="5"/>
      <c r="C709" s="4"/>
      <c r="D709" s="4"/>
    </row>
    <row r="710" spans="1:4" x14ac:dyDescent="0.25">
      <c r="A710" s="5"/>
      <c r="C710" s="4"/>
      <c r="D710" s="4"/>
    </row>
    <row r="711" spans="1:4" x14ac:dyDescent="0.25">
      <c r="A711" s="5"/>
      <c r="C711" s="4"/>
      <c r="D711" s="4"/>
    </row>
    <row r="712" spans="1:4" x14ac:dyDescent="0.25">
      <c r="A712" s="5"/>
      <c r="C712" s="4"/>
      <c r="D712" s="4"/>
    </row>
    <row r="713" spans="1:4" x14ac:dyDescent="0.25">
      <c r="A713" s="5"/>
      <c r="C713" s="4"/>
      <c r="D713" s="4"/>
    </row>
    <row r="714" spans="1:4" x14ac:dyDescent="0.25">
      <c r="A714" s="5"/>
      <c r="C714" s="4"/>
      <c r="D714" s="4"/>
    </row>
    <row r="715" spans="1:4" x14ac:dyDescent="0.25">
      <c r="A715" s="5"/>
      <c r="C715" s="4"/>
      <c r="D715" s="4"/>
    </row>
    <row r="716" spans="1:4" x14ac:dyDescent="0.25">
      <c r="A716" s="5"/>
      <c r="C716" s="4"/>
      <c r="D716" s="4"/>
    </row>
    <row r="717" spans="1:4" x14ac:dyDescent="0.25">
      <c r="A717" s="5"/>
      <c r="C717" s="4"/>
      <c r="D717" s="4"/>
    </row>
    <row r="718" spans="1:4" x14ac:dyDescent="0.25">
      <c r="A718" s="5"/>
      <c r="C718" s="4"/>
      <c r="D718" s="4"/>
    </row>
    <row r="719" spans="1:4" x14ac:dyDescent="0.25">
      <c r="A719" s="5"/>
      <c r="C719" s="4"/>
      <c r="D719" s="4"/>
    </row>
    <row r="720" spans="1:4" x14ac:dyDescent="0.25">
      <c r="A720" s="5"/>
      <c r="C720" s="4"/>
      <c r="D720" s="4"/>
    </row>
    <row r="721" spans="1:4" x14ac:dyDescent="0.25">
      <c r="A721" s="5"/>
      <c r="C721" s="4"/>
      <c r="D721" s="4"/>
    </row>
    <row r="722" spans="1:4" x14ac:dyDescent="0.25">
      <c r="A722" s="5"/>
      <c r="C722" s="4"/>
      <c r="D722" s="4"/>
    </row>
    <row r="723" spans="1:4" x14ac:dyDescent="0.25">
      <c r="A723" s="5"/>
      <c r="C723" s="4"/>
      <c r="D723" s="4"/>
    </row>
    <row r="724" spans="1:4" x14ac:dyDescent="0.25">
      <c r="A724" s="5"/>
      <c r="C724" s="4"/>
      <c r="D724" s="4"/>
    </row>
    <row r="725" spans="1:4" x14ac:dyDescent="0.25">
      <c r="A725" s="5"/>
      <c r="C725" s="4"/>
      <c r="D725" s="4"/>
    </row>
    <row r="726" spans="1:4" x14ac:dyDescent="0.25">
      <c r="A726" s="5"/>
      <c r="C726" s="4"/>
      <c r="D726" s="4"/>
    </row>
    <row r="727" spans="1:4" x14ac:dyDescent="0.25">
      <c r="A727" s="5"/>
      <c r="C727" s="4"/>
      <c r="D727" s="4"/>
    </row>
    <row r="728" spans="1:4" x14ac:dyDescent="0.25">
      <c r="A728" s="5"/>
      <c r="C728" s="4"/>
      <c r="D728" s="4"/>
    </row>
    <row r="729" spans="1:4" x14ac:dyDescent="0.25">
      <c r="A729" s="5"/>
      <c r="C729" s="4"/>
      <c r="D729" s="4"/>
    </row>
    <row r="730" spans="1:4" x14ac:dyDescent="0.25">
      <c r="A730" s="5"/>
      <c r="C730" s="4"/>
      <c r="D730" s="4"/>
    </row>
    <row r="731" spans="1:4" x14ac:dyDescent="0.25">
      <c r="A731" s="5"/>
      <c r="C731" s="4"/>
      <c r="D731" s="4"/>
    </row>
    <row r="732" spans="1:4" x14ac:dyDescent="0.25">
      <c r="A732" s="5"/>
      <c r="C732" s="4"/>
      <c r="D732" s="4"/>
    </row>
    <row r="733" spans="1:4" x14ac:dyDescent="0.25">
      <c r="A733" s="5"/>
      <c r="C733" s="4"/>
      <c r="D733" s="4"/>
    </row>
    <row r="734" spans="1:4" x14ac:dyDescent="0.25">
      <c r="A734" s="5"/>
      <c r="C734" s="4"/>
      <c r="D734" s="4"/>
    </row>
    <row r="735" spans="1:4" x14ac:dyDescent="0.25">
      <c r="A735" s="5"/>
      <c r="C735" s="4"/>
      <c r="D735" s="4"/>
    </row>
    <row r="736" spans="1:4" x14ac:dyDescent="0.25">
      <c r="A736" s="5"/>
      <c r="C736" s="4"/>
      <c r="D736" s="4"/>
    </row>
    <row r="737" spans="1:4" x14ac:dyDescent="0.25">
      <c r="A737" s="5"/>
      <c r="C737" s="4"/>
      <c r="D737" s="4"/>
    </row>
    <row r="738" spans="1:4" x14ac:dyDescent="0.25">
      <c r="A738" s="5"/>
      <c r="C738" s="4"/>
      <c r="D738" s="4"/>
    </row>
    <row r="739" spans="1:4" x14ac:dyDescent="0.25">
      <c r="A739" s="5"/>
      <c r="C739" s="4"/>
      <c r="D739" s="4"/>
    </row>
    <row r="740" spans="1:4" x14ac:dyDescent="0.25">
      <c r="A740" s="5"/>
      <c r="C740" s="4"/>
      <c r="D740" s="4"/>
    </row>
    <row r="741" spans="1:4" x14ac:dyDescent="0.25">
      <c r="A741" s="5"/>
    </row>
    <row r="742" spans="1:4" x14ac:dyDescent="0.25">
      <c r="A742" s="5"/>
    </row>
    <row r="743" spans="1:4" x14ac:dyDescent="0.25">
      <c r="A743" s="5"/>
    </row>
    <row r="744" spans="1:4" x14ac:dyDescent="0.25">
      <c r="A744" s="5"/>
    </row>
    <row r="745" spans="1:4" x14ac:dyDescent="0.25">
      <c r="A745" s="5"/>
    </row>
    <row r="746" spans="1:4" x14ac:dyDescent="0.25">
      <c r="A746" s="5"/>
    </row>
    <row r="747" spans="1:4" x14ac:dyDescent="0.25">
      <c r="A747" s="5"/>
    </row>
    <row r="748" spans="1:4" x14ac:dyDescent="0.25">
      <c r="A748" s="5"/>
    </row>
    <row r="749" spans="1:4" x14ac:dyDescent="0.25">
      <c r="A749" s="5"/>
    </row>
    <row r="750" spans="1:4" x14ac:dyDescent="0.25">
      <c r="A750" s="5"/>
    </row>
    <row r="751" spans="1:4" x14ac:dyDescent="0.25">
      <c r="A751" s="5"/>
    </row>
    <row r="752" spans="1:4" x14ac:dyDescent="0.25">
      <c r="A752" s="5"/>
    </row>
    <row r="753" spans="1:1" customFormat="1" x14ac:dyDescent="0.25">
      <c r="A753" s="5"/>
    </row>
    <row r="754" spans="1:1" customFormat="1" x14ac:dyDescent="0.25">
      <c r="A754" s="5"/>
    </row>
    <row r="755" spans="1:1" customFormat="1" x14ac:dyDescent="0.25">
      <c r="A755" s="5"/>
    </row>
    <row r="756" spans="1:1" customFormat="1" x14ac:dyDescent="0.25">
      <c r="A756" s="5"/>
    </row>
    <row r="757" spans="1:1" customFormat="1" x14ac:dyDescent="0.25">
      <c r="A757" s="5"/>
    </row>
    <row r="758" spans="1:1" customFormat="1" x14ac:dyDescent="0.25">
      <c r="A758" s="5"/>
    </row>
    <row r="759" spans="1:1" customFormat="1" x14ac:dyDescent="0.25">
      <c r="A759" s="5"/>
    </row>
    <row r="760" spans="1:1" customFormat="1" x14ac:dyDescent="0.25">
      <c r="A760" s="5"/>
    </row>
    <row r="761" spans="1:1" customFormat="1" x14ac:dyDescent="0.25">
      <c r="A761" s="5"/>
    </row>
    <row r="762" spans="1:1" customFormat="1" x14ac:dyDescent="0.25">
      <c r="A762" s="5"/>
    </row>
    <row r="763" spans="1:1" customFormat="1" x14ac:dyDescent="0.25">
      <c r="A763" s="5"/>
    </row>
    <row r="764" spans="1:1" customFormat="1" x14ac:dyDescent="0.25">
      <c r="A764" s="5"/>
    </row>
    <row r="765" spans="1:1" customFormat="1" x14ac:dyDescent="0.25">
      <c r="A765" s="5"/>
    </row>
    <row r="766" spans="1:1" customFormat="1" x14ac:dyDescent="0.25">
      <c r="A766" s="5"/>
    </row>
    <row r="767" spans="1:1" customFormat="1" x14ac:dyDescent="0.25">
      <c r="A767" s="5"/>
    </row>
    <row r="768" spans="1:1" customFormat="1" x14ac:dyDescent="0.25">
      <c r="A768" s="5"/>
    </row>
    <row r="769" spans="1:1" customFormat="1" x14ac:dyDescent="0.25">
      <c r="A769" s="5"/>
    </row>
    <row r="770" spans="1:1" customFormat="1" x14ac:dyDescent="0.25">
      <c r="A770" s="5"/>
    </row>
    <row r="771" spans="1:1" customFormat="1" x14ac:dyDescent="0.25">
      <c r="A771" s="5"/>
    </row>
    <row r="772" spans="1:1" customFormat="1" x14ac:dyDescent="0.25">
      <c r="A772" s="5"/>
    </row>
    <row r="773" spans="1:1" customFormat="1" x14ac:dyDescent="0.25">
      <c r="A773" s="5"/>
    </row>
    <row r="774" spans="1:1" customFormat="1" x14ac:dyDescent="0.25">
      <c r="A774" s="5"/>
    </row>
    <row r="775" spans="1:1" customFormat="1" x14ac:dyDescent="0.25">
      <c r="A775" s="5"/>
    </row>
    <row r="776" spans="1:1" customFormat="1" x14ac:dyDescent="0.25">
      <c r="A776" s="5"/>
    </row>
    <row r="777" spans="1:1" customFormat="1" x14ac:dyDescent="0.25">
      <c r="A777" s="5"/>
    </row>
    <row r="778" spans="1:1" customFormat="1" x14ac:dyDescent="0.25">
      <c r="A778" s="5"/>
    </row>
    <row r="779" spans="1:1" customFormat="1" x14ac:dyDescent="0.25">
      <c r="A779" s="5"/>
    </row>
    <row r="780" spans="1:1" customFormat="1" x14ac:dyDescent="0.25">
      <c r="A780" s="5"/>
    </row>
    <row r="781" spans="1:1" customFormat="1" x14ac:dyDescent="0.25">
      <c r="A781" s="5"/>
    </row>
    <row r="782" spans="1:1" customFormat="1" x14ac:dyDescent="0.25">
      <c r="A782" s="5"/>
    </row>
    <row r="783" spans="1:1" customFormat="1" x14ac:dyDescent="0.25">
      <c r="A783" s="5"/>
    </row>
    <row r="784" spans="1:1" customFormat="1" x14ac:dyDescent="0.25">
      <c r="A784" s="5"/>
    </row>
    <row r="785" spans="1:1" customFormat="1" x14ac:dyDescent="0.25">
      <c r="A785" s="5"/>
    </row>
    <row r="786" spans="1:1" customFormat="1" x14ac:dyDescent="0.25">
      <c r="A786" s="5"/>
    </row>
    <row r="787" spans="1:1" customFormat="1" x14ac:dyDescent="0.25">
      <c r="A787" s="5"/>
    </row>
    <row r="788" spans="1:1" customFormat="1" x14ac:dyDescent="0.25">
      <c r="A788" s="5"/>
    </row>
    <row r="789" spans="1:1" customFormat="1" x14ac:dyDescent="0.25">
      <c r="A789" s="5"/>
    </row>
    <row r="790" spans="1:1" customFormat="1" x14ac:dyDescent="0.25">
      <c r="A790" s="5"/>
    </row>
    <row r="791" spans="1:1" customFormat="1" x14ac:dyDescent="0.25">
      <c r="A791" s="5"/>
    </row>
    <row r="792" spans="1:1" customFormat="1" x14ac:dyDescent="0.25">
      <c r="A792" s="5"/>
    </row>
    <row r="793" spans="1:1" customFormat="1" x14ac:dyDescent="0.25">
      <c r="A793" s="5"/>
    </row>
    <row r="794" spans="1:1" customFormat="1" x14ac:dyDescent="0.25">
      <c r="A794" s="5"/>
    </row>
    <row r="795" spans="1:1" customFormat="1" x14ac:dyDescent="0.25">
      <c r="A795" s="5"/>
    </row>
    <row r="796" spans="1:1" customFormat="1" x14ac:dyDescent="0.25">
      <c r="A796" s="5"/>
    </row>
    <row r="797" spans="1:1" customFormat="1" x14ac:dyDescent="0.25">
      <c r="A797" s="5"/>
    </row>
    <row r="798" spans="1:1" customFormat="1" x14ac:dyDescent="0.25">
      <c r="A798" s="5"/>
    </row>
    <row r="799" spans="1:1" customFormat="1" x14ac:dyDescent="0.25">
      <c r="A799" s="5"/>
    </row>
    <row r="800" spans="1:1" customFormat="1" x14ac:dyDescent="0.25">
      <c r="A800" s="5"/>
    </row>
    <row r="801" spans="1:1" customFormat="1" x14ac:dyDescent="0.25">
      <c r="A801" s="5"/>
    </row>
    <row r="802" spans="1:1" customFormat="1" x14ac:dyDescent="0.25">
      <c r="A802" s="5"/>
    </row>
    <row r="803" spans="1:1" customFormat="1" x14ac:dyDescent="0.25">
      <c r="A803" s="5"/>
    </row>
    <row r="804" spans="1:1" customFormat="1" x14ac:dyDescent="0.25">
      <c r="A804" s="5"/>
    </row>
    <row r="805" spans="1:1" customFormat="1" x14ac:dyDescent="0.25">
      <c r="A805" s="5"/>
    </row>
    <row r="806" spans="1:1" customFormat="1" x14ac:dyDescent="0.25">
      <c r="A806" s="5"/>
    </row>
    <row r="807" spans="1:1" customFormat="1" x14ac:dyDescent="0.25">
      <c r="A807" s="5"/>
    </row>
    <row r="808" spans="1:1" customFormat="1" x14ac:dyDescent="0.25">
      <c r="A808" s="5"/>
    </row>
    <row r="809" spans="1:1" customFormat="1" x14ac:dyDescent="0.25">
      <c r="A809" s="5"/>
    </row>
    <row r="810" spans="1:1" customFormat="1" x14ac:dyDescent="0.25">
      <c r="A810" s="5"/>
    </row>
    <row r="811" spans="1:1" customFormat="1" x14ac:dyDescent="0.25">
      <c r="A811" s="5"/>
    </row>
    <row r="812" spans="1:1" customFormat="1" x14ac:dyDescent="0.25">
      <c r="A812" s="5"/>
    </row>
    <row r="813" spans="1:1" customFormat="1" x14ac:dyDescent="0.25">
      <c r="A813" s="5"/>
    </row>
    <row r="814" spans="1:1" customFormat="1" x14ac:dyDescent="0.25">
      <c r="A814" s="5"/>
    </row>
    <row r="815" spans="1:1" customFormat="1" x14ac:dyDescent="0.25">
      <c r="A815" s="5"/>
    </row>
    <row r="816" spans="1:1" customFormat="1" x14ac:dyDescent="0.25">
      <c r="A816" s="5"/>
    </row>
    <row r="817" spans="1:1" customFormat="1" x14ac:dyDescent="0.25">
      <c r="A817" s="5"/>
    </row>
    <row r="818" spans="1:1" customFormat="1" x14ac:dyDescent="0.25">
      <c r="A818" s="5"/>
    </row>
    <row r="819" spans="1:1" customFormat="1" x14ac:dyDescent="0.25">
      <c r="A819" s="5"/>
    </row>
    <row r="820" spans="1:1" customFormat="1" x14ac:dyDescent="0.25">
      <c r="A820" s="5"/>
    </row>
    <row r="821" spans="1:1" customFormat="1" x14ac:dyDescent="0.25">
      <c r="A821" s="5"/>
    </row>
    <row r="822" spans="1:1" customFormat="1" x14ac:dyDescent="0.25">
      <c r="A822" s="5"/>
    </row>
    <row r="823" spans="1:1" customFormat="1" x14ac:dyDescent="0.25">
      <c r="A823" s="5"/>
    </row>
    <row r="824" spans="1:1" customFormat="1" x14ac:dyDescent="0.25">
      <c r="A824" s="5"/>
    </row>
    <row r="825" spans="1:1" customFormat="1" x14ac:dyDescent="0.25">
      <c r="A825" s="5"/>
    </row>
    <row r="826" spans="1:1" customFormat="1" x14ac:dyDescent="0.25">
      <c r="A826" s="5"/>
    </row>
    <row r="827" spans="1:1" customFormat="1" x14ac:dyDescent="0.25">
      <c r="A827" s="5"/>
    </row>
    <row r="828" spans="1:1" customFormat="1" x14ac:dyDescent="0.25">
      <c r="A828" s="5"/>
    </row>
    <row r="829" spans="1:1" customFormat="1" x14ac:dyDescent="0.25">
      <c r="A829" s="5"/>
    </row>
    <row r="830" spans="1:1" customFormat="1" x14ac:dyDescent="0.25">
      <c r="A830" s="5"/>
    </row>
    <row r="831" spans="1:1" customFormat="1" x14ac:dyDescent="0.25">
      <c r="A831" s="5"/>
    </row>
    <row r="832" spans="1:1" customFormat="1" x14ac:dyDescent="0.25">
      <c r="A832" s="5"/>
    </row>
    <row r="833" spans="1:1" customFormat="1" x14ac:dyDescent="0.25">
      <c r="A833" s="5"/>
    </row>
    <row r="834" spans="1:1" customFormat="1" x14ac:dyDescent="0.25">
      <c r="A834" s="5"/>
    </row>
    <row r="835" spans="1:1" customFormat="1" x14ac:dyDescent="0.25">
      <c r="A835" s="5"/>
    </row>
    <row r="836" spans="1:1" customFormat="1" x14ac:dyDescent="0.25">
      <c r="A836" s="5"/>
    </row>
    <row r="837" spans="1:1" customFormat="1" x14ac:dyDescent="0.25">
      <c r="A837" s="5"/>
    </row>
    <row r="838" spans="1:1" customFormat="1" x14ac:dyDescent="0.25">
      <c r="A838" s="5"/>
    </row>
    <row r="839" spans="1:1" customFormat="1" x14ac:dyDescent="0.25">
      <c r="A839" s="5"/>
    </row>
    <row r="840" spans="1:1" customFormat="1" x14ac:dyDescent="0.25">
      <c r="A840" s="5"/>
    </row>
    <row r="841" spans="1:1" customFormat="1" x14ac:dyDescent="0.25">
      <c r="A841" s="5"/>
    </row>
    <row r="842" spans="1:1" customFormat="1" x14ac:dyDescent="0.25">
      <c r="A842" s="5"/>
    </row>
    <row r="843" spans="1:1" customFormat="1" x14ac:dyDescent="0.25">
      <c r="A843" s="5"/>
    </row>
    <row r="844" spans="1:1" customFormat="1" x14ac:dyDescent="0.25">
      <c r="A844" s="5"/>
    </row>
    <row r="845" spans="1:1" customFormat="1" x14ac:dyDescent="0.25">
      <c r="A845" s="5"/>
    </row>
    <row r="846" spans="1:1" customFormat="1" x14ac:dyDescent="0.25">
      <c r="A846" s="5"/>
    </row>
    <row r="847" spans="1:1" customFormat="1" x14ac:dyDescent="0.25">
      <c r="A847" s="5"/>
    </row>
    <row r="848" spans="1:1" customFormat="1" x14ac:dyDescent="0.25">
      <c r="A848" s="5"/>
    </row>
    <row r="849" spans="1:1" customFormat="1" x14ac:dyDescent="0.25">
      <c r="A849" s="5"/>
    </row>
    <row r="850" spans="1:1" customFormat="1" x14ac:dyDescent="0.25">
      <c r="A850" s="5"/>
    </row>
    <row r="851" spans="1:1" customFormat="1" x14ac:dyDescent="0.25">
      <c r="A851" s="5"/>
    </row>
    <row r="852" spans="1:1" customFormat="1" x14ac:dyDescent="0.25">
      <c r="A852" s="5"/>
    </row>
    <row r="853" spans="1:1" customFormat="1" x14ac:dyDescent="0.25">
      <c r="A853" s="5"/>
    </row>
    <row r="854" spans="1:1" customFormat="1" x14ac:dyDescent="0.25">
      <c r="A854" s="5"/>
    </row>
    <row r="855" spans="1:1" customFormat="1" x14ac:dyDescent="0.25">
      <c r="A855" s="5"/>
    </row>
    <row r="856" spans="1:1" customFormat="1" x14ac:dyDescent="0.25">
      <c r="A856" s="5"/>
    </row>
    <row r="857" spans="1:1" customFormat="1" x14ac:dyDescent="0.25">
      <c r="A857" s="5"/>
    </row>
    <row r="858" spans="1:1" customFormat="1" x14ac:dyDescent="0.25">
      <c r="A858" s="5"/>
    </row>
    <row r="859" spans="1:1" customFormat="1" x14ac:dyDescent="0.25">
      <c r="A859" s="5"/>
    </row>
    <row r="860" spans="1:1" customFormat="1" x14ac:dyDescent="0.25">
      <c r="A860" s="5"/>
    </row>
    <row r="861" spans="1:1" customFormat="1" x14ac:dyDescent="0.25">
      <c r="A861" s="5"/>
    </row>
    <row r="862" spans="1:1" customFormat="1" x14ac:dyDescent="0.25">
      <c r="A862" s="5"/>
    </row>
    <row r="863" spans="1:1" customFormat="1" x14ac:dyDescent="0.25">
      <c r="A863" s="5"/>
    </row>
    <row r="864" spans="1:1" customFormat="1" x14ac:dyDescent="0.25">
      <c r="A864" s="5"/>
    </row>
    <row r="865" spans="1:1" customFormat="1" x14ac:dyDescent="0.25">
      <c r="A865" s="5"/>
    </row>
    <row r="866" spans="1:1" customFormat="1" x14ac:dyDescent="0.25">
      <c r="A866" s="5"/>
    </row>
    <row r="867" spans="1:1" customFormat="1" x14ac:dyDescent="0.25">
      <c r="A867" s="5"/>
    </row>
    <row r="868" spans="1:1" customFormat="1" x14ac:dyDescent="0.25">
      <c r="A868" s="5"/>
    </row>
    <row r="869" spans="1:1" customFormat="1" x14ac:dyDescent="0.25">
      <c r="A869" s="5"/>
    </row>
    <row r="870" spans="1:1" customFormat="1" x14ac:dyDescent="0.25">
      <c r="A870" s="5"/>
    </row>
    <row r="871" spans="1:1" customFormat="1" x14ac:dyDescent="0.25">
      <c r="A871" s="5"/>
    </row>
    <row r="872" spans="1:1" customFormat="1" x14ac:dyDescent="0.25">
      <c r="A872" s="5"/>
    </row>
    <row r="873" spans="1:1" customFormat="1" x14ac:dyDescent="0.25">
      <c r="A873" s="5"/>
    </row>
    <row r="874" spans="1:1" customFormat="1" x14ac:dyDescent="0.25">
      <c r="A874" s="5"/>
    </row>
    <row r="875" spans="1:1" customFormat="1" x14ac:dyDescent="0.25">
      <c r="A875" s="5"/>
    </row>
    <row r="876" spans="1:1" customFormat="1" x14ac:dyDescent="0.25">
      <c r="A876" s="5"/>
    </row>
    <row r="877" spans="1:1" customFormat="1" x14ac:dyDescent="0.25">
      <c r="A877" s="5"/>
    </row>
    <row r="878" spans="1:1" customFormat="1" x14ac:dyDescent="0.25">
      <c r="A878" s="5"/>
    </row>
    <row r="879" spans="1:1" customFormat="1" x14ac:dyDescent="0.25">
      <c r="A879" s="5"/>
    </row>
    <row r="880" spans="1:1" customFormat="1" x14ac:dyDescent="0.25">
      <c r="A880" s="5"/>
    </row>
    <row r="881" spans="1:1" customFormat="1" x14ac:dyDescent="0.25">
      <c r="A881" s="5"/>
    </row>
    <row r="882" spans="1:1" customFormat="1" x14ac:dyDescent="0.25">
      <c r="A882" s="5"/>
    </row>
    <row r="883" spans="1:1" customFormat="1" x14ac:dyDescent="0.25">
      <c r="A883" s="5"/>
    </row>
    <row r="884" spans="1:1" customFormat="1" x14ac:dyDescent="0.25">
      <c r="A884" s="5"/>
    </row>
    <row r="885" spans="1:1" customFormat="1" x14ac:dyDescent="0.25">
      <c r="A885" s="5"/>
    </row>
    <row r="886" spans="1:1" customFormat="1" x14ac:dyDescent="0.25">
      <c r="A886" s="5"/>
    </row>
    <row r="887" spans="1:1" customFormat="1" x14ac:dyDescent="0.25">
      <c r="A887" s="5"/>
    </row>
    <row r="888" spans="1:1" customFormat="1" x14ac:dyDescent="0.25">
      <c r="A888" s="5"/>
    </row>
    <row r="889" spans="1:1" customFormat="1" x14ac:dyDescent="0.25">
      <c r="A889" s="5"/>
    </row>
    <row r="890" spans="1:1" customFormat="1" x14ac:dyDescent="0.25">
      <c r="A890" s="5"/>
    </row>
    <row r="891" spans="1:1" customFormat="1" x14ac:dyDescent="0.25">
      <c r="A891" s="5"/>
    </row>
    <row r="892" spans="1:1" customFormat="1" x14ac:dyDescent="0.25">
      <c r="A892" s="5"/>
    </row>
    <row r="893" spans="1:1" customFormat="1" x14ac:dyDescent="0.25">
      <c r="A893" s="5"/>
    </row>
    <row r="894" spans="1:1" customFormat="1" x14ac:dyDescent="0.25">
      <c r="A894" s="5"/>
    </row>
    <row r="895" spans="1:1" customFormat="1" x14ac:dyDescent="0.25">
      <c r="A895" s="5"/>
    </row>
    <row r="896" spans="1:1" customFormat="1" x14ac:dyDescent="0.25">
      <c r="A896" s="5"/>
    </row>
    <row r="897" spans="1:1" customFormat="1" x14ac:dyDescent="0.25">
      <c r="A897" s="5"/>
    </row>
    <row r="898" spans="1:1" customFormat="1" x14ac:dyDescent="0.25">
      <c r="A898" s="5"/>
    </row>
    <row r="899" spans="1:1" customFormat="1" x14ac:dyDescent="0.25">
      <c r="A899" s="5"/>
    </row>
    <row r="900" spans="1:1" customFormat="1" x14ac:dyDescent="0.25">
      <c r="A900" s="5"/>
    </row>
    <row r="901" spans="1:1" customFormat="1" x14ac:dyDescent="0.25">
      <c r="A901" s="5"/>
    </row>
    <row r="902" spans="1:1" customFormat="1" x14ac:dyDescent="0.25">
      <c r="A902" s="5"/>
    </row>
    <row r="903" spans="1:1" customFormat="1" x14ac:dyDescent="0.25">
      <c r="A903" s="5"/>
    </row>
    <row r="904" spans="1:1" customFormat="1" x14ac:dyDescent="0.25">
      <c r="A904" s="5"/>
    </row>
    <row r="905" spans="1:1" customFormat="1" x14ac:dyDescent="0.25">
      <c r="A905" s="5"/>
    </row>
    <row r="906" spans="1:1" customFormat="1" x14ac:dyDescent="0.25">
      <c r="A906" s="5"/>
    </row>
    <row r="907" spans="1:1" customFormat="1" x14ac:dyDescent="0.25">
      <c r="A907" s="5"/>
    </row>
    <row r="908" spans="1:1" customFormat="1" x14ac:dyDescent="0.25">
      <c r="A908" s="5"/>
    </row>
    <row r="909" spans="1:1" customFormat="1" x14ac:dyDescent="0.25">
      <c r="A909" s="5"/>
    </row>
    <row r="910" spans="1:1" customFormat="1" x14ac:dyDescent="0.25">
      <c r="A910" s="5"/>
    </row>
    <row r="911" spans="1:1" customFormat="1" x14ac:dyDescent="0.25">
      <c r="A911" s="5"/>
    </row>
    <row r="912" spans="1:1" customFormat="1" x14ac:dyDescent="0.25">
      <c r="A912" s="5"/>
    </row>
    <row r="913" spans="1:1" customFormat="1" x14ac:dyDescent="0.25">
      <c r="A913" s="5"/>
    </row>
    <row r="914" spans="1:1" customFormat="1" x14ac:dyDescent="0.25">
      <c r="A914" s="5"/>
    </row>
    <row r="915" spans="1:1" customFormat="1" x14ac:dyDescent="0.25">
      <c r="A915" s="5"/>
    </row>
    <row r="916" spans="1:1" customFormat="1" x14ac:dyDescent="0.25">
      <c r="A916" s="5"/>
    </row>
    <row r="917" spans="1:1" customFormat="1" x14ac:dyDescent="0.25">
      <c r="A917" s="5"/>
    </row>
    <row r="918" spans="1:1" customFormat="1" x14ac:dyDescent="0.25">
      <c r="A918" s="5"/>
    </row>
    <row r="919" spans="1:1" customFormat="1" x14ac:dyDescent="0.25">
      <c r="A919" s="5"/>
    </row>
    <row r="920" spans="1:1" customFormat="1" x14ac:dyDescent="0.25">
      <c r="A920" s="5"/>
    </row>
    <row r="921" spans="1:1" customFormat="1" x14ac:dyDescent="0.25">
      <c r="A921" s="5"/>
    </row>
    <row r="922" spans="1:1" customFormat="1" x14ac:dyDescent="0.25">
      <c r="A922" s="5"/>
    </row>
    <row r="923" spans="1:1" customFormat="1" x14ac:dyDescent="0.25">
      <c r="A923" s="5"/>
    </row>
    <row r="924" spans="1:1" customFormat="1" x14ac:dyDescent="0.25">
      <c r="A924" s="5"/>
    </row>
    <row r="925" spans="1:1" customFormat="1" x14ac:dyDescent="0.25">
      <c r="A925" s="5"/>
    </row>
    <row r="926" spans="1:1" customFormat="1" x14ac:dyDescent="0.25">
      <c r="A926" s="5"/>
    </row>
    <row r="927" spans="1:1" customFormat="1" x14ac:dyDescent="0.25">
      <c r="A927" s="5"/>
    </row>
    <row r="928" spans="1:1" customFormat="1" x14ac:dyDescent="0.25">
      <c r="A928" s="5"/>
    </row>
    <row r="929" spans="1:1" customFormat="1" x14ac:dyDescent="0.25">
      <c r="A929" s="5"/>
    </row>
    <row r="930" spans="1:1" customFormat="1" x14ac:dyDescent="0.25">
      <c r="A930" s="5"/>
    </row>
    <row r="931" spans="1:1" customFormat="1" x14ac:dyDescent="0.25">
      <c r="A931" s="5"/>
    </row>
    <row r="932" spans="1:1" customFormat="1" x14ac:dyDescent="0.25">
      <c r="A932" s="5"/>
    </row>
    <row r="933" spans="1:1" customFormat="1" x14ac:dyDescent="0.25">
      <c r="A933" s="5"/>
    </row>
    <row r="934" spans="1:1" customFormat="1" x14ac:dyDescent="0.25">
      <c r="A934" s="5"/>
    </row>
    <row r="935" spans="1:1" customFormat="1" x14ac:dyDescent="0.25">
      <c r="A935" s="5"/>
    </row>
    <row r="936" spans="1:1" customFormat="1" x14ac:dyDescent="0.25">
      <c r="A936" s="5"/>
    </row>
    <row r="937" spans="1:1" customFormat="1" x14ac:dyDescent="0.25">
      <c r="A937" s="5"/>
    </row>
    <row r="938" spans="1:1" customFormat="1" x14ac:dyDescent="0.25">
      <c r="A938" s="5"/>
    </row>
    <row r="939" spans="1:1" customFormat="1" x14ac:dyDescent="0.25">
      <c r="A939" s="5"/>
    </row>
    <row r="940" spans="1:1" customFormat="1" x14ac:dyDescent="0.25">
      <c r="A940" s="5"/>
    </row>
    <row r="941" spans="1:1" customFormat="1" x14ac:dyDescent="0.25">
      <c r="A941" s="5"/>
    </row>
    <row r="942" spans="1:1" customFormat="1" x14ac:dyDescent="0.25">
      <c r="A942" s="5"/>
    </row>
    <row r="943" spans="1:1" customFormat="1" x14ac:dyDescent="0.25">
      <c r="A943" s="5"/>
    </row>
    <row r="944" spans="1:1" customFormat="1" x14ac:dyDescent="0.25">
      <c r="A944" s="5"/>
    </row>
    <row r="945" spans="1:1" customFormat="1" x14ac:dyDescent="0.25">
      <c r="A945" s="5"/>
    </row>
    <row r="946" spans="1:1" customFormat="1" x14ac:dyDescent="0.25">
      <c r="A946" s="5"/>
    </row>
    <row r="947" spans="1:1" customFormat="1" x14ac:dyDescent="0.25">
      <c r="A947" s="5"/>
    </row>
    <row r="948" spans="1:1" customFormat="1" x14ac:dyDescent="0.25">
      <c r="A948" s="5"/>
    </row>
    <row r="949" spans="1:1" customFormat="1" x14ac:dyDescent="0.25">
      <c r="A949" s="5"/>
    </row>
    <row r="950" spans="1:1" customFormat="1" x14ac:dyDescent="0.25">
      <c r="A950" s="5"/>
    </row>
    <row r="951" spans="1:1" customFormat="1" x14ac:dyDescent="0.25">
      <c r="A951" s="5"/>
    </row>
    <row r="952" spans="1:1" customFormat="1" x14ac:dyDescent="0.25">
      <c r="A952" s="5"/>
    </row>
    <row r="953" spans="1:1" customFormat="1" x14ac:dyDescent="0.25">
      <c r="A953" s="5"/>
    </row>
    <row r="954" spans="1:1" customFormat="1" x14ac:dyDescent="0.25">
      <c r="A954" s="5"/>
    </row>
    <row r="955" spans="1:1" customFormat="1" x14ac:dyDescent="0.25">
      <c r="A955" s="5"/>
    </row>
    <row r="956" spans="1:1" customFormat="1" x14ac:dyDescent="0.25">
      <c r="A956" s="5"/>
    </row>
    <row r="957" spans="1:1" customFormat="1" x14ac:dyDescent="0.25">
      <c r="A957" s="5"/>
    </row>
    <row r="958" spans="1:1" customFormat="1" x14ac:dyDescent="0.25">
      <c r="A958" s="5"/>
    </row>
    <row r="959" spans="1:1" customFormat="1" x14ac:dyDescent="0.25">
      <c r="A959" s="5"/>
    </row>
    <row r="960" spans="1:1" customFormat="1" x14ac:dyDescent="0.25">
      <c r="A960" s="5"/>
    </row>
    <row r="961" spans="1:1" customFormat="1" x14ac:dyDescent="0.25">
      <c r="A961" s="5"/>
    </row>
    <row r="962" spans="1:1" customFormat="1" x14ac:dyDescent="0.25">
      <c r="A962" s="5"/>
    </row>
    <row r="963" spans="1:1" customFormat="1" x14ac:dyDescent="0.25">
      <c r="A963" s="5"/>
    </row>
    <row r="964" spans="1:1" customFormat="1" x14ac:dyDescent="0.25">
      <c r="A964" s="5"/>
    </row>
    <row r="965" spans="1:1" customFormat="1" x14ac:dyDescent="0.25">
      <c r="A965" s="5"/>
    </row>
    <row r="966" spans="1:1" customFormat="1" x14ac:dyDescent="0.25">
      <c r="A966" s="5"/>
    </row>
    <row r="967" spans="1:1" customFormat="1" x14ac:dyDescent="0.25">
      <c r="A967" s="5"/>
    </row>
    <row r="968" spans="1:1" customFormat="1" x14ac:dyDescent="0.25">
      <c r="A968" s="5"/>
    </row>
    <row r="969" spans="1:1" customFormat="1" x14ac:dyDescent="0.25">
      <c r="A969" s="5"/>
    </row>
    <row r="970" spans="1:1" customFormat="1" x14ac:dyDescent="0.25">
      <c r="A970" s="5"/>
    </row>
    <row r="971" spans="1:1" customFormat="1" x14ac:dyDescent="0.25">
      <c r="A971" s="5"/>
    </row>
    <row r="972" spans="1:1" customFormat="1" x14ac:dyDescent="0.25">
      <c r="A972" s="5"/>
    </row>
    <row r="973" spans="1:1" customFormat="1" x14ac:dyDescent="0.25">
      <c r="A973" s="5"/>
    </row>
    <row r="974" spans="1:1" customFormat="1" x14ac:dyDescent="0.25">
      <c r="A974" s="5"/>
    </row>
    <row r="975" spans="1:1" customFormat="1" x14ac:dyDescent="0.25">
      <c r="A975" s="5"/>
    </row>
    <row r="976" spans="1:1" customFormat="1" x14ac:dyDescent="0.25">
      <c r="A976" s="5"/>
    </row>
    <row r="977" spans="1:1" customFormat="1" x14ac:dyDescent="0.25">
      <c r="A977" s="5"/>
    </row>
    <row r="978" spans="1:1" customFormat="1" x14ac:dyDescent="0.25">
      <c r="A978" s="5"/>
    </row>
    <row r="979" spans="1:1" customFormat="1" x14ac:dyDescent="0.25">
      <c r="A979" s="5"/>
    </row>
    <row r="980" spans="1:1" customFormat="1" x14ac:dyDescent="0.25">
      <c r="A980" s="5"/>
    </row>
    <row r="981" spans="1:1" customFormat="1" x14ac:dyDescent="0.25">
      <c r="A981" s="5"/>
    </row>
    <row r="982" spans="1:1" customFormat="1" x14ac:dyDescent="0.25">
      <c r="A982" s="5"/>
    </row>
    <row r="983" spans="1:1" customFormat="1" x14ac:dyDescent="0.25">
      <c r="A983" s="5"/>
    </row>
    <row r="984" spans="1:1" customFormat="1" x14ac:dyDescent="0.25">
      <c r="A984" s="5"/>
    </row>
    <row r="985" spans="1:1" customFormat="1" x14ac:dyDescent="0.25">
      <c r="A985" s="5"/>
    </row>
    <row r="986" spans="1:1" customFormat="1" x14ac:dyDescent="0.25">
      <c r="A986" s="5"/>
    </row>
    <row r="987" spans="1:1" customFormat="1" x14ac:dyDescent="0.25">
      <c r="A987" s="5"/>
    </row>
    <row r="988" spans="1:1" customFormat="1" x14ac:dyDescent="0.25">
      <c r="A988" s="5"/>
    </row>
    <row r="989" spans="1:1" customFormat="1" x14ac:dyDescent="0.25">
      <c r="A989" s="5"/>
    </row>
    <row r="990" spans="1:1" customFormat="1" x14ac:dyDescent="0.25">
      <c r="A990" s="5"/>
    </row>
    <row r="991" spans="1:1" customFormat="1" x14ac:dyDescent="0.25">
      <c r="A991" s="5"/>
    </row>
    <row r="992" spans="1:1" customFormat="1" x14ac:dyDescent="0.25">
      <c r="A992" s="5"/>
    </row>
    <row r="993" spans="1:1" customFormat="1" x14ac:dyDescent="0.25">
      <c r="A993" s="5"/>
    </row>
    <row r="994" spans="1:1" customFormat="1" x14ac:dyDescent="0.25">
      <c r="A994" s="5"/>
    </row>
    <row r="995" spans="1:1" customFormat="1" x14ac:dyDescent="0.25">
      <c r="A995" s="5"/>
    </row>
    <row r="996" spans="1:1" customFormat="1" x14ac:dyDescent="0.25">
      <c r="A996" s="5"/>
    </row>
    <row r="997" spans="1:1" customFormat="1" x14ac:dyDescent="0.25">
      <c r="A997" s="5"/>
    </row>
    <row r="998" spans="1:1" customFormat="1" x14ac:dyDescent="0.25">
      <c r="A998" s="5"/>
    </row>
    <row r="999" spans="1:1" customFormat="1" x14ac:dyDescent="0.25">
      <c r="A999" s="5"/>
    </row>
    <row r="1000" spans="1:1" customFormat="1" x14ac:dyDescent="0.25">
      <c r="A1000" s="5"/>
    </row>
    <row r="1001" spans="1:1" customFormat="1" x14ac:dyDescent="0.25">
      <c r="A1001" s="5"/>
    </row>
    <row r="1002" spans="1:1" customFormat="1" x14ac:dyDescent="0.25">
      <c r="A1002" s="5"/>
    </row>
    <row r="1003" spans="1:1" customFormat="1" x14ac:dyDescent="0.25">
      <c r="A1003" s="5"/>
    </row>
    <row r="1004" spans="1:1" customFormat="1" x14ac:dyDescent="0.25">
      <c r="A1004" s="5"/>
    </row>
    <row r="1005" spans="1:1" customFormat="1" x14ac:dyDescent="0.25">
      <c r="A1005" s="5"/>
    </row>
    <row r="1006" spans="1:1" customFormat="1" x14ac:dyDescent="0.25">
      <c r="A1006" s="5"/>
    </row>
    <row r="1007" spans="1:1" customFormat="1" x14ac:dyDescent="0.25">
      <c r="A1007" s="5"/>
    </row>
    <row r="1008" spans="1:1" customFormat="1" x14ac:dyDescent="0.25">
      <c r="A1008" s="5"/>
    </row>
    <row r="1009" spans="1:1" customFormat="1" x14ac:dyDescent="0.25">
      <c r="A1009" s="5"/>
    </row>
    <row r="1010" spans="1:1" customFormat="1" x14ac:dyDescent="0.25">
      <c r="A1010" s="5"/>
    </row>
    <row r="1011" spans="1:1" customFormat="1" x14ac:dyDescent="0.25">
      <c r="A1011" s="5"/>
    </row>
    <row r="1012" spans="1:1" customFormat="1" x14ac:dyDescent="0.25">
      <c r="A1012" s="5"/>
    </row>
    <row r="1013" spans="1:1" customFormat="1" x14ac:dyDescent="0.25">
      <c r="A1013" s="5"/>
    </row>
    <row r="1014" spans="1:1" customFormat="1" x14ac:dyDescent="0.25">
      <c r="A1014" s="5"/>
    </row>
    <row r="1015" spans="1:1" customFormat="1" x14ac:dyDescent="0.25">
      <c r="A1015" s="5"/>
    </row>
    <row r="1016" spans="1:1" customFormat="1" x14ac:dyDescent="0.25">
      <c r="A1016" s="5"/>
    </row>
    <row r="1017" spans="1:1" customFormat="1" x14ac:dyDescent="0.25">
      <c r="A1017" s="5"/>
    </row>
    <row r="1018" spans="1:1" customFormat="1" x14ac:dyDescent="0.25">
      <c r="A1018" s="5"/>
    </row>
    <row r="1019" spans="1:1" customFormat="1" x14ac:dyDescent="0.25">
      <c r="A1019" s="5"/>
    </row>
    <row r="1020" spans="1:1" customFormat="1" x14ac:dyDescent="0.25">
      <c r="A1020" s="5"/>
    </row>
    <row r="1021" spans="1:1" customFormat="1" x14ac:dyDescent="0.25">
      <c r="A1021" s="5"/>
    </row>
    <row r="1022" spans="1:1" customFormat="1" x14ac:dyDescent="0.25">
      <c r="A1022" s="5"/>
    </row>
    <row r="1023" spans="1:1" customFormat="1" x14ac:dyDescent="0.25">
      <c r="A1023" s="5"/>
    </row>
    <row r="1024" spans="1:1" customFormat="1" x14ac:dyDescent="0.25">
      <c r="A1024" s="5"/>
    </row>
    <row r="1025" spans="1:1" customFormat="1" x14ac:dyDescent="0.25">
      <c r="A1025" s="5"/>
    </row>
    <row r="1026" spans="1:1" customFormat="1" x14ac:dyDescent="0.25">
      <c r="A1026" s="5"/>
    </row>
    <row r="1027" spans="1:1" customFormat="1" x14ac:dyDescent="0.25">
      <c r="A1027" s="5"/>
    </row>
    <row r="1028" spans="1:1" customFormat="1" x14ac:dyDescent="0.25">
      <c r="A1028" s="5"/>
    </row>
    <row r="1029" spans="1:1" customFormat="1" x14ac:dyDescent="0.25">
      <c r="A1029" s="5"/>
    </row>
    <row r="1030" spans="1:1" customFormat="1" x14ac:dyDescent="0.25">
      <c r="A1030" s="5"/>
    </row>
    <row r="1031" spans="1:1" customFormat="1" x14ac:dyDescent="0.25">
      <c r="A1031" s="5"/>
    </row>
    <row r="1032" spans="1:1" customFormat="1" x14ac:dyDescent="0.25">
      <c r="A1032" s="5"/>
    </row>
    <row r="1033" spans="1:1" customFormat="1" x14ac:dyDescent="0.25">
      <c r="A1033" s="5"/>
    </row>
    <row r="1034" spans="1:1" customFormat="1" x14ac:dyDescent="0.25">
      <c r="A1034" s="5"/>
    </row>
    <row r="1035" spans="1:1" customFormat="1" x14ac:dyDescent="0.25">
      <c r="A1035" s="5"/>
    </row>
    <row r="1036" spans="1:1" customFormat="1" x14ac:dyDescent="0.25">
      <c r="A1036" s="5"/>
    </row>
    <row r="1037" spans="1:1" customFormat="1" x14ac:dyDescent="0.25">
      <c r="A1037" s="5"/>
    </row>
    <row r="1038" spans="1:1" customFormat="1" x14ac:dyDescent="0.25">
      <c r="A1038" s="5"/>
    </row>
    <row r="1039" spans="1:1" customFormat="1" x14ac:dyDescent="0.25">
      <c r="A1039" s="5"/>
    </row>
    <row r="1040" spans="1:1" customFormat="1" x14ac:dyDescent="0.25">
      <c r="A1040" s="5"/>
    </row>
    <row r="1041" spans="1:1" customFormat="1" x14ac:dyDescent="0.25">
      <c r="A1041" s="5"/>
    </row>
    <row r="1042" spans="1:1" customFormat="1" x14ac:dyDescent="0.25">
      <c r="A1042" s="5"/>
    </row>
    <row r="1043" spans="1:1" customFormat="1" x14ac:dyDescent="0.25">
      <c r="A1043" s="5"/>
    </row>
    <row r="1044" spans="1:1" customFormat="1" x14ac:dyDescent="0.25">
      <c r="A1044" s="5"/>
    </row>
    <row r="1045" spans="1:1" customFormat="1" x14ac:dyDescent="0.25">
      <c r="A1045" s="5"/>
    </row>
    <row r="1046" spans="1:1" customFormat="1" x14ac:dyDescent="0.25">
      <c r="A1046" s="5"/>
    </row>
    <row r="1047" spans="1:1" customFormat="1" x14ac:dyDescent="0.25">
      <c r="A1047" s="5"/>
    </row>
    <row r="1048" spans="1:1" customFormat="1" x14ac:dyDescent="0.25">
      <c r="A1048" s="5"/>
    </row>
    <row r="1049" spans="1:1" customFormat="1" x14ac:dyDescent="0.25">
      <c r="A1049" s="5"/>
    </row>
    <row r="1050" spans="1:1" customFormat="1" x14ac:dyDescent="0.25">
      <c r="A1050" s="5"/>
    </row>
    <row r="1051" spans="1:1" customFormat="1" x14ac:dyDescent="0.25">
      <c r="A1051" s="5"/>
    </row>
    <row r="1052" spans="1:1" customFormat="1" x14ac:dyDescent="0.25">
      <c r="A1052" s="5"/>
    </row>
    <row r="1053" spans="1:1" customFormat="1" x14ac:dyDescent="0.25">
      <c r="A1053" s="5"/>
    </row>
    <row r="1054" spans="1:1" customFormat="1" x14ac:dyDescent="0.25">
      <c r="A1054" s="5"/>
    </row>
    <row r="1055" spans="1:1" customFormat="1" x14ac:dyDescent="0.25">
      <c r="A1055" s="5"/>
    </row>
    <row r="1056" spans="1:1" customFormat="1" x14ac:dyDescent="0.25">
      <c r="A1056" s="5"/>
    </row>
    <row r="1057" spans="1:1" customFormat="1" x14ac:dyDescent="0.25">
      <c r="A1057" s="5"/>
    </row>
    <row r="1058" spans="1:1" customFormat="1" x14ac:dyDescent="0.25">
      <c r="A1058" s="5"/>
    </row>
    <row r="1059" spans="1:1" customFormat="1" x14ac:dyDescent="0.25">
      <c r="A1059" s="5"/>
    </row>
    <row r="1060" spans="1:1" customFormat="1" x14ac:dyDescent="0.25">
      <c r="A1060" s="5"/>
    </row>
    <row r="1061" spans="1:1" customFormat="1" x14ac:dyDescent="0.25">
      <c r="A1061" s="5"/>
    </row>
    <row r="1062" spans="1:1" customFormat="1" x14ac:dyDescent="0.25">
      <c r="A1062" s="5"/>
    </row>
    <row r="1063" spans="1:1" customFormat="1" x14ac:dyDescent="0.25">
      <c r="A1063" s="5"/>
    </row>
    <row r="1064" spans="1:1" customFormat="1" x14ac:dyDescent="0.25">
      <c r="A1064" s="5"/>
    </row>
    <row r="1065" spans="1:1" customFormat="1" x14ac:dyDescent="0.25">
      <c r="A1065" s="5"/>
    </row>
    <row r="1066" spans="1:1" customFormat="1" x14ac:dyDescent="0.25">
      <c r="A1066" s="5"/>
    </row>
    <row r="1067" spans="1:1" customFormat="1" x14ac:dyDescent="0.25">
      <c r="A1067" s="5"/>
    </row>
    <row r="1068" spans="1:1" customFormat="1" x14ac:dyDescent="0.25">
      <c r="A1068" s="5"/>
    </row>
    <row r="1069" spans="1:1" customFormat="1" x14ac:dyDescent="0.25">
      <c r="A1069" s="5"/>
    </row>
    <row r="1070" spans="1:1" customFormat="1" x14ac:dyDescent="0.25">
      <c r="A1070" s="5"/>
    </row>
    <row r="1071" spans="1:1" customFormat="1" x14ac:dyDescent="0.25">
      <c r="A1071" s="5"/>
    </row>
    <row r="1072" spans="1:1" customFormat="1" x14ac:dyDescent="0.25">
      <c r="A1072" s="5"/>
    </row>
    <row r="1073" spans="1:1" customFormat="1" x14ac:dyDescent="0.25">
      <c r="A1073" s="5"/>
    </row>
    <row r="1074" spans="1:1" customFormat="1" x14ac:dyDescent="0.25">
      <c r="A1074" s="5"/>
    </row>
    <row r="1075" spans="1:1" customFormat="1" x14ac:dyDescent="0.25">
      <c r="A1075" s="5"/>
    </row>
    <row r="1076" spans="1:1" customFormat="1" x14ac:dyDescent="0.25">
      <c r="A1076" s="5"/>
    </row>
    <row r="1077" spans="1:1" customFormat="1" x14ac:dyDescent="0.25">
      <c r="A1077" s="5"/>
    </row>
    <row r="1078" spans="1:1" customFormat="1" x14ac:dyDescent="0.25">
      <c r="A1078" s="5"/>
    </row>
    <row r="1079" spans="1:1" customFormat="1" x14ac:dyDescent="0.25">
      <c r="A1079" s="5"/>
    </row>
    <row r="1080" spans="1:1" customFormat="1" x14ac:dyDescent="0.25">
      <c r="A1080" s="5"/>
    </row>
    <row r="1081" spans="1:1" customFormat="1" x14ac:dyDescent="0.25">
      <c r="A1081" s="5"/>
    </row>
    <row r="1082" spans="1:1" customFormat="1" x14ac:dyDescent="0.25">
      <c r="A1082" s="5"/>
    </row>
    <row r="1083" spans="1:1" customFormat="1" x14ac:dyDescent="0.25">
      <c r="A1083" s="5"/>
    </row>
    <row r="1084" spans="1:1" customFormat="1" x14ac:dyDescent="0.25">
      <c r="A1084" s="5"/>
    </row>
    <row r="1085" spans="1:1" customFormat="1" x14ac:dyDescent="0.25">
      <c r="A1085" s="5"/>
    </row>
    <row r="1086" spans="1:1" customFormat="1" x14ac:dyDescent="0.25">
      <c r="A1086" s="5"/>
    </row>
    <row r="1087" spans="1:1" customFormat="1" x14ac:dyDescent="0.25">
      <c r="A1087" s="5"/>
    </row>
    <row r="1088" spans="1:1" customFormat="1" x14ac:dyDescent="0.25">
      <c r="A1088" s="5"/>
    </row>
    <row r="1089" spans="1:1" customFormat="1" x14ac:dyDescent="0.25">
      <c r="A1089" s="5"/>
    </row>
    <row r="1090" spans="1:1" customFormat="1" x14ac:dyDescent="0.25">
      <c r="A1090" s="5"/>
    </row>
    <row r="1091" spans="1:1" customFormat="1" x14ac:dyDescent="0.25">
      <c r="A1091" s="5"/>
    </row>
    <row r="1092" spans="1:1" customFormat="1" x14ac:dyDescent="0.25">
      <c r="A1092" s="5"/>
    </row>
    <row r="1093" spans="1:1" customFormat="1" x14ac:dyDescent="0.25">
      <c r="A1093" s="5"/>
    </row>
    <row r="1094" spans="1:1" customFormat="1" x14ac:dyDescent="0.25">
      <c r="A1094" s="5"/>
    </row>
    <row r="1095" spans="1:1" customFormat="1" x14ac:dyDescent="0.25">
      <c r="A1095" s="5"/>
    </row>
    <row r="1096" spans="1:1" customFormat="1" x14ac:dyDescent="0.25">
      <c r="A1096" s="5"/>
    </row>
    <row r="1097" spans="1:1" customFormat="1" x14ac:dyDescent="0.25">
      <c r="A1097" s="5"/>
    </row>
    <row r="1098" spans="1:1" customFormat="1" x14ac:dyDescent="0.25">
      <c r="A1098" s="5"/>
    </row>
    <row r="1099" spans="1:1" customFormat="1" x14ac:dyDescent="0.25">
      <c r="A1099" s="5"/>
    </row>
    <row r="1100" spans="1:1" customFormat="1" x14ac:dyDescent="0.25">
      <c r="A1100" s="5"/>
    </row>
    <row r="1101" spans="1:1" customFormat="1" x14ac:dyDescent="0.25">
      <c r="A1101" s="5"/>
    </row>
    <row r="1102" spans="1:1" customFormat="1" x14ac:dyDescent="0.25">
      <c r="A1102" s="5"/>
    </row>
    <row r="1103" spans="1:1" customFormat="1" x14ac:dyDescent="0.25">
      <c r="A1103" s="5"/>
    </row>
    <row r="1104" spans="1:1" customFormat="1" x14ac:dyDescent="0.25">
      <c r="A1104" s="5"/>
    </row>
    <row r="1105" spans="1:1" customFormat="1" x14ac:dyDescent="0.25">
      <c r="A1105" s="5"/>
    </row>
    <row r="1106" spans="1:1" customFormat="1" x14ac:dyDescent="0.25">
      <c r="A1106" s="5"/>
    </row>
    <row r="1107" spans="1:1" customFormat="1" x14ac:dyDescent="0.25">
      <c r="A1107" s="5"/>
    </row>
    <row r="1108" spans="1:1" customFormat="1" x14ac:dyDescent="0.25">
      <c r="A1108" s="5"/>
    </row>
    <row r="1109" spans="1:1" customFormat="1" x14ac:dyDescent="0.25">
      <c r="A1109" s="5"/>
    </row>
    <row r="1110" spans="1:1" customFormat="1" x14ac:dyDescent="0.25">
      <c r="A1110" s="5"/>
    </row>
    <row r="1111" spans="1:1" customFormat="1" x14ac:dyDescent="0.25">
      <c r="A1111" s="5"/>
    </row>
    <row r="1112" spans="1:1" customFormat="1" x14ac:dyDescent="0.25">
      <c r="A1112" s="5"/>
    </row>
    <row r="1113" spans="1:1" customFormat="1" x14ac:dyDescent="0.25">
      <c r="A1113" s="5"/>
    </row>
    <row r="1114" spans="1:1" customFormat="1" x14ac:dyDescent="0.25">
      <c r="A1114" s="5"/>
    </row>
    <row r="1115" spans="1:1" customFormat="1" x14ac:dyDescent="0.25">
      <c r="A1115" s="5"/>
    </row>
    <row r="1116" spans="1:1" customFormat="1" x14ac:dyDescent="0.25">
      <c r="A1116" s="5"/>
    </row>
    <row r="1117" spans="1:1" customFormat="1" x14ac:dyDescent="0.25">
      <c r="A1117" s="5"/>
    </row>
    <row r="1118" spans="1:1" customFormat="1" x14ac:dyDescent="0.25">
      <c r="A1118" s="5"/>
    </row>
    <row r="1119" spans="1:1" customFormat="1" x14ac:dyDescent="0.25">
      <c r="A1119" s="5"/>
    </row>
    <row r="1120" spans="1:1" customFormat="1" x14ac:dyDescent="0.25">
      <c r="A1120" s="5"/>
    </row>
    <row r="1121" spans="1:1" customFormat="1" x14ac:dyDescent="0.25">
      <c r="A1121" s="5"/>
    </row>
    <row r="1122" spans="1:1" customFormat="1" x14ac:dyDescent="0.25">
      <c r="A1122" s="5"/>
    </row>
    <row r="1123" spans="1:1" customFormat="1" x14ac:dyDescent="0.25">
      <c r="A1123" s="5"/>
    </row>
    <row r="1124" spans="1:1" customFormat="1" x14ac:dyDescent="0.25">
      <c r="A1124" s="5"/>
    </row>
    <row r="1125" spans="1:1" customFormat="1" x14ac:dyDescent="0.25">
      <c r="A1125" s="5"/>
    </row>
    <row r="1126" spans="1:1" customFormat="1" x14ac:dyDescent="0.25">
      <c r="A1126" s="5"/>
    </row>
    <row r="1127" spans="1:1" customFormat="1" x14ac:dyDescent="0.25">
      <c r="A1127" s="5"/>
    </row>
    <row r="1128" spans="1:1" customFormat="1" x14ac:dyDescent="0.25">
      <c r="A1128" s="5"/>
    </row>
    <row r="1129" spans="1:1" customFormat="1" x14ac:dyDescent="0.25">
      <c r="A1129" s="5"/>
    </row>
    <row r="1130" spans="1:1" customFormat="1" x14ac:dyDescent="0.25">
      <c r="A1130" s="5"/>
    </row>
    <row r="1131" spans="1:1" customFormat="1" x14ac:dyDescent="0.25">
      <c r="A1131" s="5"/>
    </row>
    <row r="1132" spans="1:1" customFormat="1" x14ac:dyDescent="0.25">
      <c r="A1132" s="5"/>
    </row>
    <row r="1133" spans="1:1" customFormat="1" x14ac:dyDescent="0.25">
      <c r="A1133" s="5"/>
    </row>
    <row r="1134" spans="1:1" customFormat="1" x14ac:dyDescent="0.25">
      <c r="A1134" s="5"/>
    </row>
    <row r="1135" spans="1:1" customFormat="1" x14ac:dyDescent="0.25">
      <c r="A1135" s="5"/>
    </row>
    <row r="1136" spans="1:1" customFormat="1" x14ac:dyDescent="0.25">
      <c r="A1136" s="5"/>
    </row>
    <row r="1137" spans="1:1" customFormat="1" x14ac:dyDescent="0.25">
      <c r="A1137" s="5"/>
    </row>
    <row r="1138" spans="1:1" customFormat="1" x14ac:dyDescent="0.25">
      <c r="A1138" s="5"/>
    </row>
    <row r="1139" spans="1:1" customFormat="1" x14ac:dyDescent="0.25">
      <c r="A1139" s="5"/>
    </row>
    <row r="1140" spans="1:1" customFormat="1" x14ac:dyDescent="0.25">
      <c r="A1140" s="5"/>
    </row>
    <row r="1141" spans="1:1" customFormat="1" x14ac:dyDescent="0.25">
      <c r="A1141" s="5"/>
    </row>
    <row r="1142" spans="1:1" customFormat="1" x14ac:dyDescent="0.25">
      <c r="A1142" s="5"/>
    </row>
    <row r="1143" spans="1:1" customFormat="1" x14ac:dyDescent="0.25">
      <c r="A1143" s="5"/>
    </row>
    <row r="1144" spans="1:1" customFormat="1" x14ac:dyDescent="0.25">
      <c r="A1144" s="5"/>
    </row>
    <row r="1145" spans="1:1" customFormat="1" x14ac:dyDescent="0.25">
      <c r="A1145" s="5"/>
    </row>
    <row r="1146" spans="1:1" customFormat="1" x14ac:dyDescent="0.25">
      <c r="A1146" s="5"/>
    </row>
    <row r="1147" spans="1:1" customFormat="1" x14ac:dyDescent="0.25">
      <c r="A1147" s="5"/>
    </row>
    <row r="1148" spans="1:1" customFormat="1" x14ac:dyDescent="0.25">
      <c r="A1148" s="5"/>
    </row>
    <row r="1149" spans="1:1" customFormat="1" x14ac:dyDescent="0.25">
      <c r="A1149" s="5"/>
    </row>
    <row r="1150" spans="1:1" customFormat="1" x14ac:dyDescent="0.25">
      <c r="A1150" s="5"/>
    </row>
    <row r="1151" spans="1:1" customFormat="1" x14ac:dyDescent="0.25">
      <c r="A1151" s="5"/>
    </row>
    <row r="1152" spans="1:1" customFormat="1" x14ac:dyDescent="0.25">
      <c r="A1152" s="5"/>
    </row>
    <row r="1153" spans="1:1" customFormat="1" x14ac:dyDescent="0.25">
      <c r="A1153" s="5"/>
    </row>
    <row r="1154" spans="1:1" customFormat="1" x14ac:dyDescent="0.25">
      <c r="A1154" s="5"/>
    </row>
    <row r="1155" spans="1:1" customFormat="1" x14ac:dyDescent="0.25">
      <c r="A1155" s="5"/>
    </row>
    <row r="1156" spans="1:1" customFormat="1" x14ac:dyDescent="0.25">
      <c r="A1156" s="5"/>
    </row>
    <row r="1157" spans="1:1" customFormat="1" x14ac:dyDescent="0.25">
      <c r="A1157" s="5"/>
    </row>
    <row r="1158" spans="1:1" customFormat="1" x14ac:dyDescent="0.25">
      <c r="A1158" s="5"/>
    </row>
    <row r="1159" spans="1:1" customFormat="1" x14ac:dyDescent="0.25">
      <c r="A1159" s="5"/>
    </row>
    <row r="1160" spans="1:1" customFormat="1" x14ac:dyDescent="0.25">
      <c r="A1160" s="5"/>
    </row>
    <row r="1161" spans="1:1" customFormat="1" x14ac:dyDescent="0.25">
      <c r="A1161" s="5"/>
    </row>
    <row r="1162" spans="1:1" customFormat="1" x14ac:dyDescent="0.25">
      <c r="A1162" s="5"/>
    </row>
    <row r="1163" spans="1:1" customFormat="1" x14ac:dyDescent="0.25">
      <c r="A1163" s="5"/>
    </row>
    <row r="1164" spans="1:1" customFormat="1" x14ac:dyDescent="0.25">
      <c r="A1164" s="5"/>
    </row>
    <row r="1165" spans="1:1" customFormat="1" x14ac:dyDescent="0.25">
      <c r="A1165" s="5"/>
    </row>
    <row r="1166" spans="1:1" customFormat="1" x14ac:dyDescent="0.25">
      <c r="A1166" s="5"/>
    </row>
    <row r="1167" spans="1:1" customFormat="1" x14ac:dyDescent="0.25">
      <c r="A1167" s="5"/>
    </row>
    <row r="1168" spans="1:1" customFormat="1" x14ac:dyDescent="0.25">
      <c r="A1168" s="5"/>
    </row>
    <row r="1169" spans="1:1" customFormat="1" x14ac:dyDescent="0.25">
      <c r="A1169" s="5"/>
    </row>
    <row r="1170" spans="1:1" customFormat="1" x14ac:dyDescent="0.25">
      <c r="A1170" s="5"/>
    </row>
    <row r="1171" spans="1:1" customFormat="1" x14ac:dyDescent="0.25">
      <c r="A1171" s="5"/>
    </row>
    <row r="1172" spans="1:1" customFormat="1" x14ac:dyDescent="0.25">
      <c r="A1172" s="5"/>
    </row>
    <row r="1173" spans="1:1" customFormat="1" x14ac:dyDescent="0.25">
      <c r="A1173" s="5"/>
    </row>
    <row r="1174" spans="1:1" customFormat="1" x14ac:dyDescent="0.25">
      <c r="A1174" s="5"/>
    </row>
    <row r="1175" spans="1:1" customFormat="1" x14ac:dyDescent="0.25">
      <c r="A1175" s="5"/>
    </row>
    <row r="1176" spans="1:1" customFormat="1" x14ac:dyDescent="0.25">
      <c r="A1176" s="5"/>
    </row>
    <row r="1177" spans="1:1" customFormat="1" x14ac:dyDescent="0.25">
      <c r="A1177" s="5"/>
    </row>
    <row r="1178" spans="1:1" customFormat="1" x14ac:dyDescent="0.25">
      <c r="A1178" s="5"/>
    </row>
    <row r="1179" spans="1:1" customFormat="1" x14ac:dyDescent="0.25">
      <c r="A1179" s="5"/>
    </row>
    <row r="1180" spans="1:1" customFormat="1" x14ac:dyDescent="0.25">
      <c r="A1180" s="5"/>
    </row>
    <row r="1181" spans="1:1" customFormat="1" x14ac:dyDescent="0.25">
      <c r="A1181" s="5"/>
    </row>
    <row r="1182" spans="1:1" customFormat="1" x14ac:dyDescent="0.25">
      <c r="A1182" s="5"/>
    </row>
    <row r="1183" spans="1:1" customFormat="1" x14ac:dyDescent="0.25">
      <c r="A1183" s="5"/>
    </row>
    <row r="1184" spans="1:1" customFormat="1" x14ac:dyDescent="0.25">
      <c r="A1184" s="5"/>
    </row>
    <row r="1185" spans="1:1" customFormat="1" x14ac:dyDescent="0.25">
      <c r="A1185" s="5"/>
    </row>
    <row r="1186" spans="1:1" customFormat="1" x14ac:dyDescent="0.25">
      <c r="A1186" s="5"/>
    </row>
    <row r="1187" spans="1:1" customFormat="1" x14ac:dyDescent="0.25">
      <c r="A1187" s="5"/>
    </row>
    <row r="1188" spans="1:1" customFormat="1" x14ac:dyDescent="0.25">
      <c r="A1188" s="5"/>
    </row>
    <row r="1189" spans="1:1" customFormat="1" x14ac:dyDescent="0.25">
      <c r="A1189" s="5"/>
    </row>
    <row r="1190" spans="1:1" customFormat="1" x14ac:dyDescent="0.25">
      <c r="A1190" s="5"/>
    </row>
    <row r="1191" spans="1:1" customFormat="1" x14ac:dyDescent="0.25">
      <c r="A1191" s="5"/>
    </row>
    <row r="1192" spans="1:1" customFormat="1" x14ac:dyDescent="0.25">
      <c r="A1192" s="5"/>
    </row>
    <row r="1193" spans="1:1" customFormat="1" x14ac:dyDescent="0.25">
      <c r="A1193" s="5"/>
    </row>
    <row r="1194" spans="1:1" customFormat="1" x14ac:dyDescent="0.25">
      <c r="A1194" s="5"/>
    </row>
    <row r="1195" spans="1:1" customFormat="1" x14ac:dyDescent="0.25">
      <c r="A1195" s="5"/>
    </row>
    <row r="1196" spans="1:1" customFormat="1" x14ac:dyDescent="0.25">
      <c r="A1196" s="5"/>
    </row>
    <row r="1197" spans="1:1" customFormat="1" x14ac:dyDescent="0.25">
      <c r="A1197" s="5"/>
    </row>
    <row r="1198" spans="1:1" customFormat="1" x14ac:dyDescent="0.25">
      <c r="A1198" s="5"/>
    </row>
    <row r="1199" spans="1:1" customFormat="1" x14ac:dyDescent="0.25">
      <c r="A1199" s="5"/>
    </row>
    <row r="1200" spans="1:1" customFormat="1" x14ac:dyDescent="0.25">
      <c r="A1200" s="5"/>
    </row>
    <row r="1201" spans="1:1" customFormat="1" x14ac:dyDescent="0.25">
      <c r="A1201" s="5"/>
    </row>
    <row r="1202" spans="1:1" customFormat="1" x14ac:dyDescent="0.25">
      <c r="A1202" s="5"/>
    </row>
    <row r="1203" spans="1:1" customFormat="1" x14ac:dyDescent="0.25">
      <c r="A1203" s="5"/>
    </row>
    <row r="1204" spans="1:1" customFormat="1" x14ac:dyDescent="0.25">
      <c r="A1204" s="5"/>
    </row>
    <row r="1205" spans="1:1" customFormat="1" x14ac:dyDescent="0.25">
      <c r="A1205" s="5"/>
    </row>
    <row r="1206" spans="1:1" customFormat="1" x14ac:dyDescent="0.25">
      <c r="A1206" s="5"/>
    </row>
    <row r="1207" spans="1:1" customFormat="1" x14ac:dyDescent="0.25">
      <c r="A1207" s="5"/>
    </row>
    <row r="1208" spans="1:1" customFormat="1" x14ac:dyDescent="0.25">
      <c r="A1208" s="5"/>
    </row>
    <row r="1209" spans="1:1" customFormat="1" x14ac:dyDescent="0.25">
      <c r="A1209" s="5"/>
    </row>
    <row r="1210" spans="1:1" customFormat="1" x14ac:dyDescent="0.25">
      <c r="A1210" s="5"/>
    </row>
    <row r="1211" spans="1:1" customFormat="1" x14ac:dyDescent="0.25">
      <c r="A1211" s="5"/>
    </row>
    <row r="1212" spans="1:1" customFormat="1" x14ac:dyDescent="0.25">
      <c r="A1212" s="5"/>
    </row>
    <row r="1213" spans="1:1" customFormat="1" x14ac:dyDescent="0.25">
      <c r="A1213" s="5"/>
    </row>
    <row r="1214" spans="1:1" customFormat="1" x14ac:dyDescent="0.25">
      <c r="A1214" s="5"/>
    </row>
    <row r="1215" spans="1:1" customFormat="1" x14ac:dyDescent="0.25">
      <c r="A1215" s="5"/>
    </row>
    <row r="1216" spans="1:1" customFormat="1" x14ac:dyDescent="0.25">
      <c r="A1216" s="5"/>
    </row>
    <row r="1217" spans="1:1" customFormat="1" x14ac:dyDescent="0.25">
      <c r="A1217" s="5"/>
    </row>
    <row r="1218" spans="1:1" customFormat="1" x14ac:dyDescent="0.25">
      <c r="A1218" s="5"/>
    </row>
    <row r="1219" spans="1:1" customFormat="1" x14ac:dyDescent="0.25">
      <c r="A1219" s="5"/>
    </row>
    <row r="1220" spans="1:1" customFormat="1" x14ac:dyDescent="0.25">
      <c r="A1220" s="5"/>
    </row>
    <row r="1221" spans="1:1" customFormat="1" x14ac:dyDescent="0.25">
      <c r="A1221" s="5"/>
    </row>
    <row r="1222" spans="1:1" customFormat="1" x14ac:dyDescent="0.25">
      <c r="A1222" s="5"/>
    </row>
    <row r="1223" spans="1:1" customFormat="1" x14ac:dyDescent="0.25">
      <c r="A1223" s="5"/>
    </row>
    <row r="1224" spans="1:1" customFormat="1" x14ac:dyDescent="0.25">
      <c r="A1224" s="5"/>
    </row>
    <row r="1225" spans="1:1" customFormat="1" x14ac:dyDescent="0.25">
      <c r="A1225" s="5"/>
    </row>
    <row r="1226" spans="1:1" customFormat="1" x14ac:dyDescent="0.25">
      <c r="A1226" s="5"/>
    </row>
    <row r="1227" spans="1:1" customFormat="1" x14ac:dyDescent="0.25">
      <c r="A1227" s="5"/>
    </row>
    <row r="1228" spans="1:1" customFormat="1" x14ac:dyDescent="0.25">
      <c r="A1228" s="5"/>
    </row>
    <row r="1229" spans="1:1" customFormat="1" x14ac:dyDescent="0.25">
      <c r="A1229" s="5"/>
    </row>
    <row r="1230" spans="1:1" customFormat="1" x14ac:dyDescent="0.25">
      <c r="A1230" s="5"/>
    </row>
    <row r="1231" spans="1:1" customFormat="1" x14ac:dyDescent="0.25">
      <c r="A1231" s="5"/>
    </row>
    <row r="1232" spans="1:1" customFormat="1" x14ac:dyDescent="0.25">
      <c r="A1232" s="5"/>
    </row>
    <row r="1233" spans="1:1" customFormat="1" x14ac:dyDescent="0.25">
      <c r="A1233" s="5"/>
    </row>
    <row r="1234" spans="1:1" customFormat="1" x14ac:dyDescent="0.25">
      <c r="A1234" s="5"/>
    </row>
    <row r="1235" spans="1:1" customFormat="1" x14ac:dyDescent="0.25">
      <c r="A1235" s="5"/>
    </row>
    <row r="1236" spans="1:1" customFormat="1" x14ac:dyDescent="0.25">
      <c r="A1236" s="5"/>
    </row>
    <row r="1237" spans="1:1" customFormat="1" x14ac:dyDescent="0.25">
      <c r="A1237" s="5"/>
    </row>
    <row r="1238" spans="1:1" customFormat="1" x14ac:dyDescent="0.25">
      <c r="A1238" s="5"/>
    </row>
    <row r="1239" spans="1:1" customFormat="1" x14ac:dyDescent="0.25">
      <c r="A1239" s="5"/>
    </row>
    <row r="1240" spans="1:1" customFormat="1" x14ac:dyDescent="0.25">
      <c r="A1240" s="5"/>
    </row>
    <row r="1241" spans="1:1" customFormat="1" x14ac:dyDescent="0.25">
      <c r="A1241" s="5"/>
    </row>
    <row r="1242" spans="1:1" customFormat="1" x14ac:dyDescent="0.25">
      <c r="A1242" s="5"/>
    </row>
    <row r="1243" spans="1:1" customFormat="1" x14ac:dyDescent="0.25">
      <c r="A1243" s="5"/>
    </row>
    <row r="1244" spans="1:1" customFormat="1" x14ac:dyDescent="0.25">
      <c r="A1244" s="5"/>
    </row>
    <row r="1245" spans="1:1" customFormat="1" x14ac:dyDescent="0.25">
      <c r="A1245" s="5"/>
    </row>
    <row r="1246" spans="1:1" customFormat="1" x14ac:dyDescent="0.25">
      <c r="A1246" s="5"/>
    </row>
    <row r="1247" spans="1:1" customFormat="1" x14ac:dyDescent="0.25">
      <c r="A1247" s="5"/>
    </row>
    <row r="1248" spans="1:1" customFormat="1" x14ac:dyDescent="0.25">
      <c r="A1248" s="5"/>
    </row>
    <row r="1249" spans="1:1" customFormat="1" x14ac:dyDescent="0.25">
      <c r="A1249" s="5"/>
    </row>
    <row r="1250" spans="1:1" customFormat="1" x14ac:dyDescent="0.25">
      <c r="A1250" s="5"/>
    </row>
    <row r="1251" spans="1:1" customFormat="1" x14ac:dyDescent="0.25">
      <c r="A1251" s="5"/>
    </row>
    <row r="1252" spans="1:1" customFormat="1" x14ac:dyDescent="0.25">
      <c r="A1252" s="5"/>
    </row>
    <row r="1253" spans="1:1" customFormat="1" x14ac:dyDescent="0.25">
      <c r="A1253" s="5"/>
    </row>
    <row r="1254" spans="1:1" customFormat="1" x14ac:dyDescent="0.25">
      <c r="A1254" s="5"/>
    </row>
    <row r="1255" spans="1:1" customFormat="1" x14ac:dyDescent="0.25">
      <c r="A1255" s="5"/>
    </row>
    <row r="1256" spans="1:1" customFormat="1" x14ac:dyDescent="0.25">
      <c r="A1256" s="5"/>
    </row>
    <row r="1257" spans="1:1" customFormat="1" x14ac:dyDescent="0.25">
      <c r="A1257" s="5"/>
    </row>
    <row r="1258" spans="1:1" customFormat="1" x14ac:dyDescent="0.25">
      <c r="A1258" s="5"/>
    </row>
    <row r="1259" spans="1:1" customFormat="1" x14ac:dyDescent="0.25">
      <c r="A1259" s="5"/>
    </row>
    <row r="1260" spans="1:1" customFormat="1" x14ac:dyDescent="0.25">
      <c r="A1260" s="5"/>
    </row>
    <row r="1261" spans="1:1" customFormat="1" x14ac:dyDescent="0.25">
      <c r="A1261" s="5"/>
    </row>
    <row r="1262" spans="1:1" customFormat="1" x14ac:dyDescent="0.25">
      <c r="A1262" s="5"/>
    </row>
    <row r="1263" spans="1:1" customFormat="1" x14ac:dyDescent="0.25">
      <c r="A1263" s="5"/>
    </row>
    <row r="1264" spans="1:1" customFormat="1" x14ac:dyDescent="0.25">
      <c r="A1264" s="5"/>
    </row>
    <row r="1265" spans="1:1" customFormat="1" x14ac:dyDescent="0.25">
      <c r="A1265" s="5"/>
    </row>
    <row r="1266" spans="1:1" customFormat="1" x14ac:dyDescent="0.25">
      <c r="A1266" s="5"/>
    </row>
    <row r="1267" spans="1:1" customFormat="1" x14ac:dyDescent="0.25">
      <c r="A1267" s="5"/>
    </row>
    <row r="1268" spans="1:1" customFormat="1" x14ac:dyDescent="0.25">
      <c r="A1268" s="5"/>
    </row>
    <row r="1269" spans="1:1" customFormat="1" x14ac:dyDescent="0.25">
      <c r="A1269" s="5"/>
    </row>
    <row r="1270" spans="1:1" customFormat="1" x14ac:dyDescent="0.25">
      <c r="A1270" s="5"/>
    </row>
    <row r="1271" spans="1:1" customFormat="1" x14ac:dyDescent="0.25">
      <c r="A1271" s="5"/>
    </row>
    <row r="1272" spans="1:1" customFormat="1" x14ac:dyDescent="0.25">
      <c r="A1272" s="5"/>
    </row>
    <row r="1273" spans="1:1" customFormat="1" x14ac:dyDescent="0.25">
      <c r="A1273" s="5"/>
    </row>
    <row r="1274" spans="1:1" customFormat="1" x14ac:dyDescent="0.25">
      <c r="A1274" s="5"/>
    </row>
    <row r="1275" spans="1:1" customFormat="1" x14ac:dyDescent="0.25">
      <c r="A1275" s="5"/>
    </row>
    <row r="1276" spans="1:1" customFormat="1" x14ac:dyDescent="0.25">
      <c r="A1276" s="5"/>
    </row>
    <row r="1277" spans="1:1" customFormat="1" x14ac:dyDescent="0.25">
      <c r="A1277" s="5"/>
    </row>
    <row r="1278" spans="1:1" customFormat="1" x14ac:dyDescent="0.25">
      <c r="A1278" s="5"/>
    </row>
    <row r="1279" spans="1:1" customFormat="1" x14ac:dyDescent="0.25">
      <c r="A1279" s="5"/>
    </row>
    <row r="1280" spans="1:1" customFormat="1" x14ac:dyDescent="0.25">
      <c r="A1280" s="5"/>
    </row>
    <row r="1281" spans="1:1" customFormat="1" x14ac:dyDescent="0.25">
      <c r="A1281" s="5"/>
    </row>
    <row r="1282" spans="1:1" customFormat="1" x14ac:dyDescent="0.25">
      <c r="A1282" s="5"/>
    </row>
    <row r="1283" spans="1:1" customFormat="1" x14ac:dyDescent="0.25">
      <c r="A1283" s="5"/>
    </row>
    <row r="1284" spans="1:1" customFormat="1" x14ac:dyDescent="0.25">
      <c r="A1284" s="5"/>
    </row>
    <row r="1285" spans="1:1" customFormat="1" x14ac:dyDescent="0.25">
      <c r="A1285" s="5"/>
    </row>
    <row r="1286" spans="1:1" customFormat="1" x14ac:dyDescent="0.25">
      <c r="A1286" s="5"/>
    </row>
    <row r="1287" spans="1:1" customFormat="1" x14ac:dyDescent="0.25">
      <c r="A1287" s="5"/>
    </row>
    <row r="1288" spans="1:1" customFormat="1" x14ac:dyDescent="0.25">
      <c r="A1288" s="5"/>
    </row>
    <row r="1289" spans="1:1" customFormat="1" x14ac:dyDescent="0.25">
      <c r="A1289" s="5"/>
    </row>
    <row r="1290" spans="1:1" customFormat="1" x14ac:dyDescent="0.25">
      <c r="A1290" s="5"/>
    </row>
    <row r="1291" spans="1:1" customFormat="1" x14ac:dyDescent="0.25">
      <c r="A1291" s="5"/>
    </row>
    <row r="1292" spans="1:1" customFormat="1" x14ac:dyDescent="0.25">
      <c r="A1292" s="5"/>
    </row>
    <row r="1293" spans="1:1" customFormat="1" x14ac:dyDescent="0.25">
      <c r="A1293" s="5"/>
    </row>
    <row r="1294" spans="1:1" customFormat="1" x14ac:dyDescent="0.25">
      <c r="A1294" s="5"/>
    </row>
    <row r="1295" spans="1:1" customFormat="1" x14ac:dyDescent="0.25">
      <c r="A1295" s="5"/>
    </row>
    <row r="1296" spans="1:1" customFormat="1" x14ac:dyDescent="0.25">
      <c r="A1296" s="5"/>
    </row>
    <row r="1297" spans="1:1" customFormat="1" x14ac:dyDescent="0.25">
      <c r="A1297" s="5"/>
    </row>
    <row r="1298" spans="1:1" customFormat="1" x14ac:dyDescent="0.25">
      <c r="A1298" s="5"/>
    </row>
    <row r="1299" spans="1:1" customFormat="1" x14ac:dyDescent="0.25">
      <c r="A1299" s="5"/>
    </row>
    <row r="1300" spans="1:1" customFormat="1" x14ac:dyDescent="0.25">
      <c r="A1300" s="5"/>
    </row>
    <row r="1301" spans="1:1" customFormat="1" x14ac:dyDescent="0.25">
      <c r="A1301" s="5"/>
    </row>
    <row r="1302" spans="1:1" customFormat="1" x14ac:dyDescent="0.25">
      <c r="A1302" s="5"/>
    </row>
    <row r="1303" spans="1:1" customFormat="1" x14ac:dyDescent="0.25">
      <c r="A1303" s="5"/>
    </row>
    <row r="1304" spans="1:1" customFormat="1" x14ac:dyDescent="0.25">
      <c r="A1304" s="5"/>
    </row>
    <row r="1305" spans="1:1" customFormat="1" x14ac:dyDescent="0.25">
      <c r="A1305" s="5"/>
    </row>
    <row r="1306" spans="1:1" customFormat="1" x14ac:dyDescent="0.25">
      <c r="A1306" s="5"/>
    </row>
    <row r="1307" spans="1:1" customFormat="1" x14ac:dyDescent="0.25">
      <c r="A1307" s="5"/>
    </row>
    <row r="1308" spans="1:1" customFormat="1" x14ac:dyDescent="0.25">
      <c r="A1308" s="5"/>
    </row>
    <row r="1309" spans="1:1" customFormat="1" x14ac:dyDescent="0.25">
      <c r="A1309" s="5"/>
    </row>
    <row r="1310" spans="1:1" customFormat="1" x14ac:dyDescent="0.25">
      <c r="A1310" s="5"/>
    </row>
    <row r="1311" spans="1:1" customFormat="1" x14ac:dyDescent="0.25">
      <c r="A1311" s="5"/>
    </row>
    <row r="1312" spans="1:1" customFormat="1" x14ac:dyDescent="0.25">
      <c r="A1312" s="5"/>
    </row>
    <row r="1313" spans="1:1" customFormat="1" x14ac:dyDescent="0.25">
      <c r="A1313" s="5"/>
    </row>
    <row r="1314" spans="1:1" customFormat="1" x14ac:dyDescent="0.25">
      <c r="A1314" s="5"/>
    </row>
    <row r="1315" spans="1:1" customFormat="1" x14ac:dyDescent="0.25">
      <c r="A1315" s="5"/>
    </row>
    <row r="1316" spans="1:1" customFormat="1" x14ac:dyDescent="0.25">
      <c r="A1316" s="5"/>
    </row>
    <row r="1317" spans="1:1" customFormat="1" x14ac:dyDescent="0.25">
      <c r="A1317" s="5"/>
    </row>
    <row r="1318" spans="1:1" customFormat="1" x14ac:dyDescent="0.25">
      <c r="A1318" s="5"/>
    </row>
    <row r="1319" spans="1:1" customFormat="1" x14ac:dyDescent="0.25">
      <c r="A1319" s="5"/>
    </row>
    <row r="1320" spans="1:1" customFormat="1" x14ac:dyDescent="0.25">
      <c r="A1320" s="5"/>
    </row>
    <row r="1321" spans="1:1" customFormat="1" x14ac:dyDescent="0.25">
      <c r="A1321" s="5"/>
    </row>
    <row r="1322" spans="1:1" customFormat="1" x14ac:dyDescent="0.25">
      <c r="A1322" s="5"/>
    </row>
    <row r="1323" spans="1:1" customFormat="1" x14ac:dyDescent="0.25">
      <c r="A1323" s="5"/>
    </row>
    <row r="1324" spans="1:1" customFormat="1" x14ac:dyDescent="0.25">
      <c r="A1324" s="5"/>
    </row>
    <row r="1325" spans="1:1" customFormat="1" x14ac:dyDescent="0.25">
      <c r="A1325" s="5"/>
    </row>
    <row r="1326" spans="1:1" customFormat="1" x14ac:dyDescent="0.25">
      <c r="A1326" s="5"/>
    </row>
    <row r="1327" spans="1:1" customFormat="1" x14ac:dyDescent="0.25">
      <c r="A1327" s="5"/>
    </row>
    <row r="1328" spans="1:1" customFormat="1" x14ac:dyDescent="0.25">
      <c r="A1328" s="5"/>
    </row>
    <row r="1329" spans="1:1" customFormat="1" x14ac:dyDescent="0.25">
      <c r="A1329" s="5"/>
    </row>
    <row r="1330" spans="1:1" customFormat="1" x14ac:dyDescent="0.25">
      <c r="A1330" s="5"/>
    </row>
    <row r="1331" spans="1:1" customFormat="1" x14ac:dyDescent="0.25">
      <c r="A1331" s="5"/>
    </row>
    <row r="1332" spans="1:1" customFormat="1" x14ac:dyDescent="0.25">
      <c r="A1332" s="5"/>
    </row>
    <row r="1333" spans="1:1" customFormat="1" x14ac:dyDescent="0.25">
      <c r="A1333" s="5"/>
    </row>
    <row r="1334" spans="1:1" customFormat="1" x14ac:dyDescent="0.25">
      <c r="A1334" s="5"/>
    </row>
    <row r="1335" spans="1:1" customFormat="1" x14ac:dyDescent="0.25">
      <c r="A1335" s="5"/>
    </row>
    <row r="1336" spans="1:1" customFormat="1" x14ac:dyDescent="0.25">
      <c r="A1336" s="5"/>
    </row>
    <row r="1337" spans="1:1" customFormat="1" x14ac:dyDescent="0.25">
      <c r="A1337" s="5"/>
    </row>
    <row r="1338" spans="1:1" customFormat="1" x14ac:dyDescent="0.25">
      <c r="A1338" s="5"/>
    </row>
    <row r="1339" spans="1:1" customFormat="1" x14ac:dyDescent="0.25">
      <c r="A1339" s="5"/>
    </row>
    <row r="1340" spans="1:1" customFormat="1" x14ac:dyDescent="0.25">
      <c r="A1340" s="5"/>
    </row>
    <row r="1341" spans="1:1" customFormat="1" x14ac:dyDescent="0.25">
      <c r="A1341" s="5"/>
    </row>
    <row r="1342" spans="1:1" customFormat="1" x14ac:dyDescent="0.25">
      <c r="A1342" s="5"/>
    </row>
    <row r="1343" spans="1:1" customFormat="1" x14ac:dyDescent="0.25">
      <c r="A1343" s="5"/>
    </row>
    <row r="1344" spans="1:1" customFormat="1" x14ac:dyDescent="0.25">
      <c r="A1344" s="5"/>
    </row>
    <row r="1345" spans="1:1" customFormat="1" x14ac:dyDescent="0.25">
      <c r="A1345" s="5"/>
    </row>
    <row r="1346" spans="1:1" customFormat="1" x14ac:dyDescent="0.25">
      <c r="A1346" s="5"/>
    </row>
    <row r="1347" spans="1:1" customFormat="1" x14ac:dyDescent="0.25">
      <c r="A1347" s="5"/>
    </row>
    <row r="1348" spans="1:1" customFormat="1" x14ac:dyDescent="0.25">
      <c r="A1348" s="5"/>
    </row>
    <row r="1349" spans="1:1" customFormat="1" x14ac:dyDescent="0.25">
      <c r="A1349" s="5"/>
    </row>
    <row r="1350" spans="1:1" customFormat="1" x14ac:dyDescent="0.25">
      <c r="A1350" s="5"/>
    </row>
    <row r="1351" spans="1:1" customFormat="1" x14ac:dyDescent="0.25">
      <c r="A1351" s="5"/>
    </row>
    <row r="1352" spans="1:1" customFormat="1" x14ac:dyDescent="0.25">
      <c r="A1352" s="5"/>
    </row>
    <row r="1353" spans="1:1" customFormat="1" x14ac:dyDescent="0.25">
      <c r="A1353" s="5"/>
    </row>
    <row r="1354" spans="1:1" customFormat="1" x14ac:dyDescent="0.25">
      <c r="A1354" s="5"/>
    </row>
    <row r="1355" spans="1:1" customFormat="1" x14ac:dyDescent="0.25">
      <c r="A1355" s="5"/>
    </row>
    <row r="1356" spans="1:1" customFormat="1" x14ac:dyDescent="0.25">
      <c r="A1356" s="5"/>
    </row>
    <row r="1357" spans="1:1" customFormat="1" x14ac:dyDescent="0.25">
      <c r="A1357" s="5"/>
    </row>
    <row r="1358" spans="1:1" customFormat="1" x14ac:dyDescent="0.25">
      <c r="A1358" s="5"/>
    </row>
    <row r="1359" spans="1:1" customFormat="1" x14ac:dyDescent="0.25">
      <c r="A1359" s="5"/>
    </row>
    <row r="1360" spans="1:1" customFormat="1" x14ac:dyDescent="0.25">
      <c r="A1360" s="5"/>
    </row>
    <row r="1361" spans="1:1" customFormat="1" x14ac:dyDescent="0.25">
      <c r="A1361" s="5"/>
    </row>
    <row r="1362" spans="1:1" customFormat="1" x14ac:dyDescent="0.25">
      <c r="A1362" s="5"/>
    </row>
    <row r="1363" spans="1:1" customFormat="1" x14ac:dyDescent="0.25">
      <c r="A1363" s="5"/>
    </row>
    <row r="1364" spans="1:1" customFormat="1" x14ac:dyDescent="0.25">
      <c r="A1364" s="5"/>
    </row>
    <row r="1365" spans="1:1" customFormat="1" x14ac:dyDescent="0.25">
      <c r="A1365" s="5"/>
    </row>
    <row r="1366" spans="1:1" customFormat="1" x14ac:dyDescent="0.25">
      <c r="A1366" s="5"/>
    </row>
    <row r="1367" spans="1:1" customFormat="1" x14ac:dyDescent="0.25">
      <c r="A1367" s="5"/>
    </row>
    <row r="1368" spans="1:1" customFormat="1" x14ac:dyDescent="0.25">
      <c r="A1368" s="5"/>
    </row>
    <row r="1369" spans="1:1" customFormat="1" x14ac:dyDescent="0.25">
      <c r="A1369" s="5"/>
    </row>
    <row r="1370" spans="1:1" customFormat="1" x14ac:dyDescent="0.25">
      <c r="A1370" s="5"/>
    </row>
    <row r="1371" spans="1:1" customFormat="1" x14ac:dyDescent="0.25">
      <c r="A1371" s="5"/>
    </row>
    <row r="1372" spans="1:1" customFormat="1" x14ac:dyDescent="0.25">
      <c r="A1372" s="5"/>
    </row>
    <row r="1373" spans="1:1" customFormat="1" x14ac:dyDescent="0.25">
      <c r="A1373" s="5"/>
    </row>
    <row r="1374" spans="1:1" customFormat="1" x14ac:dyDescent="0.25">
      <c r="A1374" s="5"/>
    </row>
    <row r="1375" spans="1:1" customFormat="1" x14ac:dyDescent="0.25">
      <c r="A1375" s="5"/>
    </row>
    <row r="1376" spans="1:1" customFormat="1" x14ac:dyDescent="0.25">
      <c r="A1376" s="5"/>
    </row>
    <row r="1377" spans="1:1" customFormat="1" x14ac:dyDescent="0.25">
      <c r="A1377" s="5"/>
    </row>
    <row r="1378" spans="1:1" customFormat="1" x14ac:dyDescent="0.25">
      <c r="A1378" s="5"/>
    </row>
    <row r="1379" spans="1:1" customFormat="1" x14ac:dyDescent="0.25">
      <c r="A1379" s="5"/>
    </row>
    <row r="1380" spans="1:1" customFormat="1" x14ac:dyDescent="0.25">
      <c r="A1380" s="5"/>
    </row>
    <row r="1381" spans="1:1" customFormat="1" x14ac:dyDescent="0.25">
      <c r="A1381" s="5"/>
    </row>
    <row r="1382" spans="1:1" customFormat="1" x14ac:dyDescent="0.25">
      <c r="A1382" s="5"/>
    </row>
    <row r="1383" spans="1:1" customFormat="1" x14ac:dyDescent="0.25">
      <c r="A1383" s="5"/>
    </row>
    <row r="1384" spans="1:1" customFormat="1" x14ac:dyDescent="0.25">
      <c r="A1384" s="5"/>
    </row>
    <row r="1385" spans="1:1" customFormat="1" x14ac:dyDescent="0.25">
      <c r="A1385" s="5"/>
    </row>
    <row r="1386" spans="1:1" customFormat="1" x14ac:dyDescent="0.25">
      <c r="A1386" s="5"/>
    </row>
    <row r="1387" spans="1:1" customFormat="1" x14ac:dyDescent="0.25">
      <c r="A1387" s="5"/>
    </row>
    <row r="1388" spans="1:1" customFormat="1" x14ac:dyDescent="0.25">
      <c r="A1388" s="5"/>
    </row>
    <row r="1389" spans="1:1" customFormat="1" x14ac:dyDescent="0.25">
      <c r="A1389" s="5"/>
    </row>
    <row r="1390" spans="1:1" customFormat="1" x14ac:dyDescent="0.25">
      <c r="A1390" s="5"/>
    </row>
    <row r="1391" spans="1:1" customFormat="1" x14ac:dyDescent="0.25">
      <c r="A1391" s="5"/>
    </row>
    <row r="1392" spans="1:1" customFormat="1" x14ac:dyDescent="0.25">
      <c r="A1392" s="5"/>
    </row>
    <row r="1393" spans="1:1" customFormat="1" x14ac:dyDescent="0.25">
      <c r="A1393" s="5"/>
    </row>
    <row r="1394" spans="1:1" customFormat="1" x14ac:dyDescent="0.25">
      <c r="A1394" s="5"/>
    </row>
    <row r="1395" spans="1:1" customFormat="1" x14ac:dyDescent="0.25">
      <c r="A1395" s="5"/>
    </row>
    <row r="1396" spans="1:1" customFormat="1" x14ac:dyDescent="0.25">
      <c r="A1396" s="5"/>
    </row>
    <row r="1397" spans="1:1" customFormat="1" x14ac:dyDescent="0.25">
      <c r="A1397" s="5"/>
    </row>
    <row r="1398" spans="1:1" customFormat="1" x14ac:dyDescent="0.25">
      <c r="A1398" s="5"/>
    </row>
    <row r="1399" spans="1:1" customFormat="1" x14ac:dyDescent="0.25">
      <c r="A1399" s="5"/>
    </row>
    <row r="1400" spans="1:1" customFormat="1" x14ac:dyDescent="0.25">
      <c r="A1400" s="5"/>
    </row>
    <row r="1401" spans="1:1" customFormat="1" x14ac:dyDescent="0.25">
      <c r="A1401" s="5"/>
    </row>
    <row r="1402" spans="1:1" customFormat="1" x14ac:dyDescent="0.25">
      <c r="A1402" s="5"/>
    </row>
    <row r="1403" spans="1:1" customFormat="1" x14ac:dyDescent="0.25">
      <c r="A1403" s="5"/>
    </row>
    <row r="1404" spans="1:1" customFormat="1" x14ac:dyDescent="0.25">
      <c r="A1404" s="5"/>
    </row>
    <row r="1405" spans="1:1" customFormat="1" x14ac:dyDescent="0.25">
      <c r="A1405" s="5"/>
    </row>
    <row r="1406" spans="1:1" customFormat="1" x14ac:dyDescent="0.25">
      <c r="A1406" s="5"/>
    </row>
    <row r="1407" spans="1:1" customFormat="1" x14ac:dyDescent="0.25">
      <c r="A1407" s="5"/>
    </row>
    <row r="1408" spans="1:1" customFormat="1" x14ac:dyDescent="0.25">
      <c r="A1408" s="5"/>
    </row>
    <row r="1409" spans="1:1" customFormat="1" x14ac:dyDescent="0.25">
      <c r="A1409" s="5"/>
    </row>
    <row r="1410" spans="1:1" customFormat="1" x14ac:dyDescent="0.25">
      <c r="A1410" s="5"/>
    </row>
    <row r="1411" spans="1:1" customFormat="1" x14ac:dyDescent="0.25">
      <c r="A1411" s="5"/>
    </row>
    <row r="1412" spans="1:1" customFormat="1" x14ac:dyDescent="0.25">
      <c r="A1412" s="5"/>
    </row>
    <row r="1413" spans="1:1" customFormat="1" x14ac:dyDescent="0.25">
      <c r="A1413" s="5"/>
    </row>
    <row r="1414" spans="1:1" customFormat="1" x14ac:dyDescent="0.25">
      <c r="A1414" s="5"/>
    </row>
    <row r="1415" spans="1:1" customFormat="1" x14ac:dyDescent="0.25">
      <c r="A1415" s="5"/>
    </row>
    <row r="1416" spans="1:1" customFormat="1" x14ac:dyDescent="0.25">
      <c r="A1416" s="5"/>
    </row>
    <row r="1417" spans="1:1" customFormat="1" x14ac:dyDescent="0.25">
      <c r="A1417" s="5"/>
    </row>
    <row r="1418" spans="1:1" customFormat="1" x14ac:dyDescent="0.25">
      <c r="A1418" s="5"/>
    </row>
    <row r="1419" spans="1:1" customFormat="1" x14ac:dyDescent="0.25">
      <c r="A1419" s="5"/>
    </row>
    <row r="1420" spans="1:1" customFormat="1" x14ac:dyDescent="0.25">
      <c r="A1420" s="5"/>
    </row>
    <row r="1421" spans="1:1" customFormat="1" x14ac:dyDescent="0.25">
      <c r="A1421" s="5"/>
    </row>
    <row r="1422" spans="1:1" customFormat="1" x14ac:dyDescent="0.25">
      <c r="A1422" s="5"/>
    </row>
    <row r="1423" spans="1:1" customFormat="1" x14ac:dyDescent="0.25">
      <c r="A1423" s="5"/>
    </row>
    <row r="1424" spans="1:1" customFormat="1" x14ac:dyDescent="0.25">
      <c r="A1424" s="5"/>
    </row>
    <row r="1425" spans="1:1" customFormat="1" x14ac:dyDescent="0.25">
      <c r="A1425" s="5"/>
    </row>
    <row r="1426" spans="1:1" customFormat="1" x14ac:dyDescent="0.25">
      <c r="A1426" s="5"/>
    </row>
    <row r="1427" spans="1:1" customFormat="1" x14ac:dyDescent="0.25">
      <c r="A1427" s="5"/>
    </row>
    <row r="1428" spans="1:1" customFormat="1" x14ac:dyDescent="0.25">
      <c r="A1428" s="5"/>
    </row>
    <row r="1429" spans="1:1" customFormat="1" x14ac:dyDescent="0.25">
      <c r="A1429" s="5"/>
    </row>
    <row r="1430" spans="1:1" customFormat="1" x14ac:dyDescent="0.25">
      <c r="A1430" s="5"/>
    </row>
    <row r="1431" spans="1:1" customFormat="1" x14ac:dyDescent="0.25">
      <c r="A1431" s="5"/>
    </row>
    <row r="1432" spans="1:1" customFormat="1" x14ac:dyDescent="0.25">
      <c r="A1432" s="5"/>
    </row>
    <row r="1433" spans="1:1" customFormat="1" x14ac:dyDescent="0.25">
      <c r="A1433" s="5"/>
    </row>
    <row r="1434" spans="1:1" customFormat="1" x14ac:dyDescent="0.25">
      <c r="A1434" s="5"/>
    </row>
    <row r="1435" spans="1:1" customFormat="1" x14ac:dyDescent="0.25">
      <c r="A1435" s="5"/>
    </row>
    <row r="1436" spans="1:1" customFormat="1" x14ac:dyDescent="0.25">
      <c r="A1436" s="5"/>
    </row>
    <row r="1437" spans="1:1" customFormat="1" x14ac:dyDescent="0.25">
      <c r="A1437" s="5"/>
    </row>
    <row r="1438" spans="1:1" customFormat="1" x14ac:dyDescent="0.25">
      <c r="A1438" s="5"/>
    </row>
    <row r="1439" spans="1:1" customFormat="1" x14ac:dyDescent="0.25">
      <c r="A1439" s="5"/>
    </row>
    <row r="1440" spans="1:1" customFormat="1" x14ac:dyDescent="0.25">
      <c r="A1440" s="5"/>
    </row>
    <row r="1441" spans="1:1" customFormat="1" x14ac:dyDescent="0.25">
      <c r="A1441" s="5"/>
    </row>
    <row r="1442" spans="1:1" customFormat="1" x14ac:dyDescent="0.25">
      <c r="A1442" s="5"/>
    </row>
    <row r="1443" spans="1:1" customFormat="1" x14ac:dyDescent="0.25">
      <c r="A1443" s="5"/>
    </row>
    <row r="1444" spans="1:1" customFormat="1" x14ac:dyDescent="0.25">
      <c r="A1444" s="5"/>
    </row>
    <row r="1445" spans="1:1" customFormat="1" x14ac:dyDescent="0.25">
      <c r="A1445" s="5"/>
    </row>
    <row r="1446" spans="1:1" customFormat="1" x14ac:dyDescent="0.25">
      <c r="A1446" s="5"/>
    </row>
    <row r="1447" spans="1:1" customFormat="1" x14ac:dyDescent="0.25">
      <c r="A1447" s="5"/>
    </row>
    <row r="1448" spans="1:1" customFormat="1" x14ac:dyDescent="0.25">
      <c r="A1448" s="5"/>
    </row>
    <row r="1449" spans="1:1" customFormat="1" x14ac:dyDescent="0.25">
      <c r="A1449" s="5"/>
    </row>
    <row r="1450" spans="1:1" customFormat="1" x14ac:dyDescent="0.25">
      <c r="A1450" s="5"/>
    </row>
    <row r="1451" spans="1:1" customFormat="1" x14ac:dyDescent="0.25">
      <c r="A1451" s="5"/>
    </row>
    <row r="1452" spans="1:1" customFormat="1" x14ac:dyDescent="0.25">
      <c r="A1452" s="5"/>
    </row>
    <row r="1453" spans="1:1" customFormat="1" x14ac:dyDescent="0.25">
      <c r="A1453" s="5"/>
    </row>
    <row r="1454" spans="1:1" customFormat="1" x14ac:dyDescent="0.25">
      <c r="A1454" s="5"/>
    </row>
    <row r="1455" spans="1:1" customFormat="1" x14ac:dyDescent="0.25">
      <c r="A1455" s="5"/>
    </row>
    <row r="1456" spans="1:1" customFormat="1" x14ac:dyDescent="0.25">
      <c r="A1456" s="5"/>
    </row>
    <row r="1457" spans="1:1" customFormat="1" x14ac:dyDescent="0.25">
      <c r="A1457" s="5"/>
    </row>
    <row r="1458" spans="1:1" customFormat="1" x14ac:dyDescent="0.25">
      <c r="A1458" s="5"/>
    </row>
    <row r="1459" spans="1:1" customFormat="1" x14ac:dyDescent="0.25">
      <c r="A1459" s="5"/>
    </row>
    <row r="1460" spans="1:1" customFormat="1" x14ac:dyDescent="0.25">
      <c r="A1460" s="5"/>
    </row>
    <row r="1461" spans="1:1" customFormat="1" x14ac:dyDescent="0.25">
      <c r="A1461" s="5"/>
    </row>
    <row r="1462" spans="1:1" customFormat="1" x14ac:dyDescent="0.25">
      <c r="A1462" s="5"/>
    </row>
    <row r="1463" spans="1:1" customFormat="1" x14ac:dyDescent="0.25">
      <c r="A1463" s="5"/>
    </row>
    <row r="1464" spans="1:1" customFormat="1" x14ac:dyDescent="0.25">
      <c r="A1464" s="5"/>
    </row>
    <row r="1465" spans="1:1" customFormat="1" x14ac:dyDescent="0.25">
      <c r="A1465" s="5"/>
    </row>
    <row r="1466" spans="1:1" customFormat="1" x14ac:dyDescent="0.25">
      <c r="A1466" s="5"/>
    </row>
    <row r="1467" spans="1:1" customFormat="1" x14ac:dyDescent="0.25">
      <c r="A1467" s="5"/>
    </row>
    <row r="1468" spans="1:1" customFormat="1" x14ac:dyDescent="0.25">
      <c r="A1468" s="5"/>
    </row>
    <row r="1469" spans="1:1" customFormat="1" x14ac:dyDescent="0.25">
      <c r="A1469" s="5"/>
    </row>
    <row r="1470" spans="1:1" customFormat="1" x14ac:dyDescent="0.25">
      <c r="A1470" s="5"/>
    </row>
    <row r="1471" spans="1:1" customFormat="1" x14ac:dyDescent="0.25">
      <c r="A1471" s="5"/>
    </row>
    <row r="1472" spans="1:1" customFormat="1" x14ac:dyDescent="0.25">
      <c r="A1472" s="5"/>
    </row>
    <row r="1473" spans="1:1" customFormat="1" x14ac:dyDescent="0.25">
      <c r="A1473" s="5"/>
    </row>
    <row r="1474" spans="1:1" customFormat="1" x14ac:dyDescent="0.25">
      <c r="A1474" s="5"/>
    </row>
    <row r="1475" spans="1:1" customFormat="1" x14ac:dyDescent="0.25">
      <c r="A1475" s="5"/>
    </row>
    <row r="1476" spans="1:1" customFormat="1" x14ac:dyDescent="0.25">
      <c r="A1476" s="5"/>
    </row>
    <row r="1477" spans="1:1" customFormat="1" x14ac:dyDescent="0.25">
      <c r="A1477" s="5"/>
    </row>
    <row r="1478" spans="1:1" customFormat="1" x14ac:dyDescent="0.25">
      <c r="A1478" s="5"/>
    </row>
    <row r="1479" spans="1:1" customFormat="1" x14ac:dyDescent="0.25">
      <c r="A1479" s="5"/>
    </row>
    <row r="1480" spans="1:1" customFormat="1" x14ac:dyDescent="0.25">
      <c r="A1480" s="5"/>
    </row>
    <row r="1481" spans="1:1" customFormat="1" x14ac:dyDescent="0.25">
      <c r="A1481" s="5"/>
    </row>
    <row r="1482" spans="1:1" customFormat="1" x14ac:dyDescent="0.25">
      <c r="A1482" s="5"/>
    </row>
    <row r="1483" spans="1:1" customFormat="1" x14ac:dyDescent="0.25">
      <c r="A1483" s="5"/>
    </row>
    <row r="1484" spans="1:1" customFormat="1" x14ac:dyDescent="0.25">
      <c r="A1484" s="5"/>
    </row>
    <row r="1485" spans="1:1" customFormat="1" x14ac:dyDescent="0.25">
      <c r="A1485" s="5"/>
    </row>
    <row r="1486" spans="1:1" customFormat="1" x14ac:dyDescent="0.25">
      <c r="A1486" s="5"/>
    </row>
    <row r="1487" spans="1:1" customFormat="1" x14ac:dyDescent="0.25">
      <c r="A1487" s="5"/>
    </row>
    <row r="1488" spans="1:1" customFormat="1" x14ac:dyDescent="0.25">
      <c r="A1488" s="5"/>
    </row>
    <row r="1489" spans="1:1" customFormat="1" x14ac:dyDescent="0.25">
      <c r="A1489" s="5"/>
    </row>
    <row r="1490" spans="1:1" customFormat="1" x14ac:dyDescent="0.25">
      <c r="A1490" s="5"/>
    </row>
    <row r="1491" spans="1:1" customFormat="1" x14ac:dyDescent="0.25">
      <c r="A1491" s="5"/>
    </row>
    <row r="1492" spans="1:1" customFormat="1" x14ac:dyDescent="0.25">
      <c r="A1492" s="5"/>
    </row>
    <row r="1493" spans="1:1" customFormat="1" x14ac:dyDescent="0.25">
      <c r="A1493" s="5"/>
    </row>
    <row r="1494" spans="1:1" customFormat="1" x14ac:dyDescent="0.25">
      <c r="A1494" s="5"/>
    </row>
    <row r="1495" spans="1:1" customFormat="1" x14ac:dyDescent="0.25">
      <c r="A1495" s="5"/>
    </row>
    <row r="1496" spans="1:1" customFormat="1" x14ac:dyDescent="0.25">
      <c r="A1496" s="5"/>
    </row>
    <row r="1497" spans="1:1" customFormat="1" x14ac:dyDescent="0.25">
      <c r="A1497" s="5"/>
    </row>
    <row r="1498" spans="1:1" customFormat="1" x14ac:dyDescent="0.25">
      <c r="A1498" s="5"/>
    </row>
    <row r="1499" spans="1:1" customFormat="1" x14ac:dyDescent="0.25">
      <c r="A1499" s="5"/>
    </row>
    <row r="1500" spans="1:1" customFormat="1" x14ac:dyDescent="0.25">
      <c r="A1500" s="5"/>
    </row>
    <row r="1501" spans="1:1" customFormat="1" x14ac:dyDescent="0.25">
      <c r="A1501" s="5"/>
    </row>
    <row r="1502" spans="1:1" customFormat="1" x14ac:dyDescent="0.25">
      <c r="A1502" s="5"/>
    </row>
    <row r="1503" spans="1:1" customFormat="1" x14ac:dyDescent="0.25">
      <c r="A1503" s="5"/>
    </row>
  </sheetData>
  <conditionalFormatting sqref="D1:D1048576">
    <cfRule type="cellIs" dxfId="10" priority="1" operator="lessThan">
      <formula>$A$2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Charts</vt:lpstr>
      </vt:variant>
      <vt:variant>
        <vt:i4>1</vt:i4>
      </vt:variant>
    </vt:vector>
  </HeadingPairs>
  <TitlesOfParts>
    <vt:vector size="8" baseType="lpstr">
      <vt:lpstr>table (1)</vt:lpstr>
      <vt:lpstr>1%</vt:lpstr>
      <vt:lpstr>2%</vt:lpstr>
      <vt:lpstr>5%</vt:lpstr>
      <vt:lpstr>10%</vt:lpstr>
      <vt:lpstr>INVEST</vt:lpstr>
      <vt:lpstr>TEMP</vt:lpstr>
      <vt:lpstr>Chart1</vt:lpstr>
    </vt:vector>
  </TitlesOfParts>
  <Company>E3MS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Martin Bruekers</dc:creator>
  <cp:lastModifiedBy>Lincoln</cp:lastModifiedBy>
  <dcterms:created xsi:type="dcterms:W3CDTF">2018-07-12T12:26:33Z</dcterms:created>
  <dcterms:modified xsi:type="dcterms:W3CDTF">2022-01-28T01:18:04Z</dcterms:modified>
</cp:coreProperties>
</file>