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2482D5D4-46EA-4DF8-B8F0-8761B3BA67F4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889" i="1"/>
  <c r="Q889" i="1" s="1"/>
  <c r="R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889" i="1"/>
  <c r="T889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D136" i="4" s="1"/>
  <c r="C122" i="5"/>
  <c r="C133" i="5" s="1"/>
  <c r="C136" i="5" s="1"/>
  <c r="C116" i="5"/>
  <c r="C116" i="4"/>
  <c r="C118" i="4"/>
  <c r="C116" i="3"/>
  <c r="C122" i="3"/>
  <c r="C133" i="3" s="1"/>
  <c r="C136" i="3" s="1"/>
  <c r="R888" i="1"/>
  <c r="S888" i="1" s="1"/>
  <c r="T888" i="1" s="1"/>
  <c r="C136" i="4" l="1"/>
  <c r="C138" i="4" s="1"/>
  <c r="R887" i="1"/>
  <c r="D136" i="5"/>
  <c r="C138" i="5" s="1"/>
  <c r="D136" i="3"/>
  <c r="C138" i="3" s="1"/>
  <c r="R886" i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S283" i="1" l="1"/>
  <c r="T283" i="1" s="1"/>
  <c r="R282" i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S263" i="1" l="1"/>
  <c r="T263" i="1" s="1"/>
  <c r="R262" i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S235" i="1" l="1"/>
  <c r="T235" i="1" s="1"/>
  <c r="R234" i="1"/>
  <c r="S234" i="1" l="1"/>
  <c r="T234" i="1" s="1"/>
  <c r="R233" i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S223" i="1" l="1"/>
  <c r="T223" i="1" s="1"/>
  <c r="R222" i="1"/>
  <c r="S222" i="1" l="1"/>
  <c r="T222" i="1" s="1"/>
  <c r="R221" i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S205" i="1" l="1"/>
  <c r="T205" i="1" s="1"/>
  <c r="R204" i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S199" i="1" l="1"/>
  <c r="T199" i="1" s="1"/>
  <c r="R198" i="1"/>
  <c r="R197" i="1" l="1"/>
  <c r="S198" i="1"/>
  <c r="T198" i="1" s="1"/>
  <c r="S197" i="1" l="1"/>
  <c r="T197" i="1" s="1"/>
  <c r="R196" i="1"/>
  <c r="R195" i="1" l="1"/>
  <c r="S196" i="1"/>
  <c r="T196" i="1" s="1"/>
  <c r="R194" i="1" l="1"/>
  <c r="S195" i="1"/>
  <c r="T195" i="1" s="1"/>
  <c r="S194" i="1" l="1"/>
  <c r="T194" i="1" s="1"/>
  <c r="R193" i="1"/>
  <c r="R192" i="1" l="1"/>
  <c r="S193" i="1"/>
  <c r="T193" i="1" s="1"/>
  <c r="R191" i="1" l="1"/>
  <c r="S192" i="1"/>
  <c r="T192" i="1" s="1"/>
  <c r="S191" i="1" l="1"/>
  <c r="T191" i="1" s="1"/>
  <c r="R190" i="1"/>
  <c r="S190" i="1" l="1"/>
  <c r="T190" i="1" s="1"/>
  <c r="R189" i="1"/>
  <c r="R188" i="1" l="1"/>
  <c r="S189" i="1"/>
  <c r="T189" i="1" s="1"/>
  <c r="R187" i="1" l="1"/>
  <c r="S188" i="1"/>
  <c r="T188" i="1" s="1"/>
  <c r="S187" i="1" l="1"/>
  <c r="T187" i="1" s="1"/>
  <c r="R186" i="1"/>
  <c r="S186" i="1" l="1"/>
  <c r="T186" i="1" s="1"/>
  <c r="R185" i="1"/>
  <c r="S185" i="1" l="1"/>
  <c r="T185" i="1" s="1"/>
  <c r="R184" i="1"/>
  <c r="R183" i="1" l="1"/>
  <c r="S184" i="1"/>
  <c r="T184" i="1" s="1"/>
  <c r="S183" i="1" l="1"/>
  <c r="T183" i="1" s="1"/>
  <c r="R182" i="1"/>
  <c r="S182" i="1" l="1"/>
  <c r="T182" i="1" s="1"/>
  <c r="R181" i="1"/>
  <c r="S181" i="1" l="1"/>
  <c r="T181" i="1" s="1"/>
  <c r="R180" i="1"/>
  <c r="R179" i="1" l="1"/>
  <c r="S180" i="1"/>
  <c r="T180" i="1" s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S174" i="1" l="1"/>
  <c r="T174" i="1" s="1"/>
  <c r="R173" i="1"/>
  <c r="S173" i="1" l="1"/>
  <c r="T173" i="1" s="1"/>
  <c r="R172" i="1"/>
  <c r="R171" i="1" l="1"/>
  <c r="S172" i="1"/>
  <c r="T172" i="1" s="1"/>
  <c r="S171" i="1" l="1"/>
  <c r="T171" i="1" s="1"/>
  <c r="R170" i="1"/>
  <c r="S170" i="1" l="1"/>
  <c r="T170" i="1" s="1"/>
  <c r="R169" i="1"/>
  <c r="S169" i="1" l="1"/>
  <c r="T169" i="1" s="1"/>
  <c r="R168" i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S163" i="1" l="1"/>
  <c r="T163" i="1" s="1"/>
  <c r="R162" i="1"/>
  <c r="S162" i="1" l="1"/>
  <c r="T162" i="1" s="1"/>
  <c r="R161" i="1"/>
  <c r="S161" i="1" l="1"/>
  <c r="T161" i="1" s="1"/>
  <c r="R160" i="1"/>
  <c r="R159" i="1" l="1"/>
  <c r="S160" i="1"/>
  <c r="T160" i="1" s="1"/>
  <c r="S159" i="1" l="1"/>
  <c r="T159" i="1" s="1"/>
  <c r="R158" i="1"/>
  <c r="S158" i="1" l="1"/>
  <c r="T158" i="1" s="1"/>
  <c r="R157" i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S150" i="1" l="1"/>
  <c r="T150" i="1" s="1"/>
  <c r="R149" i="1"/>
  <c r="S149" i="1" l="1"/>
  <c r="T149" i="1" s="1"/>
  <c r="R148" i="1"/>
  <c r="R147" i="1" l="1"/>
  <c r="S148" i="1"/>
  <c r="T148" i="1" s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S139" i="1" l="1"/>
  <c r="T139" i="1" s="1"/>
  <c r="R138" i="1"/>
  <c r="S138" i="1" l="1"/>
  <c r="T138" i="1" s="1"/>
  <c r="R137" i="1"/>
  <c r="S137" i="1" l="1"/>
  <c r="T137" i="1" s="1"/>
  <c r="R136" i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S126" i="1" l="1"/>
  <c r="T126" i="1" s="1"/>
  <c r="R125" i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S102" i="1" l="1"/>
  <c r="T102" i="1" s="1"/>
  <c r="R101" i="1"/>
  <c r="S101" i="1" l="1"/>
  <c r="T101" i="1" s="1"/>
  <c r="R100" i="1"/>
  <c r="R99" i="1" l="1"/>
  <c r="S100" i="1"/>
  <c r="T100" i="1" s="1"/>
  <c r="S99" i="1" l="1"/>
  <c r="T99" i="1" s="1"/>
  <c r="R98" i="1"/>
  <c r="S98" i="1" l="1"/>
  <c r="T98" i="1" s="1"/>
  <c r="R97" i="1"/>
  <c r="S97" i="1" l="1"/>
  <c r="T97" i="1" s="1"/>
  <c r="R96" i="1"/>
  <c r="R95" i="1" l="1"/>
  <c r="S96" i="1"/>
  <c r="T96" i="1" s="1"/>
  <c r="S95" i="1" l="1"/>
  <c r="T95" i="1" s="1"/>
  <c r="R94" i="1"/>
  <c r="S94" i="1" l="1"/>
  <c r="T94" i="1" s="1"/>
  <c r="R93" i="1"/>
  <c r="R92" i="1" l="1"/>
  <c r="S93" i="1"/>
  <c r="T93" i="1" s="1"/>
  <c r="R91" i="1" l="1"/>
  <c r="S92" i="1"/>
  <c r="T92" i="1" s="1"/>
  <c r="S91" i="1" l="1"/>
  <c r="T91" i="1" s="1"/>
  <c r="R90" i="1"/>
  <c r="S90" i="1" l="1"/>
  <c r="T90" i="1" s="1"/>
  <c r="R89" i="1"/>
  <c r="S89" i="1" l="1"/>
  <c r="T89" i="1" s="1"/>
  <c r="R88" i="1"/>
  <c r="R87" i="1" l="1"/>
  <c r="S88" i="1"/>
  <c r="T88" i="1" s="1"/>
  <c r="S87" i="1" l="1"/>
  <c r="T87" i="1" s="1"/>
  <c r="R86" i="1"/>
  <c r="S86" i="1" l="1"/>
  <c r="T86" i="1" s="1"/>
  <c r="R85" i="1"/>
  <c r="S85" i="1" l="1"/>
  <c r="T85" i="1" s="1"/>
  <c r="R84" i="1"/>
  <c r="R83" i="1" l="1"/>
  <c r="S84" i="1"/>
  <c r="T84" i="1" s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S79" i="1" l="1"/>
  <c r="T79" i="1" s="1"/>
  <c r="R78" i="1"/>
  <c r="S78" i="1" l="1"/>
  <c r="T78" i="1" s="1"/>
  <c r="R77" i="1"/>
  <c r="S77" i="1" l="1"/>
  <c r="T77" i="1" s="1"/>
  <c r="R76" i="1"/>
  <c r="R75" i="1" l="1"/>
  <c r="S76" i="1"/>
  <c r="T76" i="1" s="1"/>
  <c r="S75" i="1" l="1"/>
  <c r="T75" i="1" s="1"/>
  <c r="R74" i="1"/>
  <c r="S74" i="1" l="1"/>
  <c r="T74" i="1" s="1"/>
  <c r="R73" i="1"/>
  <c r="S73" i="1" l="1"/>
  <c r="T73" i="1" s="1"/>
  <c r="R72" i="1"/>
  <c r="R71" i="1" l="1"/>
  <c r="S72" i="1"/>
  <c r="T72" i="1" s="1"/>
  <c r="S71" i="1" l="1"/>
  <c r="T71" i="1" s="1"/>
  <c r="R70" i="1"/>
  <c r="R69" i="1" l="1"/>
  <c r="S70" i="1"/>
  <c r="T70" i="1" s="1"/>
  <c r="R68" i="1" l="1"/>
  <c r="S69" i="1"/>
  <c r="T69" i="1" s="1"/>
  <c r="R67" i="1" l="1"/>
  <c r="S68" i="1"/>
  <c r="T68" i="1" s="1"/>
  <c r="S67" i="1" l="1"/>
  <c r="T67" i="1" s="1"/>
  <c r="R66" i="1"/>
  <c r="S66" i="1" l="1"/>
  <c r="T66" i="1" s="1"/>
  <c r="R65" i="1"/>
  <c r="S65" i="1" l="1"/>
  <c r="T65" i="1" s="1"/>
  <c r="R64" i="1"/>
  <c r="R63" i="1" l="1"/>
  <c r="S64" i="1"/>
  <c r="T64" i="1" s="1"/>
  <c r="S63" i="1" l="1"/>
  <c r="T63" i="1" s="1"/>
  <c r="R62" i="1"/>
  <c r="S62" i="1" l="1"/>
  <c r="T62" i="1" s="1"/>
  <c r="R61" i="1"/>
  <c r="S61" i="1" l="1"/>
  <c r="T61" i="1" s="1"/>
  <c r="R60" i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S55" i="1" l="1"/>
  <c r="T55" i="1" s="1"/>
  <c r="R54" i="1"/>
  <c r="S54" i="1" l="1"/>
  <c r="T54" i="1" s="1"/>
  <c r="R53" i="1"/>
  <c r="S53" i="1" l="1"/>
  <c r="T53" i="1" s="1"/>
  <c r="R52" i="1"/>
  <c r="R51" i="1" l="1"/>
  <c r="S52" i="1"/>
  <c r="T52" i="1" s="1"/>
  <c r="S51" i="1" l="1"/>
  <c r="T51" i="1" s="1"/>
  <c r="R50" i="1"/>
  <c r="S50" i="1" l="1"/>
  <c r="T50" i="1" s="1"/>
  <c r="R49" i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S41" i="1" l="1"/>
  <c r="T41" i="1" s="1"/>
  <c r="R40" i="1"/>
  <c r="R39" i="1" l="1"/>
  <c r="S40" i="1"/>
  <c r="T40" i="1" s="1"/>
  <c r="S39" i="1" l="1"/>
  <c r="T39" i="1" s="1"/>
  <c r="R38" i="1"/>
  <c r="R37" i="1" l="1"/>
  <c r="S38" i="1"/>
  <c r="T38" i="1" s="1"/>
  <c r="R36" i="1" l="1"/>
  <c r="S37" i="1"/>
  <c r="T37" i="1" s="1"/>
  <c r="R35" i="1" l="1"/>
  <c r="S36" i="1"/>
  <c r="T36" i="1" s="1"/>
  <c r="S35" i="1" l="1"/>
  <c r="T35" i="1" s="1"/>
  <c r="R34" i="1"/>
  <c r="S34" i="1" l="1"/>
  <c r="T34" i="1" s="1"/>
  <c r="R33" i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S29" i="1" l="1"/>
  <c r="T29" i="1" s="1"/>
  <c r="R28" i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<sst xmlns="http://schemas.openxmlformats.org/spreadsheetml/2006/main" count="9258" uniqueCount="34">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</sst>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0.22059999999999999</c:v>
                </c:pt>
                <c:pt idx="1">
                  <c:v>0.22450000000000001</c:v>
                </c:pt>
                <c:pt idx="2">
                  <c:v>0.21410000000000001</c:v>
                </c:pt>
                <c:pt idx="3">
                  <c:v>0.21260000000000001</c:v>
                </c:pt>
                <c:pt idx="4">
                  <c:v>0.2248</c:v>
                </c:pt>
                <c:pt idx="5">
                  <c:v>0.21740000000000001</c:v>
                </c:pt>
                <c:pt idx="6">
                  <c:v>0.2404</c:v>
                </c:pt>
                <c:pt idx="7">
                  <c:v>0.2828</c:v>
                </c:pt>
                <c:pt idx="8">
                  <c:v>0.29830000000000001</c:v>
                </c:pt>
                <c:pt idx="9">
                  <c:v>0.31259999999999999</c:v>
                </c:pt>
                <c:pt idx="10">
                  <c:v>0.32090000000000002</c:v>
                </c:pt>
                <c:pt idx="11">
                  <c:v>0.3372</c:v>
                </c:pt>
                <c:pt idx="12">
                  <c:v>0.33439999999999998</c:v>
                </c:pt>
                <c:pt idx="13">
                  <c:v>0.32940000000000003</c:v>
                </c:pt>
                <c:pt idx="14">
                  <c:v>0.32119999999999999</c:v>
                </c:pt>
                <c:pt idx="15">
                  <c:v>0.33889999999999998</c:v>
                </c:pt>
                <c:pt idx="16">
                  <c:v>0.32290000000000002</c:v>
                </c:pt>
                <c:pt idx="17">
                  <c:v>0.31219999999999998</c:v>
                </c:pt>
                <c:pt idx="18">
                  <c:v>0.32329999999999998</c:v>
                </c:pt>
                <c:pt idx="19">
                  <c:v>0.31280000000000002</c:v>
                </c:pt>
                <c:pt idx="20">
                  <c:v>0.33139999999999997</c:v>
                </c:pt>
                <c:pt idx="21">
                  <c:v>0.33429999999999999</c:v>
                </c:pt>
                <c:pt idx="22">
                  <c:v>0.33119999999999999</c:v>
                </c:pt>
                <c:pt idx="23">
                  <c:v>0.35749999999999998</c:v>
                </c:pt>
                <c:pt idx="24">
                  <c:v>0.37380000000000002</c:v>
                </c:pt>
                <c:pt idx="25">
                  <c:v>0.39560000000000001</c:v>
                </c:pt>
                <c:pt idx="26">
                  <c:v>0.36709999999999998</c:v>
                </c:pt>
                <c:pt idx="27">
                  <c:v>0.3281</c:v>
                </c:pt>
                <c:pt idx="28">
                  <c:v>0.33539999999999998</c:v>
                </c:pt>
                <c:pt idx="29">
                  <c:v>0.33139999999999997</c:v>
                </c:pt>
                <c:pt idx="30">
                  <c:v>0.34110000000000001</c:v>
                </c:pt>
                <c:pt idx="31">
                  <c:v>0.37519999999999998</c:v>
                </c:pt>
                <c:pt idx="32">
                  <c:v>0.37090000000000001</c:v>
                </c:pt>
                <c:pt idx="33">
                  <c:v>0.36549999999999999</c:v>
                </c:pt>
                <c:pt idx="34">
                  <c:v>0.36070000000000002</c:v>
                </c:pt>
                <c:pt idx="35">
                  <c:v>0.36280000000000001</c:v>
                </c:pt>
                <c:pt idx="36">
                  <c:v>0.33989999999999998</c:v>
                </c:pt>
                <c:pt idx="37">
                  <c:v>0.33139999999999997</c:v>
                </c:pt>
                <c:pt idx="38">
                  <c:v>0.31769999999999998</c:v>
                </c:pt>
                <c:pt idx="39">
                  <c:v>0.32469999999999999</c:v>
                </c:pt>
                <c:pt idx="40">
                  <c:v>0.33350000000000002</c:v>
                </c:pt>
                <c:pt idx="41">
                  <c:v>0.32329999999999998</c:v>
                </c:pt>
                <c:pt idx="42">
                  <c:v>0.3347</c:v>
                </c:pt>
                <c:pt idx="43">
                  <c:v>0.34110000000000001</c:v>
                </c:pt>
                <c:pt idx="44">
                  <c:v>0.3271</c:v>
                </c:pt>
                <c:pt idx="45">
                  <c:v>0.317</c:v>
                </c:pt>
                <c:pt idx="46">
                  <c:v>0.35809999999999997</c:v>
                </c:pt>
                <c:pt idx="47">
                  <c:v>0.34110000000000001</c:v>
                </c:pt>
                <c:pt idx="48">
                  <c:v>0.33779999999999999</c:v>
                </c:pt>
                <c:pt idx="49">
                  <c:v>0.35809999999999997</c:v>
                </c:pt>
                <c:pt idx="50">
                  <c:v>0.40579999999999999</c:v>
                </c:pt>
                <c:pt idx="51">
                  <c:v>0.39560000000000001</c:v>
                </c:pt>
                <c:pt idx="52">
                  <c:v>0.38129999999999997</c:v>
                </c:pt>
                <c:pt idx="53">
                  <c:v>0.3639</c:v>
                </c:pt>
                <c:pt idx="54">
                  <c:v>0.4007</c:v>
                </c:pt>
                <c:pt idx="55">
                  <c:v>0.47339999999999999</c:v>
                </c:pt>
                <c:pt idx="56">
                  <c:v>0.53539999999999999</c:v>
                </c:pt>
                <c:pt idx="57">
                  <c:v>0.56810000000000005</c:v>
                </c:pt>
                <c:pt idx="58">
                  <c:v>0.53600000000000003</c:v>
                </c:pt>
                <c:pt idx="59">
                  <c:v>0.57079999999999997</c:v>
                </c:pt>
                <c:pt idx="60">
                  <c:v>0.57630000000000003</c:v>
                </c:pt>
                <c:pt idx="61">
                  <c:v>0.61880000000000002</c:v>
                </c:pt>
                <c:pt idx="62">
                  <c:v>0.57940000000000003</c:v>
                </c:pt>
                <c:pt idx="63">
                  <c:v>0.51290000000000002</c:v>
                </c:pt>
                <c:pt idx="64">
                  <c:v>0.50580000000000003</c:v>
                </c:pt>
                <c:pt idx="65">
                  <c:v>0.52390000000000003</c:v>
                </c:pt>
                <c:pt idx="66">
                  <c:v>0.5423</c:v>
                </c:pt>
                <c:pt idx="67">
                  <c:v>0.54830000000000001</c:v>
                </c:pt>
                <c:pt idx="68">
                  <c:v>0.55930000000000002</c:v>
                </c:pt>
                <c:pt idx="69">
                  <c:v>0.47799999999999998</c:v>
                </c:pt>
                <c:pt idx="70">
                  <c:v>0.45650000000000002</c:v>
                </c:pt>
                <c:pt idx="71">
                  <c:v>0.4995</c:v>
                </c:pt>
                <c:pt idx="72">
                  <c:v>0.46560000000000001</c:v>
                </c:pt>
                <c:pt idx="73">
                  <c:v>0.49330000000000002</c:v>
                </c:pt>
                <c:pt idx="74">
                  <c:v>0.4914</c:v>
                </c:pt>
                <c:pt idx="75">
                  <c:v>0.46910000000000002</c:v>
                </c:pt>
                <c:pt idx="76">
                  <c:v>0.45650000000000002</c:v>
                </c:pt>
                <c:pt idx="77">
                  <c:v>0.46700000000000003</c:v>
                </c:pt>
                <c:pt idx="78">
                  <c:v>0.46160000000000001</c:v>
                </c:pt>
                <c:pt idx="79">
                  <c:v>0.49070000000000003</c:v>
                </c:pt>
                <c:pt idx="80">
                  <c:v>0.49109999999999998</c:v>
                </c:pt>
                <c:pt idx="81">
                  <c:v>0.49070000000000003</c:v>
                </c:pt>
                <c:pt idx="82">
                  <c:v>0.49890000000000001</c:v>
                </c:pt>
                <c:pt idx="83">
                  <c:v>0.51349999999999996</c:v>
                </c:pt>
                <c:pt idx="84">
                  <c:v>0.49159999999999998</c:v>
                </c:pt>
                <c:pt idx="85">
                  <c:v>0.49080000000000001</c:v>
                </c:pt>
                <c:pt idx="86">
                  <c:v>0.4975</c:v>
                </c:pt>
                <c:pt idx="87">
                  <c:v>0.47820000000000001</c:v>
                </c:pt>
                <c:pt idx="88">
                  <c:v>0.47170000000000001</c:v>
                </c:pt>
                <c:pt idx="89">
                  <c:v>0.47599999999999998</c:v>
                </c:pt>
                <c:pt idx="90">
                  <c:v>0.46460000000000001</c:v>
                </c:pt>
                <c:pt idx="91">
                  <c:v>0.43890000000000001</c:v>
                </c:pt>
                <c:pt idx="92">
                  <c:v>0.41870000000000002</c:v>
                </c:pt>
                <c:pt idx="93">
                  <c:v>0.48349999999999999</c:v>
                </c:pt>
                <c:pt idx="94">
                  <c:v>0.47889999999999999</c:v>
                </c:pt>
                <c:pt idx="95">
                  <c:v>0.46929999999999999</c:v>
                </c:pt>
                <c:pt idx="96">
                  <c:v>0.48139999999999999</c:v>
                </c:pt>
                <c:pt idx="97">
                  <c:v>0.47820000000000001</c:v>
                </c:pt>
                <c:pt idx="98">
                  <c:v>0.4672</c:v>
                </c:pt>
                <c:pt idx="99">
                  <c:v>0.4864</c:v>
                </c:pt>
                <c:pt idx="100">
                  <c:v>0.47389999999999999</c:v>
                </c:pt>
                <c:pt idx="101">
                  <c:v>0.47289999999999999</c:v>
                </c:pt>
                <c:pt idx="102">
                  <c:v>0.46929999999999999</c:v>
                </c:pt>
                <c:pt idx="103">
                  <c:v>0.48170000000000002</c:v>
                </c:pt>
                <c:pt idx="104">
                  <c:v>0.48120000000000002</c:v>
                </c:pt>
                <c:pt idx="105">
                  <c:v>0.51080000000000003</c:v>
                </c:pt>
                <c:pt idx="106">
                  <c:v>0.505</c:v>
                </c:pt>
                <c:pt idx="107">
                  <c:v>0.48820000000000002</c:v>
                </c:pt>
                <c:pt idx="108">
                  <c:v>0.49669999999999997</c:v>
                </c:pt>
                <c:pt idx="109">
                  <c:v>0.50080000000000002</c:v>
                </c:pt>
                <c:pt idx="110">
                  <c:v>0.5282</c:v>
                </c:pt>
                <c:pt idx="111">
                  <c:v>0.56889999999999996</c:v>
                </c:pt>
                <c:pt idx="112">
                  <c:v>0.54790000000000005</c:v>
                </c:pt>
                <c:pt idx="113">
                  <c:v>0.55589999999999995</c:v>
                </c:pt>
                <c:pt idx="114">
                  <c:v>0.52390000000000003</c:v>
                </c:pt>
                <c:pt idx="115">
                  <c:v>0.5091</c:v>
                </c:pt>
                <c:pt idx="116">
                  <c:v>0.51070000000000004</c:v>
                </c:pt>
                <c:pt idx="117">
                  <c:v>0.47449999999999998</c:v>
                </c:pt>
                <c:pt idx="118">
                  <c:v>0.4778</c:v>
                </c:pt>
                <c:pt idx="119">
                  <c:v>0.43480000000000002</c:v>
                </c:pt>
                <c:pt idx="120">
                  <c:v>0.39650000000000002</c:v>
                </c:pt>
                <c:pt idx="121">
                  <c:v>0.39350000000000002</c:v>
                </c:pt>
                <c:pt idx="122">
                  <c:v>0.41470000000000001</c:v>
                </c:pt>
                <c:pt idx="123">
                  <c:v>0.43490000000000001</c:v>
                </c:pt>
                <c:pt idx="124">
                  <c:v>0.45629999999999998</c:v>
                </c:pt>
                <c:pt idx="125">
                  <c:v>0.4803</c:v>
                </c:pt>
                <c:pt idx="126">
                  <c:v>0.53110000000000002</c:v>
                </c:pt>
                <c:pt idx="127">
                  <c:v>0.42970000000000003</c:v>
                </c:pt>
                <c:pt idx="128">
                  <c:v>0.38129999999999997</c:v>
                </c:pt>
                <c:pt idx="129">
                  <c:v>0.44519999999999998</c:v>
                </c:pt>
                <c:pt idx="130">
                  <c:v>0.49990000000000001</c:v>
                </c:pt>
                <c:pt idx="131">
                  <c:v>0.53659999999999997</c:v>
                </c:pt>
                <c:pt idx="132">
                  <c:v>0.54979999999999996</c:v>
                </c:pt>
                <c:pt idx="133">
                  <c:v>0.53620000000000001</c:v>
                </c:pt>
                <c:pt idx="134">
                  <c:v>0.53129999999999999</c:v>
                </c:pt>
                <c:pt idx="135">
                  <c:v>0.50560000000000005</c:v>
                </c:pt>
                <c:pt idx="136">
                  <c:v>0.49270000000000003</c:v>
                </c:pt>
                <c:pt idx="137">
                  <c:v>0.51929999999999998</c:v>
                </c:pt>
                <c:pt idx="138">
                  <c:v>0.52580000000000005</c:v>
                </c:pt>
                <c:pt idx="139">
                  <c:v>0.52780000000000005</c:v>
                </c:pt>
                <c:pt idx="140">
                  <c:v>0.58130000000000004</c:v>
                </c:pt>
                <c:pt idx="141">
                  <c:v>0.53359999999999996</c:v>
                </c:pt>
                <c:pt idx="142">
                  <c:v>0.50890000000000002</c:v>
                </c:pt>
                <c:pt idx="143">
                  <c:v>0.63700000000000001</c:v>
                </c:pt>
                <c:pt idx="144">
                  <c:v>0.62570000000000003</c:v>
                </c:pt>
                <c:pt idx="145">
                  <c:v>0.94430000000000003</c:v>
                </c:pt>
                <c:pt idx="146">
                  <c:v>0.39389999999999997</c:v>
                </c:pt>
                <c:pt idx="147">
                  <c:v>0.35720000000000002</c:v>
                </c:pt>
                <c:pt idx="148">
                  <c:v>0.3523</c:v>
                </c:pt>
                <c:pt idx="149">
                  <c:v>0.3402</c:v>
                </c:pt>
                <c:pt idx="150">
                  <c:v>0.33429999999999999</c:v>
                </c:pt>
                <c:pt idx="151">
                  <c:v>0.3533</c:v>
                </c:pt>
                <c:pt idx="152">
                  <c:v>0.3463</c:v>
                </c:pt>
                <c:pt idx="153">
                  <c:v>0.34</c:v>
                </c:pt>
                <c:pt idx="154">
                  <c:v>0.3216</c:v>
                </c:pt>
                <c:pt idx="155">
                  <c:v>0.35637999999999997</c:v>
                </c:pt>
                <c:pt idx="156">
                  <c:v>0.3463</c:v>
                </c:pt>
                <c:pt idx="157">
                  <c:v>0.37525999999999998</c:v>
                </c:pt>
                <c:pt idx="158">
                  <c:v>0.33862999999999999</c:v>
                </c:pt>
                <c:pt idx="159">
                  <c:v>0.33890999999999999</c:v>
                </c:pt>
                <c:pt idx="160">
                  <c:v>0.33268999999999999</c:v>
                </c:pt>
                <c:pt idx="161">
                  <c:v>0.32513999999999998</c:v>
                </c:pt>
                <c:pt idx="162">
                  <c:v>0.30498999999999998</c:v>
                </c:pt>
                <c:pt idx="163">
                  <c:v>0.31309999999999999</c:v>
                </c:pt>
                <c:pt idx="164">
                  <c:v>0.33827000000000002</c:v>
                </c:pt>
                <c:pt idx="165">
                  <c:v>0.34208</c:v>
                </c:pt>
                <c:pt idx="166">
                  <c:v>0.33793000000000001</c:v>
                </c:pt>
                <c:pt idx="167">
                  <c:v>0.34094000000000002</c:v>
                </c:pt>
                <c:pt idx="168">
                  <c:v>0.31268000000000001</c:v>
                </c:pt>
                <c:pt idx="169">
                  <c:v>0.32596000000000003</c:v>
                </c:pt>
                <c:pt idx="170">
                  <c:v>0.31176999999999999</c:v>
                </c:pt>
                <c:pt idx="171">
                  <c:v>0.29669000000000001</c:v>
                </c:pt>
                <c:pt idx="172">
                  <c:v>0.28703000000000001</c:v>
                </c:pt>
                <c:pt idx="173">
                  <c:v>0.30504999999999999</c:v>
                </c:pt>
                <c:pt idx="174">
                  <c:v>0.29624</c:v>
                </c:pt>
                <c:pt idx="175">
                  <c:v>0.29385</c:v>
                </c:pt>
                <c:pt idx="176">
                  <c:v>0.27710000000000001</c:v>
                </c:pt>
                <c:pt idx="177">
                  <c:v>0.26878999999999997</c:v>
                </c:pt>
                <c:pt idx="178">
                  <c:v>0.2707</c:v>
                </c:pt>
                <c:pt idx="179">
                  <c:v>0.26768999999999998</c:v>
                </c:pt>
                <c:pt idx="180">
                  <c:v>0.28726000000000002</c:v>
                </c:pt>
                <c:pt idx="181">
                  <c:v>0.27596999999999999</c:v>
                </c:pt>
                <c:pt idx="182">
                  <c:v>0.27499000000000001</c:v>
                </c:pt>
                <c:pt idx="183">
                  <c:v>0.26454</c:v>
                </c:pt>
                <c:pt idx="184">
                  <c:v>0.26190000000000002</c:v>
                </c:pt>
                <c:pt idx="185">
                  <c:v>0.22241</c:v>
                </c:pt>
                <c:pt idx="186">
                  <c:v>0.22009999999999999</c:v>
                </c:pt>
                <c:pt idx="187">
                  <c:v>0.21554000000000001</c:v>
                </c:pt>
                <c:pt idx="188">
                  <c:v>0.21365000000000001</c:v>
                </c:pt>
                <c:pt idx="189">
                  <c:v>0.20694000000000001</c:v>
                </c:pt>
                <c:pt idx="190">
                  <c:v>0.19711000000000001</c:v>
                </c:pt>
                <c:pt idx="191">
                  <c:v>0.18121999999999999</c:v>
                </c:pt>
                <c:pt idx="192">
                  <c:v>0.19811999999999999</c:v>
                </c:pt>
                <c:pt idx="193">
                  <c:v>0.21077000000000001</c:v>
                </c:pt>
                <c:pt idx="194">
                  <c:v>0.21049000000000001</c:v>
                </c:pt>
                <c:pt idx="195">
                  <c:v>0.2094</c:v>
                </c:pt>
                <c:pt idx="196">
                  <c:v>0.22170999999999999</c:v>
                </c:pt>
                <c:pt idx="197">
                  <c:v>0.23236000000000001</c:v>
                </c:pt>
                <c:pt idx="198">
                  <c:v>0.23491000000000001</c:v>
                </c:pt>
                <c:pt idx="199">
                  <c:v>0.23923</c:v>
                </c:pt>
                <c:pt idx="200">
                  <c:v>0.24623999999999999</c:v>
                </c:pt>
                <c:pt idx="201">
                  <c:v>0.24142</c:v>
                </c:pt>
                <c:pt idx="202">
                  <c:v>0.25080999999999998</c:v>
                </c:pt>
                <c:pt idx="203">
                  <c:v>0.24346000000000001</c:v>
                </c:pt>
                <c:pt idx="204">
                  <c:v>0.27504000000000001</c:v>
                </c:pt>
                <c:pt idx="205">
                  <c:v>0.28114</c:v>
                </c:pt>
                <c:pt idx="206">
                  <c:v>0.28421000000000002</c:v>
                </c:pt>
                <c:pt idx="207">
                  <c:v>0.25094</c:v>
                </c:pt>
                <c:pt idx="208">
                  <c:v>0.24240999999999999</c:v>
                </c:pt>
                <c:pt idx="209">
                  <c:v>0.23549999999999999</c:v>
                </c:pt>
                <c:pt idx="210">
                  <c:v>0.23785000000000001</c:v>
                </c:pt>
                <c:pt idx="211">
                  <c:v>0.24826999999999999</c:v>
                </c:pt>
                <c:pt idx="212">
                  <c:v>0.22584000000000001</c:v>
                </c:pt>
                <c:pt idx="213">
                  <c:v>0.20407</c:v>
                </c:pt>
                <c:pt idx="214">
                  <c:v>0.19184000000000001</c:v>
                </c:pt>
                <c:pt idx="215">
                  <c:v>0.18870999999999999</c:v>
                </c:pt>
                <c:pt idx="216">
                  <c:v>0.17760999999999999</c:v>
                </c:pt>
                <c:pt idx="217">
                  <c:v>0.19703000000000001</c:v>
                </c:pt>
                <c:pt idx="218">
                  <c:v>0.18634999999999999</c:v>
                </c:pt>
                <c:pt idx="219">
                  <c:v>0.1696</c:v>
                </c:pt>
                <c:pt idx="220">
                  <c:v>0.17362</c:v>
                </c:pt>
                <c:pt idx="221">
                  <c:v>0.22636000000000001</c:v>
                </c:pt>
                <c:pt idx="222">
                  <c:v>0.22677</c:v>
                </c:pt>
                <c:pt idx="223">
                  <c:v>0.23408000000000001</c:v>
                </c:pt>
                <c:pt idx="224">
                  <c:v>0.25153999999999999</c:v>
                </c:pt>
                <c:pt idx="225">
                  <c:v>0.25380000000000003</c:v>
                </c:pt>
                <c:pt idx="226">
                  <c:v>0.26961000000000002</c:v>
                </c:pt>
                <c:pt idx="227">
                  <c:v>0.27555000000000002</c:v>
                </c:pt>
                <c:pt idx="228">
                  <c:v>0.26712000000000002</c:v>
                </c:pt>
                <c:pt idx="229">
                  <c:v>0.25309999999999999</c:v>
                </c:pt>
                <c:pt idx="230">
                  <c:v>0.26516000000000001</c:v>
                </c:pt>
                <c:pt idx="231">
                  <c:v>0.29159000000000002</c:v>
                </c:pt>
                <c:pt idx="232">
                  <c:v>0.29647000000000001</c:v>
                </c:pt>
                <c:pt idx="233">
                  <c:v>0.28442000000000001</c:v>
                </c:pt>
                <c:pt idx="234">
                  <c:v>0.29705999999999999</c:v>
                </c:pt>
                <c:pt idx="235">
                  <c:v>0.32554</c:v>
                </c:pt>
                <c:pt idx="236">
                  <c:v>0.31356000000000001</c:v>
                </c:pt>
                <c:pt idx="237">
                  <c:v>0.32469999999999999</c:v>
                </c:pt>
                <c:pt idx="238">
                  <c:v>0.35607</c:v>
                </c:pt>
                <c:pt idx="239">
                  <c:v>0.33712999999999999</c:v>
                </c:pt>
                <c:pt idx="240">
                  <c:v>0.32795999999999997</c:v>
                </c:pt>
                <c:pt idx="241">
                  <c:v>0.33452999999999999</c:v>
                </c:pt>
                <c:pt idx="242">
                  <c:v>0.31295000000000001</c:v>
                </c:pt>
                <c:pt idx="243">
                  <c:v>0.30521999999999999</c:v>
                </c:pt>
                <c:pt idx="244">
                  <c:v>0.32168000000000002</c:v>
                </c:pt>
                <c:pt idx="245">
                  <c:v>0.36997999999999998</c:v>
                </c:pt>
                <c:pt idx="246">
                  <c:v>0.35851</c:v>
                </c:pt>
                <c:pt idx="247">
                  <c:v>0.32317000000000001</c:v>
                </c:pt>
                <c:pt idx="248">
                  <c:v>0.32252999999999998</c:v>
                </c:pt>
                <c:pt idx="249">
                  <c:v>0.27629999999999999</c:v>
                </c:pt>
                <c:pt idx="250">
                  <c:v>0.32172000000000001</c:v>
                </c:pt>
                <c:pt idx="251">
                  <c:v>0.35972999999999999</c:v>
                </c:pt>
                <c:pt idx="252">
                  <c:v>0.45954</c:v>
                </c:pt>
                <c:pt idx="253">
                  <c:v>0.29202</c:v>
                </c:pt>
                <c:pt idx="254">
                  <c:v>0.42433999999999999</c:v>
                </c:pt>
                <c:pt idx="255">
                  <c:v>0.40600000000000003</c:v>
                </c:pt>
                <c:pt idx="256">
                  <c:v>0.44546000000000002</c:v>
                </c:pt>
                <c:pt idx="257">
                  <c:v>0.44364999999999999</c:v>
                </c:pt>
                <c:pt idx="258">
                  <c:v>0.48492000000000002</c:v>
                </c:pt>
                <c:pt idx="259">
                  <c:v>0.46448</c:v>
                </c:pt>
                <c:pt idx="260">
                  <c:v>0.45049</c:v>
                </c:pt>
                <c:pt idx="261">
                  <c:v>0.53237000000000001</c:v>
                </c:pt>
                <c:pt idx="262">
                  <c:v>0.50575000000000003</c:v>
                </c:pt>
                <c:pt idx="263">
                  <c:v>0.58552999999999999</c:v>
                </c:pt>
                <c:pt idx="264">
                  <c:v>0.60458000000000001</c:v>
                </c:pt>
                <c:pt idx="265">
                  <c:v>0.59406999999999999</c:v>
                </c:pt>
                <c:pt idx="266">
                  <c:v>0.58167000000000002</c:v>
                </c:pt>
                <c:pt idx="267">
                  <c:v>0.57991000000000004</c:v>
                </c:pt>
                <c:pt idx="268">
                  <c:v>0.52856000000000003</c:v>
                </c:pt>
                <c:pt idx="269">
                  <c:v>0.58267000000000002</c:v>
                </c:pt>
                <c:pt idx="270">
                  <c:v>0.56776000000000004</c:v>
                </c:pt>
                <c:pt idx="271">
                  <c:v>0.53610999999999998</c:v>
                </c:pt>
                <c:pt idx="272">
                  <c:v>0.52975000000000005</c:v>
                </c:pt>
                <c:pt idx="273">
                  <c:v>0.51509000000000005</c:v>
                </c:pt>
                <c:pt idx="274">
                  <c:v>0.52039999999999997</c:v>
                </c:pt>
                <c:pt idx="275">
                  <c:v>0.54778000000000004</c:v>
                </c:pt>
                <c:pt idx="276">
                  <c:v>0.52132000000000001</c:v>
                </c:pt>
                <c:pt idx="277">
                  <c:v>0.42703999999999998</c:v>
                </c:pt>
                <c:pt idx="278">
                  <c:v>0.41688999999999998</c:v>
                </c:pt>
                <c:pt idx="279">
                  <c:v>0.46109</c:v>
                </c:pt>
                <c:pt idx="280">
                  <c:v>0.46527000000000002</c:v>
                </c:pt>
                <c:pt idx="281">
                  <c:v>0.54247999999999996</c:v>
                </c:pt>
                <c:pt idx="282">
                  <c:v>0.58908000000000005</c:v>
                </c:pt>
                <c:pt idx="283">
                  <c:v>0.51354</c:v>
                </c:pt>
                <c:pt idx="284">
                  <c:v>0.56686000000000003</c:v>
                </c:pt>
                <c:pt idx="285">
                  <c:v>0.64617000000000002</c:v>
                </c:pt>
                <c:pt idx="286">
                  <c:v>0.66100000000000003</c:v>
                </c:pt>
                <c:pt idx="287">
                  <c:v>0.71796000000000004</c:v>
                </c:pt>
                <c:pt idx="288">
                  <c:v>0.6583</c:v>
                </c:pt>
                <c:pt idx="289">
                  <c:v>0.70467999999999997</c:v>
                </c:pt>
                <c:pt idx="290">
                  <c:v>0.64456000000000002</c:v>
                </c:pt>
                <c:pt idx="291">
                  <c:v>0.65564</c:v>
                </c:pt>
                <c:pt idx="292">
                  <c:v>0.59404000000000001</c:v>
                </c:pt>
                <c:pt idx="293">
                  <c:v>0.59530000000000005</c:v>
                </c:pt>
                <c:pt idx="294">
                  <c:v>0.58330000000000004</c:v>
                </c:pt>
                <c:pt idx="295">
                  <c:v>0.53402000000000005</c:v>
                </c:pt>
                <c:pt idx="296">
                  <c:v>0.60385999999999995</c:v>
                </c:pt>
                <c:pt idx="297">
                  <c:v>0.61163999999999996</c:v>
                </c:pt>
                <c:pt idx="298">
                  <c:v>0.63007999999999997</c:v>
                </c:pt>
                <c:pt idx="299">
                  <c:v>0.60155000000000003</c:v>
                </c:pt>
                <c:pt idx="300">
                  <c:v>0.68615000000000004</c:v>
                </c:pt>
                <c:pt idx="301">
                  <c:v>0.53291999999999995</c:v>
                </c:pt>
                <c:pt idx="302">
                  <c:v>0.56211</c:v>
                </c:pt>
                <c:pt idx="303">
                  <c:v>0.50829000000000002</c:v>
                </c:pt>
                <c:pt idx="304">
                  <c:v>0.49382999999999999</c:v>
                </c:pt>
                <c:pt idx="305">
                  <c:v>0.48659000000000002</c:v>
                </c:pt>
                <c:pt idx="306">
                  <c:v>0.45684999999999998</c:v>
                </c:pt>
                <c:pt idx="307">
                  <c:v>0.43869999999999998</c:v>
                </c:pt>
                <c:pt idx="308">
                  <c:v>0.40933999999999998</c:v>
                </c:pt>
                <c:pt idx="309">
                  <c:v>0.42810999999999999</c:v>
                </c:pt>
                <c:pt idx="310">
                  <c:v>0.46216000000000002</c:v>
                </c:pt>
                <c:pt idx="311">
                  <c:v>0.4244</c:v>
                </c:pt>
                <c:pt idx="312">
                  <c:v>0.42968000000000001</c:v>
                </c:pt>
                <c:pt idx="313">
                  <c:v>0.42092000000000002</c:v>
                </c:pt>
                <c:pt idx="314">
                  <c:v>0.437</c:v>
                </c:pt>
                <c:pt idx="315">
                  <c:v>0.42841000000000001</c:v>
                </c:pt>
                <c:pt idx="316">
                  <c:v>0.42343999999999998</c:v>
                </c:pt>
                <c:pt idx="317">
                  <c:v>0.41615999999999997</c:v>
                </c:pt>
                <c:pt idx="318">
                  <c:v>0.42720999999999998</c:v>
                </c:pt>
                <c:pt idx="319">
                  <c:v>0.45162000000000002</c:v>
                </c:pt>
                <c:pt idx="320">
                  <c:v>0.43941000000000002</c:v>
                </c:pt>
                <c:pt idx="321">
                  <c:v>0.42631000000000002</c:v>
                </c:pt>
                <c:pt idx="322">
                  <c:v>0.42832999999999999</c:v>
                </c:pt>
                <c:pt idx="323">
                  <c:v>0.43380999999999997</c:v>
                </c:pt>
                <c:pt idx="324">
                  <c:v>0.48065999999999998</c:v>
                </c:pt>
                <c:pt idx="325">
                  <c:v>0.41111999999999999</c:v>
                </c:pt>
                <c:pt idx="326">
                  <c:v>0.40098</c:v>
                </c:pt>
                <c:pt idx="327">
                  <c:v>0.39151999999999998</c:v>
                </c:pt>
                <c:pt idx="328">
                  <c:v>0.38095000000000001</c:v>
                </c:pt>
                <c:pt idx="329">
                  <c:v>0.37887999999999999</c:v>
                </c:pt>
                <c:pt idx="330">
                  <c:v>0.39251000000000003</c:v>
                </c:pt>
                <c:pt idx="331">
                  <c:v>0.38108999999999998</c:v>
                </c:pt>
                <c:pt idx="332">
                  <c:v>0.37012</c:v>
                </c:pt>
                <c:pt idx="333">
                  <c:v>0.33494000000000002</c:v>
                </c:pt>
                <c:pt idx="334">
                  <c:v>0.37158000000000002</c:v>
                </c:pt>
                <c:pt idx="335">
                  <c:v>0.34577000000000002</c:v>
                </c:pt>
                <c:pt idx="336">
                  <c:v>0.34538999999999997</c:v>
                </c:pt>
                <c:pt idx="337">
                  <c:v>0.36096</c:v>
                </c:pt>
                <c:pt idx="338">
                  <c:v>0.34310000000000002</c:v>
                </c:pt>
                <c:pt idx="339">
                  <c:v>0.41754999999999998</c:v>
                </c:pt>
                <c:pt idx="340">
                  <c:v>0.46011000000000002</c:v>
                </c:pt>
                <c:pt idx="341">
                  <c:v>0.44974999999999998</c:v>
                </c:pt>
                <c:pt idx="342">
                  <c:v>0.51034999999999997</c:v>
                </c:pt>
                <c:pt idx="343">
                  <c:v>0.44558999999999999</c:v>
                </c:pt>
                <c:pt idx="344">
                  <c:v>0.43397999999999998</c:v>
                </c:pt>
                <c:pt idx="345">
                  <c:v>0.44746999999999998</c:v>
                </c:pt>
                <c:pt idx="346">
                  <c:v>0.46256000000000003</c:v>
                </c:pt>
                <c:pt idx="347">
                  <c:v>0.45207000000000003</c:v>
                </c:pt>
                <c:pt idx="348">
                  <c:v>0.49378</c:v>
                </c:pt>
                <c:pt idx="349">
                  <c:v>0.34655000000000002</c:v>
                </c:pt>
                <c:pt idx="350">
                  <c:v>0.26883000000000001</c:v>
                </c:pt>
                <c:pt idx="351">
                  <c:v>0.24434</c:v>
                </c:pt>
                <c:pt idx="352">
                  <c:v>0.24747</c:v>
                </c:pt>
                <c:pt idx="353">
                  <c:v>0.23841999999999999</c:v>
                </c:pt>
                <c:pt idx="354">
                  <c:v>0.23044000000000001</c:v>
                </c:pt>
                <c:pt idx="355">
                  <c:v>0.24690999999999999</c:v>
                </c:pt>
                <c:pt idx="356">
                  <c:v>0.24831</c:v>
                </c:pt>
                <c:pt idx="357">
                  <c:v>0.17657</c:v>
                </c:pt>
                <c:pt idx="358">
                  <c:v>0.18373999999999999</c:v>
                </c:pt>
                <c:pt idx="359">
                  <c:v>0.17652000000000001</c:v>
                </c:pt>
                <c:pt idx="360">
                  <c:v>0.15522</c:v>
                </c:pt>
                <c:pt idx="361">
                  <c:v>0.15174000000000001</c:v>
                </c:pt>
                <c:pt idx="362">
                  <c:v>0.15534999999999999</c:v>
                </c:pt>
                <c:pt idx="363">
                  <c:v>0.15601000000000001</c:v>
                </c:pt>
                <c:pt idx="364">
                  <c:v>0.15185000000000001</c:v>
                </c:pt>
                <c:pt idx="365">
                  <c:v>0.13464999999999999</c:v>
                </c:pt>
                <c:pt idx="366">
                  <c:v>0.14829999999999999</c:v>
                </c:pt>
                <c:pt idx="367">
                  <c:v>0.14993999999999999</c:v>
                </c:pt>
                <c:pt idx="368">
                  <c:v>0.15586</c:v>
                </c:pt>
                <c:pt idx="369">
                  <c:v>0.14779</c:v>
                </c:pt>
                <c:pt idx="370">
                  <c:v>0.14509</c:v>
                </c:pt>
                <c:pt idx="371">
                  <c:v>0.13167000000000001</c:v>
                </c:pt>
                <c:pt idx="372">
                  <c:v>0.15692999999999999</c:v>
                </c:pt>
                <c:pt idx="373">
                  <c:v>0.15981000000000001</c:v>
                </c:pt>
                <c:pt idx="374">
                  <c:v>0.16689000000000001</c:v>
                </c:pt>
                <c:pt idx="375">
                  <c:v>0.15478</c:v>
                </c:pt>
                <c:pt idx="376">
                  <c:v>0.15245</c:v>
                </c:pt>
                <c:pt idx="377">
                  <c:v>0.1552</c:v>
                </c:pt>
                <c:pt idx="378">
                  <c:v>0.16586999999999999</c:v>
                </c:pt>
                <c:pt idx="379">
                  <c:v>0.17069000000000001</c:v>
                </c:pt>
                <c:pt idx="380">
                  <c:v>0.17091000000000001</c:v>
                </c:pt>
                <c:pt idx="381">
                  <c:v>0.12109</c:v>
                </c:pt>
                <c:pt idx="382">
                  <c:v>0.14026</c:v>
                </c:pt>
                <c:pt idx="383">
                  <c:v>0.1515</c:v>
                </c:pt>
                <c:pt idx="384">
                  <c:v>0.16442000000000001</c:v>
                </c:pt>
                <c:pt idx="385">
                  <c:v>0.20827000000000001</c:v>
                </c:pt>
                <c:pt idx="386">
                  <c:v>0.1057</c:v>
                </c:pt>
                <c:pt idx="387">
                  <c:v>9.1800000000000007E-2</c:v>
                </c:pt>
                <c:pt idx="388">
                  <c:v>8.4640000000000007E-2</c:v>
                </c:pt>
                <c:pt idx="389">
                  <c:v>8.7559999999999999E-2</c:v>
                </c:pt>
                <c:pt idx="390">
                  <c:v>8.5379999999999998E-2</c:v>
                </c:pt>
                <c:pt idx="391">
                  <c:v>8.5639999999999994E-2</c:v>
                </c:pt>
                <c:pt idx="392">
                  <c:v>8.4190000000000001E-2</c:v>
                </c:pt>
                <c:pt idx="393">
                  <c:v>8.6050000000000001E-2</c:v>
                </c:pt>
                <c:pt idx="394">
                  <c:v>8.3849999999999994E-2</c:v>
                </c:pt>
                <c:pt idx="395">
                  <c:v>8.6330000000000004E-2</c:v>
                </c:pt>
                <c:pt idx="396">
                  <c:v>8.6669999999999997E-2</c:v>
                </c:pt>
                <c:pt idx="397">
                  <c:v>8.9109999999999995E-2</c:v>
                </c:pt>
                <c:pt idx="398">
                  <c:v>9.1370000000000007E-2</c:v>
                </c:pt>
                <c:pt idx="399">
                  <c:v>9.0719999999999995E-2</c:v>
                </c:pt>
                <c:pt idx="400">
                  <c:v>8.0439999999999998E-2</c:v>
                </c:pt>
                <c:pt idx="401">
                  <c:v>8.9529999999999998E-2</c:v>
                </c:pt>
                <c:pt idx="402">
                  <c:v>8.9459999999999998E-2</c:v>
                </c:pt>
                <c:pt idx="403">
                  <c:v>9.5439999999999997E-2</c:v>
                </c:pt>
                <c:pt idx="404">
                  <c:v>0.10326</c:v>
                </c:pt>
                <c:pt idx="405">
                  <c:v>9.9750000000000005E-2</c:v>
                </c:pt>
                <c:pt idx="406">
                  <c:v>9.3420000000000003E-2</c:v>
                </c:pt>
                <c:pt idx="407">
                  <c:v>9.4920000000000004E-2</c:v>
                </c:pt>
                <c:pt idx="408">
                  <c:v>9.4600000000000004E-2</c:v>
                </c:pt>
                <c:pt idx="409">
                  <c:v>9.5000000000000001E-2</c:v>
                </c:pt>
                <c:pt idx="410">
                  <c:v>9.6920000000000006E-2</c:v>
                </c:pt>
                <c:pt idx="411">
                  <c:v>9.7309999999999994E-2</c:v>
                </c:pt>
                <c:pt idx="412">
                  <c:v>8.9190000000000005E-2</c:v>
                </c:pt>
                <c:pt idx="413">
                  <c:v>9.1350000000000001E-2</c:v>
                </c:pt>
                <c:pt idx="414">
                  <c:v>9.8809999999999995E-2</c:v>
                </c:pt>
                <c:pt idx="415">
                  <c:v>9.2469999999999997E-2</c:v>
                </c:pt>
                <c:pt idx="416">
                  <c:v>0.10247000000000001</c:v>
                </c:pt>
                <c:pt idx="417">
                  <c:v>0.10728</c:v>
                </c:pt>
                <c:pt idx="418">
                  <c:v>0.11600000000000001</c:v>
                </c:pt>
                <c:pt idx="419">
                  <c:v>0.10054</c:v>
                </c:pt>
                <c:pt idx="420">
                  <c:v>0.12103</c:v>
                </c:pt>
                <c:pt idx="421">
                  <c:v>0.12626000000000001</c:v>
                </c:pt>
                <c:pt idx="422">
                  <c:v>8.5150000000000003E-2</c:v>
                </c:pt>
                <c:pt idx="423">
                  <c:v>8.1589999999999996E-2</c:v>
                </c:pt>
                <c:pt idx="424">
                  <c:v>8.054E-2</c:v>
                </c:pt>
                <c:pt idx="425">
                  <c:v>8.2189999999999999E-2</c:v>
                </c:pt>
                <c:pt idx="426">
                  <c:v>7.9909999999999995E-2</c:v>
                </c:pt>
                <c:pt idx="427">
                  <c:v>7.6950000000000005E-2</c:v>
                </c:pt>
                <c:pt idx="428">
                  <c:v>8.8719999999999993E-2</c:v>
                </c:pt>
                <c:pt idx="429">
                  <c:v>8.6720000000000005E-2</c:v>
                </c:pt>
                <c:pt idx="430">
                  <c:v>8.6910000000000001E-2</c:v>
                </c:pt>
                <c:pt idx="431">
                  <c:v>7.9060000000000005E-2</c:v>
                </c:pt>
                <c:pt idx="432">
                  <c:v>8.5650000000000004E-2</c:v>
                </c:pt>
                <c:pt idx="433">
                  <c:v>8.8880000000000001E-2</c:v>
                </c:pt>
                <c:pt idx="434">
                  <c:v>8.8569999999999996E-2</c:v>
                </c:pt>
                <c:pt idx="435">
                  <c:v>8.8220000000000007E-2</c:v>
                </c:pt>
                <c:pt idx="436">
                  <c:v>9.7479999999999997E-2</c:v>
                </c:pt>
                <c:pt idx="437">
                  <c:v>0.10133</c:v>
                </c:pt>
                <c:pt idx="438">
                  <c:v>0.10749</c:v>
                </c:pt>
                <c:pt idx="439">
                  <c:v>0.10983999999999999</c:v>
                </c:pt>
                <c:pt idx="440">
                  <c:v>0.10731</c:v>
                </c:pt>
                <c:pt idx="441">
                  <c:v>0.1022</c:v>
                </c:pt>
                <c:pt idx="442">
                  <c:v>9.4469999999999998E-2</c:v>
                </c:pt>
                <c:pt idx="443">
                  <c:v>0.11117</c:v>
                </c:pt>
                <c:pt idx="444">
                  <c:v>0.13070999999999999</c:v>
                </c:pt>
                <c:pt idx="445">
                  <c:v>6.6989999999999994E-2</c:v>
                </c:pt>
                <c:pt idx="446">
                  <c:v>4.1239999999999999E-2</c:v>
                </c:pt>
                <c:pt idx="447">
                  <c:v>5.4780000000000002E-2</c:v>
                </c:pt>
                <c:pt idx="448">
                  <c:v>3.347E-2</c:v>
                </c:pt>
                <c:pt idx="449">
                  <c:v>2.503E-2</c:v>
                </c:pt>
                <c:pt idx="450">
                  <c:v>2.4539999999999999E-2</c:v>
                </c:pt>
                <c:pt idx="451">
                  <c:v>2.5010000000000001E-2</c:v>
                </c:pt>
                <c:pt idx="452">
                  <c:v>2.605E-2</c:v>
                </c:pt>
                <c:pt idx="453">
                  <c:v>2.5520000000000001E-2</c:v>
                </c:pt>
                <c:pt idx="454">
                  <c:v>2.5499999999999998E-2</c:v>
                </c:pt>
                <c:pt idx="455">
                  <c:v>2.623E-2</c:v>
                </c:pt>
                <c:pt idx="456">
                  <c:v>2.725E-2</c:v>
                </c:pt>
                <c:pt idx="457">
                  <c:v>2.9020000000000001E-2</c:v>
                </c:pt>
                <c:pt idx="458">
                  <c:v>2.7490000000000001E-2</c:v>
                </c:pt>
                <c:pt idx="459">
                  <c:v>2.8469999999999999E-2</c:v>
                </c:pt>
                <c:pt idx="460">
                  <c:v>2.9950000000000001E-2</c:v>
                </c:pt>
                <c:pt idx="461">
                  <c:v>2.8170000000000001E-2</c:v>
                </c:pt>
                <c:pt idx="462">
                  <c:v>2.6849999999999999E-2</c:v>
                </c:pt>
                <c:pt idx="463">
                  <c:v>2.6020000000000001E-2</c:v>
                </c:pt>
                <c:pt idx="464">
                  <c:v>2.5530000000000001E-2</c:v>
                </c:pt>
                <c:pt idx="465">
                  <c:v>2.6540000000000001E-2</c:v>
                </c:pt>
                <c:pt idx="466">
                  <c:v>2.7300000000000001E-2</c:v>
                </c:pt>
                <c:pt idx="467">
                  <c:v>2.6589999999999999E-2</c:v>
                </c:pt>
                <c:pt idx="468">
                  <c:v>2.5530000000000001E-2</c:v>
                </c:pt>
                <c:pt idx="469">
                  <c:v>2.6339999999999999E-2</c:v>
                </c:pt>
                <c:pt idx="470">
                  <c:v>2.6710000000000001E-2</c:v>
                </c:pt>
                <c:pt idx="471">
                  <c:v>2.724E-2</c:v>
                </c:pt>
                <c:pt idx="472">
                  <c:v>2.8199999999999999E-2</c:v>
                </c:pt>
                <c:pt idx="473">
                  <c:v>2.9690000000000001E-2</c:v>
                </c:pt>
                <c:pt idx="474">
                  <c:v>2.809E-2</c:v>
                </c:pt>
                <c:pt idx="475">
                  <c:v>2.69E-2</c:v>
                </c:pt>
                <c:pt idx="476">
                  <c:v>2.521E-2</c:v>
                </c:pt>
                <c:pt idx="477">
                  <c:v>2.3279999999999999E-2</c:v>
                </c:pt>
                <c:pt idx="478">
                  <c:v>2.2849999999999999E-2</c:v>
                </c:pt>
                <c:pt idx="479">
                  <c:v>2.503E-2</c:v>
                </c:pt>
                <c:pt idx="480">
                  <c:v>2.537E-2</c:v>
                </c:pt>
                <c:pt idx="481">
                  <c:v>2.5059999999999999E-2</c:v>
                </c:pt>
                <c:pt idx="482">
                  <c:v>2.5069999999999999E-2</c:v>
                </c:pt>
                <c:pt idx="483">
                  <c:v>2.5440000000000001E-2</c:v>
                </c:pt>
                <c:pt idx="484">
                  <c:v>2.6409999999999999E-2</c:v>
                </c:pt>
                <c:pt idx="485">
                  <c:v>2.733E-2</c:v>
                </c:pt>
                <c:pt idx="486">
                  <c:v>2.6769999999999999E-2</c:v>
                </c:pt>
                <c:pt idx="487">
                  <c:v>2.6249999999999999E-2</c:v>
                </c:pt>
                <c:pt idx="488">
                  <c:v>2.6689999999999998E-2</c:v>
                </c:pt>
                <c:pt idx="489">
                  <c:v>2.6620000000000001E-2</c:v>
                </c:pt>
                <c:pt idx="490">
                  <c:v>2.588E-2</c:v>
                </c:pt>
                <c:pt idx="491">
                  <c:v>2.3959999999999999E-2</c:v>
                </c:pt>
                <c:pt idx="492">
                  <c:v>2.555E-2</c:v>
                </c:pt>
                <c:pt idx="493">
                  <c:v>2.5700000000000001E-2</c:v>
                </c:pt>
                <c:pt idx="494">
                  <c:v>2.8920000000000001E-2</c:v>
                </c:pt>
                <c:pt idx="495">
                  <c:v>3.0710000000000001E-2</c:v>
                </c:pt>
                <c:pt idx="496">
                  <c:v>0.03</c:v>
                </c:pt>
                <c:pt idx="497">
                  <c:v>2.9590000000000002E-2</c:v>
                </c:pt>
                <c:pt idx="498">
                  <c:v>2.9600000000000001E-2</c:v>
                </c:pt>
                <c:pt idx="499">
                  <c:v>3.082E-2</c:v>
                </c:pt>
                <c:pt idx="500">
                  <c:v>3.3689999999999998E-2</c:v>
                </c:pt>
                <c:pt idx="501">
                  <c:v>3.1230000000000001E-2</c:v>
                </c:pt>
                <c:pt idx="502">
                  <c:v>3.3779999999999998E-2</c:v>
                </c:pt>
                <c:pt idx="503">
                  <c:v>3.322E-2</c:v>
                </c:pt>
                <c:pt idx="504">
                  <c:v>3.168E-2</c:v>
                </c:pt>
                <c:pt idx="505">
                  <c:v>2.9000000000000001E-2</c:v>
                </c:pt>
                <c:pt idx="506">
                  <c:v>2.8459999999999999E-2</c:v>
                </c:pt>
                <c:pt idx="507">
                  <c:v>2.877E-2</c:v>
                </c:pt>
                <c:pt idx="508">
                  <c:v>2.9749999999999999E-2</c:v>
                </c:pt>
                <c:pt idx="509">
                  <c:v>2.87E-2</c:v>
                </c:pt>
                <c:pt idx="510">
                  <c:v>3.117E-2</c:v>
                </c:pt>
                <c:pt idx="511">
                  <c:v>2.8899999999999999E-2</c:v>
                </c:pt>
                <c:pt idx="512">
                  <c:v>3.7969999999999997E-2</c:v>
                </c:pt>
                <c:pt idx="513">
                  <c:v>4.1140000000000003E-2</c:v>
                </c:pt>
                <c:pt idx="514">
                  <c:v>4.3709999999999999E-2</c:v>
                </c:pt>
                <c:pt idx="515">
                  <c:v>4.3360000000000003E-2</c:v>
                </c:pt>
                <c:pt idx="516">
                  <c:v>4.4909999999999999E-2</c:v>
                </c:pt>
                <c:pt idx="517">
                  <c:v>4.2959999999999998E-2</c:v>
                </c:pt>
                <c:pt idx="518">
                  <c:v>3.9570000000000001E-2</c:v>
                </c:pt>
                <c:pt idx="519">
                  <c:v>4.1939999999999998E-2</c:v>
                </c:pt>
                <c:pt idx="520">
                  <c:v>4.1820000000000003E-2</c:v>
                </c:pt>
                <c:pt idx="521">
                  <c:v>4.7109999999999999E-2</c:v>
                </c:pt>
                <c:pt idx="522">
                  <c:v>4.6429999999999999E-2</c:v>
                </c:pt>
                <c:pt idx="523">
                  <c:v>4.8189999999999997E-2</c:v>
                </c:pt>
                <c:pt idx="524">
                  <c:v>5.2749999999999998E-2</c:v>
                </c:pt>
                <c:pt idx="525">
                  <c:v>4.5999999999999999E-2</c:v>
                </c:pt>
                <c:pt idx="526">
                  <c:v>3.9870000000000003E-2</c:v>
                </c:pt>
                <c:pt idx="527">
                  <c:v>4.3389999999999998E-2</c:v>
                </c:pt>
                <c:pt idx="528">
                  <c:v>4.1160000000000002E-2</c:v>
                </c:pt>
                <c:pt idx="529">
                  <c:v>3.8150000000000003E-2</c:v>
                </c:pt>
                <c:pt idx="530">
                  <c:v>3.5790000000000002E-2</c:v>
                </c:pt>
                <c:pt idx="531">
                  <c:v>3.6999999999999998E-2</c:v>
                </c:pt>
                <c:pt idx="532">
                  <c:v>3.4470000000000001E-2</c:v>
                </c:pt>
                <c:pt idx="533">
                  <c:v>3.3820000000000003E-2</c:v>
                </c:pt>
                <c:pt idx="534">
                  <c:v>3.3329999999999999E-2</c:v>
                </c:pt>
                <c:pt idx="535">
                  <c:v>3.6929999999999998E-2</c:v>
                </c:pt>
                <c:pt idx="536">
                  <c:v>3.3210000000000003E-2</c:v>
                </c:pt>
                <c:pt idx="537">
                  <c:v>3.1879999999999999E-2</c:v>
                </c:pt>
                <c:pt idx="538">
                  <c:v>2.894E-2</c:v>
                </c:pt>
                <c:pt idx="539">
                  <c:v>2.9309999999999999E-2</c:v>
                </c:pt>
                <c:pt idx="540">
                  <c:v>2.9010000000000001E-2</c:v>
                </c:pt>
                <c:pt idx="541">
                  <c:v>2.9139999999999999E-2</c:v>
                </c:pt>
                <c:pt idx="542">
                  <c:v>2.8969999999999999E-2</c:v>
                </c:pt>
                <c:pt idx="543">
                  <c:v>2.8639999999999999E-2</c:v>
                </c:pt>
                <c:pt idx="544">
                  <c:v>2.9749999999999999E-2</c:v>
                </c:pt>
                <c:pt idx="545">
                  <c:v>2.9600000000000001E-2</c:v>
                </c:pt>
                <c:pt idx="546">
                  <c:v>2.9530000000000001E-2</c:v>
                </c:pt>
                <c:pt idx="547">
                  <c:v>2.9770000000000001E-2</c:v>
                </c:pt>
                <c:pt idx="548">
                  <c:v>2.9229999999999999E-2</c:v>
                </c:pt>
                <c:pt idx="549">
                  <c:v>2.8119999999999999E-2</c:v>
                </c:pt>
                <c:pt idx="550">
                  <c:v>2.9960000000000001E-2</c:v>
                </c:pt>
                <c:pt idx="551">
                  <c:v>3.2349999999999997E-2</c:v>
                </c:pt>
                <c:pt idx="552">
                  <c:v>3.048E-2</c:v>
                </c:pt>
                <c:pt idx="553">
                  <c:v>3.091E-2</c:v>
                </c:pt>
                <c:pt idx="554">
                  <c:v>3.2739999999999998E-2</c:v>
                </c:pt>
                <c:pt idx="555">
                  <c:v>3.074E-2</c:v>
                </c:pt>
                <c:pt idx="556">
                  <c:v>3.1260000000000003E-2</c:v>
                </c:pt>
                <c:pt idx="557">
                  <c:v>3.2050000000000002E-2</c:v>
                </c:pt>
                <c:pt idx="558">
                  <c:v>3.0030000000000001E-2</c:v>
                </c:pt>
                <c:pt idx="559">
                  <c:v>2.8250000000000001E-2</c:v>
                </c:pt>
                <c:pt idx="560">
                  <c:v>2.751E-2</c:v>
                </c:pt>
                <c:pt idx="561">
                  <c:v>2.894E-2</c:v>
                </c:pt>
                <c:pt idx="562">
                  <c:v>2.8660000000000001E-2</c:v>
                </c:pt>
                <c:pt idx="563">
                  <c:v>2.861E-2</c:v>
                </c:pt>
                <c:pt idx="564">
                  <c:v>3.0280000000000001E-2</c:v>
                </c:pt>
                <c:pt idx="565">
                  <c:v>2.8639999999999999E-2</c:v>
                </c:pt>
                <c:pt idx="566">
                  <c:v>2.7779999999999999E-2</c:v>
                </c:pt>
                <c:pt idx="567">
                  <c:v>2.7349999999999999E-2</c:v>
                </c:pt>
                <c:pt idx="568">
                  <c:v>2.8400000000000002E-2</c:v>
                </c:pt>
                <c:pt idx="569">
                  <c:v>2.801E-2</c:v>
                </c:pt>
                <c:pt idx="570">
                  <c:v>2.7089999999999999E-2</c:v>
                </c:pt>
                <c:pt idx="571">
                  <c:v>2.6120000000000001E-2</c:v>
                </c:pt>
                <c:pt idx="572">
                  <c:v>2.6749999999999999E-2</c:v>
                </c:pt>
                <c:pt idx="573">
                  <c:v>2.6689999999999998E-2</c:v>
                </c:pt>
                <c:pt idx="574">
                  <c:v>2.623E-2</c:v>
                </c:pt>
                <c:pt idx="575">
                  <c:v>2.6579999999999999E-2</c:v>
                </c:pt>
                <c:pt idx="576">
                  <c:v>2.6929999999999999E-2</c:v>
                </c:pt>
                <c:pt idx="577">
                  <c:v>2.6769999999999999E-2</c:v>
                </c:pt>
                <c:pt idx="578">
                  <c:v>2.5749999999999999E-2</c:v>
                </c:pt>
                <c:pt idx="579">
                  <c:v>2.5319999999999999E-2</c:v>
                </c:pt>
                <c:pt idx="580">
                  <c:v>2.6880000000000001E-2</c:v>
                </c:pt>
                <c:pt idx="581">
                  <c:v>2.7660000000000001E-2</c:v>
                </c:pt>
                <c:pt idx="582">
                  <c:v>2.9000000000000001E-2</c:v>
                </c:pt>
                <c:pt idx="583">
                  <c:v>3.0280000000000001E-2</c:v>
                </c:pt>
                <c:pt idx="584">
                  <c:v>2.9950000000000001E-2</c:v>
                </c:pt>
                <c:pt idx="585">
                  <c:v>2.9749999999999999E-2</c:v>
                </c:pt>
                <c:pt idx="586">
                  <c:v>3.0030000000000001E-2</c:v>
                </c:pt>
                <c:pt idx="587">
                  <c:v>3.0609999999999998E-2</c:v>
                </c:pt>
                <c:pt idx="588">
                  <c:v>3.1690000000000003E-2</c:v>
                </c:pt>
                <c:pt idx="589">
                  <c:v>3.2710000000000003E-2</c:v>
                </c:pt>
                <c:pt idx="590">
                  <c:v>3.4099999999999998E-2</c:v>
                </c:pt>
                <c:pt idx="591">
                  <c:v>3.3250000000000002E-2</c:v>
                </c:pt>
                <c:pt idx="592">
                  <c:v>3.0859999999999999E-2</c:v>
                </c:pt>
                <c:pt idx="593">
                  <c:v>3.058E-2</c:v>
                </c:pt>
                <c:pt idx="594">
                  <c:v>2.8580000000000001E-2</c:v>
                </c:pt>
                <c:pt idx="595">
                  <c:v>2.546E-2</c:v>
                </c:pt>
                <c:pt idx="596">
                  <c:v>3.0349999999999999E-2</c:v>
                </c:pt>
                <c:pt idx="597">
                  <c:v>2.998E-2</c:v>
                </c:pt>
                <c:pt idx="598">
                  <c:v>2.861E-2</c:v>
                </c:pt>
                <c:pt idx="599">
                  <c:v>2.775E-2</c:v>
                </c:pt>
                <c:pt idx="600">
                  <c:v>2.818E-2</c:v>
                </c:pt>
                <c:pt idx="601">
                  <c:v>2.878E-2</c:v>
                </c:pt>
                <c:pt idx="602">
                  <c:v>2.7859999999999999E-2</c:v>
                </c:pt>
                <c:pt idx="603">
                  <c:v>2.6339999999999999E-2</c:v>
                </c:pt>
                <c:pt idx="604">
                  <c:v>2.6110000000000001E-2</c:v>
                </c:pt>
                <c:pt idx="605">
                  <c:v>2.589E-2</c:v>
                </c:pt>
                <c:pt idx="606">
                  <c:v>2.5049999999999999E-2</c:v>
                </c:pt>
                <c:pt idx="607">
                  <c:v>2.5219999999999999E-2</c:v>
                </c:pt>
                <c:pt idx="608">
                  <c:v>2.444E-2</c:v>
                </c:pt>
                <c:pt idx="609">
                  <c:v>2.4879999999999999E-2</c:v>
                </c:pt>
                <c:pt idx="610">
                  <c:v>2.5219999999999999E-2</c:v>
                </c:pt>
                <c:pt idx="611">
                  <c:v>2.6960000000000001E-2</c:v>
                </c:pt>
                <c:pt idx="612">
                  <c:v>2.5659999999999999E-2</c:v>
                </c:pt>
                <c:pt idx="613">
                  <c:v>2.3189999999999999E-2</c:v>
                </c:pt>
                <c:pt idx="614">
                  <c:v>2.4160000000000001E-2</c:v>
                </c:pt>
                <c:pt idx="615">
                  <c:v>2.5159999999999998E-2</c:v>
                </c:pt>
                <c:pt idx="616">
                  <c:v>2.274E-2</c:v>
                </c:pt>
                <c:pt idx="617">
                  <c:v>2.2579999999999999E-2</c:v>
                </c:pt>
                <c:pt idx="618">
                  <c:v>2.273E-2</c:v>
                </c:pt>
                <c:pt idx="619">
                  <c:v>2.2210000000000001E-2</c:v>
                </c:pt>
                <c:pt idx="620">
                  <c:v>2.0879999999999999E-2</c:v>
                </c:pt>
                <c:pt idx="621">
                  <c:v>2.095E-2</c:v>
                </c:pt>
                <c:pt idx="622">
                  <c:v>2.01E-2</c:v>
                </c:pt>
                <c:pt idx="623">
                  <c:v>2.0740000000000001E-2</c:v>
                </c:pt>
                <c:pt idx="624">
                  <c:v>2.0969999999999999E-2</c:v>
                </c:pt>
                <c:pt idx="625">
                  <c:v>2.0799999999999999E-2</c:v>
                </c:pt>
                <c:pt idx="626">
                  <c:v>1.9619999999999999E-2</c:v>
                </c:pt>
                <c:pt idx="627">
                  <c:v>1.9910000000000001E-2</c:v>
                </c:pt>
                <c:pt idx="628">
                  <c:v>2.2550000000000001E-2</c:v>
                </c:pt>
                <c:pt idx="629">
                  <c:v>2.3E-2</c:v>
                </c:pt>
                <c:pt idx="630">
                  <c:v>2.1919999999999999E-2</c:v>
                </c:pt>
                <c:pt idx="631">
                  <c:v>2.1139999999999999E-2</c:v>
                </c:pt>
                <c:pt idx="632">
                  <c:v>2.1569999999999999E-2</c:v>
                </c:pt>
                <c:pt idx="633">
                  <c:v>2.1389999999999999E-2</c:v>
                </c:pt>
                <c:pt idx="634">
                  <c:v>2.1659999999999999E-2</c:v>
                </c:pt>
                <c:pt idx="635">
                  <c:v>2.3109999999999999E-2</c:v>
                </c:pt>
                <c:pt idx="636">
                  <c:v>2.3009999999999999E-2</c:v>
                </c:pt>
                <c:pt idx="637">
                  <c:v>2.0539999999999999E-2</c:v>
                </c:pt>
                <c:pt idx="638">
                  <c:v>2.1579999999999998E-2</c:v>
                </c:pt>
                <c:pt idx="639">
                  <c:v>2.0490000000000001E-2</c:v>
                </c:pt>
                <c:pt idx="640">
                  <c:v>2.0400000000000001E-2</c:v>
                </c:pt>
                <c:pt idx="641">
                  <c:v>2.078E-2</c:v>
                </c:pt>
                <c:pt idx="642">
                  <c:v>2.0719999999999999E-2</c:v>
                </c:pt>
                <c:pt idx="643">
                  <c:v>2.036E-2</c:v>
                </c:pt>
                <c:pt idx="644">
                  <c:v>1.9699999999999999E-2</c:v>
                </c:pt>
                <c:pt idx="645">
                  <c:v>1.9029999999999998E-2</c:v>
                </c:pt>
                <c:pt idx="646">
                  <c:v>1.8610000000000002E-2</c:v>
                </c:pt>
                <c:pt idx="647">
                  <c:v>1.8429999999999998E-2</c:v>
                </c:pt>
                <c:pt idx="648">
                  <c:v>1.984E-2</c:v>
                </c:pt>
                <c:pt idx="649">
                  <c:v>2.0140000000000002E-2</c:v>
                </c:pt>
                <c:pt idx="650">
                  <c:v>1.9310000000000001E-2</c:v>
                </c:pt>
                <c:pt idx="651">
                  <c:v>1.925E-2</c:v>
                </c:pt>
                <c:pt idx="652">
                  <c:v>1.8190000000000001E-2</c:v>
                </c:pt>
                <c:pt idx="653">
                  <c:v>1.8880000000000001E-2</c:v>
                </c:pt>
                <c:pt idx="654">
                  <c:v>1.89E-2</c:v>
                </c:pt>
                <c:pt idx="655">
                  <c:v>1.9449999999999999E-2</c:v>
                </c:pt>
                <c:pt idx="656">
                  <c:v>1.933E-2</c:v>
                </c:pt>
                <c:pt idx="657">
                  <c:v>1.942E-2</c:v>
                </c:pt>
                <c:pt idx="658">
                  <c:v>2.1739999999999999E-2</c:v>
                </c:pt>
                <c:pt idx="659">
                  <c:v>2.0899999999999998E-2</c:v>
                </c:pt>
                <c:pt idx="660">
                  <c:v>2.027E-2</c:v>
                </c:pt>
                <c:pt idx="661">
                  <c:v>2.0449999999999999E-2</c:v>
                </c:pt>
                <c:pt idx="662">
                  <c:v>1.9140000000000001E-2</c:v>
                </c:pt>
                <c:pt idx="663">
                  <c:v>1.959E-2</c:v>
                </c:pt>
                <c:pt idx="664">
                  <c:v>1.9519999999999999E-2</c:v>
                </c:pt>
                <c:pt idx="665">
                  <c:v>1.915E-2</c:v>
                </c:pt>
                <c:pt idx="666">
                  <c:v>1.8790000000000001E-2</c:v>
                </c:pt>
                <c:pt idx="667">
                  <c:v>1.8800000000000001E-2</c:v>
                </c:pt>
                <c:pt idx="668">
                  <c:v>1.7610000000000001E-2</c:v>
                </c:pt>
                <c:pt idx="669">
                  <c:v>1.6709999999999999E-2</c:v>
                </c:pt>
                <c:pt idx="670">
                  <c:v>1.787E-2</c:v>
                </c:pt>
                <c:pt idx="671">
                  <c:v>1.8749999999999999E-2</c:v>
                </c:pt>
                <c:pt idx="672">
                  <c:v>1.9460000000000002E-2</c:v>
                </c:pt>
                <c:pt idx="673">
                  <c:v>1.9189999999999999E-2</c:v>
                </c:pt>
                <c:pt idx="674">
                  <c:v>1.9529999999999999E-2</c:v>
                </c:pt>
                <c:pt idx="675">
                  <c:v>1.9810000000000001E-2</c:v>
                </c:pt>
                <c:pt idx="676">
                  <c:v>1.7819999999999999E-2</c:v>
                </c:pt>
                <c:pt idx="677">
                  <c:v>1.9199999999999998E-2</c:v>
                </c:pt>
                <c:pt idx="678">
                  <c:v>1.8620000000000001E-2</c:v>
                </c:pt>
                <c:pt idx="679">
                  <c:v>1.8579999999999999E-2</c:v>
                </c:pt>
                <c:pt idx="680">
                  <c:v>1.661E-2</c:v>
                </c:pt>
                <c:pt idx="681">
                  <c:v>1.6379999999999999E-2</c:v>
                </c:pt>
                <c:pt idx="682">
                  <c:v>1.519E-2</c:v>
                </c:pt>
                <c:pt idx="683">
                  <c:v>1.77E-2</c:v>
                </c:pt>
                <c:pt idx="684">
                  <c:v>1.6670000000000001E-2</c:v>
                </c:pt>
                <c:pt idx="685">
                  <c:v>1.592E-2</c:v>
                </c:pt>
                <c:pt idx="686">
                  <c:v>1.3559999999999999E-2</c:v>
                </c:pt>
                <c:pt idx="687">
                  <c:v>2.521E-2</c:v>
                </c:pt>
                <c:pt idx="688">
                  <c:v>2.7119999999999998E-2</c:v>
                </c:pt>
                <c:pt idx="689">
                  <c:v>2.6599999999999999E-2</c:v>
                </c:pt>
                <c:pt idx="690">
                  <c:v>2.6190000000000001E-2</c:v>
                </c:pt>
                <c:pt idx="691">
                  <c:v>3.2379999999999999E-2</c:v>
                </c:pt>
                <c:pt idx="692">
                  <c:v>3.1699999999999999E-2</c:v>
                </c:pt>
                <c:pt idx="693">
                  <c:v>3.2289999999999999E-2</c:v>
                </c:pt>
                <c:pt idx="694">
                  <c:v>3.3489999999999999E-2</c:v>
                </c:pt>
                <c:pt idx="695">
                  <c:v>2.7140000000000001E-2</c:v>
                </c:pt>
                <c:pt idx="696">
                  <c:v>2.707E-2</c:v>
                </c:pt>
                <c:pt idx="697">
                  <c:v>2.4889999999999999E-2</c:v>
                </c:pt>
                <c:pt idx="698">
                  <c:v>2.3300000000000001E-2</c:v>
                </c:pt>
                <c:pt idx="699">
                  <c:v>2.368E-2</c:v>
                </c:pt>
                <c:pt idx="700">
                  <c:v>2.477E-2</c:v>
                </c:pt>
                <c:pt idx="701">
                  <c:v>2.2259999999999999E-2</c:v>
                </c:pt>
                <c:pt idx="702">
                  <c:v>2.5250000000000002E-2</c:v>
                </c:pt>
                <c:pt idx="703">
                  <c:v>2.9350000000000001E-2</c:v>
                </c:pt>
                <c:pt idx="704">
                  <c:v>3.057E-2</c:v>
                </c:pt>
                <c:pt idx="705">
                  <c:v>2.9489999999999999E-2</c:v>
                </c:pt>
                <c:pt idx="706">
                  <c:v>3.041E-2</c:v>
                </c:pt>
                <c:pt idx="707">
                  <c:v>2.9700000000000001E-2</c:v>
                </c:pt>
                <c:pt idx="708">
                  <c:v>3.1440000000000003E-2</c:v>
                </c:pt>
                <c:pt idx="709">
                  <c:v>3.508E-2</c:v>
                </c:pt>
                <c:pt idx="710">
                  <c:v>3.449E-2</c:v>
                </c:pt>
                <c:pt idx="711">
                  <c:v>3.5920000000000001E-2</c:v>
                </c:pt>
                <c:pt idx="712">
                  <c:v>3.637E-2</c:v>
                </c:pt>
                <c:pt idx="713">
                  <c:v>3.4049999999999997E-2</c:v>
                </c:pt>
                <c:pt idx="714">
                  <c:v>3.2439999999999997E-2</c:v>
                </c:pt>
                <c:pt idx="715">
                  <c:v>3.4250000000000003E-2</c:v>
                </c:pt>
                <c:pt idx="716">
                  <c:v>3.4040000000000001E-2</c:v>
                </c:pt>
                <c:pt idx="717">
                  <c:v>3.1859999999999999E-2</c:v>
                </c:pt>
                <c:pt idx="718">
                  <c:v>3.1019999999999999E-2</c:v>
                </c:pt>
                <c:pt idx="719">
                  <c:v>3.0689999999999999E-2</c:v>
                </c:pt>
                <c:pt idx="720">
                  <c:v>3.1609999999999999E-2</c:v>
                </c:pt>
                <c:pt idx="721">
                  <c:v>2.896E-2</c:v>
                </c:pt>
                <c:pt idx="722">
                  <c:v>2.8850000000000001E-2</c:v>
                </c:pt>
                <c:pt idx="723">
                  <c:v>2.8830000000000001E-2</c:v>
                </c:pt>
                <c:pt idx="724">
                  <c:v>2.6509999999999999E-2</c:v>
                </c:pt>
                <c:pt idx="725">
                  <c:v>2.7359999999999999E-2</c:v>
                </c:pt>
                <c:pt idx="726">
                  <c:v>2.581E-2</c:v>
                </c:pt>
                <c:pt idx="727">
                  <c:v>2.555E-2</c:v>
                </c:pt>
                <c:pt idx="728">
                  <c:v>2.4109999999999999E-2</c:v>
                </c:pt>
                <c:pt idx="729">
                  <c:v>2.239E-2</c:v>
                </c:pt>
                <c:pt idx="730">
                  <c:v>2.2200000000000001E-2</c:v>
                </c:pt>
                <c:pt idx="731">
                  <c:v>2.1690000000000001E-2</c:v>
                </c:pt>
                <c:pt idx="732">
                  <c:v>2.1700000000000001E-2</c:v>
                </c:pt>
                <c:pt idx="733">
                  <c:v>2.1329999999999998E-2</c:v>
                </c:pt>
                <c:pt idx="734">
                  <c:v>2.1940000000000001E-2</c:v>
                </c:pt>
                <c:pt idx="735">
                  <c:v>2.223E-2</c:v>
                </c:pt>
                <c:pt idx="736">
                  <c:v>2.359E-2</c:v>
                </c:pt>
                <c:pt idx="737">
                  <c:v>2.351E-2</c:v>
                </c:pt>
                <c:pt idx="738">
                  <c:v>2.019E-2</c:v>
                </c:pt>
                <c:pt idx="739">
                  <c:v>2.01E-2</c:v>
                </c:pt>
                <c:pt idx="740">
                  <c:v>2.1579999999999998E-2</c:v>
                </c:pt>
                <c:pt idx="741">
                  <c:v>2.1329999999999998E-2</c:v>
                </c:pt>
                <c:pt idx="742">
                  <c:v>1.9879999999999998E-2</c:v>
                </c:pt>
                <c:pt idx="743">
                  <c:v>2.0299999999999999E-2</c:v>
                </c:pt>
                <c:pt idx="744">
                  <c:v>1.9040000000000001E-2</c:v>
                </c:pt>
                <c:pt idx="745">
                  <c:v>1.9539999999999998E-2</c:v>
                </c:pt>
                <c:pt idx="746">
                  <c:v>2.0930000000000001E-2</c:v>
                </c:pt>
                <c:pt idx="747">
                  <c:v>1.8419999999999999E-2</c:v>
                </c:pt>
                <c:pt idx="748">
                  <c:v>1.77E-2</c:v>
                </c:pt>
                <c:pt idx="749">
                  <c:v>1.7770000000000001E-2</c:v>
                </c:pt>
                <c:pt idx="750">
                  <c:v>1.814E-2</c:v>
                </c:pt>
                <c:pt idx="751">
                  <c:v>1.89E-2</c:v>
                </c:pt>
                <c:pt idx="752">
                  <c:v>1.9980000000000001E-2</c:v>
                </c:pt>
                <c:pt idx="753">
                  <c:v>1.864E-2</c:v>
                </c:pt>
                <c:pt idx="754">
                  <c:v>1.9730000000000001E-2</c:v>
                </c:pt>
                <c:pt idx="755">
                  <c:v>1.9429999999999999E-2</c:v>
                </c:pt>
                <c:pt idx="756">
                  <c:v>1.9460000000000002E-2</c:v>
                </c:pt>
                <c:pt idx="757">
                  <c:v>1.7989999999999999E-2</c:v>
                </c:pt>
                <c:pt idx="758">
                  <c:v>1.8259999999999998E-2</c:v>
                </c:pt>
                <c:pt idx="759">
                  <c:v>2.009E-2</c:v>
                </c:pt>
                <c:pt idx="760">
                  <c:v>2.0820000000000002E-2</c:v>
                </c:pt>
                <c:pt idx="761">
                  <c:v>1.8599999999999998E-2</c:v>
                </c:pt>
                <c:pt idx="762">
                  <c:v>1.7469999999999999E-2</c:v>
                </c:pt>
                <c:pt idx="763">
                  <c:v>1.7590000000000001E-2</c:v>
                </c:pt>
                <c:pt idx="764">
                  <c:v>1.7399999999999999E-2</c:v>
                </c:pt>
                <c:pt idx="765">
                  <c:v>1.7500000000000002E-2</c:v>
                </c:pt>
                <c:pt idx="766">
                  <c:v>1.7409999999999998E-2</c:v>
                </c:pt>
                <c:pt idx="767">
                  <c:v>1.8440000000000002E-2</c:v>
                </c:pt>
                <c:pt idx="768">
                  <c:v>1.866E-2</c:v>
                </c:pt>
                <c:pt idx="769">
                  <c:v>1.9970000000000002E-2</c:v>
                </c:pt>
                <c:pt idx="770">
                  <c:v>1.847E-2</c:v>
                </c:pt>
                <c:pt idx="771">
                  <c:v>1.942E-2</c:v>
                </c:pt>
                <c:pt idx="772">
                  <c:v>1.8020000000000001E-2</c:v>
                </c:pt>
                <c:pt idx="773">
                  <c:v>2.0740000000000001E-2</c:v>
                </c:pt>
                <c:pt idx="774">
                  <c:v>2.281E-2</c:v>
                </c:pt>
                <c:pt idx="775">
                  <c:v>2.299E-2</c:v>
                </c:pt>
                <c:pt idx="776">
                  <c:v>2.3470000000000001E-2</c:v>
                </c:pt>
                <c:pt idx="777">
                  <c:v>2.358E-2</c:v>
                </c:pt>
                <c:pt idx="778">
                  <c:v>2.5270000000000001E-2</c:v>
                </c:pt>
                <c:pt idx="779">
                  <c:v>2.3779999999999999E-2</c:v>
                </c:pt>
                <c:pt idx="780">
                  <c:v>2.647E-2</c:v>
                </c:pt>
                <c:pt idx="781">
                  <c:v>2.7470000000000001E-2</c:v>
                </c:pt>
                <c:pt idx="782">
                  <c:v>2.683E-2</c:v>
                </c:pt>
                <c:pt idx="783">
                  <c:v>2.6499999999999999E-2</c:v>
                </c:pt>
                <c:pt idx="784">
                  <c:v>2.6040000000000001E-2</c:v>
                </c:pt>
                <c:pt idx="785">
                  <c:v>2.6120000000000001E-2</c:v>
                </c:pt>
                <c:pt idx="786">
                  <c:v>2.777E-2</c:v>
                </c:pt>
                <c:pt idx="787">
                  <c:v>2.7189999999999999E-2</c:v>
                </c:pt>
                <c:pt idx="788">
                  <c:v>2.7650000000000001E-2</c:v>
                </c:pt>
                <c:pt idx="789">
                  <c:v>2.81E-2</c:v>
                </c:pt>
                <c:pt idx="790">
                  <c:v>2.9729999999999999E-2</c:v>
                </c:pt>
                <c:pt idx="791">
                  <c:v>2.879E-2</c:v>
                </c:pt>
                <c:pt idx="792">
                  <c:v>2.895E-2</c:v>
                </c:pt>
                <c:pt idx="793">
                  <c:v>2.8400000000000002E-2</c:v>
                </c:pt>
                <c:pt idx="794">
                  <c:v>2.7060000000000001E-2</c:v>
                </c:pt>
                <c:pt idx="795">
                  <c:v>2.7220000000000001E-2</c:v>
                </c:pt>
                <c:pt idx="796">
                  <c:v>2.9180000000000001E-2</c:v>
                </c:pt>
                <c:pt idx="797">
                  <c:v>2.9360000000000001E-2</c:v>
                </c:pt>
                <c:pt idx="798">
                  <c:v>3.3210000000000003E-2</c:v>
                </c:pt>
                <c:pt idx="799">
                  <c:v>3.5740000000000001E-2</c:v>
                </c:pt>
                <c:pt idx="800">
                  <c:v>3.6639999999999999E-2</c:v>
                </c:pt>
                <c:pt idx="801">
                  <c:v>3.7510000000000002E-2</c:v>
                </c:pt>
                <c:pt idx="802">
                  <c:v>3.9370000000000002E-2</c:v>
                </c:pt>
                <c:pt idx="803">
                  <c:v>3.8620000000000002E-2</c:v>
                </c:pt>
                <c:pt idx="804">
                  <c:v>3.9030000000000002E-2</c:v>
                </c:pt>
                <c:pt idx="805">
                  <c:v>3.9410000000000001E-2</c:v>
                </c:pt>
                <c:pt idx="806">
                  <c:v>4.0230000000000002E-2</c:v>
                </c:pt>
                <c:pt idx="807">
                  <c:v>4.0030000000000003E-2</c:v>
                </c:pt>
                <c:pt idx="808">
                  <c:v>4.0099999999999997E-2</c:v>
                </c:pt>
                <c:pt idx="809">
                  <c:v>4.0840000000000001E-2</c:v>
                </c:pt>
                <c:pt idx="810">
                  <c:v>4.0410000000000001E-2</c:v>
                </c:pt>
                <c:pt idx="811">
                  <c:v>4.0099999999999997E-2</c:v>
                </c:pt>
                <c:pt idx="812">
                  <c:v>4.233E-2</c:v>
                </c:pt>
                <c:pt idx="813">
                  <c:v>4.3619999999999999E-2</c:v>
                </c:pt>
                <c:pt idx="814">
                  <c:v>4.3749999999999997E-2</c:v>
                </c:pt>
                <c:pt idx="815">
                  <c:v>4.3400000000000001E-2</c:v>
                </c:pt>
                <c:pt idx="816">
                  <c:v>4.2909999999999997E-2</c:v>
                </c:pt>
                <c:pt idx="817">
                  <c:v>4.2599999999999999E-2</c:v>
                </c:pt>
                <c:pt idx="818">
                  <c:v>4.3319999999999997E-2</c:v>
                </c:pt>
                <c:pt idx="819">
                  <c:v>4.1889999999999997E-2</c:v>
                </c:pt>
                <c:pt idx="820">
                  <c:v>4.1239999999999999E-2</c:v>
                </c:pt>
                <c:pt idx="821">
                  <c:v>4.326E-2</c:v>
                </c:pt>
                <c:pt idx="822">
                  <c:v>4.2999999999999997E-2</c:v>
                </c:pt>
                <c:pt idx="823">
                  <c:v>4.2639999999999997E-2</c:v>
                </c:pt>
                <c:pt idx="824">
                  <c:v>3.9879999999999999E-2</c:v>
                </c:pt>
                <c:pt idx="825">
                  <c:v>3.9750000000000001E-2</c:v>
                </c:pt>
                <c:pt idx="826">
                  <c:v>3.7629999999999997E-2</c:v>
                </c:pt>
                <c:pt idx="827">
                  <c:v>3.6810000000000002E-2</c:v>
                </c:pt>
                <c:pt idx="828">
                  <c:v>4.0239999999999998E-2</c:v>
                </c:pt>
                <c:pt idx="829">
                  <c:v>3.8789999999999998E-2</c:v>
                </c:pt>
                <c:pt idx="830">
                  <c:v>3.8600000000000002E-2</c:v>
                </c:pt>
                <c:pt idx="831">
                  <c:v>3.7949999999999998E-2</c:v>
                </c:pt>
                <c:pt idx="832">
                  <c:v>3.7440000000000001E-2</c:v>
                </c:pt>
                <c:pt idx="833">
                  <c:v>3.9030000000000002E-2</c:v>
                </c:pt>
                <c:pt idx="834">
                  <c:v>3.7999999999999999E-2</c:v>
                </c:pt>
                <c:pt idx="835">
                  <c:v>3.9719999999999998E-2</c:v>
                </c:pt>
                <c:pt idx="836">
                  <c:v>4.1500000000000002E-2</c:v>
                </c:pt>
                <c:pt idx="837">
                  <c:v>3.9480000000000001E-2</c:v>
                </c:pt>
                <c:pt idx="838">
                  <c:v>3.9960000000000002E-2</c:v>
                </c:pt>
                <c:pt idx="839">
                  <c:v>3.9829999999999997E-2</c:v>
                </c:pt>
                <c:pt idx="840">
                  <c:v>4.2220000000000001E-2</c:v>
                </c:pt>
                <c:pt idx="841">
                  <c:v>4.1790000000000001E-2</c:v>
                </c:pt>
                <c:pt idx="842">
                  <c:v>4.3060000000000001E-2</c:v>
                </c:pt>
                <c:pt idx="843">
                  <c:v>4.2209999999999998E-2</c:v>
                </c:pt>
                <c:pt idx="844">
                  <c:v>4.0129999999999999E-2</c:v>
                </c:pt>
                <c:pt idx="845">
                  <c:v>4.3130000000000002E-2</c:v>
                </c:pt>
                <c:pt idx="846">
                  <c:v>3.8789999999999998E-2</c:v>
                </c:pt>
                <c:pt idx="847">
                  <c:v>3.8089999999999999E-2</c:v>
                </c:pt>
                <c:pt idx="848">
                  <c:v>3.8109999999999998E-2</c:v>
                </c:pt>
                <c:pt idx="849">
                  <c:v>3.6299999999999999E-2</c:v>
                </c:pt>
                <c:pt idx="850">
                  <c:v>3.6400000000000002E-2</c:v>
                </c:pt>
                <c:pt idx="851">
                  <c:v>3.5319999999999997E-2</c:v>
                </c:pt>
                <c:pt idx="852">
                  <c:v>3.7280000000000001E-2</c:v>
                </c:pt>
                <c:pt idx="853">
                  <c:v>3.6630000000000003E-2</c:v>
                </c:pt>
                <c:pt idx="854">
                  <c:v>3.5979999999999998E-2</c:v>
                </c:pt>
                <c:pt idx="855">
                  <c:v>3.6310000000000002E-2</c:v>
                </c:pt>
                <c:pt idx="856">
                  <c:v>3.4889999999999997E-2</c:v>
                </c:pt>
                <c:pt idx="857">
                  <c:v>4.2130000000000001E-2</c:v>
                </c:pt>
                <c:pt idx="858">
                  <c:v>4.6620000000000002E-2</c:v>
                </c:pt>
                <c:pt idx="859">
                  <c:v>4.4499999999999998E-2</c:v>
                </c:pt>
                <c:pt idx="860">
                  <c:v>4.5569999999999999E-2</c:v>
                </c:pt>
                <c:pt idx="861">
                  <c:v>4.3580000000000001E-2</c:v>
                </c:pt>
                <c:pt idx="862">
                  <c:v>4.582E-2</c:v>
                </c:pt>
                <c:pt idx="863">
                  <c:v>4.274E-2</c:v>
                </c:pt>
                <c:pt idx="864">
                  <c:v>4.3180000000000003E-2</c:v>
                </c:pt>
                <c:pt idx="865">
                  <c:v>4.4470000000000003E-2</c:v>
                </c:pt>
                <c:pt idx="866">
                  <c:v>4.3069999999999997E-2</c:v>
                </c:pt>
                <c:pt idx="867">
                  <c:v>4.231E-2</c:v>
                </c:pt>
                <c:pt idx="868">
                  <c:v>4.3659999999999997E-2</c:v>
                </c:pt>
                <c:pt idx="869">
                  <c:v>4.4990000000000002E-2</c:v>
                </c:pt>
                <c:pt idx="870">
                  <c:v>4.2270000000000002E-2</c:v>
                </c:pt>
                <c:pt idx="871">
                  <c:v>4.4749999999999998E-2</c:v>
                </c:pt>
                <c:pt idx="872">
                  <c:v>4.1880000000000001E-2</c:v>
                </c:pt>
                <c:pt idx="873">
                  <c:v>4.1369999999999997E-2</c:v>
                </c:pt>
                <c:pt idx="874">
                  <c:v>3.9019999999999999E-2</c:v>
                </c:pt>
                <c:pt idx="875">
                  <c:v>4.0399999999999998E-2</c:v>
                </c:pt>
                <c:pt idx="876">
                  <c:v>4.2099999999999999E-2</c:v>
                </c:pt>
                <c:pt idx="877">
                  <c:v>4.1939999999999998E-2</c:v>
                </c:pt>
                <c:pt idx="878">
                  <c:v>4.1390000000000003E-2</c:v>
                </c:pt>
                <c:pt idx="879">
                  <c:v>4.1099999999999998E-2</c:v>
                </c:pt>
                <c:pt idx="880">
                  <c:v>4.0750000000000001E-2</c:v>
                </c:pt>
                <c:pt idx="881">
                  <c:v>4.2200000000000001E-2</c:v>
                </c:pt>
                <c:pt idx="882">
                  <c:v>4.1250000000000002E-2</c:v>
                </c:pt>
                <c:pt idx="883">
                  <c:v>4.0629999999999999E-2</c:v>
                </c:pt>
                <c:pt idx="884">
                  <c:v>4.6080000000000003E-2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02-4381-8F36-E24296B9B4B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8.3364086438215352</c:v>
                </c:pt>
                <c:pt idx="1">
                  <c:v>8.3522617938215351</c:v>
                </c:pt>
                <c:pt idx="2">
                  <c:v>8.3924312412914155</c:v>
                </c:pt>
                <c:pt idx="3">
                  <c:v>8.3523441884709015</c:v>
                </c:pt>
                <c:pt idx="4">
                  <c:v>8.3808634843126857</c:v>
                </c:pt>
                <c:pt idx="5">
                  <c:v>8.3194990474994999</c:v>
                </c:pt>
                <c:pt idx="6">
                  <c:v>8.3378469743335071</c:v>
                </c:pt>
                <c:pt idx="7">
                  <c:v>8.438570539044699</c:v>
                </c:pt>
                <c:pt idx="8">
                  <c:v>8.4932150581127992</c:v>
                </c:pt>
                <c:pt idx="9">
                  <c:v>8.5105573910651806</c:v>
                </c:pt>
                <c:pt idx="10">
                  <c:v>8.5138259577318465</c:v>
                </c:pt>
                <c:pt idx="11">
                  <c:v>8.5285253557318459</c:v>
                </c:pt>
                <c:pt idx="12">
                  <c:v>8.5010800301762899</c:v>
                </c:pt>
                <c:pt idx="13">
                  <c:v>8.516014513790747</c:v>
                </c:pt>
                <c:pt idx="14">
                  <c:v>8.4697854774492836</c:v>
                </c:pt>
                <c:pt idx="15">
                  <c:v>8.5136431330559788</c:v>
                </c:pt>
                <c:pt idx="16">
                  <c:v>8.4660903151988371</c:v>
                </c:pt>
                <c:pt idx="17">
                  <c:v>8.4196371551988367</c:v>
                </c:pt>
                <c:pt idx="18">
                  <c:v>8.4803754070548827</c:v>
                </c:pt>
                <c:pt idx="19">
                  <c:v>8.4972796613405972</c:v>
                </c:pt>
                <c:pt idx="20">
                  <c:v>8.5425399447233854</c:v>
                </c:pt>
                <c:pt idx="21">
                  <c:v>8.4855991984146595</c:v>
                </c:pt>
                <c:pt idx="22">
                  <c:v>8.4172332401177172</c:v>
                </c:pt>
                <c:pt idx="23">
                  <c:v>8.5048614038019288</c:v>
                </c:pt>
                <c:pt idx="24">
                  <c:v>8.5787834282846891</c:v>
                </c:pt>
                <c:pt idx="25">
                  <c:v>8.7221048091735778</c:v>
                </c:pt>
                <c:pt idx="26">
                  <c:v>8.7320778620768014</c:v>
                </c:pt>
                <c:pt idx="27">
                  <c:v>8.5628717113450943</c:v>
                </c:pt>
                <c:pt idx="28">
                  <c:v>8.5889149039021717</c:v>
                </c:pt>
                <c:pt idx="29">
                  <c:v>8.5717668339021724</c:v>
                </c:pt>
                <c:pt idx="30">
                  <c:v>8.5933656564140222</c:v>
                </c:pt>
                <c:pt idx="31">
                  <c:v>8.6877346519297145</c:v>
                </c:pt>
                <c:pt idx="32">
                  <c:v>8.7105852423884311</c:v>
                </c:pt>
                <c:pt idx="33">
                  <c:v>8.6691516459705209</c:v>
                </c:pt>
                <c:pt idx="34">
                  <c:v>8.6672378314877623</c:v>
                </c:pt>
                <c:pt idx="35">
                  <c:v>8.688193101128789</c:v>
                </c:pt>
                <c:pt idx="36">
                  <c:v>8.5979985748992807</c:v>
                </c:pt>
                <c:pt idx="37">
                  <c:v>8.5702955274799262</c:v>
                </c:pt>
                <c:pt idx="38">
                  <c:v>8.5355398934593065</c:v>
                </c:pt>
                <c:pt idx="39">
                  <c:v>8.5297952452379633</c:v>
                </c:pt>
                <c:pt idx="40">
                  <c:v>8.5532253883808202</c:v>
                </c:pt>
                <c:pt idx="41">
                  <c:v>8.5196733644555867</c:v>
                </c:pt>
                <c:pt idx="42">
                  <c:v>8.5619165757563991</c:v>
                </c:pt>
                <c:pt idx="43">
                  <c:v>8.6239431419726156</c:v>
                </c:pt>
                <c:pt idx="44">
                  <c:v>8.5849659516260814</c:v>
                </c:pt>
                <c:pt idx="45">
                  <c:v>8.525938148786576</c:v>
                </c:pt>
                <c:pt idx="46">
                  <c:v>8.5834579816321046</c:v>
                </c:pt>
                <c:pt idx="47">
                  <c:v>8.5613741976995197</c:v>
                </c:pt>
                <c:pt idx="48">
                  <c:v>8.5544910449126341</c:v>
                </c:pt>
                <c:pt idx="49">
                  <c:v>8.6535629840480794</c:v>
                </c:pt>
                <c:pt idx="50">
                  <c:v>8.7697356400786148</c:v>
                </c:pt>
                <c:pt idx="51">
                  <c:v>8.6889663035881295</c:v>
                </c:pt>
                <c:pt idx="52">
                  <c:v>8.6752861069442933</c:v>
                </c:pt>
                <c:pt idx="53">
                  <c:v>8.4665701997359069</c:v>
                </c:pt>
                <c:pt idx="54">
                  <c:v>8.5715501423160081</c:v>
                </c:pt>
                <c:pt idx="55">
                  <c:v>8.4968653818776669</c:v>
                </c:pt>
                <c:pt idx="56">
                  <c:v>8.5946037868261218</c:v>
                </c:pt>
                <c:pt idx="57">
                  <c:v>8.6606632984846588</c:v>
                </c:pt>
                <c:pt idx="58">
                  <c:v>8.5666360391938774</c:v>
                </c:pt>
                <c:pt idx="59">
                  <c:v>8.6846256870120602</c:v>
                </c:pt>
                <c:pt idx="60">
                  <c:v>8.7294416280537277</c:v>
                </c:pt>
                <c:pt idx="61">
                  <c:v>8.8474615091867719</c:v>
                </c:pt>
                <c:pt idx="62">
                  <c:v>8.1224539712763235</c:v>
                </c:pt>
                <c:pt idx="63">
                  <c:v>7.4561223547415141</c:v>
                </c:pt>
                <c:pt idx="64">
                  <c:v>7.2933707475540119</c:v>
                </c:pt>
                <c:pt idx="65">
                  <c:v>7.3306713158662484</c:v>
                </c:pt>
                <c:pt idx="66">
                  <c:v>7.327105134464631</c:v>
                </c:pt>
                <c:pt idx="67">
                  <c:v>8.1439749585758534</c:v>
                </c:pt>
                <c:pt idx="68">
                  <c:v>8.1043890388092468</c:v>
                </c:pt>
                <c:pt idx="69">
                  <c:v>7.5771599984728537</c:v>
                </c:pt>
                <c:pt idx="70">
                  <c:v>7.4426674303349234</c:v>
                </c:pt>
                <c:pt idx="71">
                  <c:v>7.660767309108869</c:v>
                </c:pt>
                <c:pt idx="72">
                  <c:v>7.5296642407088683</c:v>
                </c:pt>
                <c:pt idx="73">
                  <c:v>7.4368311766225741</c:v>
                </c:pt>
                <c:pt idx="74">
                  <c:v>7.4458415769400341</c:v>
                </c:pt>
                <c:pt idx="75">
                  <c:v>7.3527396907238192</c:v>
                </c:pt>
                <c:pt idx="76">
                  <c:v>7.3033074780194163</c:v>
                </c:pt>
                <c:pt idx="77">
                  <c:v>7.2959620288953282</c:v>
                </c:pt>
                <c:pt idx="78">
                  <c:v>7.2508523037512953</c:v>
                </c:pt>
                <c:pt idx="79">
                  <c:v>7.2713898688461116</c:v>
                </c:pt>
                <c:pt idx="80">
                  <c:v>7.2761869948461104</c:v>
                </c:pt>
                <c:pt idx="81">
                  <c:v>7.2541468220433423</c:v>
                </c:pt>
                <c:pt idx="82">
                  <c:v>7.2981576099221304</c:v>
                </c:pt>
                <c:pt idx="83">
                  <c:v>7.2715883018492145</c:v>
                </c:pt>
                <c:pt idx="84">
                  <c:v>7.0631133061657616</c:v>
                </c:pt>
                <c:pt idx="85">
                  <c:v>7.3102966623171817</c:v>
                </c:pt>
                <c:pt idx="86">
                  <c:v>7.2225942468021254</c:v>
                </c:pt>
                <c:pt idx="87">
                  <c:v>6.9445993646070034</c:v>
                </c:pt>
                <c:pt idx="88">
                  <c:v>6.7043642591595329</c:v>
                </c:pt>
                <c:pt idx="89">
                  <c:v>8.2384451864874855</c:v>
                </c:pt>
                <c:pt idx="90">
                  <c:v>8.068762352224164</c:v>
                </c:pt>
                <c:pt idx="91">
                  <c:v>7.8977057929225767</c:v>
                </c:pt>
                <c:pt idx="92">
                  <c:v>7.8082367312311813</c:v>
                </c:pt>
                <c:pt idx="93">
                  <c:v>7.8891024297769992</c:v>
                </c:pt>
                <c:pt idx="94">
                  <c:v>7.8918829202531899</c:v>
                </c:pt>
                <c:pt idx="95">
                  <c:v>7.8677411150919001</c:v>
                </c:pt>
                <c:pt idx="96">
                  <c:v>7.8647459050158544</c:v>
                </c:pt>
                <c:pt idx="97">
                  <c:v>7.8176298204004695</c:v>
                </c:pt>
                <c:pt idx="98">
                  <c:v>7.7935242352796958</c:v>
                </c:pt>
                <c:pt idx="99">
                  <c:v>7.8671610602796962</c:v>
                </c:pt>
                <c:pt idx="100">
                  <c:v>7.7846160531368387</c:v>
                </c:pt>
                <c:pt idx="101">
                  <c:v>7.7400003309450573</c:v>
                </c:pt>
                <c:pt idx="102">
                  <c:v>7.6700974087228362</c:v>
                </c:pt>
                <c:pt idx="103">
                  <c:v>7.6704367691509701</c:v>
                </c:pt>
                <c:pt idx="104">
                  <c:v>7.7097594953835271</c:v>
                </c:pt>
                <c:pt idx="105">
                  <c:v>7.9421382735604702</c:v>
                </c:pt>
                <c:pt idx="106">
                  <c:v>7.8856315013926377</c:v>
                </c:pt>
                <c:pt idx="107">
                  <c:v>7.8104188955717415</c:v>
                </c:pt>
                <c:pt idx="108">
                  <c:v>7.7248529823064365</c:v>
                </c:pt>
                <c:pt idx="109">
                  <c:v>7.7582123020131029</c:v>
                </c:pt>
                <c:pt idx="110">
                  <c:v>7.8878556356151179</c:v>
                </c:pt>
                <c:pt idx="111">
                  <c:v>8.1017295293989022</c:v>
                </c:pt>
                <c:pt idx="112">
                  <c:v>7.8738537352545723</c:v>
                </c:pt>
                <c:pt idx="113">
                  <c:v>7.7575131814104159</c:v>
                </c:pt>
                <c:pt idx="114">
                  <c:v>7.6110380412077134</c:v>
                </c:pt>
                <c:pt idx="115">
                  <c:v>7.503705689844077</c:v>
                </c:pt>
                <c:pt idx="116">
                  <c:v>7.5413806286946512</c:v>
                </c:pt>
                <c:pt idx="117">
                  <c:v>7.5368194324304998</c:v>
                </c:pt>
                <c:pt idx="118">
                  <c:v>7.5988830287218905</c:v>
                </c:pt>
                <c:pt idx="119">
                  <c:v>7.285950255065976</c:v>
                </c:pt>
                <c:pt idx="120">
                  <c:v>7.1715126590719116</c:v>
                </c:pt>
                <c:pt idx="121">
                  <c:v>7.2115534380271349</c:v>
                </c:pt>
                <c:pt idx="122">
                  <c:v>7.323025803066713</c:v>
                </c:pt>
                <c:pt idx="123">
                  <c:v>7.4606582920474294</c:v>
                </c:pt>
                <c:pt idx="124">
                  <c:v>7.431378315452517</c:v>
                </c:pt>
                <c:pt idx="125">
                  <c:v>7.5539742410692154</c:v>
                </c:pt>
                <c:pt idx="126">
                  <c:v>7.637029250492847</c:v>
                </c:pt>
                <c:pt idx="127">
                  <c:v>6.9186392798771017</c:v>
                </c:pt>
                <c:pt idx="128">
                  <c:v>6.6765009928705235</c:v>
                </c:pt>
                <c:pt idx="129">
                  <c:v>6.8700369534705237</c:v>
                </c:pt>
                <c:pt idx="130">
                  <c:v>6.9918707152172486</c:v>
                </c:pt>
                <c:pt idx="131">
                  <c:v>7.0578456961325031</c:v>
                </c:pt>
                <c:pt idx="132">
                  <c:v>7.2214848465988943</c:v>
                </c:pt>
                <c:pt idx="133">
                  <c:v>7.44125220288461</c:v>
                </c:pt>
                <c:pt idx="134">
                  <c:v>7.3418693548051399</c:v>
                </c:pt>
                <c:pt idx="135">
                  <c:v>7.1956684745499198</c:v>
                </c:pt>
                <c:pt idx="136">
                  <c:v>7.1754096520948289</c:v>
                </c:pt>
                <c:pt idx="137">
                  <c:v>7.4353421870821057</c:v>
                </c:pt>
                <c:pt idx="138">
                  <c:v>7.3711902174126838</c:v>
                </c:pt>
                <c:pt idx="139">
                  <c:v>7.4965479233143224</c:v>
                </c:pt>
                <c:pt idx="140">
                  <c:v>7.5754848557281145</c:v>
                </c:pt>
                <c:pt idx="141">
                  <c:v>7.6163429580710167</c:v>
                </c:pt>
                <c:pt idx="142">
                  <c:v>7.1244749313815969</c:v>
                </c:pt>
                <c:pt idx="143">
                  <c:v>7.488756817352292</c:v>
                </c:pt>
                <c:pt idx="144">
                  <c:v>6.8982220966013044</c:v>
                </c:pt>
                <c:pt idx="145">
                  <c:v>9.3627086020749299</c:v>
                </c:pt>
                <c:pt idx="146">
                  <c:v>4.9216801279704283</c:v>
                </c:pt>
                <c:pt idx="147">
                  <c:v>4.5794174844677276</c:v>
                </c:pt>
                <c:pt idx="148">
                  <c:v>4.5767816962903876</c:v>
                </c:pt>
                <c:pt idx="149">
                  <c:v>4.4720499190903862</c:v>
                </c:pt>
                <c:pt idx="150">
                  <c:v>4.4877840319670987</c:v>
                </c:pt>
                <c:pt idx="151">
                  <c:v>4.5845293233713544</c:v>
                </c:pt>
                <c:pt idx="152">
                  <c:v>4.4953433698465508</c:v>
                </c:pt>
                <c:pt idx="153">
                  <c:v>4.4545574527036935</c:v>
                </c:pt>
                <c:pt idx="154">
                  <c:v>4.2439685788057329</c:v>
                </c:pt>
                <c:pt idx="155">
                  <c:v>4.346345436901621</c:v>
                </c:pt>
                <c:pt idx="156">
                  <c:v>4.3041917648460064</c:v>
                </c:pt>
                <c:pt idx="157">
                  <c:v>4.4124828423446001</c:v>
                </c:pt>
                <c:pt idx="158">
                  <c:v>4.1693294655951911</c:v>
                </c:pt>
                <c:pt idx="159">
                  <c:v>4.16332699418244</c:v>
                </c:pt>
                <c:pt idx="160">
                  <c:v>4.1180023401272203</c:v>
                </c:pt>
                <c:pt idx="161">
                  <c:v>4.0117903934305224</c:v>
                </c:pt>
                <c:pt idx="162">
                  <c:v>3.7441071977959073</c:v>
                </c:pt>
                <c:pt idx="163">
                  <c:v>3.8003939875458452</c:v>
                </c:pt>
                <c:pt idx="164">
                  <c:v>4.0269739033178391</c:v>
                </c:pt>
                <c:pt idx="165">
                  <c:v>4.0882458332217437</c:v>
                </c:pt>
                <c:pt idx="166">
                  <c:v>3.9850929769342631</c:v>
                </c:pt>
                <c:pt idx="167">
                  <c:v>3.9016185746279008</c:v>
                </c:pt>
                <c:pt idx="168">
                  <c:v>3.75152688321797</c:v>
                </c:pt>
                <c:pt idx="169">
                  <c:v>3.817195082815565</c:v>
                </c:pt>
                <c:pt idx="170">
                  <c:v>4.0490815259802524</c:v>
                </c:pt>
                <c:pt idx="171">
                  <c:v>3.9643797478295775</c:v>
                </c:pt>
                <c:pt idx="172">
                  <c:v>3.86642925972283</c:v>
                </c:pt>
                <c:pt idx="173">
                  <c:v>3.9170473651851343</c:v>
                </c:pt>
                <c:pt idx="174">
                  <c:v>3.8085965373557511</c:v>
                </c:pt>
                <c:pt idx="175">
                  <c:v>3.7016694301363584</c:v>
                </c:pt>
                <c:pt idx="176">
                  <c:v>3.5015280888639162</c:v>
                </c:pt>
                <c:pt idx="177">
                  <c:v>3.3335790161089189</c:v>
                </c:pt>
                <c:pt idx="178">
                  <c:v>3.2889469800686859</c:v>
                </c:pt>
                <c:pt idx="179">
                  <c:v>3.3412899300701144</c:v>
                </c:pt>
                <c:pt idx="180">
                  <c:v>3.4065601650799477</c:v>
                </c:pt>
                <c:pt idx="181">
                  <c:v>3.4445943355926425</c:v>
                </c:pt>
                <c:pt idx="182">
                  <c:v>3.2923202369768387</c:v>
                </c:pt>
                <c:pt idx="183">
                  <c:v>3.2017582391382842</c:v>
                </c:pt>
                <c:pt idx="184">
                  <c:v>3.4218482655755613</c:v>
                </c:pt>
                <c:pt idx="185">
                  <c:v>3.8036899425301152</c:v>
                </c:pt>
                <c:pt idx="186">
                  <c:v>3.9520299781654971</c:v>
                </c:pt>
                <c:pt idx="187">
                  <c:v>3.9092602178740798</c:v>
                </c:pt>
                <c:pt idx="188">
                  <c:v>3.9229839276912064</c:v>
                </c:pt>
                <c:pt idx="189">
                  <c:v>3.949016901018902</c:v>
                </c:pt>
                <c:pt idx="190">
                  <c:v>3.8773132292852952</c:v>
                </c:pt>
                <c:pt idx="191">
                  <c:v>3.7899710170146474</c:v>
                </c:pt>
                <c:pt idx="192">
                  <c:v>3.8561959707782223</c:v>
                </c:pt>
                <c:pt idx="193">
                  <c:v>3.8770278709377708</c:v>
                </c:pt>
                <c:pt idx="194">
                  <c:v>3.902149333581872</c:v>
                </c:pt>
                <c:pt idx="195">
                  <c:v>3.879338958740401</c:v>
                </c:pt>
                <c:pt idx="196">
                  <c:v>3.9419757551868493</c:v>
                </c:pt>
                <c:pt idx="197">
                  <c:v>3.9805810119145182</c:v>
                </c:pt>
                <c:pt idx="198">
                  <c:v>3.9160739020583111</c:v>
                </c:pt>
                <c:pt idx="199">
                  <c:v>3.934829390721168</c:v>
                </c:pt>
                <c:pt idx="200">
                  <c:v>3.9305666240716008</c:v>
                </c:pt>
                <c:pt idx="201">
                  <c:v>3.8528321912299446</c:v>
                </c:pt>
                <c:pt idx="202">
                  <c:v>3.8710715449463424</c:v>
                </c:pt>
                <c:pt idx="203">
                  <c:v>3.7962170258861923</c:v>
                </c:pt>
                <c:pt idx="204">
                  <c:v>3.8847778186038995</c:v>
                </c:pt>
                <c:pt idx="205">
                  <c:v>3.9641966132900106</c:v>
                </c:pt>
                <c:pt idx="206">
                  <c:v>3.9000572439228196</c:v>
                </c:pt>
                <c:pt idx="207">
                  <c:v>3.6007069435695365</c:v>
                </c:pt>
                <c:pt idx="208">
                  <c:v>3.5908391147040506</c:v>
                </c:pt>
                <c:pt idx="209">
                  <c:v>3.5212399017040501</c:v>
                </c:pt>
                <c:pt idx="210">
                  <c:v>3.4580824560089871</c:v>
                </c:pt>
                <c:pt idx="211">
                  <c:v>3.4199403825761516</c:v>
                </c:pt>
                <c:pt idx="212">
                  <c:v>3.185436879547801</c:v>
                </c:pt>
                <c:pt idx="213">
                  <c:v>3.032875987292535</c:v>
                </c:pt>
                <c:pt idx="214">
                  <c:v>3.0102630955173137</c:v>
                </c:pt>
                <c:pt idx="215">
                  <c:v>2.8879348686419366</c:v>
                </c:pt>
                <c:pt idx="216">
                  <c:v>2.7712486336120636</c:v>
                </c:pt>
                <c:pt idx="217">
                  <c:v>2.8508232482835014</c:v>
                </c:pt>
                <c:pt idx="218">
                  <c:v>2.8020510103100338</c:v>
                </c:pt>
                <c:pt idx="219">
                  <c:v>2.7080349849105065</c:v>
                </c:pt>
                <c:pt idx="220">
                  <c:v>2.6564120069978228</c:v>
                </c:pt>
                <c:pt idx="221">
                  <c:v>2.9155868775235829</c:v>
                </c:pt>
                <c:pt idx="222">
                  <c:v>2.8935641072268767</c:v>
                </c:pt>
                <c:pt idx="223">
                  <c:v>2.9603570700840875</c:v>
                </c:pt>
                <c:pt idx="224">
                  <c:v>2.9987369554797541</c:v>
                </c:pt>
                <c:pt idx="225">
                  <c:v>3.0373346709598832</c:v>
                </c:pt>
                <c:pt idx="226">
                  <c:v>3.1111332839426997</c:v>
                </c:pt>
                <c:pt idx="227">
                  <c:v>3.1213664146009563</c:v>
                </c:pt>
                <c:pt idx="228">
                  <c:v>3.0411342940402655</c:v>
                </c:pt>
                <c:pt idx="229">
                  <c:v>2.9650452781411567</c:v>
                </c:pt>
                <c:pt idx="230">
                  <c:v>2.9708402372651417</c:v>
                </c:pt>
                <c:pt idx="231">
                  <c:v>3.2293015900267319</c:v>
                </c:pt>
                <c:pt idx="232">
                  <c:v>3.2509940156655626</c:v>
                </c:pt>
                <c:pt idx="233">
                  <c:v>3.15015676245579</c:v>
                </c:pt>
                <c:pt idx="234">
                  <c:v>3.1163431036768383</c:v>
                </c:pt>
                <c:pt idx="235">
                  <c:v>3.1937114768819548</c:v>
                </c:pt>
                <c:pt idx="236">
                  <c:v>3.1787846585097861</c:v>
                </c:pt>
                <c:pt idx="237">
                  <c:v>3.2645892535083219</c:v>
                </c:pt>
                <c:pt idx="238">
                  <c:v>3.3169215097972105</c:v>
                </c:pt>
                <c:pt idx="239">
                  <c:v>3.3298637762812588</c:v>
                </c:pt>
                <c:pt idx="240">
                  <c:v>3.2755805674201137</c:v>
                </c:pt>
                <c:pt idx="241">
                  <c:v>3.2864208678288422</c:v>
                </c:pt>
                <c:pt idx="242">
                  <c:v>3.2210550879758113</c:v>
                </c:pt>
                <c:pt idx="243">
                  <c:v>3.1924405846664783</c:v>
                </c:pt>
                <c:pt idx="244">
                  <c:v>3.2595381508071029</c:v>
                </c:pt>
                <c:pt idx="245">
                  <c:v>3.4158924279057952</c:v>
                </c:pt>
                <c:pt idx="246">
                  <c:v>3.501277627694702</c:v>
                </c:pt>
                <c:pt idx="247">
                  <c:v>3.2867861716947018</c:v>
                </c:pt>
                <c:pt idx="248">
                  <c:v>3.153003796641539</c:v>
                </c:pt>
                <c:pt idx="249">
                  <c:v>2.8718761894360685</c:v>
                </c:pt>
                <c:pt idx="250">
                  <c:v>2.885199735048972</c:v>
                </c:pt>
                <c:pt idx="251">
                  <c:v>2.9943166796457907</c:v>
                </c:pt>
                <c:pt idx="252">
                  <c:v>3.4423529193285423</c:v>
                </c:pt>
                <c:pt idx="253">
                  <c:v>2.9422162780954491</c:v>
                </c:pt>
                <c:pt idx="254">
                  <c:v>3.0244996373234061</c:v>
                </c:pt>
                <c:pt idx="255">
                  <c:v>3.033951721518434</c:v>
                </c:pt>
                <c:pt idx="256">
                  <c:v>3.0904824552404664</c:v>
                </c:pt>
                <c:pt idx="257">
                  <c:v>3.1058835387325656</c:v>
                </c:pt>
                <c:pt idx="258">
                  <c:v>3.2691368018905411</c:v>
                </c:pt>
                <c:pt idx="259">
                  <c:v>3.2332949413636345</c:v>
                </c:pt>
                <c:pt idx="260">
                  <c:v>3.157051242787694</c:v>
                </c:pt>
                <c:pt idx="261">
                  <c:v>3.32674462887883</c:v>
                </c:pt>
                <c:pt idx="262">
                  <c:v>3.1614248833441714</c:v>
                </c:pt>
                <c:pt idx="263">
                  <c:v>3.2625884579838864</c:v>
                </c:pt>
                <c:pt idx="264">
                  <c:v>3.2196954706344747</c:v>
                </c:pt>
                <c:pt idx="265">
                  <c:v>3.5687909760093368</c:v>
                </c:pt>
                <c:pt idx="266">
                  <c:v>3.6169496762719504</c:v>
                </c:pt>
                <c:pt idx="267">
                  <c:v>3.6283384298464947</c:v>
                </c:pt>
                <c:pt idx="268">
                  <c:v>3.463682443919744</c:v>
                </c:pt>
                <c:pt idx="269">
                  <c:v>3.587683635399443</c:v>
                </c:pt>
                <c:pt idx="270">
                  <c:v>3.7763278915127354</c:v>
                </c:pt>
                <c:pt idx="271">
                  <c:v>3.5944626507578374</c:v>
                </c:pt>
                <c:pt idx="272">
                  <c:v>3.6004338358738597</c:v>
                </c:pt>
                <c:pt idx="273">
                  <c:v>3.5146509074084888</c:v>
                </c:pt>
                <c:pt idx="274">
                  <c:v>3.4485519904016275</c:v>
                </c:pt>
                <c:pt idx="275">
                  <c:v>3.4577530212756189</c:v>
                </c:pt>
                <c:pt idx="276">
                  <c:v>3.2660694185007393</c:v>
                </c:pt>
                <c:pt idx="277">
                  <c:v>3.056807588126599</c:v>
                </c:pt>
                <c:pt idx="278">
                  <c:v>3.0759812433597107</c:v>
                </c:pt>
                <c:pt idx="279">
                  <c:v>3.2122127894051928</c:v>
                </c:pt>
                <c:pt idx="280">
                  <c:v>2.832323925170606</c:v>
                </c:pt>
                <c:pt idx="281">
                  <c:v>3.0647476474898294</c:v>
                </c:pt>
                <c:pt idx="282">
                  <c:v>3.2682149331222421</c:v>
                </c:pt>
                <c:pt idx="283">
                  <c:v>2.8635660119459199</c:v>
                </c:pt>
                <c:pt idx="284">
                  <c:v>3.1457974433116167</c:v>
                </c:pt>
                <c:pt idx="285">
                  <c:v>3.0557713570340663</c:v>
                </c:pt>
                <c:pt idx="286">
                  <c:v>3.1744515591113434</c:v>
                </c:pt>
                <c:pt idx="287">
                  <c:v>3.2516344127083823</c:v>
                </c:pt>
                <c:pt idx="288">
                  <c:v>3.0230044997385179</c:v>
                </c:pt>
                <c:pt idx="289">
                  <c:v>3.0403441979357133</c:v>
                </c:pt>
                <c:pt idx="290">
                  <c:v>2.7284454501545348</c:v>
                </c:pt>
                <c:pt idx="291">
                  <c:v>2.7241069071035224</c:v>
                </c:pt>
                <c:pt idx="292">
                  <c:v>2.3830506736088974</c:v>
                </c:pt>
                <c:pt idx="293">
                  <c:v>2.4924794835772945</c:v>
                </c:pt>
                <c:pt idx="294">
                  <c:v>2.405722328746736</c:v>
                </c:pt>
                <c:pt idx="295">
                  <c:v>2.2447171447870398</c:v>
                </c:pt>
                <c:pt idx="296">
                  <c:v>2.3812999285069889</c:v>
                </c:pt>
                <c:pt idx="297">
                  <c:v>2.2971732435576508</c:v>
                </c:pt>
                <c:pt idx="298">
                  <c:v>2.5977980312382671</c:v>
                </c:pt>
                <c:pt idx="299">
                  <c:v>2.3875567847298469</c:v>
                </c:pt>
                <c:pt idx="300">
                  <c:v>3.0159269485828823</c:v>
                </c:pt>
                <c:pt idx="301">
                  <c:v>2.6387883794455327</c:v>
                </c:pt>
                <c:pt idx="302">
                  <c:v>2.7652596870205439</c:v>
                </c:pt>
                <c:pt idx="303">
                  <c:v>2.4717618772703371</c:v>
                </c:pt>
                <c:pt idx="304">
                  <c:v>2.5047006676861225</c:v>
                </c:pt>
                <c:pt idx="305">
                  <c:v>2.3667797001044231</c:v>
                </c:pt>
                <c:pt idx="306">
                  <c:v>2.2094516872064034</c:v>
                </c:pt>
                <c:pt idx="307">
                  <c:v>2.0171564394584709</c:v>
                </c:pt>
                <c:pt idx="308">
                  <c:v>1.8277496244527072</c:v>
                </c:pt>
                <c:pt idx="309">
                  <c:v>2.0302831692987722</c:v>
                </c:pt>
                <c:pt idx="310">
                  <c:v>2.5118860835655381</c:v>
                </c:pt>
                <c:pt idx="311">
                  <c:v>2.1795817950921434</c:v>
                </c:pt>
                <c:pt idx="312">
                  <c:v>2.5724667578744942</c:v>
                </c:pt>
                <c:pt idx="313">
                  <c:v>2.4427393400026065</c:v>
                </c:pt>
                <c:pt idx="314">
                  <c:v>2.590414073842032</c:v>
                </c:pt>
                <c:pt idx="315">
                  <c:v>2.6154589850900853</c:v>
                </c:pt>
                <c:pt idx="316">
                  <c:v>2.6650355929689402</c:v>
                </c:pt>
                <c:pt idx="317">
                  <c:v>2.5397475443519193</c:v>
                </c:pt>
                <c:pt idx="318">
                  <c:v>2.5300457950571222</c:v>
                </c:pt>
                <c:pt idx="319">
                  <c:v>2.6779380159274173</c:v>
                </c:pt>
                <c:pt idx="320">
                  <c:v>2.6815868235341922</c:v>
                </c:pt>
                <c:pt idx="321">
                  <c:v>2.6629421516478433</c:v>
                </c:pt>
                <c:pt idx="322">
                  <c:v>2.6217607370906406</c:v>
                </c:pt>
                <c:pt idx="323">
                  <c:v>2.7035427817453574</c:v>
                </c:pt>
                <c:pt idx="324">
                  <c:v>2.818967007667494</c:v>
                </c:pt>
                <c:pt idx="325">
                  <c:v>2.4931059035107026</c:v>
                </c:pt>
                <c:pt idx="326">
                  <c:v>2.4017769330785894</c:v>
                </c:pt>
                <c:pt idx="327">
                  <c:v>2.3518682931000061</c:v>
                </c:pt>
                <c:pt idx="328">
                  <c:v>2.2872851442720323</c:v>
                </c:pt>
                <c:pt idx="329">
                  <c:v>2.2226879926007861</c:v>
                </c:pt>
                <c:pt idx="330">
                  <c:v>2.2555121843488997</c:v>
                </c:pt>
                <c:pt idx="331">
                  <c:v>2.2174943832334946</c:v>
                </c:pt>
                <c:pt idx="332">
                  <c:v>2.2919908177954924</c:v>
                </c:pt>
                <c:pt idx="333">
                  <c:v>2.2324311935466286</c:v>
                </c:pt>
                <c:pt idx="334">
                  <c:v>2.2910493824135387</c:v>
                </c:pt>
                <c:pt idx="335">
                  <c:v>2.3236846275832432</c:v>
                </c:pt>
                <c:pt idx="336">
                  <c:v>2.2763752654144529</c:v>
                </c:pt>
                <c:pt idx="337">
                  <c:v>2.4283227978012842</c:v>
                </c:pt>
                <c:pt idx="338">
                  <c:v>2.3974644300371333</c:v>
                </c:pt>
                <c:pt idx="339">
                  <c:v>2.3937114140549678</c:v>
                </c:pt>
                <c:pt idx="340">
                  <c:v>2.359163813083998</c:v>
                </c:pt>
                <c:pt idx="341">
                  <c:v>2.2489043174773999</c:v>
                </c:pt>
                <c:pt idx="342">
                  <c:v>2.3207309797950506</c:v>
                </c:pt>
                <c:pt idx="343">
                  <c:v>2.07634063100378</c:v>
                </c:pt>
                <c:pt idx="344">
                  <c:v>1.999210687763572</c:v>
                </c:pt>
                <c:pt idx="345">
                  <c:v>1.9330761202996141</c:v>
                </c:pt>
                <c:pt idx="346">
                  <c:v>2.0314069021644081</c:v>
                </c:pt>
                <c:pt idx="347">
                  <c:v>1.957123898003158</c:v>
                </c:pt>
                <c:pt idx="348">
                  <c:v>2.745476092596999</c:v>
                </c:pt>
                <c:pt idx="349">
                  <c:v>2.1764120045062167</c:v>
                </c:pt>
                <c:pt idx="350">
                  <c:v>1.8926182250282271</c:v>
                </c:pt>
                <c:pt idx="351">
                  <c:v>1.7065189060068955</c:v>
                </c:pt>
                <c:pt idx="352">
                  <c:v>1.6755652050011121</c:v>
                </c:pt>
                <c:pt idx="353">
                  <c:v>1.3908818772393046</c:v>
                </c:pt>
                <c:pt idx="354">
                  <c:v>1.3159794875973831</c:v>
                </c:pt>
                <c:pt idx="355">
                  <c:v>1.5163505547931277</c:v>
                </c:pt>
                <c:pt idx="356">
                  <c:v>1.8151291642686245</c:v>
                </c:pt>
                <c:pt idx="357">
                  <c:v>1.5597753908430101</c:v>
                </c:pt>
                <c:pt idx="358">
                  <c:v>1.6357412583124979</c:v>
                </c:pt>
                <c:pt idx="359">
                  <c:v>1.285692019647136</c:v>
                </c:pt>
                <c:pt idx="360">
                  <c:v>0.85287372811972262</c:v>
                </c:pt>
                <c:pt idx="361">
                  <c:v>0.76777576099018374</c:v>
                </c:pt>
                <c:pt idx="362">
                  <c:v>0.835349939550183</c:v>
                </c:pt>
                <c:pt idx="363">
                  <c:v>1.0662127484040043</c:v>
                </c:pt>
                <c:pt idx="364">
                  <c:v>1.1156216455696264</c:v>
                </c:pt>
                <c:pt idx="365">
                  <c:v>0.85167569536287668</c:v>
                </c:pt>
                <c:pt idx="366">
                  <c:v>0.93744681390929041</c:v>
                </c:pt>
                <c:pt idx="367">
                  <c:v>0.87290127058947764</c:v>
                </c:pt>
                <c:pt idx="368">
                  <c:v>0.95124082011171829</c:v>
                </c:pt>
                <c:pt idx="369">
                  <c:v>0.91969540810755168</c:v>
                </c:pt>
                <c:pt idx="370">
                  <c:v>1.0855166732565982</c:v>
                </c:pt>
                <c:pt idx="371">
                  <c:v>0.74482995270176355</c:v>
                </c:pt>
                <c:pt idx="372">
                  <c:v>0.9165550342840334</c:v>
                </c:pt>
                <c:pt idx="373">
                  <c:v>0.8948987645480555</c:v>
                </c:pt>
                <c:pt idx="374">
                  <c:v>0.96867421994099823</c:v>
                </c:pt>
                <c:pt idx="375">
                  <c:v>0.54020466279884782</c:v>
                </c:pt>
                <c:pt idx="376">
                  <c:v>0.56586896057662583</c:v>
                </c:pt>
                <c:pt idx="377">
                  <c:v>0.76078637480016742</c:v>
                </c:pt>
                <c:pt idx="378">
                  <c:v>0.48002549290808416</c:v>
                </c:pt>
                <c:pt idx="379">
                  <c:v>0.46663536108489678</c:v>
                </c:pt>
                <c:pt idx="380">
                  <c:v>-0.19833754879041227</c:v>
                </c:pt>
                <c:pt idx="381">
                  <c:v>-1.3375695781082557</c:v>
                </c:pt>
                <c:pt idx="382">
                  <c:v>-1.3786470906027661</c:v>
                </c:pt>
                <c:pt idx="383">
                  <c:v>-1.1041985442649698</c:v>
                </c:pt>
                <c:pt idx="384">
                  <c:v>-0.78916101695467411</c:v>
                </c:pt>
                <c:pt idx="385">
                  <c:v>0.73570431311629825</c:v>
                </c:pt>
                <c:pt idx="386">
                  <c:v>-2.3562695502014437</c:v>
                </c:pt>
                <c:pt idx="387">
                  <c:v>-2.2979943671319907</c:v>
                </c:pt>
                <c:pt idx="388">
                  <c:v>-2.4782934335988731</c:v>
                </c:pt>
                <c:pt idx="389">
                  <c:v>-2.3147429394284811</c:v>
                </c:pt>
                <c:pt idx="390">
                  <c:v>-2.4908292352732566</c:v>
                </c:pt>
                <c:pt idx="391">
                  <c:v>-2.5441820159025079</c:v>
                </c:pt>
                <c:pt idx="392">
                  <c:v>-2.4947561565189895</c:v>
                </c:pt>
                <c:pt idx="393">
                  <c:v>-2.5165939571747273</c:v>
                </c:pt>
                <c:pt idx="394">
                  <c:v>-2.4536624256888118</c:v>
                </c:pt>
                <c:pt idx="395">
                  <c:v>-2.4275552171103798</c:v>
                </c:pt>
                <c:pt idx="396">
                  <c:v>-2.3029340237408151</c:v>
                </c:pt>
                <c:pt idx="397">
                  <c:v>-2.2339794777539441</c:v>
                </c:pt>
                <c:pt idx="398">
                  <c:v>-2.2134017021441879</c:v>
                </c:pt>
                <c:pt idx="399">
                  <c:v>-2.2249621059183817</c:v>
                </c:pt>
                <c:pt idx="400">
                  <c:v>-2.7465455051364751</c:v>
                </c:pt>
                <c:pt idx="401">
                  <c:v>-2.1335820064077624</c:v>
                </c:pt>
                <c:pt idx="402">
                  <c:v>-2.1255325329485348</c:v>
                </c:pt>
                <c:pt idx="403">
                  <c:v>-1.9605717511383653</c:v>
                </c:pt>
                <c:pt idx="404">
                  <c:v>-1.7509291515853742</c:v>
                </c:pt>
                <c:pt idx="405">
                  <c:v>-1.8051737582289837</c:v>
                </c:pt>
                <c:pt idx="406">
                  <c:v>-2.1094598793880137</c:v>
                </c:pt>
                <c:pt idx="407">
                  <c:v>-1.9152816394201</c:v>
                </c:pt>
                <c:pt idx="408">
                  <c:v>-2.038988359391614</c:v>
                </c:pt>
                <c:pt idx="409">
                  <c:v>-1.8880318609206668</c:v>
                </c:pt>
                <c:pt idx="410">
                  <c:v>-1.8390325061243329</c:v>
                </c:pt>
                <c:pt idx="411">
                  <c:v>-1.6855743786492505</c:v>
                </c:pt>
                <c:pt idx="412">
                  <c:v>-1.7563756215592028</c:v>
                </c:pt>
                <c:pt idx="413">
                  <c:v>-1.5946909153850963</c:v>
                </c:pt>
                <c:pt idx="414">
                  <c:v>-1.3597114865395683</c:v>
                </c:pt>
                <c:pt idx="415">
                  <c:v>-1.7335645374716555</c:v>
                </c:pt>
                <c:pt idx="416">
                  <c:v>-1.2440328768101283</c:v>
                </c:pt>
                <c:pt idx="417">
                  <c:v>-0.99600294361318487</c:v>
                </c:pt>
                <c:pt idx="418">
                  <c:v>-0.74975205252759869</c:v>
                </c:pt>
                <c:pt idx="419">
                  <c:v>-1.8631318394915206</c:v>
                </c:pt>
                <c:pt idx="420">
                  <c:v>-0.61107517216868645</c:v>
                </c:pt>
                <c:pt idx="421">
                  <c:v>0.56133724236144911</c:v>
                </c:pt>
                <c:pt idx="422">
                  <c:v>-1.4201003118624986</c:v>
                </c:pt>
                <c:pt idx="423">
                  <c:v>-1.2140249285801088</c:v>
                </c:pt>
                <c:pt idx="424">
                  <c:v>-1.242092448196833</c:v>
                </c:pt>
                <c:pt idx="425">
                  <c:v>-1.2058854969421746</c:v>
                </c:pt>
                <c:pt idx="426">
                  <c:v>-1.34518552004758</c:v>
                </c:pt>
                <c:pt idx="427">
                  <c:v>-1.3249849043064035</c:v>
                </c:pt>
                <c:pt idx="428">
                  <c:v>-1.1065643493494344</c:v>
                </c:pt>
                <c:pt idx="429">
                  <c:v>-0.69274478036198173</c:v>
                </c:pt>
                <c:pt idx="430">
                  <c:v>-0.57563766985614639</c:v>
                </c:pt>
                <c:pt idx="431">
                  <c:v>-0.535549976663375</c:v>
                </c:pt>
                <c:pt idx="432">
                  <c:v>-0.4007611541964835</c:v>
                </c:pt>
                <c:pt idx="433">
                  <c:v>-0.14718482738279876</c:v>
                </c:pt>
                <c:pt idx="434">
                  <c:v>3.080588972735241E-2</c:v>
                </c:pt>
                <c:pt idx="435">
                  <c:v>0.40678945216281903</c:v>
                </c:pt>
                <c:pt idx="436">
                  <c:v>0.83935952381939882</c:v>
                </c:pt>
                <c:pt idx="437">
                  <c:v>0.28377528004993435</c:v>
                </c:pt>
                <c:pt idx="438">
                  <c:v>0.81387337986601127</c:v>
                </c:pt>
                <c:pt idx="439">
                  <c:v>1.4256110983746995</c:v>
                </c:pt>
                <c:pt idx="440">
                  <c:v>1.3680441702386812</c:v>
                </c:pt>
                <c:pt idx="441">
                  <c:v>2.7289470932953837</c:v>
                </c:pt>
                <c:pt idx="442">
                  <c:v>0.41599088776486126</c:v>
                </c:pt>
                <c:pt idx="443">
                  <c:v>2.9152303661342462</c:v>
                </c:pt>
                <c:pt idx="444">
                  <c:v>6.2331200426555657</c:v>
                </c:pt>
                <c:pt idx="445">
                  <c:v>2.7851299933019948</c:v>
                </c:pt>
                <c:pt idx="446">
                  <c:v>1.0696870363595743</c:v>
                </c:pt>
                <c:pt idx="447">
                  <c:v>1.4086149027228769</c:v>
                </c:pt>
                <c:pt idx="448">
                  <c:v>0.2965576439189096</c:v>
                </c:pt>
                <c:pt idx="449">
                  <c:v>0.21634031585405863</c:v>
                </c:pt>
                <c:pt idx="450">
                  <c:v>0.21545267708212887</c:v>
                </c:pt>
                <c:pt idx="451">
                  <c:v>0.21065300768212888</c:v>
                </c:pt>
                <c:pt idx="452">
                  <c:v>0.21556753698445447</c:v>
                </c:pt>
                <c:pt idx="453">
                  <c:v>0.20940999366302585</c:v>
                </c:pt>
                <c:pt idx="454">
                  <c:v>0.21015023988302584</c:v>
                </c:pt>
                <c:pt idx="455">
                  <c:v>0.20757697801098801</c:v>
                </c:pt>
                <c:pt idx="456">
                  <c:v>0.21706595459262065</c:v>
                </c:pt>
                <c:pt idx="457">
                  <c:v>0.2332228476229237</c:v>
                </c:pt>
                <c:pt idx="458">
                  <c:v>0.21344788964894598</c:v>
                </c:pt>
                <c:pt idx="459">
                  <c:v>0.21723819024688409</c:v>
                </c:pt>
                <c:pt idx="460">
                  <c:v>0.24142346738280648</c:v>
                </c:pt>
                <c:pt idx="461">
                  <c:v>0.30973869055481318</c:v>
                </c:pt>
                <c:pt idx="462">
                  <c:v>0.30553995252136834</c:v>
                </c:pt>
                <c:pt idx="463">
                  <c:v>0.30112136419336838</c:v>
                </c:pt>
                <c:pt idx="464">
                  <c:v>0.30432746690037471</c:v>
                </c:pt>
                <c:pt idx="465">
                  <c:v>0.30714170023787468</c:v>
                </c:pt>
                <c:pt idx="466">
                  <c:v>0.31835769493484434</c:v>
                </c:pt>
                <c:pt idx="467">
                  <c:v>0.3061191008842114</c:v>
                </c:pt>
                <c:pt idx="468">
                  <c:v>0.31386608982360525</c:v>
                </c:pt>
                <c:pt idx="469">
                  <c:v>0.32145193547140399</c:v>
                </c:pt>
                <c:pt idx="470">
                  <c:v>0.31998216292238441</c:v>
                </c:pt>
                <c:pt idx="471">
                  <c:v>0.33013243638184381</c:v>
                </c:pt>
                <c:pt idx="472">
                  <c:v>0.34804428073417548</c:v>
                </c:pt>
                <c:pt idx="473">
                  <c:v>0.37580997902327512</c:v>
                </c:pt>
                <c:pt idx="474">
                  <c:v>0.44445674980070937</c:v>
                </c:pt>
                <c:pt idx="475">
                  <c:v>0.89036255910738682</c:v>
                </c:pt>
                <c:pt idx="476">
                  <c:v>0.8614946940866971</c:v>
                </c:pt>
                <c:pt idx="477">
                  <c:v>0.84305184903239838</c:v>
                </c:pt>
                <c:pt idx="478">
                  <c:v>0.83485351668726582</c:v>
                </c:pt>
                <c:pt idx="479">
                  <c:v>0.85255980279382326</c:v>
                </c:pt>
                <c:pt idx="480">
                  <c:v>0.85770135336958087</c:v>
                </c:pt>
                <c:pt idx="481">
                  <c:v>0.84686167896958076</c:v>
                </c:pt>
                <c:pt idx="482">
                  <c:v>0.85042273876958085</c:v>
                </c:pt>
                <c:pt idx="483">
                  <c:v>0.84361006259482374</c:v>
                </c:pt>
                <c:pt idx="484">
                  <c:v>0.85761808520566107</c:v>
                </c:pt>
                <c:pt idx="485">
                  <c:v>0.86282901930566114</c:v>
                </c:pt>
                <c:pt idx="486">
                  <c:v>0.85187041116280404</c:v>
                </c:pt>
                <c:pt idx="487">
                  <c:v>0.86058509651280413</c:v>
                </c:pt>
                <c:pt idx="488">
                  <c:v>0.86444165017538077</c:v>
                </c:pt>
                <c:pt idx="489">
                  <c:v>0.87266879617538096</c:v>
                </c:pt>
                <c:pt idx="490">
                  <c:v>0.84208189997884919</c:v>
                </c:pt>
                <c:pt idx="491">
                  <c:v>0.82161418997884916</c:v>
                </c:pt>
                <c:pt idx="492">
                  <c:v>0.8443615452720219</c:v>
                </c:pt>
                <c:pt idx="493">
                  <c:v>0.84403719989702175</c:v>
                </c:pt>
                <c:pt idx="494">
                  <c:v>0.87634966207865006</c:v>
                </c:pt>
                <c:pt idx="495">
                  <c:v>0.89014159003749782</c:v>
                </c:pt>
                <c:pt idx="496">
                  <c:v>0.8813992298345994</c:v>
                </c:pt>
                <c:pt idx="497">
                  <c:v>0.8922202473973524</c:v>
                </c:pt>
                <c:pt idx="498">
                  <c:v>0.8919837511085823</c:v>
                </c:pt>
                <c:pt idx="499">
                  <c:v>0.90560366302610806</c:v>
                </c:pt>
                <c:pt idx="500">
                  <c:v>0.98136156002610797</c:v>
                </c:pt>
                <c:pt idx="501">
                  <c:v>1.0668774704647048</c:v>
                </c:pt>
                <c:pt idx="502">
                  <c:v>1.1046920522710706</c:v>
                </c:pt>
                <c:pt idx="503">
                  <c:v>1.0707087168784784</c:v>
                </c:pt>
                <c:pt idx="504">
                  <c:v>1.1997928682515191</c:v>
                </c:pt>
                <c:pt idx="505">
                  <c:v>1.1627327636126301</c:v>
                </c:pt>
                <c:pt idx="506">
                  <c:v>1.1593319568366964</c:v>
                </c:pt>
                <c:pt idx="507">
                  <c:v>1.169684491408125</c:v>
                </c:pt>
                <c:pt idx="508">
                  <c:v>1.1591070790291775</c:v>
                </c:pt>
                <c:pt idx="509">
                  <c:v>1.1347218818940425</c:v>
                </c:pt>
                <c:pt idx="510">
                  <c:v>1.1532015656360388</c:v>
                </c:pt>
                <c:pt idx="511">
                  <c:v>1.1091899319081906</c:v>
                </c:pt>
                <c:pt idx="512">
                  <c:v>1.2125876948412535</c:v>
                </c:pt>
                <c:pt idx="513">
                  <c:v>1.2467348287812965</c:v>
                </c:pt>
                <c:pt idx="514">
                  <c:v>1.2972887786224179</c:v>
                </c:pt>
                <c:pt idx="515">
                  <c:v>1.2958038213922292</c:v>
                </c:pt>
                <c:pt idx="516">
                  <c:v>1.3349121355814182</c:v>
                </c:pt>
                <c:pt idx="517">
                  <c:v>1.2818906310563445</c:v>
                </c:pt>
                <c:pt idx="518">
                  <c:v>1.2868972611102867</c:v>
                </c:pt>
                <c:pt idx="519">
                  <c:v>1.3140636558980852</c:v>
                </c:pt>
                <c:pt idx="520">
                  <c:v>1.2931107656710914</c:v>
                </c:pt>
                <c:pt idx="521">
                  <c:v>1.3582687221377583</c:v>
                </c:pt>
                <c:pt idx="522">
                  <c:v>1.3884086538450751</c:v>
                </c:pt>
                <c:pt idx="523">
                  <c:v>1.394509605707144</c:v>
                </c:pt>
                <c:pt idx="524">
                  <c:v>1.4924050569097584</c:v>
                </c:pt>
                <c:pt idx="525">
                  <c:v>1.2264408713089794</c:v>
                </c:pt>
                <c:pt idx="526">
                  <c:v>1.1105553829602057</c:v>
                </c:pt>
                <c:pt idx="527">
                  <c:v>1.2108933867547482</c:v>
                </c:pt>
                <c:pt idx="528">
                  <c:v>1.298170798152998</c:v>
                </c:pt>
                <c:pt idx="529">
                  <c:v>1.2236993788299804</c:v>
                </c:pt>
                <c:pt idx="530">
                  <c:v>1.1429080185852252</c:v>
                </c:pt>
                <c:pt idx="531">
                  <c:v>1.1879869000285239</c:v>
                </c:pt>
                <c:pt idx="532">
                  <c:v>1.0688999039255829</c:v>
                </c:pt>
                <c:pt idx="533">
                  <c:v>0.98480358138012813</c:v>
                </c:pt>
                <c:pt idx="534">
                  <c:v>1.0160107839535544</c:v>
                </c:pt>
                <c:pt idx="535">
                  <c:v>1.1190736380554656</c:v>
                </c:pt>
                <c:pt idx="536">
                  <c:v>0.87095857859407222</c:v>
                </c:pt>
                <c:pt idx="537">
                  <c:v>0.82077766016112175</c:v>
                </c:pt>
                <c:pt idx="538">
                  <c:v>0.73020585556852935</c:v>
                </c:pt>
                <c:pt idx="539">
                  <c:v>0.73869229474119102</c:v>
                </c:pt>
                <c:pt idx="540">
                  <c:v>0.69264021912732976</c:v>
                </c:pt>
                <c:pt idx="541">
                  <c:v>0.67917656905460255</c:v>
                </c:pt>
                <c:pt idx="542">
                  <c:v>0.68403464826979243</c:v>
                </c:pt>
                <c:pt idx="543">
                  <c:v>0.69539900656320575</c:v>
                </c:pt>
                <c:pt idx="544">
                  <c:v>0.68854764205506247</c:v>
                </c:pt>
                <c:pt idx="545">
                  <c:v>0.69065318165902323</c:v>
                </c:pt>
                <c:pt idx="546">
                  <c:v>0.71858315423700447</c:v>
                </c:pt>
                <c:pt idx="547">
                  <c:v>0.72272230736887266</c:v>
                </c:pt>
                <c:pt idx="548">
                  <c:v>0.72869386250648727</c:v>
                </c:pt>
                <c:pt idx="549">
                  <c:v>0.69994870744561777</c:v>
                </c:pt>
                <c:pt idx="550">
                  <c:v>0.69960769806687129</c:v>
                </c:pt>
                <c:pt idx="551">
                  <c:v>0.7387008203640848</c:v>
                </c:pt>
                <c:pt idx="552">
                  <c:v>0.65469681097092292</c:v>
                </c:pt>
                <c:pt idx="553">
                  <c:v>0.7112789457709231</c:v>
                </c:pt>
                <c:pt idx="554">
                  <c:v>0.75840899899170222</c:v>
                </c:pt>
                <c:pt idx="555">
                  <c:v>0.71273473170434587</c:v>
                </c:pt>
                <c:pt idx="556">
                  <c:v>0.69587020048034598</c:v>
                </c:pt>
                <c:pt idx="557">
                  <c:v>0.73276549229429899</c:v>
                </c:pt>
                <c:pt idx="558">
                  <c:v>0.71918528131546289</c:v>
                </c:pt>
                <c:pt idx="559">
                  <c:v>0.62230220017909899</c:v>
                </c:pt>
                <c:pt idx="560">
                  <c:v>0.58691113322787958</c:v>
                </c:pt>
                <c:pt idx="561">
                  <c:v>0.59656094032515583</c:v>
                </c:pt>
                <c:pt idx="562">
                  <c:v>0.63000723375725454</c:v>
                </c:pt>
                <c:pt idx="563">
                  <c:v>0.57663666157543625</c:v>
                </c:pt>
                <c:pt idx="564">
                  <c:v>0.64092554466239282</c:v>
                </c:pt>
                <c:pt idx="565">
                  <c:v>0.55017971384639242</c:v>
                </c:pt>
                <c:pt idx="566">
                  <c:v>0.49565751191956325</c:v>
                </c:pt>
                <c:pt idx="567">
                  <c:v>0.45439518939662749</c:v>
                </c:pt>
                <c:pt idx="568">
                  <c:v>0.51470202712270008</c:v>
                </c:pt>
                <c:pt idx="569">
                  <c:v>0.48475069811685184</c:v>
                </c:pt>
                <c:pt idx="570">
                  <c:v>0.41718514377977317</c:v>
                </c:pt>
                <c:pt idx="571">
                  <c:v>0.38716053436438858</c:v>
                </c:pt>
                <c:pt idx="572">
                  <c:v>0.39295176166873635</c:v>
                </c:pt>
                <c:pt idx="573">
                  <c:v>0.37885776679181327</c:v>
                </c:pt>
                <c:pt idx="574">
                  <c:v>0.37885776679181343</c:v>
                </c:pt>
                <c:pt idx="575">
                  <c:v>0.38031153416294744</c:v>
                </c:pt>
                <c:pt idx="576">
                  <c:v>0.37507864684219278</c:v>
                </c:pt>
                <c:pt idx="577">
                  <c:v>0.36472929369933571</c:v>
                </c:pt>
                <c:pt idx="578">
                  <c:v>0.3361579277271135</c:v>
                </c:pt>
                <c:pt idx="579">
                  <c:v>0.32311303430993565</c:v>
                </c:pt>
                <c:pt idx="580">
                  <c:v>0.33589654516439577</c:v>
                </c:pt>
                <c:pt idx="581">
                  <c:v>0.35116139790858181</c:v>
                </c:pt>
                <c:pt idx="582">
                  <c:v>0.35214233443032089</c:v>
                </c:pt>
                <c:pt idx="583">
                  <c:v>0.37099748637025015</c:v>
                </c:pt>
                <c:pt idx="584">
                  <c:v>0.35289712910419507</c:v>
                </c:pt>
                <c:pt idx="585">
                  <c:v>0.37946773963051084</c:v>
                </c:pt>
                <c:pt idx="586">
                  <c:v>0.44596640548272759</c:v>
                </c:pt>
                <c:pt idx="587">
                  <c:v>0.42287261503111462</c:v>
                </c:pt>
                <c:pt idx="588">
                  <c:v>0.43320573090894288</c:v>
                </c:pt>
                <c:pt idx="589">
                  <c:v>0.43464716720387353</c:v>
                </c:pt>
                <c:pt idx="590">
                  <c:v>0.45763505670559135</c:v>
                </c:pt>
                <c:pt idx="591">
                  <c:v>0.39294563573156549</c:v>
                </c:pt>
                <c:pt idx="592">
                  <c:v>0.21658874821432408</c:v>
                </c:pt>
                <c:pt idx="593">
                  <c:v>0.23367609214352775</c:v>
                </c:pt>
                <c:pt idx="594">
                  <c:v>0.13001008080439724</c:v>
                </c:pt>
                <c:pt idx="595">
                  <c:v>9.6181148043972438E-3</c:v>
                </c:pt>
                <c:pt idx="596">
                  <c:v>0.1482368727173744</c:v>
                </c:pt>
                <c:pt idx="597">
                  <c:v>0.16588895543461582</c:v>
                </c:pt>
                <c:pt idx="598">
                  <c:v>0.10391980494457598</c:v>
                </c:pt>
                <c:pt idx="599">
                  <c:v>0.10819085679173748</c:v>
                </c:pt>
                <c:pt idx="600">
                  <c:v>9.2003991357874987E-2</c:v>
                </c:pt>
                <c:pt idx="601">
                  <c:v>9.7226895200642219E-2</c:v>
                </c:pt>
                <c:pt idx="602">
                  <c:v>0.20695896319484514</c:v>
                </c:pt>
                <c:pt idx="603">
                  <c:v>0.2040197606051016</c:v>
                </c:pt>
                <c:pt idx="604">
                  <c:v>0.16499095004369826</c:v>
                </c:pt>
                <c:pt idx="605">
                  <c:v>0.14548070770920338</c:v>
                </c:pt>
                <c:pt idx="606">
                  <c:v>0.12876604766018374</c:v>
                </c:pt>
                <c:pt idx="607">
                  <c:v>0.19611098702341243</c:v>
                </c:pt>
                <c:pt idx="608">
                  <c:v>0.18734324693250343</c:v>
                </c:pt>
                <c:pt idx="609">
                  <c:v>0.19512062849250342</c:v>
                </c:pt>
                <c:pt idx="610">
                  <c:v>0.19965230477821785</c:v>
                </c:pt>
                <c:pt idx="611">
                  <c:v>0.24264764081821794</c:v>
                </c:pt>
                <c:pt idx="612">
                  <c:v>0.20166148494465455</c:v>
                </c:pt>
                <c:pt idx="613">
                  <c:v>0.10665723184581734</c:v>
                </c:pt>
                <c:pt idx="614">
                  <c:v>0.17870151184581734</c:v>
                </c:pt>
                <c:pt idx="615">
                  <c:v>0.18239703013285435</c:v>
                </c:pt>
                <c:pt idx="616">
                  <c:v>0.15006896161219324</c:v>
                </c:pt>
                <c:pt idx="617">
                  <c:v>0.12398566113975232</c:v>
                </c:pt>
                <c:pt idx="618">
                  <c:v>0.11312948545300536</c:v>
                </c:pt>
                <c:pt idx="619">
                  <c:v>9.9802495203005326E-2</c:v>
                </c:pt>
                <c:pt idx="620">
                  <c:v>8.6221734243363962E-2</c:v>
                </c:pt>
                <c:pt idx="621">
                  <c:v>9.7579671524614178E-2</c:v>
                </c:pt>
                <c:pt idx="622">
                  <c:v>8.9300002672155154E-2</c:v>
                </c:pt>
                <c:pt idx="623">
                  <c:v>0.11293190888954655</c:v>
                </c:pt>
                <c:pt idx="624">
                  <c:v>0.10072378388954646</c:v>
                </c:pt>
                <c:pt idx="625">
                  <c:v>9.9007009639546534E-2</c:v>
                </c:pt>
                <c:pt idx="626">
                  <c:v>8.7733144433664187E-2</c:v>
                </c:pt>
                <c:pt idx="627">
                  <c:v>5.9766742003556875E-2</c:v>
                </c:pt>
                <c:pt idx="628">
                  <c:v>0.11032418306541251</c:v>
                </c:pt>
                <c:pt idx="629">
                  <c:v>0.13846416601568873</c:v>
                </c:pt>
                <c:pt idx="630">
                  <c:v>0.11180541340344395</c:v>
                </c:pt>
                <c:pt idx="631">
                  <c:v>9.1071321125248544E-2</c:v>
                </c:pt>
                <c:pt idx="632">
                  <c:v>0.11839649099481388</c:v>
                </c:pt>
                <c:pt idx="633">
                  <c:v>0.12578718403327546</c:v>
                </c:pt>
                <c:pt idx="634">
                  <c:v>0.11563510786306273</c:v>
                </c:pt>
                <c:pt idx="635">
                  <c:v>0.13462726019182986</c:v>
                </c:pt>
                <c:pt idx="636">
                  <c:v>0.12135318541718208</c:v>
                </c:pt>
                <c:pt idx="637">
                  <c:v>0.12718898940058465</c:v>
                </c:pt>
                <c:pt idx="638">
                  <c:v>0.16032445912446525</c:v>
                </c:pt>
                <c:pt idx="639">
                  <c:v>0.12676853253355627</c:v>
                </c:pt>
                <c:pt idx="640">
                  <c:v>0.12276341133355624</c:v>
                </c:pt>
                <c:pt idx="641">
                  <c:v>0.13243011761927051</c:v>
                </c:pt>
                <c:pt idx="642">
                  <c:v>0.12205720174427051</c:v>
                </c:pt>
                <c:pt idx="643">
                  <c:v>0.10704306442920204</c:v>
                </c:pt>
                <c:pt idx="644">
                  <c:v>9.6555863552797591E-2</c:v>
                </c:pt>
                <c:pt idx="645">
                  <c:v>8.9698764332018399E-2</c:v>
                </c:pt>
                <c:pt idx="646">
                  <c:v>8.44141853124106E-2</c:v>
                </c:pt>
                <c:pt idx="647">
                  <c:v>7.625792539177563E-2</c:v>
                </c:pt>
                <c:pt idx="648">
                  <c:v>9.3792244345750592E-2</c:v>
                </c:pt>
                <c:pt idx="649">
                  <c:v>9.2147232345750577E-2</c:v>
                </c:pt>
                <c:pt idx="650">
                  <c:v>7.5074070289675734E-2</c:v>
                </c:pt>
                <c:pt idx="651">
                  <c:v>7.0359955486397036E-2</c:v>
                </c:pt>
                <c:pt idx="652">
                  <c:v>5.2763611958478285E-2</c:v>
                </c:pt>
                <c:pt idx="653">
                  <c:v>6.127339829994171E-2</c:v>
                </c:pt>
                <c:pt idx="654">
                  <c:v>5.7151975603312484E-2</c:v>
                </c:pt>
                <c:pt idx="655">
                  <c:v>5.3701099936645826E-2</c:v>
                </c:pt>
                <c:pt idx="656">
                  <c:v>5.6542786739924578E-2</c:v>
                </c:pt>
                <c:pt idx="657">
                  <c:v>5.9413842342075127E-2</c:v>
                </c:pt>
                <c:pt idx="658">
                  <c:v>9.0986634671745448E-2</c:v>
                </c:pt>
                <c:pt idx="659">
                  <c:v>6.7824998196335709E-2</c:v>
                </c:pt>
                <c:pt idx="660">
                  <c:v>4.0142098716335763E-2</c:v>
                </c:pt>
                <c:pt idx="661">
                  <c:v>5.3674450287764429E-2</c:v>
                </c:pt>
                <c:pt idx="662">
                  <c:v>2.565059348473421E-2</c:v>
                </c:pt>
                <c:pt idx="663">
                  <c:v>5.7421098291630772E-2</c:v>
                </c:pt>
                <c:pt idx="664">
                  <c:v>5.4758848109812588E-2</c:v>
                </c:pt>
                <c:pt idx="665">
                  <c:v>3.6521666260756043E-2</c:v>
                </c:pt>
                <c:pt idx="666">
                  <c:v>3.4551780274178837E-2</c:v>
                </c:pt>
                <c:pt idx="667">
                  <c:v>1.1511020202750235E-2</c:v>
                </c:pt>
                <c:pt idx="668">
                  <c:v>1.2299458238211059E-2</c:v>
                </c:pt>
                <c:pt idx="669">
                  <c:v>2.687081648807104E-3</c:v>
                </c:pt>
                <c:pt idx="670">
                  <c:v>1.4800137628081723E-2</c:v>
                </c:pt>
                <c:pt idx="671">
                  <c:v>1.3845685693871179E-2</c:v>
                </c:pt>
                <c:pt idx="672">
                  <c:v>4.5782811151235489E-2</c:v>
                </c:pt>
                <c:pt idx="673">
                  <c:v>3.7264510201235439E-2</c:v>
                </c:pt>
                <c:pt idx="674">
                  <c:v>3.1245716765338064E-2</c:v>
                </c:pt>
                <c:pt idx="675">
                  <c:v>2.2494454305215395E-2</c:v>
                </c:pt>
                <c:pt idx="676">
                  <c:v>3.4620655741808702E-3</c:v>
                </c:pt>
                <c:pt idx="677">
                  <c:v>3.2896859474801997E-2</c:v>
                </c:pt>
                <c:pt idx="678">
                  <c:v>3.8098516336115898E-2</c:v>
                </c:pt>
                <c:pt idx="679">
                  <c:v>5.1128400710099581E-2</c:v>
                </c:pt>
                <c:pt idx="680">
                  <c:v>3.3410093392592162E-2</c:v>
                </c:pt>
                <c:pt idx="681">
                  <c:v>1.2689473937036577E-2</c:v>
                </c:pt>
                <c:pt idx="682">
                  <c:v>6.2776288689737648E-3</c:v>
                </c:pt>
                <c:pt idx="683">
                  <c:v>1.6825056848472613E-2</c:v>
                </c:pt>
                <c:pt idx="684">
                  <c:v>2.7047856374788442E-2</c:v>
                </c:pt>
                <c:pt idx="685">
                  <c:v>1.4210805570360394E-2</c:v>
                </c:pt>
                <c:pt idx="686">
                  <c:v>-6.2163739944959953E-2</c:v>
                </c:pt>
                <c:pt idx="687">
                  <c:v>2.0949892476444739E-2</c:v>
                </c:pt>
                <c:pt idx="688">
                  <c:v>2.5687044255033556E-2</c:v>
                </c:pt>
                <c:pt idx="689">
                  <c:v>1.4597975505033566E-2</c:v>
                </c:pt>
                <c:pt idx="690">
                  <c:v>-4.5361930900077148E-3</c:v>
                </c:pt>
                <c:pt idx="691">
                  <c:v>4.1746917066618795E-2</c:v>
                </c:pt>
                <c:pt idx="692">
                  <c:v>1.5146516047010986E-2</c:v>
                </c:pt>
                <c:pt idx="693">
                  <c:v>5.4712735637148192E-3</c:v>
                </c:pt>
                <c:pt idx="694">
                  <c:v>5.4162920176618057E-2</c:v>
                </c:pt>
                <c:pt idx="695">
                  <c:v>-8.6102720925076801E-2</c:v>
                </c:pt>
                <c:pt idx="696">
                  <c:v>-0.10614086607401302</c:v>
                </c:pt>
                <c:pt idx="697">
                  <c:v>-0.12738024762418607</c:v>
                </c:pt>
                <c:pt idx="698">
                  <c:v>-0.13713563642418602</c:v>
                </c:pt>
                <c:pt idx="699">
                  <c:v>-0.11747142295751942</c:v>
                </c:pt>
                <c:pt idx="700">
                  <c:v>-6.18585745763039E-2</c:v>
                </c:pt>
                <c:pt idx="701">
                  <c:v>-8.5537657658656868E-2</c:v>
                </c:pt>
                <c:pt idx="702">
                  <c:v>-5.0382799883255801E-2</c:v>
                </c:pt>
                <c:pt idx="703">
                  <c:v>-1.5005995883255801E-2</c:v>
                </c:pt>
                <c:pt idx="704">
                  <c:v>1.7076870987261913E-3</c:v>
                </c:pt>
                <c:pt idx="705">
                  <c:v>-4.3689161420145386E-3</c:v>
                </c:pt>
                <c:pt idx="706">
                  <c:v>4.4354319635755849E-3</c:v>
                </c:pt>
                <c:pt idx="707">
                  <c:v>2.2520419528792988E-2</c:v>
                </c:pt>
                <c:pt idx="708">
                  <c:v>2.8710286352322385E-2</c:v>
                </c:pt>
                <c:pt idx="709">
                  <c:v>5.3325648656322319E-2</c:v>
                </c:pt>
                <c:pt idx="710">
                  <c:v>3.9846852529885575E-2</c:v>
                </c:pt>
                <c:pt idx="711">
                  <c:v>1.7494806342880798E-2</c:v>
                </c:pt>
                <c:pt idx="712">
                  <c:v>7.2497514166715057E-2</c:v>
                </c:pt>
                <c:pt idx="713">
                  <c:v>7.538600155584245E-2</c:v>
                </c:pt>
                <c:pt idx="714">
                  <c:v>6.401553005046616E-2</c:v>
                </c:pt>
                <c:pt idx="715">
                  <c:v>7.7190967421252796E-2</c:v>
                </c:pt>
                <c:pt idx="716">
                  <c:v>9.3541628059908247E-2</c:v>
                </c:pt>
                <c:pt idx="717">
                  <c:v>4.3269786147557575E-2</c:v>
                </c:pt>
                <c:pt idx="718">
                  <c:v>1.466138993703129E-2</c:v>
                </c:pt>
                <c:pt idx="719">
                  <c:v>-1.8706590437968639E-2</c:v>
                </c:pt>
                <c:pt idx="720">
                  <c:v>-7.1153136879686264E-3</c:v>
                </c:pt>
                <c:pt idx="721">
                  <c:v>-2.4319838390671263E-2</c:v>
                </c:pt>
                <c:pt idx="722">
                  <c:v>-2.43198383906711E-2</c:v>
                </c:pt>
                <c:pt idx="723">
                  <c:v>-5.0258187997228476E-2</c:v>
                </c:pt>
                <c:pt idx="724">
                  <c:v>-9.1528381386838997E-2</c:v>
                </c:pt>
                <c:pt idx="725">
                  <c:v>-3.909206902406296E-2</c:v>
                </c:pt>
                <c:pt idx="726">
                  <c:v>-8.6023590620135752E-3</c:v>
                </c:pt>
                <c:pt idx="727">
                  <c:v>-4.181029959772789E-2</c:v>
                </c:pt>
                <c:pt idx="728">
                  <c:v>-0.11660300761718301</c:v>
                </c:pt>
                <c:pt idx="729">
                  <c:v>-0.13786605402894772</c:v>
                </c:pt>
                <c:pt idx="730">
                  <c:v>-0.13786605402894772</c:v>
                </c:pt>
                <c:pt idx="731">
                  <c:v>-0.11386528130263195</c:v>
                </c:pt>
                <c:pt idx="732">
                  <c:v>-0.11756497417322025</c:v>
                </c:pt>
                <c:pt idx="733">
                  <c:v>-0.12388388278106335</c:v>
                </c:pt>
                <c:pt idx="734">
                  <c:v>-0.12291200768005316</c:v>
                </c:pt>
                <c:pt idx="735">
                  <c:v>-0.13378372314516951</c:v>
                </c:pt>
                <c:pt idx="736">
                  <c:v>-9.1223647307473232E-2</c:v>
                </c:pt>
                <c:pt idx="737">
                  <c:v>-7.557361210324522E-4</c:v>
                </c:pt>
                <c:pt idx="738">
                  <c:v>-3.2784760401593567E-2</c:v>
                </c:pt>
                <c:pt idx="739">
                  <c:v>-3.8586022470559096E-2</c:v>
                </c:pt>
                <c:pt idx="740">
                  <c:v>-2.1075810713357457E-2</c:v>
                </c:pt>
                <c:pt idx="741">
                  <c:v>-4.4074213026790272E-2</c:v>
                </c:pt>
                <c:pt idx="742">
                  <c:v>-5.4115222945982117E-2</c:v>
                </c:pt>
                <c:pt idx="743">
                  <c:v>-4.3603226859960535E-2</c:v>
                </c:pt>
                <c:pt idx="744">
                  <c:v>-7.6235442786789662E-2</c:v>
                </c:pt>
                <c:pt idx="745">
                  <c:v>-5.7236976620123108E-2</c:v>
                </c:pt>
                <c:pt idx="746">
                  <c:v>-3.6525912836617949E-2</c:v>
                </c:pt>
                <c:pt idx="747">
                  <c:v>-9.1654667122332265E-2</c:v>
                </c:pt>
                <c:pt idx="748">
                  <c:v>-9.523157218406067E-2</c:v>
                </c:pt>
                <c:pt idx="749">
                  <c:v>-9.6271337068118634E-2</c:v>
                </c:pt>
                <c:pt idx="750">
                  <c:v>-9.0731856113062476E-2</c:v>
                </c:pt>
                <c:pt idx="751">
                  <c:v>-8.1818010263062471E-2</c:v>
                </c:pt>
                <c:pt idx="752">
                  <c:v>-6.8061483734760592E-2</c:v>
                </c:pt>
                <c:pt idx="753">
                  <c:v>-0.10709252424638852</c:v>
                </c:pt>
                <c:pt idx="754">
                  <c:v>-6.0147928016880237E-2</c:v>
                </c:pt>
                <c:pt idx="755">
                  <c:v>-8.1810202065660684E-2</c:v>
                </c:pt>
                <c:pt idx="756">
                  <c:v>-5.5552168673590148E-2</c:v>
                </c:pt>
                <c:pt idx="757">
                  <c:v>-8.3593690733590242E-2</c:v>
                </c:pt>
                <c:pt idx="758">
                  <c:v>-8.8929659733590169E-2</c:v>
                </c:pt>
                <c:pt idx="759">
                  <c:v>-6.038322573359009E-2</c:v>
                </c:pt>
                <c:pt idx="760">
                  <c:v>-4.2587381279808614E-2</c:v>
                </c:pt>
                <c:pt idx="761">
                  <c:v>-0.12132837013695158</c:v>
                </c:pt>
                <c:pt idx="762">
                  <c:v>-0.13732502747028483</c:v>
                </c:pt>
                <c:pt idx="763">
                  <c:v>-0.14136828558264439</c:v>
                </c:pt>
                <c:pt idx="764">
                  <c:v>-0.13624604841708149</c:v>
                </c:pt>
                <c:pt idx="765">
                  <c:v>-0.13794778171437874</c:v>
                </c:pt>
                <c:pt idx="766">
                  <c:v>-0.13643870928580737</c:v>
                </c:pt>
                <c:pt idx="767">
                  <c:v>-0.13268981410398914</c:v>
                </c:pt>
                <c:pt idx="768">
                  <c:v>-0.13445232669435062</c:v>
                </c:pt>
                <c:pt idx="769">
                  <c:v>-0.1241231251975764</c:v>
                </c:pt>
                <c:pt idx="770">
                  <c:v>-0.13983695128581172</c:v>
                </c:pt>
                <c:pt idx="771">
                  <c:v>-0.12932714846268245</c:v>
                </c:pt>
                <c:pt idx="772">
                  <c:v>-0.14656053221268245</c:v>
                </c:pt>
                <c:pt idx="773">
                  <c:v>-0.12710286877451996</c:v>
                </c:pt>
                <c:pt idx="774">
                  <c:v>-0.11154420099473661</c:v>
                </c:pt>
                <c:pt idx="775">
                  <c:v>-0.11362463204273662</c:v>
                </c:pt>
                <c:pt idx="776">
                  <c:v>-0.11222949001106243</c:v>
                </c:pt>
                <c:pt idx="777">
                  <c:v>-0.10035296754270807</c:v>
                </c:pt>
                <c:pt idx="778">
                  <c:v>-8.8852031078708094E-2</c:v>
                </c:pt>
                <c:pt idx="779">
                  <c:v>-9.8498622535560867E-2</c:v>
                </c:pt>
                <c:pt idx="780">
                  <c:v>-9.0803346808288138E-2</c:v>
                </c:pt>
                <c:pt idx="781">
                  <c:v>-8.5256657671446023E-2</c:v>
                </c:pt>
                <c:pt idx="782">
                  <c:v>-8.8245894233635089E-2</c:v>
                </c:pt>
                <c:pt idx="783">
                  <c:v>-9.0043046909310767E-2</c:v>
                </c:pt>
                <c:pt idx="784">
                  <c:v>-9.6304609724436788E-2</c:v>
                </c:pt>
                <c:pt idx="785">
                  <c:v>-9.6921294224436794E-2</c:v>
                </c:pt>
                <c:pt idx="786">
                  <c:v>-8.707843218739976E-2</c:v>
                </c:pt>
                <c:pt idx="787">
                  <c:v>-9.0255975418169002E-2</c:v>
                </c:pt>
                <c:pt idx="788">
                  <c:v>-8.7889749253120458E-2</c:v>
                </c:pt>
                <c:pt idx="789">
                  <c:v>-9.2581705165208389E-2</c:v>
                </c:pt>
                <c:pt idx="790">
                  <c:v>-7.488571250006032E-2</c:v>
                </c:pt>
                <c:pt idx="791">
                  <c:v>-7.5948545019884114E-2</c:v>
                </c:pt>
                <c:pt idx="792">
                  <c:v>-6.9222364875375447E-2</c:v>
                </c:pt>
                <c:pt idx="793">
                  <c:v>-6.0434009642817289E-2</c:v>
                </c:pt>
                <c:pt idx="794">
                  <c:v>-7.436860455948395E-2</c:v>
                </c:pt>
                <c:pt idx="795">
                  <c:v>-8.4587259499531914E-2</c:v>
                </c:pt>
                <c:pt idx="796">
                  <c:v>-8.3200486841874255E-2</c:v>
                </c:pt>
                <c:pt idx="797">
                  <c:v>-9.6790444424812647E-2</c:v>
                </c:pt>
                <c:pt idx="798">
                  <c:v>-8.7589822188501421E-2</c:v>
                </c:pt>
                <c:pt idx="799">
                  <c:v>-8.5263772236405633E-2</c:v>
                </c:pt>
                <c:pt idx="800">
                  <c:v>-8.3935274337125054E-2</c:v>
                </c:pt>
                <c:pt idx="801">
                  <c:v>-8.344804718049853E-2</c:v>
                </c:pt>
                <c:pt idx="802">
                  <c:v>-7.6033970840498566E-2</c:v>
                </c:pt>
                <c:pt idx="803">
                  <c:v>-6.9777660709756523E-2</c:v>
                </c:pt>
                <c:pt idx="804">
                  <c:v>-6.9383187919058856E-2</c:v>
                </c:pt>
                <c:pt idx="805">
                  <c:v>-6.9245913943155241E-2</c:v>
                </c:pt>
                <c:pt idx="806">
                  <c:v>-6.9245913943155241E-2</c:v>
                </c:pt>
                <c:pt idx="807">
                  <c:v>-7.1656275343155246E-2</c:v>
                </c:pt>
                <c:pt idx="808">
                  <c:v>-6.8720059543958475E-2</c:v>
                </c:pt>
                <c:pt idx="809">
                  <c:v>-6.8585088276677364E-2</c:v>
                </c:pt>
                <c:pt idx="810">
                  <c:v>-7.1040832975472562E-2</c:v>
                </c:pt>
                <c:pt idx="811">
                  <c:v>-6.9235316975472569E-2</c:v>
                </c:pt>
                <c:pt idx="812">
                  <c:v>-6.8411587329454862E-2</c:v>
                </c:pt>
                <c:pt idx="813">
                  <c:v>-6.8411587329454862E-2</c:v>
                </c:pt>
                <c:pt idx="814">
                  <c:v>-6.9278213655036183E-2</c:v>
                </c:pt>
                <c:pt idx="815">
                  <c:v>-5.0191670261915747E-2</c:v>
                </c:pt>
                <c:pt idx="816">
                  <c:v>-5.42835359563602E-2</c:v>
                </c:pt>
                <c:pt idx="817">
                  <c:v>-4.9966702918237009E-2</c:v>
                </c:pt>
                <c:pt idx="818">
                  <c:v>-5.0084463048107139E-2</c:v>
                </c:pt>
                <c:pt idx="819">
                  <c:v>-5.2670481936073925E-2</c:v>
                </c:pt>
                <c:pt idx="820">
                  <c:v>-5.2743454621038119E-2</c:v>
                </c:pt>
                <c:pt idx="821">
                  <c:v>-4.8967446192466686E-2</c:v>
                </c:pt>
                <c:pt idx="822">
                  <c:v>-4.9461202965375053E-2</c:v>
                </c:pt>
                <c:pt idx="823">
                  <c:v>-4.8772217361926766E-2</c:v>
                </c:pt>
                <c:pt idx="824">
                  <c:v>-5.0270640394012314E-2</c:v>
                </c:pt>
                <c:pt idx="825">
                  <c:v>-4.6532541397622425E-2</c:v>
                </c:pt>
                <c:pt idx="826">
                  <c:v>-5.9390645451530777E-2</c:v>
                </c:pt>
                <c:pt idx="827">
                  <c:v>-6.4707720133012209E-2</c:v>
                </c:pt>
                <c:pt idx="828">
                  <c:v>-5.6050057602660776E-2</c:v>
                </c:pt>
                <c:pt idx="829">
                  <c:v>-6.0838658320807489E-2</c:v>
                </c:pt>
                <c:pt idx="830">
                  <c:v>-6.1050965467474141E-2</c:v>
                </c:pt>
                <c:pt idx="831">
                  <c:v>-6.1366161722980754E-2</c:v>
                </c:pt>
                <c:pt idx="832">
                  <c:v>-6.1553944196914394E-2</c:v>
                </c:pt>
                <c:pt idx="833">
                  <c:v>-6.001037525196027E-2</c:v>
                </c:pt>
                <c:pt idx="834">
                  <c:v>-6.2016570251960265E-2</c:v>
                </c:pt>
                <c:pt idx="835">
                  <c:v>-6.1159538314460263E-2</c:v>
                </c:pt>
                <c:pt idx="836">
                  <c:v>-5.4264479658496963E-2</c:v>
                </c:pt>
                <c:pt idx="837">
                  <c:v>-5.7860395372782682E-2</c:v>
                </c:pt>
                <c:pt idx="838">
                  <c:v>-5.7114901700055412E-2</c:v>
                </c:pt>
                <c:pt idx="839">
                  <c:v>-5.5732400210693714E-2</c:v>
                </c:pt>
                <c:pt idx="840">
                  <c:v>-5.3677827410693699E-2</c:v>
                </c:pt>
                <c:pt idx="841">
                  <c:v>-5.5915277737224316E-2</c:v>
                </c:pt>
                <c:pt idx="842">
                  <c:v>-4.4123714898514653E-2</c:v>
                </c:pt>
                <c:pt idx="843">
                  <c:v>-4.5076522864031902E-2</c:v>
                </c:pt>
                <c:pt idx="844">
                  <c:v>-3.3856107846078565E-2</c:v>
                </c:pt>
                <c:pt idx="845">
                  <c:v>-3.1674136863172574E-2</c:v>
                </c:pt>
                <c:pt idx="846">
                  <c:v>-4.8779916434601132E-2</c:v>
                </c:pt>
                <c:pt idx="847">
                  <c:v>-5.0857029742617993E-2</c:v>
                </c:pt>
                <c:pt idx="848">
                  <c:v>-5.1670322815788719E-2</c:v>
                </c:pt>
                <c:pt idx="849">
                  <c:v>-5.3808999815788724E-2</c:v>
                </c:pt>
                <c:pt idx="850">
                  <c:v>-5.2101150311788719E-2</c:v>
                </c:pt>
                <c:pt idx="851">
                  <c:v>-5.5545918140360168E-2</c:v>
                </c:pt>
                <c:pt idx="852">
                  <c:v>-5.3608533333020715E-2</c:v>
                </c:pt>
                <c:pt idx="853">
                  <c:v>-5.4150856759491314E-2</c:v>
                </c:pt>
                <c:pt idx="854">
                  <c:v>-5.846075771822147E-2</c:v>
                </c:pt>
                <c:pt idx="855">
                  <c:v>-5.7988993533250363E-2</c:v>
                </c:pt>
                <c:pt idx="856">
                  <c:v>-6.0295384696293843E-2</c:v>
                </c:pt>
                <c:pt idx="857">
                  <c:v>-5.0053189072848003E-2</c:v>
                </c:pt>
                <c:pt idx="858">
                  <c:v>-4.683960382569971E-2</c:v>
                </c:pt>
                <c:pt idx="859">
                  <c:v>-4.9120058854601446E-2</c:v>
                </c:pt>
                <c:pt idx="860">
                  <c:v>-4.856409217586842E-2</c:v>
                </c:pt>
                <c:pt idx="861">
                  <c:v>-4.8662275809134944E-2</c:v>
                </c:pt>
                <c:pt idx="862">
                  <c:v>-4.8062786289134941E-2</c:v>
                </c:pt>
                <c:pt idx="863">
                  <c:v>-4.3807545356931557E-2</c:v>
                </c:pt>
                <c:pt idx="864">
                  <c:v>-4.189699050320022E-2</c:v>
                </c:pt>
                <c:pt idx="865">
                  <c:v>-4.1430769953200226E-2</c:v>
                </c:pt>
                <c:pt idx="866">
                  <c:v>-4.1964200262982837E-2</c:v>
                </c:pt>
                <c:pt idx="867">
                  <c:v>-4.2219752933641518E-2</c:v>
                </c:pt>
                <c:pt idx="868">
                  <c:v>-4.1180029413371247E-2</c:v>
                </c:pt>
                <c:pt idx="869">
                  <c:v>-3.1989590179179184E-2</c:v>
                </c:pt>
                <c:pt idx="870">
                  <c:v>-4.0806932863775756E-2</c:v>
                </c:pt>
                <c:pt idx="871">
                  <c:v>-3.7328970874825493E-2</c:v>
                </c:pt>
                <c:pt idx="872">
                  <c:v>-2.7467343731968342E-2</c:v>
                </c:pt>
                <c:pt idx="873">
                  <c:v>-2.6824725813449829E-2</c:v>
                </c:pt>
                <c:pt idx="874">
                  <c:v>-3.0513728677527482E-2</c:v>
                </c:pt>
                <c:pt idx="875">
                  <c:v>-3.1014935025770293E-2</c:v>
                </c:pt>
                <c:pt idx="876">
                  <c:v>-3.0088253765452828E-2</c:v>
                </c:pt>
                <c:pt idx="877">
                  <c:v>-2.2076552428226558E-2</c:v>
                </c:pt>
                <c:pt idx="878">
                  <c:v>-2.585567817016203E-2</c:v>
                </c:pt>
                <c:pt idx="879">
                  <c:v>-2.9098096795630211E-2</c:v>
                </c:pt>
                <c:pt idx="880">
                  <c:v>-3.0220903118210851E-2</c:v>
                </c:pt>
                <c:pt idx="881">
                  <c:v>-2.8885401012519806E-2</c:v>
                </c:pt>
                <c:pt idx="882">
                  <c:v>-1.1256569113785643E-2</c:v>
                </c:pt>
                <c:pt idx="883">
                  <c:v>-1.3633729629686703E-2</c:v>
                </c:pt>
                <c:pt idx="884">
                  <c:v>-5.2149490123456679E-3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02-4381-8F36-E24296B9B4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5436767"/>
        <c:axId val="660029487"/>
      </c:lineChart>
      <c:dateAx>
        <c:axId val="66543676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029487"/>
        <c:crosses val="autoZero"/>
        <c:auto val="1"/>
        <c:lblOffset val="100"/>
        <c:baseTimeUnit val="days"/>
      </c:dateAx>
      <c:valAx>
        <c:axId val="660029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436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178CC4B-82C2-4E08-BE26-C226FBA2070A}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0CD7AE-D2E6-404A-9276-49F13C5E8A8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0.98</v>
      </c>
      <c r="D2" s="4">
        <f>MIN(D3:D1912)</f>
        <v>9.6900000000000007E-3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0.2243</v>
      </c>
      <c r="C5">
        <v>0.2321</v>
      </c>
      <c r="D5">
        <v>0.22059999999999999</v>
      </c>
      <c r="E5">
        <v>0.22059999999999999</v>
      </c>
      <c r="F5">
        <v>1585315</v>
      </c>
      <c r="G5">
        <v>0.22059999999999999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-1585315</v>
      </c>
      <c r="R5">
        <f t="shared" ref="R5" si="2">R6+Q5</f>
        <v>833640864.38215351</v>
      </c>
      <c r="S5">
        <f t="shared" ref="S5" si="3">R5/100000</f>
        <v>8336.4086438215345</v>
      </c>
      <c r="T5">
        <f t="shared" ref="T5" si="4">S5/1000</f>
        <v>8.3364086438215352</v>
      </c>
    </row>
    <row r="6" spans="1:20" x14ac:dyDescent="0.25">
      <c r="A6" s="5">
        <v>44587</v>
      </c>
      <c r="B6">
        <v>0.21429999999999999</v>
      </c>
      <c r="C6">
        <v>0.2445</v>
      </c>
      <c r="D6">
        <v>0.21129999999999999</v>
      </c>
      <c r="E6">
        <v>0.22450000000000001</v>
      </c>
      <c r="F6">
        <v>19612142</v>
      </c>
      <c r="G6">
        <v>0.22450000000000001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-0.20481927710843287</v>
      </c>
      <c r="Q6">
        <f t="shared" ref="Q6" si="6">F6*P6</f>
        <v>-4016944.7469879347</v>
      </c>
      <c r="R6">
        <f t="shared" ref="R6" si="7">R7+Q6</f>
        <v>835226179.38215351</v>
      </c>
      <c r="S6">
        <f t="shared" ref="S6" si="8">R6/100000</f>
        <v>8352.2617938215353</v>
      </c>
      <c r="T6">
        <f t="shared" ref="T6" si="9">S6/1000</f>
        <v>8.3522617938215351</v>
      </c>
    </row>
    <row r="7" spans="1:20" x14ac:dyDescent="0.25">
      <c r="A7" s="5">
        <v>44586</v>
      </c>
      <c r="B7">
        <v>0.2127</v>
      </c>
      <c r="C7">
        <v>0.21729999999999999</v>
      </c>
      <c r="D7">
        <v>0.2056</v>
      </c>
      <c r="E7">
        <v>0.21410000000000001</v>
      </c>
      <c r="F7">
        <v>8849406</v>
      </c>
      <c r="G7">
        <v>0.21410000000000001</v>
      </c>
      <c r="L7" t="s">
        <v>7</v>
      </c>
      <c r="M7" t="s">
        <v>7</v>
      </c>
      <c r="N7" t="s">
        <v>7</v>
      </c>
      <c r="P7">
        <f t="shared" ref="P7" si="10">IF(C7=D7,0,((E7-D7)-(C7-E7))/(C7-D7))</f>
        <v>0.45299145299145577</v>
      </c>
      <c r="Q7">
        <f t="shared" ref="Q7" si="11">F7*P7</f>
        <v>4008705.2820513067</v>
      </c>
      <c r="R7">
        <f t="shared" ref="R7" si="12">R8+Q7</f>
        <v>839243124.12914145</v>
      </c>
      <c r="S7">
        <f t="shared" ref="S7" si="13">R7/100000</f>
        <v>8392.4312412914151</v>
      </c>
      <c r="T7">
        <f t="shared" ref="T7" si="14">S7/1000</f>
        <v>8.3924312412914155</v>
      </c>
    </row>
    <row r="8" spans="1:20" x14ac:dyDescent="0.25">
      <c r="A8" s="5">
        <v>44585</v>
      </c>
      <c r="B8">
        <v>0.22509999999999999</v>
      </c>
      <c r="C8">
        <v>0.23949999999999999</v>
      </c>
      <c r="D8">
        <v>0.19020000000000001</v>
      </c>
      <c r="E8">
        <v>0.21260000000000001</v>
      </c>
      <c r="F8">
        <v>31244473</v>
      </c>
      <c r="G8">
        <v>0.21260000000000001</v>
      </c>
      <c r="L8" t="s">
        <v>8</v>
      </c>
      <c r="M8" t="s">
        <v>7</v>
      </c>
      <c r="N8" t="s">
        <v>7</v>
      </c>
      <c r="P8">
        <f t="shared" ref="P8" si="15">IF(C8=D8,0,((E8-D8)-(C8-E8))/(C8-D8))</f>
        <v>-9.1277890466530995E-2</v>
      </c>
      <c r="Q8">
        <f t="shared" ref="Q8" si="16">F8*P8</f>
        <v>-2851929.584178485</v>
      </c>
      <c r="R8">
        <f t="shared" ref="R8" si="17">R9+Q8</f>
        <v>835234418.84709013</v>
      </c>
      <c r="S8">
        <f t="shared" ref="S8" si="18">R8/100000</f>
        <v>8352.3441884709009</v>
      </c>
      <c r="T8">
        <f t="shared" ref="T8" si="19">S8/1000</f>
        <v>8.3523441884709015</v>
      </c>
    </row>
    <row r="9" spans="1:20" x14ac:dyDescent="0.25">
      <c r="A9" s="5">
        <v>44584</v>
      </c>
      <c r="B9">
        <v>0.2177</v>
      </c>
      <c r="C9">
        <v>0.22839999999999999</v>
      </c>
      <c r="D9">
        <v>0.2102</v>
      </c>
      <c r="E9">
        <v>0.2248</v>
      </c>
      <c r="F9">
        <v>10153025</v>
      </c>
      <c r="G9">
        <v>0.2248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0.60439560439560513</v>
      </c>
      <c r="Q9">
        <f t="shared" ref="Q9" si="21">F9*P9</f>
        <v>6136443.6813186891</v>
      </c>
      <c r="R9">
        <f t="shared" ref="R9" si="22">R10+Q9</f>
        <v>838086348.43126857</v>
      </c>
      <c r="S9">
        <f t="shared" ref="S9" si="23">R9/100000</f>
        <v>8380.8634843126856</v>
      </c>
      <c r="T9">
        <f t="shared" ref="T9" si="24">S9/1000</f>
        <v>8.3808634843126857</v>
      </c>
    </row>
    <row r="10" spans="1:20" x14ac:dyDescent="0.25">
      <c r="A10" s="5">
        <v>44583</v>
      </c>
      <c r="B10">
        <v>0.2399</v>
      </c>
      <c r="C10">
        <v>0.2442</v>
      </c>
      <c r="D10">
        <v>0.1948</v>
      </c>
      <c r="E10">
        <v>0.21740000000000001</v>
      </c>
      <c r="F10">
        <v>21580656.800000001</v>
      </c>
      <c r="G10">
        <v>0.21740000000000001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-8.502024291497938E-2</v>
      </c>
      <c r="Q10">
        <f t="shared" ref="Q10" si="26">F10*P10</f>
        <v>-1834792.6834008016</v>
      </c>
      <c r="R10">
        <f t="shared" ref="R10" si="27">R11+Q10</f>
        <v>831949904.74994993</v>
      </c>
      <c r="S10">
        <f t="shared" ref="S10" si="28">R10/100000</f>
        <v>8319.4990474994993</v>
      </c>
      <c r="T10">
        <f t="shared" ref="T10" si="29">S10/1000</f>
        <v>8.3194990474994999</v>
      </c>
    </row>
    <row r="11" spans="1:20" x14ac:dyDescent="0.25">
      <c r="A11" s="5">
        <v>44582</v>
      </c>
      <c r="B11">
        <v>0.2823</v>
      </c>
      <c r="C11">
        <v>0.28760000000000002</v>
      </c>
      <c r="D11">
        <v>0.23219999999999999</v>
      </c>
      <c r="E11">
        <v>0.2404</v>
      </c>
      <c r="F11">
        <v>14307911.5</v>
      </c>
      <c r="G11">
        <v>0.2404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-0.70397111913357369</v>
      </c>
      <c r="Q11">
        <f t="shared" ref="Q11" si="31">F11*P11</f>
        <v>-10072356.471119128</v>
      </c>
      <c r="R11">
        <f t="shared" ref="R11" si="32">R12+Q11</f>
        <v>833784697.43335068</v>
      </c>
      <c r="S11">
        <f t="shared" ref="S11" si="33">R11/100000</f>
        <v>8337.8469743335063</v>
      </c>
      <c r="T11">
        <f t="shared" ref="T11" si="34">S11/1000</f>
        <v>8.3378469743335071</v>
      </c>
    </row>
    <row r="12" spans="1:20" x14ac:dyDescent="0.25">
      <c r="A12" s="5">
        <v>44581</v>
      </c>
      <c r="B12">
        <v>0.29799999999999999</v>
      </c>
      <c r="C12">
        <v>0.30959999999999999</v>
      </c>
      <c r="D12">
        <v>0.28170000000000001</v>
      </c>
      <c r="E12">
        <v>0.2828</v>
      </c>
      <c r="F12">
        <v>5932226</v>
      </c>
      <c r="G12">
        <v>0.2828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-0.92114695340501862</v>
      </c>
      <c r="Q12">
        <f t="shared" ref="Q12" si="36">F12*P12</f>
        <v>-5464451.9068100397</v>
      </c>
      <c r="R12">
        <f t="shared" ref="R12" si="37">R13+Q12</f>
        <v>843857053.90446985</v>
      </c>
      <c r="S12">
        <f t="shared" ref="S12" si="38">R12/100000</f>
        <v>8438.5705390446983</v>
      </c>
      <c r="T12">
        <f t="shared" ref="T12" si="39">S12/1000</f>
        <v>8.438570539044699</v>
      </c>
    </row>
    <row r="13" spans="1:20" x14ac:dyDescent="0.25">
      <c r="A13" s="5">
        <v>44580</v>
      </c>
      <c r="B13">
        <v>0.31259999999999999</v>
      </c>
      <c r="C13">
        <v>0.31340000000000001</v>
      </c>
      <c r="D13">
        <v>0.29239999999999999</v>
      </c>
      <c r="E13">
        <v>0.29830000000000001</v>
      </c>
      <c r="F13">
        <v>3958576</v>
      </c>
      <c r="G13">
        <v>0.29830000000000001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-0.43809523809523704</v>
      </c>
      <c r="Q13">
        <f t="shared" ref="Q13" si="41">F13*P13</f>
        <v>-1734233.2952380911</v>
      </c>
      <c r="R13">
        <f t="shared" ref="R13" si="42">R14+Q13</f>
        <v>849321505.81127989</v>
      </c>
      <c r="S13">
        <f t="shared" ref="S13" si="43">R13/100000</f>
        <v>8493.2150581127989</v>
      </c>
      <c r="T13">
        <f t="shared" ref="T13" si="44">S13/1000</f>
        <v>8.4932150581127992</v>
      </c>
    </row>
    <row r="14" spans="1:20" x14ac:dyDescent="0.25">
      <c r="A14" s="5">
        <v>44579</v>
      </c>
      <c r="B14">
        <v>0.32090000000000002</v>
      </c>
      <c r="C14">
        <v>0.32300000000000001</v>
      </c>
      <c r="D14">
        <v>0.30380000000000001</v>
      </c>
      <c r="E14">
        <v>0.31259999999999999</v>
      </c>
      <c r="F14">
        <v>3922280</v>
      </c>
      <c r="G14">
        <v>0.31259999999999999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-8.3333333333335743E-2</v>
      </c>
      <c r="Q14">
        <f t="shared" ref="Q14" si="46">F14*P14</f>
        <v>-326856.66666667612</v>
      </c>
      <c r="R14">
        <f t="shared" ref="R14" si="47">R15+Q14</f>
        <v>851055739.10651803</v>
      </c>
      <c r="S14">
        <f t="shared" ref="S14" si="48">R14/100000</f>
        <v>8510.5573910651801</v>
      </c>
      <c r="T14">
        <f t="shared" ref="T14" si="49">S14/1000</f>
        <v>8.5105573910651806</v>
      </c>
    </row>
    <row r="15" spans="1:20" x14ac:dyDescent="0.25">
      <c r="A15" s="5">
        <v>44578</v>
      </c>
      <c r="B15">
        <v>0.33750000000000002</v>
      </c>
      <c r="C15">
        <v>0.33850000000000002</v>
      </c>
      <c r="D15">
        <v>0.3145</v>
      </c>
      <c r="E15">
        <v>0.32090000000000002</v>
      </c>
      <c r="F15">
        <v>3149871</v>
      </c>
      <c r="G15">
        <v>0.32090000000000002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-0.46666666666666573</v>
      </c>
      <c r="Q15">
        <f t="shared" ref="Q15" si="51">F15*P15</f>
        <v>-1469939.799999997</v>
      </c>
      <c r="R15">
        <f t="shared" ref="R15" si="52">R16+Q15</f>
        <v>851382595.77318466</v>
      </c>
      <c r="S15">
        <f t="shared" ref="S15" si="53">R15/100000</f>
        <v>8513.8259577318458</v>
      </c>
      <c r="T15">
        <f t="shared" ref="T15" si="54">S15/1000</f>
        <v>8.5138259577318465</v>
      </c>
    </row>
    <row r="16" spans="1:20" x14ac:dyDescent="0.25">
      <c r="A16" s="5">
        <v>44577</v>
      </c>
      <c r="B16">
        <v>0.33410000000000001</v>
      </c>
      <c r="C16">
        <v>0.3387</v>
      </c>
      <c r="D16">
        <v>0.32790000000000002</v>
      </c>
      <c r="E16">
        <v>0.3372</v>
      </c>
      <c r="F16">
        <v>3800122</v>
      </c>
      <c r="G16">
        <v>0.3372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0.72222222222222132</v>
      </c>
      <c r="Q16">
        <f t="shared" ref="Q16" si="56">F16*P16</f>
        <v>2744532.5555555522</v>
      </c>
      <c r="R16">
        <f t="shared" ref="R16" si="57">R17+Q16</f>
        <v>852852535.57318461</v>
      </c>
      <c r="S16">
        <f t="shared" ref="S16" si="58">R16/100000</f>
        <v>8528.5253557318465</v>
      </c>
      <c r="T16">
        <f t="shared" ref="T16" si="59">S16/1000</f>
        <v>8.5285253557318459</v>
      </c>
    </row>
    <row r="17" spans="1:20" x14ac:dyDescent="0.25">
      <c r="A17" s="5">
        <v>44576</v>
      </c>
      <c r="B17">
        <v>0.3296</v>
      </c>
      <c r="C17">
        <v>0.34439999999999998</v>
      </c>
      <c r="D17">
        <v>0.32779999999999998</v>
      </c>
      <c r="E17">
        <v>0.33439999999999998</v>
      </c>
      <c r="F17">
        <v>7291542</v>
      </c>
      <c r="G17">
        <v>0.33439999999999998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-0.20481927710843453</v>
      </c>
      <c r="Q17">
        <f t="shared" ref="Q17" si="61">F17*P17</f>
        <v>-1493448.361445789</v>
      </c>
      <c r="R17">
        <f t="shared" ref="R17" si="62">R18+Q17</f>
        <v>850108003.01762903</v>
      </c>
      <c r="S17">
        <f t="shared" ref="S17" si="63">R17/100000</f>
        <v>8501.0800301762902</v>
      </c>
      <c r="T17">
        <f t="shared" ref="T17" si="64">S17/1000</f>
        <v>8.5010800301762899</v>
      </c>
    </row>
    <row r="18" spans="1:20" x14ac:dyDescent="0.25">
      <c r="A18" s="5">
        <v>44575</v>
      </c>
      <c r="B18">
        <v>0.32069999999999999</v>
      </c>
      <c r="C18">
        <v>0.33019999999999999</v>
      </c>
      <c r="D18">
        <v>0.31380000000000002</v>
      </c>
      <c r="E18">
        <v>0.32940000000000003</v>
      </c>
      <c r="F18">
        <v>5122677</v>
      </c>
      <c r="G18">
        <v>0.32940000000000003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0.9024390243902477</v>
      </c>
      <c r="Q18">
        <f t="shared" ref="Q18" si="66">F18*P18</f>
        <v>4622903.6341463607</v>
      </c>
      <c r="R18">
        <f t="shared" ref="R18" si="67">R19+Q18</f>
        <v>851601451.37907481</v>
      </c>
      <c r="S18">
        <f t="shared" ref="S18" si="68">R18/100000</f>
        <v>8516.0145137907475</v>
      </c>
      <c r="T18">
        <f t="shared" ref="T18" si="69">S18/1000</f>
        <v>8.516014513790747</v>
      </c>
    </row>
    <row r="19" spans="1:20" x14ac:dyDescent="0.25">
      <c r="A19" s="5">
        <v>44574</v>
      </c>
      <c r="B19">
        <v>0.33889999999999998</v>
      </c>
      <c r="C19">
        <v>0.3422</v>
      </c>
      <c r="D19">
        <v>0.31830000000000003</v>
      </c>
      <c r="E19">
        <v>0.32119999999999999</v>
      </c>
      <c r="F19">
        <v>5791149</v>
      </c>
      <c r="G19">
        <v>0.32119999999999999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-0.75732217573222083</v>
      </c>
      <c r="Q19">
        <f t="shared" ref="Q19" si="71">F19*P19</f>
        <v>-4385765.5606694752</v>
      </c>
      <c r="R19">
        <f t="shared" ref="R19" si="72">R20+Q19</f>
        <v>846978547.74492848</v>
      </c>
      <c r="S19">
        <f t="shared" ref="S19" si="73">R19/100000</f>
        <v>8469.7854774492844</v>
      </c>
      <c r="T19">
        <f t="shared" ref="T19" si="74">S19/1000</f>
        <v>8.4697854774492836</v>
      </c>
    </row>
    <row r="20" spans="1:20" x14ac:dyDescent="0.25">
      <c r="A20" s="5">
        <v>44573</v>
      </c>
      <c r="B20">
        <v>0.32290000000000002</v>
      </c>
      <c r="C20">
        <v>0.34110000000000001</v>
      </c>
      <c r="D20">
        <v>0.31869999999999998</v>
      </c>
      <c r="E20">
        <v>0.33889999999999998</v>
      </c>
      <c r="F20">
        <v>5917684</v>
      </c>
      <c r="G20">
        <v>0.33889999999999998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0.80357142857142572</v>
      </c>
      <c r="Q20">
        <f t="shared" ref="Q20" si="76">F20*P20</f>
        <v>4755281.7857142687</v>
      </c>
      <c r="R20">
        <f t="shared" ref="R20" si="77">R21+Q20</f>
        <v>851364313.3055979</v>
      </c>
      <c r="S20">
        <f t="shared" ref="S20" si="78">R20/100000</f>
        <v>8513.643133055979</v>
      </c>
      <c r="T20">
        <f t="shared" ref="T20" si="79">S20/1000</f>
        <v>8.5136431330559788</v>
      </c>
    </row>
    <row r="21" spans="1:20" x14ac:dyDescent="0.25">
      <c r="A21" s="5">
        <v>44572</v>
      </c>
      <c r="B21">
        <v>0.31230000000000002</v>
      </c>
      <c r="C21">
        <v>0.32290000000000002</v>
      </c>
      <c r="D21">
        <v>0.30409999999999998</v>
      </c>
      <c r="E21">
        <v>0.32290000000000002</v>
      </c>
      <c r="F21">
        <v>4645316</v>
      </c>
      <c r="G21">
        <v>0.32290000000000002</v>
      </c>
      <c r="L21" t="s">
        <v>7</v>
      </c>
      <c r="M21" t="s">
        <v>7</v>
      </c>
      <c r="N21" t="s">
        <v>7</v>
      </c>
      <c r="P21">
        <f t="shared" ref="P21" si="80">IF(C21=D21,0,((E21-D21)-(C21-E21))/(C21-D21))</f>
        <v>1</v>
      </c>
      <c r="Q21">
        <f t="shared" ref="Q21" si="81">F21*P21</f>
        <v>4645316</v>
      </c>
      <c r="R21">
        <f t="shared" ref="R21" si="82">R22+Q21</f>
        <v>846609031.51988363</v>
      </c>
      <c r="S21">
        <f t="shared" ref="S21" si="83">R21/100000</f>
        <v>8466.0903151988368</v>
      </c>
      <c r="T21">
        <f t="shared" ref="T21" si="84">S21/1000</f>
        <v>8.4660903151988371</v>
      </c>
    </row>
    <row r="22" spans="1:20" x14ac:dyDescent="0.25">
      <c r="A22" s="5">
        <v>44571</v>
      </c>
      <c r="B22">
        <v>0.3231</v>
      </c>
      <c r="C22">
        <v>0.3478</v>
      </c>
      <c r="D22">
        <v>0.29570000000000002</v>
      </c>
      <c r="E22">
        <v>0.31219999999999998</v>
      </c>
      <c r="F22">
        <v>16567868.699999999</v>
      </c>
      <c r="G22">
        <v>0.31219999999999998</v>
      </c>
      <c r="L22" t="s">
        <v>8</v>
      </c>
      <c r="M22" t="s">
        <v>7</v>
      </c>
      <c r="N22" t="s">
        <v>7</v>
      </c>
      <c r="P22">
        <f t="shared" ref="P22" si="85">IF(C22=D22,0,((E22-D22)-(C22-E22))/(C22-D22))</f>
        <v>-0.36660268714011646</v>
      </c>
      <c r="Q22">
        <f t="shared" ref="Q22" si="86">F22*P22</f>
        <v>-6073825.1856046272</v>
      </c>
      <c r="R22">
        <f t="shared" ref="R22" si="87">R23+Q22</f>
        <v>841963715.51988363</v>
      </c>
      <c r="S22">
        <f t="shared" ref="S22" si="88">R22/100000</f>
        <v>8419.6371551988359</v>
      </c>
      <c r="T22">
        <f t="shared" ref="T22" si="89">S22/1000</f>
        <v>8.4196371551988367</v>
      </c>
    </row>
    <row r="23" spans="1:20" x14ac:dyDescent="0.25">
      <c r="A23" s="5">
        <v>44570</v>
      </c>
      <c r="B23">
        <v>0.31290000000000001</v>
      </c>
      <c r="C23">
        <v>0.34050000000000002</v>
      </c>
      <c r="D23">
        <v>0.31040000000000001</v>
      </c>
      <c r="E23">
        <v>0.32329999999999998</v>
      </c>
      <c r="F23">
        <v>11832978</v>
      </c>
      <c r="G23">
        <v>0.32329999999999998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-0.14285714285714549</v>
      </c>
      <c r="Q23">
        <f t="shared" ref="Q23" si="91">F23*P23</f>
        <v>-1690425.4285714596</v>
      </c>
      <c r="R23">
        <f t="shared" ref="R23" si="92">R24+Q23</f>
        <v>848037540.7054882</v>
      </c>
      <c r="S23">
        <f t="shared" ref="S23" si="93">R23/100000</f>
        <v>8480.3754070548821</v>
      </c>
      <c r="T23">
        <f t="shared" ref="T23" si="94">S23/1000</f>
        <v>8.4803754070548827</v>
      </c>
    </row>
    <row r="24" spans="1:20" x14ac:dyDescent="0.25">
      <c r="A24" s="5">
        <v>44569</v>
      </c>
      <c r="B24">
        <v>0.33160000000000001</v>
      </c>
      <c r="C24">
        <v>0.33789999999999998</v>
      </c>
      <c r="D24">
        <v>0.30420000000000003</v>
      </c>
      <c r="E24">
        <v>0.31280000000000002</v>
      </c>
      <c r="F24">
        <v>9244070</v>
      </c>
      <c r="G24">
        <v>0.31280000000000002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-0.48961424332344161</v>
      </c>
      <c r="Q24">
        <f t="shared" ref="Q24" si="96">F24*P24</f>
        <v>-4526028.3382789269</v>
      </c>
      <c r="R24">
        <f t="shared" ref="R24" si="97">R25+Q24</f>
        <v>849727966.13405967</v>
      </c>
      <c r="S24">
        <f t="shared" ref="S24" si="98">R24/100000</f>
        <v>8497.2796613405972</v>
      </c>
      <c r="T24">
        <f t="shared" ref="T24" si="99">S24/1000</f>
        <v>8.4972796613405972</v>
      </c>
    </row>
    <row r="25" spans="1:20" x14ac:dyDescent="0.25">
      <c r="A25" s="5">
        <v>44568</v>
      </c>
      <c r="B25">
        <v>0.33439999999999998</v>
      </c>
      <c r="C25">
        <v>0.33829999999999999</v>
      </c>
      <c r="D25">
        <v>0.3085</v>
      </c>
      <c r="E25">
        <v>0.33139999999999997</v>
      </c>
      <c r="F25">
        <v>10605214</v>
      </c>
      <c r="G25">
        <v>0.33139999999999997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0.53691275167785113</v>
      </c>
      <c r="Q25">
        <f t="shared" ref="Q25" si="101">F25*P25</f>
        <v>5694074.6308724703</v>
      </c>
      <c r="R25">
        <f t="shared" ref="R25" si="102">R26+Q25</f>
        <v>854253994.47233856</v>
      </c>
      <c r="S25">
        <f t="shared" ref="S25" si="103">R25/100000</f>
        <v>8542.5399447233849</v>
      </c>
      <c r="T25">
        <f t="shared" ref="T25" si="104">S25/1000</f>
        <v>8.5425399447233854</v>
      </c>
    </row>
    <row r="26" spans="1:20" x14ac:dyDescent="0.25">
      <c r="A26" s="5">
        <v>44567</v>
      </c>
      <c r="B26">
        <v>0.33119999999999999</v>
      </c>
      <c r="C26">
        <v>0.33650000000000002</v>
      </c>
      <c r="D26">
        <v>0.31359999999999999</v>
      </c>
      <c r="E26">
        <v>0.33429999999999999</v>
      </c>
      <c r="F26">
        <v>8462597</v>
      </c>
      <c r="G26">
        <v>0.33429999999999999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0.80786026200873085</v>
      </c>
      <c r="Q26">
        <f t="shared" ref="Q26" si="106">F26*P26</f>
        <v>6836595.8296943</v>
      </c>
      <c r="R26">
        <f t="shared" ref="R26" si="107">R27+Q26</f>
        <v>848559919.84146607</v>
      </c>
      <c r="S26">
        <f t="shared" ref="S26" si="108">R26/100000</f>
        <v>8485.5991984146603</v>
      </c>
      <c r="T26">
        <f t="shared" ref="T26" si="109">S26/1000</f>
        <v>8.4855991984146595</v>
      </c>
    </row>
    <row r="27" spans="1:20" x14ac:dyDescent="0.25">
      <c r="A27" s="5">
        <v>44566</v>
      </c>
      <c r="B27">
        <v>0.35749999999999998</v>
      </c>
      <c r="C27">
        <v>0.38579999999999998</v>
      </c>
      <c r="D27">
        <v>0.31169999999999998</v>
      </c>
      <c r="E27">
        <v>0.33119999999999999</v>
      </c>
      <c r="F27">
        <v>18499279</v>
      </c>
      <c r="G27">
        <v>0.33119999999999999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-0.47368421052631532</v>
      </c>
      <c r="Q27">
        <f t="shared" ref="Q27" si="111">F27*P27</f>
        <v>-8762816.3684210442</v>
      </c>
      <c r="R27">
        <f t="shared" ref="R27" si="112">R28+Q27</f>
        <v>841723324.0117718</v>
      </c>
      <c r="S27">
        <f t="shared" ref="S27" si="113">R27/100000</f>
        <v>8417.2332401177173</v>
      </c>
      <c r="T27">
        <f t="shared" ref="T27" si="114">S27/1000</f>
        <v>8.4172332401177172</v>
      </c>
    </row>
    <row r="28" spans="1:20" x14ac:dyDescent="0.25">
      <c r="A28" s="5">
        <v>44565</v>
      </c>
      <c r="B28">
        <v>0.37380000000000002</v>
      </c>
      <c r="C28">
        <v>0.37730000000000002</v>
      </c>
      <c r="D28">
        <v>0.35410000000000003</v>
      </c>
      <c r="E28">
        <v>0.35749999999999998</v>
      </c>
      <c r="F28">
        <v>10457262</v>
      </c>
      <c r="G28">
        <v>0.35749999999999998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-0.70689655172414145</v>
      </c>
      <c r="Q28">
        <f t="shared" ref="Q28" si="116">F28*P28</f>
        <v>-7392202.4482758986</v>
      </c>
      <c r="R28">
        <f t="shared" ref="R28" si="117">R29+Q28</f>
        <v>850486140.38019288</v>
      </c>
      <c r="S28">
        <f t="shared" ref="S28" si="118">R28/100000</f>
        <v>8504.8614038019296</v>
      </c>
      <c r="T28">
        <f t="shared" ref="T28" si="119">S28/1000</f>
        <v>8.5048614038019288</v>
      </c>
    </row>
    <row r="29" spans="1:20" x14ac:dyDescent="0.25">
      <c r="A29" s="5">
        <v>44564</v>
      </c>
      <c r="B29">
        <v>0.39539999999999997</v>
      </c>
      <c r="C29">
        <v>0.41389999999999999</v>
      </c>
      <c r="D29">
        <v>0.3644</v>
      </c>
      <c r="E29">
        <v>0.37380000000000002</v>
      </c>
      <c r="F29">
        <v>23108822</v>
      </c>
      <c r="G29">
        <v>0.37380000000000002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-0.62020202020201931</v>
      </c>
      <c r="Q29">
        <f t="shared" ref="Q29" si="121">F29*P29</f>
        <v>-14332138.088888869</v>
      </c>
      <c r="R29">
        <f t="shared" ref="R29" si="122">R30+Q29</f>
        <v>857878342.8284688</v>
      </c>
      <c r="S29">
        <f t="shared" ref="S29" si="123">R29/100000</f>
        <v>8578.7834282846889</v>
      </c>
      <c r="T29">
        <f t="shared" ref="T29" si="124">S29/1000</f>
        <v>8.5787834282846891</v>
      </c>
    </row>
    <row r="30" spans="1:20" x14ac:dyDescent="0.25">
      <c r="A30" s="5">
        <v>44563</v>
      </c>
      <c r="B30">
        <v>0.36709999999999998</v>
      </c>
      <c r="C30">
        <v>0.43980000000000002</v>
      </c>
      <c r="D30">
        <v>0.35299999999999998</v>
      </c>
      <c r="E30">
        <v>0.39560000000000001</v>
      </c>
      <c r="F30">
        <v>54103812</v>
      </c>
      <c r="G30">
        <v>0.39560000000000001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-1.8433179723502183E-2</v>
      </c>
      <c r="Q30">
        <f t="shared" ref="Q30" si="126">F30*P30</f>
        <v>-997305.29032257409</v>
      </c>
      <c r="R30">
        <f t="shared" ref="R30" si="127">R31+Q30</f>
        <v>872210480.91735768</v>
      </c>
      <c r="S30">
        <f t="shared" ref="S30" si="128">R30/100000</f>
        <v>8722.1048091735775</v>
      </c>
      <c r="T30">
        <f t="shared" ref="T30" si="129">S30/1000</f>
        <v>8.7221048091735778</v>
      </c>
    </row>
    <row r="31" spans="1:20" x14ac:dyDescent="0.25">
      <c r="A31" s="5">
        <v>44562</v>
      </c>
      <c r="B31">
        <v>0.32829999999999998</v>
      </c>
      <c r="C31">
        <v>0.36899999999999999</v>
      </c>
      <c r="D31">
        <v>0.32800000000000001</v>
      </c>
      <c r="E31">
        <v>0.36709999999999998</v>
      </c>
      <c r="F31">
        <v>18649065</v>
      </c>
      <c r="G31">
        <v>0.36709999999999998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0.90731707317073107</v>
      </c>
      <c r="Q31">
        <f t="shared" ref="Q31" si="131">F31*P31</f>
        <v>16920615.073170722</v>
      </c>
      <c r="R31">
        <f t="shared" ref="R31" si="132">R32+Q31</f>
        <v>873207786.20768023</v>
      </c>
      <c r="S31">
        <f t="shared" ref="S31" si="133">R31/100000</f>
        <v>8732.0778620768015</v>
      </c>
      <c r="T31">
        <f t="shared" ref="T31" si="134">S31/1000</f>
        <v>8.7320778620768014</v>
      </c>
    </row>
    <row r="32" spans="1:20" x14ac:dyDescent="0.25">
      <c r="A32" s="5">
        <v>44561</v>
      </c>
      <c r="B32">
        <v>0.33539999999999998</v>
      </c>
      <c r="C32">
        <v>0.34470000000000001</v>
      </c>
      <c r="D32">
        <v>0.32279999999999998</v>
      </c>
      <c r="E32">
        <v>0.3281</v>
      </c>
      <c r="F32">
        <v>5047309</v>
      </c>
      <c r="G32">
        <v>0.3281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-0.5159817351598156</v>
      </c>
      <c r="Q32">
        <f t="shared" ref="Q32" si="136">F32*P32</f>
        <v>-2604319.2557077538</v>
      </c>
      <c r="R32">
        <f t="shared" ref="R32" si="137">R33+Q32</f>
        <v>856287171.13450956</v>
      </c>
      <c r="S32">
        <f t="shared" ref="S32" si="138">R32/100000</f>
        <v>8562.8717113450948</v>
      </c>
      <c r="T32">
        <f t="shared" ref="T32" si="139">S32/1000</f>
        <v>8.5628717113450943</v>
      </c>
    </row>
    <row r="33" spans="1:20" x14ac:dyDescent="0.25">
      <c r="A33" s="5">
        <v>44560</v>
      </c>
      <c r="B33">
        <v>0.33129999999999998</v>
      </c>
      <c r="C33">
        <v>0.34139999999999998</v>
      </c>
      <c r="D33">
        <v>0.32179999999999997</v>
      </c>
      <c r="E33">
        <v>0.33539999999999998</v>
      </c>
      <c r="F33">
        <v>4422397</v>
      </c>
      <c r="G33">
        <v>0.33539999999999998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0.38775510204081598</v>
      </c>
      <c r="Q33">
        <f t="shared" ref="Q33" si="141">F33*P33</f>
        <v>1714806.9999999984</v>
      </c>
      <c r="R33">
        <f t="shared" ref="R33" si="142">R34+Q33</f>
        <v>858891490.3902173</v>
      </c>
      <c r="S33">
        <f t="shared" ref="S33" si="143">R33/100000</f>
        <v>8588.9149039021722</v>
      </c>
      <c r="T33">
        <f t="shared" ref="T33" si="144">S33/1000</f>
        <v>8.5889149039021717</v>
      </c>
    </row>
    <row r="34" spans="1:20" x14ac:dyDescent="0.25">
      <c r="A34" s="5">
        <v>44559</v>
      </c>
      <c r="B34">
        <v>0.34100000000000003</v>
      </c>
      <c r="C34">
        <v>0.34610000000000002</v>
      </c>
      <c r="D34">
        <v>0.32500000000000001</v>
      </c>
      <c r="E34">
        <v>0.33139999999999997</v>
      </c>
      <c r="F34">
        <v>5490785</v>
      </c>
      <c r="G34">
        <v>0.33139999999999997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-0.3933649289099565</v>
      </c>
      <c r="Q34">
        <f t="shared" ref="Q34" si="146">F34*P34</f>
        <v>-2159882.2511848556</v>
      </c>
      <c r="R34">
        <f t="shared" ref="R34" si="147">R35+Q34</f>
        <v>857176683.3902173</v>
      </c>
      <c r="S34">
        <f t="shared" ref="S34" si="148">R34/100000</f>
        <v>8571.7668339021729</v>
      </c>
      <c r="T34">
        <f t="shared" ref="T34" si="149">S34/1000</f>
        <v>8.5717668339021724</v>
      </c>
    </row>
    <row r="35" spans="1:20" x14ac:dyDescent="0.25">
      <c r="A35" s="5">
        <v>44558</v>
      </c>
      <c r="B35">
        <v>0.37519999999999998</v>
      </c>
      <c r="C35">
        <v>0.38140000000000002</v>
      </c>
      <c r="D35">
        <v>0.33679999999999999</v>
      </c>
      <c r="E35">
        <v>0.34110000000000001</v>
      </c>
      <c r="F35">
        <v>11691270</v>
      </c>
      <c r="G35">
        <v>0.34110000000000001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-0.80717488789237568</v>
      </c>
      <c r="Q35">
        <f t="shared" ref="Q35" si="151">F35*P35</f>
        <v>-9436899.5515694954</v>
      </c>
      <c r="R35">
        <f t="shared" ref="R35" si="152">R36+Q35</f>
        <v>859336565.64140213</v>
      </c>
      <c r="S35">
        <f t="shared" ref="S35" si="153">R35/100000</f>
        <v>8593.3656564140219</v>
      </c>
      <c r="T35">
        <f t="shared" ref="T35" si="154">S35/1000</f>
        <v>8.5933656564140222</v>
      </c>
    </row>
    <row r="36" spans="1:20" x14ac:dyDescent="0.25">
      <c r="A36" s="5">
        <v>44557</v>
      </c>
      <c r="B36">
        <v>0.371</v>
      </c>
      <c r="C36">
        <v>0.38969999999999999</v>
      </c>
      <c r="D36">
        <v>0.3679</v>
      </c>
      <c r="E36">
        <v>0.37519999999999998</v>
      </c>
      <c r="F36">
        <v>6918651</v>
      </c>
      <c r="G36">
        <v>0.37519999999999998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-0.33027522935780018</v>
      </c>
      <c r="Q36">
        <f t="shared" ref="Q36" si="156">F36*P36</f>
        <v>-2285059.0458715735</v>
      </c>
      <c r="R36">
        <f t="shared" ref="R36" si="157">R37+Q36</f>
        <v>868773465.19297159</v>
      </c>
      <c r="S36">
        <f t="shared" ref="S36" si="158">R36/100000</f>
        <v>8687.7346519297153</v>
      </c>
      <c r="T36">
        <f t="shared" ref="T36" si="159">S36/1000</f>
        <v>8.6877346519297145</v>
      </c>
    </row>
    <row r="37" spans="1:20" x14ac:dyDescent="0.25">
      <c r="A37" s="5">
        <v>44556</v>
      </c>
      <c r="B37">
        <v>0.3654</v>
      </c>
      <c r="C37">
        <v>0.373</v>
      </c>
      <c r="D37">
        <v>0.35289999999999999</v>
      </c>
      <c r="E37">
        <v>0.37090000000000001</v>
      </c>
      <c r="F37">
        <v>5237832</v>
      </c>
      <c r="G37">
        <v>0.37090000000000001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0.79104477611940394</v>
      </c>
      <c r="Q37">
        <f t="shared" ref="Q37" si="161">F37*P37</f>
        <v>4143359.6417910499</v>
      </c>
      <c r="R37">
        <f t="shared" ref="R37" si="162">R38+Q37</f>
        <v>871058524.2388432</v>
      </c>
      <c r="S37">
        <f t="shared" ref="S37" si="163">R37/100000</f>
        <v>8710.5852423884317</v>
      </c>
      <c r="T37">
        <f t="shared" ref="T37" si="164">S37/1000</f>
        <v>8.7105852423884311</v>
      </c>
    </row>
    <row r="38" spans="1:20" x14ac:dyDescent="0.25">
      <c r="A38" s="5">
        <v>44555</v>
      </c>
      <c r="B38">
        <v>0.36099999999999999</v>
      </c>
      <c r="C38">
        <v>0.3725</v>
      </c>
      <c r="D38">
        <v>0.35799999999999998</v>
      </c>
      <c r="E38">
        <v>0.36549999999999999</v>
      </c>
      <c r="F38">
        <v>5550062</v>
      </c>
      <c r="G38">
        <v>0.36549999999999999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3.4482758620689655E-2</v>
      </c>
      <c r="Q38">
        <f t="shared" ref="Q38" si="166">F38*P38</f>
        <v>191381.44827586206</v>
      </c>
      <c r="R38">
        <f t="shared" ref="R38" si="167">R39+Q38</f>
        <v>866915164.5970521</v>
      </c>
      <c r="S38">
        <f t="shared" ref="S38" si="168">R38/100000</f>
        <v>8669.1516459705217</v>
      </c>
      <c r="T38">
        <f t="shared" ref="T38" si="169">S38/1000</f>
        <v>8.6691516459705209</v>
      </c>
    </row>
    <row r="39" spans="1:20" x14ac:dyDescent="0.25">
      <c r="A39" s="5">
        <v>44554</v>
      </c>
      <c r="B39">
        <v>0.36280000000000001</v>
      </c>
      <c r="C39">
        <v>0.37290000000000001</v>
      </c>
      <c r="D39">
        <v>0.35339999999999999</v>
      </c>
      <c r="E39">
        <v>0.36070000000000002</v>
      </c>
      <c r="F39">
        <v>8339342</v>
      </c>
      <c r="G39">
        <v>0.36070000000000002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-0.251282051282049</v>
      </c>
      <c r="Q39">
        <f t="shared" ref="Q39" si="171">F39*P39</f>
        <v>-2095526.9641025451</v>
      </c>
      <c r="R39">
        <f t="shared" ref="R39" si="172">R40+Q39</f>
        <v>866723783.14877629</v>
      </c>
      <c r="S39">
        <f t="shared" ref="S39" si="173">R39/100000</f>
        <v>8667.2378314877624</v>
      </c>
      <c r="T39">
        <f t="shared" ref="T39" si="174">S39/1000</f>
        <v>8.6672378314877623</v>
      </c>
    </row>
    <row r="40" spans="1:20" x14ac:dyDescent="0.25">
      <c r="A40" s="5">
        <v>44553</v>
      </c>
      <c r="B40">
        <v>0.34010000000000001</v>
      </c>
      <c r="C40">
        <v>0.3634</v>
      </c>
      <c r="D40">
        <v>0.33289999999999997</v>
      </c>
      <c r="E40">
        <v>0.36280000000000001</v>
      </c>
      <c r="F40">
        <v>9388850</v>
      </c>
      <c r="G40">
        <v>0.36280000000000001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0.96065573770491874</v>
      </c>
      <c r="Q40">
        <f t="shared" ref="Q40" si="176">F40*P40</f>
        <v>9019452.6229508258</v>
      </c>
      <c r="R40">
        <f t="shared" ref="R40" si="177">R41+Q40</f>
        <v>868819310.1128788</v>
      </c>
      <c r="S40">
        <f t="shared" ref="S40" si="178">R40/100000</f>
        <v>8688.1931011287888</v>
      </c>
      <c r="T40">
        <f t="shared" ref="T40" si="179">S40/1000</f>
        <v>8.688193101128789</v>
      </c>
    </row>
    <row r="41" spans="1:20" x14ac:dyDescent="0.25">
      <c r="A41" s="5">
        <v>44552</v>
      </c>
      <c r="B41">
        <v>0.33150000000000002</v>
      </c>
      <c r="C41">
        <v>0.34379999999999999</v>
      </c>
      <c r="D41">
        <v>0.33139999999999997</v>
      </c>
      <c r="E41">
        <v>0.33989999999999998</v>
      </c>
      <c r="F41">
        <v>7467778</v>
      </c>
      <c r="G41">
        <v>0.33989999999999998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0.37096774193548265</v>
      </c>
      <c r="Q41">
        <f t="shared" ref="Q41" si="181">F41*P41</f>
        <v>2770304.7419354748</v>
      </c>
      <c r="R41">
        <f t="shared" ref="R41" si="182">R42+Q41</f>
        <v>859799857.48992801</v>
      </c>
      <c r="S41">
        <f t="shared" ref="S41" si="183">R41/100000</f>
        <v>8597.9985748992804</v>
      </c>
      <c r="T41">
        <f t="shared" ref="T41" si="184">S41/1000</f>
        <v>8.5979985748992807</v>
      </c>
    </row>
    <row r="42" spans="1:20" x14ac:dyDescent="0.25">
      <c r="A42" s="5">
        <v>44551</v>
      </c>
      <c r="B42">
        <v>0.31780000000000003</v>
      </c>
      <c r="C42">
        <v>0.33360000000000001</v>
      </c>
      <c r="D42">
        <v>0.31419999999999998</v>
      </c>
      <c r="E42">
        <v>0.33139999999999997</v>
      </c>
      <c r="F42">
        <v>4495062</v>
      </c>
      <c r="G42">
        <v>0.33139999999999997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0.77319587628865649</v>
      </c>
      <c r="Q42">
        <f t="shared" ref="Q42" si="186">F42*P42</f>
        <v>3475563.402061841</v>
      </c>
      <c r="R42">
        <f t="shared" ref="R42" si="187">R43+Q42</f>
        <v>857029552.74799252</v>
      </c>
      <c r="S42">
        <f t="shared" ref="S42" si="188">R42/100000</f>
        <v>8570.295527479926</v>
      </c>
      <c r="T42">
        <f t="shared" ref="T42" si="189">S42/1000</f>
        <v>8.5702955274799262</v>
      </c>
    </row>
    <row r="43" spans="1:20" x14ac:dyDescent="0.25">
      <c r="A43" s="5">
        <v>44550</v>
      </c>
      <c r="B43">
        <v>0.32469999999999999</v>
      </c>
      <c r="C43">
        <v>0.3291</v>
      </c>
      <c r="D43">
        <v>0.30380000000000001</v>
      </c>
      <c r="E43">
        <v>0.31769999999999998</v>
      </c>
      <c r="F43">
        <v>5813584</v>
      </c>
      <c r="G43">
        <v>0.31769999999999998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9.8814229249009788E-2</v>
      </c>
      <c r="Q43">
        <f t="shared" ref="Q43" si="191">F43*P43</f>
        <v>574464.82213437534</v>
      </c>
      <c r="R43">
        <f t="shared" ref="R43" si="192">R44+Q43</f>
        <v>853553989.3459307</v>
      </c>
      <c r="S43">
        <f t="shared" ref="S43" si="193">R43/100000</f>
        <v>8535.5398934593068</v>
      </c>
      <c r="T43">
        <f t="shared" ref="T43" si="194">S43/1000</f>
        <v>8.5355398934593065</v>
      </c>
    </row>
    <row r="44" spans="1:20" x14ac:dyDescent="0.25">
      <c r="A44" s="5">
        <v>44549</v>
      </c>
      <c r="B44">
        <v>0.33350000000000002</v>
      </c>
      <c r="C44">
        <v>0.33679999999999999</v>
      </c>
      <c r="D44">
        <v>0.32279999999999998</v>
      </c>
      <c r="E44">
        <v>0.32469999999999999</v>
      </c>
      <c r="F44">
        <v>3215902</v>
      </c>
      <c r="G44">
        <v>0.32469999999999999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-0.72857142857142698</v>
      </c>
      <c r="Q44">
        <f t="shared" ref="Q44" si="196">F44*P44</f>
        <v>-2343014.3142857091</v>
      </c>
      <c r="R44">
        <f t="shared" ref="R44" si="197">R45+Q44</f>
        <v>852979524.52379632</v>
      </c>
      <c r="S44">
        <f t="shared" ref="S44" si="198">R44/100000</f>
        <v>8529.7952452379632</v>
      </c>
      <c r="T44">
        <f t="shared" ref="T44" si="199">S44/1000</f>
        <v>8.5297952452379633</v>
      </c>
    </row>
    <row r="45" spans="1:20" x14ac:dyDescent="0.25">
      <c r="A45" s="5">
        <v>44548</v>
      </c>
      <c r="B45">
        <v>0.32329999999999998</v>
      </c>
      <c r="C45">
        <v>0.33779999999999999</v>
      </c>
      <c r="D45">
        <v>0.31640000000000001</v>
      </c>
      <c r="E45">
        <v>0.33350000000000002</v>
      </c>
      <c r="F45">
        <v>5609479</v>
      </c>
      <c r="G45">
        <v>0.33350000000000002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0.59813084112149761</v>
      </c>
      <c r="Q45">
        <f t="shared" ref="Q45" si="201">F45*P45</f>
        <v>3355202.3925233772</v>
      </c>
      <c r="R45">
        <f t="shared" ref="R45" si="202">R46+Q45</f>
        <v>855322538.83808208</v>
      </c>
      <c r="S45">
        <f t="shared" ref="S45" si="203">R45/100000</f>
        <v>8553.2253883808207</v>
      </c>
      <c r="T45">
        <f t="shared" ref="T45" si="204">S45/1000</f>
        <v>8.5532253883808202</v>
      </c>
    </row>
    <row r="46" spans="1:20" x14ac:dyDescent="0.25">
      <c r="A46" s="5">
        <v>44547</v>
      </c>
      <c r="B46">
        <v>0.3342</v>
      </c>
      <c r="C46">
        <v>0.34510000000000002</v>
      </c>
      <c r="D46">
        <v>0.30819999999999997</v>
      </c>
      <c r="E46">
        <v>0.32329999999999998</v>
      </c>
      <c r="F46">
        <v>23265291</v>
      </c>
      <c r="G46">
        <v>0.32329999999999998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-0.18157181571815803</v>
      </c>
      <c r="Q46">
        <f t="shared" ref="Q46" si="206">F46*P46</f>
        <v>-4224321.1300813202</v>
      </c>
      <c r="R46">
        <f t="shared" ref="R46" si="207">R47+Q46</f>
        <v>851967336.44555867</v>
      </c>
      <c r="S46">
        <f t="shared" ref="S46" si="208">R46/100000</f>
        <v>8519.6733644555861</v>
      </c>
      <c r="T46">
        <f t="shared" ref="T46" si="209">S46/1000</f>
        <v>8.5196733644555867</v>
      </c>
    </row>
    <row r="47" spans="1:20" x14ac:dyDescent="0.25">
      <c r="A47" s="5">
        <v>44546</v>
      </c>
      <c r="B47">
        <v>0.34150000000000003</v>
      </c>
      <c r="C47">
        <v>0.35210000000000002</v>
      </c>
      <c r="D47">
        <v>0.33360000000000001</v>
      </c>
      <c r="E47">
        <v>0.3347</v>
      </c>
      <c r="F47">
        <v>7039825</v>
      </c>
      <c r="G47">
        <v>0.3347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-0.8810810810810823</v>
      </c>
      <c r="Q47">
        <f t="shared" ref="Q47" si="211">F47*P47</f>
        <v>-6202656.6216216302</v>
      </c>
      <c r="R47">
        <f t="shared" ref="R47" si="212">R48+Q47</f>
        <v>856191657.57563996</v>
      </c>
      <c r="S47">
        <f t="shared" ref="S47" si="213">R47/100000</f>
        <v>8561.9165757563987</v>
      </c>
      <c r="T47">
        <f t="shared" ref="T47" si="214">S47/1000</f>
        <v>8.5619165757563991</v>
      </c>
    </row>
    <row r="48" spans="1:20" x14ac:dyDescent="0.25">
      <c r="A48" s="5">
        <v>44545</v>
      </c>
      <c r="B48">
        <v>0.32600000000000001</v>
      </c>
      <c r="C48">
        <v>0.34839999999999999</v>
      </c>
      <c r="D48">
        <v>0.308</v>
      </c>
      <c r="E48">
        <v>0.34110000000000001</v>
      </c>
      <c r="F48">
        <v>6103405</v>
      </c>
      <c r="G48">
        <v>0.34110000000000001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0.63861386138613985</v>
      </c>
      <c r="Q48">
        <f t="shared" ref="Q48" si="216">F48*P48</f>
        <v>3897719.0346534727</v>
      </c>
      <c r="R48">
        <f t="shared" ref="R48" si="217">R49+Q48</f>
        <v>862394314.19726157</v>
      </c>
      <c r="S48">
        <f t="shared" ref="S48" si="218">R48/100000</f>
        <v>8623.9431419726152</v>
      </c>
      <c r="T48">
        <f t="shared" ref="T48" si="219">S48/1000</f>
        <v>8.6239431419726156</v>
      </c>
    </row>
    <row r="49" spans="1:20" x14ac:dyDescent="0.25">
      <c r="A49" s="5">
        <v>44544</v>
      </c>
      <c r="B49">
        <v>0.31690000000000002</v>
      </c>
      <c r="C49">
        <v>0.33040000000000003</v>
      </c>
      <c r="D49">
        <v>0.30609999999999998</v>
      </c>
      <c r="E49">
        <v>0.3271</v>
      </c>
      <c r="F49">
        <v>8103817</v>
      </c>
      <c r="G49">
        <v>0.3271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0.72839506172839352</v>
      </c>
      <c r="Q49">
        <f t="shared" ref="Q49" si="221">F49*P49</f>
        <v>5902780.2839506045</v>
      </c>
      <c r="R49">
        <f t="shared" ref="R49" si="222">R50+Q49</f>
        <v>858496595.16260815</v>
      </c>
      <c r="S49">
        <f t="shared" ref="S49" si="223">R49/100000</f>
        <v>8584.9659516260817</v>
      </c>
      <c r="T49">
        <f t="shared" ref="T49" si="224">S49/1000</f>
        <v>8.5849659516260814</v>
      </c>
    </row>
    <row r="50" spans="1:20" x14ac:dyDescent="0.25">
      <c r="A50" s="5">
        <v>44543</v>
      </c>
      <c r="B50">
        <v>0.35780000000000001</v>
      </c>
      <c r="C50">
        <v>0.36099999999999999</v>
      </c>
      <c r="D50">
        <v>0.31180000000000002</v>
      </c>
      <c r="E50">
        <v>0.317</v>
      </c>
      <c r="F50">
        <v>7293752</v>
      </c>
      <c r="G50">
        <v>0.317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-0.7886178861788623</v>
      </c>
      <c r="Q50">
        <f t="shared" ref="Q50" si="226">F50*P50</f>
        <v>-5751983.2845528489</v>
      </c>
      <c r="R50">
        <f t="shared" ref="R50" si="227">R51+Q50</f>
        <v>852593814.87865758</v>
      </c>
      <c r="S50">
        <f t="shared" ref="S50" si="228">R50/100000</f>
        <v>8525.9381487865758</v>
      </c>
      <c r="T50">
        <f t="shared" ref="T50" si="229">S50/1000</f>
        <v>8.525938148786576</v>
      </c>
    </row>
    <row r="51" spans="1:20" x14ac:dyDescent="0.25">
      <c r="A51" s="5">
        <v>44542</v>
      </c>
      <c r="B51">
        <v>0.35699999999999998</v>
      </c>
      <c r="C51">
        <v>0.3629</v>
      </c>
      <c r="D51">
        <v>0.34510000000000002</v>
      </c>
      <c r="E51">
        <v>0.35809999999999997</v>
      </c>
      <c r="F51">
        <v>4793797</v>
      </c>
      <c r="G51">
        <v>0.35809999999999997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0.4606741573033673</v>
      </c>
      <c r="Q51">
        <f t="shared" ref="Q51" si="231">F51*P51</f>
        <v>2208378.3932584105</v>
      </c>
      <c r="R51">
        <f t="shared" ref="R51" si="232">R52+Q51</f>
        <v>858345798.16321039</v>
      </c>
      <c r="S51">
        <f t="shared" ref="S51" si="233">R51/100000</f>
        <v>8583.4579816321038</v>
      </c>
      <c r="T51">
        <f t="shared" ref="T51" si="234">S51/1000</f>
        <v>8.5834579816321046</v>
      </c>
    </row>
    <row r="52" spans="1:20" x14ac:dyDescent="0.25">
      <c r="A52" s="5">
        <v>44541</v>
      </c>
      <c r="B52">
        <v>0.3377</v>
      </c>
      <c r="C52">
        <v>0.34239999999999998</v>
      </c>
      <c r="D52">
        <v>0.33019999999999999</v>
      </c>
      <c r="E52">
        <v>0.34110000000000001</v>
      </c>
      <c r="F52">
        <v>874734</v>
      </c>
      <c r="G52">
        <v>0.34110000000000001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0.78688524590164444</v>
      </c>
      <c r="Q52">
        <f t="shared" ref="Q52" si="236">F52*P52</f>
        <v>688315.27868852904</v>
      </c>
      <c r="R52">
        <f t="shared" ref="R52" si="237">R53+Q52</f>
        <v>856137419.76995194</v>
      </c>
      <c r="S52">
        <f t="shared" ref="S52" si="238">R52/100000</f>
        <v>8561.3741976995188</v>
      </c>
      <c r="T52">
        <f t="shared" ref="T52" si="239">S52/1000</f>
        <v>8.5613741976995197</v>
      </c>
    </row>
    <row r="53" spans="1:20" x14ac:dyDescent="0.25">
      <c r="A53" s="5">
        <v>44540</v>
      </c>
      <c r="B53">
        <v>0.35809999999999997</v>
      </c>
      <c r="C53">
        <v>0.37209999999999999</v>
      </c>
      <c r="D53">
        <v>0.33739999999999998</v>
      </c>
      <c r="E53">
        <v>0.33779999999999999</v>
      </c>
      <c r="F53">
        <v>10140992</v>
      </c>
      <c r="G53">
        <v>0.33779999999999999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-0.97694524495677171</v>
      </c>
      <c r="Q53">
        <f t="shared" ref="Q53" si="241">F53*P53</f>
        <v>-9907193.9135446623</v>
      </c>
      <c r="R53">
        <f t="shared" ref="R53" si="242">R54+Q53</f>
        <v>855449104.49126339</v>
      </c>
      <c r="S53">
        <f t="shared" ref="S53" si="243">R53/100000</f>
        <v>8554.4910449126346</v>
      </c>
      <c r="T53">
        <f t="shared" ref="T53" si="244">S53/1000</f>
        <v>8.5544910449126341</v>
      </c>
    </row>
    <row r="54" spans="1:20" x14ac:dyDescent="0.25">
      <c r="A54" s="5">
        <v>44539</v>
      </c>
      <c r="B54">
        <v>0.40600000000000003</v>
      </c>
      <c r="C54">
        <v>0.40870000000000001</v>
      </c>
      <c r="D54">
        <v>0.35630000000000001</v>
      </c>
      <c r="E54">
        <v>0.35809999999999997</v>
      </c>
      <c r="F54">
        <v>12474277</v>
      </c>
      <c r="G54">
        <v>0.35809999999999997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-0.93129770992366534</v>
      </c>
      <c r="Q54">
        <f t="shared" ref="Q54" si="246">F54*P54</f>
        <v>-11617265.603053451</v>
      </c>
      <c r="R54">
        <f t="shared" ref="R54" si="247">R55+Q54</f>
        <v>865356298.40480804</v>
      </c>
      <c r="S54">
        <f t="shared" ref="S54" si="248">R54/100000</f>
        <v>8653.5629840480797</v>
      </c>
      <c r="T54">
        <f t="shared" ref="T54" si="249">S54/1000</f>
        <v>8.6535629840480794</v>
      </c>
    </row>
    <row r="55" spans="1:20" x14ac:dyDescent="0.25">
      <c r="A55" s="5">
        <v>44538</v>
      </c>
      <c r="B55">
        <v>0.3957</v>
      </c>
      <c r="C55">
        <v>0.41830000000000001</v>
      </c>
      <c r="D55">
        <v>0.371</v>
      </c>
      <c r="E55">
        <v>0.40579999999999999</v>
      </c>
      <c r="F55">
        <v>17131792</v>
      </c>
      <c r="G55">
        <v>0.40579999999999999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0.4714587737843548</v>
      </c>
      <c r="Q55">
        <f t="shared" ref="Q55" si="251">F55*P55</f>
        <v>8076933.649048619</v>
      </c>
      <c r="R55">
        <f t="shared" ref="R55" si="252">R56+Q55</f>
        <v>876973564.0078615</v>
      </c>
      <c r="S55">
        <f t="shared" ref="S55" si="253">R55/100000</f>
        <v>8769.7356400786157</v>
      </c>
      <c r="T55">
        <f t="shared" ref="T55" si="254">S55/1000</f>
        <v>8.7697356400786148</v>
      </c>
    </row>
    <row r="56" spans="1:20" x14ac:dyDescent="0.25">
      <c r="A56" s="5">
        <v>44537</v>
      </c>
      <c r="B56">
        <v>0.38109999999999999</v>
      </c>
      <c r="C56">
        <v>0.4093</v>
      </c>
      <c r="D56">
        <v>0.38009999999999999</v>
      </c>
      <c r="E56">
        <v>0.39560000000000001</v>
      </c>
      <c r="F56">
        <v>22192319</v>
      </c>
      <c r="G56">
        <v>0.39560000000000001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6.1643835616439165E-2</v>
      </c>
      <c r="Q56">
        <f t="shared" ref="Q56" si="256">F56*P56</f>
        <v>1368019.6643835795</v>
      </c>
      <c r="R56">
        <f t="shared" ref="R56" si="257">R57+Q56</f>
        <v>868896630.35881293</v>
      </c>
      <c r="S56">
        <f t="shared" ref="S56" si="258">R56/100000</f>
        <v>8688.9663035881294</v>
      </c>
      <c r="T56">
        <f t="shared" ref="T56" si="259">S56/1000</f>
        <v>8.6889663035881295</v>
      </c>
    </row>
    <row r="57" spans="1:20" x14ac:dyDescent="0.25">
      <c r="A57" s="5">
        <v>44536</v>
      </c>
      <c r="B57">
        <v>0.36349999999999999</v>
      </c>
      <c r="C57">
        <v>0.39639999999999997</v>
      </c>
      <c r="D57">
        <v>0.3201</v>
      </c>
      <c r="E57">
        <v>0.38129999999999997</v>
      </c>
      <c r="F57">
        <v>34544520</v>
      </c>
      <c r="G57">
        <v>0.38129999999999997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0.60419397116644802</v>
      </c>
      <c r="Q57">
        <f t="shared" ref="Q57" si="261">F57*P57</f>
        <v>20871590.720838785</v>
      </c>
      <c r="R57">
        <f t="shared" ref="R57" si="262">R58+Q57</f>
        <v>867528610.6944294</v>
      </c>
      <c r="S57">
        <f t="shared" ref="S57" si="263">R57/100000</f>
        <v>8675.2861069442934</v>
      </c>
      <c r="T57">
        <f t="shared" ref="T57" si="264">S57/1000</f>
        <v>8.6752861069442933</v>
      </c>
    </row>
    <row r="58" spans="1:20" x14ac:dyDescent="0.25">
      <c r="A58" s="5">
        <v>44535</v>
      </c>
      <c r="B58">
        <v>0.40010000000000001</v>
      </c>
      <c r="C58">
        <v>0.40579999999999999</v>
      </c>
      <c r="D58">
        <v>0.34649999999999997</v>
      </c>
      <c r="E58">
        <v>0.3639</v>
      </c>
      <c r="F58">
        <v>25409431</v>
      </c>
      <c r="G58">
        <v>0.3639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-0.41315345699831296</v>
      </c>
      <c r="Q58">
        <f t="shared" ref="Q58" si="266">F58*P58</f>
        <v>-10497994.258010101</v>
      </c>
      <c r="R58">
        <f t="shared" ref="R58" si="267">R59+Q58</f>
        <v>846657019.97359061</v>
      </c>
      <c r="S58">
        <f t="shared" ref="S58" si="268">R58/100000</f>
        <v>8466.5701997359065</v>
      </c>
      <c r="T58">
        <f t="shared" ref="T58" si="269">S58/1000</f>
        <v>8.4665701997359069</v>
      </c>
    </row>
    <row r="59" spans="1:20" x14ac:dyDescent="0.25">
      <c r="A59" s="5">
        <v>44534</v>
      </c>
      <c r="B59">
        <v>0.4733</v>
      </c>
      <c r="C59">
        <v>0.47410000000000002</v>
      </c>
      <c r="D59">
        <v>0.30299999999999999</v>
      </c>
      <c r="E59">
        <v>0.4007</v>
      </c>
      <c r="F59">
        <v>52586677</v>
      </c>
      <c r="G59">
        <v>0.4007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0.14202220923436579</v>
      </c>
      <c r="Q59">
        <f t="shared" ref="Q59" si="271">F59*P59</f>
        <v>7468476.0438340111</v>
      </c>
      <c r="R59">
        <f t="shared" ref="R59" si="272">R60+Q59</f>
        <v>857155014.23160076</v>
      </c>
      <c r="S59">
        <f t="shared" ref="S59" si="273">R59/100000</f>
        <v>8571.5501423160076</v>
      </c>
      <c r="T59">
        <f t="shared" ref="T59" si="274">S59/1000</f>
        <v>8.5715501423160081</v>
      </c>
    </row>
    <row r="60" spans="1:20" x14ac:dyDescent="0.25">
      <c r="A60" s="5">
        <v>44533</v>
      </c>
      <c r="B60">
        <v>0.53539999999999999</v>
      </c>
      <c r="C60">
        <v>0.53600000000000003</v>
      </c>
      <c r="D60">
        <v>0.45839999999999997</v>
      </c>
      <c r="E60">
        <v>0.47339999999999999</v>
      </c>
      <c r="F60">
        <v>15933824</v>
      </c>
      <c r="G60">
        <v>0.47339999999999999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-0.61340206185567003</v>
      </c>
      <c r="Q60">
        <f t="shared" ref="Q60" si="276">F60*P60</f>
        <v>-9773840.4948453605</v>
      </c>
      <c r="R60">
        <f t="shared" ref="R60" si="277">R61+Q60</f>
        <v>849686538.18776679</v>
      </c>
      <c r="S60">
        <f t="shared" ref="S60" si="278">R60/100000</f>
        <v>8496.8653818776675</v>
      </c>
      <c r="T60">
        <f t="shared" ref="T60" si="279">S60/1000</f>
        <v>8.4968653818776669</v>
      </c>
    </row>
    <row r="61" spans="1:20" x14ac:dyDescent="0.25">
      <c r="A61" s="5">
        <v>44532</v>
      </c>
      <c r="B61">
        <v>0.56830000000000003</v>
      </c>
      <c r="C61">
        <v>0.57920000000000005</v>
      </c>
      <c r="D61">
        <v>0.51770000000000005</v>
      </c>
      <c r="E61">
        <v>0.53539999999999999</v>
      </c>
      <c r="F61">
        <v>15565747</v>
      </c>
      <c r="G61">
        <v>0.53539999999999999</v>
      </c>
      <c r="L61" t="s">
        <v>7</v>
      </c>
      <c r="M61" t="s">
        <v>7</v>
      </c>
      <c r="N61" t="s">
        <v>8</v>
      </c>
      <c r="P61">
        <f t="shared" ref="P61" si="280">IF(C61=D61,0,((E61-D61)-(C61-E61))/(C61-D61))</f>
        <v>-0.42439024390244101</v>
      </c>
      <c r="Q61">
        <f t="shared" ref="Q61" si="281">F61*P61</f>
        <v>-6605951.1658536894</v>
      </c>
      <c r="R61">
        <f t="shared" ref="R61" si="282">R62+Q61</f>
        <v>859460378.68261218</v>
      </c>
      <c r="S61">
        <f t="shared" ref="S61" si="283">R61/100000</f>
        <v>8594.603786826121</v>
      </c>
      <c r="T61">
        <f t="shared" ref="T61" si="284">S61/1000</f>
        <v>8.5946037868261218</v>
      </c>
    </row>
    <row r="62" spans="1:20" x14ac:dyDescent="0.25">
      <c r="A62" s="5">
        <v>44531</v>
      </c>
      <c r="B62">
        <v>0.53649999999999998</v>
      </c>
      <c r="C62">
        <v>0.57689999999999997</v>
      </c>
      <c r="D62">
        <v>0.53459999999999996</v>
      </c>
      <c r="E62">
        <v>0.56810000000000005</v>
      </c>
      <c r="F62">
        <v>16102644</v>
      </c>
      <c r="G62">
        <v>0.56810000000000005</v>
      </c>
      <c r="L62" t="s">
        <v>8</v>
      </c>
      <c r="M62" t="s">
        <v>7</v>
      </c>
      <c r="N62" t="s">
        <v>8</v>
      </c>
      <c r="P62">
        <f t="shared" ref="P62" si="285">IF(C62=D62,0,((E62-D62)-(C62-E62))/(C62-D62))</f>
        <v>0.58392434988180053</v>
      </c>
      <c r="Q62">
        <f t="shared" ref="Q62" si="286">F62*P62</f>
        <v>9402725.929078076</v>
      </c>
      <c r="R62">
        <f t="shared" ref="R62" si="287">R63+Q62</f>
        <v>866066329.84846592</v>
      </c>
      <c r="S62">
        <f t="shared" ref="S62" si="288">R62/100000</f>
        <v>8660.6632984846583</v>
      </c>
      <c r="T62">
        <f t="shared" ref="T62" si="289">S62/1000</f>
        <v>8.6606632984846588</v>
      </c>
    </row>
    <row r="63" spans="1:20" x14ac:dyDescent="0.25">
      <c r="A63" s="5">
        <v>44530</v>
      </c>
      <c r="B63">
        <v>0.57069999999999999</v>
      </c>
      <c r="C63">
        <v>0.57110000000000005</v>
      </c>
      <c r="D63">
        <v>0.53259999999999996</v>
      </c>
      <c r="E63">
        <v>0.53600000000000003</v>
      </c>
      <c r="F63">
        <v>14329973</v>
      </c>
      <c r="G63">
        <v>0.53600000000000003</v>
      </c>
      <c r="L63" t="s">
        <v>7</v>
      </c>
      <c r="M63" t="s">
        <v>7</v>
      </c>
      <c r="N63" t="s">
        <v>8</v>
      </c>
      <c r="P63">
        <f t="shared" ref="P63" si="290">IF(C63=D63,0,((E63-D63)-(C63-E63))/(C63-D63))</f>
        <v>-0.82337662337662021</v>
      </c>
      <c r="Q63">
        <f t="shared" ref="Q63" si="291">F63*P63</f>
        <v>-11798964.781818137</v>
      </c>
      <c r="R63">
        <f t="shared" ref="R63" si="292">R64+Q63</f>
        <v>856663603.91938782</v>
      </c>
      <c r="S63">
        <f t="shared" ref="S63" si="293">R63/100000</f>
        <v>8566.6360391938779</v>
      </c>
      <c r="T63">
        <f t="shared" ref="T63" si="294">S63/1000</f>
        <v>8.5666360391938774</v>
      </c>
    </row>
    <row r="64" spans="1:20" x14ac:dyDescent="0.25">
      <c r="A64" s="5">
        <v>44529</v>
      </c>
      <c r="B64">
        <v>0.57630000000000003</v>
      </c>
      <c r="C64">
        <v>0.59440000000000004</v>
      </c>
      <c r="D64">
        <v>0.55600000000000005</v>
      </c>
      <c r="E64">
        <v>0.57079999999999997</v>
      </c>
      <c r="F64">
        <v>19556047</v>
      </c>
      <c r="G64">
        <v>0.57079999999999997</v>
      </c>
      <c r="L64" t="s">
        <v>7</v>
      </c>
      <c r="M64" t="s">
        <v>7</v>
      </c>
      <c r="N64" t="s">
        <v>8</v>
      </c>
      <c r="P64">
        <f t="shared" ref="P64" si="295">IF(C64=D64,0,((E64-D64)-(C64-E64))/(C64-D64))</f>
        <v>-0.2291666666666704</v>
      </c>
      <c r="Q64">
        <f t="shared" ref="Q64" si="296">F64*P64</f>
        <v>-4481594.1041667396</v>
      </c>
      <c r="R64">
        <f t="shared" ref="R64" si="297">R65+Q64</f>
        <v>868462568.70120597</v>
      </c>
      <c r="S64">
        <f t="shared" ref="S64" si="298">R64/100000</f>
        <v>8684.6256870120596</v>
      </c>
      <c r="T64">
        <f t="shared" ref="T64" si="299">S64/1000</f>
        <v>8.6846256870120602</v>
      </c>
    </row>
    <row r="65" spans="1:20" x14ac:dyDescent="0.25">
      <c r="A65" s="5">
        <v>44528</v>
      </c>
      <c r="B65">
        <v>0.61870000000000003</v>
      </c>
      <c r="C65">
        <v>0.64710000000000001</v>
      </c>
      <c r="D65">
        <v>0.53059999999999996</v>
      </c>
      <c r="E65">
        <v>0.57630000000000003</v>
      </c>
      <c r="F65">
        <v>54778152</v>
      </c>
      <c r="G65">
        <v>0.57630000000000003</v>
      </c>
      <c r="L65" t="s">
        <v>8</v>
      </c>
      <c r="M65" t="s">
        <v>8</v>
      </c>
      <c r="N65" t="s">
        <v>8</v>
      </c>
      <c r="P65">
        <f t="shared" ref="P65" si="300">IF(C65=D65,0,((E65-D65)-(C65-E65))/(C65-D65))</f>
        <v>-0.21545064377682308</v>
      </c>
      <c r="Q65">
        <f t="shared" ref="Q65" si="301">F65*P65</f>
        <v>-11801988.113304669</v>
      </c>
      <c r="R65">
        <f t="shared" ref="R65" si="302">R66+Q65</f>
        <v>872944162.80537271</v>
      </c>
      <c r="S65">
        <f t="shared" ref="S65" si="303">R65/100000</f>
        <v>8729.441628053728</v>
      </c>
      <c r="T65">
        <f t="shared" ref="T65" si="304">S65/1000</f>
        <v>8.7294416280537277</v>
      </c>
    </row>
    <row r="66" spans="1:20" x14ac:dyDescent="0.25">
      <c r="A66" s="5">
        <v>44527</v>
      </c>
      <c r="B66">
        <v>0.57940000000000003</v>
      </c>
      <c r="C66">
        <v>0.63349999999999995</v>
      </c>
      <c r="D66">
        <v>0.53969999999999996</v>
      </c>
      <c r="E66">
        <v>0.61880000000000002</v>
      </c>
      <c r="F66">
        <v>105598924</v>
      </c>
      <c r="G66">
        <v>0.61880000000000002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0.68656716417910579</v>
      </c>
      <c r="Q66">
        <f t="shared" ref="Q66" si="306">F66*P66</f>
        <v>72500753.791044921</v>
      </c>
      <c r="R66">
        <f t="shared" ref="R66" si="307">R67+Q66</f>
        <v>884746150.91867733</v>
      </c>
      <c r="S66">
        <f t="shared" ref="S66" si="308">R66/100000</f>
        <v>8847.4615091867727</v>
      </c>
      <c r="T66">
        <f t="shared" ref="T66" si="309">S66/1000</f>
        <v>8.8474615091867719</v>
      </c>
    </row>
    <row r="67" spans="1:20" x14ac:dyDescent="0.25">
      <c r="A67" s="5">
        <v>44526</v>
      </c>
      <c r="B67">
        <v>0.5131</v>
      </c>
      <c r="C67">
        <v>0.61470000000000002</v>
      </c>
      <c r="D67">
        <v>0.48830000000000001</v>
      </c>
      <c r="E67">
        <v>0.57940000000000003</v>
      </c>
      <c r="F67">
        <v>150939635</v>
      </c>
      <c r="G67">
        <v>0.57940000000000003</v>
      </c>
      <c r="L67" t="s">
        <v>8</v>
      </c>
      <c r="M67" t="s">
        <v>8</v>
      </c>
      <c r="N67" t="s">
        <v>8</v>
      </c>
      <c r="P67">
        <f t="shared" ref="P67" si="310">IF(C67=D67,0,((E67-D67)-(C67-E67))/(C67-D67))</f>
        <v>0.44145569620253172</v>
      </c>
      <c r="Q67">
        <f t="shared" ref="Q67" si="311">F67*P67</f>
        <v>66633161.653481022</v>
      </c>
      <c r="R67">
        <f t="shared" ref="R67" si="312">R68+Q67</f>
        <v>812245397.12763238</v>
      </c>
      <c r="S67">
        <f t="shared" ref="S67" si="313">R67/100000</f>
        <v>8122.4539712763235</v>
      </c>
      <c r="T67">
        <f t="shared" ref="T67" si="314">S67/1000</f>
        <v>8.1224539712763235</v>
      </c>
    </row>
    <row r="68" spans="1:20" x14ac:dyDescent="0.25">
      <c r="A68" s="5">
        <v>44525</v>
      </c>
      <c r="B68">
        <v>0.50270000000000004</v>
      </c>
      <c r="C68">
        <v>0.51939999999999997</v>
      </c>
      <c r="D68">
        <v>0.4874</v>
      </c>
      <c r="E68">
        <v>0.51290000000000002</v>
      </c>
      <c r="F68">
        <v>27410797</v>
      </c>
      <c r="G68">
        <v>0.51290000000000002</v>
      </c>
      <c r="L68" t="s">
        <v>7</v>
      </c>
      <c r="M68" t="s">
        <v>7</v>
      </c>
      <c r="N68" t="s">
        <v>8</v>
      </c>
      <c r="P68">
        <f t="shared" ref="P68" si="315">IF(C68=D68,0,((E68-D68)-(C68-E68))/(C68-D68))</f>
        <v>0.59375000000000278</v>
      </c>
      <c r="Q68">
        <f t="shared" ref="Q68" si="316">F68*P68</f>
        <v>16275160.718750076</v>
      </c>
      <c r="R68">
        <f t="shared" ref="R68" si="317">R69+Q68</f>
        <v>745612235.47415137</v>
      </c>
      <c r="S68">
        <f t="shared" ref="S68" si="318">R68/100000</f>
        <v>7456.1223547415138</v>
      </c>
      <c r="T68">
        <f t="shared" ref="T68" si="319">S68/1000</f>
        <v>7.4561223547415141</v>
      </c>
    </row>
    <row r="69" spans="1:20" x14ac:dyDescent="0.25">
      <c r="A69" s="5">
        <v>44524</v>
      </c>
      <c r="B69">
        <v>0.52400000000000002</v>
      </c>
      <c r="C69">
        <v>0.52429999999999999</v>
      </c>
      <c r="D69">
        <v>0.50060000000000004</v>
      </c>
      <c r="E69">
        <v>0.50580000000000003</v>
      </c>
      <c r="F69">
        <v>6646793</v>
      </c>
      <c r="G69">
        <v>0.50580000000000003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-0.56118143459915659</v>
      </c>
      <c r="Q69">
        <f t="shared" ref="Q69" si="321">F69*P69</f>
        <v>-3730056.8312236317</v>
      </c>
      <c r="R69">
        <f t="shared" ref="R69" si="322">R70+Q69</f>
        <v>729337074.75540125</v>
      </c>
      <c r="S69">
        <f t="shared" ref="S69" si="323">R69/100000</f>
        <v>7293.3707475540123</v>
      </c>
      <c r="T69">
        <f t="shared" ref="T69" si="324">S69/1000</f>
        <v>7.2933707475540119</v>
      </c>
    </row>
    <row r="70" spans="1:20" x14ac:dyDescent="0.25">
      <c r="A70" s="5">
        <v>44523</v>
      </c>
      <c r="B70">
        <v>0.54220000000000002</v>
      </c>
      <c r="C70">
        <v>0.54220000000000002</v>
      </c>
      <c r="D70">
        <v>0.50509999999999999</v>
      </c>
      <c r="E70">
        <v>0.52390000000000003</v>
      </c>
      <c r="F70">
        <v>26461066</v>
      </c>
      <c r="G70">
        <v>0.52390000000000003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1.3477088948788562E-2</v>
      </c>
      <c r="Q70">
        <f t="shared" ref="Q70" si="326">F70*P70</f>
        <v>356618.14016176475</v>
      </c>
      <c r="R70">
        <f t="shared" ref="R70" si="327">R71+Q70</f>
        <v>733067131.58662486</v>
      </c>
      <c r="S70">
        <f t="shared" ref="S70" si="328">R70/100000</f>
        <v>7330.6713158662487</v>
      </c>
      <c r="T70">
        <f t="shared" ref="T70" si="329">S70/1000</f>
        <v>7.3306713158662484</v>
      </c>
    </row>
    <row r="71" spans="1:20" x14ac:dyDescent="0.25">
      <c r="A71" s="5">
        <v>44522</v>
      </c>
      <c r="B71">
        <v>0.54859999999999998</v>
      </c>
      <c r="C71">
        <v>0.64</v>
      </c>
      <c r="D71">
        <v>0.5393</v>
      </c>
      <c r="E71">
        <v>0.5423</v>
      </c>
      <c r="F71">
        <v>86862504</v>
      </c>
      <c r="G71">
        <v>0.5423</v>
      </c>
      <c r="L71" t="s">
        <v>8</v>
      </c>
      <c r="M71" t="s">
        <v>8</v>
      </c>
      <c r="N71" t="s">
        <v>8</v>
      </c>
      <c r="P71">
        <f t="shared" ref="P71" si="330">IF(C71=D71,0,((E71-D71)-(C71-E71))/(C71-D71))</f>
        <v>-0.94041708043694139</v>
      </c>
      <c r="Q71">
        <f t="shared" ref="Q71" si="331">F71*P71</f>
        <v>-81686982.411122143</v>
      </c>
      <c r="R71">
        <f t="shared" ref="R71" si="332">R72+Q71</f>
        <v>732710513.44646311</v>
      </c>
      <c r="S71">
        <f t="shared" ref="S71" si="333">R71/100000</f>
        <v>7327.1051344646312</v>
      </c>
      <c r="T71">
        <f t="shared" ref="T71" si="334">S71/1000</f>
        <v>7.327105134464631</v>
      </c>
    </row>
    <row r="72" spans="1:20" x14ac:dyDescent="0.25">
      <c r="A72" s="5">
        <v>44521</v>
      </c>
      <c r="B72">
        <v>0.55959999999999999</v>
      </c>
      <c r="C72">
        <v>0.57330000000000003</v>
      </c>
      <c r="D72">
        <v>0.51759999999999995</v>
      </c>
      <c r="E72">
        <v>0.54830000000000001</v>
      </c>
      <c r="F72">
        <v>38683083</v>
      </c>
      <c r="G72">
        <v>0.54830000000000001</v>
      </c>
      <c r="L72" t="s">
        <v>7</v>
      </c>
      <c r="M72" t="s">
        <v>8</v>
      </c>
      <c r="N72" t="s">
        <v>8</v>
      </c>
      <c r="P72">
        <f t="shared" ref="P72" si="335">IF(C72=D72,0,((E72-D72)-(C72-E72))/(C72-D72))</f>
        <v>0.10233393177737936</v>
      </c>
      <c r="Q72">
        <f t="shared" ref="Q72" si="336">F72*P72</f>
        <v>3958591.9766607033</v>
      </c>
      <c r="R72">
        <f t="shared" ref="R72" si="337">R73+Q72</f>
        <v>814397495.85758531</v>
      </c>
      <c r="S72">
        <f t="shared" ref="S72" si="338">R72/100000</f>
        <v>8143.9749585758527</v>
      </c>
      <c r="T72">
        <f t="shared" ref="T72" si="339">S72/1000</f>
        <v>8.1439749585758534</v>
      </c>
    </row>
    <row r="73" spans="1:20" x14ac:dyDescent="0.25">
      <c r="A73" s="5">
        <v>44520</v>
      </c>
      <c r="B73">
        <v>0.47849999999999998</v>
      </c>
      <c r="C73">
        <v>0.57540000000000002</v>
      </c>
      <c r="D73">
        <v>0.4773</v>
      </c>
      <c r="E73">
        <v>0.55930000000000002</v>
      </c>
      <c r="F73">
        <v>78484323</v>
      </c>
      <c r="G73">
        <v>0.55930000000000002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0.6717635066258919</v>
      </c>
      <c r="Q73">
        <f t="shared" ref="Q73" si="341">F73*P73</f>
        <v>52722904.03363914</v>
      </c>
      <c r="R73">
        <f t="shared" ref="R73" si="342">R74+Q73</f>
        <v>810438903.88092458</v>
      </c>
      <c r="S73">
        <f t="shared" ref="S73" si="343">R73/100000</f>
        <v>8104.3890388092459</v>
      </c>
      <c r="T73">
        <f t="shared" ref="T73" si="344">S73/1000</f>
        <v>8.1043890388092468</v>
      </c>
    </row>
    <row r="74" spans="1:20" x14ac:dyDescent="0.25">
      <c r="A74" s="5">
        <v>44519</v>
      </c>
      <c r="B74">
        <v>0.4577</v>
      </c>
      <c r="C74">
        <v>0.48159999999999997</v>
      </c>
      <c r="D74">
        <v>0.43809999999999999</v>
      </c>
      <c r="E74">
        <v>0.47799999999999998</v>
      </c>
      <c r="F74">
        <v>16116878</v>
      </c>
      <c r="G74">
        <v>0.47799999999999998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0.83448275862068999</v>
      </c>
      <c r="Q74">
        <f t="shared" ref="Q74" si="346">F74*P74</f>
        <v>13449256.81379311</v>
      </c>
      <c r="R74">
        <f t="shared" ref="R74" si="347">R75+Q74</f>
        <v>757715999.84728539</v>
      </c>
      <c r="S74">
        <f t="shared" ref="S74" si="348">R74/100000</f>
        <v>7577.1599984728537</v>
      </c>
      <c r="T74">
        <f t="shared" ref="T74" si="349">S74/1000</f>
        <v>7.5771599984728537</v>
      </c>
    </row>
    <row r="75" spans="1:20" x14ac:dyDescent="0.25">
      <c r="A75" s="5">
        <v>44518</v>
      </c>
      <c r="B75">
        <v>0.49959999999999999</v>
      </c>
      <c r="C75">
        <v>0.51900000000000002</v>
      </c>
      <c r="D75">
        <v>0.44069999999999998</v>
      </c>
      <c r="E75">
        <v>0.45650000000000002</v>
      </c>
      <c r="F75">
        <v>36567924</v>
      </c>
      <c r="G75">
        <v>0.45650000000000002</v>
      </c>
      <c r="L75" t="s">
        <v>7</v>
      </c>
      <c r="M75" t="s">
        <v>8</v>
      </c>
      <c r="N75" t="s">
        <v>7</v>
      </c>
      <c r="P75">
        <f t="shared" ref="P75" si="350">IF(C75=D75,0,((E75-D75)-(C75-E75))/(C75-D75))</f>
        <v>-0.59642401021711289</v>
      </c>
      <c r="Q75">
        <f t="shared" ref="Q75" si="351">F75*P75</f>
        <v>-21809987.877394609</v>
      </c>
      <c r="R75">
        <f t="shared" ref="R75" si="352">R76+Q75</f>
        <v>744266743.03349233</v>
      </c>
      <c r="S75">
        <f t="shared" ref="S75" si="353">R75/100000</f>
        <v>7442.6674303349237</v>
      </c>
      <c r="T75">
        <f t="shared" ref="T75" si="354">S75/1000</f>
        <v>7.4426674303349234</v>
      </c>
    </row>
    <row r="76" spans="1:20" x14ac:dyDescent="0.25">
      <c r="A76" s="5">
        <v>44517</v>
      </c>
      <c r="B76">
        <v>0.46460000000000001</v>
      </c>
      <c r="C76">
        <v>0.53</v>
      </c>
      <c r="D76">
        <v>0.4425</v>
      </c>
      <c r="E76">
        <v>0.4995</v>
      </c>
      <c r="F76">
        <v>43288749</v>
      </c>
      <c r="G76">
        <v>0.4995</v>
      </c>
      <c r="L76" t="s">
        <v>8</v>
      </c>
      <c r="M76" t="s">
        <v>8</v>
      </c>
      <c r="N76" t="s">
        <v>7</v>
      </c>
      <c r="P76">
        <f t="shared" ref="P76" si="355">IF(C76=D76,0,((E76-D76)-(C76-E76))/(C76-D76))</f>
        <v>0.30285714285714244</v>
      </c>
      <c r="Q76">
        <f t="shared" ref="Q76" si="356">F76*P76</f>
        <v>13110306.839999981</v>
      </c>
      <c r="R76">
        <f t="shared" ref="R76" si="357">R77+Q76</f>
        <v>766076730.91088688</v>
      </c>
      <c r="S76">
        <f t="shared" ref="S76" si="358">R76/100000</f>
        <v>7660.7673091088691</v>
      </c>
      <c r="T76">
        <f t="shared" ref="T76" si="359">S76/1000</f>
        <v>7.660767309108869</v>
      </c>
    </row>
    <row r="77" spans="1:20" x14ac:dyDescent="0.25">
      <c r="A77" s="5">
        <v>44516</v>
      </c>
      <c r="B77">
        <v>0.49299999999999999</v>
      </c>
      <c r="C77">
        <v>0.49349999999999999</v>
      </c>
      <c r="D77">
        <v>0.41470000000000001</v>
      </c>
      <c r="E77">
        <v>0.46560000000000001</v>
      </c>
      <c r="F77">
        <v>31805415</v>
      </c>
      <c r="G77">
        <v>0.46560000000000001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0.29187817258883281</v>
      </c>
      <c r="Q77">
        <f t="shared" ref="Q77" si="361">F77*P77</f>
        <v>9283306.4086294509</v>
      </c>
      <c r="R77">
        <f t="shared" ref="R77" si="362">R78+Q77</f>
        <v>752966424.07088685</v>
      </c>
      <c r="S77">
        <f t="shared" ref="S77" si="363">R77/100000</f>
        <v>7529.6642407088684</v>
      </c>
      <c r="T77">
        <f t="shared" ref="T77" si="364">S77/1000</f>
        <v>7.5296642407088683</v>
      </c>
    </row>
    <row r="78" spans="1:20" x14ac:dyDescent="0.25">
      <c r="A78" s="5">
        <v>44515</v>
      </c>
      <c r="B78">
        <v>0.49170000000000003</v>
      </c>
      <c r="C78">
        <v>0.50960000000000005</v>
      </c>
      <c r="D78">
        <v>0.47810000000000002</v>
      </c>
      <c r="E78">
        <v>0.49330000000000002</v>
      </c>
      <c r="F78">
        <v>25802510</v>
      </c>
      <c r="G78">
        <v>0.49330000000000002</v>
      </c>
      <c r="L78" t="s">
        <v>8</v>
      </c>
      <c r="M78" t="s">
        <v>8</v>
      </c>
      <c r="N78" t="s">
        <v>7</v>
      </c>
      <c r="P78">
        <f t="shared" ref="P78" si="365">IF(C78=D78,0,((E78-D78)-(C78-E78))/(C78-D78))</f>
        <v>-3.492063492063633E-2</v>
      </c>
      <c r="Q78">
        <f t="shared" ref="Q78" si="366">F78*P78</f>
        <v>-901040.03174606815</v>
      </c>
      <c r="R78">
        <f t="shared" ref="R78" si="367">R79+Q78</f>
        <v>743683117.66225743</v>
      </c>
      <c r="S78">
        <f t="shared" ref="S78" si="368">R78/100000</f>
        <v>7436.8311766225743</v>
      </c>
      <c r="T78">
        <f t="shared" ref="T78" si="369">S78/1000</f>
        <v>7.4368311766225741</v>
      </c>
    </row>
    <row r="79" spans="1:20" x14ac:dyDescent="0.25">
      <c r="A79" s="5">
        <v>44514</v>
      </c>
      <c r="B79">
        <v>0.46939999999999998</v>
      </c>
      <c r="C79">
        <v>0.50219999999999998</v>
      </c>
      <c r="D79">
        <v>0.4652</v>
      </c>
      <c r="E79">
        <v>0.4914</v>
      </c>
      <c r="F79">
        <v>22368635</v>
      </c>
      <c r="G79">
        <v>0.4914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0.41621621621621713</v>
      </c>
      <c r="Q79">
        <f t="shared" ref="Q79" si="371">F79*P79</f>
        <v>9310188.6216216423</v>
      </c>
      <c r="R79">
        <f t="shared" ref="R79" si="372">R80+Q79</f>
        <v>744584157.69400346</v>
      </c>
      <c r="S79">
        <f t="shared" ref="S79" si="373">R79/100000</f>
        <v>7445.8415769400344</v>
      </c>
      <c r="T79">
        <f t="shared" ref="T79" si="374">S79/1000</f>
        <v>7.4458415769400341</v>
      </c>
    </row>
    <row r="80" spans="1:20" x14ac:dyDescent="0.25">
      <c r="A80" s="5">
        <v>44513</v>
      </c>
      <c r="B80">
        <v>0.45669999999999999</v>
      </c>
      <c r="C80">
        <v>0.47220000000000001</v>
      </c>
      <c r="D80">
        <v>0.45629999999999998</v>
      </c>
      <c r="E80">
        <v>0.46910000000000002</v>
      </c>
      <c r="F80">
        <v>8102806</v>
      </c>
      <c r="G80">
        <v>0.46910000000000002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0.61006289308176265</v>
      </c>
      <c r="Q80">
        <f t="shared" ref="Q80" si="376">F80*P80</f>
        <v>4943221.2704402646</v>
      </c>
      <c r="R80">
        <f t="shared" ref="R80" si="377">R81+Q80</f>
        <v>735273969.07238185</v>
      </c>
      <c r="S80">
        <f t="shared" ref="S80" si="378">R80/100000</f>
        <v>7352.739690723819</v>
      </c>
      <c r="T80">
        <f t="shared" ref="T80" si="379">S80/1000</f>
        <v>7.3527396907238192</v>
      </c>
    </row>
    <row r="81" spans="1:20" x14ac:dyDescent="0.25">
      <c r="A81" s="5">
        <v>44512</v>
      </c>
      <c r="B81">
        <v>0.46650000000000003</v>
      </c>
      <c r="C81">
        <v>0.46910000000000002</v>
      </c>
      <c r="D81">
        <v>0.44169999999999998</v>
      </c>
      <c r="E81">
        <v>0.45650000000000002</v>
      </c>
      <c r="F81">
        <v>9148423</v>
      </c>
      <c r="G81">
        <v>0.45650000000000002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8.0291970802920887E-2</v>
      </c>
      <c r="Q81">
        <f t="shared" ref="Q81" si="381">F81*P81</f>
        <v>734544.91240876995</v>
      </c>
      <c r="R81">
        <f t="shared" ref="R81" si="382">R82+Q81</f>
        <v>730330747.80194163</v>
      </c>
      <c r="S81">
        <f t="shared" ref="S81" si="383">R81/100000</f>
        <v>7303.3074780194165</v>
      </c>
      <c r="T81">
        <f t="shared" ref="T81" si="384">S81/1000</f>
        <v>7.3033074780194163</v>
      </c>
    </row>
    <row r="82" spans="1:20" x14ac:dyDescent="0.25">
      <c r="A82" s="5">
        <v>44511</v>
      </c>
      <c r="B82">
        <v>0.4617</v>
      </c>
      <c r="C82">
        <v>0.47549999999999998</v>
      </c>
      <c r="D82">
        <v>0.45119999999999999</v>
      </c>
      <c r="E82">
        <v>0.46700000000000003</v>
      </c>
      <c r="F82">
        <v>15015977</v>
      </c>
      <c r="G82">
        <v>0.46700000000000003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0.30041152263374848</v>
      </c>
      <c r="Q82">
        <f t="shared" ref="Q82" si="386">F82*P82</f>
        <v>4510972.5144033469</v>
      </c>
      <c r="R82">
        <f t="shared" ref="R82" si="387">R83+Q82</f>
        <v>729596202.8895328</v>
      </c>
      <c r="S82">
        <f t="shared" ref="S82" si="388">R82/100000</f>
        <v>7295.9620288953283</v>
      </c>
      <c r="T82">
        <f t="shared" ref="T82" si="389">S82/1000</f>
        <v>7.2959620288953282</v>
      </c>
    </row>
    <row r="83" spans="1:20" x14ac:dyDescent="0.25">
      <c r="A83" s="5">
        <v>44510</v>
      </c>
      <c r="B83">
        <v>0.4909</v>
      </c>
      <c r="C83">
        <v>0.50409999999999999</v>
      </c>
      <c r="D83">
        <v>0.42499999999999999</v>
      </c>
      <c r="E83">
        <v>0.46160000000000001</v>
      </c>
      <c r="F83">
        <v>27534261</v>
      </c>
      <c r="G83">
        <v>0.46160000000000001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-7.4589127686472315E-2</v>
      </c>
      <c r="Q83">
        <f t="shared" ref="Q83" si="391">F83*P83</f>
        <v>-2053756.509481655</v>
      </c>
      <c r="R83">
        <f t="shared" ref="R83" si="392">R84+Q83</f>
        <v>725085230.37512946</v>
      </c>
      <c r="S83">
        <f t="shared" ref="S83" si="393">R83/100000</f>
        <v>7250.852303751295</v>
      </c>
      <c r="T83">
        <f t="shared" ref="T83" si="394">S83/1000</f>
        <v>7.2508523037512953</v>
      </c>
    </row>
    <row r="84" spans="1:20" x14ac:dyDescent="0.25">
      <c r="A84" s="5">
        <v>44509</v>
      </c>
      <c r="B84">
        <v>0.49109999999999998</v>
      </c>
      <c r="C84">
        <v>0.502</v>
      </c>
      <c r="D84">
        <v>0.48</v>
      </c>
      <c r="E84">
        <v>0.49070000000000003</v>
      </c>
      <c r="F84">
        <v>17589462</v>
      </c>
      <c r="G84">
        <v>0.49070000000000003</v>
      </c>
      <c r="L84" t="s">
        <v>7</v>
      </c>
      <c r="M84" t="s">
        <v>8</v>
      </c>
      <c r="N84" t="s">
        <v>7</v>
      </c>
      <c r="P84">
        <f t="shared" ref="P84" si="395">IF(C84=D84,0,((E84-D84)-(C84-E84))/(C84-D84))</f>
        <v>-2.7272727272724246E-2</v>
      </c>
      <c r="Q84">
        <f t="shared" ref="Q84" si="396">F84*P84</f>
        <v>-479712.59999994677</v>
      </c>
      <c r="R84">
        <f t="shared" ref="R84" si="397">R85+Q84</f>
        <v>727138986.88461113</v>
      </c>
      <c r="S84">
        <f t="shared" ref="S84" si="398">R84/100000</f>
        <v>7271.3898688461113</v>
      </c>
      <c r="T84">
        <f t="shared" ref="T84" si="399">S84/1000</f>
        <v>7.2713898688461116</v>
      </c>
    </row>
    <row r="85" spans="1:20" x14ac:dyDescent="0.25">
      <c r="A85" s="5">
        <v>44508</v>
      </c>
      <c r="B85">
        <v>0.49070000000000003</v>
      </c>
      <c r="C85">
        <v>0.50349999999999995</v>
      </c>
      <c r="D85">
        <v>0.47460000000000002</v>
      </c>
      <c r="E85">
        <v>0.49109999999999998</v>
      </c>
      <c r="F85">
        <v>15535634</v>
      </c>
      <c r="G85">
        <v>0.49109999999999998</v>
      </c>
      <c r="L85" t="s">
        <v>7</v>
      </c>
      <c r="M85" t="s">
        <v>8</v>
      </c>
      <c r="N85" t="s">
        <v>7</v>
      </c>
      <c r="P85">
        <f t="shared" ref="P85" si="400">IF(C85=D85,0,((E85-D85)-(C85-E85))/(C85-D85))</f>
        <v>0.14186851211072676</v>
      </c>
      <c r="Q85">
        <f t="shared" ref="Q85" si="401">F85*P85</f>
        <v>2204017.2802768187</v>
      </c>
      <c r="R85">
        <f t="shared" ref="R85" si="402">R86+Q85</f>
        <v>727618699.48461103</v>
      </c>
      <c r="S85">
        <f t="shared" ref="S85" si="403">R85/100000</f>
        <v>7276.1869948461108</v>
      </c>
      <c r="T85">
        <f t="shared" ref="T85" si="404">S85/1000</f>
        <v>7.2761869948461104</v>
      </c>
    </row>
    <row r="86" spans="1:20" x14ac:dyDescent="0.25">
      <c r="A86" s="5">
        <v>44507</v>
      </c>
      <c r="B86">
        <v>0.49919999999999998</v>
      </c>
      <c r="C86">
        <v>0.50560000000000005</v>
      </c>
      <c r="D86">
        <v>0.48580000000000001</v>
      </c>
      <c r="E86">
        <v>0.49070000000000003</v>
      </c>
      <c r="F86">
        <v>8714136</v>
      </c>
      <c r="G86">
        <v>0.49070000000000003</v>
      </c>
      <c r="L86" t="s">
        <v>7</v>
      </c>
      <c r="M86" t="s">
        <v>8</v>
      </c>
      <c r="N86" t="s">
        <v>7</v>
      </c>
      <c r="P86">
        <f t="shared" ref="P86" si="405">IF(C86=D86,0,((E86-D86)-(C86-E86))/(C86-D86))</f>
        <v>-0.50505050505050453</v>
      </c>
      <c r="Q86">
        <f t="shared" ref="Q86" si="406">F86*P86</f>
        <v>-4401078.7878787834</v>
      </c>
      <c r="R86">
        <f t="shared" ref="R86" si="407">R87+Q86</f>
        <v>725414682.20433426</v>
      </c>
      <c r="S86">
        <f t="shared" ref="S86" si="408">R86/100000</f>
        <v>7254.1468220433426</v>
      </c>
      <c r="T86">
        <f t="shared" ref="T86" si="409">S86/1000</f>
        <v>7.2541468220433423</v>
      </c>
    </row>
    <row r="87" spans="1:20" x14ac:dyDescent="0.25">
      <c r="A87" s="5">
        <v>44506</v>
      </c>
      <c r="B87">
        <v>0.51359999999999995</v>
      </c>
      <c r="C87">
        <v>0.51380000000000003</v>
      </c>
      <c r="D87">
        <v>0.47539999999999999</v>
      </c>
      <c r="E87">
        <v>0.49890000000000001</v>
      </c>
      <c r="F87">
        <v>11863505</v>
      </c>
      <c r="G87">
        <v>0.49890000000000001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0.22395833333333298</v>
      </c>
      <c r="Q87">
        <f t="shared" ref="Q87" si="411">F87*P87</f>
        <v>2656930.8072916623</v>
      </c>
      <c r="R87">
        <f t="shared" ref="R87" si="412">R88+Q87</f>
        <v>729815760.99221301</v>
      </c>
      <c r="S87">
        <f t="shared" ref="S87" si="413">R87/100000</f>
        <v>7298.1576099221302</v>
      </c>
      <c r="T87">
        <f t="shared" ref="T87" si="414">S87/1000</f>
        <v>7.2981576099221304</v>
      </c>
    </row>
    <row r="88" spans="1:20" x14ac:dyDescent="0.25">
      <c r="A88" s="5">
        <v>44505</v>
      </c>
      <c r="B88">
        <v>0.4914</v>
      </c>
      <c r="C88">
        <v>0.51700000000000002</v>
      </c>
      <c r="D88">
        <v>0.48920000000000002</v>
      </c>
      <c r="E88">
        <v>0.51349999999999996</v>
      </c>
      <c r="F88">
        <v>27863485</v>
      </c>
      <c r="G88">
        <v>0.51349999999999996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0.74820143884891654</v>
      </c>
      <c r="Q88">
        <f t="shared" ref="Q88" si="416">F88*P88</f>
        <v>20847499.568345204</v>
      </c>
      <c r="R88">
        <f t="shared" ref="R88" si="417">R89+Q88</f>
        <v>727158830.18492138</v>
      </c>
      <c r="S88">
        <f t="shared" ref="S88" si="418">R88/100000</f>
        <v>7271.5883018492141</v>
      </c>
      <c r="T88">
        <f t="shared" ref="T88" si="419">S88/1000</f>
        <v>7.2715883018492145</v>
      </c>
    </row>
    <row r="89" spans="1:20" x14ac:dyDescent="0.25">
      <c r="A89" s="5">
        <v>44504</v>
      </c>
      <c r="B89">
        <v>0.49080000000000001</v>
      </c>
      <c r="C89">
        <v>0.53979999999999995</v>
      </c>
      <c r="D89">
        <v>0.47639999999999999</v>
      </c>
      <c r="E89">
        <v>0.49159999999999998</v>
      </c>
      <c r="F89">
        <v>47489166</v>
      </c>
      <c r="G89">
        <v>0.49159999999999998</v>
      </c>
      <c r="L89" t="s">
        <v>8</v>
      </c>
      <c r="M89" t="s">
        <v>8</v>
      </c>
      <c r="N89" t="s">
        <v>7</v>
      </c>
      <c r="P89">
        <f t="shared" ref="P89" si="420">IF(C89=D89,0,((E89-D89)-(C89-E89))/(C89-D89))</f>
        <v>-0.52050473186119872</v>
      </c>
      <c r="Q89">
        <f t="shared" ref="Q89" si="421">F89*P89</f>
        <v>-24718335.615141954</v>
      </c>
      <c r="R89">
        <f t="shared" ref="R89" si="422">R90+Q89</f>
        <v>706311330.61657619</v>
      </c>
      <c r="S89">
        <f t="shared" ref="S89" si="423">R89/100000</f>
        <v>7063.113306165762</v>
      </c>
      <c r="T89">
        <f t="shared" ref="T89" si="424">S89/1000</f>
        <v>7.0631133061657616</v>
      </c>
    </row>
    <row r="90" spans="1:20" x14ac:dyDescent="0.25">
      <c r="A90" s="5">
        <v>44503</v>
      </c>
      <c r="B90">
        <v>0.49669999999999997</v>
      </c>
      <c r="C90">
        <v>0.51719999999999999</v>
      </c>
      <c r="D90">
        <v>0.4541</v>
      </c>
      <c r="E90">
        <v>0.49080000000000001</v>
      </c>
      <c r="F90">
        <v>53728373</v>
      </c>
      <c r="G90">
        <v>0.49080000000000001</v>
      </c>
      <c r="L90" t="s">
        <v>8</v>
      </c>
      <c r="M90" t="s">
        <v>7</v>
      </c>
      <c r="N90" t="s">
        <v>7</v>
      </c>
      <c r="P90">
        <f t="shared" ref="P90" si="425">IF(C90=D90,0,((E90-D90)-(C90-E90))/(C90-D90))</f>
        <v>0.16323296354992128</v>
      </c>
      <c r="Q90">
        <f t="shared" ref="Q90" si="426">F90*P90</f>
        <v>8770241.551505575</v>
      </c>
      <c r="R90">
        <f t="shared" ref="R90" si="427">R91+Q90</f>
        <v>731029666.23171818</v>
      </c>
      <c r="S90">
        <f t="shared" ref="S90" si="428">R90/100000</f>
        <v>7310.2966623171815</v>
      </c>
      <c r="T90">
        <f t="shared" ref="T90" si="429">S90/1000</f>
        <v>7.3102966623171817</v>
      </c>
    </row>
    <row r="91" spans="1:20" x14ac:dyDescent="0.25">
      <c r="A91" s="5">
        <v>44502</v>
      </c>
      <c r="B91">
        <v>0.47789999999999999</v>
      </c>
      <c r="C91">
        <v>0.49840000000000001</v>
      </c>
      <c r="D91">
        <v>0.46150000000000002</v>
      </c>
      <c r="E91">
        <v>0.4975</v>
      </c>
      <c r="F91">
        <v>29225103</v>
      </c>
      <c r="G91">
        <v>0.4975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0.95121951219512124</v>
      </c>
      <c r="Q91">
        <f t="shared" ref="Q91" si="431">F91*P91</f>
        <v>27799488.219512176</v>
      </c>
      <c r="R91">
        <f t="shared" ref="R91" si="432">R92+Q91</f>
        <v>722259424.68021262</v>
      </c>
      <c r="S91">
        <f t="shared" ref="S91" si="433">R91/100000</f>
        <v>7222.5942468021258</v>
      </c>
      <c r="T91">
        <f t="shared" ref="T91" si="434">S91/1000</f>
        <v>7.2225942468021254</v>
      </c>
    </row>
    <row r="92" spans="1:20" x14ac:dyDescent="0.25">
      <c r="A92" s="5">
        <v>44501</v>
      </c>
      <c r="B92">
        <v>0.47189999999999999</v>
      </c>
      <c r="C92">
        <v>0.49130000000000001</v>
      </c>
      <c r="D92">
        <v>0.43990000000000001</v>
      </c>
      <c r="E92">
        <v>0.47820000000000001</v>
      </c>
      <c r="F92">
        <v>49000335</v>
      </c>
      <c r="G92">
        <v>0.47820000000000001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0.49027237354085601</v>
      </c>
      <c r="Q92">
        <f t="shared" ref="Q92" si="436">F92*P92</f>
        <v>24023510.544747081</v>
      </c>
      <c r="R92">
        <f t="shared" ref="R92" si="437">R93+Q92</f>
        <v>694459936.46070039</v>
      </c>
      <c r="S92">
        <f t="shared" ref="S92" si="438">R92/100000</f>
        <v>6944.5993646070037</v>
      </c>
      <c r="T92">
        <f t="shared" ref="T92" si="439">S92/1000</f>
        <v>6.9445993646070034</v>
      </c>
    </row>
    <row r="93" spans="1:20" x14ac:dyDescent="0.25">
      <c r="A93" s="5">
        <v>44500</v>
      </c>
      <c r="B93">
        <v>0.47610000000000002</v>
      </c>
      <c r="C93">
        <v>0.66710000000000003</v>
      </c>
      <c r="D93">
        <v>0.45639999999999997</v>
      </c>
      <c r="E93">
        <v>0.47170000000000001</v>
      </c>
      <c r="F93">
        <v>179472988</v>
      </c>
      <c r="G93">
        <v>0.47170000000000001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-0.85476981490270498</v>
      </c>
      <c r="Q93">
        <f t="shared" ref="Q93" si="441">F93*P93</f>
        <v>-153408092.73279539</v>
      </c>
      <c r="R93">
        <f t="shared" ref="R93" si="442">R94+Q93</f>
        <v>670436425.91595328</v>
      </c>
      <c r="S93">
        <f t="shared" ref="S93" si="443">R93/100000</f>
        <v>6704.3642591595326</v>
      </c>
      <c r="T93">
        <f t="shared" ref="T93" si="444">S93/1000</f>
        <v>6.7043642591595329</v>
      </c>
    </row>
    <row r="94" spans="1:20" x14ac:dyDescent="0.25">
      <c r="A94" s="5">
        <v>44499</v>
      </c>
      <c r="B94">
        <v>0.46460000000000001</v>
      </c>
      <c r="C94">
        <v>0.47989999999999999</v>
      </c>
      <c r="D94">
        <v>0.44800000000000001</v>
      </c>
      <c r="E94">
        <v>0.47599999999999998</v>
      </c>
      <c r="F94">
        <v>22460093</v>
      </c>
      <c r="G94">
        <v>0.47599999999999998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0.75548589341692685</v>
      </c>
      <c r="Q94">
        <f t="shared" ref="Q94" si="446">F94*P94</f>
        <v>16968283.426332265</v>
      </c>
      <c r="R94">
        <f t="shared" ref="R94" si="447">R95+Q94</f>
        <v>823844518.64874864</v>
      </c>
      <c r="S94">
        <f t="shared" ref="S94" si="448">R94/100000</f>
        <v>8238.4451864874864</v>
      </c>
      <c r="T94">
        <f t="shared" ref="T94" si="449">S94/1000</f>
        <v>8.2384451864874855</v>
      </c>
    </row>
    <row r="95" spans="1:20" x14ac:dyDescent="0.25">
      <c r="A95" s="5">
        <v>44498</v>
      </c>
      <c r="B95">
        <v>0.43909999999999999</v>
      </c>
      <c r="C95">
        <v>0.46679999999999999</v>
      </c>
      <c r="D95">
        <v>0.43530000000000002</v>
      </c>
      <c r="E95">
        <v>0.46460000000000001</v>
      </c>
      <c r="F95">
        <v>19882958</v>
      </c>
      <c r="G95">
        <v>0.46460000000000001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0.86031746031746148</v>
      </c>
      <c r="Q95">
        <f t="shared" ref="Q95" si="451">F95*P95</f>
        <v>17105655.930158753</v>
      </c>
      <c r="R95">
        <f t="shared" ref="R95" si="452">R96+Q95</f>
        <v>806876235.2224164</v>
      </c>
      <c r="S95">
        <f t="shared" ref="S95" si="453">R95/100000</f>
        <v>8068.7623522241638</v>
      </c>
      <c r="T95">
        <f t="shared" ref="T95" si="454">S95/1000</f>
        <v>8.068762352224164</v>
      </c>
    </row>
    <row r="96" spans="1:20" x14ac:dyDescent="0.25">
      <c r="A96" s="5">
        <v>44497</v>
      </c>
      <c r="B96">
        <v>0.41930000000000001</v>
      </c>
      <c r="C96">
        <v>0.44240000000000002</v>
      </c>
      <c r="D96">
        <v>0.40870000000000001</v>
      </c>
      <c r="E96">
        <v>0.43890000000000001</v>
      </c>
      <c r="F96">
        <v>11292537</v>
      </c>
      <c r="G96">
        <v>0.43890000000000001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0.79228486646884255</v>
      </c>
      <c r="Q96">
        <f t="shared" ref="Q96" si="456">F96*P96</f>
        <v>8946906.1691394635</v>
      </c>
      <c r="R96">
        <f t="shared" ref="R96" si="457">R97+Q96</f>
        <v>789770579.29225767</v>
      </c>
      <c r="S96">
        <f t="shared" ref="S96" si="458">R96/100000</f>
        <v>7897.7057929225766</v>
      </c>
      <c r="T96">
        <f t="shared" ref="T96" si="459">S96/1000</f>
        <v>7.8977057929225767</v>
      </c>
    </row>
    <row r="97" spans="1:20" x14ac:dyDescent="0.25">
      <c r="A97" s="5">
        <v>44496</v>
      </c>
      <c r="B97">
        <v>0.4834</v>
      </c>
      <c r="C97">
        <v>0.48359999999999997</v>
      </c>
      <c r="D97">
        <v>0.38319999999999999</v>
      </c>
      <c r="E97">
        <v>0.41870000000000002</v>
      </c>
      <c r="F97">
        <v>27615361</v>
      </c>
      <c r="G97">
        <v>0.41870000000000002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-0.29282868525896344</v>
      </c>
      <c r="Q97">
        <f t="shared" ref="Q97" si="461">F97*P97</f>
        <v>-8086569.8545816541</v>
      </c>
      <c r="R97">
        <f t="shared" ref="R97" si="462">R98+Q97</f>
        <v>780823673.12311816</v>
      </c>
      <c r="S97">
        <f t="shared" ref="S97" si="463">R97/100000</f>
        <v>7808.2367312311817</v>
      </c>
      <c r="T97">
        <f t="shared" ref="T97" si="464">S97/1000</f>
        <v>7.8082367312311813</v>
      </c>
    </row>
    <row r="98" spans="1:20" x14ac:dyDescent="0.25">
      <c r="A98" s="5">
        <v>44495</v>
      </c>
      <c r="B98">
        <v>0.47899999999999998</v>
      </c>
      <c r="C98">
        <v>0.49640000000000001</v>
      </c>
      <c r="D98">
        <v>0.47120000000000001</v>
      </c>
      <c r="E98">
        <v>0.48349999999999999</v>
      </c>
      <c r="F98">
        <v>11678060</v>
      </c>
      <c r="G98">
        <v>0.48349999999999999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-2.3809523809525591E-2</v>
      </c>
      <c r="Q98">
        <f t="shared" ref="Q98" si="466">F98*P98</f>
        <v>-278049.04761906841</v>
      </c>
      <c r="R98">
        <f t="shared" ref="R98" si="467">R99+Q98</f>
        <v>788910242.97769988</v>
      </c>
      <c r="S98">
        <f t="shared" ref="S98" si="468">R98/100000</f>
        <v>7889.1024297769991</v>
      </c>
      <c r="T98">
        <f t="shared" ref="T98" si="469">S98/1000</f>
        <v>7.8891024297769992</v>
      </c>
    </row>
    <row r="99" spans="1:20" x14ac:dyDescent="0.25">
      <c r="A99" s="5">
        <v>44494</v>
      </c>
      <c r="B99">
        <v>0.46910000000000002</v>
      </c>
      <c r="C99">
        <v>0.4834</v>
      </c>
      <c r="D99">
        <v>0.46789999999999998</v>
      </c>
      <c r="E99">
        <v>0.47889999999999999</v>
      </c>
      <c r="F99">
        <v>5756892</v>
      </c>
      <c r="G99">
        <v>0.47889999999999999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0.41935483870967744</v>
      </c>
      <c r="Q99">
        <f t="shared" ref="Q99" si="471">F99*P99</f>
        <v>2414180.5161290322</v>
      </c>
      <c r="R99">
        <f t="shared" ref="R99" si="472">R100+Q99</f>
        <v>789188292.02531898</v>
      </c>
      <c r="S99">
        <f t="shared" ref="S99" si="473">R99/100000</f>
        <v>7891.8829202531897</v>
      </c>
      <c r="T99">
        <f t="shared" ref="T99" si="474">S99/1000</f>
        <v>7.8918829202531899</v>
      </c>
    </row>
    <row r="100" spans="1:20" x14ac:dyDescent="0.25">
      <c r="A100" s="5">
        <v>44493</v>
      </c>
      <c r="B100">
        <v>0.48159999999999997</v>
      </c>
      <c r="C100">
        <v>0.4819</v>
      </c>
      <c r="D100">
        <v>0.4556</v>
      </c>
      <c r="E100">
        <v>0.46929999999999999</v>
      </c>
      <c r="F100">
        <v>7161275</v>
      </c>
      <c r="G100">
        <v>0.46929999999999999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4.1825095057033849E-2</v>
      </c>
      <c r="Q100">
        <f t="shared" ref="Q100" si="476">F100*P100</f>
        <v>299521.00760456006</v>
      </c>
      <c r="R100">
        <f t="shared" ref="R100" si="477">R101+Q100</f>
        <v>786774111.50918996</v>
      </c>
      <c r="S100">
        <f t="shared" ref="S100" si="478">R100/100000</f>
        <v>7867.7411150918997</v>
      </c>
      <c r="T100">
        <f t="shared" ref="T100" si="479">S100/1000</f>
        <v>7.8677411150919001</v>
      </c>
    </row>
    <row r="101" spans="1:20" x14ac:dyDescent="0.25">
      <c r="A101" s="5">
        <v>44492</v>
      </c>
      <c r="B101">
        <v>0.47799999999999998</v>
      </c>
      <c r="C101">
        <v>0.4829</v>
      </c>
      <c r="D101">
        <v>0.46729999999999999</v>
      </c>
      <c r="E101">
        <v>0.48139999999999999</v>
      </c>
      <c r="F101">
        <v>5833420</v>
      </c>
      <c r="G101">
        <v>0.48139999999999999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0.8076923076923076</v>
      </c>
      <c r="Q101">
        <f t="shared" ref="Q101" si="481">F101*P101</f>
        <v>4711608.461538461</v>
      </c>
      <c r="R101">
        <f t="shared" ref="R101" si="482">R102+Q101</f>
        <v>786474590.50158536</v>
      </c>
      <c r="S101">
        <f t="shared" ref="S101" si="483">R101/100000</f>
        <v>7864.7459050158541</v>
      </c>
      <c r="T101">
        <f t="shared" ref="T101" si="484">S101/1000</f>
        <v>7.8647459050158544</v>
      </c>
    </row>
    <row r="102" spans="1:20" x14ac:dyDescent="0.25">
      <c r="A102" s="5">
        <v>44491</v>
      </c>
      <c r="B102">
        <v>0.4677</v>
      </c>
      <c r="C102">
        <v>0.48549999999999999</v>
      </c>
      <c r="D102">
        <v>0.46479999999999999</v>
      </c>
      <c r="E102">
        <v>0.47820000000000001</v>
      </c>
      <c r="F102">
        <v>8180092</v>
      </c>
      <c r="G102">
        <v>0.47820000000000001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0.29468599033816673</v>
      </c>
      <c r="Q102">
        <f t="shared" ref="Q102" si="486">F102*P102</f>
        <v>2410558.5120773148</v>
      </c>
      <c r="R102">
        <f t="shared" ref="R102" si="487">R103+Q102</f>
        <v>781762982.04004693</v>
      </c>
      <c r="S102">
        <f t="shared" ref="S102" si="488">R102/100000</f>
        <v>7817.6298204004697</v>
      </c>
      <c r="T102">
        <f t="shared" ref="T102" si="489">S102/1000</f>
        <v>7.8176298204004695</v>
      </c>
    </row>
    <row r="103" spans="1:20" x14ac:dyDescent="0.25">
      <c r="A103" s="5">
        <v>44490</v>
      </c>
      <c r="B103">
        <v>0.48620000000000002</v>
      </c>
      <c r="C103">
        <v>0.4945</v>
      </c>
      <c r="D103">
        <v>0.46089999999999998</v>
      </c>
      <c r="E103">
        <v>0.4672</v>
      </c>
      <c r="F103">
        <v>11781892</v>
      </c>
      <c r="G103">
        <v>0.4672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-0.62499999999999856</v>
      </c>
      <c r="Q103">
        <f t="shared" ref="Q103" si="491">F103*P103</f>
        <v>-7363682.4999999832</v>
      </c>
      <c r="R103">
        <f t="shared" ref="R103" si="492">R104+Q103</f>
        <v>779352423.5279696</v>
      </c>
      <c r="S103">
        <f t="shared" ref="S103" si="493">R103/100000</f>
        <v>7793.5242352796959</v>
      </c>
      <c r="T103">
        <f t="shared" ref="T103" si="494">S103/1000</f>
        <v>7.7935242352796958</v>
      </c>
    </row>
    <row r="104" spans="1:20" x14ac:dyDescent="0.25">
      <c r="A104" s="5">
        <v>44489</v>
      </c>
      <c r="B104">
        <v>0.47349999999999998</v>
      </c>
      <c r="C104">
        <v>0.48909999999999998</v>
      </c>
      <c r="D104">
        <v>0.4632</v>
      </c>
      <c r="E104">
        <v>0.4864</v>
      </c>
      <c r="F104">
        <v>10428857</v>
      </c>
      <c r="G104">
        <v>0.4864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0.79150579150579281</v>
      </c>
      <c r="Q104">
        <f t="shared" ref="Q104" si="496">F104*P104</f>
        <v>8254500.7142857276</v>
      </c>
      <c r="R104">
        <f t="shared" ref="R104" si="497">R105+Q104</f>
        <v>786716106.0279696</v>
      </c>
      <c r="S104">
        <f t="shared" ref="S104" si="498">R104/100000</f>
        <v>7867.1610602796964</v>
      </c>
      <c r="T104">
        <f t="shared" ref="T104" si="499">S104/1000</f>
        <v>7.8671610602796962</v>
      </c>
    </row>
    <row r="105" spans="1:20" x14ac:dyDescent="0.25">
      <c r="A105" s="5">
        <v>44488</v>
      </c>
      <c r="B105">
        <v>0.47310000000000002</v>
      </c>
      <c r="C105">
        <v>0.4773</v>
      </c>
      <c r="D105">
        <v>0.4627</v>
      </c>
      <c r="E105">
        <v>0.47389999999999999</v>
      </c>
      <c r="F105">
        <v>8351148</v>
      </c>
      <c r="G105">
        <v>0.47389999999999999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0.53424657534246389</v>
      </c>
      <c r="Q105">
        <f t="shared" ref="Q105" si="501">F105*P105</f>
        <v>4461572.2191780666</v>
      </c>
      <c r="R105">
        <f t="shared" ref="R105" si="502">R106+Q105</f>
        <v>778461605.31368387</v>
      </c>
      <c r="S105">
        <f t="shared" ref="S105" si="503">R105/100000</f>
        <v>7784.6160531368387</v>
      </c>
      <c r="T105">
        <f t="shared" ref="T105" si="504">S105/1000</f>
        <v>7.7846160531368387</v>
      </c>
    </row>
    <row r="106" spans="1:20" x14ac:dyDescent="0.25">
      <c r="A106" s="5">
        <v>44487</v>
      </c>
      <c r="B106">
        <v>0.46949999999999997</v>
      </c>
      <c r="C106">
        <v>0.47639999999999999</v>
      </c>
      <c r="D106">
        <v>0.45839999999999997</v>
      </c>
      <c r="E106">
        <v>0.47289999999999999</v>
      </c>
      <c r="F106">
        <v>11438660</v>
      </c>
      <c r="G106">
        <v>0.47289999999999999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0.61111111111111116</v>
      </c>
      <c r="Q106">
        <f t="shared" ref="Q106" si="506">F106*P106</f>
        <v>6990292.2222222229</v>
      </c>
      <c r="R106">
        <f t="shared" ref="R106" si="507">R107+Q106</f>
        <v>774000033.09450579</v>
      </c>
      <c r="S106">
        <f t="shared" ref="S106" si="508">R106/100000</f>
        <v>7740.0003309450576</v>
      </c>
      <c r="T106">
        <f t="shared" ref="T106" si="509">S106/1000</f>
        <v>7.7400003309450573</v>
      </c>
    </row>
    <row r="107" spans="1:20" x14ac:dyDescent="0.25">
      <c r="A107" s="5">
        <v>44486</v>
      </c>
      <c r="B107">
        <v>0.48249999999999998</v>
      </c>
      <c r="C107">
        <v>0.48570000000000002</v>
      </c>
      <c r="D107">
        <v>0.45300000000000001</v>
      </c>
      <c r="E107">
        <v>0.46929999999999999</v>
      </c>
      <c r="F107">
        <v>11097086</v>
      </c>
      <c r="G107">
        <v>0.46929999999999999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-3.0581039755365282E-3</v>
      </c>
      <c r="Q107">
        <f t="shared" ref="Q107" si="511">F107*P107</f>
        <v>-33936.042813470747</v>
      </c>
      <c r="R107">
        <f t="shared" ref="R107" si="512">R108+Q107</f>
        <v>767009740.87228358</v>
      </c>
      <c r="S107">
        <f t="shared" ref="S107" si="513">R107/100000</f>
        <v>7670.097408722836</v>
      </c>
      <c r="T107">
        <f t="shared" ref="T107" si="514">S107/1000</f>
        <v>7.6700974087228362</v>
      </c>
    </row>
    <row r="108" spans="1:20" x14ac:dyDescent="0.25">
      <c r="A108" s="5">
        <v>44485</v>
      </c>
      <c r="B108">
        <v>0.48120000000000002</v>
      </c>
      <c r="C108">
        <v>0.4945</v>
      </c>
      <c r="D108">
        <v>0.47299999999999998</v>
      </c>
      <c r="E108">
        <v>0.48170000000000002</v>
      </c>
      <c r="F108">
        <v>20620454</v>
      </c>
      <c r="G108">
        <v>0.48170000000000002</v>
      </c>
      <c r="L108" t="s">
        <v>7</v>
      </c>
      <c r="M108" t="s">
        <v>8</v>
      </c>
      <c r="N108" t="s">
        <v>8</v>
      </c>
      <c r="P108">
        <f t="shared" ref="P108" si="515">IF(C108=D108,0,((E108-D108)-(C108-E108))/(C108-D108))</f>
        <v>-0.19069767441860155</v>
      </c>
      <c r="Q108">
        <f t="shared" ref="Q108" si="516">F108*P108</f>
        <v>-3932272.6232557502</v>
      </c>
      <c r="R108">
        <f t="shared" ref="R108" si="517">R109+Q108</f>
        <v>767043676.915097</v>
      </c>
      <c r="S108">
        <f t="shared" ref="S108" si="518">R108/100000</f>
        <v>7670.4367691509697</v>
      </c>
      <c r="T108">
        <f t="shared" ref="T108" si="519">S108/1000</f>
        <v>7.6704367691509701</v>
      </c>
    </row>
    <row r="109" spans="1:20" x14ac:dyDescent="0.25">
      <c r="A109" s="5">
        <v>44484</v>
      </c>
      <c r="B109">
        <v>0.51160000000000005</v>
      </c>
      <c r="C109">
        <v>0.5423</v>
      </c>
      <c r="D109">
        <v>0.4677</v>
      </c>
      <c r="E109">
        <v>0.48120000000000002</v>
      </c>
      <c r="F109">
        <v>36419027</v>
      </c>
      <c r="G109">
        <v>0.48120000000000002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-0.63806970509383343</v>
      </c>
      <c r="Q109">
        <f t="shared" ref="Q109" si="521">F109*P109</f>
        <v>-23237877.817694359</v>
      </c>
      <c r="R109">
        <f t="shared" ref="R109" si="522">R110+Q109</f>
        <v>770975949.53835273</v>
      </c>
      <c r="S109">
        <f t="shared" ref="S109" si="523">R109/100000</f>
        <v>7709.7594953835269</v>
      </c>
      <c r="T109">
        <f t="shared" ref="T109" si="524">S109/1000</f>
        <v>7.7097594953835271</v>
      </c>
    </row>
    <row r="110" spans="1:20" x14ac:dyDescent="0.25">
      <c r="A110" s="5">
        <v>44483</v>
      </c>
      <c r="B110">
        <v>0.505</v>
      </c>
      <c r="C110">
        <v>0.51349999999999996</v>
      </c>
      <c r="D110">
        <v>0.49919999999999998</v>
      </c>
      <c r="E110">
        <v>0.51080000000000003</v>
      </c>
      <c r="F110">
        <v>9079178</v>
      </c>
      <c r="G110">
        <v>0.51080000000000003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0.62237762237763239</v>
      </c>
      <c r="Q110">
        <f t="shared" ref="Q110" si="526">F110*P110</f>
        <v>5650677.2167833075</v>
      </c>
      <c r="R110">
        <f t="shared" ref="R110" si="527">R111+Q110</f>
        <v>794213827.35604703</v>
      </c>
      <c r="S110">
        <f t="shared" ref="S110" si="528">R110/100000</f>
        <v>7942.1382735604702</v>
      </c>
      <c r="T110">
        <f t="shared" ref="T110" si="529">S110/1000</f>
        <v>7.9421382735604702</v>
      </c>
    </row>
    <row r="111" spans="1:20" x14ac:dyDescent="0.25">
      <c r="A111" s="5">
        <v>44482</v>
      </c>
      <c r="B111">
        <v>0.48859999999999998</v>
      </c>
      <c r="C111">
        <v>0.51</v>
      </c>
      <c r="D111">
        <v>0.47649999999999998</v>
      </c>
      <c r="E111">
        <v>0.505</v>
      </c>
      <c r="F111">
        <v>10721797</v>
      </c>
      <c r="G111">
        <v>0.505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0.70149253731343286</v>
      </c>
      <c r="Q111">
        <f t="shared" ref="Q111" si="531">F111*P111</f>
        <v>7521260.5820895527</v>
      </c>
      <c r="R111">
        <f t="shared" ref="R111" si="532">R112+Q111</f>
        <v>788563150.13926375</v>
      </c>
      <c r="S111">
        <f t="shared" ref="S111" si="533">R111/100000</f>
        <v>7885.6315013926378</v>
      </c>
      <c r="T111">
        <f t="shared" ref="T111" si="534">S111/1000</f>
        <v>7.8856315013926377</v>
      </c>
    </row>
    <row r="112" spans="1:20" x14ac:dyDescent="0.25">
      <c r="A112" s="5">
        <v>44481</v>
      </c>
      <c r="B112">
        <v>0.4965</v>
      </c>
      <c r="C112">
        <v>0.4965</v>
      </c>
      <c r="D112">
        <v>0.45240000000000002</v>
      </c>
      <c r="E112">
        <v>0.48820000000000002</v>
      </c>
      <c r="F112">
        <v>13721661</v>
      </c>
      <c r="G112">
        <v>0.48820000000000002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0.62358276643991029</v>
      </c>
      <c r="Q112">
        <f t="shared" ref="Q112" si="536">F112*P112</f>
        <v>8556591.326530626</v>
      </c>
      <c r="R112">
        <f t="shared" ref="R112" si="537">R113+Q112</f>
        <v>781041889.55717421</v>
      </c>
      <c r="S112">
        <f t="shared" ref="S112" si="538">R112/100000</f>
        <v>7810.4188955717418</v>
      </c>
      <c r="T112">
        <f t="shared" ref="T112" si="539">S112/1000</f>
        <v>7.8104188955717415</v>
      </c>
    </row>
    <row r="113" spans="1:20" x14ac:dyDescent="0.25">
      <c r="A113" s="5">
        <v>44480</v>
      </c>
      <c r="B113">
        <v>0.50029999999999997</v>
      </c>
      <c r="C113">
        <v>0.51900000000000002</v>
      </c>
      <c r="D113">
        <v>0.48149999999999998</v>
      </c>
      <c r="E113">
        <v>0.49669999999999997</v>
      </c>
      <c r="F113">
        <v>17619359</v>
      </c>
      <c r="G113">
        <v>0.49669999999999997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-0.18933333333333452</v>
      </c>
      <c r="Q113">
        <f t="shared" ref="Q113" si="541">F113*P113</f>
        <v>-3335931.9706666875</v>
      </c>
      <c r="R113">
        <f t="shared" ref="R113" si="542">R114+Q113</f>
        <v>772485298.23064363</v>
      </c>
      <c r="S113">
        <f t="shared" ref="S113" si="543">R113/100000</f>
        <v>7724.8529823064364</v>
      </c>
      <c r="T113">
        <f t="shared" ref="T113" si="544">S113/1000</f>
        <v>7.7248529823064365</v>
      </c>
    </row>
    <row r="114" spans="1:20" x14ac:dyDescent="0.25">
      <c r="A114" s="5">
        <v>44479</v>
      </c>
      <c r="B114">
        <v>0.52759999999999996</v>
      </c>
      <c r="C114">
        <v>0.5353</v>
      </c>
      <c r="D114">
        <v>0.49559999999999998</v>
      </c>
      <c r="E114">
        <v>0.50080000000000002</v>
      </c>
      <c r="F114">
        <v>17566008</v>
      </c>
      <c r="G114">
        <v>0.50080000000000002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-0.73803526448362533</v>
      </c>
      <c r="Q114">
        <f t="shared" ref="Q114" si="546">F114*P114</f>
        <v>-12964333.360201478</v>
      </c>
      <c r="R114">
        <f t="shared" ref="R114" si="547">R115+Q114</f>
        <v>775821230.20131028</v>
      </c>
      <c r="S114">
        <f t="shared" ref="S114" si="548">R114/100000</f>
        <v>7758.212302013103</v>
      </c>
      <c r="T114">
        <f t="shared" ref="T114" si="549">S114/1000</f>
        <v>7.7582123020131029</v>
      </c>
    </row>
    <row r="115" spans="1:20" x14ac:dyDescent="0.25">
      <c r="A115" s="5">
        <v>44478</v>
      </c>
      <c r="B115">
        <v>0.56950000000000001</v>
      </c>
      <c r="C115">
        <v>0.5917</v>
      </c>
      <c r="D115">
        <v>0.51770000000000005</v>
      </c>
      <c r="E115">
        <v>0.5282</v>
      </c>
      <c r="F115">
        <v>29861638</v>
      </c>
      <c r="G115">
        <v>0.5282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-0.71621621621621734</v>
      </c>
      <c r="Q115">
        <f t="shared" ref="Q115" si="551">F115*P115</f>
        <v>-21387389.378378414</v>
      </c>
      <c r="R115">
        <f t="shared" ref="R115" si="552">R116+Q115</f>
        <v>788785563.56151175</v>
      </c>
      <c r="S115">
        <f t="shared" ref="S115" si="553">R115/100000</f>
        <v>7887.8556356151175</v>
      </c>
      <c r="T115">
        <f t="shared" ref="T115" si="554">S115/1000</f>
        <v>7.8878556356151179</v>
      </c>
    </row>
    <row r="116" spans="1:20" x14ac:dyDescent="0.25">
      <c r="A116" s="5">
        <v>44477</v>
      </c>
      <c r="B116">
        <v>0.54830000000000001</v>
      </c>
      <c r="C116">
        <v>0.57120000000000004</v>
      </c>
      <c r="D116">
        <v>0.52270000000000005</v>
      </c>
      <c r="E116">
        <v>0.56889999999999996</v>
      </c>
      <c r="F116">
        <v>25175344</v>
      </c>
      <c r="G116">
        <v>0.56889999999999996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0.90515463917525441</v>
      </c>
      <c r="Q116">
        <f t="shared" ref="Q116" si="556">F116*P116</f>
        <v>22787579.414432906</v>
      </c>
      <c r="R116">
        <f t="shared" ref="R116" si="557">R117+Q116</f>
        <v>810172952.93989015</v>
      </c>
      <c r="S116">
        <f t="shared" ref="S116" si="558">R116/100000</f>
        <v>8101.7295293989018</v>
      </c>
      <c r="T116">
        <f t="shared" ref="T116" si="559">S116/1000</f>
        <v>8.1017295293989022</v>
      </c>
    </row>
    <row r="117" spans="1:20" x14ac:dyDescent="0.25">
      <c r="A117" s="5">
        <v>44476</v>
      </c>
      <c r="B117">
        <v>0.5554</v>
      </c>
      <c r="C117">
        <v>0.55600000000000005</v>
      </c>
      <c r="D117">
        <v>0.51749999999999996</v>
      </c>
      <c r="E117">
        <v>0.54790000000000005</v>
      </c>
      <c r="F117">
        <v>20085701</v>
      </c>
      <c r="G117">
        <v>0.54790000000000005</v>
      </c>
      <c r="L117" t="s">
        <v>7</v>
      </c>
      <c r="M117" t="s">
        <v>8</v>
      </c>
      <c r="N117" t="s">
        <v>8</v>
      </c>
      <c r="P117">
        <f t="shared" ref="P117" si="560">IF(C117=D117,0,((E117-D117)-(C117-E117))/(C117-D117))</f>
        <v>0.57922077922078041</v>
      </c>
      <c r="Q117">
        <f t="shared" ref="Q117" si="561">F117*P117</f>
        <v>11634055.384415608</v>
      </c>
      <c r="R117">
        <f t="shared" ref="R117" si="562">R118+Q117</f>
        <v>787385373.52545726</v>
      </c>
      <c r="S117">
        <f t="shared" ref="S117" si="563">R117/100000</f>
        <v>7873.8537352545727</v>
      </c>
      <c r="T117">
        <f t="shared" ref="T117" si="564">S117/1000</f>
        <v>7.8738537352545723</v>
      </c>
    </row>
    <row r="118" spans="1:20" x14ac:dyDescent="0.25">
      <c r="A118" s="5">
        <v>44475</v>
      </c>
      <c r="B118">
        <v>0.52410000000000001</v>
      </c>
      <c r="C118">
        <v>0.59079999999999999</v>
      </c>
      <c r="D118">
        <v>0.502</v>
      </c>
      <c r="E118">
        <v>0.55589999999999995</v>
      </c>
      <c r="F118">
        <v>68457855</v>
      </c>
      <c r="G118">
        <v>0.55589999999999995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0.21396396396396292</v>
      </c>
      <c r="Q118">
        <f t="shared" ref="Q118" si="566">F118*P118</f>
        <v>14647514.020270199</v>
      </c>
      <c r="R118">
        <f t="shared" ref="R118" si="567">R119+Q118</f>
        <v>775751318.14104164</v>
      </c>
      <c r="S118">
        <f t="shared" ref="S118" si="568">R118/100000</f>
        <v>7757.5131814104161</v>
      </c>
      <c r="T118">
        <f t="shared" ref="T118" si="569">S118/1000</f>
        <v>7.7575131814104159</v>
      </c>
    </row>
    <row r="119" spans="1:20" x14ac:dyDescent="0.25">
      <c r="A119" s="5">
        <v>44474</v>
      </c>
      <c r="B119">
        <v>0.51139999999999997</v>
      </c>
      <c r="C119">
        <v>0.53739999999999999</v>
      </c>
      <c r="D119">
        <v>0.49340000000000001</v>
      </c>
      <c r="E119">
        <v>0.52390000000000003</v>
      </c>
      <c r="F119">
        <v>27780138</v>
      </c>
      <c r="G119">
        <v>0.52390000000000003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0.38636363636363813</v>
      </c>
      <c r="Q119">
        <f t="shared" ref="Q119" si="571">F119*P119</f>
        <v>10733235.136363685</v>
      </c>
      <c r="R119">
        <f t="shared" ref="R119" si="572">R120+Q119</f>
        <v>761103804.12077141</v>
      </c>
      <c r="S119">
        <f t="shared" ref="S119" si="573">R119/100000</f>
        <v>7611.0380412077138</v>
      </c>
      <c r="T119">
        <f t="shared" ref="T119" si="574">S119/1000</f>
        <v>7.6110380412077134</v>
      </c>
    </row>
    <row r="120" spans="1:20" x14ac:dyDescent="0.25">
      <c r="A120" s="5">
        <v>44473</v>
      </c>
      <c r="B120">
        <v>0.51910000000000001</v>
      </c>
      <c r="C120">
        <v>0.53839999999999999</v>
      </c>
      <c r="D120">
        <v>0.48620000000000002</v>
      </c>
      <c r="E120">
        <v>0.5091</v>
      </c>
      <c r="F120">
        <v>30728622</v>
      </c>
      <c r="G120">
        <v>0.5091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-0.12260536398467473</v>
      </c>
      <c r="Q120">
        <f t="shared" ref="Q120" si="576">F120*P120</f>
        <v>-3767493.8850574833</v>
      </c>
      <c r="R120">
        <f t="shared" ref="R120" si="577">R121+Q120</f>
        <v>750370568.98440766</v>
      </c>
      <c r="S120">
        <f t="shared" ref="S120" si="578">R120/100000</f>
        <v>7503.7056898440769</v>
      </c>
      <c r="T120">
        <f t="shared" ref="T120" si="579">S120/1000</f>
        <v>7.503705689844077</v>
      </c>
    </row>
    <row r="121" spans="1:20" x14ac:dyDescent="0.25">
      <c r="A121" s="5">
        <v>44472</v>
      </c>
      <c r="B121">
        <v>0.47399999999999998</v>
      </c>
      <c r="C121">
        <v>0.55000000000000004</v>
      </c>
      <c r="D121">
        <v>0.47049999999999997</v>
      </c>
      <c r="E121">
        <v>0.51070000000000004</v>
      </c>
      <c r="F121">
        <v>40290567</v>
      </c>
      <c r="G121">
        <v>0.51070000000000004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1.1320754716981969E-2</v>
      </c>
      <c r="Q121">
        <f t="shared" ref="Q121" si="581">F121*P121</f>
        <v>456119.62641512806</v>
      </c>
      <c r="R121">
        <f t="shared" ref="R121" si="582">R122+Q121</f>
        <v>754138062.86946511</v>
      </c>
      <c r="S121">
        <f t="shared" ref="S121" si="583">R121/100000</f>
        <v>7541.380628694651</v>
      </c>
      <c r="T121">
        <f t="shared" ref="T121" si="584">S121/1000</f>
        <v>7.5413806286946512</v>
      </c>
    </row>
    <row r="122" spans="1:20" x14ac:dyDescent="0.25">
      <c r="A122" s="5">
        <v>44471</v>
      </c>
      <c r="B122">
        <v>0.47789999999999999</v>
      </c>
      <c r="C122">
        <v>0.49440000000000001</v>
      </c>
      <c r="D122">
        <v>0.4642</v>
      </c>
      <c r="E122">
        <v>0.47449999999999998</v>
      </c>
      <c r="F122">
        <v>19524173</v>
      </c>
      <c r="G122">
        <v>0.47449999999999998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-0.31788079470198843</v>
      </c>
      <c r="Q122">
        <f t="shared" ref="Q122" si="586">F122*P122</f>
        <v>-6206359.6291391058</v>
      </c>
      <c r="R122">
        <f t="shared" ref="R122" si="587">R123+Q122</f>
        <v>753681943.24304998</v>
      </c>
      <c r="S122">
        <f t="shared" ref="S122" si="588">R122/100000</f>
        <v>7536.8194324304995</v>
      </c>
      <c r="T122">
        <f t="shared" ref="T122" si="589">S122/1000</f>
        <v>7.5368194324304998</v>
      </c>
    </row>
    <row r="123" spans="1:20" x14ac:dyDescent="0.25">
      <c r="A123" s="5">
        <v>44470</v>
      </c>
      <c r="B123">
        <v>0.43480000000000002</v>
      </c>
      <c r="C123">
        <v>0.4798</v>
      </c>
      <c r="D123">
        <v>0.43330000000000002</v>
      </c>
      <c r="E123">
        <v>0.4778</v>
      </c>
      <c r="F123">
        <v>34238527</v>
      </c>
      <c r="G123">
        <v>0.4778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0.91397849462365577</v>
      </c>
      <c r="Q123">
        <f t="shared" ref="Q123" si="591">F123*P123</f>
        <v>31293277.365591392</v>
      </c>
      <c r="R123">
        <f t="shared" ref="R123" si="592">R124+Q123</f>
        <v>759888302.87218904</v>
      </c>
      <c r="S123">
        <f t="shared" ref="S123" si="593">R123/100000</f>
        <v>7598.8830287218907</v>
      </c>
      <c r="T123">
        <f t="shared" ref="T123" si="594">S123/1000</f>
        <v>7.5988830287218905</v>
      </c>
    </row>
    <row r="124" spans="1:20" x14ac:dyDescent="0.25">
      <c r="A124" s="5">
        <v>44469</v>
      </c>
      <c r="B124">
        <v>0.39639999999999997</v>
      </c>
      <c r="C124">
        <v>0.46</v>
      </c>
      <c r="D124">
        <v>0.3926</v>
      </c>
      <c r="E124">
        <v>0.43480000000000002</v>
      </c>
      <c r="F124">
        <v>45371141</v>
      </c>
      <c r="G124">
        <v>0.43480000000000002</v>
      </c>
      <c r="L124" t="s">
        <v>8</v>
      </c>
      <c r="M124" t="s">
        <v>8</v>
      </c>
      <c r="N124" t="s">
        <v>8</v>
      </c>
      <c r="P124">
        <f t="shared" ref="P124" si="595">IF(C124=D124,0,((E124-D124)-(C124-E124))/(C124-D124))</f>
        <v>0.25222551928783399</v>
      </c>
      <c r="Q124">
        <f t="shared" ref="Q124" si="596">F124*P124</f>
        <v>11443759.599406535</v>
      </c>
      <c r="R124">
        <f t="shared" ref="R124" si="597">R125+Q124</f>
        <v>728595025.50659764</v>
      </c>
      <c r="S124">
        <f t="shared" ref="S124" si="598">R124/100000</f>
        <v>7285.9502550659763</v>
      </c>
      <c r="T124">
        <f t="shared" ref="T124" si="599">S124/1000</f>
        <v>7.285950255065976</v>
      </c>
    </row>
    <row r="125" spans="1:20" x14ac:dyDescent="0.25">
      <c r="A125" s="5">
        <v>44468</v>
      </c>
      <c r="B125">
        <v>0.39279999999999998</v>
      </c>
      <c r="C125">
        <v>0.41449999999999998</v>
      </c>
      <c r="D125">
        <v>0.38769999999999999</v>
      </c>
      <c r="E125">
        <v>0.39650000000000002</v>
      </c>
      <c r="F125">
        <v>11664053</v>
      </c>
      <c r="G125">
        <v>0.39650000000000002</v>
      </c>
      <c r="L125" t="s">
        <v>7</v>
      </c>
      <c r="M125" t="s">
        <v>7</v>
      </c>
      <c r="N125" t="s">
        <v>8</v>
      </c>
      <c r="P125">
        <f t="shared" ref="P125" si="600">IF(C125=D125,0,((E125-D125)-(C125-E125))/(C125-D125))</f>
        <v>-0.34328358208954979</v>
      </c>
      <c r="Q125">
        <f t="shared" ref="Q125" si="601">F125*P125</f>
        <v>-4004077.8955223593</v>
      </c>
      <c r="R125">
        <f t="shared" ref="R125" si="602">R126+Q125</f>
        <v>717151265.90719116</v>
      </c>
      <c r="S125">
        <f t="shared" ref="S125" si="603">R125/100000</f>
        <v>7171.5126590719119</v>
      </c>
      <c r="T125">
        <f t="shared" ref="T125" si="604">S125/1000</f>
        <v>7.1715126590719116</v>
      </c>
    </row>
    <row r="126" spans="1:20" x14ac:dyDescent="0.25">
      <c r="A126" s="5">
        <v>44467</v>
      </c>
      <c r="B126">
        <v>0.41470000000000001</v>
      </c>
      <c r="C126">
        <v>0.42909999999999998</v>
      </c>
      <c r="D126">
        <v>0.39119999999999999</v>
      </c>
      <c r="E126">
        <v>0.39350000000000002</v>
      </c>
      <c r="F126">
        <v>12687095</v>
      </c>
      <c r="G126">
        <v>0.39350000000000002</v>
      </c>
      <c r="L126" t="s">
        <v>7</v>
      </c>
      <c r="M126" t="s">
        <v>7</v>
      </c>
      <c r="N126" t="s">
        <v>8</v>
      </c>
      <c r="P126">
        <f t="shared" ref="P126" si="605">IF(C126=D126,0,((E126-D126)-(C126-E126))/(C126-D126))</f>
        <v>-0.8786279683377296</v>
      </c>
      <c r="Q126">
        <f t="shared" ref="Q126" si="606">F126*P126</f>
        <v>-11147236.503957767</v>
      </c>
      <c r="R126">
        <f t="shared" ref="R126" si="607">R127+Q126</f>
        <v>721155343.80271351</v>
      </c>
      <c r="S126">
        <f t="shared" ref="S126" si="608">R126/100000</f>
        <v>7211.5534380271347</v>
      </c>
      <c r="T126">
        <f t="shared" ref="T126" si="609">S126/1000</f>
        <v>7.2115534380271349</v>
      </c>
    </row>
    <row r="127" spans="1:20" x14ac:dyDescent="0.25">
      <c r="A127" s="5">
        <v>44466</v>
      </c>
      <c r="B127">
        <v>0.43440000000000001</v>
      </c>
      <c r="C127">
        <v>0.4496</v>
      </c>
      <c r="D127">
        <v>0.4133</v>
      </c>
      <c r="E127">
        <v>0.41470000000000001</v>
      </c>
      <c r="F127">
        <v>14913610</v>
      </c>
      <c r="G127">
        <v>0.41470000000000001</v>
      </c>
      <c r="L127" t="s">
        <v>8</v>
      </c>
      <c r="M127" t="s">
        <v>7</v>
      </c>
      <c r="N127" t="s">
        <v>8</v>
      </c>
      <c r="P127">
        <f t="shared" ref="P127" si="610">IF(C127=D127,0,((E127-D127)-(C127-E127))/(C127-D127))</f>
        <v>-0.92286501377410401</v>
      </c>
      <c r="Q127">
        <f t="shared" ref="Q127" si="611">F127*P127</f>
        <v>-13763248.898071615</v>
      </c>
      <c r="R127">
        <f t="shared" ref="R127" si="612">R128+Q127</f>
        <v>732302580.30667126</v>
      </c>
      <c r="S127">
        <f t="shared" ref="S127" si="613">R127/100000</f>
        <v>7323.0258030667128</v>
      </c>
      <c r="T127">
        <f t="shared" ref="T127" si="614">S127/1000</f>
        <v>7.323025803066713</v>
      </c>
    </row>
    <row r="128" spans="1:20" x14ac:dyDescent="0.25">
      <c r="A128" s="5">
        <v>44465</v>
      </c>
      <c r="B128">
        <v>0.45610000000000001</v>
      </c>
      <c r="C128">
        <v>0.45629999999999998</v>
      </c>
      <c r="D128">
        <v>0.4052</v>
      </c>
      <c r="E128">
        <v>0.43490000000000001</v>
      </c>
      <c r="F128">
        <v>18026588</v>
      </c>
      <c r="G128">
        <v>0.43490000000000001</v>
      </c>
      <c r="L128" t="s">
        <v>7</v>
      </c>
      <c r="M128" t="s">
        <v>7</v>
      </c>
      <c r="N128" t="s">
        <v>8</v>
      </c>
      <c r="P128">
        <f t="shared" ref="P128" si="615">IF(C128=D128,0,((E128-D128)-(C128-E128))/(C128-D128))</f>
        <v>0.16242661448140966</v>
      </c>
      <c r="Q128">
        <f t="shared" ref="Q128" si="616">F128*P128</f>
        <v>2927997.6594912056</v>
      </c>
      <c r="R128">
        <f t="shared" ref="R128" si="617">R129+Q128</f>
        <v>746065829.20474291</v>
      </c>
      <c r="S128">
        <f t="shared" ref="S128" si="618">R128/100000</f>
        <v>7460.6582920474293</v>
      </c>
      <c r="T128">
        <f t="shared" ref="T128" si="619">S128/1000</f>
        <v>7.4606582920474294</v>
      </c>
    </row>
    <row r="129" spans="1:20" x14ac:dyDescent="0.25">
      <c r="A129" s="5">
        <v>44464</v>
      </c>
      <c r="B129">
        <v>0.48</v>
      </c>
      <c r="C129">
        <v>0.49719999999999998</v>
      </c>
      <c r="D129">
        <v>0.44450000000000001</v>
      </c>
      <c r="E129">
        <v>0.45629999999999998</v>
      </c>
      <c r="F129">
        <v>22202080</v>
      </c>
      <c r="G129">
        <v>0.45629999999999998</v>
      </c>
      <c r="L129" t="s">
        <v>8</v>
      </c>
      <c r="M129" t="s">
        <v>7</v>
      </c>
      <c r="N129" t="s">
        <v>8</v>
      </c>
      <c r="P129">
        <f t="shared" ref="P129" si="620">IF(C129=D129,0,((E129-D129)-(C129-E129))/(C129-D129))</f>
        <v>-0.5521821631878564</v>
      </c>
      <c r="Q129">
        <f t="shared" ref="Q129" si="621">F129*P129</f>
        <v>-12259592.561669843</v>
      </c>
      <c r="R129">
        <f t="shared" ref="R129" si="622">R130+Q129</f>
        <v>743137831.54525173</v>
      </c>
      <c r="S129">
        <f t="shared" ref="S129" si="623">R129/100000</f>
        <v>7431.3783154525172</v>
      </c>
      <c r="T129">
        <f t="shared" ref="T129" si="624">S129/1000</f>
        <v>7.431378315452517</v>
      </c>
    </row>
    <row r="130" spans="1:20" x14ac:dyDescent="0.25">
      <c r="A130" s="5">
        <v>44463</v>
      </c>
      <c r="B130">
        <v>0.53039999999999998</v>
      </c>
      <c r="C130">
        <v>0.54</v>
      </c>
      <c r="D130">
        <v>0.43590000000000001</v>
      </c>
      <c r="E130">
        <v>0.4803</v>
      </c>
      <c r="F130">
        <v>56509977</v>
      </c>
      <c r="G130">
        <v>0.4803</v>
      </c>
      <c r="L130" t="s">
        <v>7</v>
      </c>
      <c r="M130" t="s">
        <v>7</v>
      </c>
      <c r="N130" t="s">
        <v>8</v>
      </c>
      <c r="P130">
        <f t="shared" ref="P130" si="625">IF(C130=D130,0,((E130-D130)-(C130-E130))/(C130-D130))</f>
        <v>-0.14697406340057667</v>
      </c>
      <c r="Q130">
        <f t="shared" ref="Q130" si="626">F130*P130</f>
        <v>-8305500.9423631299</v>
      </c>
      <c r="R130">
        <f t="shared" ref="R130" si="627">R131+Q130</f>
        <v>755397424.10692155</v>
      </c>
      <c r="S130">
        <f t="shared" ref="S130" si="628">R130/100000</f>
        <v>7553.9742410692152</v>
      </c>
      <c r="T130">
        <f t="shared" ref="T130" si="629">S130/1000</f>
        <v>7.5539742410692154</v>
      </c>
    </row>
    <row r="131" spans="1:20" x14ac:dyDescent="0.25">
      <c r="A131" s="5">
        <v>44462</v>
      </c>
      <c r="B131">
        <v>0.42959999999999998</v>
      </c>
      <c r="C131">
        <v>0.53959999999999997</v>
      </c>
      <c r="D131">
        <v>0.4113</v>
      </c>
      <c r="E131">
        <v>0.53110000000000002</v>
      </c>
      <c r="F131">
        <v>82811710</v>
      </c>
      <c r="G131">
        <v>0.53110000000000002</v>
      </c>
      <c r="L131" t="s">
        <v>8</v>
      </c>
      <c r="M131" t="s">
        <v>8</v>
      </c>
      <c r="N131" t="s">
        <v>8</v>
      </c>
      <c r="P131">
        <f t="shared" ref="P131" si="630">IF(C131=D131,0,((E131-D131)-(C131-E131))/(C131-D131))</f>
        <v>0.8674980514419337</v>
      </c>
      <c r="Q131">
        <f t="shared" ref="Q131" si="631">F131*P131</f>
        <v>71838997.061574489</v>
      </c>
      <c r="R131">
        <f t="shared" ref="R131" si="632">R132+Q131</f>
        <v>763702925.0492847</v>
      </c>
      <c r="S131">
        <f t="shared" ref="S131" si="633">R131/100000</f>
        <v>7637.0292504928466</v>
      </c>
      <c r="T131">
        <f t="shared" ref="T131" si="634">S131/1000</f>
        <v>7.637029250492847</v>
      </c>
    </row>
    <row r="132" spans="1:20" x14ac:dyDescent="0.25">
      <c r="A132" s="5">
        <v>44461</v>
      </c>
      <c r="B132">
        <v>0.38169999999999998</v>
      </c>
      <c r="C132">
        <v>0.43259999999999998</v>
      </c>
      <c r="D132">
        <v>0.37180000000000002</v>
      </c>
      <c r="E132">
        <v>0.42970000000000003</v>
      </c>
      <c r="F132">
        <v>26767287</v>
      </c>
      <c r="G132">
        <v>0.42970000000000003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0.90460526315789602</v>
      </c>
      <c r="Q132">
        <f t="shared" ref="Q132" si="636">F132*P132</f>
        <v>24213828.70065793</v>
      </c>
      <c r="R132">
        <f t="shared" ref="R132" si="637">R133+Q132</f>
        <v>691863927.98771024</v>
      </c>
      <c r="S132">
        <f t="shared" ref="S132" si="638">R132/100000</f>
        <v>6918.6392798771021</v>
      </c>
      <c r="T132">
        <f t="shared" ref="T132" si="639">S132/1000</f>
        <v>6.9186392798771017</v>
      </c>
    </row>
    <row r="133" spans="1:20" x14ac:dyDescent="0.25">
      <c r="A133" s="5">
        <v>44460</v>
      </c>
      <c r="B133">
        <v>0.42</v>
      </c>
      <c r="C133">
        <v>0.43259999999999998</v>
      </c>
      <c r="D133">
        <v>0.37259999999999999</v>
      </c>
      <c r="E133">
        <v>0.38129999999999997</v>
      </c>
      <c r="F133">
        <v>27258586</v>
      </c>
      <c r="G133">
        <v>0.38129999999999997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-0.71000000000000052</v>
      </c>
      <c r="Q133">
        <f t="shared" ref="Q133" si="641">F133*P133</f>
        <v>-19353596.060000014</v>
      </c>
      <c r="R133">
        <f t="shared" ref="R133" si="642">R134+Q133</f>
        <v>667650099.28705227</v>
      </c>
      <c r="S133">
        <f t="shared" ref="S133" si="643">R133/100000</f>
        <v>6676.5009928705231</v>
      </c>
      <c r="T133">
        <f t="shared" ref="T133" si="644">S133/1000</f>
        <v>6.6765009928705235</v>
      </c>
    </row>
    <row r="134" spans="1:20" x14ac:dyDescent="0.25">
      <c r="A134" s="5">
        <v>44459</v>
      </c>
      <c r="B134">
        <v>0.49980000000000002</v>
      </c>
      <c r="C134">
        <v>0.50549999999999995</v>
      </c>
      <c r="D134">
        <v>0.43680000000000002</v>
      </c>
      <c r="E134">
        <v>0.44519999999999998</v>
      </c>
      <c r="F134">
        <v>16127128</v>
      </c>
      <c r="G134">
        <v>0.44519999999999998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-0.75545851528384367</v>
      </c>
      <c r="Q134">
        <f t="shared" ref="Q134" si="646">F134*P134</f>
        <v>-12183376.174672503</v>
      </c>
      <c r="R134">
        <f t="shared" ref="R134" si="647">R135+Q134</f>
        <v>687003695.34705234</v>
      </c>
      <c r="S134">
        <f t="shared" ref="S134" si="648">R134/100000</f>
        <v>6870.0369534705233</v>
      </c>
      <c r="T134">
        <f t="shared" ref="T134" si="649">S134/1000</f>
        <v>6.8700369534705237</v>
      </c>
    </row>
    <row r="135" spans="1:20" x14ac:dyDescent="0.25">
      <c r="A135" s="5">
        <v>44458</v>
      </c>
      <c r="B135">
        <v>0.53700000000000003</v>
      </c>
      <c r="C135">
        <v>0.53769999999999996</v>
      </c>
      <c r="D135">
        <v>0.47870000000000001</v>
      </c>
      <c r="E135">
        <v>0.49990000000000001</v>
      </c>
      <c r="F135">
        <v>23448939</v>
      </c>
      <c r="G135">
        <v>0.49990000000000001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-0.28135593220338923</v>
      </c>
      <c r="Q135">
        <f t="shared" ref="Q135" si="651">F135*P135</f>
        <v>-6597498.0915254094</v>
      </c>
      <c r="R135">
        <f t="shared" ref="R135" si="652">R136+Q135</f>
        <v>699187071.52172482</v>
      </c>
      <c r="S135">
        <f t="shared" ref="S135" si="653">R135/100000</f>
        <v>6991.8707152172483</v>
      </c>
      <c r="T135">
        <f t="shared" ref="T135" si="654">S135/1000</f>
        <v>6.9918707152172486</v>
      </c>
    </row>
    <row r="136" spans="1:20" x14ac:dyDescent="0.25">
      <c r="A136" s="5">
        <v>44457</v>
      </c>
      <c r="B136">
        <v>0.55030000000000001</v>
      </c>
      <c r="C136">
        <v>0.6</v>
      </c>
      <c r="D136">
        <v>0.52710000000000001</v>
      </c>
      <c r="E136">
        <v>0.53659999999999997</v>
      </c>
      <c r="F136">
        <v>22132271</v>
      </c>
      <c r="G136">
        <v>0.53659999999999997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-0.739368998628259</v>
      </c>
      <c r="Q136">
        <f t="shared" ref="Q136" si="656">F136*P136</f>
        <v>-16363915.046639256</v>
      </c>
      <c r="R136">
        <f t="shared" ref="R136" si="657">R137+Q136</f>
        <v>705784569.61325026</v>
      </c>
      <c r="S136">
        <f t="shared" ref="S136" si="658">R136/100000</f>
        <v>7057.8456961325028</v>
      </c>
      <c r="T136">
        <f t="shared" ref="T136" si="659">S136/1000</f>
        <v>7.0578456961325031</v>
      </c>
    </row>
    <row r="137" spans="1:20" x14ac:dyDescent="0.25">
      <c r="A137" s="5">
        <v>44456</v>
      </c>
      <c r="B137">
        <v>0.53649999999999998</v>
      </c>
      <c r="C137">
        <v>0.60499999999999998</v>
      </c>
      <c r="D137">
        <v>0.52100000000000002</v>
      </c>
      <c r="E137">
        <v>0.54979999999999996</v>
      </c>
      <c r="F137">
        <v>69925977</v>
      </c>
      <c r="G137">
        <v>0.54979999999999996</v>
      </c>
      <c r="L137" t="s">
        <v>8</v>
      </c>
      <c r="M137" t="s">
        <v>8</v>
      </c>
      <c r="N137" t="s">
        <v>7</v>
      </c>
      <c r="P137">
        <f t="shared" ref="P137" si="660">IF(C137=D137,0,((E137-D137)-(C137-E137))/(C137-D137))</f>
        <v>-0.3142857142857155</v>
      </c>
      <c r="Q137">
        <f t="shared" ref="Q137" si="661">F137*P137</f>
        <v>-21976735.628571514</v>
      </c>
      <c r="R137">
        <f t="shared" ref="R137" si="662">R138+Q137</f>
        <v>722148484.65988946</v>
      </c>
      <c r="S137">
        <f t="shared" ref="S137" si="663">R137/100000</f>
        <v>7221.4848465988944</v>
      </c>
      <c r="T137">
        <f t="shared" ref="T137" si="664">S137/1000</f>
        <v>7.2214848465988943</v>
      </c>
    </row>
    <row r="138" spans="1:20" x14ac:dyDescent="0.25">
      <c r="A138" s="5">
        <v>44455</v>
      </c>
      <c r="B138">
        <v>0.53139999999999998</v>
      </c>
      <c r="C138">
        <v>0.55389999999999995</v>
      </c>
      <c r="D138">
        <v>0.50860000000000005</v>
      </c>
      <c r="E138">
        <v>0.53620000000000001</v>
      </c>
      <c r="F138">
        <v>45475182</v>
      </c>
      <c r="G138">
        <v>0.53620000000000001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0.21854304635761684</v>
      </c>
      <c r="Q138">
        <f t="shared" ref="Q138" si="666">F138*P138</f>
        <v>9938284.8079470638</v>
      </c>
      <c r="R138">
        <f t="shared" ref="R138" si="667">R139+Q138</f>
        <v>744125220.28846097</v>
      </c>
      <c r="S138">
        <f t="shared" ref="S138" si="668">R138/100000</f>
        <v>7441.2522028846097</v>
      </c>
      <c r="T138">
        <f t="shared" ref="T138" si="669">S138/1000</f>
        <v>7.44125220288461</v>
      </c>
    </row>
    <row r="139" spans="1:20" x14ac:dyDescent="0.25">
      <c r="A139" s="5">
        <v>44454</v>
      </c>
      <c r="B139">
        <v>0.50529999999999997</v>
      </c>
      <c r="C139">
        <v>0.53949999999999998</v>
      </c>
      <c r="D139">
        <v>0.49640000000000001</v>
      </c>
      <c r="E139">
        <v>0.53129999999999999</v>
      </c>
      <c r="F139">
        <v>23600217</v>
      </c>
      <c r="G139">
        <v>0.53129999999999999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0.61948955916473358</v>
      </c>
      <c r="Q139">
        <f t="shared" ref="Q139" si="671">F139*P139</f>
        <v>14620088.025522051</v>
      </c>
      <c r="R139">
        <f t="shared" ref="R139" si="672">R140+Q139</f>
        <v>734186935.48051393</v>
      </c>
      <c r="S139">
        <f t="shared" ref="S139" si="673">R139/100000</f>
        <v>7341.8693548051397</v>
      </c>
      <c r="T139">
        <f t="shared" ref="T139" si="674">S139/1000</f>
        <v>7.3418693548051399</v>
      </c>
    </row>
    <row r="140" spans="1:20" x14ac:dyDescent="0.25">
      <c r="A140" s="5">
        <v>44453</v>
      </c>
      <c r="B140">
        <v>0.49270000000000003</v>
      </c>
      <c r="C140">
        <v>0.52100000000000002</v>
      </c>
      <c r="D140">
        <v>0.48759999999999998</v>
      </c>
      <c r="E140">
        <v>0.50560000000000005</v>
      </c>
      <c r="F140">
        <v>26024795</v>
      </c>
      <c r="G140">
        <v>0.50560000000000005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7.7844311377248468E-2</v>
      </c>
      <c r="Q140">
        <f t="shared" ref="Q140" si="676">F140*P140</f>
        <v>2025882.2455090589</v>
      </c>
      <c r="R140">
        <f t="shared" ref="R140" si="677">R141+Q140</f>
        <v>719566847.45499194</v>
      </c>
      <c r="S140">
        <f t="shared" ref="S140" si="678">R140/100000</f>
        <v>7195.6684745499197</v>
      </c>
      <c r="T140">
        <f t="shared" ref="T140" si="679">S140/1000</f>
        <v>7.1956684745499198</v>
      </c>
    </row>
    <row r="141" spans="1:20" x14ac:dyDescent="0.25">
      <c r="A141" s="5">
        <v>44452</v>
      </c>
      <c r="B141">
        <v>0.51939999999999997</v>
      </c>
      <c r="C141">
        <v>0.57489999999999997</v>
      </c>
      <c r="D141">
        <v>0.45700000000000002</v>
      </c>
      <c r="E141">
        <v>0.49270000000000003</v>
      </c>
      <c r="F141">
        <v>65905475</v>
      </c>
      <c r="G141">
        <v>0.49270000000000003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-0.39440203562340925</v>
      </c>
      <c r="Q141">
        <f t="shared" ref="Q141" si="681">F141*P141</f>
        <v>-25993253.498727709</v>
      </c>
      <c r="R141">
        <f t="shared" ref="R141" si="682">R142+Q141</f>
        <v>717540965.20948291</v>
      </c>
      <c r="S141">
        <f t="shared" ref="S141" si="683">R141/100000</f>
        <v>7175.4096520948287</v>
      </c>
      <c r="T141">
        <f t="shared" ref="T141" si="684">S141/1000</f>
        <v>7.1754096520948289</v>
      </c>
    </row>
    <row r="142" spans="1:20" x14ac:dyDescent="0.25">
      <c r="A142" s="5">
        <v>44451</v>
      </c>
      <c r="B142">
        <v>0.52580000000000005</v>
      </c>
      <c r="C142">
        <v>0.53239999999999998</v>
      </c>
      <c r="D142">
        <v>0.49609999999999999</v>
      </c>
      <c r="E142">
        <v>0.51929999999999998</v>
      </c>
      <c r="F142">
        <v>23056599</v>
      </c>
      <c r="G142">
        <v>0.51929999999999998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0.27823691460055089</v>
      </c>
      <c r="Q142">
        <f t="shared" ref="Q142" si="686">F142*P142</f>
        <v>6415196.9669421474</v>
      </c>
      <c r="R142">
        <f t="shared" ref="R142" si="687">R143+Q142</f>
        <v>743534218.70821059</v>
      </c>
      <c r="S142">
        <f t="shared" ref="S142" si="688">R142/100000</f>
        <v>7435.3421870821057</v>
      </c>
      <c r="T142">
        <f t="shared" ref="T142" si="689">S142/1000</f>
        <v>7.4353421870821057</v>
      </c>
    </row>
    <row r="143" spans="1:20" x14ac:dyDescent="0.25">
      <c r="A143" s="5">
        <v>44450</v>
      </c>
      <c r="B143">
        <v>0.52769999999999995</v>
      </c>
      <c r="C143">
        <v>0.55400000000000005</v>
      </c>
      <c r="D143">
        <v>0.51739999999999997</v>
      </c>
      <c r="E143">
        <v>0.52580000000000005</v>
      </c>
      <c r="F143">
        <v>23172182</v>
      </c>
      <c r="G143">
        <v>0.52580000000000005</v>
      </c>
      <c r="L143" t="s">
        <v>8</v>
      </c>
      <c r="M143" t="s">
        <v>7</v>
      </c>
      <c r="N143" t="s">
        <v>8</v>
      </c>
      <c r="P143">
        <f t="shared" ref="P143" si="690">IF(C143=D143,0,((E143-D143)-(C143-E143))/(C143-D143))</f>
        <v>-0.54098360655737399</v>
      </c>
      <c r="Q143">
        <f t="shared" ref="Q143" si="691">F143*P143</f>
        <v>-12535770.590163864</v>
      </c>
      <c r="R143">
        <f t="shared" ref="R143" si="692">R144+Q143</f>
        <v>737119021.7412684</v>
      </c>
      <c r="S143">
        <f t="shared" ref="S143" si="693">R143/100000</f>
        <v>7371.1902174126835</v>
      </c>
      <c r="T143">
        <f t="shared" ref="T143" si="694">S143/1000</f>
        <v>7.3711902174126838</v>
      </c>
    </row>
    <row r="144" spans="1:20" x14ac:dyDescent="0.25">
      <c r="A144" s="5">
        <v>44449</v>
      </c>
      <c r="B144">
        <v>0.58069999999999999</v>
      </c>
      <c r="C144">
        <v>0.58750000000000002</v>
      </c>
      <c r="D144">
        <v>0.4889</v>
      </c>
      <c r="E144">
        <v>0.52780000000000005</v>
      </c>
      <c r="F144">
        <v>37419142</v>
      </c>
      <c r="G144">
        <v>0.52780000000000005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-0.21095334685598302</v>
      </c>
      <c r="Q144">
        <f t="shared" ref="Q144" si="696">F144*P144</f>
        <v>-7893693.2413792824</v>
      </c>
      <c r="R144">
        <f t="shared" ref="R144" si="697">R145+Q144</f>
        <v>749654792.33143222</v>
      </c>
      <c r="S144">
        <f t="shared" ref="S144" si="698">R144/100000</f>
        <v>7496.5479233143224</v>
      </c>
      <c r="T144">
        <f t="shared" ref="T144" si="699">S144/1000</f>
        <v>7.4965479233143224</v>
      </c>
    </row>
    <row r="145" spans="1:20" x14ac:dyDescent="0.25">
      <c r="A145" s="5">
        <v>44448</v>
      </c>
      <c r="B145">
        <v>0.5343</v>
      </c>
      <c r="C145">
        <v>0.64859999999999995</v>
      </c>
      <c r="D145">
        <v>0.51970000000000005</v>
      </c>
      <c r="E145">
        <v>0.58130000000000004</v>
      </c>
      <c r="F145">
        <v>92396656</v>
      </c>
      <c r="G145">
        <v>0.58130000000000004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-4.42203258339793E-2</v>
      </c>
      <c r="Q145">
        <f t="shared" ref="Q145" si="701">F145*P145</f>
        <v>-4085810.2342900983</v>
      </c>
      <c r="R145">
        <f t="shared" ref="R145" si="702">R146+Q145</f>
        <v>757548485.57281148</v>
      </c>
      <c r="S145">
        <f t="shared" ref="S145" si="703">R145/100000</f>
        <v>7575.4848557281148</v>
      </c>
      <c r="T145">
        <f t="shared" ref="T145" si="704">S145/1000</f>
        <v>7.5754848557281145</v>
      </c>
    </row>
    <row r="146" spans="1:20" x14ac:dyDescent="0.25">
      <c r="A146" s="5">
        <v>44447</v>
      </c>
      <c r="B146">
        <v>0.50890000000000002</v>
      </c>
      <c r="C146">
        <v>0.54800000000000004</v>
      </c>
      <c r="D146">
        <v>0.46010000000000001</v>
      </c>
      <c r="E146">
        <v>0.53359999999999996</v>
      </c>
      <c r="F146">
        <v>73156006</v>
      </c>
      <c r="G146">
        <v>0.53359999999999996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0.6723549488054591</v>
      </c>
      <c r="Q146">
        <f t="shared" ref="Q146" si="706">F146*P146</f>
        <v>49186802.668941855</v>
      </c>
      <c r="R146">
        <f t="shared" ref="R146" si="707">R147+Q146</f>
        <v>761634295.80710161</v>
      </c>
      <c r="S146">
        <f t="shared" ref="S146" si="708">R146/100000</f>
        <v>7616.3429580710163</v>
      </c>
      <c r="T146">
        <f t="shared" ref="T146" si="709">S146/1000</f>
        <v>7.6163429580710167</v>
      </c>
    </row>
    <row r="147" spans="1:20" x14ac:dyDescent="0.25">
      <c r="A147" s="5">
        <v>44446</v>
      </c>
      <c r="B147">
        <v>0.63729999999999998</v>
      </c>
      <c r="C147">
        <v>0.68489999999999995</v>
      </c>
      <c r="D147">
        <v>0.41189999999999999</v>
      </c>
      <c r="E147">
        <v>0.50890000000000002</v>
      </c>
      <c r="F147">
        <v>125884753</v>
      </c>
      <c r="G147">
        <v>0.50890000000000002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-0.28937728937728907</v>
      </c>
      <c r="Q147">
        <f t="shared" ref="Q147" si="711">F147*P147</f>
        <v>-36428188.597069561</v>
      </c>
      <c r="R147">
        <f t="shared" ref="R147" si="712">R148+Q147</f>
        <v>712447493.13815975</v>
      </c>
      <c r="S147">
        <f t="shared" ref="S147" si="713">R147/100000</f>
        <v>7124.4749313815973</v>
      </c>
      <c r="T147">
        <f t="shared" ref="T147" si="714">S147/1000</f>
        <v>7.1244749313815969</v>
      </c>
    </row>
    <row r="148" spans="1:20" x14ac:dyDescent="0.25">
      <c r="A148" s="5">
        <v>44445</v>
      </c>
      <c r="B148">
        <v>0.62570000000000003</v>
      </c>
      <c r="C148">
        <v>0.65920000000000001</v>
      </c>
      <c r="D148">
        <v>0.58330000000000004</v>
      </c>
      <c r="E148">
        <v>0.63700000000000001</v>
      </c>
      <c r="F148">
        <v>142290747</v>
      </c>
      <c r="G148">
        <v>0.63700000000000001</v>
      </c>
      <c r="L148" t="s">
        <v>7</v>
      </c>
      <c r="M148" t="s">
        <v>7</v>
      </c>
      <c r="N148" t="s">
        <v>7</v>
      </c>
      <c r="P148">
        <f t="shared" ref="P148" si="715">IF(C148=D148,0,((E148-D148)-(C148-E148))/(C148-D148))</f>
        <v>0.41501976284584963</v>
      </c>
      <c r="Q148">
        <f t="shared" ref="Q148" si="716">F148*P148</f>
        <v>59053472.07509879</v>
      </c>
      <c r="R148">
        <f t="shared" ref="R148" si="717">R149+Q148</f>
        <v>748875681.73522925</v>
      </c>
      <c r="S148">
        <f t="shared" ref="S148" si="718">R148/100000</f>
        <v>7488.7568173522923</v>
      </c>
      <c r="T148">
        <f t="shared" ref="T148" si="719">S148/1000</f>
        <v>7.488756817352292</v>
      </c>
    </row>
    <row r="149" spans="1:20" x14ac:dyDescent="0.25">
      <c r="A149" s="5">
        <v>44444</v>
      </c>
      <c r="B149">
        <v>0.94430000000000003</v>
      </c>
      <c r="C149">
        <v>0.98</v>
      </c>
      <c r="D149">
        <v>0.61029999999999995</v>
      </c>
      <c r="E149">
        <v>0.62570000000000003</v>
      </c>
      <c r="F149">
        <v>268846462.39999998</v>
      </c>
      <c r="G149">
        <v>0.62570000000000003</v>
      </c>
      <c r="L149" t="s">
        <v>7</v>
      </c>
      <c r="M149" t="s">
        <v>7</v>
      </c>
      <c r="N149" t="s">
        <v>7</v>
      </c>
      <c r="P149">
        <f t="shared" ref="P149" si="720">IF(C149=D149,0,((E149-D149)-(C149-E149))/(C149-D149))</f>
        <v>-0.91668920746551219</v>
      </c>
      <c r="Q149">
        <f t="shared" ref="Q149" si="721">F149*P149</f>
        <v>-246448650.5473626</v>
      </c>
      <c r="R149">
        <f t="shared" ref="R149" si="722">R150+Q149</f>
        <v>689822209.6601305</v>
      </c>
      <c r="S149">
        <f t="shared" ref="S149" si="723">R149/100000</f>
        <v>6898.2220966013047</v>
      </c>
      <c r="T149">
        <f t="shared" ref="T149" si="724">S149/1000</f>
        <v>6.8982220966013044</v>
      </c>
    </row>
    <row r="150" spans="1:20" x14ac:dyDescent="0.25">
      <c r="A150" s="5">
        <v>44443</v>
      </c>
      <c r="B150">
        <v>0.39400000000000002</v>
      </c>
      <c r="C150">
        <v>0.97340000000000004</v>
      </c>
      <c r="D150">
        <v>0.3916</v>
      </c>
      <c r="E150">
        <v>0.94430000000000003</v>
      </c>
      <c r="F150">
        <v>493466456.5</v>
      </c>
      <c r="G150">
        <v>0.94430000000000003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0.89996562392574742</v>
      </c>
      <c r="Q150">
        <f t="shared" ref="Q150" si="726">F150*P150</f>
        <v>444102847.41045022</v>
      </c>
      <c r="R150">
        <f t="shared" ref="R150" si="727">R151+Q150</f>
        <v>936270860.20749307</v>
      </c>
      <c r="S150">
        <f t="shared" ref="S150" si="728">R150/100000</f>
        <v>9362.7086020749302</v>
      </c>
      <c r="T150">
        <f t="shared" ref="T150" si="729">S150/1000</f>
        <v>9.3627086020749299</v>
      </c>
    </row>
    <row r="151" spans="1:20" x14ac:dyDescent="0.25">
      <c r="A151" s="5">
        <v>44442</v>
      </c>
      <c r="B151">
        <v>0.35720000000000002</v>
      </c>
      <c r="C151">
        <v>0.40200000000000002</v>
      </c>
      <c r="D151">
        <v>0.34649999999999997</v>
      </c>
      <c r="E151">
        <v>0.39389999999999997</v>
      </c>
      <c r="F151">
        <v>48334800.799999997</v>
      </c>
      <c r="G151">
        <v>0.39389999999999997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0.70810810810810654</v>
      </c>
      <c r="Q151">
        <f t="shared" ref="Q151" si="731">F151*P151</f>
        <v>34226264.350270189</v>
      </c>
      <c r="R151">
        <f t="shared" ref="R151" si="732">R152+Q151</f>
        <v>492168012.79704291</v>
      </c>
      <c r="S151">
        <f t="shared" ref="S151" si="733">R151/100000</f>
        <v>4921.6801279704287</v>
      </c>
      <c r="T151">
        <f t="shared" ref="T151" si="734">S151/1000</f>
        <v>4.9216801279704283</v>
      </c>
    </row>
    <row r="152" spans="1:20" x14ac:dyDescent="0.25">
      <c r="A152" s="5">
        <v>44441</v>
      </c>
      <c r="B152">
        <v>0.35199999999999998</v>
      </c>
      <c r="C152">
        <v>0.36720000000000003</v>
      </c>
      <c r="D152">
        <v>0.34689999999999999</v>
      </c>
      <c r="E152">
        <v>0.35720000000000002</v>
      </c>
      <c r="F152">
        <v>17835500</v>
      </c>
      <c r="G152">
        <v>0.35720000000000002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1.4778325123153788E-2</v>
      </c>
      <c r="Q152">
        <f t="shared" ref="Q152" si="736">F152*P152</f>
        <v>263578.81773400935</v>
      </c>
      <c r="R152">
        <f t="shared" ref="R152" si="737">R153+Q152</f>
        <v>457941748.44677269</v>
      </c>
      <c r="S152">
        <f t="shared" ref="S152" si="738">R152/100000</f>
        <v>4579.4174844677273</v>
      </c>
      <c r="T152">
        <f t="shared" ref="T152" si="739">S152/1000</f>
        <v>4.5794174844677276</v>
      </c>
    </row>
    <row r="153" spans="1:20" x14ac:dyDescent="0.25">
      <c r="A153" s="5">
        <v>44440</v>
      </c>
      <c r="B153">
        <v>0.33979999999999999</v>
      </c>
      <c r="C153">
        <v>0.35499999999999998</v>
      </c>
      <c r="D153">
        <v>0.33250000000000002</v>
      </c>
      <c r="E153">
        <v>0.3523</v>
      </c>
      <c r="F153">
        <v>13780497</v>
      </c>
      <c r="G153">
        <v>0.3523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0.76000000000000134</v>
      </c>
      <c r="Q153">
        <f t="shared" ref="Q153" si="741">F153*P153</f>
        <v>10473177.720000019</v>
      </c>
      <c r="R153">
        <f t="shared" ref="R153" si="742">R154+Q153</f>
        <v>457678169.62903869</v>
      </c>
      <c r="S153">
        <f t="shared" ref="S153" si="743">R153/100000</f>
        <v>4576.7816962903871</v>
      </c>
      <c r="T153">
        <f t="shared" ref="T153" si="744">S153/1000</f>
        <v>4.5767816962903876</v>
      </c>
    </row>
    <row r="154" spans="1:20" x14ac:dyDescent="0.25">
      <c r="A154" s="5">
        <v>44439</v>
      </c>
      <c r="B154">
        <v>0.33400000000000002</v>
      </c>
      <c r="C154">
        <v>0.36349999999999999</v>
      </c>
      <c r="D154">
        <v>0.31969999999999998</v>
      </c>
      <c r="E154">
        <v>0.3402</v>
      </c>
      <c r="F154">
        <v>24612648</v>
      </c>
      <c r="G154">
        <v>0.3402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-6.3926940639268695E-2</v>
      </c>
      <c r="Q154">
        <f t="shared" ref="Q154" si="746">F154*P154</f>
        <v>-1573411.2876712154</v>
      </c>
      <c r="R154">
        <f t="shared" ref="R154" si="747">R155+Q154</f>
        <v>447204991.90903866</v>
      </c>
      <c r="S154">
        <f t="shared" ref="S154" si="748">R154/100000</f>
        <v>4472.0499190903865</v>
      </c>
      <c r="T154">
        <f t="shared" ref="T154" si="749">S154/1000</f>
        <v>4.4720499190903862</v>
      </c>
    </row>
    <row r="155" spans="1:20" x14ac:dyDescent="0.25">
      <c r="A155" s="5">
        <v>44438</v>
      </c>
      <c r="B155">
        <v>0.35289999999999999</v>
      </c>
      <c r="C155">
        <v>0.35339999999999999</v>
      </c>
      <c r="D155">
        <v>0.32990000000000003</v>
      </c>
      <c r="E155">
        <v>0.33429999999999999</v>
      </c>
      <c r="F155">
        <v>15466084</v>
      </c>
      <c r="G155">
        <v>0.33429999999999999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-0.62553191489361992</v>
      </c>
      <c r="Q155">
        <f t="shared" ref="Q155" si="751">F155*P155</f>
        <v>-9674529.1404255759</v>
      </c>
      <c r="R155">
        <f t="shared" ref="R155" si="752">R156+Q155</f>
        <v>448778403.19670987</v>
      </c>
      <c r="S155">
        <f t="shared" ref="S155" si="753">R155/100000</f>
        <v>4487.7840319670986</v>
      </c>
      <c r="T155">
        <f t="shared" ref="T155" si="754">S155/1000</f>
        <v>4.4877840319670987</v>
      </c>
    </row>
    <row r="156" spans="1:20" x14ac:dyDescent="0.25">
      <c r="A156" s="5">
        <v>44437</v>
      </c>
      <c r="B156">
        <v>0.34620000000000001</v>
      </c>
      <c r="C156">
        <v>0.36499999999999999</v>
      </c>
      <c r="D156">
        <v>0.32669999999999999</v>
      </c>
      <c r="E156">
        <v>0.3533</v>
      </c>
      <c r="F156">
        <v>22924980</v>
      </c>
      <c r="G156">
        <v>0.3533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0.38903394255874735</v>
      </c>
      <c r="Q156">
        <f t="shared" ref="Q156" si="756">F156*P156</f>
        <v>8918595.352480432</v>
      </c>
      <c r="R156">
        <f t="shared" ref="R156" si="757">R157+Q156</f>
        <v>458452932.33713543</v>
      </c>
      <c r="S156">
        <f t="shared" ref="S156" si="758">R156/100000</f>
        <v>4584.5293233713546</v>
      </c>
      <c r="T156">
        <f t="shared" ref="T156" si="759">S156/1000</f>
        <v>4.5845293233713544</v>
      </c>
    </row>
    <row r="157" spans="1:20" x14ac:dyDescent="0.25">
      <c r="A157" s="5">
        <v>44436</v>
      </c>
      <c r="B157">
        <v>0.34050000000000002</v>
      </c>
      <c r="C157">
        <v>0.35199999999999998</v>
      </c>
      <c r="D157">
        <v>0.33660000000000001</v>
      </c>
      <c r="E157">
        <v>0.3463</v>
      </c>
      <c r="F157">
        <v>15702578.1</v>
      </c>
      <c r="G157">
        <v>0.3463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0.25974025974026049</v>
      </c>
      <c r="Q157">
        <f t="shared" ref="Q157" si="761">F157*P157</f>
        <v>4078591.7142857262</v>
      </c>
      <c r="R157">
        <f t="shared" ref="R157" si="762">R158+Q157</f>
        <v>449534336.98465502</v>
      </c>
      <c r="S157">
        <f t="shared" ref="S157" si="763">R157/100000</f>
        <v>4495.3433698465506</v>
      </c>
      <c r="T157">
        <f t="shared" ref="T157" si="764">S157/1000</f>
        <v>4.4953433698465508</v>
      </c>
    </row>
    <row r="158" spans="1:20" x14ac:dyDescent="0.25">
      <c r="A158" s="5">
        <v>44435</v>
      </c>
      <c r="B158">
        <v>0.3216</v>
      </c>
      <c r="C158">
        <v>0.34179999999999999</v>
      </c>
      <c r="D158">
        <v>0.30259999999999998</v>
      </c>
      <c r="E158">
        <v>0.34</v>
      </c>
      <c r="F158">
        <v>23188437.800000001</v>
      </c>
      <c r="G158">
        <v>0.34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0.90816326530612412</v>
      </c>
      <c r="Q158">
        <f t="shared" ref="Q158" si="766">F158*P158</f>
        <v>21058887.389795959</v>
      </c>
      <c r="R158">
        <f t="shared" ref="R158" si="767">R159+Q158</f>
        <v>445455745.27036929</v>
      </c>
      <c r="S158">
        <f t="shared" ref="S158" si="768">R158/100000</f>
        <v>4454.5574527036933</v>
      </c>
      <c r="T158">
        <f t="shared" ref="T158" si="769">S158/1000</f>
        <v>4.4545574527036935</v>
      </c>
    </row>
    <row r="159" spans="1:20" x14ac:dyDescent="0.25">
      <c r="A159" s="5">
        <v>44434</v>
      </c>
      <c r="B159">
        <v>0.35630000000000001</v>
      </c>
      <c r="C159">
        <v>0.35937999999999998</v>
      </c>
      <c r="D159">
        <v>0.31536999999999998</v>
      </c>
      <c r="E159">
        <v>0.3216</v>
      </c>
      <c r="F159">
        <v>14280841.6</v>
      </c>
      <c r="G159">
        <v>0.3216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-0.71688252669847696</v>
      </c>
      <c r="Q159">
        <f t="shared" ref="Q159" si="771">F159*P159</f>
        <v>-10237685.809588721</v>
      </c>
      <c r="R159">
        <f t="shared" ref="R159" si="772">R160+Q159</f>
        <v>424396857.88057333</v>
      </c>
      <c r="S159">
        <f t="shared" ref="S159" si="773">R159/100000</f>
        <v>4243.9685788057332</v>
      </c>
      <c r="T159">
        <f t="shared" ref="T159" si="774">S159/1000</f>
        <v>4.2439685788057329</v>
      </c>
    </row>
    <row r="160" spans="1:20" x14ac:dyDescent="0.25">
      <c r="A160" s="5">
        <v>44433</v>
      </c>
      <c r="B160">
        <v>0.34678999999999999</v>
      </c>
      <c r="C160">
        <v>0.375</v>
      </c>
      <c r="D160">
        <v>0.32752999999999999</v>
      </c>
      <c r="E160">
        <v>0.35637999999999997</v>
      </c>
      <c r="F160">
        <v>19560457.600000001</v>
      </c>
      <c r="G160">
        <v>0.35637999999999997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0.21550452917632101</v>
      </c>
      <c r="Q160">
        <f t="shared" ref="Q160" si="776">F160*P160</f>
        <v>4215367.2055613901</v>
      </c>
      <c r="R160">
        <f t="shared" ref="R160" si="777">R161+Q160</f>
        <v>434634543.69016206</v>
      </c>
      <c r="S160">
        <f t="shared" ref="S160" si="778">R160/100000</f>
        <v>4346.3454369016208</v>
      </c>
      <c r="T160">
        <f t="shared" ref="T160" si="779">S160/1000</f>
        <v>4.346345436901621</v>
      </c>
    </row>
    <row r="161" spans="1:20" x14ac:dyDescent="0.25">
      <c r="A161" s="5">
        <v>44432</v>
      </c>
      <c r="B161">
        <v>0.37491999999999998</v>
      </c>
      <c r="C161">
        <v>0.38317000000000001</v>
      </c>
      <c r="D161">
        <v>0.32985999999999999</v>
      </c>
      <c r="E161">
        <v>0.3463</v>
      </c>
      <c r="F161">
        <v>28257451.5</v>
      </c>
      <c r="G161">
        <v>0.3463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-0.3832301631963983</v>
      </c>
      <c r="Q161">
        <f t="shared" ref="Q161" si="781">F161*P161</f>
        <v>-10829107.749859311</v>
      </c>
      <c r="R161">
        <f t="shared" ref="R161" si="782">R162+Q161</f>
        <v>430419176.48460066</v>
      </c>
      <c r="S161">
        <f t="shared" ref="S161" si="783">R161/100000</f>
        <v>4304.1917648460067</v>
      </c>
      <c r="T161">
        <f t="shared" ref="T161" si="784">S161/1000</f>
        <v>4.3041917648460064</v>
      </c>
    </row>
    <row r="162" spans="1:20" x14ac:dyDescent="0.25">
      <c r="A162" s="5">
        <v>44431</v>
      </c>
      <c r="B162">
        <v>0.36459999999999998</v>
      </c>
      <c r="C162">
        <v>0.37990000000000002</v>
      </c>
      <c r="D162">
        <v>0.35452</v>
      </c>
      <c r="E162">
        <v>0.37525999999999998</v>
      </c>
      <c r="F162">
        <v>38330637.899999999</v>
      </c>
      <c r="G162">
        <v>0.37525999999999998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0.63435776201733407</v>
      </c>
      <c r="Q162">
        <f t="shared" ref="Q162" si="786">F162*P162</f>
        <v>24315337.674940806</v>
      </c>
      <c r="R162">
        <f t="shared" ref="R162" si="787">R163+Q162</f>
        <v>441248284.23446</v>
      </c>
      <c r="S162">
        <f t="shared" ref="S162" si="788">R162/100000</f>
        <v>4412.4828423445997</v>
      </c>
      <c r="T162">
        <f t="shared" ref="T162" si="789">S162/1000</f>
        <v>4.4124828423446001</v>
      </c>
    </row>
    <row r="163" spans="1:20" x14ac:dyDescent="0.25">
      <c r="A163" s="5">
        <v>44430</v>
      </c>
      <c r="B163">
        <v>0.33892</v>
      </c>
      <c r="C163">
        <v>0.34339999999999998</v>
      </c>
      <c r="D163">
        <v>0.33148</v>
      </c>
      <c r="E163">
        <v>0.33862999999999999</v>
      </c>
      <c r="F163">
        <v>3006279.8</v>
      </c>
      <c r="G163">
        <v>0.33862999999999999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0.199664429530201</v>
      </c>
      <c r="Q163">
        <f t="shared" ref="Q163" si="791">F163*P163</f>
        <v>600247.14127516677</v>
      </c>
      <c r="R163">
        <f t="shared" ref="R163" si="792">R164+Q163</f>
        <v>416932946.55951917</v>
      </c>
      <c r="S163">
        <f t="shared" ref="S163" si="793">R163/100000</f>
        <v>4169.3294655951913</v>
      </c>
      <c r="T163">
        <f t="shared" ref="T163" si="794">S163/1000</f>
        <v>4.1693294655951911</v>
      </c>
    </row>
    <row r="164" spans="1:20" x14ac:dyDescent="0.25">
      <c r="A164" s="5">
        <v>44429</v>
      </c>
      <c r="B164">
        <v>0.33285999999999999</v>
      </c>
      <c r="C164">
        <v>0.34927999999999998</v>
      </c>
      <c r="D164">
        <v>0.32446999999999998</v>
      </c>
      <c r="E164">
        <v>0.33890999999999999</v>
      </c>
      <c r="F164">
        <v>27629107.300000001</v>
      </c>
      <c r="G164">
        <v>0.33890999999999999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0.16404675534058921</v>
      </c>
      <c r="Q164">
        <f t="shared" ref="Q164" si="796">F164*P164</f>
        <v>4532465.4055219879</v>
      </c>
      <c r="R164">
        <f t="shared" ref="R164" si="797">R165+Q164</f>
        <v>416332699.418244</v>
      </c>
      <c r="S164">
        <f t="shared" ref="S164" si="798">R164/100000</f>
        <v>4163.3269941824401</v>
      </c>
      <c r="T164">
        <f t="shared" ref="T164" si="799">S164/1000</f>
        <v>4.16332699418244</v>
      </c>
    </row>
    <row r="165" spans="1:20" x14ac:dyDescent="0.25">
      <c r="A165" s="5">
        <v>44428</v>
      </c>
      <c r="B165">
        <v>0.32513999999999998</v>
      </c>
      <c r="C165">
        <v>0.33789000000000002</v>
      </c>
      <c r="D165">
        <v>0.32002000000000003</v>
      </c>
      <c r="E165">
        <v>0.33268999999999999</v>
      </c>
      <c r="F165">
        <v>25408400.100000001</v>
      </c>
      <c r="G165">
        <v>0.33268999999999999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0.41801902630105892</v>
      </c>
      <c r="Q165">
        <f t="shared" ref="Q165" si="801">F165*P165</f>
        <v>10621194.669669729</v>
      </c>
      <c r="R165">
        <f t="shared" ref="R165" si="802">R166+Q165</f>
        <v>411800234.01272202</v>
      </c>
      <c r="S165">
        <f t="shared" ref="S165" si="803">R165/100000</f>
        <v>4118.0023401272201</v>
      </c>
      <c r="T165">
        <f t="shared" ref="T165" si="804">S165/1000</f>
        <v>4.1180023401272203</v>
      </c>
    </row>
    <row r="166" spans="1:20" x14ac:dyDescent="0.25">
      <c r="A166" s="5">
        <v>44427</v>
      </c>
      <c r="B166">
        <v>0.30508999999999997</v>
      </c>
      <c r="C166">
        <v>0.32819999999999999</v>
      </c>
      <c r="D166">
        <v>0.29283999999999999</v>
      </c>
      <c r="E166">
        <v>0.32513999999999998</v>
      </c>
      <c r="F166">
        <v>32370991.100000001</v>
      </c>
      <c r="G166">
        <v>0.32513999999999998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0.82692307692307654</v>
      </c>
      <c r="Q166">
        <f t="shared" ref="Q166" si="806">F166*P166</f>
        <v>26768319.563461527</v>
      </c>
      <c r="R166">
        <f t="shared" ref="R166" si="807">R167+Q166</f>
        <v>401179039.34305227</v>
      </c>
      <c r="S166">
        <f t="shared" ref="S166" si="808">R166/100000</f>
        <v>4011.7903934305227</v>
      </c>
      <c r="T166">
        <f t="shared" ref="T166" si="809">S166/1000</f>
        <v>4.0117903934305224</v>
      </c>
    </row>
    <row r="167" spans="1:20" x14ac:dyDescent="0.25">
      <c r="A167" s="5">
        <v>44426</v>
      </c>
      <c r="B167">
        <v>0.31331999999999999</v>
      </c>
      <c r="C167">
        <v>0.32930999999999999</v>
      </c>
      <c r="D167">
        <v>0.28871999999999998</v>
      </c>
      <c r="E167">
        <v>0.30498999999999998</v>
      </c>
      <c r="F167">
        <v>28381127.899999999</v>
      </c>
      <c r="G167">
        <v>0.30498999999999998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-0.19832471051983244</v>
      </c>
      <c r="Q167">
        <f t="shared" ref="Q167" si="811">F167*P167</f>
        <v>-5628678.9749938399</v>
      </c>
      <c r="R167">
        <f t="shared" ref="R167" si="812">R168+Q167</f>
        <v>374410719.77959073</v>
      </c>
      <c r="S167">
        <f t="shared" ref="S167" si="813">R167/100000</f>
        <v>3744.1071977959073</v>
      </c>
      <c r="T167">
        <f t="shared" ref="T167" si="814">S167/1000</f>
        <v>3.7441071977959073</v>
      </c>
    </row>
    <row r="168" spans="1:20" x14ac:dyDescent="0.25">
      <c r="A168" s="5">
        <v>44425</v>
      </c>
      <c r="B168">
        <v>0.33806999999999998</v>
      </c>
      <c r="C168">
        <v>0.35199000000000003</v>
      </c>
      <c r="D168">
        <v>0.308</v>
      </c>
      <c r="E168">
        <v>0.31309999999999999</v>
      </c>
      <c r="F168">
        <v>29497633.899999999</v>
      </c>
      <c r="G168">
        <v>0.31309999999999999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-0.76812912025460378</v>
      </c>
      <c r="Q168">
        <f t="shared" ref="Q168" si="816">F168*P168</f>
        <v>-22657991.577199377</v>
      </c>
      <c r="R168">
        <f t="shared" ref="R168" si="817">R169+Q168</f>
        <v>380039398.75458455</v>
      </c>
      <c r="S168">
        <f t="shared" ref="S168" si="818">R168/100000</f>
        <v>3800.3939875458454</v>
      </c>
      <c r="T168">
        <f t="shared" ref="T168" si="819">S168/1000</f>
        <v>3.8003939875458452</v>
      </c>
    </row>
    <row r="169" spans="1:20" x14ac:dyDescent="0.25">
      <c r="A169" s="5">
        <v>44424</v>
      </c>
      <c r="B169">
        <v>0.34166000000000002</v>
      </c>
      <c r="C169">
        <v>0.35691000000000001</v>
      </c>
      <c r="D169">
        <v>0.32745999999999997</v>
      </c>
      <c r="E169">
        <v>0.33827000000000002</v>
      </c>
      <c r="F169">
        <v>23045444.899999999</v>
      </c>
      <c r="G169">
        <v>0.33827000000000002</v>
      </c>
      <c r="L169" t="s">
        <v>8</v>
      </c>
      <c r="M169" t="s">
        <v>7</v>
      </c>
      <c r="N169" t="s">
        <v>8</v>
      </c>
      <c r="P169">
        <f t="shared" ref="P169" si="820">IF(C169=D169,0,((E169-D169)-(C169-E169))/(C169-D169))</f>
        <v>-0.265874363327672</v>
      </c>
      <c r="Q169">
        <f t="shared" ref="Q169" si="821">F169*P169</f>
        <v>-6127192.9903904451</v>
      </c>
      <c r="R169">
        <f t="shared" ref="R169" si="822">R170+Q169</f>
        <v>402697390.33178395</v>
      </c>
      <c r="S169">
        <f t="shared" ref="S169" si="823">R169/100000</f>
        <v>4026.9739033178394</v>
      </c>
      <c r="T169">
        <f t="shared" ref="T169" si="824">S169/1000</f>
        <v>4.0269739033178391</v>
      </c>
    </row>
    <row r="170" spans="1:20" x14ac:dyDescent="0.25">
      <c r="A170" s="5">
        <v>44423</v>
      </c>
      <c r="B170">
        <v>0.33915000000000001</v>
      </c>
      <c r="C170">
        <v>0.34379999999999999</v>
      </c>
      <c r="D170">
        <v>0.32439000000000001</v>
      </c>
      <c r="E170">
        <v>0.34208</v>
      </c>
      <c r="F170">
        <v>12537238.199999999</v>
      </c>
      <c r="G170">
        <v>0.34208</v>
      </c>
      <c r="L170" t="s">
        <v>8</v>
      </c>
      <c r="M170" t="s">
        <v>7</v>
      </c>
      <c r="N170" t="s">
        <v>8</v>
      </c>
      <c r="P170">
        <f t="shared" ref="P170" si="825">IF(C170=D170,0,((E170-D170)-(C170-E170))/(C170-D170))</f>
        <v>0.82277176713034506</v>
      </c>
      <c r="Q170">
        <f t="shared" ref="Q170" si="826">F170*P170</f>
        <v>10315285.628748067</v>
      </c>
      <c r="R170">
        <f t="shared" ref="R170" si="827">R171+Q170</f>
        <v>408824583.32217437</v>
      </c>
      <c r="S170">
        <f t="shared" ref="S170" si="828">R170/100000</f>
        <v>4088.2458332217439</v>
      </c>
      <c r="T170">
        <f t="shared" ref="T170" si="829">S170/1000</f>
        <v>4.0882458332217437</v>
      </c>
    </row>
    <row r="171" spans="1:20" x14ac:dyDescent="0.25">
      <c r="A171" s="5">
        <v>44422</v>
      </c>
      <c r="B171">
        <v>0.34068999999999999</v>
      </c>
      <c r="C171">
        <v>0.34095999999999999</v>
      </c>
      <c r="D171">
        <v>0.32477</v>
      </c>
      <c r="E171">
        <v>0.33793000000000001</v>
      </c>
      <c r="F171">
        <v>13341071.800000001</v>
      </c>
      <c r="G171">
        <v>0.33793000000000001</v>
      </c>
      <c r="L171" t="s">
        <v>8</v>
      </c>
      <c r="M171" t="s">
        <v>7</v>
      </c>
      <c r="N171" t="s">
        <v>8</v>
      </c>
      <c r="P171">
        <f t="shared" ref="P171" si="830">IF(C171=D171,0,((E171-D171)-(C171-E171))/(C171-D171))</f>
        <v>0.62569487337863117</v>
      </c>
      <c r="Q171">
        <f t="shared" ref="Q171" si="831">F171*P171</f>
        <v>8347440.2306362279</v>
      </c>
      <c r="R171">
        <f t="shared" ref="R171" si="832">R172+Q171</f>
        <v>398509297.69342631</v>
      </c>
      <c r="S171">
        <f t="shared" ref="S171" si="833">R171/100000</f>
        <v>3985.0929769342633</v>
      </c>
      <c r="T171">
        <f t="shared" ref="T171" si="834">S171/1000</f>
        <v>3.9850929769342631</v>
      </c>
    </row>
    <row r="172" spans="1:20" x14ac:dyDescent="0.25">
      <c r="A172" s="5">
        <v>44421</v>
      </c>
      <c r="B172">
        <v>0.31237999999999999</v>
      </c>
      <c r="C172">
        <v>0.34379999999999999</v>
      </c>
      <c r="D172">
        <v>0.31237999999999999</v>
      </c>
      <c r="E172">
        <v>0.34094000000000002</v>
      </c>
      <c r="F172">
        <v>18349731.300000001</v>
      </c>
      <c r="G172">
        <v>0.34094000000000002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0.81795035009548234</v>
      </c>
      <c r="Q172">
        <f t="shared" ref="Q172" si="836">F172*P172</f>
        <v>15009169.140993031</v>
      </c>
      <c r="R172">
        <f t="shared" ref="R172" si="837">R173+Q172</f>
        <v>390161857.46279007</v>
      </c>
      <c r="S172">
        <f t="shared" ref="S172" si="838">R172/100000</f>
        <v>3901.6185746279007</v>
      </c>
      <c r="T172">
        <f t="shared" ref="T172" si="839">S172/1000</f>
        <v>3.9016185746279008</v>
      </c>
    </row>
    <row r="173" spans="1:20" x14ac:dyDescent="0.25">
      <c r="A173" s="5">
        <v>44420</v>
      </c>
      <c r="B173">
        <v>0.32634999999999997</v>
      </c>
      <c r="C173">
        <v>0.34</v>
      </c>
      <c r="D173">
        <v>0.29676000000000002</v>
      </c>
      <c r="E173">
        <v>0.31268000000000001</v>
      </c>
      <c r="F173">
        <v>24907832.899999999</v>
      </c>
      <c r="G173">
        <v>0.31268000000000001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-0.26364477335800235</v>
      </c>
      <c r="Q173">
        <f t="shared" ref="Q173" si="841">F173*P173</f>
        <v>-6566819.9597594943</v>
      </c>
      <c r="R173">
        <f t="shared" ref="R173" si="842">R174+Q173</f>
        <v>375152688.32179701</v>
      </c>
      <c r="S173">
        <f t="shared" ref="S173" si="843">R173/100000</f>
        <v>3751.52688321797</v>
      </c>
      <c r="T173">
        <f t="shared" ref="T173" si="844">S173/1000</f>
        <v>3.75152688321797</v>
      </c>
    </row>
    <row r="174" spans="1:20" x14ac:dyDescent="0.25">
      <c r="A174" s="5">
        <v>44419</v>
      </c>
      <c r="B174">
        <v>0.31184000000000001</v>
      </c>
      <c r="C174">
        <v>0.36038999999999999</v>
      </c>
      <c r="D174">
        <v>0.30647000000000002</v>
      </c>
      <c r="E174">
        <v>0.32596000000000003</v>
      </c>
      <c r="F174">
        <v>83690207.599999994</v>
      </c>
      <c r="G174">
        <v>0.32596000000000003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-0.27707715133531086</v>
      </c>
      <c r="Q174">
        <f t="shared" ref="Q174" si="846">F174*P174</f>
        <v>-23188644.316468783</v>
      </c>
      <c r="R174">
        <f t="shared" ref="R174" si="847">R175+Q174</f>
        <v>381719508.28155649</v>
      </c>
      <c r="S174">
        <f t="shared" ref="S174" si="848">R174/100000</f>
        <v>3817.195082815565</v>
      </c>
      <c r="T174">
        <f t="shared" ref="T174" si="849">S174/1000</f>
        <v>3.817195082815565</v>
      </c>
    </row>
    <row r="175" spans="1:20" x14ac:dyDescent="0.25">
      <c r="A175" s="5">
        <v>44418</v>
      </c>
      <c r="B175">
        <v>0.29635</v>
      </c>
      <c r="C175">
        <v>0.32125999999999999</v>
      </c>
      <c r="D175">
        <v>0.29311999999999999</v>
      </c>
      <c r="E175">
        <v>0.31176999999999999</v>
      </c>
      <c r="F175">
        <v>26020830.100000001</v>
      </c>
      <c r="G175">
        <v>0.31176999999999999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0.32551528073916142</v>
      </c>
      <c r="Q175">
        <f t="shared" ref="Q175" si="851">F175*P175</f>
        <v>8470177.8150675222</v>
      </c>
      <c r="R175">
        <f t="shared" ref="R175" si="852">R176+Q175</f>
        <v>404908152.59802526</v>
      </c>
      <c r="S175">
        <f t="shared" ref="S175" si="853">R175/100000</f>
        <v>4049.0815259802525</v>
      </c>
      <c r="T175">
        <f t="shared" ref="T175" si="854">S175/1000</f>
        <v>4.0490815259802524</v>
      </c>
    </row>
    <row r="176" spans="1:20" x14ac:dyDescent="0.25">
      <c r="A176" s="5">
        <v>44417</v>
      </c>
      <c r="B176">
        <v>0.28702</v>
      </c>
      <c r="C176">
        <v>0.29960999999999999</v>
      </c>
      <c r="D176">
        <v>0.26982</v>
      </c>
      <c r="E176">
        <v>0.29669000000000001</v>
      </c>
      <c r="F176">
        <v>12183486.6</v>
      </c>
      <c r="G176">
        <v>0.29669000000000001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0.80396106075864515</v>
      </c>
      <c r="Q176">
        <f t="shared" ref="Q176" si="856">F176*P176</f>
        <v>9795048.8106747381</v>
      </c>
      <c r="R176">
        <f t="shared" ref="R176" si="857">R177+Q176</f>
        <v>396437974.78295773</v>
      </c>
      <c r="S176">
        <f t="shared" ref="S176" si="858">R176/100000</f>
        <v>3964.3797478295774</v>
      </c>
      <c r="T176">
        <f t="shared" ref="T176" si="859">S176/1000</f>
        <v>3.9643797478295775</v>
      </c>
    </row>
    <row r="177" spans="1:20" x14ac:dyDescent="0.25">
      <c r="A177" s="5">
        <v>44416</v>
      </c>
      <c r="B177">
        <v>0.30579000000000001</v>
      </c>
      <c r="C177">
        <v>0.30579000000000001</v>
      </c>
      <c r="D177">
        <v>0.27766999999999997</v>
      </c>
      <c r="E177">
        <v>0.28703000000000001</v>
      </c>
      <c r="F177">
        <v>15142352.4</v>
      </c>
      <c r="G177">
        <v>0.28703000000000001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-0.33428165007112209</v>
      </c>
      <c r="Q177">
        <f t="shared" ref="Q177" si="861">F177*P177</f>
        <v>-5061810.5462304158</v>
      </c>
      <c r="R177">
        <f t="shared" ref="R177" si="862">R178+Q177</f>
        <v>386642925.97228301</v>
      </c>
      <c r="S177">
        <f t="shared" ref="S177" si="863">R177/100000</f>
        <v>3866.42925972283</v>
      </c>
      <c r="T177">
        <f t="shared" ref="T177" si="864">S177/1000</f>
        <v>3.86642925972283</v>
      </c>
    </row>
    <row r="178" spans="1:20" x14ac:dyDescent="0.25">
      <c r="A178" s="5">
        <v>44415</v>
      </c>
      <c r="B178">
        <v>0.29647000000000001</v>
      </c>
      <c r="C178">
        <v>0.30819000000000002</v>
      </c>
      <c r="D178">
        <v>0.28920000000000001</v>
      </c>
      <c r="E178">
        <v>0.30504999999999999</v>
      </c>
      <c r="F178">
        <v>16203628.800000001</v>
      </c>
      <c r="G178">
        <v>0.30504999999999999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0.6692996313849362</v>
      </c>
      <c r="Q178">
        <f t="shared" ref="Q178" si="866">F178*P178</f>
        <v>10845082.782938337</v>
      </c>
      <c r="R178">
        <f t="shared" ref="R178" si="867">R179+Q178</f>
        <v>391704736.51851344</v>
      </c>
      <c r="S178">
        <f t="shared" ref="S178" si="868">R178/100000</f>
        <v>3917.0473651851344</v>
      </c>
      <c r="T178">
        <f t="shared" ref="T178" si="869">S178/1000</f>
        <v>3.9170473651851343</v>
      </c>
    </row>
    <row r="179" spans="1:20" x14ac:dyDescent="0.25">
      <c r="A179" s="5">
        <v>44414</v>
      </c>
      <c r="B179">
        <v>0.29418</v>
      </c>
      <c r="C179">
        <v>0.29896</v>
      </c>
      <c r="D179">
        <v>0.27854000000000001</v>
      </c>
      <c r="E179">
        <v>0.29624</v>
      </c>
      <c r="F179">
        <v>14575777.9</v>
      </c>
      <c r="G179">
        <v>0.29624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0.73359451518119478</v>
      </c>
      <c r="Q179">
        <f t="shared" ref="Q179" si="871">F179*P179</f>
        <v>10692710.721939273</v>
      </c>
      <c r="R179">
        <f t="shared" ref="R179" si="872">R180+Q179</f>
        <v>380859653.73557508</v>
      </c>
      <c r="S179">
        <f t="shared" ref="S179" si="873">R179/100000</f>
        <v>3808.596537355751</v>
      </c>
      <c r="T179">
        <f t="shared" ref="T179" si="874">S179/1000</f>
        <v>3.8085965373557511</v>
      </c>
    </row>
    <row r="180" spans="1:20" x14ac:dyDescent="0.25">
      <c r="A180" s="5">
        <v>44413</v>
      </c>
      <c r="B180">
        <v>0.27685999999999999</v>
      </c>
      <c r="C180">
        <v>0.2944</v>
      </c>
      <c r="D180">
        <v>0.26577000000000001</v>
      </c>
      <c r="E180">
        <v>0.29385</v>
      </c>
      <c r="F180">
        <v>20813827.100000001</v>
      </c>
      <c r="G180">
        <v>0.29385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0.96157876353475413</v>
      </c>
      <c r="Q180">
        <f t="shared" ref="Q180" si="876">F180*P180</f>
        <v>20014134.12724416</v>
      </c>
      <c r="R180">
        <f t="shared" ref="R180" si="877">R181+Q180</f>
        <v>370166943.01363581</v>
      </c>
      <c r="S180">
        <f t="shared" ref="S180" si="878">R180/100000</f>
        <v>3701.6694301363582</v>
      </c>
      <c r="T180">
        <f t="shared" ref="T180" si="879">S180/1000</f>
        <v>3.7016694301363584</v>
      </c>
    </row>
    <row r="181" spans="1:20" x14ac:dyDescent="0.25">
      <c r="A181" s="5">
        <v>44412</v>
      </c>
      <c r="B181">
        <v>0.26699000000000001</v>
      </c>
      <c r="C181">
        <v>0.28000000000000003</v>
      </c>
      <c r="D181">
        <v>0.25649</v>
      </c>
      <c r="E181">
        <v>0.27710000000000001</v>
      </c>
      <c r="F181">
        <v>22295215.699999999</v>
      </c>
      <c r="G181">
        <v>0.27710000000000001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0.75329646958740881</v>
      </c>
      <c r="Q181">
        <f t="shared" ref="Q181" si="881">F181*P181</f>
        <v>16794907.275499769</v>
      </c>
      <c r="R181">
        <f t="shared" ref="R181" si="882">R182+Q181</f>
        <v>350152808.88639164</v>
      </c>
      <c r="S181">
        <f t="shared" ref="S181" si="883">R181/100000</f>
        <v>3501.5280888639163</v>
      </c>
      <c r="T181">
        <f t="shared" ref="T181" si="884">S181/1000</f>
        <v>3.5015280888639162</v>
      </c>
    </row>
    <row r="182" spans="1:20" x14ac:dyDescent="0.25">
      <c r="A182" s="5">
        <v>44411</v>
      </c>
      <c r="B182">
        <v>0.27051999999999998</v>
      </c>
      <c r="C182">
        <v>0.27326</v>
      </c>
      <c r="D182">
        <v>0.25436999999999999</v>
      </c>
      <c r="E182">
        <v>0.26878999999999997</v>
      </c>
      <c r="F182">
        <v>8473358.4000000004</v>
      </c>
      <c r="G182">
        <v>0.26878999999999997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0.52673372154578879</v>
      </c>
      <c r="Q182">
        <f t="shared" ref="Q182" si="886">F182*P182</f>
        <v>4463203.6040232703</v>
      </c>
      <c r="R182">
        <f t="shared" ref="R182" si="887">R183+Q182</f>
        <v>333357901.61089188</v>
      </c>
      <c r="S182">
        <f t="shared" ref="S182" si="888">R182/100000</f>
        <v>3333.5790161089189</v>
      </c>
      <c r="T182">
        <f t="shared" ref="T182" si="889">S182/1000</f>
        <v>3.3335790161089189</v>
      </c>
    </row>
    <row r="183" spans="1:20" x14ac:dyDescent="0.25">
      <c r="A183" s="5">
        <v>44410</v>
      </c>
      <c r="B183">
        <v>0.26723999999999998</v>
      </c>
      <c r="C183">
        <v>0.29299999999999998</v>
      </c>
      <c r="D183">
        <v>0.25799</v>
      </c>
      <c r="E183">
        <v>0.2707</v>
      </c>
      <c r="F183">
        <v>19108724.5</v>
      </c>
      <c r="G183">
        <v>0.2707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-0.27392173664667213</v>
      </c>
      <c r="Q183">
        <f t="shared" ref="Q183" si="891">F183*P183</f>
        <v>-5234295.0001428118</v>
      </c>
      <c r="R183">
        <f t="shared" ref="R183" si="892">R184+Q183</f>
        <v>328894698.0068686</v>
      </c>
      <c r="S183">
        <f t="shared" ref="S183" si="893">R183/100000</f>
        <v>3288.9469800686861</v>
      </c>
      <c r="T183">
        <f t="shared" ref="T183" si="894">S183/1000</f>
        <v>3.2889469800686859</v>
      </c>
    </row>
    <row r="184" spans="1:20" x14ac:dyDescent="0.25">
      <c r="A184" s="5">
        <v>44409</v>
      </c>
      <c r="B184">
        <v>0.28743000000000002</v>
      </c>
      <c r="C184">
        <v>0.28833999999999999</v>
      </c>
      <c r="D184">
        <v>0.26190000000000002</v>
      </c>
      <c r="E184">
        <v>0.26768999999999998</v>
      </c>
      <c r="F184">
        <v>11613358.1</v>
      </c>
      <c r="G184">
        <v>0.26768999999999998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-0.5620272314674758</v>
      </c>
      <c r="Q184">
        <f t="shared" ref="Q184" si="896">F184*P184</f>
        <v>-6527023.5009833844</v>
      </c>
      <c r="R184">
        <f t="shared" ref="R184" si="897">R185+Q184</f>
        <v>334128993.00701141</v>
      </c>
      <c r="S184">
        <f t="shared" ref="S184" si="898">R184/100000</f>
        <v>3341.2899300701142</v>
      </c>
      <c r="T184">
        <f t="shared" ref="T184" si="899">S184/1000</f>
        <v>3.3412899300701144</v>
      </c>
    </row>
    <row r="185" spans="1:20" x14ac:dyDescent="0.25">
      <c r="A185" s="5">
        <v>44408</v>
      </c>
      <c r="B185">
        <v>0.27595999999999998</v>
      </c>
      <c r="C185">
        <v>0.30499999999999999</v>
      </c>
      <c r="D185">
        <v>0.27231</v>
      </c>
      <c r="E185">
        <v>0.28726000000000002</v>
      </c>
      <c r="F185">
        <v>44564051.399999999</v>
      </c>
      <c r="G185">
        <v>0.28726000000000002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-8.5347200978891383E-2</v>
      </c>
      <c r="Q185">
        <f t="shared" ref="Q185" si="901">F185*P185</f>
        <v>-3803417.0512694456</v>
      </c>
      <c r="R185">
        <f t="shared" ref="R185" si="902">R186+Q185</f>
        <v>340656016.50799477</v>
      </c>
      <c r="S185">
        <f t="shared" ref="S185" si="903">R185/100000</f>
        <v>3406.5601650799476</v>
      </c>
      <c r="T185">
        <f t="shared" ref="T185" si="904">S185/1000</f>
        <v>3.4065601650799477</v>
      </c>
    </row>
    <row r="186" spans="1:20" x14ac:dyDescent="0.25">
      <c r="A186" s="5">
        <v>44407</v>
      </c>
      <c r="B186">
        <v>0.27490999999999999</v>
      </c>
      <c r="C186">
        <v>0.27689999999999998</v>
      </c>
      <c r="D186">
        <v>0.25488</v>
      </c>
      <c r="E186">
        <v>0.27596999999999999</v>
      </c>
      <c r="F186">
        <v>16632319.699999999</v>
      </c>
      <c r="G186">
        <v>0.27596999999999999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0.91553133514986496</v>
      </c>
      <c r="Q186">
        <f t="shared" ref="Q186" si="906">F186*P186</f>
        <v>15227409.8615804</v>
      </c>
      <c r="R186">
        <f t="shared" ref="R186" si="907">R187+Q186</f>
        <v>344459433.55926424</v>
      </c>
      <c r="S186">
        <f t="shared" ref="S186" si="908">R186/100000</f>
        <v>3444.5943355926424</v>
      </c>
      <c r="T186">
        <f t="shared" ref="T186" si="909">S186/1000</f>
        <v>3.4445943355926425</v>
      </c>
    </row>
    <row r="187" spans="1:20" x14ac:dyDescent="0.25">
      <c r="A187" s="5">
        <v>44406</v>
      </c>
      <c r="B187">
        <v>0.26455000000000001</v>
      </c>
      <c r="C187">
        <v>0.2908</v>
      </c>
      <c r="D187">
        <v>0.25345000000000001</v>
      </c>
      <c r="E187">
        <v>0.27499000000000001</v>
      </c>
      <c r="F187">
        <v>59031249.899999999</v>
      </c>
      <c r="G187">
        <v>0.27499000000000001</v>
      </c>
      <c r="L187" t="s">
        <v>8</v>
      </c>
      <c r="M187" t="s">
        <v>7</v>
      </c>
      <c r="N187" t="s">
        <v>8</v>
      </c>
      <c r="P187">
        <f t="shared" ref="P187" si="910">IF(C187=D187,0,((E187-D187)-(C187-E187))/(C187-D187))</f>
        <v>0.15341365461847425</v>
      </c>
      <c r="Q187">
        <f t="shared" ref="Q187" si="911">F187*P187</f>
        <v>9056199.783855442</v>
      </c>
      <c r="R187">
        <f t="shared" ref="R187" si="912">R188+Q187</f>
        <v>329232023.69768387</v>
      </c>
      <c r="S187">
        <f t="shared" ref="S187" si="913">R187/100000</f>
        <v>3292.3202369768387</v>
      </c>
      <c r="T187">
        <f t="shared" ref="T187" si="914">S187/1000</f>
        <v>3.2923202369768387</v>
      </c>
    </row>
    <row r="188" spans="1:20" x14ac:dyDescent="0.25">
      <c r="A188" s="5">
        <v>44405</v>
      </c>
      <c r="B188">
        <v>0.26157999999999998</v>
      </c>
      <c r="C188">
        <v>0.28343000000000002</v>
      </c>
      <c r="D188">
        <v>0.25274000000000002</v>
      </c>
      <c r="E188">
        <v>0.26454</v>
      </c>
      <c r="F188">
        <v>95268870.400000006</v>
      </c>
      <c r="G188">
        <v>0.26454</v>
      </c>
      <c r="L188" t="s">
        <v>7</v>
      </c>
      <c r="M188" t="s">
        <v>7</v>
      </c>
      <c r="N188" t="s">
        <v>8</v>
      </c>
      <c r="P188">
        <f t="shared" ref="P188" si="915">IF(C188=D188,0,((E188-D188)-(C188-E188))/(C188-D188))</f>
        <v>-0.23101987618116787</v>
      </c>
      <c r="Q188">
        <f t="shared" ref="Q188" si="916">F188*P188</f>
        <v>-22009002.643727731</v>
      </c>
      <c r="R188">
        <f t="shared" ref="R188" si="917">R189+Q188</f>
        <v>320175823.91382843</v>
      </c>
      <c r="S188">
        <f t="shared" ref="S188" si="918">R188/100000</f>
        <v>3201.7582391382844</v>
      </c>
      <c r="T188">
        <f t="shared" ref="T188" si="919">S188/1000</f>
        <v>3.2017582391382842</v>
      </c>
    </row>
    <row r="189" spans="1:20" x14ac:dyDescent="0.25">
      <c r="A189" s="5">
        <v>44404</v>
      </c>
      <c r="B189">
        <v>0.22231999999999999</v>
      </c>
      <c r="C189">
        <v>0.32253999999999999</v>
      </c>
      <c r="D189">
        <v>0.22220000000000001</v>
      </c>
      <c r="E189">
        <v>0.26190000000000002</v>
      </c>
      <c r="F189">
        <v>182970362.30000001</v>
      </c>
      <c r="G189">
        <v>0.26190000000000002</v>
      </c>
      <c r="L189" t="s">
        <v>8</v>
      </c>
      <c r="M189" t="s">
        <v>8</v>
      </c>
      <c r="N189" t="s">
        <v>8</v>
      </c>
      <c r="P189">
        <f t="shared" ref="P189" si="920">IF(C189=D189,0,((E189-D189)-(C189-E189))/(C189-D189))</f>
        <v>-0.20869045246163007</v>
      </c>
      <c r="Q189">
        <f t="shared" ref="Q189" si="921">F189*P189</f>
        <v>-38184167.69545538</v>
      </c>
      <c r="R189">
        <f t="shared" ref="R189" si="922">R190+Q189</f>
        <v>342184826.55755615</v>
      </c>
      <c r="S189">
        <f t="shared" ref="S189" si="923">R189/100000</f>
        <v>3421.8482655755615</v>
      </c>
      <c r="T189">
        <f t="shared" ref="T189" si="924">S189/1000</f>
        <v>3.4218482655755613</v>
      </c>
    </row>
    <row r="190" spans="1:20" x14ac:dyDescent="0.25">
      <c r="A190" s="5">
        <v>44403</v>
      </c>
      <c r="B190">
        <v>0.22020000000000001</v>
      </c>
      <c r="C190">
        <v>0.24118000000000001</v>
      </c>
      <c r="D190">
        <v>0.21709999999999999</v>
      </c>
      <c r="E190">
        <v>0.22241</v>
      </c>
      <c r="F190">
        <v>26538098.5</v>
      </c>
      <c r="G190">
        <v>0.22241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-0.55897009966777367</v>
      </c>
      <c r="Q190">
        <f t="shared" ref="Q190" si="926">F190*P190</f>
        <v>-14834003.563538196</v>
      </c>
      <c r="R190">
        <f t="shared" ref="R190" si="927">R191+Q190</f>
        <v>380368994.25301152</v>
      </c>
      <c r="S190">
        <f t="shared" ref="S190" si="928">R190/100000</f>
        <v>3803.6899425301153</v>
      </c>
      <c r="T190">
        <f t="shared" ref="T190" si="929">S190/1000</f>
        <v>3.8036899425301152</v>
      </c>
    </row>
    <row r="191" spans="1:20" x14ac:dyDescent="0.25">
      <c r="A191" s="5">
        <v>44402</v>
      </c>
      <c r="B191">
        <v>0.21559</v>
      </c>
      <c r="C191">
        <v>0.223</v>
      </c>
      <c r="D191">
        <v>0.20796999999999999</v>
      </c>
      <c r="E191">
        <v>0.22009999999999999</v>
      </c>
      <c r="F191">
        <v>6964566.5999999996</v>
      </c>
      <c r="G191">
        <v>0.22009999999999999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0.61410512308715759</v>
      </c>
      <c r="Q191">
        <f t="shared" ref="Q191" si="931">F191*P191</f>
        <v>4276976.0291417064</v>
      </c>
      <c r="R191">
        <f t="shared" ref="R191" si="932">R192+Q191</f>
        <v>395202997.81654972</v>
      </c>
      <c r="S191">
        <f t="shared" ref="S191" si="933">R191/100000</f>
        <v>3952.0299781654971</v>
      </c>
      <c r="T191">
        <f t="shared" ref="T191:T197" si="934">S191/1000</f>
        <v>3.9520299781654971</v>
      </c>
    </row>
    <row r="192" spans="1:20" x14ac:dyDescent="0.25">
      <c r="A192" s="5">
        <v>44401</v>
      </c>
      <c r="B192">
        <v>0.21365000000000001</v>
      </c>
      <c r="C192">
        <v>0.22319</v>
      </c>
      <c r="D192">
        <v>0.20941000000000001</v>
      </c>
      <c r="E192">
        <v>0.21554000000000001</v>
      </c>
      <c r="F192">
        <v>12441626.4</v>
      </c>
      <c r="G192">
        <v>0.21554000000000001</v>
      </c>
      <c r="L192" t="s">
        <v>7</v>
      </c>
      <c r="M192" t="s">
        <v>8</v>
      </c>
      <c r="N192" t="s">
        <v>7</v>
      </c>
      <c r="P192">
        <f t="shared" ref="P192" si="935">IF(C192=D192,0,((E192-D192)-(C192-E192))/(C192-D192))</f>
        <v>-0.11030478955007221</v>
      </c>
      <c r="Q192">
        <f t="shared" ref="Q192" si="936">F192*P192</f>
        <v>-1372370.9817126226</v>
      </c>
      <c r="R192">
        <f t="shared" ref="R192" si="937">R193+Q192</f>
        <v>390926021.78740799</v>
      </c>
      <c r="S192">
        <f t="shared" ref="S192" si="938">R192/100000</f>
        <v>3909.2602178740799</v>
      </c>
      <c r="T192">
        <f t="shared" si="934"/>
        <v>3.9092602178740798</v>
      </c>
    </row>
    <row r="193" spans="1:20" x14ac:dyDescent="0.25">
      <c r="A193" s="5">
        <v>44400</v>
      </c>
      <c r="B193">
        <v>0.20695</v>
      </c>
      <c r="C193">
        <v>0.23</v>
      </c>
      <c r="D193">
        <v>0.20161999999999999</v>
      </c>
      <c r="E193">
        <v>0.21365000000000001</v>
      </c>
      <c r="F193">
        <v>17102217.199999999</v>
      </c>
      <c r="G193">
        <v>0.21365000000000001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-0.15221987315010529</v>
      </c>
      <c r="Q193">
        <f t="shared" ref="Q193" si="940">F193*P193</f>
        <v>-2603297.332769549</v>
      </c>
      <c r="R193">
        <f t="shared" ref="R193" si="941">R194+Q193</f>
        <v>392298392.76912063</v>
      </c>
      <c r="S193">
        <f t="shared" ref="S193" si="942">R193/100000</f>
        <v>3922.9839276912062</v>
      </c>
      <c r="T193">
        <f t="shared" si="934"/>
        <v>3.9229839276912064</v>
      </c>
    </row>
    <row r="194" spans="1:20" x14ac:dyDescent="0.25">
      <c r="A194" s="5">
        <v>44399</v>
      </c>
      <c r="B194">
        <v>0.19728999999999999</v>
      </c>
      <c r="C194">
        <v>0.20746999999999999</v>
      </c>
      <c r="D194">
        <v>0.19283</v>
      </c>
      <c r="E194">
        <v>0.20694000000000001</v>
      </c>
      <c r="F194">
        <v>7730057.0999999996</v>
      </c>
      <c r="G194">
        <v>0.20694000000000001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0.92759562841530385</v>
      </c>
      <c r="Q194">
        <f t="shared" ref="Q194" si="944">F194*P194</f>
        <v>7170367.1733606812</v>
      </c>
      <c r="R194">
        <f t="shared" ref="R194" si="945">R195+Q194</f>
        <v>394901690.10189021</v>
      </c>
      <c r="S194">
        <f t="shared" ref="S194" si="946">R194/100000</f>
        <v>3949.016901018902</v>
      </c>
      <c r="T194">
        <f t="shared" si="934"/>
        <v>3.949016901018902</v>
      </c>
    </row>
    <row r="195" spans="1:20" x14ac:dyDescent="0.25">
      <c r="A195" s="5">
        <v>44398</v>
      </c>
      <c r="B195">
        <v>0.18082000000000001</v>
      </c>
      <c r="C195">
        <v>0.19861999999999999</v>
      </c>
      <c r="D195">
        <v>0.17501</v>
      </c>
      <c r="E195">
        <v>0.19711000000000001</v>
      </c>
      <c r="F195">
        <v>10015296.9</v>
      </c>
      <c r="G195">
        <v>0.19711000000000001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0.87208809826344902</v>
      </c>
      <c r="Q195">
        <f t="shared" ref="Q195" si="948">F195*P195</f>
        <v>8734221.2270648163</v>
      </c>
      <c r="R195">
        <f t="shared" ref="R195" si="949">R196+Q195</f>
        <v>387731322.9285295</v>
      </c>
      <c r="S195">
        <f t="shared" ref="S195" si="950">R195/100000</f>
        <v>3877.3132292852952</v>
      </c>
      <c r="T195">
        <f t="shared" si="934"/>
        <v>3.8773132292852952</v>
      </c>
    </row>
    <row r="196" spans="1:20" x14ac:dyDescent="0.25">
      <c r="A196" s="5">
        <v>44397</v>
      </c>
      <c r="B196">
        <v>0.19811000000000001</v>
      </c>
      <c r="C196">
        <v>0.20341000000000001</v>
      </c>
      <c r="D196">
        <v>0.17376</v>
      </c>
      <c r="E196">
        <v>0.18121999999999999</v>
      </c>
      <c r="F196">
        <v>13330413.300000001</v>
      </c>
      <c r="G196">
        <v>0.18121999999999999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-0.49679595278246258</v>
      </c>
      <c r="Q196">
        <f t="shared" ref="Q196" si="952">F196*P196</f>
        <v>-6622495.3763575116</v>
      </c>
      <c r="R196">
        <f t="shared" ref="R196" si="953">R197+Q196</f>
        <v>378997101.70146471</v>
      </c>
      <c r="S196">
        <f t="shared" ref="S196" si="954">R196/100000</f>
        <v>3789.9710170146473</v>
      </c>
      <c r="T196">
        <f t="shared" si="934"/>
        <v>3.7899710170146474</v>
      </c>
    </row>
    <row r="197" spans="1:20" x14ac:dyDescent="0.25">
      <c r="A197" s="5">
        <v>44396</v>
      </c>
      <c r="B197">
        <v>0.2107</v>
      </c>
      <c r="C197">
        <v>0.21143000000000001</v>
      </c>
      <c r="D197">
        <v>0.19106000000000001</v>
      </c>
      <c r="E197">
        <v>0.19811999999999999</v>
      </c>
      <c r="F197">
        <v>6789532.9000000004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-0.30682376043200948</v>
      </c>
      <c r="Q197">
        <f t="shared" ref="Q197" si="956">F197*P197</f>
        <v>-2083190.0159548467</v>
      </c>
      <c r="R197">
        <f t="shared" ref="R197" si="957">R198+Q197</f>
        <v>385619597.07782221</v>
      </c>
      <c r="S197">
        <f t="shared" ref="S197" si="958">R197/100000</f>
        <v>3856.1959707782221</v>
      </c>
      <c r="T197">
        <f t="shared" si="934"/>
        <v>3.8561959707782223</v>
      </c>
    </row>
    <row r="198" spans="1:20" x14ac:dyDescent="0.25">
      <c r="A198" s="5">
        <v>44395</v>
      </c>
      <c r="B198">
        <v>0.21010999999999999</v>
      </c>
      <c r="C198">
        <v>0.22355</v>
      </c>
      <c r="D198">
        <v>0.20346</v>
      </c>
      <c r="E198">
        <v>0.21077000000000001</v>
      </c>
      <c r="F198">
        <v>9226511.5999999996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-0.27227476356396096</v>
      </c>
      <c r="Q198">
        <f t="shared" ref="Q198:Q261" si="960">F198*P198</f>
        <v>-2512146.2644101433</v>
      </c>
      <c r="R198">
        <f t="shared" ref="R198:R261" si="961">R199+Q198</f>
        <v>387702787.09377706</v>
      </c>
      <c r="S198">
        <f t="shared" ref="S198:S261" si="962">R198/100000</f>
        <v>3877.0278709377708</v>
      </c>
      <c r="T198">
        <f t="shared" ref="T198:T261" si="963">S198/1000</f>
        <v>3.8770278709377708</v>
      </c>
    </row>
    <row r="199" spans="1:20" x14ac:dyDescent="0.25">
      <c r="A199" s="5">
        <v>44394</v>
      </c>
      <c r="B199">
        <v>0.20941000000000001</v>
      </c>
      <c r="C199">
        <v>0.21698999999999999</v>
      </c>
      <c r="D199">
        <v>0.20039999999999999</v>
      </c>
      <c r="E199">
        <v>0.21049000000000001</v>
      </c>
      <c r="F199">
        <v>10541061.800000001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0.21639541892706685</v>
      </c>
      <c r="Q199">
        <f t="shared" si="960"/>
        <v>2281037.4841471016</v>
      </c>
      <c r="R199">
        <f t="shared" si="961"/>
        <v>390214933.3581872</v>
      </c>
      <c r="S199">
        <f t="shared" si="962"/>
        <v>3902.1493335818718</v>
      </c>
      <c r="T199">
        <f t="shared" si="963"/>
        <v>3.902149333581872</v>
      </c>
    </row>
    <row r="200" spans="1:20" x14ac:dyDescent="0.25">
      <c r="A200" s="5">
        <v>44393</v>
      </c>
      <c r="B200">
        <v>0.22194</v>
      </c>
      <c r="C200">
        <v>0.22511</v>
      </c>
      <c r="D200">
        <v>0.20737</v>
      </c>
      <c r="E200">
        <v>0.2094</v>
      </c>
      <c r="F200">
        <v>8122637.2000000002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-0.77113866967305489</v>
      </c>
      <c r="Q200">
        <f t="shared" si="960"/>
        <v>-6263679.6446448676</v>
      </c>
      <c r="R200">
        <f t="shared" si="961"/>
        <v>387933895.87404007</v>
      </c>
      <c r="S200">
        <f t="shared" si="962"/>
        <v>3879.3389587404008</v>
      </c>
      <c r="T200">
        <f t="shared" si="963"/>
        <v>3.879338958740401</v>
      </c>
    </row>
    <row r="201" spans="1:20" x14ac:dyDescent="0.25">
      <c r="A201" s="5">
        <v>44392</v>
      </c>
      <c r="B201">
        <v>0.23218</v>
      </c>
      <c r="C201">
        <v>0.23452999999999999</v>
      </c>
      <c r="D201">
        <v>0.21617</v>
      </c>
      <c r="E201">
        <v>0.22170999999999999</v>
      </c>
      <c r="F201">
        <v>9736160.9000000004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-0.39651416122004429</v>
      </c>
      <c r="Q201">
        <f t="shared" si="960"/>
        <v>-3860525.6727668918</v>
      </c>
      <c r="R201">
        <f t="shared" si="961"/>
        <v>394197575.51868492</v>
      </c>
      <c r="S201">
        <f t="shared" si="962"/>
        <v>3941.9757551868493</v>
      </c>
      <c r="T201">
        <f t="shared" si="963"/>
        <v>3.9419757551868493</v>
      </c>
    </row>
    <row r="202" spans="1:20" x14ac:dyDescent="0.25">
      <c r="A202" s="5">
        <v>44391</v>
      </c>
      <c r="B202">
        <v>0.23491000000000001</v>
      </c>
      <c r="C202">
        <v>0.23555000000000001</v>
      </c>
      <c r="D202">
        <v>0.21113999999999999</v>
      </c>
      <c r="E202">
        <v>0.23236000000000001</v>
      </c>
      <c r="F202">
        <v>8733325.3000000007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0.73863170831626412</v>
      </c>
      <c r="Q202">
        <f t="shared" si="960"/>
        <v>6450710.9856206505</v>
      </c>
      <c r="R202">
        <f t="shared" si="961"/>
        <v>398058101.19145179</v>
      </c>
      <c r="S202">
        <f t="shared" si="962"/>
        <v>3980.5810119145181</v>
      </c>
      <c r="T202">
        <f t="shared" si="963"/>
        <v>3.9805810119145182</v>
      </c>
    </row>
    <row r="203" spans="1:20" x14ac:dyDescent="0.25">
      <c r="A203" s="5">
        <v>44390</v>
      </c>
      <c r="B203">
        <v>0.23887</v>
      </c>
      <c r="C203">
        <v>0.24640000000000001</v>
      </c>
      <c r="D203">
        <v>0.22714999999999999</v>
      </c>
      <c r="E203">
        <v>0.23491000000000001</v>
      </c>
      <c r="F203">
        <v>9679441.1999999993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-0.19376623376623273</v>
      </c>
      <c r="Q203">
        <f t="shared" si="960"/>
        <v>-1875548.8662857041</v>
      </c>
      <c r="R203">
        <f t="shared" si="961"/>
        <v>391607390.20583111</v>
      </c>
      <c r="S203">
        <f t="shared" si="962"/>
        <v>3916.073902058311</v>
      </c>
      <c r="T203">
        <f t="shared" si="963"/>
        <v>3.9160739020583111</v>
      </c>
    </row>
    <row r="204" spans="1:20" x14ac:dyDescent="0.25">
      <c r="A204" s="5">
        <v>44389</v>
      </c>
      <c r="B204">
        <v>0.24626999999999999</v>
      </c>
      <c r="C204">
        <v>0.24626999999999999</v>
      </c>
      <c r="D204">
        <v>0.23125999999999999</v>
      </c>
      <c r="E204">
        <v>0.23923</v>
      </c>
      <c r="F204">
        <v>6880013.7000000002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6.1958694203865051E-2</v>
      </c>
      <c r="Q204">
        <f t="shared" si="960"/>
        <v>426276.66495670215</v>
      </c>
      <c r="R204">
        <f t="shared" si="961"/>
        <v>393482939.07211679</v>
      </c>
      <c r="S204">
        <f t="shared" si="962"/>
        <v>3934.8293907211678</v>
      </c>
      <c r="T204">
        <f t="shared" si="963"/>
        <v>3.934829390721168</v>
      </c>
    </row>
    <row r="205" spans="1:20" x14ac:dyDescent="0.25">
      <c r="A205" s="5">
        <v>44388</v>
      </c>
      <c r="B205">
        <v>0.24124999999999999</v>
      </c>
      <c r="C205">
        <v>0.24798000000000001</v>
      </c>
      <c r="D205">
        <v>0.23155999999999999</v>
      </c>
      <c r="E205">
        <v>0.24623999999999999</v>
      </c>
      <c r="F205">
        <v>9863982.9000000004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0.78806333739342049</v>
      </c>
      <c r="Q205">
        <f t="shared" si="960"/>
        <v>7773443.284165631</v>
      </c>
      <c r="R205">
        <f t="shared" si="961"/>
        <v>393056662.4071601</v>
      </c>
      <c r="S205">
        <f t="shared" si="962"/>
        <v>3930.5666240716009</v>
      </c>
      <c r="T205">
        <f t="shared" si="963"/>
        <v>3.9305666240716008</v>
      </c>
    </row>
    <row r="206" spans="1:20" x14ac:dyDescent="0.25">
      <c r="A206" s="5">
        <v>44387</v>
      </c>
      <c r="B206">
        <v>0.25112000000000001</v>
      </c>
      <c r="C206">
        <v>0.25485999999999998</v>
      </c>
      <c r="D206">
        <v>0.23321</v>
      </c>
      <c r="E206">
        <v>0.24142</v>
      </c>
      <c r="F206">
        <v>7550325.2000000002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-0.24157043879907578</v>
      </c>
      <c r="Q206">
        <f t="shared" si="960"/>
        <v>-1823935.3716397197</v>
      </c>
      <c r="R206">
        <f t="shared" si="961"/>
        <v>385283219.12299448</v>
      </c>
      <c r="S206">
        <f t="shared" si="962"/>
        <v>3852.8321912299448</v>
      </c>
      <c r="T206">
        <f t="shared" si="963"/>
        <v>3.8528321912299446</v>
      </c>
    </row>
    <row r="207" spans="1:20" x14ac:dyDescent="0.25">
      <c r="A207" s="5">
        <v>44386</v>
      </c>
      <c r="B207">
        <v>0.24335999999999999</v>
      </c>
      <c r="C207">
        <v>0.25241000000000002</v>
      </c>
      <c r="D207">
        <v>0.2298</v>
      </c>
      <c r="E207">
        <v>0.25080999999999998</v>
      </c>
      <c r="F207">
        <v>8719529.5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0.85846970367093811</v>
      </c>
      <c r="Q207">
        <f t="shared" si="960"/>
        <v>7485451.9060150031</v>
      </c>
      <c r="R207">
        <f t="shared" si="961"/>
        <v>387107154.49463421</v>
      </c>
      <c r="S207">
        <f t="shared" si="962"/>
        <v>3871.0715449463423</v>
      </c>
      <c r="T207">
        <f t="shared" si="963"/>
        <v>3.8710715449463424</v>
      </c>
    </row>
    <row r="208" spans="1:20" x14ac:dyDescent="0.25">
      <c r="A208" s="5">
        <v>44385</v>
      </c>
      <c r="B208">
        <v>0.27544000000000002</v>
      </c>
      <c r="C208">
        <v>0.27557999999999999</v>
      </c>
      <c r="D208">
        <v>0.23633000000000001</v>
      </c>
      <c r="E208">
        <v>0.24346000000000001</v>
      </c>
      <c r="F208">
        <v>13909608.300000001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-0.63668789808917192</v>
      </c>
      <c r="Q208">
        <f t="shared" si="960"/>
        <v>-8856079.2717707008</v>
      </c>
      <c r="R208">
        <f t="shared" si="961"/>
        <v>379621702.58861923</v>
      </c>
      <c r="S208">
        <f t="shared" si="962"/>
        <v>3796.2170258861925</v>
      </c>
      <c r="T208">
        <f t="shared" si="963"/>
        <v>3.7962170258861923</v>
      </c>
    </row>
    <row r="209" spans="1:20" x14ac:dyDescent="0.25">
      <c r="A209" s="5">
        <v>44384</v>
      </c>
      <c r="B209">
        <v>0.28066000000000002</v>
      </c>
      <c r="C209">
        <v>0.29749999999999999</v>
      </c>
      <c r="D209">
        <v>0.26869999999999999</v>
      </c>
      <c r="E209">
        <v>0.27504000000000001</v>
      </c>
      <c r="F209">
        <v>14188965.800000001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-0.55972222222222123</v>
      </c>
      <c r="Q209">
        <f t="shared" si="960"/>
        <v>-7941879.4686110979</v>
      </c>
      <c r="R209">
        <f t="shared" si="961"/>
        <v>388477781.86038995</v>
      </c>
      <c r="S209">
        <f t="shared" si="962"/>
        <v>3884.7778186038995</v>
      </c>
      <c r="T209">
        <f t="shared" si="963"/>
        <v>3.8847778186038995</v>
      </c>
    </row>
    <row r="210" spans="1:20" x14ac:dyDescent="0.25">
      <c r="A210" s="5">
        <v>44383</v>
      </c>
      <c r="B210">
        <v>0.28360999999999997</v>
      </c>
      <c r="C210">
        <v>0.28983999999999999</v>
      </c>
      <c r="D210">
        <v>0.26630999999999999</v>
      </c>
      <c r="E210">
        <v>0.28114</v>
      </c>
      <c r="F210">
        <v>24619891.699999999</v>
      </c>
      <c r="G210">
        <v>0</v>
      </c>
      <c r="L210" t="s">
        <v>7</v>
      </c>
      <c r="M210" t="s">
        <v>8</v>
      </c>
      <c r="N210" t="s">
        <v>8</v>
      </c>
      <c r="P210">
        <f t="shared" si="959"/>
        <v>0.26051848703782515</v>
      </c>
      <c r="Q210">
        <f t="shared" si="960"/>
        <v>6413936.9367191093</v>
      </c>
      <c r="R210">
        <f t="shared" si="961"/>
        <v>396419661.32900107</v>
      </c>
      <c r="S210">
        <f t="shared" si="962"/>
        <v>3964.1966132900106</v>
      </c>
      <c r="T210">
        <f t="shared" si="963"/>
        <v>3.9641966132900106</v>
      </c>
    </row>
    <row r="211" spans="1:20" x14ac:dyDescent="0.25">
      <c r="A211" s="5">
        <v>44382</v>
      </c>
      <c r="B211">
        <v>0.25051000000000001</v>
      </c>
      <c r="C211">
        <v>0.29949999999999999</v>
      </c>
      <c r="D211">
        <v>0.2477</v>
      </c>
      <c r="E211">
        <v>0.28421000000000002</v>
      </c>
      <c r="F211">
        <v>73074201.5</v>
      </c>
      <c r="G211">
        <v>0</v>
      </c>
      <c r="L211" t="s">
        <v>8</v>
      </c>
      <c r="M211" t="s">
        <v>8</v>
      </c>
      <c r="N211" t="s">
        <v>8</v>
      </c>
      <c r="P211">
        <f t="shared" si="959"/>
        <v>0.40965250965251065</v>
      </c>
      <c r="Q211">
        <f t="shared" si="960"/>
        <v>29935030.035328258</v>
      </c>
      <c r="R211">
        <f t="shared" si="961"/>
        <v>390005724.39228195</v>
      </c>
      <c r="S211">
        <f t="shared" si="962"/>
        <v>3900.0572439228195</v>
      </c>
      <c r="T211">
        <f t="shared" si="963"/>
        <v>3.9000572439228196</v>
      </c>
    </row>
    <row r="212" spans="1:20" x14ac:dyDescent="0.25">
      <c r="A212" s="5">
        <v>44381</v>
      </c>
      <c r="B212">
        <v>0.24229000000000001</v>
      </c>
      <c r="C212">
        <v>0.26162000000000002</v>
      </c>
      <c r="D212">
        <v>0.23902000000000001</v>
      </c>
      <c r="E212">
        <v>0.25094</v>
      </c>
      <c r="F212">
        <v>17984913.899999999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5.4867256637166496E-2</v>
      </c>
      <c r="Q212">
        <f t="shared" si="960"/>
        <v>986782.88654864288</v>
      </c>
      <c r="R212">
        <f t="shared" si="961"/>
        <v>360070694.35695368</v>
      </c>
      <c r="S212">
        <f t="shared" si="962"/>
        <v>3600.7069435695366</v>
      </c>
      <c r="T212">
        <f t="shared" si="963"/>
        <v>3.6007069435695365</v>
      </c>
    </row>
    <row r="213" spans="1:20" x14ac:dyDescent="0.25">
      <c r="A213" s="5">
        <v>44380</v>
      </c>
      <c r="B213">
        <v>0.23582</v>
      </c>
      <c r="C213">
        <v>0.24240999999999999</v>
      </c>
      <c r="D213">
        <v>0.22620000000000001</v>
      </c>
      <c r="E213">
        <v>0.24240999999999999</v>
      </c>
      <c r="F213">
        <v>6959921.2999999998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1</v>
      </c>
      <c r="Q213">
        <f t="shared" si="960"/>
        <v>6959921.2999999998</v>
      </c>
      <c r="R213">
        <f t="shared" si="961"/>
        <v>359083911.47040504</v>
      </c>
      <c r="S213">
        <f t="shared" si="962"/>
        <v>3590.8391147040506</v>
      </c>
      <c r="T213">
        <f t="shared" si="963"/>
        <v>3.5908391147040506</v>
      </c>
    </row>
    <row r="214" spans="1:20" x14ac:dyDescent="0.25">
      <c r="A214" s="5">
        <v>44379</v>
      </c>
      <c r="B214">
        <v>0.23785000000000001</v>
      </c>
      <c r="C214">
        <v>0.23854</v>
      </c>
      <c r="D214">
        <v>0.21787999999999999</v>
      </c>
      <c r="E214">
        <v>0.23549999999999999</v>
      </c>
      <c r="F214">
        <v>8949470.6999999993</v>
      </c>
      <c r="G214">
        <v>0</v>
      </c>
      <c r="L214" t="s">
        <v>8</v>
      </c>
      <c r="M214" t="s">
        <v>7</v>
      </c>
      <c r="N214" t="s">
        <v>8</v>
      </c>
      <c r="P214">
        <f t="shared" si="959"/>
        <v>0.70571151984511005</v>
      </c>
      <c r="Q214">
        <f t="shared" si="960"/>
        <v>6315744.5695062801</v>
      </c>
      <c r="R214">
        <f t="shared" si="961"/>
        <v>352123990.17040503</v>
      </c>
      <c r="S214">
        <f t="shared" si="962"/>
        <v>3521.2399017040502</v>
      </c>
      <c r="T214">
        <f t="shared" si="963"/>
        <v>3.5212399017040501</v>
      </c>
    </row>
    <row r="215" spans="1:20" x14ac:dyDescent="0.25">
      <c r="A215" s="5">
        <v>44378</v>
      </c>
      <c r="B215">
        <v>0.24798000000000001</v>
      </c>
      <c r="C215">
        <v>0.24832000000000001</v>
      </c>
      <c r="D215">
        <v>0.22017999999999999</v>
      </c>
      <c r="E215">
        <v>0.23785000000000001</v>
      </c>
      <c r="F215">
        <v>14907193.699999999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0.25586353944562917</v>
      </c>
      <c r="Q215">
        <f t="shared" si="960"/>
        <v>3814207.3432835843</v>
      </c>
      <c r="R215">
        <f t="shared" si="961"/>
        <v>345808245.60089874</v>
      </c>
      <c r="S215">
        <f t="shared" si="962"/>
        <v>3458.0824560089873</v>
      </c>
      <c r="T215">
        <f t="shared" si="963"/>
        <v>3.4580824560089871</v>
      </c>
    </row>
    <row r="216" spans="1:20" x14ac:dyDescent="0.25">
      <c r="A216" s="5">
        <v>44377</v>
      </c>
      <c r="B216">
        <v>0.22524</v>
      </c>
      <c r="C216">
        <v>0.25641999999999998</v>
      </c>
      <c r="D216">
        <v>0.21762000000000001</v>
      </c>
      <c r="E216">
        <v>0.24826999999999999</v>
      </c>
      <c r="F216">
        <v>40438826.299999997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0.57989690721649501</v>
      </c>
      <c r="Q216">
        <f t="shared" si="960"/>
        <v>23450350.302835055</v>
      </c>
      <c r="R216">
        <f t="shared" si="961"/>
        <v>341994038.25761515</v>
      </c>
      <c r="S216">
        <f t="shared" si="962"/>
        <v>3419.9403825761515</v>
      </c>
      <c r="T216">
        <f t="shared" si="963"/>
        <v>3.4199403825761516</v>
      </c>
    </row>
    <row r="217" spans="1:20" x14ac:dyDescent="0.25">
      <c r="A217" s="5">
        <v>44376</v>
      </c>
      <c r="B217">
        <v>0.20402000000000001</v>
      </c>
      <c r="C217">
        <v>0.22702</v>
      </c>
      <c r="D217">
        <v>0.20327999999999999</v>
      </c>
      <c r="E217">
        <v>0.22584000000000001</v>
      </c>
      <c r="F217">
        <v>16940110.300000001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0.90058972198820675</v>
      </c>
      <c r="Q217">
        <f t="shared" si="960"/>
        <v>15256089.225526558</v>
      </c>
      <c r="R217">
        <f t="shared" si="961"/>
        <v>318543687.9547801</v>
      </c>
      <c r="S217">
        <f t="shared" si="962"/>
        <v>3185.4368795478008</v>
      </c>
      <c r="T217">
        <f t="shared" si="963"/>
        <v>3.185436879547801</v>
      </c>
    </row>
    <row r="218" spans="1:20" x14ac:dyDescent="0.25">
      <c r="A218" s="5">
        <v>44375</v>
      </c>
      <c r="B218">
        <v>0.1918</v>
      </c>
      <c r="C218">
        <v>0.21679999999999999</v>
      </c>
      <c r="D218">
        <v>0.18637000000000001</v>
      </c>
      <c r="E218">
        <v>0.20407</v>
      </c>
      <c r="F218">
        <v>13845277.6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0.16332566546171556</v>
      </c>
      <c r="Q218">
        <f t="shared" si="960"/>
        <v>2261289.1775221839</v>
      </c>
      <c r="R218">
        <f t="shared" si="961"/>
        <v>303287598.72925353</v>
      </c>
      <c r="S218">
        <f t="shared" si="962"/>
        <v>3032.8759872925352</v>
      </c>
      <c r="T218">
        <f t="shared" si="963"/>
        <v>3.032875987292535</v>
      </c>
    </row>
    <row r="219" spans="1:20" x14ac:dyDescent="0.25">
      <c r="A219" s="5">
        <v>44374</v>
      </c>
      <c r="B219">
        <v>0.18917999999999999</v>
      </c>
      <c r="C219">
        <v>0.19486999999999999</v>
      </c>
      <c r="D219">
        <v>0.17826</v>
      </c>
      <c r="E219">
        <v>0.19184000000000001</v>
      </c>
      <c r="F219">
        <v>19259448.800000001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0.63515954244431305</v>
      </c>
      <c r="Q219">
        <f t="shared" si="960"/>
        <v>12232822.687537674</v>
      </c>
      <c r="R219">
        <f t="shared" si="961"/>
        <v>301026309.55173135</v>
      </c>
      <c r="S219">
        <f t="shared" si="962"/>
        <v>3010.2630955173136</v>
      </c>
      <c r="T219">
        <f t="shared" si="963"/>
        <v>3.0102630955173137</v>
      </c>
    </row>
    <row r="220" spans="1:20" x14ac:dyDescent="0.25">
      <c r="A220" s="5">
        <v>44373</v>
      </c>
      <c r="B220">
        <v>0.17718</v>
      </c>
      <c r="C220">
        <v>0.19</v>
      </c>
      <c r="D220">
        <v>0.17025000000000001</v>
      </c>
      <c r="E220">
        <v>0.18870999999999999</v>
      </c>
      <c r="F220">
        <v>13421975.199999999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0.86936708860759349</v>
      </c>
      <c r="Q220">
        <f t="shared" si="960"/>
        <v>11668623.502987321</v>
      </c>
      <c r="R220">
        <f t="shared" si="961"/>
        <v>288793486.86419368</v>
      </c>
      <c r="S220">
        <f t="shared" si="962"/>
        <v>2887.9348686419366</v>
      </c>
      <c r="T220">
        <f t="shared" si="963"/>
        <v>2.8879348686419366</v>
      </c>
    </row>
    <row r="221" spans="1:20" x14ac:dyDescent="0.25">
      <c r="A221" s="5">
        <v>44372</v>
      </c>
      <c r="B221">
        <v>0.19746</v>
      </c>
      <c r="C221">
        <v>0.2034</v>
      </c>
      <c r="D221">
        <v>0.17266000000000001</v>
      </c>
      <c r="E221">
        <v>0.17760999999999999</v>
      </c>
      <c r="F221">
        <v>11737637.5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-0.67794404684450338</v>
      </c>
      <c r="Q221">
        <f t="shared" si="960"/>
        <v>-7957461.4671437992</v>
      </c>
      <c r="R221">
        <f t="shared" si="961"/>
        <v>277124863.36120635</v>
      </c>
      <c r="S221">
        <f t="shared" si="962"/>
        <v>2771.2486336120637</v>
      </c>
      <c r="T221">
        <f t="shared" si="963"/>
        <v>2.7712486336120636</v>
      </c>
    </row>
    <row r="222" spans="1:20" x14ac:dyDescent="0.25">
      <c r="A222" s="5">
        <v>44371</v>
      </c>
      <c r="B222">
        <v>0.18597</v>
      </c>
      <c r="C222">
        <v>0.20762</v>
      </c>
      <c r="D222">
        <v>0.17483000000000001</v>
      </c>
      <c r="E222">
        <v>0.19703000000000001</v>
      </c>
      <c r="F222">
        <v>13774691.5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0.35407136322049448</v>
      </c>
      <c r="Q222">
        <f t="shared" si="960"/>
        <v>4877223.7973467577</v>
      </c>
      <c r="R222">
        <f t="shared" si="961"/>
        <v>285082324.82835013</v>
      </c>
      <c r="S222">
        <f t="shared" si="962"/>
        <v>2850.8232482835015</v>
      </c>
      <c r="T222">
        <f t="shared" si="963"/>
        <v>2.8508232482835014</v>
      </c>
    </row>
    <row r="223" spans="1:20" x14ac:dyDescent="0.25">
      <c r="A223" s="5">
        <v>44370</v>
      </c>
      <c r="B223">
        <v>0.16983999999999999</v>
      </c>
      <c r="C223">
        <v>0.19503000000000001</v>
      </c>
      <c r="D223">
        <v>0.16119</v>
      </c>
      <c r="E223">
        <v>0.18634999999999999</v>
      </c>
      <c r="F223">
        <v>19305232.399999999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0.48699763593380502</v>
      </c>
      <c r="Q223">
        <f t="shared" si="960"/>
        <v>9401602.5399526954</v>
      </c>
      <c r="R223">
        <f t="shared" si="961"/>
        <v>280205101.03100336</v>
      </c>
      <c r="S223">
        <f t="shared" si="962"/>
        <v>2802.0510103100337</v>
      </c>
      <c r="T223">
        <f t="shared" si="963"/>
        <v>2.8020510103100338</v>
      </c>
    </row>
    <row r="224" spans="1:20" x14ac:dyDescent="0.25">
      <c r="A224" s="5">
        <v>44369</v>
      </c>
      <c r="B224">
        <v>0.1736</v>
      </c>
      <c r="C224">
        <v>0.18722</v>
      </c>
      <c r="D224">
        <v>0.14369999999999999</v>
      </c>
      <c r="E224">
        <v>0.1696</v>
      </c>
      <c r="F224">
        <v>27133236.699999999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0.19025735294117668</v>
      </c>
      <c r="Q224">
        <f t="shared" si="960"/>
        <v>5162297.7912683878</v>
      </c>
      <c r="R224">
        <f t="shared" si="961"/>
        <v>270803498.49105066</v>
      </c>
      <c r="S224">
        <f t="shared" si="962"/>
        <v>2708.0349849105064</v>
      </c>
      <c r="T224">
        <f t="shared" si="963"/>
        <v>2.7080349849105065</v>
      </c>
    </row>
    <row r="225" spans="1:20" x14ac:dyDescent="0.25">
      <c r="A225" s="5">
        <v>44368</v>
      </c>
      <c r="B225">
        <v>0.22631999999999999</v>
      </c>
      <c r="C225">
        <v>0.22947999999999999</v>
      </c>
      <c r="D225">
        <v>0.17261000000000001</v>
      </c>
      <c r="E225">
        <v>0.17362</v>
      </c>
      <c r="F225">
        <v>26871968.800000001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-0.96448039388078133</v>
      </c>
      <c r="Q225">
        <f t="shared" si="960"/>
        <v>-25917487.052576069</v>
      </c>
      <c r="R225">
        <f t="shared" si="961"/>
        <v>265641200.69978225</v>
      </c>
      <c r="S225">
        <f t="shared" si="962"/>
        <v>2656.4120069978226</v>
      </c>
      <c r="T225">
        <f t="shared" si="963"/>
        <v>2.6564120069978228</v>
      </c>
    </row>
    <row r="226" spans="1:20" x14ac:dyDescent="0.25">
      <c r="A226" s="5">
        <v>44367</v>
      </c>
      <c r="B226">
        <v>0.22699</v>
      </c>
      <c r="C226">
        <v>0.24129999999999999</v>
      </c>
      <c r="D226">
        <v>0.20699000000000001</v>
      </c>
      <c r="E226">
        <v>0.22636000000000001</v>
      </c>
      <c r="F226">
        <v>17056461.600000001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0.12911687554648849</v>
      </c>
      <c r="Q226">
        <f t="shared" si="960"/>
        <v>2202277.0296706599</v>
      </c>
      <c r="R226">
        <f t="shared" si="961"/>
        <v>291558687.75235832</v>
      </c>
      <c r="S226">
        <f t="shared" si="962"/>
        <v>2915.5868775235831</v>
      </c>
      <c r="T226">
        <f t="shared" si="963"/>
        <v>2.9155868775235829</v>
      </c>
    </row>
    <row r="227" spans="1:20" x14ac:dyDescent="0.25">
      <c r="A227" s="5">
        <v>44366</v>
      </c>
      <c r="B227">
        <v>0.23397000000000001</v>
      </c>
      <c r="C227">
        <v>0.24473</v>
      </c>
      <c r="D227">
        <v>0.22372</v>
      </c>
      <c r="E227">
        <v>0.22677</v>
      </c>
      <c r="F227">
        <v>9411939.3000000007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-0.70966206568300838</v>
      </c>
      <c r="Q227">
        <f t="shared" si="960"/>
        <v>-6679296.2857210888</v>
      </c>
      <c r="R227">
        <f t="shared" si="961"/>
        <v>289356410.72268766</v>
      </c>
      <c r="S227">
        <f t="shared" si="962"/>
        <v>2893.5641072268768</v>
      </c>
      <c r="T227">
        <f t="shared" si="963"/>
        <v>2.8935641072268767</v>
      </c>
    </row>
    <row r="228" spans="1:20" x14ac:dyDescent="0.25">
      <c r="A228" s="5">
        <v>44365</v>
      </c>
      <c r="B228">
        <v>0.25133</v>
      </c>
      <c r="C228">
        <v>0.25775999999999999</v>
      </c>
      <c r="D228">
        <v>0.22267999999999999</v>
      </c>
      <c r="E228">
        <v>0.23408000000000001</v>
      </c>
      <c r="F228">
        <v>10963895.6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-0.35005701254275817</v>
      </c>
      <c r="Q228">
        <f t="shared" si="960"/>
        <v>-3837988.539566691</v>
      </c>
      <c r="R228">
        <f t="shared" si="961"/>
        <v>296035707.00840873</v>
      </c>
      <c r="S228">
        <f t="shared" si="962"/>
        <v>2960.3570700840874</v>
      </c>
      <c r="T228">
        <f t="shared" si="963"/>
        <v>2.9603570700840875</v>
      </c>
    </row>
    <row r="229" spans="1:20" x14ac:dyDescent="0.25">
      <c r="A229" s="5">
        <v>44364</v>
      </c>
      <c r="B229">
        <v>0.25377</v>
      </c>
      <c r="C229">
        <v>0.26493</v>
      </c>
      <c r="D229">
        <v>0.24631</v>
      </c>
      <c r="E229">
        <v>0.25153999999999999</v>
      </c>
      <c r="F229">
        <v>8807468.9000000004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-0.43823845327604882</v>
      </c>
      <c r="Q229">
        <f t="shared" si="960"/>
        <v>-3859771.5480129034</v>
      </c>
      <c r="R229">
        <f t="shared" si="961"/>
        <v>299873695.54797542</v>
      </c>
      <c r="S229">
        <f t="shared" si="962"/>
        <v>2998.7369554797542</v>
      </c>
      <c r="T229">
        <f t="shared" si="963"/>
        <v>2.9987369554797541</v>
      </c>
    </row>
    <row r="230" spans="1:20" x14ac:dyDescent="0.25">
      <c r="A230" s="5">
        <v>44363</v>
      </c>
      <c r="B230">
        <v>0.26957999999999999</v>
      </c>
      <c r="C230">
        <v>0.27161999999999997</v>
      </c>
      <c r="D230">
        <v>0.25067</v>
      </c>
      <c r="E230">
        <v>0.25380000000000003</v>
      </c>
      <c r="F230">
        <v>10524717.1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-0.70119331742243185</v>
      </c>
      <c r="Q230">
        <f t="shared" si="960"/>
        <v>-7379861.298281596</v>
      </c>
      <c r="R230">
        <f t="shared" si="961"/>
        <v>303733467.09598833</v>
      </c>
      <c r="S230">
        <f t="shared" si="962"/>
        <v>3037.3346709598832</v>
      </c>
      <c r="T230">
        <f t="shared" si="963"/>
        <v>3.0373346709598832</v>
      </c>
    </row>
    <row r="231" spans="1:20" x14ac:dyDescent="0.25">
      <c r="A231" s="5">
        <v>44362</v>
      </c>
      <c r="B231">
        <v>0.27528999999999998</v>
      </c>
      <c r="C231">
        <v>0.27911000000000002</v>
      </c>
      <c r="D231">
        <v>0.26167000000000001</v>
      </c>
      <c r="E231">
        <v>0.26961000000000002</v>
      </c>
      <c r="F231">
        <v>11440115.300000001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-8.9449541284403952E-2</v>
      </c>
      <c r="Q231">
        <f t="shared" si="960"/>
        <v>-1023313.0658256913</v>
      </c>
      <c r="R231">
        <f t="shared" si="961"/>
        <v>311113328.39426994</v>
      </c>
      <c r="S231">
        <f t="shared" si="962"/>
        <v>3111.1332839426996</v>
      </c>
      <c r="T231">
        <f t="shared" si="963"/>
        <v>3.1111332839426997</v>
      </c>
    </row>
    <row r="232" spans="1:20" x14ac:dyDescent="0.25">
      <c r="A232" s="5">
        <v>44361</v>
      </c>
      <c r="B232">
        <v>0.26671</v>
      </c>
      <c r="C232">
        <v>0.27998000000000001</v>
      </c>
      <c r="D232">
        <v>0.26029000000000002</v>
      </c>
      <c r="E232">
        <v>0.27555000000000002</v>
      </c>
      <c r="F232">
        <v>14586984.800000001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0.55002539360081337</v>
      </c>
      <c r="Q232">
        <f t="shared" si="960"/>
        <v>8023212.0560690826</v>
      </c>
      <c r="R232">
        <f t="shared" si="961"/>
        <v>312136641.46009564</v>
      </c>
      <c r="S232">
        <f t="shared" si="962"/>
        <v>3121.3664146009564</v>
      </c>
      <c r="T232">
        <f t="shared" si="963"/>
        <v>3.1213664146009563</v>
      </c>
    </row>
    <row r="233" spans="1:20" x14ac:dyDescent="0.25">
      <c r="A233" s="5">
        <v>44360</v>
      </c>
      <c r="B233">
        <v>0.25374000000000002</v>
      </c>
      <c r="C233">
        <v>0.27389000000000002</v>
      </c>
      <c r="D233">
        <v>0.24584</v>
      </c>
      <c r="E233">
        <v>0.26712000000000002</v>
      </c>
      <c r="F233">
        <v>14709144.699999999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0.51729055258467072</v>
      </c>
      <c r="Q233">
        <f t="shared" si="960"/>
        <v>7608901.5899108797</v>
      </c>
      <c r="R233">
        <f t="shared" si="961"/>
        <v>304113429.40402657</v>
      </c>
      <c r="S233">
        <f t="shared" si="962"/>
        <v>3041.1342940402656</v>
      </c>
      <c r="T233">
        <f t="shared" si="963"/>
        <v>3.0411342940402655</v>
      </c>
    </row>
    <row r="234" spans="1:20" x14ac:dyDescent="0.25">
      <c r="A234" s="5">
        <v>44359</v>
      </c>
      <c r="B234">
        <v>0.26543</v>
      </c>
      <c r="C234">
        <v>0.26543</v>
      </c>
      <c r="D234">
        <v>0.24204000000000001</v>
      </c>
      <c r="E234">
        <v>0.25309999999999999</v>
      </c>
      <c r="F234">
        <v>10672763.300000001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-5.4296707994870519E-2</v>
      </c>
      <c r="Q234">
        <f t="shared" si="960"/>
        <v>-579495.91239847068</v>
      </c>
      <c r="R234">
        <f t="shared" si="961"/>
        <v>296504527.8141157</v>
      </c>
      <c r="S234">
        <f t="shared" si="962"/>
        <v>2965.0452781411568</v>
      </c>
      <c r="T234">
        <f t="shared" si="963"/>
        <v>2.9650452781411567</v>
      </c>
    </row>
    <row r="235" spans="1:20" x14ac:dyDescent="0.25">
      <c r="A235" s="5">
        <v>44358</v>
      </c>
      <c r="B235">
        <v>0.29164000000000001</v>
      </c>
      <c r="C235">
        <v>0.31535000000000002</v>
      </c>
      <c r="D235">
        <v>0.25775999999999999</v>
      </c>
      <c r="E235">
        <v>0.26516000000000001</v>
      </c>
      <c r="F235">
        <v>34785672.600000001</v>
      </c>
      <c r="G235">
        <v>0</v>
      </c>
      <c r="L235" t="s">
        <v>8</v>
      </c>
      <c r="M235" t="s">
        <v>8</v>
      </c>
      <c r="N235" t="s">
        <v>7</v>
      </c>
      <c r="P235">
        <f t="shared" si="959"/>
        <v>-0.74301093939920082</v>
      </c>
      <c r="Q235">
        <f t="shared" si="960"/>
        <v>-25846135.276159041</v>
      </c>
      <c r="R235">
        <f t="shared" si="961"/>
        <v>297084023.72651416</v>
      </c>
      <c r="S235">
        <f t="shared" si="962"/>
        <v>2970.8402372651417</v>
      </c>
      <c r="T235">
        <f t="shared" si="963"/>
        <v>2.9708402372651417</v>
      </c>
    </row>
    <row r="236" spans="1:20" x14ac:dyDescent="0.25">
      <c r="A236" s="5">
        <v>44357</v>
      </c>
      <c r="B236">
        <v>0.29604999999999998</v>
      </c>
      <c r="C236">
        <v>0.30917</v>
      </c>
      <c r="D236">
        <v>0.28043000000000001</v>
      </c>
      <c r="E236">
        <v>0.29159000000000002</v>
      </c>
      <c r="F236">
        <v>9710908.3000000007</v>
      </c>
      <c r="G236">
        <v>0</v>
      </c>
      <c r="L236" t="s">
        <v>8</v>
      </c>
      <c r="M236" t="s">
        <v>7</v>
      </c>
      <c r="N236" t="s">
        <v>7</v>
      </c>
      <c r="P236">
        <f t="shared" si="959"/>
        <v>-0.22338204592901822</v>
      </c>
      <c r="Q236">
        <f t="shared" si="960"/>
        <v>-2169242.5638830843</v>
      </c>
      <c r="R236">
        <f t="shared" si="961"/>
        <v>322930159.00267321</v>
      </c>
      <c r="S236">
        <f t="shared" si="962"/>
        <v>3229.3015900267319</v>
      </c>
      <c r="T236">
        <f t="shared" si="963"/>
        <v>3.2293015900267319</v>
      </c>
    </row>
    <row r="237" spans="1:20" x14ac:dyDescent="0.25">
      <c r="A237" s="5">
        <v>44356</v>
      </c>
      <c r="B237">
        <v>0.28442000000000001</v>
      </c>
      <c r="C237">
        <v>0.30043999999999998</v>
      </c>
      <c r="D237">
        <v>0.2767</v>
      </c>
      <c r="E237">
        <v>0.29647000000000001</v>
      </c>
      <c r="F237">
        <v>15151116.4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0.66554338668913426</v>
      </c>
      <c r="Q237">
        <f t="shared" si="960"/>
        <v>10083725.320977284</v>
      </c>
      <c r="R237">
        <f t="shared" si="961"/>
        <v>325099401.56655627</v>
      </c>
      <c r="S237">
        <f t="shared" si="962"/>
        <v>3250.9940156655625</v>
      </c>
      <c r="T237">
        <f t="shared" si="963"/>
        <v>3.2509940156655626</v>
      </c>
    </row>
    <row r="238" spans="1:20" x14ac:dyDescent="0.25">
      <c r="A238" s="5">
        <v>44355</v>
      </c>
      <c r="B238">
        <v>0.29705999999999999</v>
      </c>
      <c r="C238">
        <v>0.30142000000000002</v>
      </c>
      <c r="D238">
        <v>0.25600000000000001</v>
      </c>
      <c r="E238">
        <v>0.28442000000000001</v>
      </c>
      <c r="F238">
        <v>13448479.699999999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0.25143108762659583</v>
      </c>
      <c r="Q238">
        <f t="shared" si="960"/>
        <v>3381365.877895195</v>
      </c>
      <c r="R238">
        <f t="shared" si="961"/>
        <v>315015676.245579</v>
      </c>
      <c r="S238">
        <f t="shared" si="962"/>
        <v>3150.1567624557902</v>
      </c>
      <c r="T238">
        <f t="shared" si="963"/>
        <v>3.15015676245579</v>
      </c>
    </row>
    <row r="239" spans="1:20" x14ac:dyDescent="0.25">
      <c r="A239" s="5">
        <v>44354</v>
      </c>
      <c r="B239">
        <v>0.32556000000000002</v>
      </c>
      <c r="C239">
        <v>0.33788000000000001</v>
      </c>
      <c r="D239">
        <v>0.29409999999999997</v>
      </c>
      <c r="E239">
        <v>0.29705999999999999</v>
      </c>
      <c r="F239">
        <v>8946612.1999999993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-0.86477843764275852</v>
      </c>
      <c r="Q239">
        <f t="shared" si="960"/>
        <v>-7736837.3205116419</v>
      </c>
      <c r="R239">
        <f t="shared" si="961"/>
        <v>311634310.36768383</v>
      </c>
      <c r="S239">
        <f t="shared" si="962"/>
        <v>3116.3431036768384</v>
      </c>
      <c r="T239">
        <f t="shared" si="963"/>
        <v>3.1163431036768383</v>
      </c>
    </row>
    <row r="240" spans="1:20" x14ac:dyDescent="0.25">
      <c r="A240" s="5">
        <v>44353</v>
      </c>
      <c r="B240">
        <v>0.31439</v>
      </c>
      <c r="C240">
        <v>0.33601999999999999</v>
      </c>
      <c r="D240">
        <v>0.31130000000000002</v>
      </c>
      <c r="E240">
        <v>0.32554</v>
      </c>
      <c r="F240">
        <v>9813589.0999999996</v>
      </c>
      <c r="G240">
        <v>0</v>
      </c>
      <c r="L240" t="s">
        <v>7</v>
      </c>
      <c r="M240" t="s">
        <v>7</v>
      </c>
      <c r="N240" t="s">
        <v>7</v>
      </c>
      <c r="P240">
        <f t="shared" si="959"/>
        <v>0.1521035598705498</v>
      </c>
      <c r="Q240">
        <f t="shared" si="960"/>
        <v>1492681.8372168248</v>
      </c>
      <c r="R240">
        <f t="shared" si="961"/>
        <v>319371147.68819547</v>
      </c>
      <c r="S240">
        <f t="shared" si="962"/>
        <v>3193.7114768819547</v>
      </c>
      <c r="T240">
        <f t="shared" si="963"/>
        <v>3.1937114768819548</v>
      </c>
    </row>
    <row r="241" spans="1:20" x14ac:dyDescent="0.25">
      <c r="A241" s="5">
        <v>44352</v>
      </c>
      <c r="B241">
        <v>0.32529000000000002</v>
      </c>
      <c r="C241">
        <v>0.35367999999999999</v>
      </c>
      <c r="D241">
        <v>0.30586999999999998</v>
      </c>
      <c r="E241">
        <v>0.31356000000000001</v>
      </c>
      <c r="F241">
        <v>12649761.6</v>
      </c>
      <c r="G241">
        <v>0</v>
      </c>
      <c r="L241" t="s">
        <v>8</v>
      </c>
      <c r="M241" t="s">
        <v>7</v>
      </c>
      <c r="N241" t="s">
        <v>7</v>
      </c>
      <c r="P241">
        <f t="shared" si="959"/>
        <v>-0.67830997699225992</v>
      </c>
      <c r="Q241">
        <f t="shared" si="960"/>
        <v>-8580459.4998535719</v>
      </c>
      <c r="R241">
        <f t="shared" si="961"/>
        <v>317878465.85097861</v>
      </c>
      <c r="S241">
        <f t="shared" si="962"/>
        <v>3178.7846585097859</v>
      </c>
      <c r="T241">
        <f t="shared" si="963"/>
        <v>3.1787846585097861</v>
      </c>
    </row>
    <row r="242" spans="1:20" x14ac:dyDescent="0.25">
      <c r="A242" s="5">
        <v>44351</v>
      </c>
      <c r="B242">
        <v>0.35639999999999999</v>
      </c>
      <c r="C242">
        <v>0.35714000000000001</v>
      </c>
      <c r="D242">
        <v>0.30808999999999997</v>
      </c>
      <c r="E242">
        <v>0.32469999999999999</v>
      </c>
      <c r="F242">
        <v>16215395.9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-0.32273190621814474</v>
      </c>
      <c r="Q242">
        <f t="shared" si="960"/>
        <v>-5233225.6288888892</v>
      </c>
      <c r="R242">
        <f t="shared" si="961"/>
        <v>326458925.35083216</v>
      </c>
      <c r="S242">
        <f t="shared" si="962"/>
        <v>3264.5892535083217</v>
      </c>
      <c r="T242">
        <f t="shared" si="963"/>
        <v>3.2645892535083219</v>
      </c>
    </row>
    <row r="243" spans="1:20" x14ac:dyDescent="0.25">
      <c r="A243" s="5">
        <v>44350</v>
      </c>
      <c r="B243">
        <v>0.33712999999999999</v>
      </c>
      <c r="C243">
        <v>0.38280999999999998</v>
      </c>
      <c r="D243">
        <v>0.33172000000000001</v>
      </c>
      <c r="E243">
        <v>0.35607</v>
      </c>
      <c r="F243">
        <v>27666125.300000001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-4.6780191818359851E-2</v>
      </c>
      <c r="Q243">
        <f t="shared" si="960"/>
        <v>-1294226.6484047784</v>
      </c>
      <c r="R243">
        <f t="shared" si="961"/>
        <v>331692150.97972107</v>
      </c>
      <c r="S243">
        <f t="shared" si="962"/>
        <v>3316.9215097972105</v>
      </c>
      <c r="T243">
        <f t="shared" si="963"/>
        <v>3.3169215097972105</v>
      </c>
    </row>
    <row r="244" spans="1:20" x14ac:dyDescent="0.25">
      <c r="A244" s="5">
        <v>44349</v>
      </c>
      <c r="B244">
        <v>0.32790999999999998</v>
      </c>
      <c r="C244">
        <v>0.34409000000000001</v>
      </c>
      <c r="D244">
        <v>0.31946000000000002</v>
      </c>
      <c r="E244">
        <v>0.33712999999999999</v>
      </c>
      <c r="F244">
        <v>12483617.5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0.43483556638245829</v>
      </c>
      <c r="Q244">
        <f t="shared" si="960"/>
        <v>5428320.8861144679</v>
      </c>
      <c r="R244">
        <f t="shared" si="961"/>
        <v>332986377.62812585</v>
      </c>
      <c r="S244">
        <f t="shared" si="962"/>
        <v>3329.8637762812587</v>
      </c>
      <c r="T244">
        <f t="shared" si="963"/>
        <v>3.3298637762812588</v>
      </c>
    </row>
    <row r="245" spans="1:20" x14ac:dyDescent="0.25">
      <c r="A245" s="5">
        <v>44348</v>
      </c>
      <c r="B245">
        <v>0.33395999999999998</v>
      </c>
      <c r="C245">
        <v>0.34083999999999998</v>
      </c>
      <c r="D245">
        <v>0.31701000000000001</v>
      </c>
      <c r="E245">
        <v>0.32795999999999997</v>
      </c>
      <c r="F245">
        <v>13384681.800000001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-8.0990348300463533E-2</v>
      </c>
      <c r="Q245">
        <f t="shared" si="960"/>
        <v>-1084030.0408728751</v>
      </c>
      <c r="R245">
        <f t="shared" si="961"/>
        <v>327558056.74201137</v>
      </c>
      <c r="S245">
        <f t="shared" si="962"/>
        <v>3275.5805674201138</v>
      </c>
      <c r="T245">
        <f t="shared" si="963"/>
        <v>3.2755805674201137</v>
      </c>
    </row>
    <row r="246" spans="1:20" x14ac:dyDescent="0.25">
      <c r="A246" s="5">
        <v>44347</v>
      </c>
      <c r="B246">
        <v>0.31291000000000002</v>
      </c>
      <c r="C246">
        <v>0.3528</v>
      </c>
      <c r="D246">
        <v>0.29374</v>
      </c>
      <c r="E246">
        <v>0.33452999999999999</v>
      </c>
      <c r="F246">
        <v>17142553.100000001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0.38130714527599024</v>
      </c>
      <c r="Q246">
        <f t="shared" si="960"/>
        <v>6536577.9853030778</v>
      </c>
      <c r="R246">
        <f t="shared" si="961"/>
        <v>328642086.78288424</v>
      </c>
      <c r="S246">
        <f t="shared" si="962"/>
        <v>3286.4208678288423</v>
      </c>
      <c r="T246">
        <f t="shared" si="963"/>
        <v>3.2864208678288422</v>
      </c>
    </row>
    <row r="247" spans="1:20" x14ac:dyDescent="0.25">
      <c r="A247" s="5">
        <v>44346</v>
      </c>
      <c r="B247">
        <v>0.30567</v>
      </c>
      <c r="C247">
        <v>0.32906999999999997</v>
      </c>
      <c r="D247">
        <v>0.28406999999999999</v>
      </c>
      <c r="E247">
        <v>0.31295000000000001</v>
      </c>
      <c r="F247">
        <v>10091321.699999999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0.28355555555555673</v>
      </c>
      <c r="Q247">
        <f t="shared" si="960"/>
        <v>2861450.330933345</v>
      </c>
      <c r="R247">
        <f t="shared" si="961"/>
        <v>322105508.79758114</v>
      </c>
      <c r="S247">
        <f t="shared" si="962"/>
        <v>3221.0550879758111</v>
      </c>
      <c r="T247">
        <f t="shared" si="963"/>
        <v>3.2210550879758113</v>
      </c>
    </row>
    <row r="248" spans="1:20" x14ac:dyDescent="0.25">
      <c r="A248" s="5">
        <v>44345</v>
      </c>
      <c r="B248">
        <v>0.32221</v>
      </c>
      <c r="C248">
        <v>0.35045999999999999</v>
      </c>
      <c r="D248">
        <v>0.28389999999999999</v>
      </c>
      <c r="E248">
        <v>0.30521999999999999</v>
      </c>
      <c r="F248">
        <v>18670627.100000001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-0.35937499999999989</v>
      </c>
      <c r="Q248">
        <f t="shared" si="960"/>
        <v>-6709756.6140624983</v>
      </c>
      <c r="R248">
        <f t="shared" si="961"/>
        <v>319244058.4666478</v>
      </c>
      <c r="S248">
        <f t="shared" si="962"/>
        <v>3192.4405846664781</v>
      </c>
      <c r="T248">
        <f t="shared" si="963"/>
        <v>3.1924405846664783</v>
      </c>
    </row>
    <row r="249" spans="1:20" x14ac:dyDescent="0.25">
      <c r="A249" s="5">
        <v>44344</v>
      </c>
      <c r="B249">
        <v>0.37082999999999999</v>
      </c>
      <c r="C249">
        <v>0.375</v>
      </c>
      <c r="D249">
        <v>0.30771999999999999</v>
      </c>
      <c r="E249">
        <v>0.32168000000000002</v>
      </c>
      <c r="F249">
        <v>26726412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-0.58501783590963063</v>
      </c>
      <c r="Q249">
        <f t="shared" si="960"/>
        <v>-15635427.709869184</v>
      </c>
      <c r="R249">
        <f t="shared" si="961"/>
        <v>325953815.08071029</v>
      </c>
      <c r="S249">
        <f t="shared" si="962"/>
        <v>3259.5381508071027</v>
      </c>
      <c r="T249">
        <f t="shared" si="963"/>
        <v>3.2595381508071029</v>
      </c>
    </row>
    <row r="250" spans="1:20" x14ac:dyDescent="0.25">
      <c r="A250" s="5">
        <v>44343</v>
      </c>
      <c r="B250">
        <v>0.35851</v>
      </c>
      <c r="C250">
        <v>0.42659999999999998</v>
      </c>
      <c r="D250">
        <v>0.32995999999999998</v>
      </c>
      <c r="E250">
        <v>0.36997999999999998</v>
      </c>
      <c r="F250">
        <v>49708588.600000001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-0.17177152317880798</v>
      </c>
      <c r="Q250">
        <f t="shared" si="960"/>
        <v>-8538519.9788907301</v>
      </c>
      <c r="R250">
        <f t="shared" si="961"/>
        <v>341589242.7905795</v>
      </c>
      <c r="S250">
        <f t="shared" si="962"/>
        <v>3415.8924279057951</v>
      </c>
      <c r="T250">
        <f t="shared" si="963"/>
        <v>3.4158924279057952</v>
      </c>
    </row>
    <row r="251" spans="1:20" x14ac:dyDescent="0.25">
      <c r="A251" s="5">
        <v>44342</v>
      </c>
      <c r="B251">
        <v>0.3231</v>
      </c>
      <c r="C251">
        <v>0.35851</v>
      </c>
      <c r="D251">
        <v>0.31181999999999999</v>
      </c>
      <c r="E251">
        <v>0.35851</v>
      </c>
      <c r="F251">
        <v>21449145.600000001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1</v>
      </c>
      <c r="Q251">
        <f t="shared" si="960"/>
        <v>21449145.600000001</v>
      </c>
      <c r="R251">
        <f t="shared" si="961"/>
        <v>350127762.76947021</v>
      </c>
      <c r="S251">
        <f t="shared" si="962"/>
        <v>3501.277627694702</v>
      </c>
      <c r="T251">
        <f t="shared" si="963"/>
        <v>3.501277627694702</v>
      </c>
    </row>
    <row r="252" spans="1:20" x14ac:dyDescent="0.25">
      <c r="A252" s="5">
        <v>44341</v>
      </c>
      <c r="B252">
        <v>0.32224000000000003</v>
      </c>
      <c r="C252">
        <v>0.33210000000000001</v>
      </c>
      <c r="D252">
        <v>0.28356999999999999</v>
      </c>
      <c r="E252">
        <v>0.32317000000000001</v>
      </c>
      <c r="F252">
        <v>21168759.899999999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0.63198021842159524</v>
      </c>
      <c r="Q252">
        <f t="shared" si="960"/>
        <v>13378237.505316306</v>
      </c>
      <c r="R252">
        <f t="shared" si="961"/>
        <v>328678617.16947019</v>
      </c>
      <c r="S252">
        <f t="shared" si="962"/>
        <v>3286.7861716947018</v>
      </c>
      <c r="T252">
        <f t="shared" si="963"/>
        <v>3.2867861716947018</v>
      </c>
    </row>
    <row r="253" spans="1:20" x14ac:dyDescent="0.25">
      <c r="A253" s="5">
        <v>44340</v>
      </c>
      <c r="B253">
        <v>0.27628000000000003</v>
      </c>
      <c r="C253">
        <v>0.32378000000000001</v>
      </c>
      <c r="D253">
        <v>0.26235999999999998</v>
      </c>
      <c r="E253">
        <v>0.32252999999999998</v>
      </c>
      <c r="F253">
        <v>29305596.800000001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0.95929664604363307</v>
      </c>
      <c r="Q253">
        <f t="shared" si="960"/>
        <v>28112760.720547028</v>
      </c>
      <c r="R253">
        <f t="shared" si="961"/>
        <v>315300379.66415387</v>
      </c>
      <c r="S253">
        <f t="shared" si="962"/>
        <v>3153.0037966415389</v>
      </c>
      <c r="T253">
        <f t="shared" si="963"/>
        <v>3.153003796641539</v>
      </c>
    </row>
    <row r="254" spans="1:20" x14ac:dyDescent="0.25">
      <c r="A254" s="5">
        <v>44339</v>
      </c>
      <c r="B254">
        <v>0.32214999999999999</v>
      </c>
      <c r="C254">
        <v>0.33933999999999997</v>
      </c>
      <c r="D254">
        <v>0.2172</v>
      </c>
      <c r="E254">
        <v>0.27629999999999999</v>
      </c>
      <c r="F254">
        <v>41302991.399999999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-3.2258064516129031E-2</v>
      </c>
      <c r="Q254">
        <f t="shared" si="960"/>
        <v>-1332354.5612903226</v>
      </c>
      <c r="R254">
        <f t="shared" si="961"/>
        <v>287187618.94360685</v>
      </c>
      <c r="S254">
        <f t="shared" si="962"/>
        <v>2871.8761894360687</v>
      </c>
      <c r="T254">
        <f t="shared" si="963"/>
        <v>2.8718761894360685</v>
      </c>
    </row>
    <row r="255" spans="1:20" x14ac:dyDescent="0.25">
      <c r="A255" s="5">
        <v>44338</v>
      </c>
      <c r="B255">
        <v>0.3599</v>
      </c>
      <c r="C255">
        <v>0.36415999999999998</v>
      </c>
      <c r="D255">
        <v>0.30002000000000001</v>
      </c>
      <c r="E255">
        <v>0.32172000000000001</v>
      </c>
      <c r="F255">
        <v>33745230.600000001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-0.32335516058621749</v>
      </c>
      <c r="Q255">
        <f t="shared" si="960"/>
        <v>-10911694.459681941</v>
      </c>
      <c r="R255">
        <f t="shared" si="961"/>
        <v>288519973.50489718</v>
      </c>
      <c r="S255">
        <f t="shared" si="962"/>
        <v>2885.1997350489719</v>
      </c>
      <c r="T255">
        <f t="shared" si="963"/>
        <v>2.885199735048972</v>
      </c>
    </row>
    <row r="256" spans="1:20" x14ac:dyDescent="0.25">
      <c r="A256" s="5">
        <v>44337</v>
      </c>
      <c r="B256">
        <v>0.45955000000000001</v>
      </c>
      <c r="C256">
        <v>0.53154999999999997</v>
      </c>
      <c r="D256">
        <v>0.30359000000000003</v>
      </c>
      <c r="E256">
        <v>0.35972999999999999</v>
      </c>
      <c r="F256">
        <v>88290405.599999994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-0.50745744867520637</v>
      </c>
      <c r="Q256">
        <f t="shared" si="960"/>
        <v>-44803623.968275152</v>
      </c>
      <c r="R256">
        <f t="shared" si="961"/>
        <v>299431667.96457911</v>
      </c>
      <c r="S256">
        <f t="shared" si="962"/>
        <v>2994.3166796457908</v>
      </c>
      <c r="T256">
        <f t="shared" si="963"/>
        <v>2.9943166796457907</v>
      </c>
    </row>
    <row r="257" spans="1:20" x14ac:dyDescent="0.25">
      <c r="A257" s="5">
        <v>44336</v>
      </c>
      <c r="B257">
        <v>0.29254000000000002</v>
      </c>
      <c r="C257">
        <v>0.51</v>
      </c>
      <c r="D257">
        <v>0.25580999999999998</v>
      </c>
      <c r="E257">
        <v>0.45954</v>
      </c>
      <c r="F257">
        <v>82944955.200000003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0.60297415319249381</v>
      </c>
      <c r="Q257">
        <f t="shared" si="960"/>
        <v>50013664.123309337</v>
      </c>
      <c r="R257">
        <f t="shared" si="961"/>
        <v>344235291.93285424</v>
      </c>
      <c r="S257">
        <f t="shared" si="962"/>
        <v>3442.3529193285422</v>
      </c>
      <c r="T257">
        <f t="shared" si="963"/>
        <v>3.4423529193285423</v>
      </c>
    </row>
    <row r="258" spans="1:20" x14ac:dyDescent="0.25">
      <c r="A258" s="5">
        <v>44335</v>
      </c>
      <c r="B258">
        <v>0.42514999999999997</v>
      </c>
      <c r="C258">
        <v>0.43340000000000001</v>
      </c>
      <c r="D258">
        <v>0.19103000000000001</v>
      </c>
      <c r="E258">
        <v>0.29202</v>
      </c>
      <c r="F258">
        <v>49376127.200000003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-0.16664603705079015</v>
      </c>
      <c r="Q258">
        <f t="shared" si="960"/>
        <v>-8228335.9227957278</v>
      </c>
      <c r="R258">
        <f t="shared" si="961"/>
        <v>294221627.80954492</v>
      </c>
      <c r="S258">
        <f t="shared" si="962"/>
        <v>2942.2162780954491</v>
      </c>
      <c r="T258">
        <f t="shared" si="963"/>
        <v>2.9422162780954491</v>
      </c>
    </row>
    <row r="259" spans="1:20" x14ac:dyDescent="0.25">
      <c r="A259" s="5">
        <v>44334</v>
      </c>
      <c r="B259">
        <v>0.40672999999999998</v>
      </c>
      <c r="C259">
        <v>0.45040000000000002</v>
      </c>
      <c r="D259">
        <v>0.40133000000000002</v>
      </c>
      <c r="E259">
        <v>0.42433999999999999</v>
      </c>
      <c r="F259">
        <v>15207008.9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-6.2156103525576781E-2</v>
      </c>
      <c r="Q259">
        <f t="shared" si="960"/>
        <v>-945208.4195027675</v>
      </c>
      <c r="R259">
        <f t="shared" si="961"/>
        <v>302449963.73234063</v>
      </c>
      <c r="S259">
        <f t="shared" si="962"/>
        <v>3024.4996373234062</v>
      </c>
      <c r="T259">
        <f t="shared" si="963"/>
        <v>3.0244996373234061</v>
      </c>
    </row>
    <row r="260" spans="1:20" x14ac:dyDescent="0.25">
      <c r="A260" s="5">
        <v>44333</v>
      </c>
      <c r="B260">
        <v>0.44466</v>
      </c>
      <c r="C260">
        <v>0.44489000000000001</v>
      </c>
      <c r="D260">
        <v>0.38347999999999999</v>
      </c>
      <c r="E260">
        <v>0.40600000000000003</v>
      </c>
      <c r="F260">
        <v>21206795.100000001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-0.26656896270965535</v>
      </c>
      <c r="Q260">
        <f t="shared" si="960"/>
        <v>-5653073.372203202</v>
      </c>
      <c r="R260">
        <f t="shared" si="961"/>
        <v>303395172.15184343</v>
      </c>
      <c r="S260">
        <f t="shared" si="962"/>
        <v>3033.9517215184342</v>
      </c>
      <c r="T260">
        <f t="shared" si="963"/>
        <v>3.033951721518434</v>
      </c>
    </row>
    <row r="261" spans="1:20" x14ac:dyDescent="0.25">
      <c r="A261" s="5">
        <v>44332</v>
      </c>
      <c r="B261">
        <v>0.44423000000000001</v>
      </c>
      <c r="C261">
        <v>0.48263</v>
      </c>
      <c r="D261">
        <v>0.41617999999999999</v>
      </c>
      <c r="E261">
        <v>0.44546000000000002</v>
      </c>
      <c r="F261">
        <v>12970874.5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-0.11873589164785481</v>
      </c>
      <c r="Q261">
        <f t="shared" si="960"/>
        <v>-1540108.3492099228</v>
      </c>
      <c r="R261">
        <f t="shared" si="961"/>
        <v>309048245.52404666</v>
      </c>
      <c r="S261">
        <f t="shared" si="962"/>
        <v>3090.4824552404666</v>
      </c>
      <c r="T261">
        <f t="shared" si="963"/>
        <v>3.0904824552404664</v>
      </c>
    </row>
    <row r="262" spans="1:20" x14ac:dyDescent="0.25">
      <c r="A262" s="5">
        <v>44331</v>
      </c>
      <c r="B262">
        <v>0.48491000000000001</v>
      </c>
      <c r="C262">
        <v>0.51880999999999999</v>
      </c>
      <c r="D262">
        <v>0.44</v>
      </c>
      <c r="E262">
        <v>0.44364999999999999</v>
      </c>
      <c r="F262">
        <v>17991874.800000001</v>
      </c>
      <c r="G262">
        <v>0</v>
      </c>
      <c r="L262" t="s">
        <v>8</v>
      </c>
      <c r="M262" t="s">
        <v>8</v>
      </c>
      <c r="N262" t="s">
        <v>7</v>
      </c>
      <c r="P262">
        <f t="shared" ref="P262:P325" si="964">IF(C262=D262,0,((E262-D262)-(C262-E262))/(C262-D262))</f>
        <v>-0.90737216089328798</v>
      </c>
      <c r="Q262">
        <f t="shared" ref="Q262:Q325" si="965">F262*P262</f>
        <v>-16325326.315797495</v>
      </c>
      <c r="R262">
        <f t="shared" ref="R262:R325" si="966">R263+Q262</f>
        <v>310588353.87325656</v>
      </c>
      <c r="S262">
        <f t="shared" ref="S262:S325" si="967">R262/100000</f>
        <v>3105.8835387325657</v>
      </c>
      <c r="T262">
        <f t="shared" ref="T262:T325" si="968">S262/1000</f>
        <v>3.1058835387325656</v>
      </c>
    </row>
    <row r="263" spans="1:20" x14ac:dyDescent="0.25">
      <c r="A263" s="5">
        <v>44330</v>
      </c>
      <c r="B263">
        <v>0.46390999999999999</v>
      </c>
      <c r="C263">
        <v>0.50253000000000003</v>
      </c>
      <c r="D263">
        <v>0.45440000000000003</v>
      </c>
      <c r="E263">
        <v>0.48492000000000002</v>
      </c>
      <c r="F263">
        <v>13362267.6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0.26823187201329679</v>
      </c>
      <c r="Q263">
        <f t="shared" si="965"/>
        <v>3584186.0526906224</v>
      </c>
      <c r="R263">
        <f t="shared" si="966"/>
        <v>326913680.18905407</v>
      </c>
      <c r="S263">
        <f t="shared" si="967"/>
        <v>3269.1368018905409</v>
      </c>
      <c r="T263">
        <f t="shared" si="968"/>
        <v>3.2691368018905411</v>
      </c>
    </row>
    <row r="264" spans="1:20" x14ac:dyDescent="0.25">
      <c r="A264" s="5">
        <v>44329</v>
      </c>
      <c r="B264">
        <v>0.44993</v>
      </c>
      <c r="C264">
        <v>0.48965999999999998</v>
      </c>
      <c r="D264">
        <v>0.42</v>
      </c>
      <c r="E264">
        <v>0.46448</v>
      </c>
      <c r="F264">
        <v>27518839.600000001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0.27706000574217687</v>
      </c>
      <c r="Q264">
        <f t="shared" si="965"/>
        <v>7624369.8575940449</v>
      </c>
      <c r="R264">
        <f t="shared" si="966"/>
        <v>323329494.13636345</v>
      </c>
      <c r="S264">
        <f t="shared" si="967"/>
        <v>3233.2949413636343</v>
      </c>
      <c r="T264">
        <f t="shared" si="968"/>
        <v>3.2332949413636345</v>
      </c>
    </row>
    <row r="265" spans="1:20" x14ac:dyDescent="0.25">
      <c r="A265" s="5">
        <v>44328</v>
      </c>
      <c r="B265">
        <v>0.53281999999999996</v>
      </c>
      <c r="C265">
        <v>0.54493999999999998</v>
      </c>
      <c r="D265">
        <v>0.44091999999999998</v>
      </c>
      <c r="E265">
        <v>0.45049</v>
      </c>
      <c r="F265">
        <v>20795836.5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-0.81599692366852483</v>
      </c>
      <c r="Q265">
        <f t="shared" si="965"/>
        <v>-16969338.609113622</v>
      </c>
      <c r="R265">
        <f t="shared" si="966"/>
        <v>315705124.27876937</v>
      </c>
      <c r="S265">
        <f t="shared" si="967"/>
        <v>3157.0512427876938</v>
      </c>
      <c r="T265">
        <f t="shared" si="968"/>
        <v>3.157051242787694</v>
      </c>
    </row>
    <row r="266" spans="1:20" x14ac:dyDescent="0.25">
      <c r="A266" s="5">
        <v>44327</v>
      </c>
      <c r="B266">
        <v>0.50519999999999998</v>
      </c>
      <c r="C266">
        <v>0.53298999999999996</v>
      </c>
      <c r="D266">
        <v>0.48769000000000001</v>
      </c>
      <c r="E266">
        <v>0.53237000000000001</v>
      </c>
      <c r="F266">
        <v>16997241.199999999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0.97262693156733093</v>
      </c>
      <c r="Q266">
        <f t="shared" si="965"/>
        <v>16531974.553465817</v>
      </c>
      <c r="R266">
        <f t="shared" si="966"/>
        <v>332674462.88788301</v>
      </c>
      <c r="S266">
        <f t="shared" si="967"/>
        <v>3326.7446288788301</v>
      </c>
      <c r="T266">
        <f t="shared" si="968"/>
        <v>3.32674462887883</v>
      </c>
    </row>
    <row r="267" spans="1:20" x14ac:dyDescent="0.25">
      <c r="A267" s="5">
        <v>44326</v>
      </c>
      <c r="B267">
        <v>0.58555000000000001</v>
      </c>
      <c r="C267">
        <v>0.58974000000000004</v>
      </c>
      <c r="D267">
        <v>0.47199999999999998</v>
      </c>
      <c r="E267">
        <v>0.50575000000000003</v>
      </c>
      <c r="F267">
        <v>23708199.199999999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-0.42670290470528216</v>
      </c>
      <c r="Q267">
        <f t="shared" si="965"/>
        <v>-10116357.463971447</v>
      </c>
      <c r="R267">
        <f t="shared" si="966"/>
        <v>316142488.33441716</v>
      </c>
      <c r="S267">
        <f t="shared" si="967"/>
        <v>3161.4248833441716</v>
      </c>
      <c r="T267">
        <f t="shared" si="968"/>
        <v>3.1614248833441714</v>
      </c>
    </row>
    <row r="268" spans="1:20" x14ac:dyDescent="0.25">
      <c r="A268" s="5">
        <v>44325</v>
      </c>
      <c r="B268">
        <v>0.60465999999999998</v>
      </c>
      <c r="C268">
        <v>0.62229000000000001</v>
      </c>
      <c r="D268">
        <v>0.53313999999999995</v>
      </c>
      <c r="E268">
        <v>0.58552999999999999</v>
      </c>
      <c r="F268">
        <v>24465194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0.17532249018508156</v>
      </c>
      <c r="Q268">
        <f t="shared" si="965"/>
        <v>4289298.7349411165</v>
      </c>
      <c r="R268">
        <f t="shared" si="966"/>
        <v>326258845.7983886</v>
      </c>
      <c r="S268">
        <f t="shared" si="967"/>
        <v>3262.5884579838862</v>
      </c>
      <c r="T268">
        <f t="shared" si="968"/>
        <v>3.2625884579838864</v>
      </c>
    </row>
    <row r="269" spans="1:20" x14ac:dyDescent="0.25">
      <c r="A269" s="5">
        <v>44324</v>
      </c>
      <c r="B269">
        <v>0.59499999999999997</v>
      </c>
      <c r="C269">
        <v>0.69525000000000003</v>
      </c>
      <c r="D269">
        <v>0.58640999999999999</v>
      </c>
      <c r="E269">
        <v>0.60458000000000001</v>
      </c>
      <c r="F269">
        <v>52407661.799999997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-0.66611539875045922</v>
      </c>
      <c r="Q269">
        <f t="shared" si="965"/>
        <v>-34909550.53748621</v>
      </c>
      <c r="R269">
        <f t="shared" si="966"/>
        <v>321969547.06344748</v>
      </c>
      <c r="S269">
        <f t="shared" si="967"/>
        <v>3219.6954706344745</v>
      </c>
      <c r="T269">
        <f t="shared" si="968"/>
        <v>3.2196954706344747</v>
      </c>
    </row>
    <row r="270" spans="1:20" x14ac:dyDescent="0.25">
      <c r="A270" s="5">
        <v>44323</v>
      </c>
      <c r="B270">
        <v>0.58128999999999997</v>
      </c>
      <c r="C270">
        <v>0.64436000000000004</v>
      </c>
      <c r="D270">
        <v>0.55735000000000001</v>
      </c>
      <c r="E270">
        <v>0.59406999999999999</v>
      </c>
      <c r="F270">
        <v>30879060.5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-0.15595908516262588</v>
      </c>
      <c r="Q270">
        <f t="shared" si="965"/>
        <v>-4815870.0262613771</v>
      </c>
      <c r="R270">
        <f t="shared" si="966"/>
        <v>356879097.60093367</v>
      </c>
      <c r="S270">
        <f t="shared" si="967"/>
        <v>3568.7909760093366</v>
      </c>
      <c r="T270">
        <f t="shared" si="968"/>
        <v>3.5687909760093368</v>
      </c>
    </row>
    <row r="271" spans="1:20" x14ac:dyDescent="0.25">
      <c r="A271" s="5">
        <v>44322</v>
      </c>
      <c r="B271">
        <v>0.57991999999999999</v>
      </c>
      <c r="C271">
        <v>0.61346999999999996</v>
      </c>
      <c r="D271">
        <v>0.55249999999999999</v>
      </c>
      <c r="E271">
        <v>0.58167000000000002</v>
      </c>
      <c r="F271">
        <v>26401988.800000001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-4.313596850910139E-2</v>
      </c>
      <c r="Q271">
        <f t="shared" si="965"/>
        <v>-1138875.3574544475</v>
      </c>
      <c r="R271">
        <f t="shared" si="966"/>
        <v>361694967.62719506</v>
      </c>
      <c r="S271">
        <f t="shared" si="967"/>
        <v>3616.9496762719505</v>
      </c>
      <c r="T271">
        <f t="shared" si="968"/>
        <v>3.6169496762719504</v>
      </c>
    </row>
    <row r="272" spans="1:20" x14ac:dyDescent="0.25">
      <c r="A272" s="5">
        <v>44321</v>
      </c>
      <c r="B272">
        <v>0.52910999999999997</v>
      </c>
      <c r="C272">
        <v>0.58418999999999999</v>
      </c>
      <c r="D272">
        <v>0.52220999999999995</v>
      </c>
      <c r="E272">
        <v>0.57991000000000004</v>
      </c>
      <c r="F272">
        <v>19104039.699999999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0.8618909325588916</v>
      </c>
      <c r="Q272">
        <f t="shared" si="965"/>
        <v>16465598.592675086</v>
      </c>
      <c r="R272">
        <f t="shared" si="966"/>
        <v>362833842.98464948</v>
      </c>
      <c r="S272">
        <f t="shared" si="967"/>
        <v>3628.3384298464948</v>
      </c>
      <c r="T272">
        <f t="shared" si="968"/>
        <v>3.6283384298464947</v>
      </c>
    </row>
    <row r="273" spans="1:20" x14ac:dyDescent="0.25">
      <c r="A273" s="5">
        <v>44320</v>
      </c>
      <c r="B273">
        <v>0.58267000000000002</v>
      </c>
      <c r="C273">
        <v>0.58352999999999999</v>
      </c>
      <c r="D273">
        <v>0.51432</v>
      </c>
      <c r="E273">
        <v>0.52856000000000003</v>
      </c>
      <c r="F273">
        <v>21070764.699999999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-0.58849877185377741</v>
      </c>
      <c r="Q273">
        <f t="shared" si="965"/>
        <v>-12400119.147969926</v>
      </c>
      <c r="R273">
        <f t="shared" si="966"/>
        <v>346368244.39197439</v>
      </c>
      <c r="S273">
        <f t="shared" si="967"/>
        <v>3463.6824439197439</v>
      </c>
      <c r="T273">
        <f t="shared" si="968"/>
        <v>3.463682443919744</v>
      </c>
    </row>
    <row r="274" spans="1:20" x14ac:dyDescent="0.25">
      <c r="A274" s="5">
        <v>44319</v>
      </c>
      <c r="B274">
        <v>0.56799999999999995</v>
      </c>
      <c r="C274">
        <v>0.64900000000000002</v>
      </c>
      <c r="D274">
        <v>0.55835000000000001</v>
      </c>
      <c r="E274">
        <v>0.58267000000000002</v>
      </c>
      <c r="F274">
        <v>40706026.700000003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-0.46343077771649188</v>
      </c>
      <c r="Q274">
        <f t="shared" si="965"/>
        <v>-18864425.611329284</v>
      </c>
      <c r="R274">
        <f t="shared" si="966"/>
        <v>358768363.53994429</v>
      </c>
      <c r="S274">
        <f t="shared" si="967"/>
        <v>3587.6836353994431</v>
      </c>
      <c r="T274">
        <f t="shared" si="968"/>
        <v>3.587683635399443</v>
      </c>
    </row>
    <row r="275" spans="1:20" x14ac:dyDescent="0.25">
      <c r="A275" s="5">
        <v>44318</v>
      </c>
      <c r="B275">
        <v>0.53691</v>
      </c>
      <c r="C275">
        <v>0.57242999999999999</v>
      </c>
      <c r="D275">
        <v>0.50453999999999999</v>
      </c>
      <c r="E275">
        <v>0.56776000000000004</v>
      </c>
      <c r="F275">
        <v>21087670.699999999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0.86242451023714972</v>
      </c>
      <c r="Q275">
        <f t="shared" si="965"/>
        <v>18186524.075489793</v>
      </c>
      <c r="R275">
        <f t="shared" si="966"/>
        <v>377632789.15127355</v>
      </c>
      <c r="S275">
        <f t="shared" si="967"/>
        <v>3776.3278915127353</v>
      </c>
      <c r="T275">
        <f t="shared" si="968"/>
        <v>3.7763278915127354</v>
      </c>
    </row>
    <row r="276" spans="1:20" x14ac:dyDescent="0.25">
      <c r="A276" s="5">
        <v>44317</v>
      </c>
      <c r="B276">
        <v>0.52973000000000003</v>
      </c>
      <c r="C276">
        <v>0.55579999999999996</v>
      </c>
      <c r="D276">
        <v>0.51778999999999997</v>
      </c>
      <c r="E276">
        <v>0.53610999999999998</v>
      </c>
      <c r="F276">
        <v>16566769.800000001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-3.6043146540383653E-2</v>
      </c>
      <c r="Q276">
        <f t="shared" si="965"/>
        <v>-597118.51160220243</v>
      </c>
      <c r="R276">
        <f t="shared" si="966"/>
        <v>359446265.07578373</v>
      </c>
      <c r="S276">
        <f t="shared" si="967"/>
        <v>3594.4626507578373</v>
      </c>
      <c r="T276">
        <f t="shared" si="968"/>
        <v>3.5944626507578374</v>
      </c>
    </row>
    <row r="277" spans="1:20" x14ac:dyDescent="0.25">
      <c r="A277" s="5">
        <v>44316</v>
      </c>
      <c r="B277">
        <v>0.51509000000000005</v>
      </c>
      <c r="C277">
        <v>0.53515999999999997</v>
      </c>
      <c r="D277">
        <v>0.49299999999999999</v>
      </c>
      <c r="E277">
        <v>0.52975000000000005</v>
      </c>
      <c r="F277">
        <v>11539911.5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0.74335863377609501</v>
      </c>
      <c r="Q277">
        <f t="shared" si="965"/>
        <v>8578292.846537048</v>
      </c>
      <c r="R277">
        <f t="shared" si="966"/>
        <v>360043383.58738595</v>
      </c>
      <c r="S277">
        <f t="shared" si="967"/>
        <v>3600.4338358738596</v>
      </c>
      <c r="T277">
        <f t="shared" si="968"/>
        <v>3.6004338358738597</v>
      </c>
    </row>
    <row r="278" spans="1:20" x14ac:dyDescent="0.25">
      <c r="A278" s="5">
        <v>44315</v>
      </c>
      <c r="B278">
        <v>0.52034999999999998</v>
      </c>
      <c r="C278">
        <v>0.52798999999999996</v>
      </c>
      <c r="D278">
        <v>0.48135</v>
      </c>
      <c r="E278">
        <v>0.51509000000000005</v>
      </c>
      <c r="F278">
        <v>14792963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0.44682675814751616</v>
      </c>
      <c r="Q278">
        <f t="shared" si="965"/>
        <v>6609891.7006861549</v>
      </c>
      <c r="R278">
        <f t="shared" si="966"/>
        <v>351465090.7408489</v>
      </c>
      <c r="S278">
        <f t="shared" si="967"/>
        <v>3514.6509074084888</v>
      </c>
      <c r="T278">
        <f t="shared" si="968"/>
        <v>3.5146509074084888</v>
      </c>
    </row>
    <row r="279" spans="1:20" x14ac:dyDescent="0.25">
      <c r="A279" s="5">
        <v>44314</v>
      </c>
      <c r="B279">
        <v>0.54874999999999996</v>
      </c>
      <c r="C279">
        <v>0.55457999999999996</v>
      </c>
      <c r="D279">
        <v>0.49014000000000002</v>
      </c>
      <c r="E279">
        <v>0.52039999999999997</v>
      </c>
      <c r="F279">
        <v>15125368.1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-6.0831781502173152E-2</v>
      </c>
      <c r="Q279">
        <f t="shared" si="965"/>
        <v>-920103.08739913988</v>
      </c>
      <c r="R279">
        <f t="shared" si="966"/>
        <v>344855199.04016274</v>
      </c>
      <c r="S279">
        <f t="shared" si="967"/>
        <v>3448.5519904016273</v>
      </c>
      <c r="T279">
        <f t="shared" si="968"/>
        <v>3.4485519904016275</v>
      </c>
    </row>
    <row r="280" spans="1:20" x14ac:dyDescent="0.25">
      <c r="A280" s="5">
        <v>44313</v>
      </c>
      <c r="B280">
        <v>0.52146000000000003</v>
      </c>
      <c r="C280">
        <v>0.54900000000000004</v>
      </c>
      <c r="D280">
        <v>0.50760000000000005</v>
      </c>
      <c r="E280">
        <v>0.54778000000000004</v>
      </c>
      <c r="F280">
        <v>20368842.800000001</v>
      </c>
      <c r="G280">
        <v>0</v>
      </c>
      <c r="L280" t="s">
        <v>7</v>
      </c>
      <c r="M280" t="s">
        <v>8</v>
      </c>
      <c r="N280" t="s">
        <v>8</v>
      </c>
      <c r="P280">
        <f t="shared" si="964"/>
        <v>0.94106280193236724</v>
      </c>
      <c r="Q280">
        <f t="shared" si="965"/>
        <v>19168360.277487926</v>
      </c>
      <c r="R280">
        <f t="shared" si="966"/>
        <v>345775302.12756187</v>
      </c>
      <c r="S280">
        <f t="shared" si="967"/>
        <v>3457.7530212756187</v>
      </c>
      <c r="T280">
        <f t="shared" si="968"/>
        <v>3.4577530212756189</v>
      </c>
    </row>
    <row r="281" spans="1:20" x14ac:dyDescent="0.25">
      <c r="A281" s="5">
        <v>44312</v>
      </c>
      <c r="B281">
        <v>0.42716999999999999</v>
      </c>
      <c r="C281">
        <v>0.54998999999999998</v>
      </c>
      <c r="D281">
        <v>0.42207</v>
      </c>
      <c r="E281">
        <v>0.52132000000000001</v>
      </c>
      <c r="F281">
        <v>37926853.700000003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0.55175109443402159</v>
      </c>
      <c r="Q281">
        <f t="shared" si="965"/>
        <v>20926183.037414022</v>
      </c>
      <c r="R281">
        <f t="shared" si="966"/>
        <v>326606941.85007393</v>
      </c>
      <c r="S281">
        <f t="shared" si="967"/>
        <v>3266.0694185007392</v>
      </c>
      <c r="T281">
        <f t="shared" si="968"/>
        <v>3.2660694185007393</v>
      </c>
    </row>
    <row r="282" spans="1:20" x14ac:dyDescent="0.25">
      <c r="A282" s="5">
        <v>44311</v>
      </c>
      <c r="B282">
        <v>0.41685</v>
      </c>
      <c r="C282">
        <v>0.46306999999999998</v>
      </c>
      <c r="D282">
        <v>0.40000999999999998</v>
      </c>
      <c r="E282">
        <v>0.42703999999999998</v>
      </c>
      <c r="F282">
        <v>13434341.1</v>
      </c>
      <c r="G282">
        <v>0</v>
      </c>
      <c r="L282" t="s">
        <v>7</v>
      </c>
      <c r="M282" t="s">
        <v>8</v>
      </c>
      <c r="N282" t="s">
        <v>8</v>
      </c>
      <c r="P282">
        <f t="shared" si="964"/>
        <v>-0.1427212178877261</v>
      </c>
      <c r="Q282">
        <f t="shared" si="965"/>
        <v>-1917365.523311134</v>
      </c>
      <c r="R282">
        <f t="shared" si="966"/>
        <v>305680758.81265992</v>
      </c>
      <c r="S282">
        <f t="shared" si="967"/>
        <v>3056.8075881265991</v>
      </c>
      <c r="T282">
        <f t="shared" si="968"/>
        <v>3.056807588126599</v>
      </c>
    </row>
    <row r="283" spans="1:20" x14ac:dyDescent="0.25">
      <c r="A283" s="5">
        <v>44310</v>
      </c>
      <c r="B283">
        <v>0.46110000000000001</v>
      </c>
      <c r="C283">
        <v>0.46195999999999998</v>
      </c>
      <c r="D283">
        <v>0.41227000000000003</v>
      </c>
      <c r="E283">
        <v>0.41688999999999998</v>
      </c>
      <c r="F283">
        <v>16735094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-0.81404709197021685</v>
      </c>
      <c r="Q283">
        <f t="shared" si="965"/>
        <v>-13623154.604548223</v>
      </c>
      <c r="R283">
        <f t="shared" si="966"/>
        <v>307598124.33597106</v>
      </c>
      <c r="S283">
        <f t="shared" si="967"/>
        <v>3075.9812433597108</v>
      </c>
      <c r="T283">
        <f t="shared" si="968"/>
        <v>3.0759812433597107</v>
      </c>
    </row>
    <row r="284" spans="1:20" x14ac:dyDescent="0.25">
      <c r="A284" s="5">
        <v>44309</v>
      </c>
      <c r="B284">
        <v>0.46536</v>
      </c>
      <c r="C284">
        <v>0.48748000000000002</v>
      </c>
      <c r="D284">
        <v>0.27612999999999999</v>
      </c>
      <c r="E284">
        <v>0.46109</v>
      </c>
      <c r="F284">
        <v>50633481.399999999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0.75027206056304685</v>
      </c>
      <c r="Q284">
        <f t="shared" si="965"/>
        <v>37988886.423458703</v>
      </c>
      <c r="R284">
        <f t="shared" si="966"/>
        <v>321221278.94051927</v>
      </c>
      <c r="S284">
        <f t="shared" si="967"/>
        <v>3212.2127894051928</v>
      </c>
      <c r="T284">
        <f t="shared" si="968"/>
        <v>3.2122127894051928</v>
      </c>
    </row>
    <row r="285" spans="1:20" x14ac:dyDescent="0.25">
      <c r="A285" s="5">
        <v>44308</v>
      </c>
      <c r="B285">
        <v>0.54242999999999997</v>
      </c>
      <c r="C285">
        <v>0.56003000000000003</v>
      </c>
      <c r="D285">
        <v>0.46104000000000001</v>
      </c>
      <c r="E285">
        <v>0.46527000000000002</v>
      </c>
      <c r="F285">
        <v>25414364.600000001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-0.91453682190120189</v>
      </c>
      <c r="Q285">
        <f t="shared" si="965"/>
        <v>-23242372.23192241</v>
      </c>
      <c r="R285">
        <f t="shared" si="966"/>
        <v>283232392.51706058</v>
      </c>
      <c r="S285">
        <f t="shared" si="967"/>
        <v>2832.3239251706059</v>
      </c>
      <c r="T285">
        <f t="shared" si="968"/>
        <v>2.832323925170606</v>
      </c>
    </row>
    <row r="286" spans="1:20" x14ac:dyDescent="0.25">
      <c r="A286" s="5">
        <v>44307</v>
      </c>
      <c r="B286">
        <v>0.58908000000000005</v>
      </c>
      <c r="C286">
        <v>0.58975999999999995</v>
      </c>
      <c r="D286">
        <v>0.53798999999999997</v>
      </c>
      <c r="E286">
        <v>0.54247999999999996</v>
      </c>
      <c r="F286">
        <v>24616736.100000001</v>
      </c>
      <c r="G286">
        <v>0</v>
      </c>
      <c r="L286" t="s">
        <v>7</v>
      </c>
      <c r="M286" t="s">
        <v>8</v>
      </c>
      <c r="N286" t="s">
        <v>8</v>
      </c>
      <c r="P286">
        <f t="shared" si="964"/>
        <v>-0.82654046745219256</v>
      </c>
      <c r="Q286">
        <f t="shared" si="965"/>
        <v>-20346728.563241266</v>
      </c>
      <c r="R286">
        <f t="shared" si="966"/>
        <v>306474764.74898297</v>
      </c>
      <c r="S286">
        <f t="shared" si="967"/>
        <v>3064.7476474898294</v>
      </c>
      <c r="T286">
        <f t="shared" si="968"/>
        <v>3.0647476474898294</v>
      </c>
    </row>
    <row r="287" spans="1:20" x14ac:dyDescent="0.25">
      <c r="A287" s="5">
        <v>44306</v>
      </c>
      <c r="B287">
        <v>0.51483000000000001</v>
      </c>
      <c r="C287">
        <v>0.63224000000000002</v>
      </c>
      <c r="D287">
        <v>0.47015000000000001</v>
      </c>
      <c r="E287">
        <v>0.58908000000000005</v>
      </c>
      <c r="F287">
        <v>86564001.099999994</v>
      </c>
      <c r="G287">
        <v>0</v>
      </c>
      <c r="L287" t="s">
        <v>8</v>
      </c>
      <c r="M287" t="s">
        <v>7</v>
      </c>
      <c r="N287" t="s">
        <v>8</v>
      </c>
      <c r="P287">
        <f t="shared" si="964"/>
        <v>0.46745635140971098</v>
      </c>
      <c r="Q287">
        <f t="shared" si="965"/>
        <v>40464892.117632203</v>
      </c>
      <c r="R287">
        <f t="shared" si="966"/>
        <v>326821493.31222421</v>
      </c>
      <c r="S287">
        <f t="shared" si="967"/>
        <v>3268.2149331222422</v>
      </c>
      <c r="T287">
        <f t="shared" si="968"/>
        <v>3.2682149331222421</v>
      </c>
    </row>
    <row r="288" spans="1:20" x14ac:dyDescent="0.25">
      <c r="A288" s="5">
        <v>44305</v>
      </c>
      <c r="B288">
        <v>0.56608000000000003</v>
      </c>
      <c r="C288">
        <v>0.61745000000000005</v>
      </c>
      <c r="D288">
        <v>0.49920999999999999</v>
      </c>
      <c r="E288">
        <v>0.51354</v>
      </c>
      <c r="F288">
        <v>37252784.600000001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-0.75761163734776726</v>
      </c>
      <c r="Q288">
        <f t="shared" si="965"/>
        <v>-28223143.13656969</v>
      </c>
      <c r="R288">
        <f t="shared" si="966"/>
        <v>286356601.194592</v>
      </c>
      <c r="S288">
        <f t="shared" si="967"/>
        <v>2863.5660119459199</v>
      </c>
      <c r="T288">
        <f t="shared" si="968"/>
        <v>2.8635660119459199</v>
      </c>
    </row>
    <row r="289" spans="1:20" x14ac:dyDescent="0.25">
      <c r="A289" s="5">
        <v>44304</v>
      </c>
      <c r="B289">
        <v>0.64695999999999998</v>
      </c>
      <c r="C289">
        <v>0.64998</v>
      </c>
      <c r="D289">
        <v>0.44</v>
      </c>
      <c r="E289">
        <v>0.56686000000000003</v>
      </c>
      <c r="F289">
        <v>43218284.399999999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0.20830555290980121</v>
      </c>
      <c r="Q289">
        <f t="shared" si="965"/>
        <v>9002608.6277550366</v>
      </c>
      <c r="R289">
        <f t="shared" si="966"/>
        <v>314579744.33116168</v>
      </c>
      <c r="S289">
        <f t="shared" si="967"/>
        <v>3145.7974433116169</v>
      </c>
      <c r="T289">
        <f t="shared" si="968"/>
        <v>3.1457974433116167</v>
      </c>
    </row>
    <row r="290" spans="1:20" x14ac:dyDescent="0.25">
      <c r="A290" s="5">
        <v>44303</v>
      </c>
      <c r="B290">
        <v>0.66103000000000001</v>
      </c>
      <c r="C290">
        <v>0.68677999999999995</v>
      </c>
      <c r="D290">
        <v>0.63243000000000005</v>
      </c>
      <c r="E290">
        <v>0.64617000000000002</v>
      </c>
      <c r="F290">
        <v>24005467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-0.49438822447102115</v>
      </c>
      <c r="Q290">
        <f t="shared" si="965"/>
        <v>-11868020.207727691</v>
      </c>
      <c r="R290">
        <f t="shared" si="966"/>
        <v>305577135.70340663</v>
      </c>
      <c r="S290">
        <f t="shared" si="967"/>
        <v>3055.7713570340661</v>
      </c>
      <c r="T290">
        <f t="shared" si="968"/>
        <v>3.0557713570340663</v>
      </c>
    </row>
    <row r="291" spans="1:20" x14ac:dyDescent="0.25">
      <c r="A291" s="5">
        <v>44302</v>
      </c>
      <c r="B291">
        <v>0.71894000000000002</v>
      </c>
      <c r="C291">
        <v>0.72187000000000001</v>
      </c>
      <c r="D291">
        <v>0.63</v>
      </c>
      <c r="E291">
        <v>0.66100000000000003</v>
      </c>
      <c r="F291">
        <v>23738830.800000001</v>
      </c>
      <c r="G291">
        <v>0</v>
      </c>
      <c r="L291" t="s">
        <v>7</v>
      </c>
      <c r="M291" t="s">
        <v>8</v>
      </c>
      <c r="N291" t="s">
        <v>8</v>
      </c>
      <c r="P291">
        <f t="shared" si="964"/>
        <v>-0.32513334058996352</v>
      </c>
      <c r="Q291">
        <f t="shared" si="965"/>
        <v>-7718285.3597039161</v>
      </c>
      <c r="R291">
        <f t="shared" si="966"/>
        <v>317445155.9111343</v>
      </c>
      <c r="S291">
        <f t="shared" si="967"/>
        <v>3174.4515591113432</v>
      </c>
      <c r="T291">
        <f t="shared" si="968"/>
        <v>3.1744515591113434</v>
      </c>
    </row>
    <row r="292" spans="1:20" x14ac:dyDescent="0.25">
      <c r="A292" s="5">
        <v>44301</v>
      </c>
      <c r="B292">
        <v>0.65895999999999999</v>
      </c>
      <c r="C292">
        <v>0.72650000000000003</v>
      </c>
      <c r="D292">
        <v>0.64288000000000001</v>
      </c>
      <c r="E292">
        <v>0.71796000000000004</v>
      </c>
      <c r="F292">
        <v>28731640.100000001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0.79574264530016769</v>
      </c>
      <c r="Q292">
        <f t="shared" si="965"/>
        <v>22862991.296986375</v>
      </c>
      <c r="R292">
        <f t="shared" si="966"/>
        <v>325163441.2708382</v>
      </c>
      <c r="S292">
        <f t="shared" si="967"/>
        <v>3251.6344127083821</v>
      </c>
      <c r="T292">
        <f t="shared" si="968"/>
        <v>3.2516344127083823</v>
      </c>
    </row>
    <row r="293" spans="1:20" x14ac:dyDescent="0.25">
      <c r="A293" s="5">
        <v>44300</v>
      </c>
      <c r="B293">
        <v>0.70379999999999998</v>
      </c>
      <c r="C293">
        <v>0.70623000000000002</v>
      </c>
      <c r="D293">
        <v>0.61636999999999997</v>
      </c>
      <c r="E293">
        <v>0.6583</v>
      </c>
      <c r="F293">
        <v>25969088</v>
      </c>
      <c r="G293">
        <v>0</v>
      </c>
      <c r="L293" t="s">
        <v>7</v>
      </c>
      <c r="M293" t="s">
        <v>8</v>
      </c>
      <c r="N293" t="s">
        <v>8</v>
      </c>
      <c r="P293">
        <f t="shared" si="964"/>
        <v>-6.6770531938571132E-2</v>
      </c>
      <c r="Q293">
        <f t="shared" si="965"/>
        <v>-1733969.8197195644</v>
      </c>
      <c r="R293">
        <f t="shared" si="966"/>
        <v>302300449.9738518</v>
      </c>
      <c r="S293">
        <f t="shared" si="967"/>
        <v>3023.004499738518</v>
      </c>
      <c r="T293">
        <f t="shared" si="968"/>
        <v>3.0230044997385179</v>
      </c>
    </row>
    <row r="294" spans="1:20" x14ac:dyDescent="0.25">
      <c r="A294" s="5">
        <v>44299</v>
      </c>
      <c r="B294">
        <v>0.64444999999999997</v>
      </c>
      <c r="C294">
        <v>0.70499999999999996</v>
      </c>
      <c r="D294">
        <v>0.60829999999999995</v>
      </c>
      <c r="E294">
        <v>0.70467999999999997</v>
      </c>
      <c r="F294">
        <v>31397677.399999999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0.99338159255429193</v>
      </c>
      <c r="Q294">
        <f t="shared" si="965"/>
        <v>31189874.778117899</v>
      </c>
      <c r="R294">
        <f t="shared" si="966"/>
        <v>304034419.79357135</v>
      </c>
      <c r="S294">
        <f t="shared" si="967"/>
        <v>3040.3441979357135</v>
      </c>
      <c r="T294">
        <f t="shared" si="968"/>
        <v>3.0403441979357133</v>
      </c>
    </row>
    <row r="295" spans="1:20" x14ac:dyDescent="0.25">
      <c r="A295" s="5">
        <v>44298</v>
      </c>
      <c r="B295">
        <v>0.65805000000000002</v>
      </c>
      <c r="C295">
        <v>0.67500000000000004</v>
      </c>
      <c r="D295">
        <v>0.61324999999999996</v>
      </c>
      <c r="E295">
        <v>0.64456000000000002</v>
      </c>
      <c r="F295">
        <v>30793682</v>
      </c>
      <c r="G295">
        <v>0</v>
      </c>
      <c r="L295" t="s">
        <v>8</v>
      </c>
      <c r="M295" t="s">
        <v>8</v>
      </c>
      <c r="N295" t="s">
        <v>7</v>
      </c>
      <c r="P295">
        <f t="shared" si="964"/>
        <v>1.4089068825911518E-2</v>
      </c>
      <c r="Q295">
        <f t="shared" si="965"/>
        <v>433854.30510123266</v>
      </c>
      <c r="R295">
        <f t="shared" si="966"/>
        <v>272844545.01545346</v>
      </c>
      <c r="S295">
        <f t="shared" si="967"/>
        <v>2728.4454501545347</v>
      </c>
      <c r="T295">
        <f t="shared" si="968"/>
        <v>2.7284454501545348</v>
      </c>
    </row>
    <row r="296" spans="1:20" x14ac:dyDescent="0.25">
      <c r="A296" s="5">
        <v>44297</v>
      </c>
      <c r="B296">
        <v>0.59475999999999996</v>
      </c>
      <c r="C296">
        <v>0.66220999999999997</v>
      </c>
      <c r="D296">
        <v>0.55337999999999998</v>
      </c>
      <c r="E296">
        <v>0.65564</v>
      </c>
      <c r="F296">
        <v>38788953.799999997</v>
      </c>
      <c r="G296">
        <v>0</v>
      </c>
      <c r="L296" t="s">
        <v>8</v>
      </c>
      <c r="M296" t="s">
        <v>8</v>
      </c>
      <c r="N296" t="s">
        <v>7</v>
      </c>
      <c r="P296">
        <f t="shared" si="964"/>
        <v>0.87926123311586946</v>
      </c>
      <c r="Q296">
        <f t="shared" si="965"/>
        <v>34105623.349462487</v>
      </c>
      <c r="R296">
        <f t="shared" si="966"/>
        <v>272410690.71035224</v>
      </c>
      <c r="S296">
        <f t="shared" si="967"/>
        <v>2724.1069071035226</v>
      </c>
      <c r="T296">
        <f t="shared" si="968"/>
        <v>2.7241069071035224</v>
      </c>
    </row>
    <row r="297" spans="1:20" x14ac:dyDescent="0.25">
      <c r="A297" s="5">
        <v>44296</v>
      </c>
      <c r="B297">
        <v>0.59523000000000004</v>
      </c>
      <c r="C297">
        <v>0.63593</v>
      </c>
      <c r="D297">
        <v>0.57391000000000003</v>
      </c>
      <c r="E297">
        <v>0.59404000000000001</v>
      </c>
      <c r="F297">
        <v>31189222.399999999</v>
      </c>
      <c r="G297">
        <v>0</v>
      </c>
      <c r="L297" t="s">
        <v>8</v>
      </c>
      <c r="M297" t="s">
        <v>8</v>
      </c>
      <c r="N297" t="s">
        <v>7</v>
      </c>
      <c r="P297">
        <f t="shared" si="964"/>
        <v>-0.3508545630441795</v>
      </c>
      <c r="Q297">
        <f t="shared" si="965"/>
        <v>-10942880.996839736</v>
      </c>
      <c r="R297">
        <f t="shared" si="966"/>
        <v>238305067.36088973</v>
      </c>
      <c r="S297">
        <f t="shared" si="967"/>
        <v>2383.0506736088973</v>
      </c>
      <c r="T297">
        <f t="shared" si="968"/>
        <v>2.3830506736088974</v>
      </c>
    </row>
    <row r="298" spans="1:20" x14ac:dyDescent="0.25">
      <c r="A298" s="5">
        <v>44295</v>
      </c>
      <c r="B298">
        <v>0.58420000000000005</v>
      </c>
      <c r="C298">
        <v>0.61224999999999996</v>
      </c>
      <c r="D298">
        <v>0.56120000000000003</v>
      </c>
      <c r="E298">
        <v>0.59530000000000005</v>
      </c>
      <c r="F298">
        <v>25824797.399999999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0.33594515181195167</v>
      </c>
      <c r="Q298">
        <f t="shared" si="965"/>
        <v>8675715.4830558952</v>
      </c>
      <c r="R298">
        <f t="shared" si="966"/>
        <v>249247948.35772946</v>
      </c>
      <c r="S298">
        <f t="shared" si="967"/>
        <v>2492.4794835772946</v>
      </c>
      <c r="T298">
        <f t="shared" si="968"/>
        <v>2.4924794835772945</v>
      </c>
    </row>
    <row r="299" spans="1:20" x14ac:dyDescent="0.25">
      <c r="A299" s="5">
        <v>44294</v>
      </c>
      <c r="B299">
        <v>0.53412000000000004</v>
      </c>
      <c r="C299">
        <v>0.58711000000000002</v>
      </c>
      <c r="D299">
        <v>0.53054000000000001</v>
      </c>
      <c r="E299">
        <v>0.58330000000000004</v>
      </c>
      <c r="F299">
        <v>18606870.800000001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0.86529962877850519</v>
      </c>
      <c r="Q299">
        <f t="shared" si="965"/>
        <v>16100518.395969609</v>
      </c>
      <c r="R299">
        <f t="shared" si="966"/>
        <v>240572232.87467358</v>
      </c>
      <c r="S299">
        <f t="shared" si="967"/>
        <v>2405.7223287467359</v>
      </c>
      <c r="T299">
        <f t="shared" si="968"/>
        <v>2.405722328746736</v>
      </c>
    </row>
    <row r="300" spans="1:20" x14ac:dyDescent="0.25">
      <c r="A300" s="5">
        <v>44293</v>
      </c>
      <c r="B300">
        <v>0.60492999999999997</v>
      </c>
      <c r="C300">
        <v>0.60624</v>
      </c>
      <c r="D300">
        <v>0.49501000000000001</v>
      </c>
      <c r="E300">
        <v>0.53402000000000005</v>
      </c>
      <c r="F300">
        <v>45745567.700000003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-0.29857052953339841</v>
      </c>
      <c r="Q300">
        <f t="shared" si="965"/>
        <v>-13658278.371994928</v>
      </c>
      <c r="R300">
        <f t="shared" si="966"/>
        <v>224471714.47870398</v>
      </c>
      <c r="S300">
        <f t="shared" si="967"/>
        <v>2244.7171447870396</v>
      </c>
      <c r="T300">
        <f t="shared" si="968"/>
        <v>2.2447171447870398</v>
      </c>
    </row>
    <row r="301" spans="1:20" x14ac:dyDescent="0.25">
      <c r="A301" s="5">
        <v>44292</v>
      </c>
      <c r="B301">
        <v>0.61165000000000003</v>
      </c>
      <c r="C301">
        <v>0.62561999999999995</v>
      </c>
      <c r="D301">
        <v>0.57193000000000005</v>
      </c>
      <c r="E301">
        <v>0.60385999999999995</v>
      </c>
      <c r="F301">
        <v>44412602.899999999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0.18942074874278114</v>
      </c>
      <c r="Q301">
        <f t="shared" si="965"/>
        <v>8412668.4949338119</v>
      </c>
      <c r="R301">
        <f t="shared" si="966"/>
        <v>238129992.85069892</v>
      </c>
      <c r="S301">
        <f t="shared" si="967"/>
        <v>2381.2999285069891</v>
      </c>
      <c r="T301">
        <f t="shared" si="968"/>
        <v>2.3812999285069889</v>
      </c>
    </row>
    <row r="302" spans="1:20" x14ac:dyDescent="0.25">
      <c r="A302" s="5">
        <v>44291</v>
      </c>
      <c r="B302">
        <v>0.63007999999999997</v>
      </c>
      <c r="C302">
        <v>0.67784999999999995</v>
      </c>
      <c r="D302">
        <v>0.60185999999999995</v>
      </c>
      <c r="E302">
        <v>0.61163999999999996</v>
      </c>
      <c r="F302">
        <v>40482859.5</v>
      </c>
      <c r="G302">
        <v>0</v>
      </c>
      <c r="L302" t="s">
        <v>8</v>
      </c>
      <c r="M302" t="s">
        <v>7</v>
      </c>
      <c r="N302" t="s">
        <v>8</v>
      </c>
      <c r="P302">
        <f t="shared" si="964"/>
        <v>-0.74259771022502929</v>
      </c>
      <c r="Q302">
        <f t="shared" si="965"/>
        <v>-30062478.768061575</v>
      </c>
      <c r="R302">
        <f t="shared" si="966"/>
        <v>229717324.3557651</v>
      </c>
      <c r="S302">
        <f t="shared" si="967"/>
        <v>2297.1732435576509</v>
      </c>
      <c r="T302">
        <f t="shared" si="968"/>
        <v>2.2971732435576508</v>
      </c>
    </row>
    <row r="303" spans="1:20" x14ac:dyDescent="0.25">
      <c r="A303" s="5">
        <v>44290</v>
      </c>
      <c r="B303">
        <v>0.60129999999999995</v>
      </c>
      <c r="C303">
        <v>0.63400000000000001</v>
      </c>
      <c r="D303">
        <v>0.59065000000000001</v>
      </c>
      <c r="E303">
        <v>0.63007999999999997</v>
      </c>
      <c r="F303">
        <v>25665891.399999999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0.81914648212225905</v>
      </c>
      <c r="Q303">
        <f t="shared" si="965"/>
        <v>21024124.65084194</v>
      </c>
      <c r="R303">
        <f t="shared" si="966"/>
        <v>259779803.12382668</v>
      </c>
      <c r="S303">
        <f t="shared" si="967"/>
        <v>2597.798031238267</v>
      </c>
      <c r="T303">
        <f t="shared" si="968"/>
        <v>2.5977980312382671</v>
      </c>
    </row>
    <row r="304" spans="1:20" x14ac:dyDescent="0.25">
      <c r="A304" s="5">
        <v>44289</v>
      </c>
      <c r="B304">
        <v>0.68628999999999996</v>
      </c>
      <c r="C304">
        <v>0.69691000000000003</v>
      </c>
      <c r="D304">
        <v>0.59675</v>
      </c>
      <c r="E304">
        <v>0.60155000000000003</v>
      </c>
      <c r="F304">
        <v>69498184.200000003</v>
      </c>
      <c r="G304">
        <v>0</v>
      </c>
      <c r="L304" t="s">
        <v>8</v>
      </c>
      <c r="M304" t="s">
        <v>7</v>
      </c>
      <c r="N304" t="s">
        <v>8</v>
      </c>
      <c r="P304">
        <f t="shared" si="964"/>
        <v>-0.90415335463258739</v>
      </c>
      <c r="Q304">
        <f t="shared" si="965"/>
        <v>-62837016.385303482</v>
      </c>
      <c r="R304">
        <f t="shared" si="966"/>
        <v>238755678.47298473</v>
      </c>
      <c r="S304">
        <f t="shared" si="967"/>
        <v>2387.5567847298471</v>
      </c>
      <c r="T304">
        <f t="shared" si="968"/>
        <v>2.3875567847298469</v>
      </c>
    </row>
    <row r="305" spans="1:20" x14ac:dyDescent="0.25">
      <c r="A305" s="5">
        <v>44288</v>
      </c>
      <c r="B305">
        <v>0.53315000000000001</v>
      </c>
      <c r="C305">
        <v>0.78088999999999997</v>
      </c>
      <c r="D305">
        <v>0.51324999999999998</v>
      </c>
      <c r="E305">
        <v>0.68615000000000004</v>
      </c>
      <c r="F305">
        <v>129141973.7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0.29203407562397293</v>
      </c>
      <c r="Q305">
        <f t="shared" si="965"/>
        <v>37713856.913734928</v>
      </c>
      <c r="R305">
        <f t="shared" si="966"/>
        <v>301592694.85828823</v>
      </c>
      <c r="S305">
        <f t="shared" si="967"/>
        <v>3015.9269485828822</v>
      </c>
      <c r="T305">
        <f t="shared" si="968"/>
        <v>3.0159269485828823</v>
      </c>
    </row>
    <row r="306" spans="1:20" x14ac:dyDescent="0.25">
      <c r="A306" s="5">
        <v>44287</v>
      </c>
      <c r="B306">
        <v>0.56050999999999995</v>
      </c>
      <c r="C306">
        <v>0.57098000000000004</v>
      </c>
      <c r="D306">
        <v>0.52232000000000001</v>
      </c>
      <c r="E306">
        <v>0.53291999999999995</v>
      </c>
      <c r="F306">
        <v>22411121</v>
      </c>
      <c r="G306">
        <v>0</v>
      </c>
      <c r="L306" t="s">
        <v>7</v>
      </c>
      <c r="M306" t="s">
        <v>8</v>
      </c>
      <c r="N306" t="s">
        <v>8</v>
      </c>
      <c r="P306">
        <f t="shared" si="964"/>
        <v>-0.56432387998356204</v>
      </c>
      <c r="Q306">
        <f t="shared" si="965"/>
        <v>-12647130.757501086</v>
      </c>
      <c r="R306">
        <f t="shared" si="966"/>
        <v>263878837.94455329</v>
      </c>
      <c r="S306">
        <f t="shared" si="967"/>
        <v>2638.7883794455329</v>
      </c>
      <c r="T306">
        <f t="shared" si="968"/>
        <v>2.6387883794455327</v>
      </c>
    </row>
    <row r="307" spans="1:20" x14ac:dyDescent="0.25">
      <c r="A307" s="5">
        <v>44286</v>
      </c>
      <c r="B307">
        <v>0.50777000000000005</v>
      </c>
      <c r="C307">
        <v>0.56888000000000005</v>
      </c>
      <c r="D307">
        <v>0.46027000000000001</v>
      </c>
      <c r="E307">
        <v>0.56211</v>
      </c>
      <c r="F307">
        <v>33529817.100000001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0.87533376300524723</v>
      </c>
      <c r="Q307">
        <f t="shared" si="965"/>
        <v>29349780.975020688</v>
      </c>
      <c r="R307">
        <f t="shared" si="966"/>
        <v>276525968.70205438</v>
      </c>
      <c r="S307">
        <f t="shared" si="967"/>
        <v>2765.2596870205439</v>
      </c>
      <c r="T307">
        <f t="shared" si="968"/>
        <v>2.7652596870205439</v>
      </c>
    </row>
    <row r="308" spans="1:20" x14ac:dyDescent="0.25">
      <c r="A308" s="5">
        <v>44285</v>
      </c>
      <c r="B308">
        <v>0.49354999999999999</v>
      </c>
      <c r="C308">
        <v>0.54557</v>
      </c>
      <c r="D308">
        <v>0.48032000000000002</v>
      </c>
      <c r="E308">
        <v>0.50829000000000002</v>
      </c>
      <c r="F308">
        <v>23085457.300000001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-0.14268199233716458</v>
      </c>
      <c r="Q308">
        <f t="shared" si="965"/>
        <v>-3293879.0415785401</v>
      </c>
      <c r="R308">
        <f t="shared" si="966"/>
        <v>247176187.7270337</v>
      </c>
      <c r="S308">
        <f t="shared" si="967"/>
        <v>2471.7618772703372</v>
      </c>
      <c r="T308">
        <f t="shared" si="968"/>
        <v>2.4717618772703371</v>
      </c>
    </row>
    <row r="309" spans="1:20" x14ac:dyDescent="0.25">
      <c r="A309" s="5">
        <v>44284</v>
      </c>
      <c r="B309">
        <v>0.48712</v>
      </c>
      <c r="C309">
        <v>0.49880000000000002</v>
      </c>
      <c r="D309">
        <v>0.45901999999999998</v>
      </c>
      <c r="E309">
        <v>0.49382999999999999</v>
      </c>
      <c r="F309">
        <v>18386381</v>
      </c>
      <c r="G309">
        <v>0</v>
      </c>
      <c r="L309" t="s">
        <v>7</v>
      </c>
      <c r="M309" t="s">
        <v>8</v>
      </c>
      <c r="N309" t="s">
        <v>8</v>
      </c>
      <c r="P309">
        <f t="shared" si="964"/>
        <v>0.75012569130216067</v>
      </c>
      <c r="Q309">
        <f t="shared" si="965"/>
        <v>13792096.758169912</v>
      </c>
      <c r="R309">
        <f t="shared" si="966"/>
        <v>250470066.76861224</v>
      </c>
      <c r="S309">
        <f t="shared" si="967"/>
        <v>2504.7006676861224</v>
      </c>
      <c r="T309">
        <f t="shared" si="968"/>
        <v>2.5047006676861225</v>
      </c>
    </row>
    <row r="310" spans="1:20" x14ac:dyDescent="0.25">
      <c r="A310" s="5">
        <v>44283</v>
      </c>
      <c r="B310">
        <v>0.45699000000000001</v>
      </c>
      <c r="C310">
        <v>0.50312999999999997</v>
      </c>
      <c r="D310">
        <v>0.439</v>
      </c>
      <c r="E310">
        <v>0.48659000000000002</v>
      </c>
      <c r="F310">
        <v>32494188.300000001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0.48417277405270692</v>
      </c>
      <c r="Q310">
        <f t="shared" si="965"/>
        <v>15732801.289802013</v>
      </c>
      <c r="R310">
        <f t="shared" si="966"/>
        <v>236677970.01044232</v>
      </c>
      <c r="S310">
        <f t="shared" si="967"/>
        <v>2366.7797001044232</v>
      </c>
      <c r="T310">
        <f t="shared" si="968"/>
        <v>2.3667797001044231</v>
      </c>
    </row>
    <row r="311" spans="1:20" x14ac:dyDescent="0.25">
      <c r="A311" s="5">
        <v>44282</v>
      </c>
      <c r="B311">
        <v>0.43898999999999999</v>
      </c>
      <c r="C311">
        <v>0.46207999999999999</v>
      </c>
      <c r="D311">
        <v>0.42459000000000002</v>
      </c>
      <c r="E311">
        <v>0.45684999999999998</v>
      </c>
      <c r="F311">
        <v>26670916.899999999</v>
      </c>
      <c r="G311">
        <v>0</v>
      </c>
      <c r="L311" t="s">
        <v>8</v>
      </c>
      <c r="M311" t="s">
        <v>7</v>
      </c>
      <c r="N311" t="s">
        <v>8</v>
      </c>
      <c r="P311">
        <f t="shared" si="964"/>
        <v>0.72099226460389343</v>
      </c>
      <c r="Q311">
        <f t="shared" si="965"/>
        <v>19229524.774793252</v>
      </c>
      <c r="R311">
        <f t="shared" si="966"/>
        <v>220945168.7206403</v>
      </c>
      <c r="S311">
        <f t="shared" si="967"/>
        <v>2209.4516872064032</v>
      </c>
      <c r="T311">
        <f t="shared" si="968"/>
        <v>2.2094516872064034</v>
      </c>
    </row>
    <row r="312" spans="1:20" x14ac:dyDescent="0.25">
      <c r="A312" s="5">
        <v>44281</v>
      </c>
      <c r="B312">
        <v>0.40844999999999998</v>
      </c>
      <c r="C312">
        <v>0.441</v>
      </c>
      <c r="D312">
        <v>0.40629999999999999</v>
      </c>
      <c r="E312">
        <v>0.43869999999999998</v>
      </c>
      <c r="F312">
        <v>21835270.699999999</v>
      </c>
      <c r="G312">
        <v>0</v>
      </c>
      <c r="L312" t="s">
        <v>8</v>
      </c>
      <c r="M312" t="s">
        <v>7</v>
      </c>
      <c r="N312" t="s">
        <v>8</v>
      </c>
      <c r="P312">
        <f t="shared" si="964"/>
        <v>0.8674351585014396</v>
      </c>
      <c r="Q312">
        <f t="shared" si="965"/>
        <v>18940681.50057634</v>
      </c>
      <c r="R312">
        <f t="shared" si="966"/>
        <v>201715643.94584706</v>
      </c>
      <c r="S312">
        <f t="shared" si="967"/>
        <v>2017.1564394584707</v>
      </c>
      <c r="T312">
        <f t="shared" si="968"/>
        <v>2.0171564394584709</v>
      </c>
    </row>
    <row r="313" spans="1:20" x14ac:dyDescent="0.25">
      <c r="A313" s="5">
        <v>44280</v>
      </c>
      <c r="B313">
        <v>0.42781000000000002</v>
      </c>
      <c r="C313">
        <v>0.44327</v>
      </c>
      <c r="D313">
        <v>0.4002</v>
      </c>
      <c r="E313">
        <v>0.40933999999999998</v>
      </c>
      <c r="F313">
        <v>35188058.799999997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-0.57557464592523877</v>
      </c>
      <c r="Q313">
        <f t="shared" si="965"/>
        <v>-20253354.484606482</v>
      </c>
      <c r="R313">
        <f t="shared" si="966"/>
        <v>182774962.44527072</v>
      </c>
      <c r="S313">
        <f t="shared" si="967"/>
        <v>1827.7496244527072</v>
      </c>
      <c r="T313">
        <f t="shared" si="968"/>
        <v>1.8277496244527072</v>
      </c>
    </row>
    <row r="314" spans="1:20" x14ac:dyDescent="0.25">
      <c r="A314" s="5">
        <v>44279</v>
      </c>
      <c r="B314">
        <v>0.46203</v>
      </c>
      <c r="C314">
        <v>0.54490000000000005</v>
      </c>
      <c r="D314">
        <v>0.41099999999999998</v>
      </c>
      <c r="E314">
        <v>0.42810999999999999</v>
      </c>
      <c r="F314">
        <v>64693649.899999999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-0.7444361463778939</v>
      </c>
      <c r="Q314">
        <f t="shared" si="965"/>
        <v>-48160291.426676624</v>
      </c>
      <c r="R314">
        <f t="shared" si="966"/>
        <v>203028316.92987719</v>
      </c>
      <c r="S314">
        <f t="shared" si="967"/>
        <v>2030.283169298772</v>
      </c>
      <c r="T314">
        <f t="shared" si="968"/>
        <v>2.0302831692987722</v>
      </c>
    </row>
    <row r="315" spans="1:20" x14ac:dyDescent="0.25">
      <c r="A315" s="5">
        <v>44278</v>
      </c>
      <c r="B315">
        <v>0.42441000000000001</v>
      </c>
      <c r="C315">
        <v>0.46388000000000001</v>
      </c>
      <c r="D315">
        <v>0.40205000000000002</v>
      </c>
      <c r="E315">
        <v>0.46216000000000002</v>
      </c>
      <c r="F315">
        <v>35188172.899999999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0.94436357755135047</v>
      </c>
      <c r="Q315">
        <f t="shared" si="965"/>
        <v>33230428.847339477</v>
      </c>
      <c r="R315">
        <f t="shared" si="966"/>
        <v>251188608.35655382</v>
      </c>
      <c r="S315">
        <f t="shared" si="967"/>
        <v>2511.8860835655382</v>
      </c>
      <c r="T315">
        <f t="shared" si="968"/>
        <v>2.5118860835655381</v>
      </c>
    </row>
    <row r="316" spans="1:20" x14ac:dyDescent="0.25">
      <c r="A316" s="5">
        <v>44277</v>
      </c>
      <c r="B316">
        <v>0.42992999999999998</v>
      </c>
      <c r="C316">
        <v>0.50348000000000004</v>
      </c>
      <c r="D316">
        <v>0.41237000000000001</v>
      </c>
      <c r="E316">
        <v>0.4244</v>
      </c>
      <c r="F316">
        <v>53386650.200000003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-0.73592360882449825</v>
      </c>
      <c r="Q316">
        <f t="shared" si="965"/>
        <v>-39288496.278235123</v>
      </c>
      <c r="R316">
        <f t="shared" si="966"/>
        <v>217958179.50921434</v>
      </c>
      <c r="S316">
        <f t="shared" si="967"/>
        <v>2179.5817950921432</v>
      </c>
      <c r="T316">
        <f t="shared" si="968"/>
        <v>2.1795817950921434</v>
      </c>
    </row>
    <row r="317" spans="1:20" x14ac:dyDescent="0.25">
      <c r="A317" s="5">
        <v>44276</v>
      </c>
      <c r="B317">
        <v>0.42092000000000002</v>
      </c>
      <c r="C317">
        <v>0.42998999999999998</v>
      </c>
      <c r="D317">
        <v>0.40228000000000003</v>
      </c>
      <c r="E317">
        <v>0.42968000000000001</v>
      </c>
      <c r="F317">
        <v>13269644.699999999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0.97762540599061876</v>
      </c>
      <c r="Q317">
        <f t="shared" si="965"/>
        <v>12972741.787188761</v>
      </c>
      <c r="R317">
        <f t="shared" si="966"/>
        <v>257246675.78744945</v>
      </c>
      <c r="S317">
        <f t="shared" si="967"/>
        <v>2572.4667578744943</v>
      </c>
      <c r="T317">
        <f t="shared" si="968"/>
        <v>2.5724667578744942</v>
      </c>
    </row>
    <row r="318" spans="1:20" x14ac:dyDescent="0.25">
      <c r="A318" s="5">
        <v>44275</v>
      </c>
      <c r="B318">
        <v>0.43656</v>
      </c>
      <c r="C318">
        <v>0.46583000000000002</v>
      </c>
      <c r="D318">
        <v>0.41849999999999998</v>
      </c>
      <c r="E318">
        <v>0.42092000000000002</v>
      </c>
      <c r="F318">
        <v>16449623.800000001</v>
      </c>
      <c r="G318">
        <v>0</v>
      </c>
      <c r="L318" t="s">
        <v>7</v>
      </c>
      <c r="M318" t="s">
        <v>8</v>
      </c>
      <c r="N318" t="s">
        <v>8</v>
      </c>
      <c r="P318">
        <f t="shared" si="964"/>
        <v>-0.89773927741390103</v>
      </c>
      <c r="Q318">
        <f t="shared" si="965"/>
        <v>-14767473.383942509</v>
      </c>
      <c r="R318">
        <f t="shared" si="966"/>
        <v>244273934.00026068</v>
      </c>
      <c r="S318">
        <f t="shared" si="967"/>
        <v>2442.7393400026067</v>
      </c>
      <c r="T318">
        <f t="shared" si="968"/>
        <v>2.4427393400026065</v>
      </c>
    </row>
    <row r="319" spans="1:20" x14ac:dyDescent="0.25">
      <c r="A319" s="5">
        <v>44274</v>
      </c>
      <c r="B319">
        <v>0.42781000000000002</v>
      </c>
      <c r="C319">
        <v>0.46689999999999998</v>
      </c>
      <c r="D319">
        <v>0.41295999999999999</v>
      </c>
      <c r="E319">
        <v>0.437</v>
      </c>
      <c r="F319">
        <v>23053285.199999999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-0.10863922877271001</v>
      </c>
      <c r="Q319">
        <f t="shared" si="965"/>
        <v>-2504491.1248053298</v>
      </c>
      <c r="R319">
        <f t="shared" si="966"/>
        <v>259041407.3842032</v>
      </c>
      <c r="S319">
        <f t="shared" si="967"/>
        <v>2590.4140738420319</v>
      </c>
      <c r="T319">
        <f t="shared" si="968"/>
        <v>2.590414073842032</v>
      </c>
    </row>
    <row r="320" spans="1:20" x14ac:dyDescent="0.25">
      <c r="A320" s="5">
        <v>44273</v>
      </c>
      <c r="B320">
        <v>0.42305999999999999</v>
      </c>
      <c r="C320">
        <v>0.45101999999999998</v>
      </c>
      <c r="D320">
        <v>0.41503000000000001</v>
      </c>
      <c r="E320">
        <v>0.42841000000000001</v>
      </c>
      <c r="F320">
        <v>19331117.199999999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-0.25646012781328059</v>
      </c>
      <c r="Q320">
        <f t="shared" si="965"/>
        <v>-4957660.7878855066</v>
      </c>
      <c r="R320">
        <f t="shared" si="966"/>
        <v>261545898.50900853</v>
      </c>
      <c r="S320">
        <f t="shared" si="967"/>
        <v>2615.4589850900852</v>
      </c>
      <c r="T320">
        <f t="shared" si="968"/>
        <v>2.6154589850900853</v>
      </c>
    </row>
    <row r="321" spans="1:20" x14ac:dyDescent="0.25">
      <c r="A321" s="5">
        <v>44272</v>
      </c>
      <c r="B321">
        <v>0.41682999999999998</v>
      </c>
      <c r="C321">
        <v>0.42571999999999999</v>
      </c>
      <c r="D321">
        <v>0.39</v>
      </c>
      <c r="E321">
        <v>0.42343999999999998</v>
      </c>
      <c r="F321">
        <v>14362288.5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0.8723404255319146</v>
      </c>
      <c r="Q321">
        <f t="shared" si="965"/>
        <v>12528804.861702124</v>
      </c>
      <c r="R321">
        <f t="shared" si="966"/>
        <v>266503559.29689404</v>
      </c>
      <c r="S321">
        <f t="shared" si="967"/>
        <v>2665.0355929689404</v>
      </c>
      <c r="T321">
        <f t="shared" si="968"/>
        <v>2.6650355929689402</v>
      </c>
    </row>
    <row r="322" spans="1:20" x14ac:dyDescent="0.25">
      <c r="A322" s="5">
        <v>44271</v>
      </c>
      <c r="B322">
        <v>0.42692999999999998</v>
      </c>
      <c r="C322">
        <v>0.43580000000000002</v>
      </c>
      <c r="D322">
        <v>0.39428000000000002</v>
      </c>
      <c r="E322">
        <v>0.41615999999999997</v>
      </c>
      <c r="F322">
        <v>17982885.300000001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5.3949903660884119E-2</v>
      </c>
      <c r="Q322">
        <f t="shared" si="965"/>
        <v>970174.92947972927</v>
      </c>
      <c r="R322">
        <f t="shared" si="966"/>
        <v>253974754.43519193</v>
      </c>
      <c r="S322">
        <f t="shared" si="967"/>
        <v>2539.7475443519193</v>
      </c>
      <c r="T322">
        <f t="shared" si="968"/>
        <v>2.5397475443519193</v>
      </c>
    </row>
    <row r="323" spans="1:20" x14ac:dyDescent="0.25">
      <c r="A323" s="5">
        <v>44270</v>
      </c>
      <c r="B323">
        <v>0.45200000000000001</v>
      </c>
      <c r="C323">
        <v>0.4753</v>
      </c>
      <c r="D323">
        <v>0.41099999999999998</v>
      </c>
      <c r="E323">
        <v>0.42720999999999998</v>
      </c>
      <c r="F323">
        <v>29828951.699999999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-0.49580093312597212</v>
      </c>
      <c r="Q323">
        <f t="shared" si="965"/>
        <v>-14789222.087029552</v>
      </c>
      <c r="R323">
        <f t="shared" si="966"/>
        <v>253004579.50571221</v>
      </c>
      <c r="S323">
        <f t="shared" si="967"/>
        <v>2530.0457950571222</v>
      </c>
      <c r="T323">
        <f t="shared" si="968"/>
        <v>2.5300457950571222</v>
      </c>
    </row>
    <row r="324" spans="1:20" x14ac:dyDescent="0.25">
      <c r="A324" s="5">
        <v>44269</v>
      </c>
      <c r="B324">
        <v>0.43936999999999998</v>
      </c>
      <c r="C324">
        <v>0.48197000000000001</v>
      </c>
      <c r="D324">
        <v>0.42175000000000001</v>
      </c>
      <c r="E324">
        <v>0.45162000000000002</v>
      </c>
      <c r="F324">
        <v>45777332.100000001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-7.970773829292269E-3</v>
      </c>
      <c r="Q324">
        <f t="shared" si="965"/>
        <v>-364880.76067750092</v>
      </c>
      <c r="R324">
        <f t="shared" si="966"/>
        <v>267793801.59274176</v>
      </c>
      <c r="S324">
        <f t="shared" si="967"/>
        <v>2677.9380159274174</v>
      </c>
      <c r="T324">
        <f t="shared" si="968"/>
        <v>2.6779380159274173</v>
      </c>
    </row>
    <row r="325" spans="1:20" x14ac:dyDescent="0.25">
      <c r="A325" s="5">
        <v>44268</v>
      </c>
      <c r="B325">
        <v>0.42626999999999998</v>
      </c>
      <c r="C325">
        <v>0.46899999999999997</v>
      </c>
      <c r="D325">
        <v>0.40600000000000003</v>
      </c>
      <c r="E325">
        <v>0.43941000000000002</v>
      </c>
      <c r="F325">
        <v>30749066.199999999</v>
      </c>
      <c r="G325">
        <v>0</v>
      </c>
      <c r="L325" t="s">
        <v>8</v>
      </c>
      <c r="M325" t="s">
        <v>7</v>
      </c>
      <c r="N325" t="s">
        <v>8</v>
      </c>
      <c r="P325">
        <f t="shared" si="964"/>
        <v>6.0634920634921409E-2</v>
      </c>
      <c r="Q325">
        <f t="shared" si="965"/>
        <v>1864467.1886349444</v>
      </c>
      <c r="R325">
        <f t="shared" si="966"/>
        <v>268158682.35341924</v>
      </c>
      <c r="S325">
        <f t="shared" si="967"/>
        <v>2681.5868235341923</v>
      </c>
      <c r="T325">
        <f t="shared" si="968"/>
        <v>2.6815868235341922</v>
      </c>
    </row>
    <row r="326" spans="1:20" x14ac:dyDescent="0.25">
      <c r="A326" s="5">
        <v>44267</v>
      </c>
      <c r="B326">
        <v>0.42948999999999998</v>
      </c>
      <c r="C326">
        <v>0.44319999999999998</v>
      </c>
      <c r="D326">
        <v>0.40203</v>
      </c>
      <c r="E326">
        <v>0.42631000000000002</v>
      </c>
      <c r="F326">
        <v>22942338.800000001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0.17949963565703342</v>
      </c>
      <c r="Q326">
        <f t="shared" ref="Q326:Q389" si="970">F326*P326</f>
        <v>4118141.4557202216</v>
      </c>
      <c r="R326">
        <f t="shared" ref="R326:R389" si="971">R327+Q326</f>
        <v>266294215.16478431</v>
      </c>
      <c r="S326">
        <f t="shared" ref="S326:S389" si="972">R326/100000</f>
        <v>2662.9421516478433</v>
      </c>
      <c r="T326">
        <f t="shared" ref="T326:T389" si="973">S326/1000</f>
        <v>2.6629421516478433</v>
      </c>
    </row>
    <row r="327" spans="1:20" x14ac:dyDescent="0.25">
      <c r="A327" s="5">
        <v>44266</v>
      </c>
      <c r="B327">
        <v>0.43392999999999998</v>
      </c>
      <c r="C327">
        <v>0.46983999999999998</v>
      </c>
      <c r="D327">
        <v>0.40400999999999998</v>
      </c>
      <c r="E327">
        <v>0.42832999999999999</v>
      </c>
      <c r="F327">
        <v>31318859.800000001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-0.26112714567826195</v>
      </c>
      <c r="Q327">
        <f t="shared" si="970"/>
        <v>-8178204.4654716626</v>
      </c>
      <c r="R327">
        <f t="shared" si="971"/>
        <v>262176073.7090641</v>
      </c>
      <c r="S327">
        <f t="shared" si="972"/>
        <v>2621.7607370906408</v>
      </c>
      <c r="T327">
        <f t="shared" si="973"/>
        <v>2.6217607370906406</v>
      </c>
    </row>
    <row r="328" spans="1:20" x14ac:dyDescent="0.25">
      <c r="A328" s="5">
        <v>44265</v>
      </c>
      <c r="B328">
        <v>0.48035</v>
      </c>
      <c r="C328">
        <v>0.48398000000000002</v>
      </c>
      <c r="D328">
        <v>0.41526999999999997</v>
      </c>
      <c r="E328">
        <v>0.43380999999999997</v>
      </c>
      <c r="F328">
        <v>25073659.699999999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-0.46034056178140043</v>
      </c>
      <c r="Q328">
        <f t="shared" si="970"/>
        <v>-11542422.59221366</v>
      </c>
      <c r="R328">
        <f t="shared" si="971"/>
        <v>270354278.17453575</v>
      </c>
      <c r="S328">
        <f t="shared" si="972"/>
        <v>2703.5427817453574</v>
      </c>
      <c r="T328">
        <f t="shared" si="973"/>
        <v>2.7035427817453574</v>
      </c>
    </row>
    <row r="329" spans="1:20" x14ac:dyDescent="0.25">
      <c r="A329" s="5">
        <v>44264</v>
      </c>
      <c r="B329">
        <v>0.41111999999999999</v>
      </c>
      <c r="C329">
        <v>0.48208000000000001</v>
      </c>
      <c r="D329">
        <v>0.39955000000000002</v>
      </c>
      <c r="E329">
        <v>0.48065999999999998</v>
      </c>
      <c r="F329">
        <v>33747417.399999999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0.96558827093178157</v>
      </c>
      <c r="Q329">
        <f t="shared" si="970"/>
        <v>32586110.41567912</v>
      </c>
      <c r="R329">
        <f t="shared" si="971"/>
        <v>281896700.76674938</v>
      </c>
      <c r="S329">
        <f t="shared" si="972"/>
        <v>2818.9670076674938</v>
      </c>
      <c r="T329">
        <f t="shared" si="973"/>
        <v>2.818967007667494</v>
      </c>
    </row>
    <row r="330" spans="1:20" x14ac:dyDescent="0.25">
      <c r="A330" s="5">
        <v>44263</v>
      </c>
      <c r="B330">
        <v>0.40089999999999998</v>
      </c>
      <c r="C330">
        <v>0.41416999999999998</v>
      </c>
      <c r="D330">
        <v>0.38029000000000002</v>
      </c>
      <c r="E330">
        <v>0.41111999999999999</v>
      </c>
      <c r="F330">
        <v>11138320.800000001</v>
      </c>
      <c r="G330">
        <v>0</v>
      </c>
      <c r="L330" t="s">
        <v>8</v>
      </c>
      <c r="M330" t="s">
        <v>7</v>
      </c>
      <c r="N330" t="s">
        <v>8</v>
      </c>
      <c r="P330">
        <f t="shared" si="969"/>
        <v>0.81995277449822901</v>
      </c>
      <c r="Q330">
        <f t="shared" si="970"/>
        <v>9132897.0432113335</v>
      </c>
      <c r="R330">
        <f t="shared" si="971"/>
        <v>249310590.35107028</v>
      </c>
      <c r="S330">
        <f t="shared" si="972"/>
        <v>2493.1059035107028</v>
      </c>
      <c r="T330">
        <f t="shared" si="973"/>
        <v>2.4931059035107026</v>
      </c>
    </row>
    <row r="331" spans="1:20" x14ac:dyDescent="0.25">
      <c r="A331" s="5">
        <v>44262</v>
      </c>
      <c r="B331">
        <v>0.39168999999999998</v>
      </c>
      <c r="C331">
        <v>0.40850999999999998</v>
      </c>
      <c r="D331">
        <v>0.38423000000000002</v>
      </c>
      <c r="E331">
        <v>0.40098</v>
      </c>
      <c r="F331">
        <v>13142969.4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0.37973640856672231</v>
      </c>
      <c r="Q331">
        <f t="shared" si="970"/>
        <v>4990863.9978583297</v>
      </c>
      <c r="R331">
        <f t="shared" si="971"/>
        <v>240177693.30785894</v>
      </c>
      <c r="S331">
        <f t="shared" si="972"/>
        <v>2401.7769330785895</v>
      </c>
      <c r="T331">
        <f t="shared" si="973"/>
        <v>2.4017769330785894</v>
      </c>
    </row>
    <row r="332" spans="1:20" x14ac:dyDescent="0.25">
      <c r="A332" s="5">
        <v>44261</v>
      </c>
      <c r="B332">
        <v>0.38106000000000001</v>
      </c>
      <c r="C332">
        <v>0.39184999999999998</v>
      </c>
      <c r="D332">
        <v>0.36603999999999998</v>
      </c>
      <c r="E332">
        <v>0.39151999999999998</v>
      </c>
      <c r="F332">
        <v>6627797.5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0.97442851607903935</v>
      </c>
      <c r="Q332">
        <f t="shared" si="970"/>
        <v>6458314.8827973669</v>
      </c>
      <c r="R332">
        <f t="shared" si="971"/>
        <v>235186829.31000063</v>
      </c>
      <c r="S332">
        <f t="shared" si="972"/>
        <v>2351.8682931000062</v>
      </c>
      <c r="T332">
        <f t="shared" si="973"/>
        <v>2.3518682931000061</v>
      </c>
    </row>
    <row r="333" spans="1:20" x14ac:dyDescent="0.25">
      <c r="A333" s="5">
        <v>44260</v>
      </c>
      <c r="B333">
        <v>0.37930000000000003</v>
      </c>
      <c r="C333">
        <v>0.38724999999999998</v>
      </c>
      <c r="D333">
        <v>0.35668</v>
      </c>
      <c r="E333">
        <v>0.38095000000000001</v>
      </c>
      <c r="F333">
        <v>10989064.699999999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0.58783120706575231</v>
      </c>
      <c r="Q333">
        <f t="shared" si="970"/>
        <v>6459715.1671246486</v>
      </c>
      <c r="R333">
        <f t="shared" si="971"/>
        <v>228728514.42720327</v>
      </c>
      <c r="S333">
        <f t="shared" si="972"/>
        <v>2287.2851442720325</v>
      </c>
      <c r="T333">
        <f t="shared" si="973"/>
        <v>2.2872851442720323</v>
      </c>
    </row>
    <row r="334" spans="1:20" x14ac:dyDescent="0.25">
      <c r="A334" s="5">
        <v>44259</v>
      </c>
      <c r="B334">
        <v>0.39278999999999997</v>
      </c>
      <c r="C334">
        <v>0.40473999999999999</v>
      </c>
      <c r="D334">
        <v>0.36234</v>
      </c>
      <c r="E334">
        <v>0.37887999999999999</v>
      </c>
      <c r="F334">
        <v>14932894.1</v>
      </c>
      <c r="G334">
        <v>0</v>
      </c>
      <c r="L334" t="s">
        <v>7</v>
      </c>
      <c r="M334" t="s">
        <v>8</v>
      </c>
      <c r="N334" t="s">
        <v>8</v>
      </c>
      <c r="P334">
        <f t="shared" si="969"/>
        <v>-0.2198113207547169</v>
      </c>
      <c r="Q334">
        <f t="shared" si="970"/>
        <v>-3282419.1748113194</v>
      </c>
      <c r="R334">
        <f t="shared" si="971"/>
        <v>222268799.26007861</v>
      </c>
      <c r="S334">
        <f t="shared" si="972"/>
        <v>2222.6879926007859</v>
      </c>
      <c r="T334">
        <f t="shared" si="973"/>
        <v>2.2226879926007861</v>
      </c>
    </row>
    <row r="335" spans="1:20" x14ac:dyDescent="0.25">
      <c r="A335" s="5">
        <v>44258</v>
      </c>
      <c r="B335">
        <v>0.38238</v>
      </c>
      <c r="C335">
        <v>0.40822000000000003</v>
      </c>
      <c r="D335">
        <v>0.36992000000000003</v>
      </c>
      <c r="E335">
        <v>0.39251000000000003</v>
      </c>
      <c r="F335">
        <v>21163979.399999999</v>
      </c>
      <c r="G335">
        <v>0</v>
      </c>
      <c r="L335" t="s">
        <v>7</v>
      </c>
      <c r="M335" t="s">
        <v>8</v>
      </c>
      <c r="N335" t="s">
        <v>8</v>
      </c>
      <c r="P335">
        <f t="shared" si="969"/>
        <v>0.17963446475195816</v>
      </c>
      <c r="Q335">
        <f t="shared" si="970"/>
        <v>3801780.1115404684</v>
      </c>
      <c r="R335">
        <f t="shared" si="971"/>
        <v>225551218.43488994</v>
      </c>
      <c r="S335">
        <f t="shared" si="972"/>
        <v>2255.5121843488996</v>
      </c>
      <c r="T335">
        <f t="shared" si="973"/>
        <v>2.2555121843488997</v>
      </c>
    </row>
    <row r="336" spans="1:20" x14ac:dyDescent="0.25">
      <c r="A336" s="5">
        <v>44257</v>
      </c>
      <c r="B336">
        <v>0.37134</v>
      </c>
      <c r="C336">
        <v>0.42507</v>
      </c>
      <c r="D336">
        <v>0.35417999999999999</v>
      </c>
      <c r="E336">
        <v>0.38108999999999998</v>
      </c>
      <c r="F336">
        <v>30937623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-0.24079559881506599</v>
      </c>
      <c r="Q336">
        <f t="shared" si="970"/>
        <v>-7449643.4561997578</v>
      </c>
      <c r="R336">
        <f t="shared" si="971"/>
        <v>221749438.32334948</v>
      </c>
      <c r="S336">
        <f t="shared" si="972"/>
        <v>2217.4943832334948</v>
      </c>
      <c r="T336">
        <f t="shared" si="973"/>
        <v>2.2174943832334946</v>
      </c>
    </row>
    <row r="337" spans="1:20" x14ac:dyDescent="0.25">
      <c r="A337" s="5">
        <v>44256</v>
      </c>
      <c r="B337">
        <v>0.33494000000000002</v>
      </c>
      <c r="C337">
        <v>0.38896999999999998</v>
      </c>
      <c r="D337">
        <v>0.33174999999999999</v>
      </c>
      <c r="E337">
        <v>0.37012</v>
      </c>
      <c r="F337">
        <v>17459025.100000001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0.3411394617266697</v>
      </c>
      <c r="Q337">
        <f t="shared" si="970"/>
        <v>5955962.4248864157</v>
      </c>
      <c r="R337">
        <f t="shared" si="971"/>
        <v>229199081.77954924</v>
      </c>
      <c r="S337">
        <f t="shared" si="972"/>
        <v>2291.9908177954926</v>
      </c>
      <c r="T337">
        <f t="shared" si="973"/>
        <v>2.2919908177954924</v>
      </c>
    </row>
    <row r="338" spans="1:20" x14ac:dyDescent="0.25">
      <c r="A338" s="5">
        <v>44255</v>
      </c>
      <c r="B338">
        <v>0.37246000000000001</v>
      </c>
      <c r="C338">
        <v>0.38499</v>
      </c>
      <c r="D338">
        <v>0.30571999999999999</v>
      </c>
      <c r="E338">
        <v>0.33494000000000002</v>
      </c>
      <c r="F338">
        <v>22307555.600000001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-0.26277280181657575</v>
      </c>
      <c r="Q338">
        <f t="shared" si="970"/>
        <v>-5861818.886691045</v>
      </c>
      <c r="R338">
        <f t="shared" si="971"/>
        <v>223243119.35466284</v>
      </c>
      <c r="S338">
        <f t="shared" si="972"/>
        <v>2232.4311935466285</v>
      </c>
      <c r="T338">
        <f t="shared" si="973"/>
        <v>2.2324311935466286</v>
      </c>
    </row>
    <row r="339" spans="1:20" x14ac:dyDescent="0.25">
      <c r="A339" s="5">
        <v>44254</v>
      </c>
      <c r="B339">
        <v>0.34460000000000002</v>
      </c>
      <c r="C339">
        <v>0.41406999999999999</v>
      </c>
      <c r="D339">
        <v>0.34</v>
      </c>
      <c r="E339">
        <v>0.37158000000000002</v>
      </c>
      <c r="F339">
        <v>22156669.199999999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-0.14729310112056135</v>
      </c>
      <c r="Q339">
        <f t="shared" si="970"/>
        <v>-3263524.5169704268</v>
      </c>
      <c r="R339">
        <f t="shared" si="971"/>
        <v>229104938.24135387</v>
      </c>
      <c r="S339">
        <f t="shared" si="972"/>
        <v>2291.0493824135388</v>
      </c>
      <c r="T339">
        <f t="shared" si="973"/>
        <v>2.2910493824135387</v>
      </c>
    </row>
    <row r="340" spans="1:20" x14ac:dyDescent="0.25">
      <c r="A340" s="5">
        <v>44253</v>
      </c>
      <c r="B340">
        <v>0.34538999999999997</v>
      </c>
      <c r="C340">
        <v>0.36309999999999998</v>
      </c>
      <c r="D340">
        <v>0.31286000000000003</v>
      </c>
      <c r="E340">
        <v>0.34577000000000002</v>
      </c>
      <c r="F340">
        <v>15255599.199999999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0.31011146496815395</v>
      </c>
      <c r="Q340">
        <f t="shared" si="970"/>
        <v>4730936.2168789972</v>
      </c>
      <c r="R340">
        <f t="shared" si="971"/>
        <v>232368462.7583243</v>
      </c>
      <c r="S340">
        <f t="shared" si="972"/>
        <v>2323.6846275832431</v>
      </c>
      <c r="T340">
        <f t="shared" si="973"/>
        <v>2.3236846275832432</v>
      </c>
    </row>
    <row r="341" spans="1:20" x14ac:dyDescent="0.25">
      <c r="A341" s="5">
        <v>44252</v>
      </c>
      <c r="B341">
        <v>0.36018</v>
      </c>
      <c r="C341">
        <v>0.39850000000000002</v>
      </c>
      <c r="D341">
        <v>0.34017999999999998</v>
      </c>
      <c r="E341">
        <v>0.34538999999999997</v>
      </c>
      <c r="F341">
        <v>18500167.199999999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-0.82133058984910878</v>
      </c>
      <c r="Q341">
        <f t="shared" si="970"/>
        <v>-15194753.238683134</v>
      </c>
      <c r="R341">
        <f t="shared" si="971"/>
        <v>227637526.54144529</v>
      </c>
      <c r="S341">
        <f t="shared" si="972"/>
        <v>2276.3752654144528</v>
      </c>
      <c r="T341">
        <f t="shared" si="973"/>
        <v>2.2763752654144529</v>
      </c>
    </row>
    <row r="342" spans="1:20" x14ac:dyDescent="0.25">
      <c r="A342" s="5">
        <v>44251</v>
      </c>
      <c r="B342">
        <v>0.34325</v>
      </c>
      <c r="C342">
        <v>0.39611000000000002</v>
      </c>
      <c r="D342">
        <v>0.31767000000000001</v>
      </c>
      <c r="E342">
        <v>0.36096</v>
      </c>
      <c r="F342">
        <v>29736245.300000001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0.10377358490566012</v>
      </c>
      <c r="Q342">
        <f t="shared" si="970"/>
        <v>3085836.7764150868</v>
      </c>
      <c r="R342">
        <f t="shared" si="971"/>
        <v>242832279.78012842</v>
      </c>
      <c r="S342">
        <f t="shared" si="972"/>
        <v>2428.3227978012842</v>
      </c>
      <c r="T342">
        <f t="shared" si="973"/>
        <v>2.4283227978012842</v>
      </c>
    </row>
    <row r="343" spans="1:20" x14ac:dyDescent="0.25">
      <c r="A343" s="5">
        <v>44250</v>
      </c>
      <c r="B343">
        <v>0.41829</v>
      </c>
      <c r="C343">
        <v>0.42099999999999999</v>
      </c>
      <c r="D343">
        <v>0.26400000000000001</v>
      </c>
      <c r="E343">
        <v>0.34310000000000002</v>
      </c>
      <c r="F343">
        <v>49101959.100000001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7.6433121019110484E-3</v>
      </c>
      <c r="Q343">
        <f t="shared" si="970"/>
        <v>375301.59821657132</v>
      </c>
      <c r="R343">
        <f t="shared" si="971"/>
        <v>239746443.00371334</v>
      </c>
      <c r="S343">
        <f t="shared" si="972"/>
        <v>2397.4644300371333</v>
      </c>
      <c r="T343">
        <f t="shared" si="973"/>
        <v>2.3974644300371333</v>
      </c>
    </row>
    <row r="344" spans="1:20" x14ac:dyDescent="0.25">
      <c r="A344" s="5">
        <v>44249</v>
      </c>
      <c r="B344">
        <v>0.46011000000000002</v>
      </c>
      <c r="C344">
        <v>0.48998000000000003</v>
      </c>
      <c r="D344">
        <v>0.33221000000000001</v>
      </c>
      <c r="E344">
        <v>0.41754999999999998</v>
      </c>
      <c r="F344">
        <v>42219790.899999999</v>
      </c>
      <c r="G344">
        <v>0</v>
      </c>
      <c r="L344" t="s">
        <v>8</v>
      </c>
      <c r="M344" t="s">
        <v>7</v>
      </c>
      <c r="N344" t="s">
        <v>7</v>
      </c>
      <c r="P344">
        <f t="shared" si="969"/>
        <v>8.1827977435506877E-2</v>
      </c>
      <c r="Q344">
        <f t="shared" si="970"/>
        <v>3454760.0970970183</v>
      </c>
      <c r="R344">
        <f t="shared" si="971"/>
        <v>239371141.40549678</v>
      </c>
      <c r="S344">
        <f t="shared" si="972"/>
        <v>2393.7114140549679</v>
      </c>
      <c r="T344">
        <f t="shared" si="973"/>
        <v>2.3937114140549678</v>
      </c>
    </row>
    <row r="345" spans="1:20" x14ac:dyDescent="0.25">
      <c r="A345" s="5">
        <v>44248</v>
      </c>
      <c r="B345">
        <v>0.44974999999999998</v>
      </c>
      <c r="C345">
        <v>0.46651999999999999</v>
      </c>
      <c r="D345">
        <v>0.43378</v>
      </c>
      <c r="E345">
        <v>0.46011000000000002</v>
      </c>
      <c r="F345">
        <v>18121967.300000001</v>
      </c>
      <c r="G345">
        <v>0</v>
      </c>
      <c r="L345" t="s">
        <v>8</v>
      </c>
      <c r="M345" t="s">
        <v>7</v>
      </c>
      <c r="N345" t="s">
        <v>7</v>
      </c>
      <c r="P345">
        <f t="shared" si="969"/>
        <v>0.60843005497862113</v>
      </c>
      <c r="Q345">
        <f t="shared" si="970"/>
        <v>11025949.560659776</v>
      </c>
      <c r="R345">
        <f t="shared" si="971"/>
        <v>235916381.30839977</v>
      </c>
      <c r="S345">
        <f t="shared" si="972"/>
        <v>2359.1638130839979</v>
      </c>
      <c r="T345">
        <f t="shared" si="973"/>
        <v>2.359163813083998</v>
      </c>
    </row>
    <row r="346" spans="1:20" x14ac:dyDescent="0.25">
      <c r="A346" s="5">
        <v>44247</v>
      </c>
      <c r="B346">
        <v>0.51036000000000004</v>
      </c>
      <c r="C346">
        <v>0.51166999999999996</v>
      </c>
      <c r="D346">
        <v>0.41155999999999998</v>
      </c>
      <c r="E346">
        <v>0.44974999999999998</v>
      </c>
      <c r="F346">
        <v>30301589.399999999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-0.23703925681750054</v>
      </c>
      <c r="Q346">
        <f t="shared" si="970"/>
        <v>-7182666.2317650523</v>
      </c>
      <c r="R346">
        <f t="shared" si="971"/>
        <v>224890431.74774</v>
      </c>
      <c r="S346">
        <f t="shared" si="972"/>
        <v>2248.9043174774001</v>
      </c>
      <c r="T346">
        <f t="shared" si="973"/>
        <v>2.2489043174773999</v>
      </c>
    </row>
    <row r="347" spans="1:20" x14ac:dyDescent="0.25">
      <c r="A347" s="5">
        <v>44246</v>
      </c>
      <c r="B347">
        <v>0.44602999999999998</v>
      </c>
      <c r="C347">
        <v>0.54500000000000004</v>
      </c>
      <c r="D347">
        <v>0.43020999999999998</v>
      </c>
      <c r="E347">
        <v>0.51034999999999997</v>
      </c>
      <c r="F347">
        <v>61669747.5</v>
      </c>
      <c r="G347">
        <v>0</v>
      </c>
      <c r="L347" t="s">
        <v>8</v>
      </c>
      <c r="M347" t="s">
        <v>8</v>
      </c>
      <c r="N347" t="s">
        <v>7</v>
      </c>
      <c r="P347">
        <f t="shared" si="969"/>
        <v>0.39628887533757207</v>
      </c>
      <c r="Q347">
        <f t="shared" si="970"/>
        <v>24439034.879127048</v>
      </c>
      <c r="R347">
        <f t="shared" si="971"/>
        <v>232073097.97950506</v>
      </c>
      <c r="S347">
        <f t="shared" si="972"/>
        <v>2320.7309797950506</v>
      </c>
      <c r="T347">
        <f t="shared" si="973"/>
        <v>2.3207309797950506</v>
      </c>
    </row>
    <row r="348" spans="1:20" x14ac:dyDescent="0.25">
      <c r="A348" s="5">
        <v>44245</v>
      </c>
      <c r="B348">
        <v>0.43429000000000001</v>
      </c>
      <c r="C348">
        <v>0.46317000000000003</v>
      </c>
      <c r="D348">
        <v>0.41899999999999998</v>
      </c>
      <c r="E348">
        <v>0.44558999999999999</v>
      </c>
      <c r="F348">
        <v>37811649.200000003</v>
      </c>
      <c r="G348">
        <v>0</v>
      </c>
      <c r="L348" t="s">
        <v>8</v>
      </c>
      <c r="M348" t="s">
        <v>7</v>
      </c>
      <c r="N348" t="s">
        <v>7</v>
      </c>
      <c r="P348">
        <f t="shared" si="969"/>
        <v>0.20398460493547552</v>
      </c>
      <c r="Q348">
        <f t="shared" si="970"/>
        <v>7712994.324020789</v>
      </c>
      <c r="R348">
        <f t="shared" si="971"/>
        <v>207634063.10037801</v>
      </c>
      <c r="S348">
        <f t="shared" si="972"/>
        <v>2076.3406310037799</v>
      </c>
      <c r="T348">
        <f t="shared" si="973"/>
        <v>2.07634063100378</v>
      </c>
    </row>
    <row r="349" spans="1:20" x14ac:dyDescent="0.25">
      <c r="A349" s="5">
        <v>44244</v>
      </c>
      <c r="B349">
        <v>0.4486</v>
      </c>
      <c r="C349">
        <v>0.45724999999999999</v>
      </c>
      <c r="D349">
        <v>0.39621000000000001</v>
      </c>
      <c r="E349">
        <v>0.43397999999999998</v>
      </c>
      <c r="F349">
        <v>27840372.399999999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0.23754914809960617</v>
      </c>
      <c r="Q349">
        <f t="shared" si="970"/>
        <v>6613456.7463957882</v>
      </c>
      <c r="R349">
        <f t="shared" si="971"/>
        <v>199921068.7763572</v>
      </c>
      <c r="S349">
        <f t="shared" si="972"/>
        <v>1999.210687763572</v>
      </c>
      <c r="T349">
        <f t="shared" si="973"/>
        <v>1.999210687763572</v>
      </c>
    </row>
    <row r="350" spans="1:20" x14ac:dyDescent="0.25">
      <c r="A350" s="5">
        <v>44243</v>
      </c>
      <c r="B350">
        <v>0.46255000000000002</v>
      </c>
      <c r="C350">
        <v>0.49220000000000003</v>
      </c>
      <c r="D350">
        <v>0.42386000000000001</v>
      </c>
      <c r="E350">
        <v>0.44746999999999998</v>
      </c>
      <c r="F350">
        <v>31817829.699999999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-0.30904302019315305</v>
      </c>
      <c r="Q350">
        <f t="shared" si="970"/>
        <v>-9833078.1864794046</v>
      </c>
      <c r="R350">
        <f t="shared" si="971"/>
        <v>193307612.02996141</v>
      </c>
      <c r="S350">
        <f t="shared" si="972"/>
        <v>1933.0761202996141</v>
      </c>
      <c r="T350">
        <f t="shared" si="973"/>
        <v>1.9330761202996141</v>
      </c>
    </row>
    <row r="351" spans="1:20" x14ac:dyDescent="0.25">
      <c r="A351" s="5">
        <v>44242</v>
      </c>
      <c r="B351">
        <v>0.45268000000000003</v>
      </c>
      <c r="C351">
        <v>0.51800000000000002</v>
      </c>
      <c r="D351">
        <v>0.39</v>
      </c>
      <c r="E351">
        <v>0.46256000000000003</v>
      </c>
      <c r="F351">
        <v>55538694.700000003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0.13375000000000017</v>
      </c>
      <c r="Q351">
        <f t="shared" si="970"/>
        <v>7428300.4161250098</v>
      </c>
      <c r="R351">
        <f t="shared" si="971"/>
        <v>203140690.2164408</v>
      </c>
      <c r="S351">
        <f t="shared" si="972"/>
        <v>2031.4069021644079</v>
      </c>
      <c r="T351">
        <f t="shared" si="973"/>
        <v>2.0314069021644081</v>
      </c>
    </row>
    <row r="352" spans="1:20" x14ac:dyDescent="0.25">
      <c r="A352" s="5">
        <v>44241</v>
      </c>
      <c r="B352">
        <v>0.49502000000000002</v>
      </c>
      <c r="C352">
        <v>0.57999999999999996</v>
      </c>
      <c r="D352">
        <v>0.44002999999999998</v>
      </c>
      <c r="E352">
        <v>0.45207000000000003</v>
      </c>
      <c r="F352">
        <v>95215857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-0.82796313495749019</v>
      </c>
      <c r="Q352">
        <f t="shared" si="970"/>
        <v>-78835219.459384084</v>
      </c>
      <c r="R352">
        <f t="shared" si="971"/>
        <v>195712389.8003158</v>
      </c>
      <c r="S352">
        <f t="shared" si="972"/>
        <v>1957.123898003158</v>
      </c>
      <c r="T352">
        <f t="shared" si="973"/>
        <v>1.957123898003158</v>
      </c>
    </row>
    <row r="353" spans="1:20" x14ac:dyDescent="0.25">
      <c r="A353" s="5">
        <v>44240</v>
      </c>
      <c r="B353">
        <v>0.34660999999999997</v>
      </c>
      <c r="C353">
        <v>0.59699999999999998</v>
      </c>
      <c r="D353">
        <v>0.34055999999999997</v>
      </c>
      <c r="E353">
        <v>0.49378</v>
      </c>
      <c r="F353">
        <v>291861589.5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0.19497738262361583</v>
      </c>
      <c r="Q353">
        <f t="shared" si="970"/>
        <v>56906408.809078194</v>
      </c>
      <c r="R353">
        <f t="shared" si="971"/>
        <v>274547609.25969988</v>
      </c>
      <c r="S353">
        <f t="shared" si="972"/>
        <v>2745.476092596999</v>
      </c>
      <c r="T353">
        <f t="shared" si="973"/>
        <v>2.745476092596999</v>
      </c>
    </row>
    <row r="354" spans="1:20" x14ac:dyDescent="0.25">
      <c r="A354" s="5">
        <v>44239</v>
      </c>
      <c r="B354">
        <v>0.26939999999999997</v>
      </c>
      <c r="C354">
        <v>0.38999</v>
      </c>
      <c r="D354">
        <v>0.26346000000000003</v>
      </c>
      <c r="E354">
        <v>0.34655000000000002</v>
      </c>
      <c r="F354">
        <v>90563497.900000006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0.3133644195052559</v>
      </c>
      <c r="Q354">
        <f t="shared" si="970"/>
        <v>28379377.947798964</v>
      </c>
      <c r="R354">
        <f t="shared" si="971"/>
        <v>217641200.45062166</v>
      </c>
      <c r="S354">
        <f t="shared" si="972"/>
        <v>2176.4120045062168</v>
      </c>
      <c r="T354">
        <f t="shared" si="973"/>
        <v>2.1764120045062167</v>
      </c>
    </row>
    <row r="355" spans="1:20" x14ac:dyDescent="0.25">
      <c r="A355" s="5">
        <v>44238</v>
      </c>
      <c r="B355">
        <v>0.24439</v>
      </c>
      <c r="C355">
        <v>0.28100999999999998</v>
      </c>
      <c r="D355">
        <v>0.23413</v>
      </c>
      <c r="E355">
        <v>0.26883000000000001</v>
      </c>
      <c r="F355">
        <v>38740391.100000001</v>
      </c>
      <c r="G355">
        <v>0</v>
      </c>
      <c r="L355" t="s">
        <v>8</v>
      </c>
      <c r="M355" t="s">
        <v>8</v>
      </c>
      <c r="N355" t="s">
        <v>7</v>
      </c>
      <c r="P355">
        <f t="shared" si="969"/>
        <v>0.48037542662116151</v>
      </c>
      <c r="Q355">
        <f t="shared" si="970"/>
        <v>18609931.902133148</v>
      </c>
      <c r="R355">
        <f t="shared" si="971"/>
        <v>189261822.5028227</v>
      </c>
      <c r="S355">
        <f t="shared" si="972"/>
        <v>1892.618225028227</v>
      </c>
      <c r="T355">
        <f t="shared" si="973"/>
        <v>1.8926182250282271</v>
      </c>
    </row>
    <row r="356" spans="1:20" x14ac:dyDescent="0.25">
      <c r="A356" s="5">
        <v>44237</v>
      </c>
      <c r="B356">
        <v>0.24779000000000001</v>
      </c>
      <c r="C356">
        <v>0.26284999999999997</v>
      </c>
      <c r="D356">
        <v>0.22308</v>
      </c>
      <c r="E356">
        <v>0.24434</v>
      </c>
      <c r="F356">
        <v>44764679.600000001</v>
      </c>
      <c r="G356">
        <v>0</v>
      </c>
      <c r="L356" t="s">
        <v>8</v>
      </c>
      <c r="M356" t="s">
        <v>8</v>
      </c>
      <c r="N356" t="s">
        <v>7</v>
      </c>
      <c r="P356">
        <f t="shared" si="969"/>
        <v>6.9147598692482576E-2</v>
      </c>
      <c r="Q356">
        <f t="shared" si="970"/>
        <v>3095370.1005783617</v>
      </c>
      <c r="R356">
        <f t="shared" si="971"/>
        <v>170651890.60068956</v>
      </c>
      <c r="S356">
        <f t="shared" si="972"/>
        <v>1706.5189060068956</v>
      </c>
      <c r="T356">
        <f t="shared" si="973"/>
        <v>1.7065189060068955</v>
      </c>
    </row>
    <row r="357" spans="1:20" x14ac:dyDescent="0.25">
      <c r="A357" s="5">
        <v>44236</v>
      </c>
      <c r="B357">
        <v>0.23849999999999999</v>
      </c>
      <c r="C357">
        <v>0.24809999999999999</v>
      </c>
      <c r="D357">
        <v>0.23349</v>
      </c>
      <c r="E357">
        <v>0.24747</v>
      </c>
      <c r="F357">
        <v>31155231.600000001</v>
      </c>
      <c r="G357">
        <v>0</v>
      </c>
      <c r="L357" t="s">
        <v>8</v>
      </c>
      <c r="M357" t="s">
        <v>7</v>
      </c>
      <c r="N357" t="s">
        <v>7</v>
      </c>
      <c r="P357">
        <f t="shared" si="969"/>
        <v>0.91375770020533986</v>
      </c>
      <c r="Q357">
        <f t="shared" si="970"/>
        <v>28468332.776180733</v>
      </c>
      <c r="R357">
        <f t="shared" si="971"/>
        <v>167556520.50011119</v>
      </c>
      <c r="S357">
        <f t="shared" si="972"/>
        <v>1675.565205001112</v>
      </c>
      <c r="T357">
        <f t="shared" si="973"/>
        <v>1.6755652050011121</v>
      </c>
    </row>
    <row r="358" spans="1:20" x14ac:dyDescent="0.25">
      <c r="A358" s="5">
        <v>44235</v>
      </c>
      <c r="B358">
        <v>0.23075000000000001</v>
      </c>
      <c r="C358">
        <v>0.25</v>
      </c>
      <c r="D358">
        <v>0.22252</v>
      </c>
      <c r="E358">
        <v>0.23841999999999999</v>
      </c>
      <c r="F358">
        <v>47646242.299999997</v>
      </c>
      <c r="G358">
        <v>0</v>
      </c>
      <c r="L358" t="s">
        <v>7</v>
      </c>
      <c r="M358" t="s">
        <v>7</v>
      </c>
      <c r="N358" t="s">
        <v>7</v>
      </c>
      <c r="P358">
        <f t="shared" si="969"/>
        <v>0.15720524017467211</v>
      </c>
      <c r="Q358">
        <f t="shared" si="970"/>
        <v>7490238.9641921213</v>
      </c>
      <c r="R358">
        <f t="shared" si="971"/>
        <v>139088187.72393045</v>
      </c>
      <c r="S358">
        <f t="shared" si="972"/>
        <v>1390.8818772393045</v>
      </c>
      <c r="T358">
        <f t="shared" si="973"/>
        <v>1.3908818772393046</v>
      </c>
    </row>
    <row r="359" spans="1:20" x14ac:dyDescent="0.25">
      <c r="A359" s="5">
        <v>44234</v>
      </c>
      <c r="B359">
        <v>0.2475</v>
      </c>
      <c r="C359">
        <v>0.25455</v>
      </c>
      <c r="D359">
        <v>0.21695</v>
      </c>
      <c r="E359">
        <v>0.23044000000000001</v>
      </c>
      <c r="F359">
        <v>70941168.799999997</v>
      </c>
      <c r="G359">
        <v>0</v>
      </c>
      <c r="L359" t="s">
        <v>8</v>
      </c>
      <c r="M359" t="s">
        <v>7</v>
      </c>
      <c r="N359" t="s">
        <v>7</v>
      </c>
      <c r="P359">
        <f t="shared" si="969"/>
        <v>-0.28244680851063808</v>
      </c>
      <c r="Q359">
        <f t="shared" si="970"/>
        <v>-20037106.719574451</v>
      </c>
      <c r="R359">
        <f t="shared" si="971"/>
        <v>131597948.75973833</v>
      </c>
      <c r="S359">
        <f t="shared" si="972"/>
        <v>1315.9794875973832</v>
      </c>
      <c r="T359">
        <f t="shared" si="973"/>
        <v>1.3159794875973831</v>
      </c>
    </row>
    <row r="360" spans="1:20" x14ac:dyDescent="0.25">
      <c r="A360" s="5">
        <v>44233</v>
      </c>
      <c r="B360">
        <v>0.24772</v>
      </c>
      <c r="C360">
        <v>0.28999999999999998</v>
      </c>
      <c r="D360">
        <v>0.2145</v>
      </c>
      <c r="E360">
        <v>0.24690999999999999</v>
      </c>
      <c r="F360">
        <v>211215215.5</v>
      </c>
      <c r="G360">
        <v>0</v>
      </c>
      <c r="L360" t="s">
        <v>7</v>
      </c>
      <c r="M360" t="s">
        <v>7</v>
      </c>
      <c r="N360" t="s">
        <v>7</v>
      </c>
      <c r="P360">
        <f t="shared" si="969"/>
        <v>-0.14145695364238406</v>
      </c>
      <c r="Q360">
        <f t="shared" si="970"/>
        <v>-29877860.94754966</v>
      </c>
      <c r="R360">
        <f t="shared" si="971"/>
        <v>151635055.47931278</v>
      </c>
      <c r="S360">
        <f t="shared" si="972"/>
        <v>1516.3505547931277</v>
      </c>
      <c r="T360">
        <f t="shared" si="973"/>
        <v>1.5163505547931277</v>
      </c>
    </row>
    <row r="361" spans="1:20" x14ac:dyDescent="0.25">
      <c r="A361" s="5">
        <v>44232</v>
      </c>
      <c r="B361">
        <v>0.17649999999999999</v>
      </c>
      <c r="C361">
        <v>0.30349999999999999</v>
      </c>
      <c r="D361">
        <v>0.17404</v>
      </c>
      <c r="E361">
        <v>0.24831</v>
      </c>
      <c r="F361">
        <v>173260479.59999999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0.14738143055770134</v>
      </c>
      <c r="Q361">
        <f t="shared" si="970"/>
        <v>25535377.342561428</v>
      </c>
      <c r="R361">
        <f t="shared" si="971"/>
        <v>181512916.42686245</v>
      </c>
      <c r="S361">
        <f t="shared" si="972"/>
        <v>1815.1291642686244</v>
      </c>
      <c r="T361">
        <f t="shared" si="973"/>
        <v>1.8151291642686245</v>
      </c>
    </row>
    <row r="362" spans="1:20" x14ac:dyDescent="0.25">
      <c r="A362" s="5">
        <v>44231</v>
      </c>
      <c r="B362">
        <v>0.18317</v>
      </c>
      <c r="C362">
        <v>0.19158</v>
      </c>
      <c r="D362">
        <v>0.16700000000000001</v>
      </c>
      <c r="E362">
        <v>0.17657</v>
      </c>
      <c r="F362">
        <v>34324283.5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-0.22131814483319781</v>
      </c>
      <c r="Q362">
        <f t="shared" si="970"/>
        <v>-7596586.7469487423</v>
      </c>
      <c r="R362">
        <f t="shared" si="971"/>
        <v>155977539.08430102</v>
      </c>
      <c r="S362">
        <f t="shared" si="972"/>
        <v>1559.7753908430102</v>
      </c>
      <c r="T362">
        <f t="shared" si="973"/>
        <v>1.5597753908430101</v>
      </c>
    </row>
    <row r="363" spans="1:20" x14ac:dyDescent="0.25">
      <c r="A363" s="5">
        <v>44230</v>
      </c>
      <c r="B363">
        <v>0.17624000000000001</v>
      </c>
      <c r="C363">
        <v>0.18551999999999999</v>
      </c>
      <c r="D363">
        <v>0.16508</v>
      </c>
      <c r="E363">
        <v>0.18373999999999999</v>
      </c>
      <c r="F363">
        <v>42387478.899999999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0.82583170254403082</v>
      </c>
      <c r="Q363">
        <f t="shared" si="970"/>
        <v>35004923.866536185</v>
      </c>
      <c r="R363">
        <f t="shared" si="971"/>
        <v>163574125.83124977</v>
      </c>
      <c r="S363">
        <f t="shared" si="972"/>
        <v>1635.7412583124978</v>
      </c>
      <c r="T363">
        <f t="shared" si="973"/>
        <v>1.6357412583124979</v>
      </c>
    </row>
    <row r="364" spans="1:20" x14ac:dyDescent="0.25">
      <c r="A364" s="5">
        <v>44229</v>
      </c>
      <c r="B364">
        <v>0.15529000000000001</v>
      </c>
      <c r="C364">
        <v>0.1799</v>
      </c>
      <c r="D364">
        <v>0.154</v>
      </c>
      <c r="E364">
        <v>0.17652000000000001</v>
      </c>
      <c r="F364">
        <v>58568410.399999999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0.73899613899613947</v>
      </c>
      <c r="Q364">
        <f t="shared" si="970"/>
        <v>43281829.152741343</v>
      </c>
      <c r="R364">
        <f t="shared" si="971"/>
        <v>128569201.9647136</v>
      </c>
      <c r="S364">
        <f t="shared" si="972"/>
        <v>1285.692019647136</v>
      </c>
      <c r="T364">
        <f t="shared" si="973"/>
        <v>1.285692019647136</v>
      </c>
    </row>
    <row r="365" spans="1:20" x14ac:dyDescent="0.25">
      <c r="A365" s="5">
        <v>44228</v>
      </c>
      <c r="B365">
        <v>0.1517</v>
      </c>
      <c r="C365">
        <v>0.15801999999999999</v>
      </c>
      <c r="D365">
        <v>0.14782999999999999</v>
      </c>
      <c r="E365">
        <v>0.15522</v>
      </c>
      <c r="F365">
        <v>18892119.5</v>
      </c>
      <c r="G365">
        <v>0</v>
      </c>
      <c r="L365" t="s">
        <v>7</v>
      </c>
      <c r="M365" t="s">
        <v>8</v>
      </c>
      <c r="N365" t="s">
        <v>8</v>
      </c>
      <c r="P365">
        <f t="shared" si="969"/>
        <v>0.45044160942100181</v>
      </c>
      <c r="Q365">
        <f t="shared" si="970"/>
        <v>8509796.7129538916</v>
      </c>
      <c r="R365">
        <f t="shared" si="971"/>
        <v>85287372.81197226</v>
      </c>
      <c r="S365">
        <f t="shared" si="972"/>
        <v>852.87372811972261</v>
      </c>
      <c r="T365">
        <f t="shared" si="973"/>
        <v>0.85287372811972262</v>
      </c>
    </row>
    <row r="366" spans="1:20" x14ac:dyDescent="0.25">
      <c r="A366" s="5">
        <v>44227</v>
      </c>
      <c r="B366">
        <v>0.15536</v>
      </c>
      <c r="C366">
        <v>0.159</v>
      </c>
      <c r="D366">
        <v>0.14799999999999999</v>
      </c>
      <c r="E366">
        <v>0.15174000000000001</v>
      </c>
      <c r="F366">
        <v>21116930.800000001</v>
      </c>
      <c r="G366">
        <v>0</v>
      </c>
      <c r="L366" t="s">
        <v>7</v>
      </c>
      <c r="M366" t="s">
        <v>8</v>
      </c>
      <c r="N366" t="s">
        <v>8</v>
      </c>
      <c r="P366">
        <f t="shared" si="969"/>
        <v>-0.31999999999999679</v>
      </c>
      <c r="Q366">
        <f t="shared" si="970"/>
        <v>-6757417.8559999326</v>
      </c>
      <c r="R366">
        <f t="shared" si="971"/>
        <v>76777576.099018365</v>
      </c>
      <c r="S366">
        <f t="shared" si="972"/>
        <v>767.7757609901837</v>
      </c>
      <c r="T366">
        <f t="shared" si="973"/>
        <v>0.76777576099018374</v>
      </c>
    </row>
    <row r="367" spans="1:20" x14ac:dyDescent="0.25">
      <c r="A367" s="5">
        <v>44226</v>
      </c>
      <c r="B367">
        <v>0.15601999999999999</v>
      </c>
      <c r="C367">
        <v>0.16800000000000001</v>
      </c>
      <c r="D367">
        <v>0.15295</v>
      </c>
      <c r="E367">
        <v>0.15534999999999999</v>
      </c>
      <c r="F367">
        <v>33897417.299999997</v>
      </c>
      <c r="G367">
        <v>0</v>
      </c>
      <c r="L367" t="s">
        <v>7</v>
      </c>
      <c r="M367" t="s">
        <v>8</v>
      </c>
      <c r="N367" t="s">
        <v>8</v>
      </c>
      <c r="P367">
        <f t="shared" si="969"/>
        <v>-0.68106312292359017</v>
      </c>
      <c r="Q367">
        <f t="shared" si="970"/>
        <v>-23086280.885382131</v>
      </c>
      <c r="R367">
        <f t="shared" si="971"/>
        <v>83534993.955018297</v>
      </c>
      <c r="S367">
        <f t="shared" si="972"/>
        <v>835.34993955018297</v>
      </c>
      <c r="T367">
        <f t="shared" si="973"/>
        <v>0.835349939550183</v>
      </c>
    </row>
    <row r="368" spans="1:20" x14ac:dyDescent="0.25">
      <c r="A368" s="5">
        <v>44225</v>
      </c>
      <c r="B368">
        <v>0.15212999999999999</v>
      </c>
      <c r="C368">
        <v>0.16800000000000001</v>
      </c>
      <c r="D368">
        <v>0.14566000000000001</v>
      </c>
      <c r="E368">
        <v>0.15601000000000001</v>
      </c>
      <c r="F368">
        <v>67304558.700000003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-7.3410922112802271E-2</v>
      </c>
      <c r="Q368">
        <f t="shared" si="970"/>
        <v>-4940889.7165622283</v>
      </c>
      <c r="R368">
        <f t="shared" si="971"/>
        <v>106621274.84040043</v>
      </c>
      <c r="S368">
        <f t="shared" si="972"/>
        <v>1066.2127484040043</v>
      </c>
      <c r="T368">
        <f t="shared" si="973"/>
        <v>1.0662127484040043</v>
      </c>
    </row>
    <row r="369" spans="1:20" x14ac:dyDescent="0.25">
      <c r="A369" s="5">
        <v>44224</v>
      </c>
      <c r="B369">
        <v>0.13466</v>
      </c>
      <c r="C369">
        <v>0.1578</v>
      </c>
      <c r="D369">
        <v>0.13439000000000001</v>
      </c>
      <c r="E369">
        <v>0.15185000000000001</v>
      </c>
      <c r="F369">
        <v>53683533.399999999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0.49167022639897595</v>
      </c>
      <c r="Q369">
        <f t="shared" si="970"/>
        <v>26394595.020674985</v>
      </c>
      <c r="R369">
        <f t="shared" si="971"/>
        <v>111562164.55696265</v>
      </c>
      <c r="S369">
        <f t="shared" si="972"/>
        <v>1115.6216455696265</v>
      </c>
      <c r="T369">
        <f t="shared" si="973"/>
        <v>1.1156216455696264</v>
      </c>
    </row>
    <row r="370" spans="1:20" x14ac:dyDescent="0.25">
      <c r="A370" s="5">
        <v>44223</v>
      </c>
      <c r="B370">
        <v>0.14828</v>
      </c>
      <c r="C370">
        <v>0.14871000000000001</v>
      </c>
      <c r="D370">
        <v>0.12975</v>
      </c>
      <c r="E370">
        <v>0.13464999999999999</v>
      </c>
      <c r="F370">
        <v>17753497.899999999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-0.48312236286919974</v>
      </c>
      <c r="Q370">
        <f t="shared" si="970"/>
        <v>-8577111.8546413742</v>
      </c>
      <c r="R370">
        <f t="shared" si="971"/>
        <v>85167569.536287665</v>
      </c>
      <c r="S370">
        <f t="shared" si="972"/>
        <v>851.6756953628767</v>
      </c>
      <c r="T370">
        <f t="shared" si="973"/>
        <v>0.85167569536287668</v>
      </c>
    </row>
    <row r="371" spans="1:20" x14ac:dyDescent="0.25">
      <c r="A371" s="5">
        <v>44222</v>
      </c>
      <c r="B371">
        <v>0.14990999999999999</v>
      </c>
      <c r="C371">
        <v>0.15187999999999999</v>
      </c>
      <c r="D371">
        <v>0.13905999999999999</v>
      </c>
      <c r="E371">
        <v>0.14829999999999999</v>
      </c>
      <c r="F371">
        <v>14619679.6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0.44149765990639622</v>
      </c>
      <c r="Q371">
        <f t="shared" si="970"/>
        <v>6454554.331981279</v>
      </c>
      <c r="R371">
        <f t="shared" si="971"/>
        <v>93744681.390929043</v>
      </c>
      <c r="S371">
        <f t="shared" si="972"/>
        <v>937.44681390929043</v>
      </c>
      <c r="T371">
        <f t="shared" si="973"/>
        <v>0.93744681390929041</v>
      </c>
    </row>
    <row r="372" spans="1:20" x14ac:dyDescent="0.25">
      <c r="A372" s="5">
        <v>44221</v>
      </c>
      <c r="B372">
        <v>0.15587000000000001</v>
      </c>
      <c r="C372">
        <v>0.15825</v>
      </c>
      <c r="D372">
        <v>0.14610999999999999</v>
      </c>
      <c r="E372">
        <v>0.14993999999999999</v>
      </c>
      <c r="F372">
        <v>21228619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-0.36902800658978646</v>
      </c>
      <c r="Q372">
        <f t="shared" si="970"/>
        <v>-7833954.9522240665</v>
      </c>
      <c r="R372">
        <f t="shared" si="971"/>
        <v>87290127.058947772</v>
      </c>
      <c r="S372">
        <f t="shared" si="972"/>
        <v>872.90127058947769</v>
      </c>
      <c r="T372">
        <f t="shared" si="973"/>
        <v>0.87290127058947764</v>
      </c>
    </row>
    <row r="373" spans="1:20" x14ac:dyDescent="0.25">
      <c r="A373" s="5">
        <v>44220</v>
      </c>
      <c r="B373">
        <v>0.14796999999999999</v>
      </c>
      <c r="C373">
        <v>0.16478000000000001</v>
      </c>
      <c r="D373">
        <v>0.14557999999999999</v>
      </c>
      <c r="E373">
        <v>0.15586</v>
      </c>
      <c r="F373">
        <v>44534699.299999997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7.0833333333333248E-2</v>
      </c>
      <c r="Q373">
        <f t="shared" si="970"/>
        <v>3154541.2004166627</v>
      </c>
      <c r="R373">
        <f t="shared" si="971"/>
        <v>95124082.011171833</v>
      </c>
      <c r="S373">
        <f t="shared" si="972"/>
        <v>951.24082011171834</v>
      </c>
      <c r="T373">
        <f t="shared" si="973"/>
        <v>0.95124082011171829</v>
      </c>
    </row>
    <row r="374" spans="1:20" x14ac:dyDescent="0.25">
      <c r="A374" s="5">
        <v>44219</v>
      </c>
      <c r="B374">
        <v>0.14509</v>
      </c>
      <c r="C374">
        <v>0.16059999999999999</v>
      </c>
      <c r="D374">
        <v>0.14329</v>
      </c>
      <c r="E374">
        <v>0.14779</v>
      </c>
      <c r="F374">
        <v>34541108.299999997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-0.4800693240901206</v>
      </c>
      <c r="Q374">
        <f t="shared" si="970"/>
        <v>-16582126.514904654</v>
      </c>
      <c r="R374">
        <f t="shared" si="971"/>
        <v>91969540.810755163</v>
      </c>
      <c r="S374">
        <f t="shared" si="972"/>
        <v>919.69540810755166</v>
      </c>
      <c r="T374">
        <f t="shared" si="973"/>
        <v>0.91969540810755168</v>
      </c>
    </row>
    <row r="375" spans="1:20" x14ac:dyDescent="0.25">
      <c r="A375" s="5">
        <v>44218</v>
      </c>
      <c r="B375">
        <v>0.13141</v>
      </c>
      <c r="C375">
        <v>0.14624999999999999</v>
      </c>
      <c r="D375">
        <v>0.11543</v>
      </c>
      <c r="E375">
        <v>0.14509</v>
      </c>
      <c r="F375">
        <v>36841981.5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0.92472420506164865</v>
      </c>
      <c r="Q375">
        <f t="shared" si="970"/>
        <v>34068672.055483468</v>
      </c>
      <c r="R375">
        <f t="shared" si="971"/>
        <v>108551667.32565981</v>
      </c>
      <c r="S375">
        <f t="shared" si="972"/>
        <v>1085.5166732565981</v>
      </c>
      <c r="T375">
        <f t="shared" si="973"/>
        <v>1.0855166732565982</v>
      </c>
    </row>
    <row r="376" spans="1:20" x14ac:dyDescent="0.25">
      <c r="A376" s="5">
        <v>44217</v>
      </c>
      <c r="B376">
        <v>0.15692999999999999</v>
      </c>
      <c r="C376">
        <v>0.1578</v>
      </c>
      <c r="D376">
        <v>0.12801999999999999</v>
      </c>
      <c r="E376">
        <v>0.13167000000000001</v>
      </c>
      <c r="F376">
        <v>22748989.899999999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-0.75486903962390772</v>
      </c>
      <c r="Q376">
        <f t="shared" si="970"/>
        <v>-17172508.158226974</v>
      </c>
      <c r="R376">
        <f t="shared" si="971"/>
        <v>74482995.270176351</v>
      </c>
      <c r="S376">
        <f t="shared" si="972"/>
        <v>744.82995270176355</v>
      </c>
      <c r="T376">
        <f t="shared" si="973"/>
        <v>0.74482995270176355</v>
      </c>
    </row>
    <row r="377" spans="1:20" x14ac:dyDescent="0.25">
      <c r="A377" s="5">
        <v>44216</v>
      </c>
      <c r="B377">
        <v>0.1595</v>
      </c>
      <c r="C377">
        <v>0.16694999999999999</v>
      </c>
      <c r="D377">
        <v>0.14502000000000001</v>
      </c>
      <c r="E377">
        <v>0.15692999999999999</v>
      </c>
      <c r="F377">
        <v>25128147.899999999</v>
      </c>
      <c r="G377">
        <v>0</v>
      </c>
      <c r="L377" t="s">
        <v>7</v>
      </c>
      <c r="M377" t="s">
        <v>8</v>
      </c>
      <c r="N377" t="s">
        <v>8</v>
      </c>
      <c r="P377">
        <f t="shared" si="969"/>
        <v>8.6183310533514676E-2</v>
      </c>
      <c r="Q377">
        <f t="shared" si="970"/>
        <v>2165626.9735977845</v>
      </c>
      <c r="R377">
        <f t="shared" si="971"/>
        <v>91655503.428403333</v>
      </c>
      <c r="S377">
        <f t="shared" si="972"/>
        <v>916.55503428403335</v>
      </c>
      <c r="T377">
        <f t="shared" si="973"/>
        <v>0.9165550342840334</v>
      </c>
    </row>
    <row r="378" spans="1:20" x14ac:dyDescent="0.25">
      <c r="A378" s="5">
        <v>44215</v>
      </c>
      <c r="B378">
        <v>0.16694000000000001</v>
      </c>
      <c r="C378">
        <v>0.16747000000000001</v>
      </c>
      <c r="D378">
        <v>0.155</v>
      </c>
      <c r="E378">
        <v>0.15981000000000001</v>
      </c>
      <c r="F378">
        <v>32279997.5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-0.22854851643945384</v>
      </c>
      <c r="Q378">
        <f t="shared" si="970"/>
        <v>-7377545.5392942792</v>
      </c>
      <c r="R378">
        <f t="shared" si="971"/>
        <v>89489876.454805553</v>
      </c>
      <c r="S378">
        <f t="shared" si="972"/>
        <v>894.89876454805551</v>
      </c>
      <c r="T378">
        <f t="shared" si="973"/>
        <v>0.8948987645480555</v>
      </c>
    </row>
    <row r="379" spans="1:20" x14ac:dyDescent="0.25">
      <c r="A379" s="5">
        <v>44214</v>
      </c>
      <c r="B379">
        <v>0.15490000000000001</v>
      </c>
      <c r="C379">
        <v>0.1694</v>
      </c>
      <c r="D379">
        <v>0.14921000000000001</v>
      </c>
      <c r="E379">
        <v>0.16689000000000001</v>
      </c>
      <c r="F379">
        <v>57025711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0.75136206042595477</v>
      </c>
      <c r="Q379">
        <f t="shared" si="970"/>
        <v>42846955.714215033</v>
      </c>
      <c r="R379">
        <f t="shared" si="971"/>
        <v>96867421.994099826</v>
      </c>
      <c r="S379">
        <f t="shared" si="972"/>
        <v>968.67421994099823</v>
      </c>
      <c r="T379">
        <f t="shared" si="973"/>
        <v>0.96867421994099823</v>
      </c>
    </row>
    <row r="380" spans="1:20" x14ac:dyDescent="0.25">
      <c r="A380" s="5">
        <v>44213</v>
      </c>
      <c r="B380">
        <v>0.15239</v>
      </c>
      <c r="C380">
        <v>0.16542000000000001</v>
      </c>
      <c r="D380">
        <v>0.14526</v>
      </c>
      <c r="E380">
        <v>0.15478</v>
      </c>
      <c r="F380">
        <v>46195736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-5.5555555555556017E-2</v>
      </c>
      <c r="Q380">
        <f t="shared" si="970"/>
        <v>-2566429.7777777989</v>
      </c>
      <c r="R380">
        <f t="shared" si="971"/>
        <v>54020466.279884785</v>
      </c>
      <c r="S380">
        <f t="shared" si="972"/>
        <v>540.20466279884783</v>
      </c>
      <c r="T380">
        <f t="shared" si="973"/>
        <v>0.54020466279884782</v>
      </c>
    </row>
    <row r="381" spans="1:20" x14ac:dyDescent="0.25">
      <c r="A381" s="5">
        <v>44212</v>
      </c>
      <c r="B381">
        <v>0.15526999999999999</v>
      </c>
      <c r="C381">
        <v>0.1656</v>
      </c>
      <c r="D381">
        <v>0.14707999999999999</v>
      </c>
      <c r="E381">
        <v>0.15245</v>
      </c>
      <c r="F381">
        <v>46399363.899999999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-0.42008639308855172</v>
      </c>
      <c r="Q381">
        <f t="shared" si="970"/>
        <v>-19491741.422354154</v>
      </c>
      <c r="R381">
        <f t="shared" si="971"/>
        <v>56586896.057662584</v>
      </c>
      <c r="S381">
        <f t="shared" si="972"/>
        <v>565.8689605766258</v>
      </c>
      <c r="T381">
        <f t="shared" si="973"/>
        <v>0.56586896057662583</v>
      </c>
    </row>
    <row r="382" spans="1:20" x14ac:dyDescent="0.25">
      <c r="A382" s="5">
        <v>44211</v>
      </c>
      <c r="B382">
        <v>0.16591</v>
      </c>
      <c r="C382">
        <v>0.16722000000000001</v>
      </c>
      <c r="D382">
        <v>0.122</v>
      </c>
      <c r="E382">
        <v>0.1552</v>
      </c>
      <c r="F382">
        <v>59943376.200000003</v>
      </c>
      <c r="G382">
        <v>0</v>
      </c>
      <c r="L382" t="s">
        <v>7</v>
      </c>
      <c r="M382" t="s">
        <v>7</v>
      </c>
      <c r="N382" t="s">
        <v>7</v>
      </c>
      <c r="P382">
        <f t="shared" si="969"/>
        <v>0.4683768244139761</v>
      </c>
      <c r="Q382">
        <f t="shared" si="970"/>
        <v>28076088.189208314</v>
      </c>
      <c r="R382">
        <f t="shared" si="971"/>
        <v>76078637.480016738</v>
      </c>
      <c r="S382">
        <f t="shared" si="972"/>
        <v>760.78637480016744</v>
      </c>
      <c r="T382">
        <f t="shared" si="973"/>
        <v>0.76078637480016742</v>
      </c>
    </row>
    <row r="383" spans="1:20" x14ac:dyDescent="0.25">
      <c r="A383" s="5">
        <v>44210</v>
      </c>
      <c r="B383">
        <v>0.17069000000000001</v>
      </c>
      <c r="C383">
        <v>0.17433999999999999</v>
      </c>
      <c r="D383">
        <v>0.15709000000000001</v>
      </c>
      <c r="E383">
        <v>0.16586999999999999</v>
      </c>
      <c r="F383">
        <v>74509604.5</v>
      </c>
      <c r="G383">
        <v>0</v>
      </c>
      <c r="L383" t="s">
        <v>8</v>
      </c>
      <c r="M383" t="s">
        <v>7</v>
      </c>
      <c r="N383" t="s">
        <v>8</v>
      </c>
      <c r="P383">
        <f t="shared" si="969"/>
        <v>1.7971014492752301E-2</v>
      </c>
      <c r="Q383">
        <f t="shared" si="970"/>
        <v>1339013.1823187422</v>
      </c>
      <c r="R383">
        <f t="shared" si="971"/>
        <v>48002549.290808417</v>
      </c>
      <c r="S383">
        <f t="shared" si="972"/>
        <v>480.02549290808417</v>
      </c>
      <c r="T383">
        <f t="shared" si="973"/>
        <v>0.48002549290808416</v>
      </c>
    </row>
    <row r="384" spans="1:20" x14ac:dyDescent="0.25">
      <c r="A384" s="5">
        <v>44209</v>
      </c>
      <c r="B384">
        <v>0.17115</v>
      </c>
      <c r="C384">
        <v>0.17898</v>
      </c>
      <c r="D384">
        <v>0.15059</v>
      </c>
      <c r="E384">
        <v>0.17069000000000001</v>
      </c>
      <c r="F384">
        <v>159852505.59999999</v>
      </c>
      <c r="G384">
        <v>0</v>
      </c>
      <c r="L384" t="s">
        <v>7</v>
      </c>
      <c r="M384" t="s">
        <v>7</v>
      </c>
      <c r="N384" t="s">
        <v>8</v>
      </c>
      <c r="P384">
        <f t="shared" si="969"/>
        <v>0.41599154631912699</v>
      </c>
      <c r="Q384">
        <f t="shared" si="970"/>
        <v>66497290.987530902</v>
      </c>
      <c r="R384">
        <f t="shared" si="971"/>
        <v>46663536.108489677</v>
      </c>
      <c r="S384">
        <f t="shared" si="972"/>
        <v>466.63536108489677</v>
      </c>
      <c r="T384">
        <f t="shared" si="973"/>
        <v>0.46663536108489678</v>
      </c>
    </row>
    <row r="385" spans="1:20" x14ac:dyDescent="0.25">
      <c r="A385" s="5">
        <v>44208</v>
      </c>
      <c r="B385">
        <v>0.12106</v>
      </c>
      <c r="C385">
        <v>0.19245999999999999</v>
      </c>
      <c r="D385">
        <v>0.11607000000000001</v>
      </c>
      <c r="E385">
        <v>0.17091000000000001</v>
      </c>
      <c r="F385">
        <v>261417647.09999999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0.43579002487236573</v>
      </c>
      <c r="Q385">
        <f t="shared" si="970"/>
        <v>113923202.93178433</v>
      </c>
      <c r="R385">
        <f t="shared" si="971"/>
        <v>-19833754.879041225</v>
      </c>
      <c r="S385">
        <f t="shared" si="972"/>
        <v>-198.33754879041226</v>
      </c>
      <c r="T385">
        <f t="shared" si="973"/>
        <v>-0.19833754879041227</v>
      </c>
    </row>
    <row r="386" spans="1:20" x14ac:dyDescent="0.25">
      <c r="A386" s="5">
        <v>44207</v>
      </c>
      <c r="B386">
        <v>0.14026</v>
      </c>
      <c r="C386">
        <v>0.14080000000000001</v>
      </c>
      <c r="D386">
        <v>9.8900000000000002E-2</v>
      </c>
      <c r="E386">
        <v>0.12109</v>
      </c>
      <c r="F386">
        <v>69401119.900000006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5.9188544152744528E-2</v>
      </c>
      <c r="Q386">
        <f t="shared" si="970"/>
        <v>4107751.2494510673</v>
      </c>
      <c r="R386">
        <f t="shared" si="971"/>
        <v>-133756957.81082556</v>
      </c>
      <c r="S386">
        <f t="shared" si="972"/>
        <v>-1337.5695781082557</v>
      </c>
      <c r="T386">
        <f t="shared" si="973"/>
        <v>-1.3375695781082557</v>
      </c>
    </row>
    <row r="387" spans="1:20" x14ac:dyDescent="0.25">
      <c r="A387" s="5">
        <v>44206</v>
      </c>
      <c r="B387">
        <v>0.15165999999999999</v>
      </c>
      <c r="C387">
        <v>0.17057</v>
      </c>
      <c r="D387">
        <v>0.128</v>
      </c>
      <c r="E387">
        <v>0.14026</v>
      </c>
      <c r="F387">
        <v>64727283.200000003</v>
      </c>
      <c r="G387">
        <v>0</v>
      </c>
      <c r="L387" t="s">
        <v>7</v>
      </c>
      <c r="M387" t="s">
        <v>7</v>
      </c>
      <c r="N387" t="s">
        <v>7</v>
      </c>
      <c r="P387">
        <f t="shared" si="969"/>
        <v>-0.42400751703077311</v>
      </c>
      <c r="Q387">
        <f t="shared" si="970"/>
        <v>-27444854.633779675</v>
      </c>
      <c r="R387">
        <f t="shared" si="971"/>
        <v>-137864709.06027663</v>
      </c>
      <c r="S387">
        <f t="shared" si="972"/>
        <v>-1378.6470906027662</v>
      </c>
      <c r="T387">
        <f t="shared" si="973"/>
        <v>-1.3786470906027661</v>
      </c>
    </row>
    <row r="388" spans="1:20" x14ac:dyDescent="0.25">
      <c r="A388" s="5">
        <v>44205</v>
      </c>
      <c r="B388">
        <v>0.16456999999999999</v>
      </c>
      <c r="C388">
        <v>0.17563000000000001</v>
      </c>
      <c r="D388">
        <v>0.14076</v>
      </c>
      <c r="E388">
        <v>0.1515</v>
      </c>
      <c r="F388">
        <v>82041512.900000006</v>
      </c>
      <c r="G388">
        <v>0</v>
      </c>
      <c r="L388" t="s">
        <v>7</v>
      </c>
      <c r="M388" t="s">
        <v>7</v>
      </c>
      <c r="N388" t="s">
        <v>7</v>
      </c>
      <c r="P388">
        <f t="shared" si="969"/>
        <v>-0.38399770576426751</v>
      </c>
      <c r="Q388">
        <f t="shared" si="970"/>
        <v>-31503752.731029559</v>
      </c>
      <c r="R388">
        <f t="shared" si="971"/>
        <v>-110419854.42649697</v>
      </c>
      <c r="S388">
        <f t="shared" si="972"/>
        <v>-1104.1985442649698</v>
      </c>
      <c r="T388">
        <f t="shared" si="973"/>
        <v>-1.1041985442649698</v>
      </c>
    </row>
    <row r="389" spans="1:20" x14ac:dyDescent="0.25">
      <c r="A389" s="5">
        <v>44204</v>
      </c>
      <c r="B389">
        <v>0.20580000000000001</v>
      </c>
      <c r="C389">
        <v>0.21998999999999999</v>
      </c>
      <c r="D389">
        <v>0.15095</v>
      </c>
      <c r="E389">
        <v>0.16442000000000001</v>
      </c>
      <c r="F389">
        <v>250063426.09999999</v>
      </c>
      <c r="G389">
        <v>0</v>
      </c>
      <c r="L389" t="s">
        <v>8</v>
      </c>
      <c r="M389" t="s">
        <v>7</v>
      </c>
      <c r="N389" t="s">
        <v>8</v>
      </c>
      <c r="P389">
        <f t="shared" si="969"/>
        <v>-0.60979142526071806</v>
      </c>
      <c r="Q389">
        <f t="shared" si="970"/>
        <v>-152486533.00709724</v>
      </c>
      <c r="R389">
        <f t="shared" si="971"/>
        <v>-78916101.695467412</v>
      </c>
      <c r="S389">
        <f t="shared" si="972"/>
        <v>-789.1610169546741</v>
      </c>
      <c r="T389">
        <f t="shared" si="973"/>
        <v>-0.78916101695467411</v>
      </c>
    </row>
    <row r="390" spans="1:20" x14ac:dyDescent="0.25">
      <c r="A390" s="5">
        <v>44203</v>
      </c>
      <c r="B390">
        <v>0.10557</v>
      </c>
      <c r="C390">
        <v>0.21</v>
      </c>
      <c r="D390">
        <v>0.10183</v>
      </c>
      <c r="E390">
        <v>0.20827000000000001</v>
      </c>
      <c r="F390">
        <v>319414394.80000001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0.9680133123786635</v>
      </c>
      <c r="Q390">
        <f t="shared" ref="Q390:Q453" si="975">F390*P390</f>
        <v>309197386.33177418</v>
      </c>
      <c r="R390">
        <f t="shared" ref="R390:R453" si="976">R391+Q390</f>
        <v>73570431.311629832</v>
      </c>
      <c r="S390">
        <f t="shared" ref="S390:S453" si="977">R390/100000</f>
        <v>735.70431311629829</v>
      </c>
      <c r="T390">
        <f t="shared" ref="T390:T453" si="978">S390/1000</f>
        <v>0.73570431311629825</v>
      </c>
    </row>
    <row r="391" spans="1:20" x14ac:dyDescent="0.25">
      <c r="A391" s="5">
        <v>44202</v>
      </c>
      <c r="B391">
        <v>9.2090000000000005E-2</v>
      </c>
      <c r="C391">
        <v>0.124</v>
      </c>
      <c r="D391">
        <v>9.0020000000000003E-2</v>
      </c>
      <c r="E391">
        <v>0.1057</v>
      </c>
      <c r="F391">
        <v>75579798.5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-7.7104178928781561E-2</v>
      </c>
      <c r="Q391">
        <f t="shared" si="975"/>
        <v>-5827518.306945256</v>
      </c>
      <c r="R391">
        <f t="shared" si="976"/>
        <v>-235626955.02014434</v>
      </c>
      <c r="S391">
        <f t="shared" si="977"/>
        <v>-2356.2695502014435</v>
      </c>
      <c r="T391">
        <f t="shared" si="978"/>
        <v>-2.3562695502014437</v>
      </c>
    </row>
    <row r="392" spans="1:20" x14ac:dyDescent="0.25">
      <c r="A392" s="5">
        <v>44201</v>
      </c>
      <c r="B392">
        <v>8.4669999999999995E-2</v>
      </c>
      <c r="C392">
        <v>9.4380000000000006E-2</v>
      </c>
      <c r="D392">
        <v>8.2000000000000003E-2</v>
      </c>
      <c r="E392">
        <v>9.1800000000000007E-2</v>
      </c>
      <c r="F392">
        <v>30915546.300000001</v>
      </c>
      <c r="G392">
        <v>0</v>
      </c>
      <c r="L392" t="s">
        <v>7</v>
      </c>
      <c r="M392" t="s">
        <v>7</v>
      </c>
      <c r="N392" t="s">
        <v>7</v>
      </c>
      <c r="P392">
        <f t="shared" si="974"/>
        <v>0.58319870759289205</v>
      </c>
      <c r="Q392">
        <f t="shared" si="975"/>
        <v>18029906.646688215</v>
      </c>
      <c r="R392">
        <f t="shared" si="976"/>
        <v>-229799436.71319908</v>
      </c>
      <c r="S392">
        <f t="shared" si="977"/>
        <v>-2297.9943671319907</v>
      </c>
      <c r="T392">
        <f t="shared" si="978"/>
        <v>-2.2979943671319907</v>
      </c>
    </row>
    <row r="393" spans="1:20" x14ac:dyDescent="0.25">
      <c r="A393" s="5">
        <v>44200</v>
      </c>
      <c r="B393">
        <v>8.7540000000000007E-2</v>
      </c>
      <c r="C393">
        <v>9.8129999999999995E-2</v>
      </c>
      <c r="D393">
        <v>7.8E-2</v>
      </c>
      <c r="E393">
        <v>8.4640000000000007E-2</v>
      </c>
      <c r="F393">
        <v>48062356.899999999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-0.3402881271733722</v>
      </c>
      <c r="Q393">
        <f t="shared" si="975"/>
        <v>-16355049.417039203</v>
      </c>
      <c r="R393">
        <f t="shared" si="976"/>
        <v>-247829343.3598873</v>
      </c>
      <c r="S393">
        <f t="shared" si="977"/>
        <v>-2478.293433598873</v>
      </c>
      <c r="T393">
        <f t="shared" si="978"/>
        <v>-2.4782934335988731</v>
      </c>
    </row>
    <row r="394" spans="1:20" x14ac:dyDescent="0.25">
      <c r="A394" s="5">
        <v>44199</v>
      </c>
      <c r="B394">
        <v>8.5169999999999996E-2</v>
      </c>
      <c r="C394">
        <v>8.9330000000000007E-2</v>
      </c>
      <c r="D394">
        <v>8.2629999999999995E-2</v>
      </c>
      <c r="E394">
        <v>8.7559999999999999E-2</v>
      </c>
      <c r="F394">
        <v>37334752.600000001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0.47164179104477472</v>
      </c>
      <c r="Q394">
        <f t="shared" si="975"/>
        <v>17608629.584477559</v>
      </c>
      <c r="R394">
        <f t="shared" si="976"/>
        <v>-231474293.94284809</v>
      </c>
      <c r="S394">
        <f t="shared" si="977"/>
        <v>-2314.7429394284809</v>
      </c>
      <c r="T394">
        <f t="shared" si="978"/>
        <v>-2.3147429394284811</v>
      </c>
    </row>
    <row r="395" spans="1:20" x14ac:dyDescent="0.25">
      <c r="A395" s="5">
        <v>44198</v>
      </c>
      <c r="B395">
        <v>8.5830000000000004E-2</v>
      </c>
      <c r="C395">
        <v>8.7470000000000006E-2</v>
      </c>
      <c r="D395">
        <v>8.1589999999999996E-2</v>
      </c>
      <c r="E395">
        <v>8.5379999999999998E-2</v>
      </c>
      <c r="F395">
        <v>18453785.300000001</v>
      </c>
      <c r="G395">
        <v>0</v>
      </c>
      <c r="L395" t="s">
        <v>7</v>
      </c>
      <c r="M395" t="s">
        <v>8</v>
      </c>
      <c r="N395" t="s">
        <v>7</v>
      </c>
      <c r="P395">
        <f t="shared" si="974"/>
        <v>0.28911564625850172</v>
      </c>
      <c r="Q395">
        <f t="shared" si="975"/>
        <v>5335278.0629251394</v>
      </c>
      <c r="R395">
        <f t="shared" si="976"/>
        <v>-249082923.52732563</v>
      </c>
      <c r="S395">
        <f t="shared" si="977"/>
        <v>-2490.8292352732565</v>
      </c>
      <c r="T395">
        <f t="shared" si="978"/>
        <v>-2.4908292352732566</v>
      </c>
    </row>
    <row r="396" spans="1:20" x14ac:dyDescent="0.25">
      <c r="A396" s="5">
        <v>44197</v>
      </c>
      <c r="B396">
        <v>8.4150000000000003E-2</v>
      </c>
      <c r="C396">
        <v>8.9410000000000003E-2</v>
      </c>
      <c r="D396">
        <v>8.3099999999999993E-2</v>
      </c>
      <c r="E396">
        <v>8.5639999999999994E-2</v>
      </c>
      <c r="F396">
        <v>25355867.699999999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-0.19492868462757637</v>
      </c>
      <c r="Q396">
        <f t="shared" si="975"/>
        <v>-4942585.93835185</v>
      </c>
      <c r="R396">
        <f t="shared" si="976"/>
        <v>-254418201.59025076</v>
      </c>
      <c r="S396">
        <f t="shared" si="977"/>
        <v>-2544.1820159025078</v>
      </c>
      <c r="T396">
        <f t="shared" si="978"/>
        <v>-2.5441820159025079</v>
      </c>
    </row>
    <row r="397" spans="1:20" x14ac:dyDescent="0.25">
      <c r="A397" s="5">
        <v>44196</v>
      </c>
      <c r="B397">
        <v>8.609E-2</v>
      </c>
      <c r="C397">
        <v>8.6309999999999998E-2</v>
      </c>
      <c r="D397">
        <v>8.1430000000000002E-2</v>
      </c>
      <c r="E397">
        <v>8.4190000000000001E-2</v>
      </c>
      <c r="F397">
        <v>16651323</v>
      </c>
      <c r="G397">
        <v>0</v>
      </c>
      <c r="L397" t="s">
        <v>7</v>
      </c>
      <c r="M397" t="s">
        <v>8</v>
      </c>
      <c r="N397" t="s">
        <v>7</v>
      </c>
      <c r="P397">
        <f t="shared" si="974"/>
        <v>0.13114754098360704</v>
      </c>
      <c r="Q397">
        <f t="shared" si="975"/>
        <v>2183780.0655737785</v>
      </c>
      <c r="R397">
        <f t="shared" si="976"/>
        <v>-249475615.65189892</v>
      </c>
      <c r="S397">
        <f t="shared" si="977"/>
        <v>-2494.7561565189894</v>
      </c>
      <c r="T397">
        <f t="shared" si="978"/>
        <v>-2.4947561565189895</v>
      </c>
    </row>
    <row r="398" spans="1:20" x14ac:dyDescent="0.25">
      <c r="A398" s="5">
        <v>44195</v>
      </c>
      <c r="B398">
        <v>8.3909999999999998E-2</v>
      </c>
      <c r="C398">
        <v>9.1179999999999997E-2</v>
      </c>
      <c r="D398">
        <v>8.2659999999999997E-2</v>
      </c>
      <c r="E398">
        <v>8.6050000000000001E-2</v>
      </c>
      <c r="F398">
        <v>30814749.899999999</v>
      </c>
      <c r="G398">
        <v>0</v>
      </c>
      <c r="L398" t="s">
        <v>8</v>
      </c>
      <c r="M398" t="s">
        <v>8</v>
      </c>
      <c r="N398" t="s">
        <v>7</v>
      </c>
      <c r="P398">
        <f t="shared" si="974"/>
        <v>-0.20422535211267506</v>
      </c>
      <c r="Q398">
        <f t="shared" si="975"/>
        <v>-6293153.1485915184</v>
      </c>
      <c r="R398">
        <f t="shared" si="976"/>
        <v>-251659395.7174727</v>
      </c>
      <c r="S398">
        <f t="shared" si="977"/>
        <v>-2516.5939571747272</v>
      </c>
      <c r="T398">
        <f t="shared" si="978"/>
        <v>-2.5165939571747273</v>
      </c>
    </row>
    <row r="399" spans="1:20" x14ac:dyDescent="0.25">
      <c r="A399" s="5">
        <v>44194</v>
      </c>
      <c r="B399">
        <v>8.6430000000000007E-2</v>
      </c>
      <c r="C399">
        <v>8.7300000000000003E-2</v>
      </c>
      <c r="D399">
        <v>8.1180000000000002E-2</v>
      </c>
      <c r="E399">
        <v>8.3849999999999994E-2</v>
      </c>
      <c r="F399">
        <v>20484117.5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-0.1274509803921596</v>
      </c>
      <c r="Q399">
        <f t="shared" si="975"/>
        <v>-2610720.8578431932</v>
      </c>
      <c r="R399">
        <f t="shared" si="976"/>
        <v>-245366242.56888118</v>
      </c>
      <c r="S399">
        <f t="shared" si="977"/>
        <v>-2453.6624256888117</v>
      </c>
      <c r="T399">
        <f t="shared" si="978"/>
        <v>-2.4536624256888118</v>
      </c>
    </row>
    <row r="400" spans="1:20" x14ac:dyDescent="0.25">
      <c r="A400" s="5">
        <v>44193</v>
      </c>
      <c r="B400">
        <v>8.6529999999999996E-2</v>
      </c>
      <c r="C400">
        <v>9.0359999999999996E-2</v>
      </c>
      <c r="D400">
        <v>8.4839999999999999E-2</v>
      </c>
      <c r="E400">
        <v>8.6330000000000004E-2</v>
      </c>
      <c r="F400">
        <v>27083031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-0.46014492753622971</v>
      </c>
      <c r="Q400">
        <f t="shared" si="975"/>
        <v>-12462119.336956464</v>
      </c>
      <c r="R400">
        <f t="shared" si="976"/>
        <v>-242755521.71103799</v>
      </c>
      <c r="S400">
        <f t="shared" si="977"/>
        <v>-2427.55521711038</v>
      </c>
      <c r="T400">
        <f t="shared" si="978"/>
        <v>-2.4275552171103798</v>
      </c>
    </row>
    <row r="401" spans="1:20" x14ac:dyDescent="0.25">
      <c r="A401" s="5">
        <v>44192</v>
      </c>
      <c r="B401">
        <v>8.9109999999999995E-2</v>
      </c>
      <c r="C401">
        <v>9.2219999999999996E-2</v>
      </c>
      <c r="D401">
        <v>8.3080000000000001E-2</v>
      </c>
      <c r="E401">
        <v>8.6669999999999997E-2</v>
      </c>
      <c r="F401">
        <v>32155334.199999999</v>
      </c>
      <c r="G401">
        <v>0</v>
      </c>
      <c r="L401" t="s">
        <v>7</v>
      </c>
      <c r="M401" t="s">
        <v>8</v>
      </c>
      <c r="N401" t="s">
        <v>7</v>
      </c>
      <c r="P401">
        <f t="shared" si="974"/>
        <v>-0.21444201312910333</v>
      </c>
      <c r="Q401">
        <f t="shared" si="975"/>
        <v>-6895454.5986871049</v>
      </c>
      <c r="R401">
        <f t="shared" si="976"/>
        <v>-230293402.37408152</v>
      </c>
      <c r="S401">
        <f t="shared" si="977"/>
        <v>-2302.9340237408151</v>
      </c>
      <c r="T401">
        <f t="shared" si="978"/>
        <v>-2.3029340237408151</v>
      </c>
    </row>
    <row r="402" spans="1:20" x14ac:dyDescent="0.25">
      <c r="A402" s="5">
        <v>44191</v>
      </c>
      <c r="B402">
        <v>9.1359999999999997E-2</v>
      </c>
      <c r="C402">
        <v>9.1810000000000003E-2</v>
      </c>
      <c r="D402">
        <v>8.6889999999999995E-2</v>
      </c>
      <c r="E402">
        <v>8.9109999999999995E-2</v>
      </c>
      <c r="F402">
        <v>21092220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-9.7560975609757614E-2</v>
      </c>
      <c r="Q402">
        <f t="shared" si="975"/>
        <v>-2057777.5609756417</v>
      </c>
      <c r="R402">
        <f t="shared" si="976"/>
        <v>-223397947.77539441</v>
      </c>
      <c r="S402">
        <f t="shared" si="977"/>
        <v>-2233.9794777539441</v>
      </c>
      <c r="T402">
        <f t="shared" si="978"/>
        <v>-2.2339794777539441</v>
      </c>
    </row>
    <row r="403" spans="1:20" x14ac:dyDescent="0.25">
      <c r="A403" s="5">
        <v>44190</v>
      </c>
      <c r="B403">
        <v>9.0660000000000004E-2</v>
      </c>
      <c r="C403">
        <v>9.5869999999999997E-2</v>
      </c>
      <c r="D403">
        <v>8.6569999999999994E-2</v>
      </c>
      <c r="E403">
        <v>9.1370000000000007E-2</v>
      </c>
      <c r="F403">
        <v>35837251.700000003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3.2258064516131439E-2</v>
      </c>
      <c r="Q403">
        <f t="shared" si="975"/>
        <v>1156040.3774194412</v>
      </c>
      <c r="R403">
        <f t="shared" si="976"/>
        <v>-221340170.21441877</v>
      </c>
      <c r="S403">
        <f t="shared" si="977"/>
        <v>-2213.4017021441878</v>
      </c>
      <c r="T403">
        <f t="shared" si="978"/>
        <v>-2.2134017021441879</v>
      </c>
    </row>
    <row r="404" spans="1:20" x14ac:dyDescent="0.25">
      <c r="A404" s="5">
        <v>44189</v>
      </c>
      <c r="B404">
        <v>8.0369999999999997E-2</v>
      </c>
      <c r="C404">
        <v>9.6000000000000002E-2</v>
      </c>
      <c r="D404">
        <v>7.7429999999999999E-2</v>
      </c>
      <c r="E404">
        <v>9.0719999999999995E-2</v>
      </c>
      <c r="F404">
        <v>120921394.8</v>
      </c>
      <c r="G404">
        <v>0</v>
      </c>
      <c r="L404" t="s">
        <v>7</v>
      </c>
      <c r="M404" t="s">
        <v>8</v>
      </c>
      <c r="N404" t="s">
        <v>7</v>
      </c>
      <c r="P404">
        <f t="shared" si="974"/>
        <v>0.4313408723747974</v>
      </c>
      <c r="Q404">
        <f t="shared" si="975"/>
        <v>52158339.921809286</v>
      </c>
      <c r="R404">
        <f t="shared" si="976"/>
        <v>-222496210.59183821</v>
      </c>
      <c r="S404">
        <f t="shared" si="977"/>
        <v>-2224.9621059183819</v>
      </c>
      <c r="T404">
        <f t="shared" si="978"/>
        <v>-2.2249621059183817</v>
      </c>
    </row>
    <row r="405" spans="1:20" x14ac:dyDescent="0.25">
      <c r="A405" s="5">
        <v>44188</v>
      </c>
      <c r="B405">
        <v>8.931E-2</v>
      </c>
      <c r="C405">
        <v>0.1085</v>
      </c>
      <c r="D405">
        <v>7.5029999999999999E-2</v>
      </c>
      <c r="E405">
        <v>8.0439999999999998E-2</v>
      </c>
      <c r="F405">
        <v>90577873.299999997</v>
      </c>
      <c r="G405">
        <v>0</v>
      </c>
      <c r="L405" t="s">
        <v>8</v>
      </c>
      <c r="M405" t="s">
        <v>7</v>
      </c>
      <c r="N405" t="s">
        <v>7</v>
      </c>
      <c r="P405">
        <f t="shared" si="974"/>
        <v>-0.67672542575440708</v>
      </c>
      <c r="Q405">
        <f t="shared" si="975"/>
        <v>-61296349.872871242</v>
      </c>
      <c r="R405">
        <f t="shared" si="976"/>
        <v>-274654550.5136475</v>
      </c>
      <c r="S405">
        <f t="shared" si="977"/>
        <v>-2746.5455051364752</v>
      </c>
      <c r="T405">
        <f t="shared" si="978"/>
        <v>-2.7465455051364751</v>
      </c>
    </row>
    <row r="406" spans="1:20" x14ac:dyDescent="0.25">
      <c r="A406" s="5">
        <v>44187</v>
      </c>
      <c r="B406">
        <v>8.9469999999999994E-2</v>
      </c>
      <c r="C406">
        <v>9.3160000000000007E-2</v>
      </c>
      <c r="D406">
        <v>8.6169999999999997E-2</v>
      </c>
      <c r="E406">
        <v>8.9529999999999998E-2</v>
      </c>
      <c r="F406">
        <v>20839192.399999999</v>
      </c>
      <c r="G406">
        <v>0</v>
      </c>
      <c r="L406" t="s">
        <v>8</v>
      </c>
      <c r="M406" t="s">
        <v>7</v>
      </c>
      <c r="N406" t="s">
        <v>7</v>
      </c>
      <c r="P406">
        <f t="shared" si="974"/>
        <v>-3.8626609442060936E-2</v>
      </c>
      <c r="Q406">
        <f t="shared" si="975"/>
        <v>-804947.34592276439</v>
      </c>
      <c r="R406">
        <f t="shared" si="976"/>
        <v>-213358200.64077625</v>
      </c>
      <c r="S406">
        <f t="shared" si="977"/>
        <v>-2133.5820064077625</v>
      </c>
      <c r="T406">
        <f t="shared" si="978"/>
        <v>-2.1335820064077624</v>
      </c>
    </row>
    <row r="407" spans="1:20" x14ac:dyDescent="0.25">
      <c r="A407" s="5">
        <v>44186</v>
      </c>
      <c r="B407">
        <v>9.5399999999999999E-2</v>
      </c>
      <c r="C407">
        <v>9.9000000000000005E-2</v>
      </c>
      <c r="D407">
        <v>8.72E-2</v>
      </c>
      <c r="E407">
        <v>8.9459999999999998E-2</v>
      </c>
      <c r="F407">
        <v>26738148.699999999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-0.61694915254237337</v>
      </c>
      <c r="Q407">
        <f t="shared" si="975"/>
        <v>-16496078.181016961</v>
      </c>
      <c r="R407">
        <f t="shared" si="976"/>
        <v>-212553253.29485348</v>
      </c>
      <c r="S407">
        <f t="shared" si="977"/>
        <v>-2125.5325329485349</v>
      </c>
      <c r="T407">
        <f t="shared" si="978"/>
        <v>-2.1255325329485348</v>
      </c>
    </row>
    <row r="408" spans="1:20" x14ac:dyDescent="0.25">
      <c r="A408" s="5">
        <v>44185</v>
      </c>
      <c r="B408">
        <v>0.1032</v>
      </c>
      <c r="C408">
        <v>0.1032</v>
      </c>
      <c r="D408">
        <v>9.3670000000000003E-2</v>
      </c>
      <c r="E408">
        <v>9.5439999999999997E-2</v>
      </c>
      <c r="F408">
        <v>33353822.600000001</v>
      </c>
      <c r="G408">
        <v>0</v>
      </c>
      <c r="L408" t="s">
        <v>7</v>
      </c>
      <c r="M408" t="s">
        <v>8</v>
      </c>
      <c r="N408" t="s">
        <v>7</v>
      </c>
      <c r="P408">
        <f t="shared" si="974"/>
        <v>-0.628541448058763</v>
      </c>
      <c r="Q408">
        <f t="shared" si="975"/>
        <v>-20964259.955299098</v>
      </c>
      <c r="R408">
        <f t="shared" si="976"/>
        <v>-196057175.11383653</v>
      </c>
      <c r="S408">
        <f t="shared" si="977"/>
        <v>-1960.5717511383652</v>
      </c>
      <c r="T408">
        <f t="shared" si="978"/>
        <v>-1.9605717511383653</v>
      </c>
    </row>
    <row r="409" spans="1:20" x14ac:dyDescent="0.25">
      <c r="A409" s="5">
        <v>44184</v>
      </c>
      <c r="B409">
        <v>9.9839999999999998E-2</v>
      </c>
      <c r="C409">
        <v>0.10929999999999999</v>
      </c>
      <c r="D409">
        <v>9.6000000000000002E-2</v>
      </c>
      <c r="E409">
        <v>0.10326</v>
      </c>
      <c r="F409">
        <v>59135513.799999997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9.1729323308271687E-2</v>
      </c>
      <c r="Q409">
        <f t="shared" si="975"/>
        <v>5424460.6643609619</v>
      </c>
      <c r="R409">
        <f t="shared" si="976"/>
        <v>-175092915.15853742</v>
      </c>
      <c r="S409">
        <f t="shared" si="977"/>
        <v>-1750.9291515853743</v>
      </c>
      <c r="T409">
        <f t="shared" si="978"/>
        <v>-1.7509291515853742</v>
      </c>
    </row>
    <row r="410" spans="1:20" x14ac:dyDescent="0.25">
      <c r="A410" s="5">
        <v>44183</v>
      </c>
      <c r="B410">
        <v>9.3549999999999994E-2</v>
      </c>
      <c r="C410">
        <v>0.10029</v>
      </c>
      <c r="D410">
        <v>9.2869999999999994E-2</v>
      </c>
      <c r="E410">
        <v>9.9750000000000005E-2</v>
      </c>
      <c r="F410">
        <v>35612035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0.85444743935310019</v>
      </c>
      <c r="Q410">
        <f t="shared" si="975"/>
        <v>30428612.115902983</v>
      </c>
      <c r="R410">
        <f t="shared" si="976"/>
        <v>-180517375.82289839</v>
      </c>
      <c r="S410">
        <f t="shared" si="977"/>
        <v>-1805.1737582289838</v>
      </c>
      <c r="T410">
        <f t="shared" si="978"/>
        <v>-1.8051737582289837</v>
      </c>
    </row>
    <row r="411" spans="1:20" x14ac:dyDescent="0.25">
      <c r="A411" s="5">
        <v>44182</v>
      </c>
      <c r="B411">
        <v>9.5119999999999996E-2</v>
      </c>
      <c r="C411">
        <v>9.8979999999999999E-2</v>
      </c>
      <c r="D411">
        <v>9.1499999999999998E-2</v>
      </c>
      <c r="E411">
        <v>9.3420000000000003E-2</v>
      </c>
      <c r="F411">
        <v>39902561.399999999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-0.48663101604277942</v>
      </c>
      <c r="Q411">
        <f t="shared" si="975"/>
        <v>-19417823.996791389</v>
      </c>
      <c r="R411">
        <f t="shared" si="976"/>
        <v>-210945987.93880138</v>
      </c>
      <c r="S411">
        <f t="shared" si="977"/>
        <v>-2109.4598793880136</v>
      </c>
      <c r="T411">
        <f t="shared" si="978"/>
        <v>-2.1094598793880137</v>
      </c>
    </row>
    <row r="412" spans="1:20" x14ac:dyDescent="0.25">
      <c r="A412" s="5">
        <v>44181</v>
      </c>
      <c r="B412">
        <v>9.4670000000000004E-2</v>
      </c>
      <c r="C412">
        <v>9.6970000000000001E-2</v>
      </c>
      <c r="D412">
        <v>9.0300000000000005E-2</v>
      </c>
      <c r="E412">
        <v>9.4920000000000004E-2</v>
      </c>
      <c r="F412">
        <v>32105985.300000001</v>
      </c>
      <c r="G412">
        <v>0</v>
      </c>
      <c r="L412" t="s">
        <v>7</v>
      </c>
      <c r="M412" t="s">
        <v>8</v>
      </c>
      <c r="N412" t="s">
        <v>7</v>
      </c>
      <c r="P412">
        <f t="shared" si="974"/>
        <v>0.38530734632683727</v>
      </c>
      <c r="Q412">
        <f t="shared" si="975"/>
        <v>12370671.997151447</v>
      </c>
      <c r="R412">
        <f t="shared" si="976"/>
        <v>-191528163.94200999</v>
      </c>
      <c r="S412">
        <f t="shared" si="977"/>
        <v>-1915.2816394201</v>
      </c>
      <c r="T412">
        <f t="shared" si="978"/>
        <v>-1.9152816394201</v>
      </c>
    </row>
    <row r="413" spans="1:20" x14ac:dyDescent="0.25">
      <c r="A413" s="5">
        <v>44180</v>
      </c>
      <c r="B413">
        <v>9.4990000000000005E-2</v>
      </c>
      <c r="C413">
        <v>9.987E-2</v>
      </c>
      <c r="D413">
        <v>9.3329999999999996E-2</v>
      </c>
      <c r="E413">
        <v>9.4600000000000004E-2</v>
      </c>
      <c r="F413">
        <v>24681387.5</v>
      </c>
      <c r="G413">
        <v>0</v>
      </c>
      <c r="L413" t="s">
        <v>7</v>
      </c>
      <c r="M413" t="s">
        <v>8</v>
      </c>
      <c r="N413" t="s">
        <v>7</v>
      </c>
      <c r="P413">
        <f t="shared" si="974"/>
        <v>-0.61162079510703171</v>
      </c>
      <c r="Q413">
        <f t="shared" si="975"/>
        <v>-15095649.847094754</v>
      </c>
      <c r="R413">
        <f t="shared" si="976"/>
        <v>-203898835.93916142</v>
      </c>
      <c r="S413">
        <f t="shared" si="977"/>
        <v>-2038.9883593916143</v>
      </c>
      <c r="T413">
        <f t="shared" si="978"/>
        <v>-2.038988359391614</v>
      </c>
    </row>
    <row r="414" spans="1:20" x14ac:dyDescent="0.25">
      <c r="A414" s="5">
        <v>44179</v>
      </c>
      <c r="B414">
        <v>9.7019999999999995E-2</v>
      </c>
      <c r="C414">
        <v>9.8229999999999998E-2</v>
      </c>
      <c r="D414">
        <v>9.332E-2</v>
      </c>
      <c r="E414">
        <v>9.5000000000000001E-2</v>
      </c>
      <c r="F414">
        <v>15521731.1</v>
      </c>
      <c r="G414">
        <v>0</v>
      </c>
      <c r="L414" t="s">
        <v>7</v>
      </c>
      <c r="M414" t="s">
        <v>8</v>
      </c>
      <c r="N414" t="s">
        <v>7</v>
      </c>
      <c r="P414">
        <f t="shared" si="974"/>
        <v>-0.31568228105906243</v>
      </c>
      <c r="Q414">
        <f t="shared" si="975"/>
        <v>-4899935.47963339</v>
      </c>
      <c r="R414">
        <f t="shared" si="976"/>
        <v>-188803186.09206668</v>
      </c>
      <c r="S414">
        <f t="shared" si="977"/>
        <v>-1888.0318609206668</v>
      </c>
      <c r="T414">
        <f t="shared" si="978"/>
        <v>-1.8880318609206668</v>
      </c>
    </row>
    <row r="415" spans="1:20" x14ac:dyDescent="0.25">
      <c r="A415" s="5">
        <v>44178</v>
      </c>
      <c r="B415">
        <v>9.7339999999999996E-2</v>
      </c>
      <c r="C415">
        <v>0.10138</v>
      </c>
      <c r="D415">
        <v>9.536E-2</v>
      </c>
      <c r="E415">
        <v>9.6920000000000006E-2</v>
      </c>
      <c r="F415">
        <v>31855790.600000001</v>
      </c>
      <c r="G415">
        <v>0</v>
      </c>
      <c r="L415" t="s">
        <v>7</v>
      </c>
      <c r="M415" t="s">
        <v>8</v>
      </c>
      <c r="N415" t="s">
        <v>7</v>
      </c>
      <c r="P415">
        <f t="shared" si="974"/>
        <v>-0.48172757475082845</v>
      </c>
      <c r="Q415">
        <f t="shared" si="975"/>
        <v>-15345812.747508239</v>
      </c>
      <c r="R415">
        <f t="shared" si="976"/>
        <v>-183903250.61243328</v>
      </c>
      <c r="S415">
        <f t="shared" si="977"/>
        <v>-1839.0325061243329</v>
      </c>
      <c r="T415">
        <f t="shared" si="978"/>
        <v>-1.8390325061243329</v>
      </c>
    </row>
    <row r="416" spans="1:20" x14ac:dyDescent="0.25">
      <c r="A416" s="5">
        <v>44177</v>
      </c>
      <c r="B416">
        <v>8.9219999999999994E-2</v>
      </c>
      <c r="C416">
        <v>0.10375</v>
      </c>
      <c r="D416">
        <v>8.8980000000000004E-2</v>
      </c>
      <c r="E416">
        <v>9.7309999999999994E-2</v>
      </c>
      <c r="F416">
        <v>55329860.200000003</v>
      </c>
      <c r="G416">
        <v>0</v>
      </c>
      <c r="L416" t="s">
        <v>8</v>
      </c>
      <c r="M416" t="s">
        <v>8</v>
      </c>
      <c r="N416" t="s">
        <v>7</v>
      </c>
      <c r="P416">
        <f t="shared" si="974"/>
        <v>0.12796208530805619</v>
      </c>
      <c r="Q416">
        <f t="shared" si="975"/>
        <v>7080124.2909952234</v>
      </c>
      <c r="R416">
        <f t="shared" si="976"/>
        <v>-168557437.86492506</v>
      </c>
      <c r="S416">
        <f t="shared" si="977"/>
        <v>-1685.5743786492505</v>
      </c>
      <c r="T416">
        <f t="shared" si="978"/>
        <v>-1.6855743786492505</v>
      </c>
    </row>
    <row r="417" spans="1:20" x14ac:dyDescent="0.25">
      <c r="A417" s="5">
        <v>44176</v>
      </c>
      <c r="B417">
        <v>9.1380000000000003E-2</v>
      </c>
      <c r="C417">
        <v>9.5640000000000003E-2</v>
      </c>
      <c r="D417">
        <v>8.6679999999999993E-2</v>
      </c>
      <c r="E417">
        <v>8.9190000000000005E-2</v>
      </c>
      <c r="F417">
        <v>36768907.799999997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-0.43973214285714074</v>
      </c>
      <c r="Q417">
        <f t="shared" si="975"/>
        <v>-16168470.617410636</v>
      </c>
      <c r="R417">
        <f t="shared" si="976"/>
        <v>-175637562.15592027</v>
      </c>
      <c r="S417">
        <f t="shared" si="977"/>
        <v>-1756.3756215592027</v>
      </c>
      <c r="T417">
        <f t="shared" si="978"/>
        <v>-1.7563756215592028</v>
      </c>
    </row>
    <row r="418" spans="1:20" x14ac:dyDescent="0.25">
      <c r="A418" s="5">
        <v>44175</v>
      </c>
      <c r="B418">
        <v>9.8809999999999995E-2</v>
      </c>
      <c r="C418">
        <v>9.9409999999999998E-2</v>
      </c>
      <c r="D418">
        <v>8.9569999999999997E-2</v>
      </c>
      <c r="E418">
        <v>9.1350000000000001E-2</v>
      </c>
      <c r="F418">
        <v>36818432.799999997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-0.63821138211382045</v>
      </c>
      <c r="Q418">
        <f t="shared" si="975"/>
        <v>-23497942.884552818</v>
      </c>
      <c r="R418">
        <f t="shared" si="976"/>
        <v>-159469091.53850964</v>
      </c>
      <c r="S418">
        <f t="shared" si="977"/>
        <v>-1594.6909153850963</v>
      </c>
      <c r="T418">
        <f t="shared" si="978"/>
        <v>-1.5946909153850963</v>
      </c>
    </row>
    <row r="419" spans="1:20" x14ac:dyDescent="0.25">
      <c r="A419" s="5">
        <v>44174</v>
      </c>
      <c r="B419">
        <v>9.2469999999999997E-2</v>
      </c>
      <c r="C419">
        <v>0.10365000000000001</v>
      </c>
      <c r="D419">
        <v>8.5980000000000001E-2</v>
      </c>
      <c r="E419">
        <v>9.8809999999999995E-2</v>
      </c>
      <c r="F419">
        <v>82678140.299999997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0.45217883418222871</v>
      </c>
      <c r="Q419">
        <f t="shared" si="975"/>
        <v>37385305.093208738</v>
      </c>
      <c r="R419">
        <f t="shared" si="976"/>
        <v>-135971148.65395683</v>
      </c>
      <c r="S419">
        <f t="shared" si="977"/>
        <v>-1359.7114865395683</v>
      </c>
      <c r="T419">
        <f t="shared" si="978"/>
        <v>-1.3597114865395683</v>
      </c>
    </row>
    <row r="420" spans="1:20" x14ac:dyDescent="0.25">
      <c r="A420" s="5">
        <v>44173</v>
      </c>
      <c r="B420">
        <v>0.10251</v>
      </c>
      <c r="C420">
        <v>0.10535</v>
      </c>
      <c r="D420">
        <v>9.2380000000000004E-2</v>
      </c>
      <c r="E420">
        <v>9.2469999999999997E-2</v>
      </c>
      <c r="F420">
        <v>49642108.200000003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-0.98612181958365563</v>
      </c>
      <c r="Q420">
        <f t="shared" si="975"/>
        <v>-48953166.066152714</v>
      </c>
      <c r="R420">
        <f t="shared" si="976"/>
        <v>-173356453.74716556</v>
      </c>
      <c r="S420">
        <f t="shared" si="977"/>
        <v>-1733.5645374716555</v>
      </c>
      <c r="T420">
        <f t="shared" si="978"/>
        <v>-1.7335645374716555</v>
      </c>
    </row>
    <row r="421" spans="1:20" x14ac:dyDescent="0.25">
      <c r="A421" s="5">
        <v>44172</v>
      </c>
      <c r="B421">
        <v>0.10729</v>
      </c>
      <c r="C421">
        <v>0.10747</v>
      </c>
      <c r="D421">
        <v>0.10158</v>
      </c>
      <c r="E421">
        <v>0.10247000000000001</v>
      </c>
      <c r="F421">
        <v>35544922.299999997</v>
      </c>
      <c r="G421">
        <v>0</v>
      </c>
      <c r="L421" t="s">
        <v>7</v>
      </c>
      <c r="M421" t="s">
        <v>8</v>
      </c>
      <c r="N421" t="s">
        <v>7</v>
      </c>
      <c r="P421">
        <f t="shared" si="974"/>
        <v>-0.69779286926994799</v>
      </c>
      <c r="Q421">
        <f t="shared" si="975"/>
        <v>-24802993.319694355</v>
      </c>
      <c r="R421">
        <f t="shared" si="976"/>
        <v>-124403287.68101284</v>
      </c>
      <c r="S421">
        <f t="shared" si="977"/>
        <v>-1244.0328768101283</v>
      </c>
      <c r="T421">
        <f t="shared" si="978"/>
        <v>-1.2440328768101283</v>
      </c>
    </row>
    <row r="422" spans="1:20" x14ac:dyDescent="0.25">
      <c r="A422" s="5">
        <v>44171</v>
      </c>
      <c r="B422">
        <v>0.11600000000000001</v>
      </c>
      <c r="C422">
        <v>0.11647</v>
      </c>
      <c r="D422">
        <v>0.10315000000000001</v>
      </c>
      <c r="E422">
        <v>0.10728</v>
      </c>
      <c r="F422">
        <v>64823357.100000001</v>
      </c>
      <c r="G422">
        <v>0</v>
      </c>
      <c r="L422" t="s">
        <v>7</v>
      </c>
      <c r="M422" t="s">
        <v>8</v>
      </c>
      <c r="N422" t="s">
        <v>7</v>
      </c>
      <c r="P422">
        <f t="shared" si="974"/>
        <v>-0.37987987987988059</v>
      </c>
      <c r="Q422">
        <f t="shared" si="975"/>
        <v>-24625089.108558606</v>
      </c>
      <c r="R422">
        <f t="shared" si="976"/>
        <v>-99600294.361318484</v>
      </c>
      <c r="S422">
        <f t="shared" si="977"/>
        <v>-996.00294361318481</v>
      </c>
      <c r="T422">
        <f t="shared" si="978"/>
        <v>-0.99600294361318487</v>
      </c>
    </row>
    <row r="423" spans="1:20" x14ac:dyDescent="0.25">
      <c r="A423" s="5">
        <v>44170</v>
      </c>
      <c r="B423">
        <v>0.10061</v>
      </c>
      <c r="C423">
        <v>0.11824999999999999</v>
      </c>
      <c r="D423">
        <v>9.7739999999999994E-2</v>
      </c>
      <c r="E423">
        <v>0.11600000000000001</v>
      </c>
      <c r="F423">
        <v>142632226.30000001</v>
      </c>
      <c r="G423">
        <v>0</v>
      </c>
      <c r="L423" t="s">
        <v>8</v>
      </c>
      <c r="M423" t="s">
        <v>8</v>
      </c>
      <c r="N423" t="s">
        <v>7</v>
      </c>
      <c r="P423">
        <f t="shared" si="974"/>
        <v>0.78059483178937217</v>
      </c>
      <c r="Q423">
        <f t="shared" si="975"/>
        <v>111337978.69639218</v>
      </c>
      <c r="R423">
        <f t="shared" si="976"/>
        <v>-74975205.252759874</v>
      </c>
      <c r="S423">
        <f t="shared" si="977"/>
        <v>-749.75205252759872</v>
      </c>
      <c r="T423">
        <f t="shared" si="978"/>
        <v>-0.74975205252759869</v>
      </c>
    </row>
    <row r="424" spans="1:20" x14ac:dyDescent="0.25">
      <c r="A424" s="5">
        <v>44169</v>
      </c>
      <c r="B424">
        <v>0.12103</v>
      </c>
      <c r="C424">
        <v>0.12837999999999999</v>
      </c>
      <c r="D424">
        <v>9.7900000000000001E-2</v>
      </c>
      <c r="E424">
        <v>0.10054</v>
      </c>
      <c r="F424">
        <v>151439235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-0.82677165354330684</v>
      </c>
      <c r="Q424">
        <f t="shared" si="975"/>
        <v>-125205666.73228343</v>
      </c>
      <c r="R424">
        <f t="shared" si="976"/>
        <v>-186313183.94915205</v>
      </c>
      <c r="S424">
        <f t="shared" si="977"/>
        <v>-1863.1318394915206</v>
      </c>
      <c r="T424">
        <f t="shared" si="978"/>
        <v>-1.8631318394915206</v>
      </c>
    </row>
    <row r="425" spans="1:20" x14ac:dyDescent="0.25">
      <c r="A425" s="5">
        <v>44168</v>
      </c>
      <c r="B425">
        <v>0.12623000000000001</v>
      </c>
      <c r="C425">
        <v>0.14445</v>
      </c>
      <c r="D425">
        <v>0.11027000000000001</v>
      </c>
      <c r="E425">
        <v>0.12103</v>
      </c>
      <c r="F425">
        <v>316532830.39999998</v>
      </c>
      <c r="G425">
        <v>0</v>
      </c>
      <c r="L425" t="s">
        <v>8</v>
      </c>
      <c r="M425" t="s">
        <v>7</v>
      </c>
      <c r="N425" t="s">
        <v>8</v>
      </c>
      <c r="P425">
        <f t="shared" si="974"/>
        <v>-0.37039204212990079</v>
      </c>
      <c r="Q425">
        <f t="shared" si="975"/>
        <v>-117241241.45301354</v>
      </c>
      <c r="R425">
        <f t="shared" si="976"/>
        <v>-61107517.216868639</v>
      </c>
      <c r="S425">
        <f t="shared" si="977"/>
        <v>-611.07517216868644</v>
      </c>
      <c r="T425">
        <f t="shared" si="978"/>
        <v>-0.61107517216868645</v>
      </c>
    </row>
    <row r="426" spans="1:20" x14ac:dyDescent="0.25">
      <c r="A426" s="5">
        <v>44167</v>
      </c>
      <c r="B426">
        <v>8.5029999999999994E-2</v>
      </c>
      <c r="C426">
        <v>0.14244000000000001</v>
      </c>
      <c r="D426">
        <v>8.3809999999999996E-2</v>
      </c>
      <c r="E426">
        <v>0.12626000000000001</v>
      </c>
      <c r="F426">
        <v>442221864.5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0.44806413099096043</v>
      </c>
      <c r="Q426">
        <f t="shared" si="975"/>
        <v>198143755.42239475</v>
      </c>
      <c r="R426">
        <f t="shared" si="976"/>
        <v>56133724.2361449</v>
      </c>
      <c r="S426">
        <f t="shared" si="977"/>
        <v>561.33724236144906</v>
      </c>
      <c r="T426">
        <f t="shared" si="978"/>
        <v>0.56133724236144911</v>
      </c>
    </row>
    <row r="427" spans="1:20" x14ac:dyDescent="0.25">
      <c r="A427" s="5">
        <v>44166</v>
      </c>
      <c r="B427">
        <v>8.1589999999999996E-2</v>
      </c>
      <c r="C427">
        <v>9.6409999999999996E-2</v>
      </c>
      <c r="D427">
        <v>7.7499999999999999E-2</v>
      </c>
      <c r="E427">
        <v>8.5150000000000003E-2</v>
      </c>
      <c r="F427">
        <v>107946966.7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-0.19090428344791058</v>
      </c>
      <c r="Q427">
        <f t="shared" si="975"/>
        <v>-20607538.328238964</v>
      </c>
      <c r="R427">
        <f t="shared" si="976"/>
        <v>-142010031.18624985</v>
      </c>
      <c r="S427">
        <f t="shared" si="977"/>
        <v>-1420.1003118624985</v>
      </c>
      <c r="T427">
        <f t="shared" si="978"/>
        <v>-1.4201003118624986</v>
      </c>
    </row>
    <row r="428" spans="1:20" x14ac:dyDescent="0.25">
      <c r="A428" s="5">
        <v>44165</v>
      </c>
      <c r="B428">
        <v>8.0740000000000006E-2</v>
      </c>
      <c r="C428">
        <v>8.5610000000000006E-2</v>
      </c>
      <c r="D428">
        <v>7.6999999999999999E-2</v>
      </c>
      <c r="E428">
        <v>8.1589999999999996E-2</v>
      </c>
      <c r="F428">
        <v>42396727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6.6202090592332952E-2</v>
      </c>
      <c r="Q428">
        <f t="shared" si="975"/>
        <v>2806751.9616724085</v>
      </c>
      <c r="R428">
        <f t="shared" si="976"/>
        <v>-121402492.85801087</v>
      </c>
      <c r="S428">
        <f t="shared" si="977"/>
        <v>-1214.0249285801087</v>
      </c>
      <c r="T428">
        <f t="shared" si="978"/>
        <v>-1.2140249285801088</v>
      </c>
    </row>
    <row r="429" spans="1:20" x14ac:dyDescent="0.25">
      <c r="A429" s="5">
        <v>44164</v>
      </c>
      <c r="B429">
        <v>8.2280000000000006E-2</v>
      </c>
      <c r="C429">
        <v>8.251E-2</v>
      </c>
      <c r="D429">
        <v>7.9289999999999999E-2</v>
      </c>
      <c r="E429">
        <v>8.054E-2</v>
      </c>
      <c r="F429">
        <v>16192553.199999999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-0.22360248447204917</v>
      </c>
      <c r="Q429">
        <f t="shared" si="975"/>
        <v>-3620695.1254658299</v>
      </c>
      <c r="R429">
        <f t="shared" si="976"/>
        <v>-124209244.81968328</v>
      </c>
      <c r="S429">
        <f t="shared" si="977"/>
        <v>-1242.0924481968329</v>
      </c>
      <c r="T429">
        <f t="shared" si="978"/>
        <v>-1.242092448196833</v>
      </c>
    </row>
    <row r="430" spans="1:20" x14ac:dyDescent="0.25">
      <c r="A430" s="5">
        <v>44163</v>
      </c>
      <c r="B430">
        <v>7.9930000000000001E-2</v>
      </c>
      <c r="C430">
        <v>8.3699999999999997E-2</v>
      </c>
      <c r="D430">
        <v>7.6300000000000007E-2</v>
      </c>
      <c r="E430">
        <v>8.2189999999999999E-2</v>
      </c>
      <c r="F430">
        <v>23534707.100000001</v>
      </c>
      <c r="G430">
        <v>0</v>
      </c>
      <c r="L430" t="s">
        <v>7</v>
      </c>
      <c r="M430" t="s">
        <v>8</v>
      </c>
      <c r="N430" t="s">
        <v>7</v>
      </c>
      <c r="P430">
        <f t="shared" si="974"/>
        <v>0.59189189189189206</v>
      </c>
      <c r="Q430">
        <f t="shared" si="975"/>
        <v>13930002.310540546</v>
      </c>
      <c r="R430">
        <f t="shared" si="976"/>
        <v>-120588549.69421746</v>
      </c>
      <c r="S430">
        <f t="shared" si="977"/>
        <v>-1205.8854969421745</v>
      </c>
      <c r="T430">
        <f t="shared" si="978"/>
        <v>-1.2058854969421746</v>
      </c>
    </row>
    <row r="431" spans="1:20" x14ac:dyDescent="0.25">
      <c r="A431" s="5">
        <v>44162</v>
      </c>
      <c r="B431">
        <v>7.7130000000000004E-2</v>
      </c>
      <c r="C431">
        <v>8.8999999999999996E-2</v>
      </c>
      <c r="D431">
        <v>7.1999999999999995E-2</v>
      </c>
      <c r="E431">
        <v>7.9909999999999995E-2</v>
      </c>
      <c r="F431">
        <v>29102582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-6.9411764705882381E-2</v>
      </c>
      <c r="Q431">
        <f t="shared" si="975"/>
        <v>-2020061.5741176479</v>
      </c>
      <c r="R431">
        <f t="shared" si="976"/>
        <v>-134518552.004758</v>
      </c>
      <c r="S431">
        <f t="shared" si="977"/>
        <v>-1345.18552004758</v>
      </c>
      <c r="T431">
        <f t="shared" si="978"/>
        <v>-1.34518552004758</v>
      </c>
    </row>
    <row r="432" spans="1:20" x14ac:dyDescent="0.25">
      <c r="A432" s="5">
        <v>44161</v>
      </c>
      <c r="B432">
        <v>8.8690000000000005E-2</v>
      </c>
      <c r="C432">
        <v>9.4299999999999995E-2</v>
      </c>
      <c r="D432">
        <v>6.7110000000000003E-2</v>
      </c>
      <c r="E432">
        <v>7.6950000000000005E-2</v>
      </c>
      <c r="F432">
        <v>79079292.799999997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-0.27620448694372901</v>
      </c>
      <c r="Q432">
        <f t="shared" si="975"/>
        <v>-21842055.495696921</v>
      </c>
      <c r="R432">
        <f t="shared" si="976"/>
        <v>-132498490.43064035</v>
      </c>
      <c r="S432">
        <f t="shared" si="977"/>
        <v>-1324.9849043064035</v>
      </c>
      <c r="T432">
        <f t="shared" si="978"/>
        <v>-1.3249849043064035</v>
      </c>
    </row>
    <row r="433" spans="1:20" x14ac:dyDescent="0.25">
      <c r="A433" s="5">
        <v>44160</v>
      </c>
      <c r="B433">
        <v>8.6870000000000003E-2</v>
      </c>
      <c r="C433">
        <v>9.8000000000000004E-2</v>
      </c>
      <c r="D433">
        <v>8.5250000000000006E-2</v>
      </c>
      <c r="E433">
        <v>8.8719999999999993E-2</v>
      </c>
      <c r="F433">
        <v>90812383.900000006</v>
      </c>
      <c r="G433">
        <v>0</v>
      </c>
      <c r="L433" t="s">
        <v>8</v>
      </c>
      <c r="M433" t="s">
        <v>8</v>
      </c>
      <c r="N433" t="s">
        <v>7</v>
      </c>
      <c r="P433">
        <f t="shared" si="974"/>
        <v>-0.45568627450980587</v>
      </c>
      <c r="Q433">
        <f t="shared" si="975"/>
        <v>-41381956.898745276</v>
      </c>
      <c r="R433">
        <f t="shared" si="976"/>
        <v>-110656434.93494344</v>
      </c>
      <c r="S433">
        <f t="shared" si="977"/>
        <v>-1106.5643493494345</v>
      </c>
      <c r="T433">
        <f t="shared" si="978"/>
        <v>-1.1065643493494344</v>
      </c>
    </row>
    <row r="434" spans="1:20" x14ac:dyDescent="0.25">
      <c r="A434" s="5">
        <v>44159</v>
      </c>
      <c r="B434">
        <v>8.6959999999999996E-2</v>
      </c>
      <c r="C434">
        <v>9.2579999999999996E-2</v>
      </c>
      <c r="D434">
        <v>8.2299999999999998E-2</v>
      </c>
      <c r="E434">
        <v>8.6720000000000005E-2</v>
      </c>
      <c r="F434">
        <v>83601465</v>
      </c>
      <c r="G434">
        <v>0</v>
      </c>
      <c r="L434" t="s">
        <v>7</v>
      </c>
      <c r="M434" t="s">
        <v>8</v>
      </c>
      <c r="N434" t="s">
        <v>7</v>
      </c>
      <c r="P434">
        <f t="shared" si="974"/>
        <v>-0.14007782101167152</v>
      </c>
      <c r="Q434">
        <f t="shared" si="975"/>
        <v>-11710711.050583521</v>
      </c>
      <c r="R434">
        <f t="shared" si="976"/>
        <v>-69274478.036198169</v>
      </c>
      <c r="S434">
        <f t="shared" si="977"/>
        <v>-692.74478036198173</v>
      </c>
      <c r="T434">
        <f t="shared" si="978"/>
        <v>-0.69274478036198173</v>
      </c>
    </row>
    <row r="435" spans="1:20" x14ac:dyDescent="0.25">
      <c r="A435" s="5">
        <v>44158</v>
      </c>
      <c r="B435">
        <v>7.9420000000000004E-2</v>
      </c>
      <c r="C435">
        <v>9.4969999999999999E-2</v>
      </c>
      <c r="D435">
        <v>7.9200000000000007E-2</v>
      </c>
      <c r="E435">
        <v>8.6910000000000001E-2</v>
      </c>
      <c r="F435">
        <v>180623691.90000001</v>
      </c>
      <c r="G435">
        <v>0</v>
      </c>
      <c r="L435" t="s">
        <v>8</v>
      </c>
      <c r="M435" t="s">
        <v>8</v>
      </c>
      <c r="N435" t="s">
        <v>7</v>
      </c>
      <c r="P435">
        <f t="shared" si="974"/>
        <v>-2.2194039315155564E-2</v>
      </c>
      <c r="Q435">
        <f t="shared" si="975"/>
        <v>-4008769.3192771454</v>
      </c>
      <c r="R435">
        <f t="shared" si="976"/>
        <v>-57563766.985614643</v>
      </c>
      <c r="S435">
        <f t="shared" si="977"/>
        <v>-575.63766985614643</v>
      </c>
      <c r="T435">
        <f t="shared" si="978"/>
        <v>-0.57563766985614639</v>
      </c>
    </row>
    <row r="436" spans="1:20" x14ac:dyDescent="0.25">
      <c r="A436" s="5">
        <v>44157</v>
      </c>
      <c r="B436">
        <v>8.5650000000000004E-2</v>
      </c>
      <c r="C436">
        <v>8.5779999999999995E-2</v>
      </c>
      <c r="D436">
        <v>7.3999999999999996E-2</v>
      </c>
      <c r="E436">
        <v>7.9060000000000005E-2</v>
      </c>
      <c r="F436">
        <v>95651345.099999994</v>
      </c>
      <c r="G436">
        <v>0</v>
      </c>
      <c r="L436" t="s">
        <v>7</v>
      </c>
      <c r="M436" t="s">
        <v>7</v>
      </c>
      <c r="N436" t="s">
        <v>7</v>
      </c>
      <c r="P436">
        <f t="shared" si="974"/>
        <v>-0.14091680814940416</v>
      </c>
      <c r="Q436">
        <f t="shared" si="975"/>
        <v>-13478882.246689148</v>
      </c>
      <c r="R436">
        <f t="shared" si="976"/>
        <v>-53554997.666337498</v>
      </c>
      <c r="S436">
        <f t="shared" si="977"/>
        <v>-535.54997666337499</v>
      </c>
      <c r="T436">
        <f t="shared" si="978"/>
        <v>-0.535549976663375</v>
      </c>
    </row>
    <row r="437" spans="1:20" x14ac:dyDescent="0.25">
      <c r="A437" s="5">
        <v>44156</v>
      </c>
      <c r="B437">
        <v>8.8840000000000002E-2</v>
      </c>
      <c r="C437">
        <v>8.9039999999999994E-2</v>
      </c>
      <c r="D437">
        <v>8.3779999999999993E-2</v>
      </c>
      <c r="E437">
        <v>8.5650000000000004E-2</v>
      </c>
      <c r="F437">
        <v>87750755.200000003</v>
      </c>
      <c r="G437">
        <v>0</v>
      </c>
      <c r="L437" t="s">
        <v>7</v>
      </c>
      <c r="M437" t="s">
        <v>7</v>
      </c>
      <c r="N437" t="s">
        <v>7</v>
      </c>
      <c r="P437">
        <f t="shared" si="974"/>
        <v>-0.28897338403041434</v>
      </c>
      <c r="Q437">
        <f t="shared" si="975"/>
        <v>-25357632.681368478</v>
      </c>
      <c r="R437">
        <f t="shared" si="976"/>
        <v>-40076115.419648349</v>
      </c>
      <c r="S437">
        <f t="shared" si="977"/>
        <v>-400.76115419648352</v>
      </c>
      <c r="T437">
        <f t="shared" si="978"/>
        <v>-0.4007611541964835</v>
      </c>
    </row>
    <row r="438" spans="1:20" x14ac:dyDescent="0.25">
      <c r="A438" s="5">
        <v>44155</v>
      </c>
      <c r="B438">
        <v>8.8690000000000005E-2</v>
      </c>
      <c r="C438">
        <v>9.2050000000000007E-2</v>
      </c>
      <c r="D438">
        <v>8.7419999999999998E-2</v>
      </c>
      <c r="E438">
        <v>8.8880000000000001E-2</v>
      </c>
      <c r="F438">
        <v>48192808.200000003</v>
      </c>
      <c r="G438">
        <v>0</v>
      </c>
      <c r="L438" t="s">
        <v>7</v>
      </c>
      <c r="M438" t="s">
        <v>7</v>
      </c>
      <c r="N438" t="s">
        <v>7</v>
      </c>
      <c r="P438">
        <f t="shared" si="974"/>
        <v>-0.36933045356371486</v>
      </c>
      <c r="Q438">
        <f t="shared" si="975"/>
        <v>-17799071.711015116</v>
      </c>
      <c r="R438">
        <f t="shared" si="976"/>
        <v>-14718482.738279875</v>
      </c>
      <c r="S438">
        <f t="shared" si="977"/>
        <v>-147.18482738279874</v>
      </c>
      <c r="T438">
        <f t="shared" si="978"/>
        <v>-0.14718482738279876</v>
      </c>
    </row>
    <row r="439" spans="1:20" x14ac:dyDescent="0.25">
      <c r="A439" s="5">
        <v>44154</v>
      </c>
      <c r="B439">
        <v>8.8209999999999997E-2</v>
      </c>
      <c r="C439">
        <v>9.5000000000000001E-2</v>
      </c>
      <c r="D439">
        <v>8.609E-2</v>
      </c>
      <c r="E439">
        <v>8.8569999999999996E-2</v>
      </c>
      <c r="F439">
        <v>84810469.400000006</v>
      </c>
      <c r="G439">
        <v>0</v>
      </c>
      <c r="L439" t="s">
        <v>8</v>
      </c>
      <c r="M439" t="s">
        <v>7</v>
      </c>
      <c r="N439" t="s">
        <v>7</v>
      </c>
      <c r="P439">
        <f t="shared" si="974"/>
        <v>-0.44332210998877764</v>
      </c>
      <c r="Q439">
        <f t="shared" si="975"/>
        <v>-37598356.243546665</v>
      </c>
      <c r="R439">
        <f t="shared" si="976"/>
        <v>3080588.9727352411</v>
      </c>
      <c r="S439">
        <f t="shared" si="977"/>
        <v>30.805889727352412</v>
      </c>
      <c r="T439">
        <f t="shared" si="978"/>
        <v>3.080588972735241E-2</v>
      </c>
    </row>
    <row r="440" spans="1:20" x14ac:dyDescent="0.25">
      <c r="A440" s="5">
        <v>44153</v>
      </c>
      <c r="B440">
        <v>9.7600000000000006E-2</v>
      </c>
      <c r="C440">
        <v>9.8500000000000004E-2</v>
      </c>
      <c r="D440">
        <v>8.5279999999999995E-2</v>
      </c>
      <c r="E440">
        <v>8.8220000000000007E-2</v>
      </c>
      <c r="F440">
        <v>77909759.5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-0.55521936459909083</v>
      </c>
      <c r="Q440">
        <f t="shared" si="975"/>
        <v>-43257007.165657982</v>
      </c>
      <c r="R440">
        <f t="shared" si="976"/>
        <v>40678945.216281906</v>
      </c>
      <c r="S440">
        <f t="shared" si="977"/>
        <v>406.78945216281903</v>
      </c>
      <c r="T440">
        <f t="shared" si="978"/>
        <v>0.40678945216281903</v>
      </c>
    </row>
    <row r="441" spans="1:20" x14ac:dyDescent="0.25">
      <c r="A441" s="5">
        <v>44152</v>
      </c>
      <c r="B441">
        <v>0.10138999999999999</v>
      </c>
      <c r="C441">
        <v>0.1018</v>
      </c>
      <c r="D441">
        <v>8.8700000000000001E-2</v>
      </c>
      <c r="E441">
        <v>9.7479999999999997E-2</v>
      </c>
      <c r="F441">
        <v>163187300.30000001</v>
      </c>
      <c r="G441">
        <v>0</v>
      </c>
      <c r="L441" t="s">
        <v>7</v>
      </c>
      <c r="M441" t="s">
        <v>7</v>
      </c>
      <c r="N441" t="s">
        <v>7</v>
      </c>
      <c r="P441">
        <f t="shared" si="974"/>
        <v>0.34045801526717495</v>
      </c>
      <c r="Q441">
        <f t="shared" si="975"/>
        <v>55558424.376946464</v>
      </c>
      <c r="R441">
        <f t="shared" si="976"/>
        <v>83935952.381939888</v>
      </c>
      <c r="S441">
        <f t="shared" si="977"/>
        <v>839.35952381939887</v>
      </c>
      <c r="T441">
        <f t="shared" si="978"/>
        <v>0.83935952381939882</v>
      </c>
    </row>
    <row r="442" spans="1:20" x14ac:dyDescent="0.25">
      <c r="A442" s="5">
        <v>44151</v>
      </c>
      <c r="B442">
        <v>0.10722</v>
      </c>
      <c r="C442">
        <v>0.10773000000000001</v>
      </c>
      <c r="D442">
        <v>9.9519999999999997E-2</v>
      </c>
      <c r="E442">
        <v>0.10133</v>
      </c>
      <c r="F442">
        <v>94817111.099999994</v>
      </c>
      <c r="G442">
        <v>0</v>
      </c>
      <c r="L442" t="s">
        <v>7</v>
      </c>
      <c r="M442" t="s">
        <v>7</v>
      </c>
      <c r="N442" t="s">
        <v>8</v>
      </c>
      <c r="P442">
        <f t="shared" si="974"/>
        <v>-0.55907429963459099</v>
      </c>
      <c r="Q442">
        <f t="shared" si="975"/>
        <v>-53009809.981607698</v>
      </c>
      <c r="R442">
        <f t="shared" si="976"/>
        <v>28377528.004993431</v>
      </c>
      <c r="S442">
        <f t="shared" si="977"/>
        <v>283.77528004993434</v>
      </c>
      <c r="T442">
        <f t="shared" si="978"/>
        <v>0.28377528004993435</v>
      </c>
    </row>
    <row r="443" spans="1:20" x14ac:dyDescent="0.25">
      <c r="A443" s="5">
        <v>44150</v>
      </c>
      <c r="B443">
        <v>0.10982</v>
      </c>
      <c r="C443">
        <v>0.11902</v>
      </c>
      <c r="D443">
        <v>0.10233</v>
      </c>
      <c r="E443">
        <v>0.10749</v>
      </c>
      <c r="F443">
        <v>160281044.30000001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-0.38166566806470953</v>
      </c>
      <c r="Q443">
        <f t="shared" si="975"/>
        <v>-61173771.850868806</v>
      </c>
      <c r="R443">
        <f t="shared" si="976"/>
        <v>81387337.986601129</v>
      </c>
      <c r="S443">
        <f t="shared" si="977"/>
        <v>813.87337986601131</v>
      </c>
      <c r="T443">
        <f t="shared" si="978"/>
        <v>0.81387337986601127</v>
      </c>
    </row>
    <row r="444" spans="1:20" x14ac:dyDescent="0.25">
      <c r="A444" s="5">
        <v>44149</v>
      </c>
      <c r="B444">
        <v>0.10731</v>
      </c>
      <c r="C444">
        <v>0.11949</v>
      </c>
      <c r="D444">
        <v>9.9640000000000006E-2</v>
      </c>
      <c r="E444">
        <v>0.10983999999999999</v>
      </c>
      <c r="F444">
        <v>207764277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2.7707808564230794E-2</v>
      </c>
      <c r="Q444">
        <f t="shared" si="975"/>
        <v>5756692.8136018189</v>
      </c>
      <c r="R444">
        <f t="shared" si="976"/>
        <v>142561109.83746994</v>
      </c>
      <c r="S444">
        <f t="shared" si="977"/>
        <v>1425.6110983746994</v>
      </c>
      <c r="T444">
        <f t="shared" si="978"/>
        <v>1.4256110983746995</v>
      </c>
    </row>
    <row r="445" spans="1:20" x14ac:dyDescent="0.25">
      <c r="A445" s="5">
        <v>44148</v>
      </c>
      <c r="B445">
        <v>0.10203</v>
      </c>
      <c r="C445">
        <v>0.12867000000000001</v>
      </c>
      <c r="D445">
        <v>9.622E-2</v>
      </c>
      <c r="E445">
        <v>0.10731</v>
      </c>
      <c r="F445">
        <v>430002919.69999999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-0.31648690292758086</v>
      </c>
      <c r="Q445">
        <f t="shared" si="975"/>
        <v>-136090292.30567023</v>
      </c>
      <c r="R445">
        <f t="shared" si="976"/>
        <v>136804417.02386811</v>
      </c>
      <c r="S445">
        <f t="shared" si="977"/>
        <v>1368.0441702386811</v>
      </c>
      <c r="T445">
        <f t="shared" si="978"/>
        <v>1.3680441702386812</v>
      </c>
    </row>
    <row r="446" spans="1:20" x14ac:dyDescent="0.25">
      <c r="A446" s="5">
        <v>44147</v>
      </c>
      <c r="B446">
        <v>9.4600000000000004E-2</v>
      </c>
      <c r="C446">
        <v>0.10594000000000001</v>
      </c>
      <c r="D446">
        <v>8.2680000000000003E-2</v>
      </c>
      <c r="E446">
        <v>0.1022</v>
      </c>
      <c r="F446">
        <v>340933848.80000001</v>
      </c>
      <c r="G446">
        <v>0</v>
      </c>
      <c r="L446" t="s">
        <v>7</v>
      </c>
      <c r="M446" t="s">
        <v>7</v>
      </c>
      <c r="N446" t="s">
        <v>7</v>
      </c>
      <c r="P446">
        <f t="shared" si="974"/>
        <v>0.67841788478073883</v>
      </c>
      <c r="Q446">
        <f t="shared" si="975"/>
        <v>231295620.55305225</v>
      </c>
      <c r="R446">
        <f t="shared" si="976"/>
        <v>272894709.32953835</v>
      </c>
      <c r="S446">
        <f t="shared" si="977"/>
        <v>2728.9470932953836</v>
      </c>
      <c r="T446">
        <f t="shared" si="978"/>
        <v>2.7289470932953837</v>
      </c>
    </row>
    <row r="447" spans="1:20" x14ac:dyDescent="0.25">
      <c r="A447" s="5">
        <v>44146</v>
      </c>
      <c r="B447">
        <v>0.111</v>
      </c>
      <c r="C447">
        <v>0.14011000000000001</v>
      </c>
      <c r="D447">
        <v>9.2030000000000001E-2</v>
      </c>
      <c r="E447">
        <v>9.4469999999999998E-2</v>
      </c>
      <c r="F447">
        <v>278156097.5</v>
      </c>
      <c r="G447">
        <v>0</v>
      </c>
      <c r="L447" t="s">
        <v>7</v>
      </c>
      <c r="M447" t="s">
        <v>7</v>
      </c>
      <c r="N447" t="s">
        <v>7</v>
      </c>
      <c r="P447">
        <f t="shared" si="974"/>
        <v>-0.89850249584026631</v>
      </c>
      <c r="Q447">
        <f t="shared" si="975"/>
        <v>-249923947.83693847</v>
      </c>
      <c r="R447">
        <f t="shared" si="976"/>
        <v>41599088.776486129</v>
      </c>
      <c r="S447">
        <f t="shared" si="977"/>
        <v>415.99088776486127</v>
      </c>
      <c r="T447">
        <f t="shared" si="978"/>
        <v>0.41599088776486126</v>
      </c>
    </row>
    <row r="448" spans="1:20" x14ac:dyDescent="0.25">
      <c r="A448" s="5">
        <v>44145</v>
      </c>
      <c r="B448">
        <v>0.1305</v>
      </c>
      <c r="C448">
        <v>0.17249999999999999</v>
      </c>
      <c r="D448">
        <v>9.8629999999999995E-2</v>
      </c>
      <c r="E448">
        <v>0.11117</v>
      </c>
      <c r="F448">
        <v>502341689.69999999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-0.66048463516989275</v>
      </c>
      <c r="Q448">
        <f t="shared" si="975"/>
        <v>-331788967.65213197</v>
      </c>
      <c r="R448">
        <f t="shared" si="976"/>
        <v>291523036.6134246</v>
      </c>
      <c r="S448">
        <f t="shared" si="977"/>
        <v>2915.2303661342462</v>
      </c>
      <c r="T448">
        <f t="shared" si="978"/>
        <v>2.9152303661342462</v>
      </c>
    </row>
    <row r="449" spans="1:20" x14ac:dyDescent="0.25">
      <c r="A449" s="5">
        <v>44144</v>
      </c>
      <c r="B449">
        <v>6.6989999999999994E-2</v>
      </c>
      <c r="C449">
        <v>0.14262</v>
      </c>
      <c r="D449">
        <v>6.2239999999999997E-2</v>
      </c>
      <c r="E449">
        <v>0.13070999999999999</v>
      </c>
      <c r="F449">
        <v>490009618.39999998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0.70365762627519279</v>
      </c>
      <c r="Q449">
        <f t="shared" si="975"/>
        <v>344799004.93535703</v>
      </c>
      <c r="R449">
        <f t="shared" si="976"/>
        <v>623312004.26555657</v>
      </c>
      <c r="S449">
        <f t="shared" si="977"/>
        <v>6233.1200426555661</v>
      </c>
      <c r="T449">
        <f t="shared" si="978"/>
        <v>6.2331200426555657</v>
      </c>
    </row>
    <row r="450" spans="1:20" x14ac:dyDescent="0.25">
      <c r="A450" s="5">
        <v>44143</v>
      </c>
      <c r="B450">
        <v>4.1239999999999999E-2</v>
      </c>
      <c r="C450">
        <v>7.0000000000000007E-2</v>
      </c>
      <c r="D450">
        <v>3.9780000000000003E-2</v>
      </c>
      <c r="E450">
        <v>6.6989999999999994E-2</v>
      </c>
      <c r="F450">
        <v>214217711.40000001</v>
      </c>
      <c r="G450">
        <v>0</v>
      </c>
      <c r="L450" t="s">
        <v>8</v>
      </c>
      <c r="M450" t="s">
        <v>8</v>
      </c>
      <c r="N450" t="s">
        <v>8</v>
      </c>
      <c r="P450">
        <f t="shared" si="974"/>
        <v>0.80079417604235525</v>
      </c>
      <c r="Q450">
        <f t="shared" si="975"/>
        <v>171544295.69424206</v>
      </c>
      <c r="R450">
        <f t="shared" si="976"/>
        <v>278512999.33019948</v>
      </c>
      <c r="S450">
        <f t="shared" si="977"/>
        <v>2785.129993301995</v>
      </c>
      <c r="T450">
        <f t="shared" si="978"/>
        <v>2.7851299933019948</v>
      </c>
    </row>
    <row r="451" spans="1:20" x14ac:dyDescent="0.25">
      <c r="A451" s="5">
        <v>44142</v>
      </c>
      <c r="B451">
        <v>5.4780000000000002E-2</v>
      </c>
      <c r="C451">
        <v>5.518E-2</v>
      </c>
      <c r="D451">
        <v>3.338E-2</v>
      </c>
      <c r="E451">
        <v>4.1239999999999999E-2</v>
      </c>
      <c r="F451">
        <v>121523478.40000001</v>
      </c>
      <c r="G451">
        <v>0</v>
      </c>
      <c r="L451" t="s">
        <v>7</v>
      </c>
      <c r="M451" t="s">
        <v>7</v>
      </c>
      <c r="N451" t="s">
        <v>7</v>
      </c>
      <c r="P451">
        <f t="shared" si="974"/>
        <v>-0.27889908256880741</v>
      </c>
      <c r="Q451">
        <f t="shared" si="975"/>
        <v>-33892786.636330284</v>
      </c>
      <c r="R451">
        <f t="shared" si="976"/>
        <v>106968703.63595742</v>
      </c>
      <c r="S451">
        <f t="shared" si="977"/>
        <v>1069.6870363595742</v>
      </c>
      <c r="T451">
        <f t="shared" si="978"/>
        <v>1.0696870363595743</v>
      </c>
    </row>
    <row r="452" spans="1:20" x14ac:dyDescent="0.25">
      <c r="A452" s="5">
        <v>44141</v>
      </c>
      <c r="B452">
        <v>3.347E-2</v>
      </c>
      <c r="C452">
        <v>6.6220000000000001E-2</v>
      </c>
      <c r="D452">
        <v>3.1940000000000003E-2</v>
      </c>
      <c r="E452">
        <v>5.4780000000000002E-2</v>
      </c>
      <c r="F452">
        <v>334397568.69999999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0.33255542590431741</v>
      </c>
      <c r="Q452">
        <f t="shared" si="975"/>
        <v>111205725.88039674</v>
      </c>
      <c r="R452">
        <f t="shared" si="976"/>
        <v>140861490.2722877</v>
      </c>
      <c r="S452">
        <f t="shared" si="977"/>
        <v>1408.6149027228769</v>
      </c>
      <c r="T452">
        <f t="shared" si="978"/>
        <v>1.4086149027228769</v>
      </c>
    </row>
    <row r="453" spans="1:20" x14ac:dyDescent="0.25">
      <c r="A453" s="5">
        <v>44140</v>
      </c>
      <c r="B453">
        <v>2.512E-2</v>
      </c>
      <c r="C453">
        <v>4.0439999999999997E-2</v>
      </c>
      <c r="D453">
        <v>2.5020000000000001E-2</v>
      </c>
      <c r="E453">
        <v>3.347E-2</v>
      </c>
      <c r="F453">
        <v>83577783.700000003</v>
      </c>
      <c r="G453">
        <v>0</v>
      </c>
      <c r="L453" t="s">
        <v>8</v>
      </c>
      <c r="M453" t="s">
        <v>8</v>
      </c>
      <c r="N453" t="s">
        <v>8</v>
      </c>
      <c r="P453">
        <f t="shared" si="974"/>
        <v>9.5979247730220651E-2</v>
      </c>
      <c r="Q453">
        <f t="shared" si="975"/>
        <v>8021732.8064850979</v>
      </c>
      <c r="R453">
        <f t="shared" si="976"/>
        <v>29655764.391890962</v>
      </c>
      <c r="S453">
        <f t="shared" si="977"/>
        <v>296.5576439189096</v>
      </c>
      <c r="T453">
        <f t="shared" si="978"/>
        <v>0.2965576439189096</v>
      </c>
    </row>
    <row r="454" spans="1:20" x14ac:dyDescent="0.25">
      <c r="A454" s="5">
        <v>44139</v>
      </c>
      <c r="B454">
        <v>2.4570000000000002E-2</v>
      </c>
      <c r="C454">
        <v>2.5860000000000001E-2</v>
      </c>
      <c r="D454">
        <v>2.4150000000000001E-2</v>
      </c>
      <c r="E454">
        <v>2.503E-2</v>
      </c>
      <c r="F454">
        <v>3035724.6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2.9239766081870157E-2</v>
      </c>
      <c r="Q454">
        <f t="shared" ref="Q454:Q517" si="980">F454*P454</f>
        <v>88763.877192978849</v>
      </c>
      <c r="R454">
        <f t="shared" ref="R454:R517" si="981">R455+Q454</f>
        <v>21634031.585405864</v>
      </c>
      <c r="S454">
        <f t="shared" ref="S454:S517" si="982">R454/100000</f>
        <v>216.34031585405864</v>
      </c>
      <c r="T454">
        <f t="shared" ref="T454:T517" si="983">S454/1000</f>
        <v>0.21634031585405863</v>
      </c>
    </row>
    <row r="455" spans="1:20" x14ac:dyDescent="0.25">
      <c r="A455" s="5">
        <v>44138</v>
      </c>
      <c r="B455">
        <v>2.503E-2</v>
      </c>
      <c r="C455">
        <v>2.503E-2</v>
      </c>
      <c r="D455">
        <v>2.3630000000000002E-2</v>
      </c>
      <c r="E455">
        <v>2.4539999999999999E-2</v>
      </c>
      <c r="F455">
        <v>1599889.8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0.29999999999999799</v>
      </c>
      <c r="Q455">
        <f t="shared" si="980"/>
        <v>479966.9399999968</v>
      </c>
      <c r="R455">
        <f t="shared" si="981"/>
        <v>21545267.708212886</v>
      </c>
      <c r="S455">
        <f t="shared" si="982"/>
        <v>215.45267708212887</v>
      </c>
      <c r="T455">
        <f t="shared" si="983"/>
        <v>0.21545267708212887</v>
      </c>
    </row>
    <row r="456" spans="1:20" x14ac:dyDescent="0.25">
      <c r="A456" s="5">
        <v>44137</v>
      </c>
      <c r="B456">
        <v>2.5860000000000001E-2</v>
      </c>
      <c r="C456">
        <v>2.6239999999999999E-2</v>
      </c>
      <c r="D456">
        <v>2.452E-2</v>
      </c>
      <c r="E456">
        <v>2.5010000000000001E-2</v>
      </c>
      <c r="F456">
        <v>1142296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-0.43023255813953365</v>
      </c>
      <c r="Q456">
        <f t="shared" si="980"/>
        <v>-491452.93023255671</v>
      </c>
      <c r="R456">
        <f t="shared" si="981"/>
        <v>21065300.768212888</v>
      </c>
      <c r="S456">
        <f t="shared" si="982"/>
        <v>210.65300768212887</v>
      </c>
      <c r="T456">
        <f t="shared" si="983"/>
        <v>0.21065300768212888</v>
      </c>
    </row>
    <row r="457" spans="1:20" x14ac:dyDescent="0.25">
      <c r="A457" s="5">
        <v>44136</v>
      </c>
      <c r="B457">
        <v>2.53E-2</v>
      </c>
      <c r="C457">
        <v>2.6349999999999998E-2</v>
      </c>
      <c r="D457">
        <v>2.5229999999999999E-2</v>
      </c>
      <c r="E457">
        <v>2.605E-2</v>
      </c>
      <c r="F457">
        <v>1326240.1000000001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0.4642857142857173</v>
      </c>
      <c r="Q457">
        <f t="shared" si="980"/>
        <v>615754.33214286121</v>
      </c>
      <c r="R457">
        <f t="shared" si="981"/>
        <v>21556753.698445447</v>
      </c>
      <c r="S457">
        <f t="shared" si="982"/>
        <v>215.56753698445448</v>
      </c>
      <c r="T457">
        <f t="shared" si="983"/>
        <v>0.21556753698445447</v>
      </c>
    </row>
    <row r="458" spans="1:20" x14ac:dyDescent="0.25">
      <c r="A458" s="5">
        <v>44135</v>
      </c>
      <c r="B458">
        <v>2.5360000000000001E-2</v>
      </c>
      <c r="C458">
        <v>2.605E-2</v>
      </c>
      <c r="D458">
        <v>2.5049999999999999E-2</v>
      </c>
      <c r="E458">
        <v>2.5520000000000001E-2</v>
      </c>
      <c r="F458">
        <v>1233743.7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-5.99999999999975E-2</v>
      </c>
      <c r="Q458">
        <f t="shared" si="980"/>
        <v>-74024.621999996918</v>
      </c>
      <c r="R458">
        <f t="shared" si="981"/>
        <v>20940999.366302587</v>
      </c>
      <c r="S458">
        <f t="shared" si="982"/>
        <v>209.40999366302586</v>
      </c>
      <c r="T458">
        <f t="shared" si="983"/>
        <v>0.20940999366302585</v>
      </c>
    </row>
    <row r="459" spans="1:20" x14ac:dyDescent="0.25">
      <c r="A459" s="5">
        <v>44134</v>
      </c>
      <c r="B459">
        <v>2.6259999999999999E-2</v>
      </c>
      <c r="C459">
        <v>2.6450000000000001E-2</v>
      </c>
      <c r="D459">
        <v>2.4340000000000001E-2</v>
      </c>
      <c r="E459">
        <v>2.5499999999999998E-2</v>
      </c>
      <c r="F459">
        <v>2585515.5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9.9526066350708459E-2</v>
      </c>
      <c r="Q459">
        <f t="shared" si="980"/>
        <v>257326.18720378514</v>
      </c>
      <c r="R459">
        <f t="shared" si="981"/>
        <v>21015023.988302585</v>
      </c>
      <c r="S459">
        <f t="shared" si="982"/>
        <v>210.15023988302585</v>
      </c>
      <c r="T459">
        <f t="shared" si="983"/>
        <v>0.21015023988302584</v>
      </c>
    </row>
    <row r="460" spans="1:20" x14ac:dyDescent="0.25">
      <c r="A460" s="5">
        <v>44133</v>
      </c>
      <c r="B460">
        <v>2.725E-2</v>
      </c>
      <c r="C460">
        <v>2.776E-2</v>
      </c>
      <c r="D460">
        <v>2.58E-2</v>
      </c>
      <c r="E460">
        <v>2.623E-2</v>
      </c>
      <c r="F460">
        <v>1690763.1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-0.56122448979591855</v>
      </c>
      <c r="Q460">
        <f t="shared" si="980"/>
        <v>-948897.65816326567</v>
      </c>
      <c r="R460">
        <f t="shared" si="981"/>
        <v>20757697.801098801</v>
      </c>
      <c r="S460">
        <f t="shared" si="982"/>
        <v>207.576978010988</v>
      </c>
      <c r="T460">
        <f t="shared" si="983"/>
        <v>0.20757697801098801</v>
      </c>
    </row>
    <row r="461" spans="1:20" x14ac:dyDescent="0.25">
      <c r="A461" s="5">
        <v>44132</v>
      </c>
      <c r="B461">
        <v>2.903E-2</v>
      </c>
      <c r="C461">
        <v>2.9270000000000001E-2</v>
      </c>
      <c r="D461">
        <v>2.6630000000000001E-2</v>
      </c>
      <c r="E461">
        <v>2.725E-2</v>
      </c>
      <c r="F461">
        <v>3046728.4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-0.53030303030303105</v>
      </c>
      <c r="Q461">
        <f t="shared" si="980"/>
        <v>-1615689.3030303053</v>
      </c>
      <c r="R461">
        <f t="shared" si="981"/>
        <v>21706595.459262066</v>
      </c>
      <c r="S461">
        <f t="shared" si="982"/>
        <v>217.06595459262064</v>
      </c>
      <c r="T461">
        <f t="shared" si="983"/>
        <v>0.21706595459262065</v>
      </c>
    </row>
    <row r="462" spans="1:20" x14ac:dyDescent="0.25">
      <c r="A462" s="5">
        <v>44131</v>
      </c>
      <c r="B462">
        <v>2.7539999999999999E-2</v>
      </c>
      <c r="C462">
        <v>2.9389999999999999E-2</v>
      </c>
      <c r="D462">
        <v>2.6700000000000002E-2</v>
      </c>
      <c r="E462">
        <v>2.9020000000000001E-2</v>
      </c>
      <c r="F462">
        <v>2727930.1</v>
      </c>
      <c r="G462">
        <v>0</v>
      </c>
      <c r="L462" t="s">
        <v>8</v>
      </c>
      <c r="M462" t="s">
        <v>7</v>
      </c>
      <c r="N462" t="s">
        <v>7</v>
      </c>
      <c r="P462">
        <f t="shared" si="979"/>
        <v>0.72490706319702669</v>
      </c>
      <c r="Q462">
        <f t="shared" si="980"/>
        <v>1977495.7973977714</v>
      </c>
      <c r="R462">
        <f t="shared" si="981"/>
        <v>23322284.76229237</v>
      </c>
      <c r="S462">
        <f t="shared" si="982"/>
        <v>233.22284762292369</v>
      </c>
      <c r="T462">
        <f t="shared" si="983"/>
        <v>0.2332228476229237</v>
      </c>
    </row>
    <row r="463" spans="1:20" x14ac:dyDescent="0.25">
      <c r="A463" s="5">
        <v>44130</v>
      </c>
      <c r="B463">
        <v>2.8469999999999999E-2</v>
      </c>
      <c r="C463">
        <v>2.9229999999999999E-2</v>
      </c>
      <c r="D463">
        <v>2.632E-2</v>
      </c>
      <c r="E463">
        <v>2.7490000000000001E-2</v>
      </c>
      <c r="F463">
        <v>1935048.2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-0.19587628865979304</v>
      </c>
      <c r="Q463">
        <f t="shared" si="980"/>
        <v>-379030.05979381292</v>
      </c>
      <c r="R463">
        <f t="shared" si="981"/>
        <v>21344788.9648946</v>
      </c>
      <c r="S463">
        <f t="shared" si="982"/>
        <v>213.44788964894599</v>
      </c>
      <c r="T463">
        <f t="shared" si="983"/>
        <v>0.21344788964894598</v>
      </c>
    </row>
    <row r="464" spans="1:20" x14ac:dyDescent="0.25">
      <c r="A464" s="5">
        <v>44129</v>
      </c>
      <c r="B464">
        <v>2.9940000000000001E-2</v>
      </c>
      <c r="C464">
        <v>3.0089999999999999E-2</v>
      </c>
      <c r="D464">
        <v>2.8029999999999999E-2</v>
      </c>
      <c r="E464">
        <v>2.8469999999999999E-2</v>
      </c>
      <c r="F464">
        <v>4222175.5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-0.57281553398058294</v>
      </c>
      <c r="Q464">
        <f t="shared" si="980"/>
        <v>-2418527.7135922345</v>
      </c>
      <c r="R464">
        <f t="shared" si="981"/>
        <v>21723819.024688412</v>
      </c>
      <c r="S464">
        <f t="shared" si="982"/>
        <v>217.2381902468841</v>
      </c>
      <c r="T464">
        <f t="shared" si="983"/>
        <v>0.21723819024688409</v>
      </c>
    </row>
    <row r="465" spans="1:20" x14ac:dyDescent="0.25">
      <c r="A465" s="5">
        <v>44128</v>
      </c>
      <c r="B465">
        <v>2.8150000000000001E-2</v>
      </c>
      <c r="C465">
        <v>3.3950000000000001E-2</v>
      </c>
      <c r="D465">
        <v>2.802E-2</v>
      </c>
      <c r="E465">
        <v>2.9950000000000001E-2</v>
      </c>
      <c r="F465">
        <v>19570496.300000001</v>
      </c>
      <c r="G465">
        <v>0</v>
      </c>
      <c r="L465" t="s">
        <v>8</v>
      </c>
      <c r="M465" t="s">
        <v>8</v>
      </c>
      <c r="N465" t="s">
        <v>7</v>
      </c>
      <c r="P465">
        <f t="shared" si="979"/>
        <v>-0.34907251264755457</v>
      </c>
      <c r="Q465">
        <f t="shared" si="980"/>
        <v>-6831522.31720067</v>
      </c>
      <c r="R465">
        <f t="shared" si="981"/>
        <v>24142346.738280647</v>
      </c>
      <c r="S465">
        <f t="shared" si="982"/>
        <v>241.42346738280648</v>
      </c>
      <c r="T465">
        <f t="shared" si="983"/>
        <v>0.24142346738280648</v>
      </c>
    </row>
    <row r="466" spans="1:20" x14ac:dyDescent="0.25">
      <c r="A466" s="5">
        <v>44127</v>
      </c>
      <c r="B466">
        <v>2.6870000000000002E-2</v>
      </c>
      <c r="C466">
        <v>2.9530000000000001E-2</v>
      </c>
      <c r="D466">
        <v>2.6540000000000001E-2</v>
      </c>
      <c r="E466">
        <v>2.8170000000000001E-2</v>
      </c>
      <c r="F466">
        <v>4649713.5999999996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9.030100334448142E-2</v>
      </c>
      <c r="Q466">
        <f t="shared" si="980"/>
        <v>419873.80334448069</v>
      </c>
      <c r="R466">
        <f t="shared" si="981"/>
        <v>30973869.055481315</v>
      </c>
      <c r="S466">
        <f t="shared" si="982"/>
        <v>309.73869055481316</v>
      </c>
      <c r="T466">
        <f t="shared" si="983"/>
        <v>0.30973869055481318</v>
      </c>
    </row>
    <row r="467" spans="1:20" x14ac:dyDescent="0.25">
      <c r="A467" s="5">
        <v>44126</v>
      </c>
      <c r="B467">
        <v>2.6030000000000001E-2</v>
      </c>
      <c r="C467">
        <v>2.7230000000000001E-2</v>
      </c>
      <c r="D467">
        <v>2.598E-2</v>
      </c>
      <c r="E467">
        <v>2.6849999999999999E-2</v>
      </c>
      <c r="F467">
        <v>1127190.8999999999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0.39199999999999757</v>
      </c>
      <c r="Q467">
        <f t="shared" si="980"/>
        <v>441858.83279999724</v>
      </c>
      <c r="R467">
        <f t="shared" si="981"/>
        <v>30553995.252136834</v>
      </c>
      <c r="S467">
        <f t="shared" si="982"/>
        <v>305.53995252136832</v>
      </c>
      <c r="T467">
        <f t="shared" si="983"/>
        <v>0.30553995252136834</v>
      </c>
    </row>
    <row r="468" spans="1:20" x14ac:dyDescent="0.25">
      <c r="A468" s="5">
        <v>44125</v>
      </c>
      <c r="B468">
        <v>2.5579999999999999E-2</v>
      </c>
      <c r="C468">
        <v>2.6929999999999999E-2</v>
      </c>
      <c r="D468">
        <v>2.5360000000000001E-2</v>
      </c>
      <c r="E468">
        <v>2.6020000000000001E-2</v>
      </c>
      <c r="F468">
        <v>2013432.5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-0.15923566878980699</v>
      </c>
      <c r="Q468">
        <f t="shared" si="980"/>
        <v>-320610.27070063306</v>
      </c>
      <c r="R468">
        <f t="shared" si="981"/>
        <v>30112136.419336837</v>
      </c>
      <c r="S468">
        <f t="shared" si="982"/>
        <v>301.12136419336838</v>
      </c>
      <c r="T468">
        <f t="shared" si="983"/>
        <v>0.30112136419336838</v>
      </c>
    </row>
    <row r="469" spans="1:20" x14ac:dyDescent="0.25">
      <c r="A469" s="5">
        <v>44124</v>
      </c>
      <c r="B469">
        <v>2.6409999999999999E-2</v>
      </c>
      <c r="C469">
        <v>2.6460000000000001E-2</v>
      </c>
      <c r="D469">
        <v>2.486E-2</v>
      </c>
      <c r="E469">
        <v>2.5530000000000001E-2</v>
      </c>
      <c r="F469">
        <v>1731835.9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-0.16249999999999981</v>
      </c>
      <c r="Q469">
        <f t="shared" si="980"/>
        <v>-281423.33374999964</v>
      </c>
      <c r="R469">
        <f t="shared" si="981"/>
        <v>30432746.69003747</v>
      </c>
      <c r="S469">
        <f t="shared" si="982"/>
        <v>304.3274669003747</v>
      </c>
      <c r="T469">
        <f t="shared" si="983"/>
        <v>0.30432746690037471</v>
      </c>
    </row>
    <row r="470" spans="1:20" x14ac:dyDescent="0.25">
      <c r="A470" s="5">
        <v>44123</v>
      </c>
      <c r="B470">
        <v>2.7109999999999999E-2</v>
      </c>
      <c r="C470">
        <v>2.7289999999999998E-2</v>
      </c>
      <c r="D470">
        <v>2.63E-2</v>
      </c>
      <c r="E470">
        <v>2.6540000000000001E-2</v>
      </c>
      <c r="F470">
        <v>2177222.5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-0.51515151515151281</v>
      </c>
      <c r="Q470">
        <f t="shared" si="980"/>
        <v>-1121599.4696969646</v>
      </c>
      <c r="R470">
        <f t="shared" si="981"/>
        <v>30714170.023787469</v>
      </c>
      <c r="S470">
        <f t="shared" si="982"/>
        <v>307.14170023787466</v>
      </c>
      <c r="T470">
        <f t="shared" si="983"/>
        <v>0.30714170023787468</v>
      </c>
    </row>
    <row r="471" spans="1:20" x14ac:dyDescent="0.25">
      <c r="A471" s="5">
        <v>44122</v>
      </c>
      <c r="B471">
        <v>2.647E-2</v>
      </c>
      <c r="C471">
        <v>2.7629999999999998E-2</v>
      </c>
      <c r="D471">
        <v>2.605E-2</v>
      </c>
      <c r="E471">
        <v>2.7300000000000001E-2</v>
      </c>
      <c r="F471">
        <v>2101845.5</v>
      </c>
      <c r="G471">
        <v>0</v>
      </c>
      <c r="L471" t="s">
        <v>7</v>
      </c>
      <c r="M471" t="s">
        <v>7</v>
      </c>
      <c r="N471" t="s">
        <v>7</v>
      </c>
      <c r="P471">
        <f t="shared" si="979"/>
        <v>0.58227848101266155</v>
      </c>
      <c r="Q471">
        <f t="shared" si="980"/>
        <v>1223859.4050632981</v>
      </c>
      <c r="R471">
        <f t="shared" si="981"/>
        <v>31835769.493484434</v>
      </c>
      <c r="S471">
        <f t="shared" si="982"/>
        <v>318.35769493484435</v>
      </c>
      <c r="T471">
        <f t="shared" si="983"/>
        <v>0.31835769493484434</v>
      </c>
    </row>
    <row r="472" spans="1:20" x14ac:dyDescent="0.25">
      <c r="A472" s="5">
        <v>44121</v>
      </c>
      <c r="B472">
        <v>2.5499999999999998E-2</v>
      </c>
      <c r="C472">
        <v>2.8139999999999998E-2</v>
      </c>
      <c r="D472">
        <v>2.5499999999999998E-2</v>
      </c>
      <c r="E472">
        <v>2.6589999999999999E-2</v>
      </c>
      <c r="F472">
        <v>4446098</v>
      </c>
      <c r="G472">
        <v>0</v>
      </c>
      <c r="L472" t="s">
        <v>8</v>
      </c>
      <c r="M472" t="s">
        <v>7</v>
      </c>
      <c r="N472" t="s">
        <v>7</v>
      </c>
      <c r="P472">
        <f t="shared" si="979"/>
        <v>-0.17424242424242373</v>
      </c>
      <c r="Q472">
        <f t="shared" si="980"/>
        <v>-774698.89393939159</v>
      </c>
      <c r="R472">
        <f t="shared" si="981"/>
        <v>30611910.088421136</v>
      </c>
      <c r="S472">
        <f t="shared" si="982"/>
        <v>306.11910088421138</v>
      </c>
      <c r="T472">
        <f t="shared" si="983"/>
        <v>0.3061191008842114</v>
      </c>
    </row>
    <row r="473" spans="1:20" x14ac:dyDescent="0.25">
      <c r="A473" s="5">
        <v>44120</v>
      </c>
      <c r="B473">
        <v>2.632E-2</v>
      </c>
      <c r="C473">
        <v>2.6509999999999999E-2</v>
      </c>
      <c r="D473">
        <v>2.4920000000000001E-2</v>
      </c>
      <c r="E473">
        <v>2.5530000000000001E-2</v>
      </c>
      <c r="F473">
        <v>3259863.4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-0.23270440251572286</v>
      </c>
      <c r="Q473">
        <f t="shared" si="980"/>
        <v>-758584.56477987289</v>
      </c>
      <c r="R473">
        <f t="shared" si="981"/>
        <v>31386608.982360527</v>
      </c>
      <c r="S473">
        <f t="shared" si="982"/>
        <v>313.86608982360525</v>
      </c>
      <c r="T473">
        <f t="shared" si="983"/>
        <v>0.31386608982360525</v>
      </c>
    </row>
    <row r="474" spans="1:20" x14ac:dyDescent="0.25">
      <c r="A474" s="5">
        <v>44119</v>
      </c>
      <c r="B474">
        <v>2.6720000000000001E-2</v>
      </c>
      <c r="C474">
        <v>2.7029999999999998E-2</v>
      </c>
      <c r="D474">
        <v>2.5499999999999998E-2</v>
      </c>
      <c r="E474">
        <v>2.6339999999999999E-2</v>
      </c>
      <c r="F474">
        <v>1499168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9.803921568627505E-2</v>
      </c>
      <c r="Q474">
        <f t="shared" si="980"/>
        <v>146977.2549019616</v>
      </c>
      <c r="R474">
        <f t="shared" si="981"/>
        <v>32145193.547140401</v>
      </c>
      <c r="S474">
        <f t="shared" si="982"/>
        <v>321.451935471404</v>
      </c>
      <c r="T474">
        <f t="shared" si="983"/>
        <v>0.32145193547140399</v>
      </c>
    </row>
    <row r="475" spans="1:20" x14ac:dyDescent="0.25">
      <c r="A475" s="5">
        <v>44118</v>
      </c>
      <c r="B475">
        <v>2.7029999999999998E-2</v>
      </c>
      <c r="C475">
        <v>2.7810000000000001E-2</v>
      </c>
      <c r="D475">
        <v>2.6329999999999999E-2</v>
      </c>
      <c r="E475">
        <v>2.6710000000000001E-2</v>
      </c>
      <c r="F475">
        <v>2086445.1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-0.48648648648648474</v>
      </c>
      <c r="Q475">
        <f t="shared" si="980"/>
        <v>-1015027.3459459423</v>
      </c>
      <c r="R475">
        <f t="shared" si="981"/>
        <v>31998216.29223844</v>
      </c>
      <c r="S475">
        <f t="shared" si="982"/>
        <v>319.98216292238442</v>
      </c>
      <c r="T475">
        <f t="shared" si="983"/>
        <v>0.31998216292238441</v>
      </c>
    </row>
    <row r="476" spans="1:20" x14ac:dyDescent="0.25">
      <c r="A476" s="5">
        <v>44117</v>
      </c>
      <c r="B476">
        <v>2.8230000000000002E-2</v>
      </c>
      <c r="C476">
        <v>2.8740000000000002E-2</v>
      </c>
      <c r="D476">
        <v>2.681E-2</v>
      </c>
      <c r="E476">
        <v>2.724E-2</v>
      </c>
      <c r="F476">
        <v>3230828</v>
      </c>
      <c r="G476">
        <v>0</v>
      </c>
      <c r="L476" t="s">
        <v>7</v>
      </c>
      <c r="M476" t="s">
        <v>7</v>
      </c>
      <c r="N476" t="s">
        <v>8</v>
      </c>
      <c r="P476">
        <f t="shared" si="979"/>
        <v>-0.55440414507772062</v>
      </c>
      <c r="Q476">
        <f t="shared" si="980"/>
        <v>-1791184.435233162</v>
      </c>
      <c r="R476">
        <f t="shared" si="981"/>
        <v>33013243.638184384</v>
      </c>
      <c r="S476">
        <f t="shared" si="982"/>
        <v>330.13243638184383</v>
      </c>
      <c r="T476">
        <f t="shared" si="983"/>
        <v>0.33013243638184381</v>
      </c>
    </row>
    <row r="477" spans="1:20" x14ac:dyDescent="0.25">
      <c r="A477" s="5">
        <v>44116</v>
      </c>
      <c r="B477">
        <v>2.9690000000000001E-2</v>
      </c>
      <c r="C477">
        <v>2.9690000000000001E-2</v>
      </c>
      <c r="D477">
        <v>2.758E-2</v>
      </c>
      <c r="E477">
        <v>2.8199999999999999E-2</v>
      </c>
      <c r="F477">
        <v>6733979.7000000002</v>
      </c>
      <c r="G477">
        <v>0</v>
      </c>
      <c r="L477" t="s">
        <v>8</v>
      </c>
      <c r="M477" t="s">
        <v>7</v>
      </c>
      <c r="N477" t="s">
        <v>8</v>
      </c>
      <c r="P477">
        <f t="shared" si="979"/>
        <v>-0.41232227488151774</v>
      </c>
      <c r="Q477">
        <f t="shared" si="980"/>
        <v>-2776569.8289099606</v>
      </c>
      <c r="R477">
        <f t="shared" si="981"/>
        <v>34804428.073417544</v>
      </c>
      <c r="S477">
        <f t="shared" si="982"/>
        <v>348.04428073417546</v>
      </c>
      <c r="T477">
        <f t="shared" si="983"/>
        <v>0.34804428073417548</v>
      </c>
    </row>
    <row r="478" spans="1:20" x14ac:dyDescent="0.25">
      <c r="A478" s="5">
        <v>44115</v>
      </c>
      <c r="B478">
        <v>2.8000000000000001E-2</v>
      </c>
      <c r="C478">
        <v>3.3840000000000002E-2</v>
      </c>
      <c r="D478">
        <v>2.7369999999999998E-2</v>
      </c>
      <c r="E478">
        <v>2.9690000000000001E-2</v>
      </c>
      <c r="F478">
        <v>24270197.100000001</v>
      </c>
      <c r="G478">
        <v>0</v>
      </c>
      <c r="L478" t="s">
        <v>7</v>
      </c>
      <c r="M478" t="s">
        <v>7</v>
      </c>
      <c r="N478" t="s">
        <v>8</v>
      </c>
      <c r="P478">
        <f t="shared" si="979"/>
        <v>-0.28284389489953593</v>
      </c>
      <c r="Q478">
        <f t="shared" si="980"/>
        <v>-6864677.0777434222</v>
      </c>
      <c r="R478">
        <f t="shared" si="981"/>
        <v>37580997.902327508</v>
      </c>
      <c r="S478">
        <f t="shared" si="982"/>
        <v>375.8099790232751</v>
      </c>
      <c r="T478">
        <f t="shared" si="983"/>
        <v>0.37580997902327512</v>
      </c>
    </row>
    <row r="479" spans="1:20" x14ac:dyDescent="0.25">
      <c r="A479" s="5">
        <v>44114</v>
      </c>
      <c r="B479">
        <v>2.681E-2</v>
      </c>
      <c r="C479">
        <v>3.8899999999999997E-2</v>
      </c>
      <c r="D479">
        <v>2.6769999999999999E-2</v>
      </c>
      <c r="E479">
        <v>2.809E-2</v>
      </c>
      <c r="F479">
        <v>56995126.100000001</v>
      </c>
      <c r="G479">
        <v>0</v>
      </c>
      <c r="L479" t="s">
        <v>8</v>
      </c>
      <c r="M479" t="s">
        <v>8</v>
      </c>
      <c r="N479" t="s">
        <v>8</v>
      </c>
      <c r="P479">
        <f t="shared" si="979"/>
        <v>-0.78235779060181332</v>
      </c>
      <c r="Q479">
        <f t="shared" si="980"/>
        <v>-44590580.930667743</v>
      </c>
      <c r="R479">
        <f t="shared" si="981"/>
        <v>44445674.980070934</v>
      </c>
      <c r="S479">
        <f t="shared" si="982"/>
        <v>444.45674980070936</v>
      </c>
      <c r="T479">
        <f t="shared" si="983"/>
        <v>0.44445674980070937</v>
      </c>
    </row>
    <row r="480" spans="1:20" x14ac:dyDescent="0.25">
      <c r="A480" s="5">
        <v>44113</v>
      </c>
      <c r="B480">
        <v>2.5149999999999999E-2</v>
      </c>
      <c r="C480">
        <v>2.758E-2</v>
      </c>
      <c r="D480">
        <v>2.4680000000000001E-2</v>
      </c>
      <c r="E480">
        <v>2.69E-2</v>
      </c>
      <c r="F480">
        <v>5436156.4000000004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0.53103448275862064</v>
      </c>
      <c r="Q480">
        <f t="shared" si="980"/>
        <v>2886786.5020689652</v>
      </c>
      <c r="R480">
        <f t="shared" si="981"/>
        <v>89036255.910738677</v>
      </c>
      <c r="S480">
        <f t="shared" si="982"/>
        <v>890.3625591073868</v>
      </c>
      <c r="T480">
        <f t="shared" si="983"/>
        <v>0.89036255910738682</v>
      </c>
    </row>
    <row r="481" spans="1:20" x14ac:dyDescent="0.25">
      <c r="A481" s="5">
        <v>44112</v>
      </c>
      <c r="B481">
        <v>2.3269999999999999E-2</v>
      </c>
      <c r="C481">
        <v>2.5360000000000001E-2</v>
      </c>
      <c r="D481">
        <v>2.315E-2</v>
      </c>
      <c r="E481">
        <v>2.521E-2</v>
      </c>
      <c r="F481">
        <v>2133962.7000000002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0.86425339366515763</v>
      </c>
      <c r="Q481">
        <f t="shared" si="980"/>
        <v>1844284.5054298628</v>
      </c>
      <c r="R481">
        <f t="shared" si="981"/>
        <v>86149469.40866971</v>
      </c>
      <c r="S481">
        <f t="shared" si="982"/>
        <v>861.49469408669711</v>
      </c>
      <c r="T481">
        <f t="shared" si="983"/>
        <v>0.8614946940866971</v>
      </c>
    </row>
    <row r="482" spans="1:20" x14ac:dyDescent="0.25">
      <c r="A482" s="5">
        <v>44111</v>
      </c>
      <c r="B482">
        <v>2.2870000000000001E-2</v>
      </c>
      <c r="C482">
        <v>2.3429999999999999E-2</v>
      </c>
      <c r="D482">
        <v>2.23E-2</v>
      </c>
      <c r="E482">
        <v>2.3279999999999999E-2</v>
      </c>
      <c r="F482">
        <v>1116158.5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0.73451327433628155</v>
      </c>
      <c r="Q482">
        <f t="shared" si="980"/>
        <v>819833.23451327253</v>
      </c>
      <c r="R482">
        <f t="shared" si="981"/>
        <v>84305184.903239846</v>
      </c>
      <c r="S482">
        <f t="shared" si="982"/>
        <v>843.05184903239842</v>
      </c>
      <c r="T482">
        <f t="shared" si="983"/>
        <v>0.84305184903239838</v>
      </c>
    </row>
    <row r="483" spans="1:20" x14ac:dyDescent="0.25">
      <c r="A483" s="5">
        <v>44110</v>
      </c>
      <c r="B483">
        <v>2.5049999999999999E-2</v>
      </c>
      <c r="C483">
        <v>2.5239999999999999E-2</v>
      </c>
      <c r="D483">
        <v>2.2800000000000001E-2</v>
      </c>
      <c r="E483">
        <v>2.2849999999999999E-2</v>
      </c>
      <c r="F483">
        <v>1846296.5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-0.95901639344262457</v>
      </c>
      <c r="Q483">
        <f t="shared" si="980"/>
        <v>-1770628.6106557406</v>
      </c>
      <c r="R483">
        <f t="shared" si="981"/>
        <v>83485351.668726578</v>
      </c>
      <c r="S483">
        <f t="shared" si="982"/>
        <v>834.85351668726582</v>
      </c>
      <c r="T483">
        <f t="shared" si="983"/>
        <v>0.83485351668726582</v>
      </c>
    </row>
    <row r="484" spans="1:20" x14ac:dyDescent="0.25">
      <c r="A484" s="5">
        <v>44109</v>
      </c>
      <c r="B484">
        <v>2.545E-2</v>
      </c>
      <c r="C484">
        <v>2.5780000000000001E-2</v>
      </c>
      <c r="D484">
        <v>2.479E-2</v>
      </c>
      <c r="E484">
        <v>2.503E-2</v>
      </c>
      <c r="F484">
        <v>998065.7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-0.51515151515151447</v>
      </c>
      <c r="Q484">
        <f t="shared" si="980"/>
        <v>-514155.05757575686</v>
      </c>
      <c r="R484">
        <f t="shared" si="981"/>
        <v>85255980.279382318</v>
      </c>
      <c r="S484">
        <f t="shared" si="982"/>
        <v>852.55980279382322</v>
      </c>
      <c r="T484">
        <f t="shared" si="983"/>
        <v>0.85255980279382326</v>
      </c>
    </row>
    <row r="485" spans="1:20" x14ac:dyDescent="0.25">
      <c r="A485" s="5">
        <v>44108</v>
      </c>
      <c r="B485">
        <v>2.494E-2</v>
      </c>
      <c r="C485">
        <v>2.5499999999999998E-2</v>
      </c>
      <c r="D485">
        <v>2.4199999999999999E-2</v>
      </c>
      <c r="E485">
        <v>2.537E-2</v>
      </c>
      <c r="F485">
        <v>1354959.3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0.80000000000000271</v>
      </c>
      <c r="Q485">
        <f t="shared" si="980"/>
        <v>1083967.4400000037</v>
      </c>
      <c r="R485">
        <f t="shared" si="981"/>
        <v>85770135.336958081</v>
      </c>
      <c r="S485">
        <f t="shared" si="982"/>
        <v>857.70135336958083</v>
      </c>
      <c r="T485">
        <f t="shared" si="983"/>
        <v>0.85770135336958087</v>
      </c>
    </row>
    <row r="486" spans="1:20" x14ac:dyDescent="0.25">
      <c r="A486" s="5">
        <v>44107</v>
      </c>
      <c r="B486">
        <v>2.511E-2</v>
      </c>
      <c r="C486">
        <v>2.538E-2</v>
      </c>
      <c r="D486">
        <v>2.4930000000000001E-2</v>
      </c>
      <c r="E486">
        <v>2.5059999999999999E-2</v>
      </c>
      <c r="F486">
        <v>843408.9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-0.42222222222222905</v>
      </c>
      <c r="Q486">
        <f t="shared" si="980"/>
        <v>-356105.98000000574</v>
      </c>
      <c r="R486">
        <f t="shared" si="981"/>
        <v>84686167.896958083</v>
      </c>
      <c r="S486">
        <f t="shared" si="982"/>
        <v>846.86167896958079</v>
      </c>
      <c r="T486">
        <f t="shared" si="983"/>
        <v>0.84686167896958076</v>
      </c>
    </row>
    <row r="487" spans="1:20" x14ac:dyDescent="0.25">
      <c r="A487" s="5">
        <v>44106</v>
      </c>
      <c r="B487">
        <v>2.5420000000000002E-2</v>
      </c>
      <c r="C487">
        <v>2.579E-2</v>
      </c>
      <c r="D487">
        <v>2.3730000000000001E-2</v>
      </c>
      <c r="E487">
        <v>2.5069999999999999E-2</v>
      </c>
      <c r="F487">
        <v>2263566.6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0.30097087378640569</v>
      </c>
      <c r="Q487">
        <f t="shared" si="980"/>
        <v>681267.6174757235</v>
      </c>
      <c r="R487">
        <f t="shared" si="981"/>
        <v>85042273.876958087</v>
      </c>
      <c r="S487">
        <f t="shared" si="982"/>
        <v>850.42273876958086</v>
      </c>
      <c r="T487">
        <f t="shared" si="983"/>
        <v>0.85042273876958085</v>
      </c>
    </row>
    <row r="488" spans="1:20" x14ac:dyDescent="0.25">
      <c r="A488" s="5">
        <v>44105</v>
      </c>
      <c r="B488">
        <v>2.648E-2</v>
      </c>
      <c r="C488">
        <v>2.6880000000000001E-2</v>
      </c>
      <c r="D488">
        <v>2.4850000000000001E-2</v>
      </c>
      <c r="E488">
        <v>2.5440000000000001E-2</v>
      </c>
      <c r="F488">
        <v>3345445.4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-0.41871921182266003</v>
      </c>
      <c r="Q488">
        <f t="shared" si="980"/>
        <v>-1400802.2610837435</v>
      </c>
      <c r="R488">
        <f t="shared" si="981"/>
        <v>84361006.259482369</v>
      </c>
      <c r="S488">
        <f t="shared" si="982"/>
        <v>843.61006259482372</v>
      </c>
      <c r="T488">
        <f t="shared" si="983"/>
        <v>0.84361006259482374</v>
      </c>
    </row>
    <row r="489" spans="1:20" x14ac:dyDescent="0.25">
      <c r="A489" s="5">
        <v>44104</v>
      </c>
      <c r="B489">
        <v>2.7269999999999999E-2</v>
      </c>
      <c r="C489">
        <v>2.7400000000000001E-2</v>
      </c>
      <c r="D489">
        <v>2.5600000000000001E-2</v>
      </c>
      <c r="E489">
        <v>2.6409999999999999E-2</v>
      </c>
      <c r="F489">
        <v>5210934.0999999996</v>
      </c>
      <c r="G489">
        <v>0</v>
      </c>
      <c r="L489" t="s">
        <v>7</v>
      </c>
      <c r="M489" t="s">
        <v>7</v>
      </c>
      <c r="N489" t="s">
        <v>7</v>
      </c>
      <c r="P489">
        <f t="shared" si="979"/>
        <v>-0.10000000000000174</v>
      </c>
      <c r="Q489">
        <f t="shared" si="980"/>
        <v>-521093.41000000905</v>
      </c>
      <c r="R489">
        <f t="shared" si="981"/>
        <v>85761808.520566106</v>
      </c>
      <c r="S489">
        <f t="shared" si="982"/>
        <v>857.61808520566103</v>
      </c>
      <c r="T489">
        <f t="shared" si="983"/>
        <v>0.85761808520566107</v>
      </c>
    </row>
    <row r="490" spans="1:20" x14ac:dyDescent="0.25">
      <c r="A490" s="5">
        <v>44103</v>
      </c>
      <c r="B490">
        <v>2.683E-2</v>
      </c>
      <c r="C490">
        <v>2.7689999999999999E-2</v>
      </c>
      <c r="D490">
        <v>2.6079999999999999E-2</v>
      </c>
      <c r="E490">
        <v>2.733E-2</v>
      </c>
      <c r="F490">
        <v>1982399.9</v>
      </c>
      <c r="G490">
        <v>0</v>
      </c>
      <c r="L490" t="s">
        <v>8</v>
      </c>
      <c r="M490" t="s">
        <v>7</v>
      </c>
      <c r="N490" t="s">
        <v>7</v>
      </c>
      <c r="P490">
        <f t="shared" si="979"/>
        <v>0.55279503105590166</v>
      </c>
      <c r="Q490">
        <f t="shared" si="980"/>
        <v>1095860.8142857163</v>
      </c>
      <c r="R490">
        <f t="shared" si="981"/>
        <v>86282901.930566117</v>
      </c>
      <c r="S490">
        <f t="shared" si="982"/>
        <v>862.82901930566118</v>
      </c>
      <c r="T490">
        <f t="shared" si="983"/>
        <v>0.86282901930566114</v>
      </c>
    </row>
    <row r="491" spans="1:20" x14ac:dyDescent="0.25">
      <c r="A491" s="5">
        <v>44102</v>
      </c>
      <c r="B491">
        <v>2.6380000000000001E-2</v>
      </c>
      <c r="C491">
        <v>2.758E-2</v>
      </c>
      <c r="D491">
        <v>2.6380000000000001E-2</v>
      </c>
      <c r="E491">
        <v>2.6769999999999999E-2</v>
      </c>
      <c r="F491">
        <v>2489910.1</v>
      </c>
      <c r="G491">
        <v>0</v>
      </c>
      <c r="L491" t="s">
        <v>8</v>
      </c>
      <c r="M491" t="s">
        <v>7</v>
      </c>
      <c r="N491" t="s">
        <v>7</v>
      </c>
      <c r="P491">
        <f t="shared" si="979"/>
        <v>-0.3500000000000032</v>
      </c>
      <c r="Q491">
        <f t="shared" si="980"/>
        <v>-871468.53500000795</v>
      </c>
      <c r="R491">
        <f t="shared" si="981"/>
        <v>85187041.116280407</v>
      </c>
      <c r="S491">
        <f t="shared" si="982"/>
        <v>851.87041116280409</v>
      </c>
      <c r="T491">
        <f t="shared" si="983"/>
        <v>0.85187041116280404</v>
      </c>
    </row>
    <row r="492" spans="1:20" x14ac:dyDescent="0.25">
      <c r="A492" s="5">
        <v>44101</v>
      </c>
      <c r="B492">
        <v>2.673E-2</v>
      </c>
      <c r="C492">
        <v>2.7279999999999999E-2</v>
      </c>
      <c r="D492">
        <v>2.5649999999999999E-2</v>
      </c>
      <c r="E492">
        <v>2.6249999999999999E-2</v>
      </c>
      <c r="F492">
        <v>1461902.9</v>
      </c>
      <c r="G492">
        <v>0</v>
      </c>
      <c r="L492" t="s">
        <v>8</v>
      </c>
      <c r="M492" t="s">
        <v>7</v>
      </c>
      <c r="N492" t="s">
        <v>7</v>
      </c>
      <c r="P492">
        <f t="shared" si="979"/>
        <v>-0.26380368098159507</v>
      </c>
      <c r="Q492">
        <f t="shared" si="980"/>
        <v>-385655.36625766865</v>
      </c>
      <c r="R492">
        <f t="shared" si="981"/>
        <v>86058509.651280418</v>
      </c>
      <c r="S492">
        <f t="shared" si="982"/>
        <v>860.58509651280417</v>
      </c>
      <c r="T492">
        <f t="shared" si="983"/>
        <v>0.86058509651280413</v>
      </c>
    </row>
    <row r="493" spans="1:20" x14ac:dyDescent="0.25">
      <c r="A493" s="5">
        <v>44100</v>
      </c>
      <c r="B493">
        <v>2.6759999999999999E-2</v>
      </c>
      <c r="C493">
        <v>2.7380000000000002E-2</v>
      </c>
      <c r="D493">
        <v>2.6360000000000001E-2</v>
      </c>
      <c r="E493">
        <v>2.6689999999999998E-2</v>
      </c>
      <c r="F493">
        <v>2331024.7000000002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-0.35294117647059425</v>
      </c>
      <c r="Q493">
        <f t="shared" si="980"/>
        <v>-822714.60000001406</v>
      </c>
      <c r="R493">
        <f t="shared" si="981"/>
        <v>86444165.017538086</v>
      </c>
      <c r="S493">
        <f t="shared" si="982"/>
        <v>864.4416501753808</v>
      </c>
      <c r="T493">
        <f t="shared" si="983"/>
        <v>0.86444165017538077</v>
      </c>
    </row>
    <row r="494" spans="1:20" x14ac:dyDescent="0.25">
      <c r="A494" s="5">
        <v>44099</v>
      </c>
      <c r="B494">
        <v>2.588E-2</v>
      </c>
      <c r="C494">
        <v>2.683E-2</v>
      </c>
      <c r="D494">
        <v>2.5100000000000001E-2</v>
      </c>
      <c r="E494">
        <v>2.6620000000000001E-2</v>
      </c>
      <c r="F494">
        <v>4039338.2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0.75722543352601324</v>
      </c>
      <c r="Q494">
        <f t="shared" si="980"/>
        <v>3058689.6196531863</v>
      </c>
      <c r="R494">
        <f t="shared" si="981"/>
        <v>87266879.617538095</v>
      </c>
      <c r="S494">
        <f t="shared" si="982"/>
        <v>872.66879617538098</v>
      </c>
      <c r="T494">
        <f t="shared" si="983"/>
        <v>0.87266879617538096</v>
      </c>
    </row>
    <row r="495" spans="1:20" x14ac:dyDescent="0.25">
      <c r="A495" s="5">
        <v>44098</v>
      </c>
      <c r="B495">
        <v>2.3859999999999999E-2</v>
      </c>
      <c r="C495">
        <v>2.588E-2</v>
      </c>
      <c r="D495">
        <v>2.368E-2</v>
      </c>
      <c r="E495">
        <v>2.588E-2</v>
      </c>
      <c r="F495">
        <v>2046771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1</v>
      </c>
      <c r="Q495">
        <f t="shared" si="980"/>
        <v>2046771</v>
      </c>
      <c r="R495">
        <f t="shared" si="981"/>
        <v>84208189.997884914</v>
      </c>
      <c r="S495">
        <f t="shared" si="982"/>
        <v>842.08189997884915</v>
      </c>
      <c r="T495">
        <f t="shared" si="983"/>
        <v>0.84208189997884919</v>
      </c>
    </row>
    <row r="496" spans="1:20" x14ac:dyDescent="0.25">
      <c r="A496" s="5">
        <v>44097</v>
      </c>
      <c r="B496">
        <v>2.5569999999999999E-2</v>
      </c>
      <c r="C496">
        <v>2.6290000000000001E-2</v>
      </c>
      <c r="D496">
        <v>2.3800000000000002E-2</v>
      </c>
      <c r="E496">
        <v>2.3959999999999999E-2</v>
      </c>
      <c r="F496">
        <v>2610180.4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-0.8714859437751028</v>
      </c>
      <c r="Q496">
        <f t="shared" si="980"/>
        <v>-2274735.5293172752</v>
      </c>
      <c r="R496">
        <f t="shared" si="981"/>
        <v>82161418.997884914</v>
      </c>
      <c r="S496">
        <f t="shared" si="982"/>
        <v>821.61418997884914</v>
      </c>
      <c r="T496">
        <f t="shared" si="983"/>
        <v>0.82161418997884916</v>
      </c>
    </row>
    <row r="497" spans="1:20" x14ac:dyDescent="0.25">
      <c r="A497" s="5">
        <v>44096</v>
      </c>
      <c r="B497">
        <v>2.5700000000000001E-2</v>
      </c>
      <c r="C497">
        <v>2.6179999999999998E-2</v>
      </c>
      <c r="D497">
        <v>2.4899999999999999E-2</v>
      </c>
      <c r="E497">
        <v>2.555E-2</v>
      </c>
      <c r="F497">
        <v>2075810.4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1.5625000000002075E-2</v>
      </c>
      <c r="Q497">
        <f t="shared" si="980"/>
        <v>32434.537500004306</v>
      </c>
      <c r="R497">
        <f t="shared" si="981"/>
        <v>84436154.527202189</v>
      </c>
      <c r="S497">
        <f t="shared" si="982"/>
        <v>844.36154527202189</v>
      </c>
      <c r="T497">
        <f t="shared" si="983"/>
        <v>0.8443615452720219</v>
      </c>
    </row>
    <row r="498" spans="1:20" x14ac:dyDescent="0.25">
      <c r="A498" s="5">
        <v>44095</v>
      </c>
      <c r="B498">
        <v>2.8920000000000001E-2</v>
      </c>
      <c r="C498">
        <v>2.962E-2</v>
      </c>
      <c r="D498">
        <v>2.4830000000000001E-2</v>
      </c>
      <c r="E498">
        <v>2.5700000000000001E-2</v>
      </c>
      <c r="F498">
        <v>5074645.7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-0.63674321503131548</v>
      </c>
      <c r="Q498">
        <f t="shared" si="980"/>
        <v>-3231246.2181628407</v>
      </c>
      <c r="R498">
        <f t="shared" si="981"/>
        <v>84403719.98970218</v>
      </c>
      <c r="S498">
        <f t="shared" si="982"/>
        <v>844.03719989702176</v>
      </c>
      <c r="T498">
        <f t="shared" si="983"/>
        <v>0.84403719989702175</v>
      </c>
    </row>
    <row r="499" spans="1:20" x14ac:dyDescent="0.25">
      <c r="A499" s="5">
        <v>44094</v>
      </c>
      <c r="B499">
        <v>3.074E-2</v>
      </c>
      <c r="C499">
        <v>3.092E-2</v>
      </c>
      <c r="D499">
        <v>2.8490000000000001E-2</v>
      </c>
      <c r="E499">
        <v>2.8920000000000001E-2</v>
      </c>
      <c r="F499">
        <v>2134674.2000000002</v>
      </c>
      <c r="G499">
        <v>0</v>
      </c>
      <c r="L499" t="s">
        <v>7</v>
      </c>
      <c r="M499" t="s">
        <v>7</v>
      </c>
      <c r="N499" t="s">
        <v>8</v>
      </c>
      <c r="P499">
        <f t="shared" si="979"/>
        <v>-0.6460905349794237</v>
      </c>
      <c r="Q499">
        <f t="shared" si="980"/>
        <v>-1379192.7958847734</v>
      </c>
      <c r="R499">
        <f t="shared" si="981"/>
        <v>87634966.207865015</v>
      </c>
      <c r="S499">
        <f t="shared" si="982"/>
        <v>876.34966207865011</v>
      </c>
      <c r="T499">
        <f t="shared" si="983"/>
        <v>0.87634966207865006</v>
      </c>
    </row>
    <row r="500" spans="1:20" x14ac:dyDescent="0.25">
      <c r="A500" s="5">
        <v>44093</v>
      </c>
      <c r="B500">
        <v>3.007E-2</v>
      </c>
      <c r="C500">
        <v>3.1140000000000001E-2</v>
      </c>
      <c r="D500">
        <v>2.9760000000000002E-2</v>
      </c>
      <c r="E500">
        <v>3.0710000000000001E-2</v>
      </c>
      <c r="F500">
        <v>2320087.9</v>
      </c>
      <c r="G500">
        <v>0</v>
      </c>
      <c r="L500" t="s">
        <v>8</v>
      </c>
      <c r="M500" t="s">
        <v>7</v>
      </c>
      <c r="N500" t="s">
        <v>8</v>
      </c>
      <c r="P500">
        <f t="shared" si="979"/>
        <v>0.3768115942028985</v>
      </c>
      <c r="Q500">
        <f t="shared" si="980"/>
        <v>874236.02028985496</v>
      </c>
      <c r="R500">
        <f t="shared" si="981"/>
        <v>89014159.003749788</v>
      </c>
      <c r="S500">
        <f t="shared" si="982"/>
        <v>890.14159003749785</v>
      </c>
      <c r="T500">
        <f t="shared" si="983"/>
        <v>0.89014159003749782</v>
      </c>
    </row>
    <row r="501" spans="1:20" x14ac:dyDescent="0.25">
      <c r="A501" s="5">
        <v>44092</v>
      </c>
      <c r="B501">
        <v>2.9680000000000002E-2</v>
      </c>
      <c r="C501">
        <v>3.1480000000000001E-2</v>
      </c>
      <c r="D501">
        <v>2.9010000000000001E-2</v>
      </c>
      <c r="E501">
        <v>0.03</v>
      </c>
      <c r="F501">
        <v>5454676.2000000002</v>
      </c>
      <c r="G501">
        <v>0</v>
      </c>
      <c r="L501" t="s">
        <v>8</v>
      </c>
      <c r="M501" t="s">
        <v>7</v>
      </c>
      <c r="N501" t="s">
        <v>8</v>
      </c>
      <c r="P501">
        <f t="shared" si="979"/>
        <v>-0.19838056680162119</v>
      </c>
      <c r="Q501">
        <f t="shared" si="980"/>
        <v>-1082101.7562753132</v>
      </c>
      <c r="R501">
        <f t="shared" si="981"/>
        <v>88139922.983459935</v>
      </c>
      <c r="S501">
        <f t="shared" si="982"/>
        <v>881.3992298345994</v>
      </c>
      <c r="T501">
        <f t="shared" si="983"/>
        <v>0.8813992298345994</v>
      </c>
    </row>
    <row r="502" spans="1:20" x14ac:dyDescent="0.25">
      <c r="A502" s="5">
        <v>44091</v>
      </c>
      <c r="B502">
        <v>2.9790000000000001E-2</v>
      </c>
      <c r="C502">
        <v>3.0519999999999999E-2</v>
      </c>
      <c r="D502">
        <v>2.8649999999999998E-2</v>
      </c>
      <c r="E502">
        <v>2.9590000000000002E-2</v>
      </c>
      <c r="F502">
        <v>4422480.5999999996</v>
      </c>
      <c r="G502">
        <v>0</v>
      </c>
      <c r="L502" t="s">
        <v>7</v>
      </c>
      <c r="M502" t="s">
        <v>7</v>
      </c>
      <c r="N502" t="s">
        <v>8</v>
      </c>
      <c r="P502">
        <f t="shared" si="979"/>
        <v>5.3475935828911931E-3</v>
      </c>
      <c r="Q502">
        <f t="shared" si="980"/>
        <v>23649.62887702079</v>
      </c>
      <c r="R502">
        <f t="shared" si="981"/>
        <v>89222024.739735246</v>
      </c>
      <c r="S502">
        <f t="shared" si="982"/>
        <v>892.22024739735241</v>
      </c>
      <c r="T502">
        <f t="shared" si="983"/>
        <v>0.8922202473973524</v>
      </c>
    </row>
    <row r="503" spans="1:20" x14ac:dyDescent="0.25">
      <c r="A503" s="5">
        <v>44090</v>
      </c>
      <c r="B503">
        <v>3.0810000000000001E-2</v>
      </c>
      <c r="C503">
        <v>3.0810000000000001E-2</v>
      </c>
      <c r="D503">
        <v>2.887E-2</v>
      </c>
      <c r="E503">
        <v>2.9600000000000001E-2</v>
      </c>
      <c r="F503">
        <v>5504714.4000000004</v>
      </c>
      <c r="G503">
        <v>0</v>
      </c>
      <c r="L503" t="s">
        <v>7</v>
      </c>
      <c r="M503" t="s">
        <v>7</v>
      </c>
      <c r="N503" t="s">
        <v>8</v>
      </c>
      <c r="P503">
        <f t="shared" si="979"/>
        <v>-0.24742268041236989</v>
      </c>
      <c r="Q503">
        <f t="shared" si="980"/>
        <v>-1361991.1917525707</v>
      </c>
      <c r="R503">
        <f t="shared" si="981"/>
        <v>89198375.110858232</v>
      </c>
      <c r="S503">
        <f t="shared" si="982"/>
        <v>891.98375110858228</v>
      </c>
      <c r="T503">
        <f t="shared" si="983"/>
        <v>0.8919837511085823</v>
      </c>
    </row>
    <row r="504" spans="1:20" x14ac:dyDescent="0.25">
      <c r="A504" s="5">
        <v>44089</v>
      </c>
      <c r="B504">
        <v>3.3700000000000001E-2</v>
      </c>
      <c r="C504">
        <v>3.3790000000000001E-2</v>
      </c>
      <c r="D504">
        <v>3.082E-2</v>
      </c>
      <c r="E504">
        <v>3.082E-2</v>
      </c>
      <c r="F504">
        <v>7575789.7000000002</v>
      </c>
      <c r="G504">
        <v>0</v>
      </c>
      <c r="L504" t="s">
        <v>7</v>
      </c>
      <c r="M504" t="s">
        <v>7</v>
      </c>
      <c r="N504" t="s">
        <v>8</v>
      </c>
      <c r="P504">
        <f t="shared" si="979"/>
        <v>-1</v>
      </c>
      <c r="Q504">
        <f t="shared" si="980"/>
        <v>-7575789.7000000002</v>
      </c>
      <c r="R504">
        <f t="shared" si="981"/>
        <v>90560366.3026108</v>
      </c>
      <c r="S504">
        <f t="shared" si="982"/>
        <v>905.60366302610805</v>
      </c>
      <c r="T504">
        <f t="shared" si="983"/>
        <v>0.90560366302610806</v>
      </c>
    </row>
    <row r="505" spans="1:20" x14ac:dyDescent="0.25">
      <c r="A505" s="5">
        <v>44088</v>
      </c>
      <c r="B505">
        <v>3.1230000000000001E-2</v>
      </c>
      <c r="C505">
        <v>3.805E-2</v>
      </c>
      <c r="D505">
        <v>3.1210000000000002E-2</v>
      </c>
      <c r="E505">
        <v>3.3689999999999998E-2</v>
      </c>
      <c r="F505">
        <v>31113235.5</v>
      </c>
      <c r="G505">
        <v>0</v>
      </c>
      <c r="L505" t="s">
        <v>8</v>
      </c>
      <c r="M505" t="s">
        <v>8</v>
      </c>
      <c r="N505" t="s">
        <v>8</v>
      </c>
      <c r="P505">
        <f t="shared" si="979"/>
        <v>-0.27485380116959168</v>
      </c>
      <c r="Q505">
        <f t="shared" si="980"/>
        <v>-8551591.0438596811</v>
      </c>
      <c r="R505">
        <f t="shared" si="981"/>
        <v>98136156.002610803</v>
      </c>
      <c r="S505">
        <f t="shared" si="982"/>
        <v>981.36156002610801</v>
      </c>
      <c r="T505">
        <f t="shared" si="983"/>
        <v>0.98136156002610797</v>
      </c>
    </row>
    <row r="506" spans="1:20" x14ac:dyDescent="0.25">
      <c r="A506" s="5">
        <v>44087</v>
      </c>
      <c r="B506">
        <v>3.3730000000000003E-2</v>
      </c>
      <c r="C506">
        <v>3.4450000000000001E-2</v>
      </c>
      <c r="D506">
        <v>3.0679999999999999E-2</v>
      </c>
      <c r="E506">
        <v>3.1230000000000001E-2</v>
      </c>
      <c r="F506">
        <v>5339362.3</v>
      </c>
      <c r="G506">
        <v>0</v>
      </c>
      <c r="L506" t="s">
        <v>7</v>
      </c>
      <c r="M506" t="s">
        <v>7</v>
      </c>
      <c r="N506" t="s">
        <v>8</v>
      </c>
      <c r="P506">
        <f t="shared" si="979"/>
        <v>-0.70822281167108669</v>
      </c>
      <c r="Q506">
        <f t="shared" si="980"/>
        <v>-3781458.1806366001</v>
      </c>
      <c r="R506">
        <f t="shared" si="981"/>
        <v>106687747.04647048</v>
      </c>
      <c r="S506">
        <f t="shared" si="982"/>
        <v>1066.8774704647049</v>
      </c>
      <c r="T506">
        <f t="shared" si="983"/>
        <v>1.0668774704647048</v>
      </c>
    </row>
    <row r="507" spans="1:20" x14ac:dyDescent="0.25">
      <c r="A507" s="5">
        <v>44086</v>
      </c>
      <c r="B507">
        <v>3.3210000000000003E-2</v>
      </c>
      <c r="C507">
        <v>3.4599999999999999E-2</v>
      </c>
      <c r="D507">
        <v>3.1899999999999998E-2</v>
      </c>
      <c r="E507">
        <v>3.3779999999999998E-2</v>
      </c>
      <c r="F507">
        <v>8656132.5999999996</v>
      </c>
      <c r="G507">
        <v>0</v>
      </c>
      <c r="L507" t="s">
        <v>7</v>
      </c>
      <c r="M507" t="s">
        <v>7</v>
      </c>
      <c r="N507" t="s">
        <v>8</v>
      </c>
      <c r="P507">
        <f t="shared" si="979"/>
        <v>0.39259259259259188</v>
      </c>
      <c r="Q507">
        <f t="shared" si="980"/>
        <v>3398333.5392592531</v>
      </c>
      <c r="R507">
        <f t="shared" si="981"/>
        <v>110469205.22710708</v>
      </c>
      <c r="S507">
        <f t="shared" si="982"/>
        <v>1104.6920522710707</v>
      </c>
      <c r="T507">
        <f t="shared" si="983"/>
        <v>1.1046920522710706</v>
      </c>
    </row>
    <row r="508" spans="1:20" x14ac:dyDescent="0.25">
      <c r="A508" s="5">
        <v>44085</v>
      </c>
      <c r="B508">
        <v>3.175E-2</v>
      </c>
      <c r="C508">
        <v>3.8089999999999999E-2</v>
      </c>
      <c r="D508">
        <v>3.1710000000000002E-2</v>
      </c>
      <c r="E508">
        <v>3.322E-2</v>
      </c>
      <c r="F508">
        <v>24510621.600000001</v>
      </c>
      <c r="G508">
        <v>0</v>
      </c>
      <c r="L508" t="s">
        <v>8</v>
      </c>
      <c r="M508" t="s">
        <v>8</v>
      </c>
      <c r="N508" t="s">
        <v>8</v>
      </c>
      <c r="P508">
        <f t="shared" si="979"/>
        <v>-0.5266457680250789</v>
      </c>
      <c r="Q508">
        <f t="shared" si="980"/>
        <v>-12908415.137304088</v>
      </c>
      <c r="R508">
        <f t="shared" si="981"/>
        <v>107070871.68784782</v>
      </c>
      <c r="S508">
        <f t="shared" si="982"/>
        <v>1070.7087168784783</v>
      </c>
      <c r="T508">
        <f t="shared" si="983"/>
        <v>1.0707087168784784</v>
      </c>
    </row>
    <row r="509" spans="1:20" x14ac:dyDescent="0.25">
      <c r="A509" s="5">
        <v>44084</v>
      </c>
      <c r="B509">
        <v>2.9250000000000002E-2</v>
      </c>
      <c r="C509">
        <v>3.1989999999999998E-2</v>
      </c>
      <c r="D509">
        <v>2.911E-2</v>
      </c>
      <c r="E509">
        <v>3.168E-2</v>
      </c>
      <c r="F509">
        <v>4722703.5999999996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0.78472222222222354</v>
      </c>
      <c r="Q509">
        <f t="shared" si="980"/>
        <v>3706010.4638888948</v>
      </c>
      <c r="R509">
        <f t="shared" si="981"/>
        <v>119979286.82515191</v>
      </c>
      <c r="S509">
        <f t="shared" si="982"/>
        <v>1199.7928682515192</v>
      </c>
      <c r="T509">
        <f t="shared" si="983"/>
        <v>1.1997928682515191</v>
      </c>
    </row>
    <row r="510" spans="1:20" x14ac:dyDescent="0.25">
      <c r="A510" s="5">
        <v>44083</v>
      </c>
      <c r="B510">
        <v>2.8680000000000001E-2</v>
      </c>
      <c r="C510">
        <v>3.006E-2</v>
      </c>
      <c r="D510">
        <v>2.7650000000000001E-2</v>
      </c>
      <c r="E510">
        <v>2.9000000000000001E-2</v>
      </c>
      <c r="F510">
        <v>2826187.7</v>
      </c>
      <c r="G510">
        <v>0</v>
      </c>
      <c r="L510" t="s">
        <v>7</v>
      </c>
      <c r="M510" t="s">
        <v>7</v>
      </c>
      <c r="N510" t="s">
        <v>7</v>
      </c>
      <c r="P510">
        <f t="shared" si="979"/>
        <v>0.12033195020746978</v>
      </c>
      <c r="Q510">
        <f t="shared" si="980"/>
        <v>340080.67759336357</v>
      </c>
      <c r="R510">
        <f t="shared" si="981"/>
        <v>116273276.36126301</v>
      </c>
      <c r="S510">
        <f t="shared" si="982"/>
        <v>1162.7327636126302</v>
      </c>
      <c r="T510">
        <f t="shared" si="983"/>
        <v>1.1627327636126301</v>
      </c>
    </row>
    <row r="511" spans="1:20" x14ac:dyDescent="0.25">
      <c r="A511" s="5">
        <v>44082</v>
      </c>
      <c r="B511">
        <v>2.895E-2</v>
      </c>
      <c r="C511">
        <v>3.0079999999999999E-2</v>
      </c>
      <c r="D511">
        <v>2.7560000000000001E-2</v>
      </c>
      <c r="E511">
        <v>2.8459999999999999E-2</v>
      </c>
      <c r="F511">
        <v>3623387.1</v>
      </c>
      <c r="G511">
        <v>0</v>
      </c>
      <c r="L511" t="s">
        <v>8</v>
      </c>
      <c r="M511" t="s">
        <v>7</v>
      </c>
      <c r="N511" t="s">
        <v>7</v>
      </c>
      <c r="P511">
        <f t="shared" si="979"/>
        <v>-0.2857142857142867</v>
      </c>
      <c r="Q511">
        <f t="shared" si="980"/>
        <v>-1035253.4571428607</v>
      </c>
      <c r="R511">
        <f t="shared" si="981"/>
        <v>115933195.68366964</v>
      </c>
      <c r="S511">
        <f t="shared" si="982"/>
        <v>1159.3319568366965</v>
      </c>
      <c r="T511">
        <f t="shared" si="983"/>
        <v>1.1593319568366964</v>
      </c>
    </row>
    <row r="512" spans="1:20" x14ac:dyDescent="0.25">
      <c r="A512" s="5">
        <v>44081</v>
      </c>
      <c r="B512">
        <v>2.9829999999999999E-2</v>
      </c>
      <c r="C512">
        <v>3.031E-2</v>
      </c>
      <c r="D512">
        <v>2.6509999999999999E-2</v>
      </c>
      <c r="E512">
        <v>2.877E-2</v>
      </c>
      <c r="F512">
        <v>5582523.2000000002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0.18947368421052674</v>
      </c>
      <c r="Q512">
        <f t="shared" si="980"/>
        <v>1057741.2378947393</v>
      </c>
      <c r="R512">
        <f t="shared" si="981"/>
        <v>116968449.1408125</v>
      </c>
      <c r="S512">
        <f t="shared" si="982"/>
        <v>1169.684491408125</v>
      </c>
      <c r="T512">
        <f t="shared" si="983"/>
        <v>1.169684491408125</v>
      </c>
    </row>
    <row r="513" spans="1:20" x14ac:dyDescent="0.25">
      <c r="A513" s="5">
        <v>44080</v>
      </c>
      <c r="B513">
        <v>2.878E-2</v>
      </c>
      <c r="C513">
        <v>3.0460000000000001E-2</v>
      </c>
      <c r="D513">
        <v>2.7130000000000001E-2</v>
      </c>
      <c r="E513">
        <v>2.9749999999999999E-2</v>
      </c>
      <c r="F513">
        <v>4251450.5999999996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0.57357357357357219</v>
      </c>
      <c r="Q513">
        <f t="shared" si="980"/>
        <v>2438519.7135135075</v>
      </c>
      <c r="R513">
        <f t="shared" si="981"/>
        <v>115910707.90291776</v>
      </c>
      <c r="S513">
        <f t="shared" si="982"/>
        <v>1159.1070790291776</v>
      </c>
      <c r="T513">
        <f t="shared" si="983"/>
        <v>1.1591070790291775</v>
      </c>
    </row>
    <row r="514" spans="1:20" x14ac:dyDescent="0.25">
      <c r="A514" s="5">
        <v>44079</v>
      </c>
      <c r="B514">
        <v>3.1150000000000001E-2</v>
      </c>
      <c r="C514">
        <v>3.2219999999999999E-2</v>
      </c>
      <c r="D514">
        <v>2.691E-2</v>
      </c>
      <c r="E514">
        <v>2.87E-2</v>
      </c>
      <c r="F514">
        <v>5672087.9000000004</v>
      </c>
      <c r="G514">
        <v>0</v>
      </c>
      <c r="L514" t="s">
        <v>8</v>
      </c>
      <c r="M514" t="s">
        <v>7</v>
      </c>
      <c r="N514" t="s">
        <v>7</v>
      </c>
      <c r="P514">
        <f t="shared" si="979"/>
        <v>-0.32580037664783412</v>
      </c>
      <c r="Q514">
        <f t="shared" si="980"/>
        <v>-1847968.3741996225</v>
      </c>
      <c r="R514">
        <f t="shared" si="981"/>
        <v>113472188.18940425</v>
      </c>
      <c r="S514">
        <f t="shared" si="982"/>
        <v>1134.7218818940426</v>
      </c>
      <c r="T514">
        <f t="shared" si="983"/>
        <v>1.1347218818940425</v>
      </c>
    </row>
    <row r="515" spans="1:20" x14ac:dyDescent="0.25">
      <c r="A515" s="5">
        <v>44078</v>
      </c>
      <c r="B515">
        <v>2.886E-2</v>
      </c>
      <c r="C515">
        <v>3.1820000000000001E-2</v>
      </c>
      <c r="D515">
        <v>2.8660000000000001E-2</v>
      </c>
      <c r="E515">
        <v>3.117E-2</v>
      </c>
      <c r="F515">
        <v>7477245.2999999998</v>
      </c>
      <c r="G515">
        <v>0</v>
      </c>
      <c r="L515" t="s">
        <v>8</v>
      </c>
      <c r="M515" t="s">
        <v>7</v>
      </c>
      <c r="N515" t="s">
        <v>7</v>
      </c>
      <c r="P515">
        <f t="shared" si="979"/>
        <v>0.588607594936708</v>
      </c>
      <c r="Q515">
        <f t="shared" si="980"/>
        <v>4401163.3727848036</v>
      </c>
      <c r="R515">
        <f t="shared" si="981"/>
        <v>115320156.56360388</v>
      </c>
      <c r="S515">
        <f t="shared" si="982"/>
        <v>1153.2015656360388</v>
      </c>
      <c r="T515">
        <f t="shared" si="983"/>
        <v>1.1532015656360388</v>
      </c>
    </row>
    <row r="516" spans="1:20" x14ac:dyDescent="0.25">
      <c r="A516" s="5">
        <v>44077</v>
      </c>
      <c r="B516">
        <v>3.798E-2</v>
      </c>
      <c r="C516">
        <v>3.8460000000000001E-2</v>
      </c>
      <c r="D516">
        <v>2.86E-2</v>
      </c>
      <c r="E516">
        <v>2.8899999999999999E-2</v>
      </c>
      <c r="F516">
        <v>11009740.199999999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-0.93914807302231273</v>
      </c>
      <c r="Q516">
        <f t="shared" si="980"/>
        <v>-10339776.293306291</v>
      </c>
      <c r="R516">
        <f t="shared" si="981"/>
        <v>110918993.19081907</v>
      </c>
      <c r="S516">
        <f t="shared" si="982"/>
        <v>1109.1899319081906</v>
      </c>
      <c r="T516">
        <f t="shared" si="983"/>
        <v>1.1091899319081906</v>
      </c>
    </row>
    <row r="517" spans="1:20" x14ac:dyDescent="0.25">
      <c r="A517" s="5">
        <v>44076</v>
      </c>
      <c r="B517">
        <v>4.1140000000000003E-2</v>
      </c>
      <c r="C517">
        <v>4.1390000000000003E-2</v>
      </c>
      <c r="D517">
        <v>3.6720000000000003E-2</v>
      </c>
      <c r="E517">
        <v>3.7969999999999997E-2</v>
      </c>
      <c r="F517">
        <v>7348715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-0.46466809421841798</v>
      </c>
      <c r="Q517">
        <f t="shared" si="980"/>
        <v>-3414713.3940043016</v>
      </c>
      <c r="R517">
        <f t="shared" si="981"/>
        <v>121258769.48412536</v>
      </c>
      <c r="S517">
        <f t="shared" si="982"/>
        <v>1212.5876948412536</v>
      </c>
      <c r="T517">
        <f t="shared" si="983"/>
        <v>1.2125876948412535</v>
      </c>
    </row>
    <row r="518" spans="1:20" x14ac:dyDescent="0.25">
      <c r="A518" s="5">
        <v>44075</v>
      </c>
      <c r="B518">
        <v>4.3630000000000002E-2</v>
      </c>
      <c r="C518">
        <v>4.3630000000000002E-2</v>
      </c>
      <c r="D518">
        <v>4.0419999999999998E-2</v>
      </c>
      <c r="E518">
        <v>4.1140000000000003E-2</v>
      </c>
      <c r="F518">
        <v>9168258.6999999993</v>
      </c>
      <c r="G518">
        <v>0</v>
      </c>
      <c r="L518" t="s">
        <v>7</v>
      </c>
      <c r="M518" t="s">
        <v>8</v>
      </c>
      <c r="N518" t="s">
        <v>7</v>
      </c>
      <c r="P518">
        <f t="shared" ref="P518:P581" si="984">IF(C518=D518,0,((E518-D518)-(C518-E518))/(C518-D518))</f>
        <v>-0.55140186915887579</v>
      </c>
      <c r="Q518">
        <f t="shared" ref="Q518:Q581" si="985">F518*P518</f>
        <v>-5055394.984112124</v>
      </c>
      <c r="R518">
        <f t="shared" ref="R518:R581" si="986">R519+Q518</f>
        <v>124673482.87812966</v>
      </c>
      <c r="S518">
        <f t="shared" ref="S518:S581" si="987">R518/100000</f>
        <v>1246.7348287812965</v>
      </c>
      <c r="T518">
        <f t="shared" ref="T518:T581" si="988">S518/1000</f>
        <v>1.2467348287812965</v>
      </c>
    </row>
    <row r="519" spans="1:20" x14ac:dyDescent="0.25">
      <c r="A519" s="5">
        <v>44074</v>
      </c>
      <c r="B519">
        <v>4.3380000000000002E-2</v>
      </c>
      <c r="C519">
        <v>4.4999999999999998E-2</v>
      </c>
      <c r="D519">
        <v>4.2349999999999999E-2</v>
      </c>
      <c r="E519">
        <v>4.3709999999999999E-2</v>
      </c>
      <c r="F519">
        <v>5621623.7999999998</v>
      </c>
      <c r="G519">
        <v>0</v>
      </c>
      <c r="L519" t="s">
        <v>7</v>
      </c>
      <c r="M519" t="s">
        <v>8</v>
      </c>
      <c r="N519" t="s">
        <v>7</v>
      </c>
      <c r="P519">
        <f t="shared" si="984"/>
        <v>2.6415094339622879E-2</v>
      </c>
      <c r="Q519">
        <f t="shared" si="985"/>
        <v>148495.72301886926</v>
      </c>
      <c r="R519">
        <f t="shared" si="986"/>
        <v>129728877.86224179</v>
      </c>
      <c r="S519">
        <f t="shared" si="987"/>
        <v>1297.2887786224178</v>
      </c>
      <c r="T519">
        <f t="shared" si="988"/>
        <v>1.2972887786224179</v>
      </c>
    </row>
    <row r="520" spans="1:20" x14ac:dyDescent="0.25">
      <c r="A520" s="5">
        <v>44073</v>
      </c>
      <c r="B520">
        <v>4.4880000000000003E-2</v>
      </c>
      <c r="C520">
        <v>4.5839999999999999E-2</v>
      </c>
      <c r="D520">
        <v>4.2880000000000001E-2</v>
      </c>
      <c r="E520">
        <v>4.3360000000000003E-2</v>
      </c>
      <c r="F520">
        <v>5788030.5</v>
      </c>
      <c r="G520">
        <v>0</v>
      </c>
      <c r="L520" t="s">
        <v>8</v>
      </c>
      <c r="M520" t="s">
        <v>8</v>
      </c>
      <c r="N520" t="s">
        <v>7</v>
      </c>
      <c r="P520">
        <f t="shared" si="984"/>
        <v>-0.67567567567567455</v>
      </c>
      <c r="Q520">
        <f t="shared" si="985"/>
        <v>-3910831.4189189123</v>
      </c>
      <c r="R520">
        <f t="shared" si="986"/>
        <v>129580382.13922292</v>
      </c>
      <c r="S520">
        <f t="shared" si="987"/>
        <v>1295.8038213922291</v>
      </c>
      <c r="T520">
        <f t="shared" si="988"/>
        <v>1.2958038213922292</v>
      </c>
    </row>
    <row r="521" spans="1:20" x14ac:dyDescent="0.25">
      <c r="A521" s="5">
        <v>44072</v>
      </c>
      <c r="B521">
        <v>4.301E-2</v>
      </c>
      <c r="C521">
        <v>4.5789999999999997E-2</v>
      </c>
      <c r="D521">
        <v>4.24E-2</v>
      </c>
      <c r="E521">
        <v>4.4909999999999999E-2</v>
      </c>
      <c r="F521">
        <v>11027171.800000001</v>
      </c>
      <c r="G521">
        <v>0</v>
      </c>
      <c r="L521" t="s">
        <v>7</v>
      </c>
      <c r="M521" t="s">
        <v>8</v>
      </c>
      <c r="N521" t="s">
        <v>7</v>
      </c>
      <c r="P521">
        <f t="shared" si="984"/>
        <v>0.48082595870206513</v>
      </c>
      <c r="Q521">
        <f t="shared" si="985"/>
        <v>5302150.4525073776</v>
      </c>
      <c r="R521">
        <f t="shared" si="986"/>
        <v>133491213.55814183</v>
      </c>
      <c r="S521">
        <f t="shared" si="987"/>
        <v>1334.9121355814182</v>
      </c>
      <c r="T521">
        <f t="shared" si="988"/>
        <v>1.3349121355814182</v>
      </c>
    </row>
    <row r="522" spans="1:20" x14ac:dyDescent="0.25">
      <c r="A522" s="5">
        <v>44071</v>
      </c>
      <c r="B522">
        <v>3.9550000000000002E-2</v>
      </c>
      <c r="C522">
        <v>4.6620000000000002E-2</v>
      </c>
      <c r="D522">
        <v>3.9390000000000001E-2</v>
      </c>
      <c r="E522">
        <v>4.2959999999999998E-2</v>
      </c>
      <c r="F522">
        <v>40219928.100000001</v>
      </c>
      <c r="G522">
        <v>0</v>
      </c>
      <c r="L522" t="s">
        <v>8</v>
      </c>
      <c r="M522" t="s">
        <v>8</v>
      </c>
      <c r="N522" t="s">
        <v>7</v>
      </c>
      <c r="P522">
        <f t="shared" si="984"/>
        <v>-1.244813278008392E-2</v>
      </c>
      <c r="Q522">
        <f t="shared" si="985"/>
        <v>-500663.00539422838</v>
      </c>
      <c r="R522">
        <f t="shared" si="986"/>
        <v>128189063.10563445</v>
      </c>
      <c r="S522">
        <f t="shared" si="987"/>
        <v>1281.8906310563445</v>
      </c>
      <c r="T522">
        <f t="shared" si="988"/>
        <v>1.2818906310563445</v>
      </c>
    </row>
    <row r="523" spans="1:20" x14ac:dyDescent="0.25">
      <c r="A523" s="5">
        <v>44070</v>
      </c>
      <c r="B523">
        <v>4.19E-2</v>
      </c>
      <c r="C523">
        <v>4.2029999999999998E-2</v>
      </c>
      <c r="D523">
        <v>3.8260000000000002E-2</v>
      </c>
      <c r="E523">
        <v>3.9570000000000001E-2</v>
      </c>
      <c r="F523">
        <v>8905852.9000000004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-0.3050397877984084</v>
      </c>
      <c r="Q523">
        <f t="shared" si="985"/>
        <v>-2716639.4787798403</v>
      </c>
      <c r="R523">
        <f t="shared" si="986"/>
        <v>128689726.11102869</v>
      </c>
      <c r="S523">
        <f t="shared" si="987"/>
        <v>1286.8972611102868</v>
      </c>
      <c r="T523">
        <f t="shared" si="988"/>
        <v>1.2868972611102867</v>
      </c>
    </row>
    <row r="524" spans="1:20" x14ac:dyDescent="0.25">
      <c r="A524" s="5">
        <v>44069</v>
      </c>
      <c r="B524">
        <v>4.1849999999999998E-2</v>
      </c>
      <c r="C524">
        <v>4.3240000000000001E-2</v>
      </c>
      <c r="D524">
        <v>3.9980000000000002E-2</v>
      </c>
      <c r="E524">
        <v>4.1939999999999998E-2</v>
      </c>
      <c r="F524">
        <v>10349457.9</v>
      </c>
      <c r="G524">
        <v>0</v>
      </c>
      <c r="L524" t="s">
        <v>8</v>
      </c>
      <c r="M524" t="s">
        <v>7</v>
      </c>
      <c r="N524" t="s">
        <v>8</v>
      </c>
      <c r="P524">
        <f t="shared" si="984"/>
        <v>0.20245398773005954</v>
      </c>
      <c r="Q524">
        <f t="shared" si="985"/>
        <v>2095289.022699368</v>
      </c>
      <c r="R524">
        <f t="shared" si="986"/>
        <v>131406365.58980852</v>
      </c>
      <c r="S524">
        <f t="shared" si="987"/>
        <v>1314.0636558980852</v>
      </c>
      <c r="T524">
        <f t="shared" si="988"/>
        <v>1.3140636558980852</v>
      </c>
    </row>
    <row r="525" spans="1:20" x14ac:dyDescent="0.25">
      <c r="A525" s="5">
        <v>44068</v>
      </c>
      <c r="B525">
        <v>4.7280000000000003E-2</v>
      </c>
      <c r="C525">
        <v>4.7480000000000001E-2</v>
      </c>
      <c r="D525">
        <v>3.9980000000000002E-2</v>
      </c>
      <c r="E525">
        <v>4.1820000000000003E-2</v>
      </c>
      <c r="F525">
        <v>12792792.5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-0.50933333333333297</v>
      </c>
      <c r="Q525">
        <f t="shared" si="985"/>
        <v>-6515795.6466666618</v>
      </c>
      <c r="R525">
        <f t="shared" si="986"/>
        <v>129311076.56710915</v>
      </c>
      <c r="S525">
        <f t="shared" si="987"/>
        <v>1293.1107656710915</v>
      </c>
      <c r="T525">
        <f t="shared" si="988"/>
        <v>1.2931107656710914</v>
      </c>
    </row>
    <row r="526" spans="1:20" x14ac:dyDescent="0.25">
      <c r="A526" s="5">
        <v>44067</v>
      </c>
      <c r="B526">
        <v>4.6489999999999997E-2</v>
      </c>
      <c r="C526">
        <v>5.0529999999999999E-2</v>
      </c>
      <c r="D526">
        <v>4.5609999999999998E-2</v>
      </c>
      <c r="E526">
        <v>4.7109999999999999E-2</v>
      </c>
      <c r="F526">
        <v>7723357.5</v>
      </c>
      <c r="G526">
        <v>0</v>
      </c>
      <c r="L526" t="s">
        <v>8</v>
      </c>
      <c r="M526" t="s">
        <v>7</v>
      </c>
      <c r="N526" t="s">
        <v>8</v>
      </c>
      <c r="P526">
        <f t="shared" si="984"/>
        <v>-0.39024390243902396</v>
      </c>
      <c r="Q526">
        <f t="shared" si="985"/>
        <v>-3013993.1707317042</v>
      </c>
      <c r="R526">
        <f t="shared" si="986"/>
        <v>135826872.21377581</v>
      </c>
      <c r="S526">
        <f t="shared" si="987"/>
        <v>1358.2687221377582</v>
      </c>
      <c r="T526">
        <f t="shared" si="988"/>
        <v>1.3582687221377583</v>
      </c>
    </row>
    <row r="527" spans="1:20" x14ac:dyDescent="0.25">
      <c r="A527" s="5">
        <v>44066</v>
      </c>
      <c r="B527">
        <v>4.7980000000000002E-2</v>
      </c>
      <c r="C527">
        <v>4.8189999999999997E-2</v>
      </c>
      <c r="D527">
        <v>4.4999999999999998E-2</v>
      </c>
      <c r="E527">
        <v>4.6429999999999999E-2</v>
      </c>
      <c r="F527">
        <v>5897586.7999999998</v>
      </c>
      <c r="G527">
        <v>0</v>
      </c>
      <c r="L527" t="s">
        <v>7</v>
      </c>
      <c r="M527" t="s">
        <v>7</v>
      </c>
      <c r="N527" t="s">
        <v>8</v>
      </c>
      <c r="P527">
        <f t="shared" si="984"/>
        <v>-0.10344827586206806</v>
      </c>
      <c r="Q527">
        <f t="shared" si="985"/>
        <v>-610095.1862068912</v>
      </c>
      <c r="R527">
        <f t="shared" si="986"/>
        <v>138840865.38450751</v>
      </c>
      <c r="S527">
        <f t="shared" si="987"/>
        <v>1388.4086538450752</v>
      </c>
      <c r="T527">
        <f t="shared" si="988"/>
        <v>1.3884086538450751</v>
      </c>
    </row>
    <row r="528" spans="1:20" x14ac:dyDescent="0.25">
      <c r="A528" s="5">
        <v>44065</v>
      </c>
      <c r="B528">
        <v>5.2569999999999999E-2</v>
      </c>
      <c r="C528">
        <v>5.604E-2</v>
      </c>
      <c r="D528">
        <v>4.3799999999999999E-2</v>
      </c>
      <c r="E528">
        <v>4.8189999999999997E-2</v>
      </c>
      <c r="F528">
        <v>34631223.200000003</v>
      </c>
      <c r="G528">
        <v>0</v>
      </c>
      <c r="L528" t="s">
        <v>8</v>
      </c>
      <c r="M528" t="s">
        <v>8</v>
      </c>
      <c r="N528" t="s">
        <v>8</v>
      </c>
      <c r="P528">
        <f t="shared" si="984"/>
        <v>-0.28267973856209189</v>
      </c>
      <c r="Q528">
        <f t="shared" si="985"/>
        <v>-9789545.1202614512</v>
      </c>
      <c r="R528">
        <f t="shared" si="986"/>
        <v>139450960.57071438</v>
      </c>
      <c r="S528">
        <f t="shared" si="987"/>
        <v>1394.5096057071439</v>
      </c>
      <c r="T528">
        <f t="shared" si="988"/>
        <v>1.394509605707144</v>
      </c>
    </row>
    <row r="529" spans="1:20" x14ac:dyDescent="0.25">
      <c r="A529" s="5">
        <v>44064</v>
      </c>
      <c r="B529">
        <v>4.5999999999999999E-2</v>
      </c>
      <c r="C529">
        <v>5.2949999999999997E-2</v>
      </c>
      <c r="D529">
        <v>4.2680000000000003E-2</v>
      </c>
      <c r="E529">
        <v>5.2749999999999998E-2</v>
      </c>
      <c r="F529">
        <v>27674287.600000001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0.96105160662122713</v>
      </c>
      <c r="Q529">
        <f t="shared" si="985"/>
        <v>26596418.560077906</v>
      </c>
      <c r="R529">
        <f t="shared" si="986"/>
        <v>149240505.69097584</v>
      </c>
      <c r="S529">
        <f t="shared" si="987"/>
        <v>1492.4050569097585</v>
      </c>
      <c r="T529">
        <f t="shared" si="988"/>
        <v>1.4924050569097584</v>
      </c>
    </row>
    <row r="530" spans="1:20" x14ac:dyDescent="0.25">
      <c r="A530" s="5">
        <v>44063</v>
      </c>
      <c r="B530">
        <v>0.04</v>
      </c>
      <c r="C530">
        <v>4.6629999999999998E-2</v>
      </c>
      <c r="D530">
        <v>3.9289999999999999E-2</v>
      </c>
      <c r="E530">
        <v>4.5999999999999999E-2</v>
      </c>
      <c r="F530">
        <v>13990123.1</v>
      </c>
      <c r="G530">
        <v>0</v>
      </c>
      <c r="L530" t="s">
        <v>8</v>
      </c>
      <c r="M530" t="s">
        <v>8</v>
      </c>
      <c r="N530" t="s">
        <v>8</v>
      </c>
      <c r="P530">
        <f t="shared" si="984"/>
        <v>0.8283378746594009</v>
      </c>
      <c r="Q530">
        <f t="shared" si="985"/>
        <v>11588548.834877389</v>
      </c>
      <c r="R530">
        <f t="shared" si="986"/>
        <v>122644087.13089795</v>
      </c>
      <c r="S530">
        <f t="shared" si="987"/>
        <v>1226.4408713089795</v>
      </c>
      <c r="T530">
        <f t="shared" si="988"/>
        <v>1.2264408713089794</v>
      </c>
    </row>
    <row r="531" spans="1:20" x14ac:dyDescent="0.25">
      <c r="A531" s="5">
        <v>44062</v>
      </c>
      <c r="B531">
        <v>4.3400000000000001E-2</v>
      </c>
      <c r="C531">
        <v>4.4830000000000002E-2</v>
      </c>
      <c r="D531">
        <v>3.8600000000000002E-2</v>
      </c>
      <c r="E531">
        <v>3.9870000000000003E-2</v>
      </c>
      <c r="F531">
        <v>16940535.600000001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-0.59229534510433368</v>
      </c>
      <c r="Q531">
        <f t="shared" si="985"/>
        <v>-10033800.379454251</v>
      </c>
      <c r="R531">
        <f t="shared" si="986"/>
        <v>111055538.29602057</v>
      </c>
      <c r="S531">
        <f t="shared" si="987"/>
        <v>1110.5553829602056</v>
      </c>
      <c r="T531">
        <f t="shared" si="988"/>
        <v>1.1105553829602057</v>
      </c>
    </row>
    <row r="532" spans="1:20" x14ac:dyDescent="0.25">
      <c r="A532" s="5">
        <v>44061</v>
      </c>
      <c r="B532">
        <v>4.1140000000000003E-2</v>
      </c>
      <c r="C532">
        <v>4.8829999999999998E-2</v>
      </c>
      <c r="D532">
        <v>3.9690000000000003E-2</v>
      </c>
      <c r="E532">
        <v>4.3389999999999998E-2</v>
      </c>
      <c r="F532">
        <v>45845720.700000003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-0.19037199124726545</v>
      </c>
      <c r="Q532">
        <f t="shared" si="985"/>
        <v>-8727741.1398249771</v>
      </c>
      <c r="R532">
        <f t="shared" si="986"/>
        <v>121089338.67547482</v>
      </c>
      <c r="S532">
        <f t="shared" si="987"/>
        <v>1210.8933867547482</v>
      </c>
      <c r="T532">
        <f t="shared" si="988"/>
        <v>1.2108933867547482</v>
      </c>
    </row>
    <row r="533" spans="1:20" x14ac:dyDescent="0.25">
      <c r="A533" s="5">
        <v>44060</v>
      </c>
      <c r="B533">
        <v>3.8150000000000003E-2</v>
      </c>
      <c r="C533">
        <v>4.2970000000000001E-2</v>
      </c>
      <c r="D533">
        <v>3.78E-2</v>
      </c>
      <c r="E533">
        <v>4.1160000000000002E-2</v>
      </c>
      <c r="F533">
        <v>24839821.800000001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0.29980657640232156</v>
      </c>
      <c r="Q533">
        <f t="shared" si="985"/>
        <v>7447141.9323017532</v>
      </c>
      <c r="R533">
        <f t="shared" si="986"/>
        <v>129817079.81529979</v>
      </c>
      <c r="S533">
        <f t="shared" si="987"/>
        <v>1298.170798152998</v>
      </c>
      <c r="T533">
        <f t="shared" si="988"/>
        <v>1.298170798152998</v>
      </c>
    </row>
    <row r="534" spans="1:20" x14ac:dyDescent="0.25">
      <c r="A534" s="5">
        <v>44059</v>
      </c>
      <c r="B534">
        <v>3.5790000000000002E-2</v>
      </c>
      <c r="C534">
        <v>3.8490000000000003E-2</v>
      </c>
      <c r="D534">
        <v>3.5630000000000002E-2</v>
      </c>
      <c r="E534">
        <v>3.8150000000000003E-2</v>
      </c>
      <c r="F534">
        <v>10599233.5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0.7622377622377623</v>
      </c>
      <c r="Q534">
        <f t="shared" si="985"/>
        <v>8079136.0244755251</v>
      </c>
      <c r="R534">
        <f t="shared" si="986"/>
        <v>122369937.88299803</v>
      </c>
      <c r="S534">
        <f t="shared" si="987"/>
        <v>1223.6993788299803</v>
      </c>
      <c r="T534">
        <f t="shared" si="988"/>
        <v>1.2236993788299804</v>
      </c>
    </row>
    <row r="535" spans="1:20" x14ac:dyDescent="0.25">
      <c r="A535" s="5">
        <v>44058</v>
      </c>
      <c r="B535">
        <v>3.6999999999999998E-2</v>
      </c>
      <c r="C535">
        <v>3.7359999999999997E-2</v>
      </c>
      <c r="D535">
        <v>3.542E-2</v>
      </c>
      <c r="E535">
        <v>3.5790000000000002E-2</v>
      </c>
      <c r="F535">
        <v>7287752.5</v>
      </c>
      <c r="G535">
        <v>0</v>
      </c>
      <c r="L535" t="s">
        <v>8</v>
      </c>
      <c r="M535" t="s">
        <v>7</v>
      </c>
      <c r="N535" t="s">
        <v>8</v>
      </c>
      <c r="P535">
        <f t="shared" si="984"/>
        <v>-0.61855670103092497</v>
      </c>
      <c r="Q535">
        <f t="shared" si="985"/>
        <v>-4507888.1443298757</v>
      </c>
      <c r="R535">
        <f t="shared" si="986"/>
        <v>114290801.8585225</v>
      </c>
      <c r="S535">
        <f t="shared" si="987"/>
        <v>1142.9080185852251</v>
      </c>
      <c r="T535">
        <f t="shared" si="988"/>
        <v>1.1429080185852252</v>
      </c>
    </row>
    <row r="536" spans="1:20" x14ac:dyDescent="0.25">
      <c r="A536" s="5">
        <v>44057</v>
      </c>
      <c r="B536">
        <v>3.4479999999999997E-2</v>
      </c>
      <c r="C536">
        <v>3.7100000000000001E-2</v>
      </c>
      <c r="D536">
        <v>3.4380000000000001E-2</v>
      </c>
      <c r="E536">
        <v>3.6999999999999998E-2</v>
      </c>
      <c r="F536">
        <v>12853834.5</v>
      </c>
      <c r="G536">
        <v>0</v>
      </c>
      <c r="L536" t="s">
        <v>8</v>
      </c>
      <c r="M536" t="s">
        <v>7</v>
      </c>
      <c r="N536" t="s">
        <v>8</v>
      </c>
      <c r="P536">
        <f t="shared" si="984"/>
        <v>0.92647058823529205</v>
      </c>
      <c r="Q536">
        <f t="shared" si="985"/>
        <v>11908699.610294091</v>
      </c>
      <c r="R536">
        <f t="shared" si="986"/>
        <v>118798690.00285238</v>
      </c>
      <c r="S536">
        <f t="shared" si="987"/>
        <v>1187.9869000285239</v>
      </c>
      <c r="T536">
        <f t="shared" si="988"/>
        <v>1.1879869000285239</v>
      </c>
    </row>
    <row r="537" spans="1:20" x14ac:dyDescent="0.25">
      <c r="A537" s="5">
        <v>44056</v>
      </c>
      <c r="B537">
        <v>3.3919999999999999E-2</v>
      </c>
      <c r="C537">
        <v>3.5299999999999998E-2</v>
      </c>
      <c r="D537">
        <v>3.2000000000000001E-2</v>
      </c>
      <c r="E537">
        <v>3.4470000000000001E-2</v>
      </c>
      <c r="F537">
        <v>16921821</v>
      </c>
      <c r="G537">
        <v>0</v>
      </c>
      <c r="L537" t="s">
        <v>8</v>
      </c>
      <c r="M537" t="s">
        <v>7</v>
      </c>
      <c r="N537" t="s">
        <v>8</v>
      </c>
      <c r="P537">
        <f t="shared" si="984"/>
        <v>0.49696969696969812</v>
      </c>
      <c r="Q537">
        <f t="shared" si="985"/>
        <v>8409632.2545454744</v>
      </c>
      <c r="R537">
        <f t="shared" si="986"/>
        <v>106889990.39255829</v>
      </c>
      <c r="S537">
        <f t="shared" si="987"/>
        <v>1068.899903925583</v>
      </c>
      <c r="T537">
        <f t="shared" si="988"/>
        <v>1.0688999039255829</v>
      </c>
    </row>
    <row r="538" spans="1:20" x14ac:dyDescent="0.25">
      <c r="A538" s="5">
        <v>44055</v>
      </c>
      <c r="B538">
        <v>3.32E-2</v>
      </c>
      <c r="C538">
        <v>3.6400000000000002E-2</v>
      </c>
      <c r="D538">
        <v>3.211E-2</v>
      </c>
      <c r="E538">
        <v>3.3820000000000003E-2</v>
      </c>
      <c r="F538">
        <v>15388379.199999999</v>
      </c>
      <c r="G538">
        <v>0</v>
      </c>
      <c r="L538" t="s">
        <v>7</v>
      </c>
      <c r="M538" t="s">
        <v>7</v>
      </c>
      <c r="N538" t="s">
        <v>8</v>
      </c>
      <c r="P538">
        <f t="shared" si="984"/>
        <v>-0.2027972027972017</v>
      </c>
      <c r="Q538">
        <f t="shared" si="985"/>
        <v>-3120720.2573426403</v>
      </c>
      <c r="R538">
        <f t="shared" si="986"/>
        <v>98480358.138012812</v>
      </c>
      <c r="S538">
        <f t="shared" si="987"/>
        <v>984.80358138012809</v>
      </c>
      <c r="T538">
        <f t="shared" si="988"/>
        <v>0.98480358138012813</v>
      </c>
    </row>
    <row r="539" spans="1:20" x14ac:dyDescent="0.25">
      <c r="A539" s="5">
        <v>44054</v>
      </c>
      <c r="B539">
        <v>3.6929999999999998E-2</v>
      </c>
      <c r="C539">
        <v>3.8129999999999997E-2</v>
      </c>
      <c r="D539">
        <v>3.1850000000000003E-2</v>
      </c>
      <c r="E539">
        <v>3.3329999999999999E-2</v>
      </c>
      <c r="F539">
        <v>19495021.800000001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-0.52866242038216671</v>
      </c>
      <c r="Q539">
        <f t="shared" si="985"/>
        <v>-10306285.410191104</v>
      </c>
      <c r="R539">
        <f t="shared" si="986"/>
        <v>101601078.39535545</v>
      </c>
      <c r="S539">
        <f t="shared" si="987"/>
        <v>1016.0107839535544</v>
      </c>
      <c r="T539">
        <f t="shared" si="988"/>
        <v>1.0160107839535544</v>
      </c>
    </row>
    <row r="540" spans="1:20" x14ac:dyDescent="0.25">
      <c r="A540" s="5">
        <v>44053</v>
      </c>
      <c r="B540">
        <v>3.3169999999999998E-2</v>
      </c>
      <c r="C540">
        <v>3.7190000000000001E-2</v>
      </c>
      <c r="D540">
        <v>3.1879999999999999E-2</v>
      </c>
      <c r="E540">
        <v>3.6929999999999998E-2</v>
      </c>
      <c r="F540">
        <v>27505030.600000001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0.902071563088511</v>
      </c>
      <c r="Q540">
        <f t="shared" si="985"/>
        <v>24811505.946139328</v>
      </c>
      <c r="R540">
        <f t="shared" si="986"/>
        <v>111907363.80554655</v>
      </c>
      <c r="S540">
        <f t="shared" si="987"/>
        <v>1119.0736380554656</v>
      </c>
      <c r="T540">
        <f t="shared" si="988"/>
        <v>1.1190736380554656</v>
      </c>
    </row>
    <row r="541" spans="1:20" x14ac:dyDescent="0.25">
      <c r="A541" s="5">
        <v>44052</v>
      </c>
      <c r="B541">
        <v>3.1879999999999999E-2</v>
      </c>
      <c r="C541">
        <v>3.397E-2</v>
      </c>
      <c r="D541">
        <v>3.1359999999999999E-2</v>
      </c>
      <c r="E541">
        <v>3.3210000000000003E-2</v>
      </c>
      <c r="F541">
        <v>12015797.9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0.41762452107279968</v>
      </c>
      <c r="Q541">
        <f t="shared" si="985"/>
        <v>5018091.8432950526</v>
      </c>
      <c r="R541">
        <f t="shared" si="986"/>
        <v>87095857.859407231</v>
      </c>
      <c r="S541">
        <f t="shared" si="987"/>
        <v>870.95857859407226</v>
      </c>
      <c r="T541">
        <f t="shared" si="988"/>
        <v>0.87095857859407222</v>
      </c>
    </row>
    <row r="542" spans="1:20" x14ac:dyDescent="0.25">
      <c r="A542" s="5">
        <v>44051</v>
      </c>
      <c r="B542">
        <v>2.9049999999999999E-2</v>
      </c>
      <c r="C542">
        <v>3.2210000000000003E-2</v>
      </c>
      <c r="D542">
        <v>2.8969999999999999E-2</v>
      </c>
      <c r="E542">
        <v>3.1879999999999999E-2</v>
      </c>
      <c r="F542">
        <v>11374133.6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0.79629629629629406</v>
      </c>
      <c r="Q542">
        <f t="shared" si="985"/>
        <v>9057180.4592592344</v>
      </c>
      <c r="R542">
        <f t="shared" si="986"/>
        <v>82077766.016112179</v>
      </c>
      <c r="S542">
        <f t="shared" si="987"/>
        <v>820.77766016112173</v>
      </c>
      <c r="T542">
        <f t="shared" si="988"/>
        <v>0.82077766016112175</v>
      </c>
    </row>
    <row r="543" spans="1:20" x14ac:dyDescent="0.25">
      <c r="A543" s="5">
        <v>44050</v>
      </c>
      <c r="B543">
        <v>2.945E-2</v>
      </c>
      <c r="C543">
        <v>2.9739999999999999E-2</v>
      </c>
      <c r="D543">
        <v>2.835E-2</v>
      </c>
      <c r="E543">
        <v>2.894E-2</v>
      </c>
      <c r="F543">
        <v>5617214.5</v>
      </c>
      <c r="G543">
        <v>0</v>
      </c>
      <c r="L543" t="s">
        <v>8</v>
      </c>
      <c r="M543" t="s">
        <v>7</v>
      </c>
      <c r="N543" t="s">
        <v>8</v>
      </c>
      <c r="P543">
        <f t="shared" si="984"/>
        <v>-0.15107913669064643</v>
      </c>
      <c r="Q543">
        <f t="shared" si="985"/>
        <v>-848643.9172661812</v>
      </c>
      <c r="R543">
        <f t="shared" si="986"/>
        <v>73020585.556852937</v>
      </c>
      <c r="S543">
        <f t="shared" si="987"/>
        <v>730.20585556852939</v>
      </c>
      <c r="T543">
        <f t="shared" si="988"/>
        <v>0.73020585556852935</v>
      </c>
    </row>
    <row r="544" spans="1:20" x14ac:dyDescent="0.25">
      <c r="A544" s="5">
        <v>44049</v>
      </c>
      <c r="B544">
        <v>2.9000000000000001E-2</v>
      </c>
      <c r="C544">
        <v>2.9579999999999999E-2</v>
      </c>
      <c r="D544">
        <v>2.8570000000000002E-2</v>
      </c>
      <c r="E544">
        <v>2.9309999999999999E-2</v>
      </c>
      <c r="F544">
        <v>9896297.0999999996</v>
      </c>
      <c r="G544">
        <v>0</v>
      </c>
      <c r="L544" t="s">
        <v>8</v>
      </c>
      <c r="M544" t="s">
        <v>7</v>
      </c>
      <c r="N544" t="s">
        <v>8</v>
      </c>
      <c r="P544">
        <f t="shared" si="984"/>
        <v>0.46534653465346493</v>
      </c>
      <c r="Q544">
        <f t="shared" si="985"/>
        <v>4605207.5613861345</v>
      </c>
      <c r="R544">
        <f t="shared" si="986"/>
        <v>73869229.474119112</v>
      </c>
      <c r="S544">
        <f t="shared" si="987"/>
        <v>738.69229474119106</v>
      </c>
      <c r="T544">
        <f t="shared" si="988"/>
        <v>0.73869229474119102</v>
      </c>
    </row>
    <row r="545" spans="1:20" x14ac:dyDescent="0.25">
      <c r="A545" s="5">
        <v>44048</v>
      </c>
      <c r="B545">
        <v>2.928E-2</v>
      </c>
      <c r="C545">
        <v>2.9420000000000002E-2</v>
      </c>
      <c r="D545">
        <v>2.8320000000000001E-2</v>
      </c>
      <c r="E545">
        <v>2.9010000000000001E-2</v>
      </c>
      <c r="F545">
        <v>5289291.0999999996</v>
      </c>
      <c r="G545">
        <v>0</v>
      </c>
      <c r="L545" t="s">
        <v>8</v>
      </c>
      <c r="M545" t="s">
        <v>7</v>
      </c>
      <c r="N545" t="s">
        <v>8</v>
      </c>
      <c r="P545">
        <f t="shared" si="984"/>
        <v>0.25454545454545358</v>
      </c>
      <c r="Q545">
        <f t="shared" si="985"/>
        <v>1346365.007272722</v>
      </c>
      <c r="R545">
        <f t="shared" si="986"/>
        <v>69264021.912732974</v>
      </c>
      <c r="S545">
        <f t="shared" si="987"/>
        <v>692.64021912732971</v>
      </c>
      <c r="T545">
        <f t="shared" si="988"/>
        <v>0.69264021912732976</v>
      </c>
    </row>
    <row r="546" spans="1:20" x14ac:dyDescent="0.25">
      <c r="A546" s="5">
        <v>44047</v>
      </c>
      <c r="B546">
        <v>2.8969999999999999E-2</v>
      </c>
      <c r="C546">
        <v>0.03</v>
      </c>
      <c r="D546">
        <v>2.8420000000000001E-2</v>
      </c>
      <c r="E546">
        <v>2.9139999999999999E-2</v>
      </c>
      <c r="F546">
        <v>5482689.4000000004</v>
      </c>
      <c r="G546">
        <v>0</v>
      </c>
      <c r="L546" t="s">
        <v>8</v>
      </c>
      <c r="M546" t="s">
        <v>7</v>
      </c>
      <c r="N546" t="s">
        <v>8</v>
      </c>
      <c r="P546">
        <f t="shared" si="984"/>
        <v>-8.8607594936709749E-2</v>
      </c>
      <c r="Q546">
        <f t="shared" si="985"/>
        <v>-485807.92151899223</v>
      </c>
      <c r="R546">
        <f t="shared" si="986"/>
        <v>67917656.905460253</v>
      </c>
      <c r="S546">
        <f t="shared" si="987"/>
        <v>679.17656905460251</v>
      </c>
      <c r="T546">
        <f t="shared" si="988"/>
        <v>0.67917656905460255</v>
      </c>
    </row>
    <row r="547" spans="1:20" x14ac:dyDescent="0.25">
      <c r="A547" s="5">
        <v>44046</v>
      </c>
      <c r="B547">
        <v>2.8639999999999999E-2</v>
      </c>
      <c r="C547">
        <v>0.03</v>
      </c>
      <c r="D547">
        <v>2.8330000000000001E-2</v>
      </c>
      <c r="E547">
        <v>2.8969999999999999E-2</v>
      </c>
      <c r="F547">
        <v>4866276.5</v>
      </c>
      <c r="G547">
        <v>0</v>
      </c>
      <c r="L547" t="s">
        <v>8</v>
      </c>
      <c r="M547" t="s">
        <v>7</v>
      </c>
      <c r="N547" t="s">
        <v>8</v>
      </c>
      <c r="P547">
        <f t="shared" si="984"/>
        <v>-0.2335329341317377</v>
      </c>
      <c r="Q547">
        <f t="shared" si="985"/>
        <v>-1136435.8293413231</v>
      </c>
      <c r="R547">
        <f t="shared" si="986"/>
        <v>68403464.82697925</v>
      </c>
      <c r="S547">
        <f t="shared" si="987"/>
        <v>684.03464826979246</v>
      </c>
      <c r="T547">
        <f t="shared" si="988"/>
        <v>0.68403464826979243</v>
      </c>
    </row>
    <row r="548" spans="1:20" x14ac:dyDescent="0.25">
      <c r="A548" s="5">
        <v>44045</v>
      </c>
      <c r="B548">
        <v>2.9729999999999999E-2</v>
      </c>
      <c r="C548">
        <v>2.998E-2</v>
      </c>
      <c r="D548">
        <v>2.691E-2</v>
      </c>
      <c r="E548">
        <v>2.8639999999999999E-2</v>
      </c>
      <c r="F548">
        <v>5393253.5999999996</v>
      </c>
      <c r="G548">
        <v>0</v>
      </c>
      <c r="L548" t="s">
        <v>7</v>
      </c>
      <c r="M548" t="s">
        <v>7</v>
      </c>
      <c r="N548" t="s">
        <v>8</v>
      </c>
      <c r="P548">
        <f t="shared" si="984"/>
        <v>0.12703583061889187</v>
      </c>
      <c r="Q548">
        <f t="shared" si="985"/>
        <v>685136.45081432874</v>
      </c>
      <c r="R548">
        <f t="shared" si="986"/>
        <v>69539900.656320572</v>
      </c>
      <c r="S548">
        <f t="shared" si="987"/>
        <v>695.39900656320572</v>
      </c>
      <c r="T548">
        <f t="shared" si="988"/>
        <v>0.69539900656320575</v>
      </c>
    </row>
    <row r="549" spans="1:20" x14ac:dyDescent="0.25">
      <c r="A549" s="5">
        <v>44044</v>
      </c>
      <c r="B549">
        <v>2.9659999999999999E-2</v>
      </c>
      <c r="C549">
        <v>3.0280000000000001E-2</v>
      </c>
      <c r="D549">
        <v>2.9270000000000001E-2</v>
      </c>
      <c r="E549">
        <v>2.9749999999999999E-2</v>
      </c>
      <c r="F549">
        <v>4253190</v>
      </c>
      <c r="G549">
        <v>0</v>
      </c>
      <c r="L549" t="s">
        <v>8</v>
      </c>
      <c r="M549" t="s">
        <v>7</v>
      </c>
      <c r="N549" t="s">
        <v>8</v>
      </c>
      <c r="P549">
        <f t="shared" si="984"/>
        <v>-4.9504950495054337E-2</v>
      </c>
      <c r="Q549">
        <f t="shared" si="985"/>
        <v>-210553.96039606017</v>
      </c>
      <c r="R549">
        <f t="shared" si="986"/>
        <v>68854764.20550625</v>
      </c>
      <c r="S549">
        <f t="shared" si="987"/>
        <v>688.54764205506251</v>
      </c>
      <c r="T549">
        <f t="shared" si="988"/>
        <v>0.68854764205506247</v>
      </c>
    </row>
    <row r="550" spans="1:20" x14ac:dyDescent="0.25">
      <c r="A550" s="5">
        <v>44043</v>
      </c>
      <c r="B550">
        <v>2.9530000000000001E-2</v>
      </c>
      <c r="C550">
        <v>3.041E-2</v>
      </c>
      <c r="D550">
        <v>2.9319999999999999E-2</v>
      </c>
      <c r="E550">
        <v>2.9600000000000001E-2</v>
      </c>
      <c r="F550">
        <v>5744088.7000000002</v>
      </c>
      <c r="G550">
        <v>0</v>
      </c>
      <c r="L550" t="s">
        <v>8</v>
      </c>
      <c r="M550" t="s">
        <v>7</v>
      </c>
      <c r="N550" t="s">
        <v>8</v>
      </c>
      <c r="P550">
        <f t="shared" si="984"/>
        <v>-0.48623853211008755</v>
      </c>
      <c r="Q550">
        <f t="shared" si="985"/>
        <v>-2792997.2577981413</v>
      </c>
      <c r="R550">
        <f t="shared" si="986"/>
        <v>69065318.165902317</v>
      </c>
      <c r="S550">
        <f t="shared" si="987"/>
        <v>690.65318165902318</v>
      </c>
      <c r="T550">
        <f t="shared" si="988"/>
        <v>0.69065318165902323</v>
      </c>
    </row>
    <row r="551" spans="1:20" x14ac:dyDescent="0.25">
      <c r="A551" s="5">
        <v>44042</v>
      </c>
      <c r="B551">
        <v>2.9749999999999999E-2</v>
      </c>
      <c r="C551">
        <v>3.0040000000000001E-2</v>
      </c>
      <c r="D551">
        <v>2.913E-2</v>
      </c>
      <c r="E551">
        <v>2.9530000000000001E-2</v>
      </c>
      <c r="F551">
        <v>3424208.5</v>
      </c>
      <c r="G551">
        <v>0</v>
      </c>
      <c r="L551" t="s">
        <v>8</v>
      </c>
      <c r="M551" t="s">
        <v>7</v>
      </c>
      <c r="N551" t="s">
        <v>8</v>
      </c>
      <c r="P551">
        <f t="shared" si="984"/>
        <v>-0.12087912087911962</v>
      </c>
      <c r="Q551">
        <f t="shared" si="985"/>
        <v>-413915.31318680884</v>
      </c>
      <c r="R551">
        <f t="shared" si="986"/>
        <v>71858315.423700452</v>
      </c>
      <c r="S551">
        <f t="shared" si="987"/>
        <v>718.58315423700446</v>
      </c>
      <c r="T551">
        <f t="shared" si="988"/>
        <v>0.71858315423700447</v>
      </c>
    </row>
    <row r="552" spans="1:20" x14ac:dyDescent="0.25">
      <c r="A552" s="5">
        <v>44041</v>
      </c>
      <c r="B552">
        <v>2.9229999999999999E-2</v>
      </c>
      <c r="C552">
        <v>3.0960000000000001E-2</v>
      </c>
      <c r="D552">
        <v>2.878E-2</v>
      </c>
      <c r="E552">
        <v>2.9770000000000001E-2</v>
      </c>
      <c r="F552">
        <v>6508995.0999999996</v>
      </c>
      <c r="G552">
        <v>0</v>
      </c>
      <c r="L552" t="s">
        <v>8</v>
      </c>
      <c r="M552" t="s">
        <v>7</v>
      </c>
      <c r="N552" t="s">
        <v>8</v>
      </c>
      <c r="P552">
        <f t="shared" si="984"/>
        <v>-9.1743119266054426E-2</v>
      </c>
      <c r="Q552">
        <f t="shared" si="985"/>
        <v>-597155.51376146381</v>
      </c>
      <c r="R552">
        <f t="shared" si="986"/>
        <v>72272230.736887261</v>
      </c>
      <c r="S552">
        <f t="shared" si="987"/>
        <v>722.72230736887263</v>
      </c>
      <c r="T552">
        <f t="shared" si="988"/>
        <v>0.72272230736887266</v>
      </c>
    </row>
    <row r="553" spans="1:20" x14ac:dyDescent="0.25">
      <c r="A553" s="5">
        <v>44040</v>
      </c>
      <c r="B553">
        <v>2.775E-2</v>
      </c>
      <c r="C553">
        <v>2.98E-2</v>
      </c>
      <c r="D553">
        <v>2.75E-2</v>
      </c>
      <c r="E553">
        <v>2.9229999999999999E-2</v>
      </c>
      <c r="F553">
        <v>5699470.4000000004</v>
      </c>
      <c r="G553">
        <v>0</v>
      </c>
      <c r="L553" t="s">
        <v>8</v>
      </c>
      <c r="M553" t="s">
        <v>7</v>
      </c>
      <c r="N553" t="s">
        <v>8</v>
      </c>
      <c r="P553">
        <f t="shared" si="984"/>
        <v>0.50434782608695561</v>
      </c>
      <c r="Q553">
        <f t="shared" si="985"/>
        <v>2874515.5060869516</v>
      </c>
      <c r="R553">
        <f t="shared" si="986"/>
        <v>72869386.250648722</v>
      </c>
      <c r="S553">
        <f t="shared" si="987"/>
        <v>728.69386250648722</v>
      </c>
      <c r="T553">
        <f t="shared" si="988"/>
        <v>0.72869386250648727</v>
      </c>
    </row>
    <row r="554" spans="1:20" x14ac:dyDescent="0.25">
      <c r="A554" s="5">
        <v>44039</v>
      </c>
      <c r="B554">
        <v>2.9860000000000001E-2</v>
      </c>
      <c r="C554">
        <v>2.9950000000000001E-2</v>
      </c>
      <c r="D554">
        <v>2.6280000000000001E-2</v>
      </c>
      <c r="E554">
        <v>2.8119999999999999E-2</v>
      </c>
      <c r="F554">
        <v>12515044.199999999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2.7247956403259194E-3</v>
      </c>
      <c r="Q554">
        <f t="shared" si="985"/>
        <v>34100.937874646181</v>
      </c>
      <c r="R554">
        <f t="shared" si="986"/>
        <v>69994870.744561777</v>
      </c>
      <c r="S554">
        <f t="shared" si="987"/>
        <v>699.94870744561774</v>
      </c>
      <c r="T554">
        <f t="shared" si="988"/>
        <v>0.69994870744561777</v>
      </c>
    </row>
    <row r="555" spans="1:20" x14ac:dyDescent="0.25">
      <c r="A555" s="5">
        <v>44038</v>
      </c>
      <c r="B555">
        <v>3.2140000000000002E-2</v>
      </c>
      <c r="C555">
        <v>3.2469999999999999E-2</v>
      </c>
      <c r="D555">
        <v>2.9239999999999999E-2</v>
      </c>
      <c r="E555">
        <v>2.9960000000000001E-2</v>
      </c>
      <c r="F555">
        <v>7054233.7999999998</v>
      </c>
      <c r="G555">
        <v>0</v>
      </c>
      <c r="L555" t="s">
        <v>7</v>
      </c>
      <c r="M555" t="s">
        <v>8</v>
      </c>
      <c r="N555" t="s">
        <v>8</v>
      </c>
      <c r="P555">
        <f t="shared" si="984"/>
        <v>-0.55417956656346634</v>
      </c>
      <c r="Q555">
        <f t="shared" si="985"/>
        <v>-3909312.2297213539</v>
      </c>
      <c r="R555">
        <f t="shared" si="986"/>
        <v>69960769.806687132</v>
      </c>
      <c r="S555">
        <f t="shared" si="987"/>
        <v>699.60769806687131</v>
      </c>
      <c r="T555">
        <f t="shared" si="988"/>
        <v>0.69960769806687129</v>
      </c>
    </row>
    <row r="556" spans="1:20" x14ac:dyDescent="0.25">
      <c r="A556" s="5">
        <v>44037</v>
      </c>
      <c r="B556">
        <v>3.048E-2</v>
      </c>
      <c r="C556">
        <v>3.279E-2</v>
      </c>
      <c r="D556">
        <v>3.0450000000000001E-2</v>
      </c>
      <c r="E556">
        <v>3.2349999999999997E-2</v>
      </c>
      <c r="F556">
        <v>13463656.300000001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0.62393162393162116</v>
      </c>
      <c r="Q556">
        <f t="shared" si="985"/>
        <v>8400400.939316202</v>
      </c>
      <c r="R556">
        <f t="shared" si="986"/>
        <v>73870082.036408484</v>
      </c>
      <c r="S556">
        <f t="shared" si="987"/>
        <v>738.70082036408485</v>
      </c>
      <c r="T556">
        <f t="shared" si="988"/>
        <v>0.7387008203640848</v>
      </c>
    </row>
    <row r="557" spans="1:20" x14ac:dyDescent="0.25">
      <c r="A557" s="5">
        <v>44036</v>
      </c>
      <c r="B557">
        <v>3.0939999999999999E-2</v>
      </c>
      <c r="C557">
        <v>3.1960000000000002E-2</v>
      </c>
      <c r="D557">
        <v>3.0110000000000001E-2</v>
      </c>
      <c r="E557">
        <v>3.048E-2</v>
      </c>
      <c r="F557">
        <v>9430355.8000000007</v>
      </c>
      <c r="G557">
        <v>0</v>
      </c>
      <c r="L557" t="s">
        <v>7</v>
      </c>
      <c r="M557" t="s">
        <v>8</v>
      </c>
      <c r="N557" t="s">
        <v>8</v>
      </c>
      <c r="P557">
        <f t="shared" si="984"/>
        <v>-0.60000000000000153</v>
      </c>
      <c r="Q557">
        <f t="shared" si="985"/>
        <v>-5658213.4800000153</v>
      </c>
      <c r="R557">
        <f t="shared" si="986"/>
        <v>65469681.097092286</v>
      </c>
      <c r="S557">
        <f t="shared" si="987"/>
        <v>654.69681097092291</v>
      </c>
      <c r="T557">
        <f t="shared" si="988"/>
        <v>0.65469681097092292</v>
      </c>
    </row>
    <row r="558" spans="1:20" x14ac:dyDescent="0.25">
      <c r="A558" s="5">
        <v>44035</v>
      </c>
      <c r="B558">
        <v>3.2739999999999998E-2</v>
      </c>
      <c r="C558">
        <v>3.2750000000000001E-2</v>
      </c>
      <c r="D558">
        <v>3.0439999999999998E-2</v>
      </c>
      <c r="E558">
        <v>3.091E-2</v>
      </c>
      <c r="F558">
        <v>7946746.2000000002</v>
      </c>
      <c r="G558">
        <v>0</v>
      </c>
      <c r="L558" t="s">
        <v>7</v>
      </c>
      <c r="M558" t="s">
        <v>8</v>
      </c>
      <c r="N558" t="s">
        <v>8</v>
      </c>
      <c r="P558">
        <f t="shared" si="984"/>
        <v>-0.5930735930735922</v>
      </c>
      <c r="Q558">
        <f t="shared" si="985"/>
        <v>-4713005.3220779151</v>
      </c>
      <c r="R558">
        <f t="shared" si="986"/>
        <v>71127894.577092305</v>
      </c>
      <c r="S558">
        <f t="shared" si="987"/>
        <v>711.27894577092309</v>
      </c>
      <c r="T558">
        <f t="shared" si="988"/>
        <v>0.7112789457709231</v>
      </c>
    </row>
    <row r="559" spans="1:20" x14ac:dyDescent="0.25">
      <c r="A559" s="5">
        <v>44034</v>
      </c>
      <c r="B559">
        <v>3.075E-2</v>
      </c>
      <c r="C559">
        <v>3.372E-2</v>
      </c>
      <c r="D559">
        <v>3.024E-2</v>
      </c>
      <c r="E559">
        <v>3.2739999999999998E-2</v>
      </c>
      <c r="F559">
        <v>10457003.300000001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0.43678160919540138</v>
      </c>
      <c r="Q559">
        <f t="shared" si="985"/>
        <v>4567426.7287356229</v>
      </c>
      <c r="R559">
        <f t="shared" si="986"/>
        <v>75840899.89917022</v>
      </c>
      <c r="S559">
        <f t="shared" si="987"/>
        <v>758.40899899170222</v>
      </c>
      <c r="T559">
        <f t="shared" si="988"/>
        <v>0.75840899899170222</v>
      </c>
    </row>
    <row r="560" spans="1:20" x14ac:dyDescent="0.25">
      <c r="A560" s="5">
        <v>44033</v>
      </c>
      <c r="B560">
        <v>3.1060000000000001E-2</v>
      </c>
      <c r="C560">
        <v>3.125E-2</v>
      </c>
      <c r="D560">
        <v>0.03</v>
      </c>
      <c r="E560">
        <v>3.074E-2</v>
      </c>
      <c r="F560">
        <v>9165506.0999999996</v>
      </c>
      <c r="G560">
        <v>0</v>
      </c>
      <c r="L560" t="s">
        <v>7</v>
      </c>
      <c r="M560" t="s">
        <v>8</v>
      </c>
      <c r="N560" t="s">
        <v>8</v>
      </c>
      <c r="P560">
        <f t="shared" si="984"/>
        <v>0.18400000000000066</v>
      </c>
      <c r="Q560">
        <f t="shared" si="985"/>
        <v>1686453.122400006</v>
      </c>
      <c r="R560">
        <f t="shared" si="986"/>
        <v>71273473.170434594</v>
      </c>
      <c r="S560">
        <f t="shared" si="987"/>
        <v>712.7347317043459</v>
      </c>
      <c r="T560">
        <f t="shared" si="988"/>
        <v>0.71273473170434587</v>
      </c>
    </row>
    <row r="561" spans="1:104" x14ac:dyDescent="0.25">
      <c r="A561" s="5">
        <v>44032</v>
      </c>
      <c r="B561">
        <v>3.2050000000000002E-2</v>
      </c>
      <c r="C561">
        <v>3.2169999999999997E-2</v>
      </c>
      <c r="D561">
        <v>3.0880000000000001E-2</v>
      </c>
      <c r="E561">
        <v>3.1260000000000003E-2</v>
      </c>
      <c r="F561">
        <v>8980174.8000000007</v>
      </c>
      <c r="G561">
        <v>0</v>
      </c>
      <c r="L561" t="s">
        <v>7</v>
      </c>
      <c r="M561" t="s">
        <v>8</v>
      </c>
      <c r="N561" t="s">
        <v>8</v>
      </c>
      <c r="P561">
        <f t="shared" si="984"/>
        <v>-0.41085271317828986</v>
      </c>
      <c r="Q561">
        <f t="shared" si="985"/>
        <v>-3689529.1813953067</v>
      </c>
      <c r="R561">
        <f t="shared" si="986"/>
        <v>69587020.048034593</v>
      </c>
      <c r="S561">
        <f t="shared" si="987"/>
        <v>695.87020048034594</v>
      </c>
      <c r="T561">
        <f t="shared" si="988"/>
        <v>0.69587020048034598</v>
      </c>
      <c r="CZ561" t="s">
        <v>7</v>
      </c>
    </row>
    <row r="562" spans="1:104" x14ac:dyDescent="0.25">
      <c r="A562" s="5">
        <v>44031</v>
      </c>
      <c r="B562">
        <v>3.0030000000000001E-2</v>
      </c>
      <c r="C562">
        <v>3.381E-2</v>
      </c>
      <c r="D562">
        <v>3.0030000000000001E-2</v>
      </c>
      <c r="E562">
        <v>3.2050000000000002E-2</v>
      </c>
      <c r="F562">
        <v>19743537.5</v>
      </c>
      <c r="G562">
        <v>0</v>
      </c>
      <c r="L562" t="s">
        <v>8</v>
      </c>
      <c r="M562" t="s">
        <v>8</v>
      </c>
      <c r="N562" t="s">
        <v>8</v>
      </c>
      <c r="P562">
        <f t="shared" si="984"/>
        <v>6.8783068783069681E-2</v>
      </c>
      <c r="Q562">
        <f t="shared" si="985"/>
        <v>1358021.0978836156</v>
      </c>
      <c r="R562">
        <f t="shared" si="986"/>
        <v>73276549.229429901</v>
      </c>
      <c r="S562">
        <f t="shared" si="987"/>
        <v>732.76549229429895</v>
      </c>
      <c r="T562">
        <f t="shared" si="988"/>
        <v>0.73276549229429899</v>
      </c>
      <c r="CZ562" t="s">
        <v>7</v>
      </c>
    </row>
    <row r="563" spans="1:104" x14ac:dyDescent="0.25">
      <c r="A563" s="5">
        <v>44030</v>
      </c>
      <c r="B563">
        <v>2.809E-2</v>
      </c>
      <c r="C563">
        <v>3.0499999999999999E-2</v>
      </c>
      <c r="D563">
        <v>2.7859999999999999E-2</v>
      </c>
      <c r="E563">
        <v>3.0030000000000001E-2</v>
      </c>
      <c r="F563">
        <v>15045372.6</v>
      </c>
      <c r="G563">
        <v>0</v>
      </c>
      <c r="L563" t="s">
        <v>8</v>
      </c>
      <c r="M563" t="s">
        <v>8</v>
      </c>
      <c r="N563" t="s">
        <v>8</v>
      </c>
      <c r="P563">
        <f t="shared" si="984"/>
        <v>0.64393939393939525</v>
      </c>
      <c r="Q563">
        <f t="shared" si="985"/>
        <v>9688308.1136363838</v>
      </c>
      <c r="R563">
        <f t="shared" si="986"/>
        <v>71918528.131546289</v>
      </c>
      <c r="S563">
        <f t="shared" si="987"/>
        <v>719.18528131546293</v>
      </c>
      <c r="T563">
        <f t="shared" si="988"/>
        <v>0.71918528131546289</v>
      </c>
      <c r="CZ563" t="s">
        <v>7</v>
      </c>
    </row>
    <row r="564" spans="1:104" x14ac:dyDescent="0.25">
      <c r="A564" s="5">
        <v>44029</v>
      </c>
      <c r="B564">
        <v>2.768E-2</v>
      </c>
      <c r="C564">
        <v>2.8340000000000001E-2</v>
      </c>
      <c r="D564">
        <v>2.7109999999999999E-2</v>
      </c>
      <c r="E564">
        <v>2.8250000000000001E-2</v>
      </c>
      <c r="F564">
        <v>4145810.7</v>
      </c>
      <c r="G564">
        <v>0</v>
      </c>
      <c r="L564" t="s">
        <v>8</v>
      </c>
      <c r="M564" t="s">
        <v>8</v>
      </c>
      <c r="N564" t="s">
        <v>8</v>
      </c>
      <c r="P564">
        <f t="shared" si="984"/>
        <v>0.85365853658536639</v>
      </c>
      <c r="Q564">
        <f t="shared" si="985"/>
        <v>3539106.6951219537</v>
      </c>
      <c r="R564">
        <f t="shared" si="986"/>
        <v>62230220.017909907</v>
      </c>
      <c r="S564">
        <f t="shared" si="987"/>
        <v>622.30220017909903</v>
      </c>
      <c r="T564">
        <f t="shared" si="988"/>
        <v>0.62230220017909899</v>
      </c>
    </row>
    <row r="565" spans="1:104" x14ac:dyDescent="0.25">
      <c r="A565" s="5">
        <v>44028</v>
      </c>
      <c r="B565">
        <v>2.8899999999999999E-2</v>
      </c>
      <c r="C565">
        <v>2.896E-2</v>
      </c>
      <c r="D565">
        <v>2.639E-2</v>
      </c>
      <c r="E565">
        <v>2.751E-2</v>
      </c>
      <c r="F565">
        <v>7515152.7999999998</v>
      </c>
      <c r="G565">
        <v>0</v>
      </c>
      <c r="L565" t="s">
        <v>7</v>
      </c>
      <c r="M565" t="s">
        <v>8</v>
      </c>
      <c r="N565" t="s">
        <v>8</v>
      </c>
      <c r="P565">
        <f t="shared" si="984"/>
        <v>-0.1284046692607006</v>
      </c>
      <c r="Q565">
        <f t="shared" si="985"/>
        <v>-964980.70972762804</v>
      </c>
      <c r="R565">
        <f t="shared" si="986"/>
        <v>58691113.322787955</v>
      </c>
      <c r="S565">
        <f t="shared" si="987"/>
        <v>586.91113322787953</v>
      </c>
      <c r="T565">
        <f t="shared" si="988"/>
        <v>0.58691113322787958</v>
      </c>
    </row>
    <row r="566" spans="1:104" x14ac:dyDescent="0.25">
      <c r="A566" s="5">
        <v>44027</v>
      </c>
      <c r="B566">
        <v>2.852E-2</v>
      </c>
      <c r="C566">
        <v>3.0710000000000001E-2</v>
      </c>
      <c r="D566">
        <v>2.828E-2</v>
      </c>
      <c r="E566">
        <v>2.894E-2</v>
      </c>
      <c r="F566">
        <v>7322026.4000000004</v>
      </c>
      <c r="G566">
        <v>0</v>
      </c>
      <c r="L566" t="s">
        <v>8</v>
      </c>
      <c r="M566" t="s">
        <v>8</v>
      </c>
      <c r="N566" t="s">
        <v>8</v>
      </c>
      <c r="P566">
        <f t="shared" si="984"/>
        <v>-0.45679012345678977</v>
      </c>
      <c r="Q566">
        <f t="shared" si="985"/>
        <v>-3344629.3432098739</v>
      </c>
      <c r="R566">
        <f t="shared" si="986"/>
        <v>59656094.032515585</v>
      </c>
      <c r="S566">
        <f t="shared" si="987"/>
        <v>596.5609403251558</v>
      </c>
      <c r="T566">
        <f t="shared" si="988"/>
        <v>0.59656094032515583</v>
      </c>
    </row>
    <row r="567" spans="1:104" x14ac:dyDescent="0.25">
      <c r="A567" s="5">
        <v>44026</v>
      </c>
      <c r="B567">
        <v>2.869E-2</v>
      </c>
      <c r="C567">
        <v>2.869E-2</v>
      </c>
      <c r="D567">
        <v>2.7369999999999998E-2</v>
      </c>
      <c r="E567">
        <v>2.8660000000000001E-2</v>
      </c>
      <c r="F567">
        <v>5591202.7999999998</v>
      </c>
      <c r="G567">
        <v>0</v>
      </c>
      <c r="L567" t="s">
        <v>7</v>
      </c>
      <c r="M567" t="s">
        <v>8</v>
      </c>
      <c r="N567" t="s">
        <v>8</v>
      </c>
      <c r="P567">
        <f t="shared" si="984"/>
        <v>0.95454545454545647</v>
      </c>
      <c r="Q567">
        <f t="shared" si="985"/>
        <v>5337057.218181829</v>
      </c>
      <c r="R567">
        <f t="shared" si="986"/>
        <v>63000723.375725456</v>
      </c>
      <c r="S567">
        <f t="shared" si="987"/>
        <v>630.00723375725454</v>
      </c>
      <c r="T567">
        <f t="shared" si="988"/>
        <v>0.63000723375725454</v>
      </c>
    </row>
    <row r="568" spans="1:104" x14ac:dyDescent="0.25">
      <c r="A568" s="5">
        <v>44025</v>
      </c>
      <c r="B568">
        <v>3.015E-2</v>
      </c>
      <c r="C568">
        <v>3.0290000000000001E-2</v>
      </c>
      <c r="D568">
        <v>2.8219999999999999E-2</v>
      </c>
      <c r="E568">
        <v>2.861E-2</v>
      </c>
      <c r="F568">
        <v>10316123.1</v>
      </c>
      <c r="G568">
        <v>0</v>
      </c>
      <c r="L568" t="s">
        <v>7</v>
      </c>
      <c r="M568" t="s">
        <v>8</v>
      </c>
      <c r="N568" t="s">
        <v>8</v>
      </c>
      <c r="P568">
        <f t="shared" si="984"/>
        <v>-0.62318840579710044</v>
      </c>
      <c r="Q568">
        <f t="shared" si="985"/>
        <v>-6428888.3086956413</v>
      </c>
      <c r="R568">
        <f t="shared" si="986"/>
        <v>57663666.157543629</v>
      </c>
      <c r="S568">
        <f t="shared" si="987"/>
        <v>576.63666157543628</v>
      </c>
      <c r="T568">
        <f t="shared" si="988"/>
        <v>0.57663666157543625</v>
      </c>
    </row>
    <row r="569" spans="1:104" x14ac:dyDescent="0.25">
      <c r="A569" s="5">
        <v>44024</v>
      </c>
      <c r="B569">
        <v>2.8799999999999999E-2</v>
      </c>
      <c r="C569">
        <v>3.1019999999999999E-2</v>
      </c>
      <c r="D569">
        <v>2.852E-2</v>
      </c>
      <c r="E569">
        <v>3.0280000000000001E-2</v>
      </c>
      <c r="F569">
        <v>22241625.199999999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0.40800000000000164</v>
      </c>
      <c r="Q569">
        <f t="shared" si="985"/>
        <v>9074583.0816000365</v>
      </c>
      <c r="R569">
        <f t="shared" si="986"/>
        <v>64092554.466239274</v>
      </c>
      <c r="S569">
        <f t="shared" si="987"/>
        <v>640.92554466239278</v>
      </c>
      <c r="T569">
        <f t="shared" si="988"/>
        <v>0.64092554466239282</v>
      </c>
    </row>
    <row r="570" spans="1:104" x14ac:dyDescent="0.25">
      <c r="A570" s="5">
        <v>44023</v>
      </c>
      <c r="B570">
        <v>2.7799999999999998E-2</v>
      </c>
      <c r="C570">
        <v>2.879E-2</v>
      </c>
      <c r="D570">
        <v>2.7560000000000001E-2</v>
      </c>
      <c r="E570">
        <v>2.8639999999999999E-2</v>
      </c>
      <c r="F570">
        <v>7211000.9000000004</v>
      </c>
      <c r="G570">
        <v>0</v>
      </c>
      <c r="L570" t="s">
        <v>7</v>
      </c>
      <c r="M570" t="s">
        <v>7</v>
      </c>
      <c r="N570" t="s">
        <v>8</v>
      </c>
      <c r="P570">
        <f t="shared" si="984"/>
        <v>0.7560975609756081</v>
      </c>
      <c r="Q570">
        <f t="shared" si="985"/>
        <v>5452220.1926829154</v>
      </c>
      <c r="R570">
        <f t="shared" si="986"/>
        <v>55017971.384639241</v>
      </c>
      <c r="S570">
        <f t="shared" si="987"/>
        <v>550.17971384639236</v>
      </c>
      <c r="T570">
        <f t="shared" si="988"/>
        <v>0.55017971384639242</v>
      </c>
    </row>
    <row r="571" spans="1:104" x14ac:dyDescent="0.25">
      <c r="A571" s="5">
        <v>44022</v>
      </c>
      <c r="B571">
        <v>2.7369999999999998E-2</v>
      </c>
      <c r="C571">
        <v>2.8049999999999999E-2</v>
      </c>
      <c r="D571">
        <v>2.6960000000000001E-2</v>
      </c>
      <c r="E571">
        <v>2.7779999999999999E-2</v>
      </c>
      <c r="F571">
        <v>8177442.0999999996</v>
      </c>
      <c r="G571">
        <v>0</v>
      </c>
      <c r="L571" t="s">
        <v>7</v>
      </c>
      <c r="M571" t="s">
        <v>7</v>
      </c>
      <c r="N571" t="s">
        <v>8</v>
      </c>
      <c r="P571">
        <f t="shared" si="984"/>
        <v>0.50458715596330261</v>
      </c>
      <c r="Q571">
        <f t="shared" si="985"/>
        <v>4126232.2522935765</v>
      </c>
      <c r="R571">
        <f t="shared" si="986"/>
        <v>49565751.191956326</v>
      </c>
      <c r="S571">
        <f t="shared" si="987"/>
        <v>495.65751191956326</v>
      </c>
      <c r="T571">
        <f t="shared" si="988"/>
        <v>0.49565751191956325</v>
      </c>
    </row>
    <row r="572" spans="1:104" x14ac:dyDescent="0.25">
      <c r="A572" s="5">
        <v>44021</v>
      </c>
      <c r="B572">
        <v>2.8340000000000001E-2</v>
      </c>
      <c r="C572">
        <v>2.9700000000000001E-2</v>
      </c>
      <c r="D572">
        <v>2.6669999999999999E-2</v>
      </c>
      <c r="E572">
        <v>2.7349999999999999E-2</v>
      </c>
      <c r="F572">
        <v>10941899.300000001</v>
      </c>
      <c r="G572">
        <v>0</v>
      </c>
      <c r="L572" t="s">
        <v>8</v>
      </c>
      <c r="M572" t="s">
        <v>7</v>
      </c>
      <c r="N572" t="s">
        <v>8</v>
      </c>
      <c r="P572">
        <f t="shared" si="984"/>
        <v>-0.55115511551155139</v>
      </c>
      <c r="Q572">
        <f t="shared" si="985"/>
        <v>-6030683.7726072641</v>
      </c>
      <c r="R572">
        <f t="shared" si="986"/>
        <v>45439518.939662747</v>
      </c>
      <c r="S572">
        <f t="shared" si="987"/>
        <v>454.39518939662747</v>
      </c>
      <c r="T572">
        <f t="shared" si="988"/>
        <v>0.45439518939662749</v>
      </c>
    </row>
    <row r="573" spans="1:104" x14ac:dyDescent="0.25">
      <c r="A573" s="5">
        <v>44020</v>
      </c>
      <c r="B573">
        <v>2.8139999999999998E-2</v>
      </c>
      <c r="C573">
        <v>2.8989999999999998E-2</v>
      </c>
      <c r="D573">
        <v>2.7279999999999999E-2</v>
      </c>
      <c r="E573">
        <v>2.8400000000000002E-2</v>
      </c>
      <c r="F573">
        <v>9663542</v>
      </c>
      <c r="G573">
        <v>0</v>
      </c>
      <c r="L573" t="s">
        <v>8</v>
      </c>
      <c r="M573" t="s">
        <v>7</v>
      </c>
      <c r="N573" t="s">
        <v>8</v>
      </c>
      <c r="P573">
        <f t="shared" si="984"/>
        <v>0.3099415204678399</v>
      </c>
      <c r="Q573">
        <f t="shared" si="985"/>
        <v>2995132.9005848304</v>
      </c>
      <c r="R573">
        <f t="shared" si="986"/>
        <v>51470202.712270014</v>
      </c>
      <c r="S573">
        <f t="shared" si="987"/>
        <v>514.70202712270009</v>
      </c>
      <c r="T573">
        <f t="shared" si="988"/>
        <v>0.51470202712270008</v>
      </c>
    </row>
    <row r="574" spans="1:104" x14ac:dyDescent="0.25">
      <c r="A574" s="5">
        <v>44019</v>
      </c>
      <c r="B574">
        <v>2.7089999999999999E-2</v>
      </c>
      <c r="C574">
        <v>2.826E-2</v>
      </c>
      <c r="D574">
        <v>2.648E-2</v>
      </c>
      <c r="E574">
        <v>2.801E-2</v>
      </c>
      <c r="F574">
        <v>9395834.9000000004</v>
      </c>
      <c r="G574">
        <v>0</v>
      </c>
      <c r="L574" t="s">
        <v>8</v>
      </c>
      <c r="M574" t="s">
        <v>7</v>
      </c>
      <c r="N574" t="s">
        <v>8</v>
      </c>
      <c r="P574">
        <f t="shared" si="984"/>
        <v>0.71910112359550538</v>
      </c>
      <c r="Q574">
        <f t="shared" si="985"/>
        <v>6756555.4337078631</v>
      </c>
      <c r="R574">
        <f t="shared" si="986"/>
        <v>48475069.811685182</v>
      </c>
      <c r="S574">
        <f t="shared" si="987"/>
        <v>484.75069811685182</v>
      </c>
      <c r="T574">
        <f t="shared" si="988"/>
        <v>0.48475069811685184</v>
      </c>
    </row>
    <row r="575" spans="1:104" x14ac:dyDescent="0.25">
      <c r="A575" s="5">
        <v>44018</v>
      </c>
      <c r="B575">
        <v>2.6040000000000001E-2</v>
      </c>
      <c r="C575">
        <v>2.7269999999999999E-2</v>
      </c>
      <c r="D575">
        <v>2.597E-2</v>
      </c>
      <c r="E575">
        <v>2.7089999999999999E-2</v>
      </c>
      <c r="F575">
        <v>4152339.6</v>
      </c>
      <c r="G575">
        <v>0</v>
      </c>
      <c r="L575" t="s">
        <v>8</v>
      </c>
      <c r="M575" t="s">
        <v>7</v>
      </c>
      <c r="N575" t="s">
        <v>8</v>
      </c>
      <c r="P575">
        <f t="shared" si="984"/>
        <v>0.72307692307692351</v>
      </c>
      <c r="Q575">
        <f t="shared" si="985"/>
        <v>3002460.9415384633</v>
      </c>
      <c r="R575">
        <f t="shared" si="986"/>
        <v>41718514.377977319</v>
      </c>
      <c r="S575">
        <f t="shared" si="987"/>
        <v>417.18514377977317</v>
      </c>
      <c r="T575">
        <f t="shared" si="988"/>
        <v>0.41718514377977317</v>
      </c>
    </row>
    <row r="576" spans="1:104" x14ac:dyDescent="0.25">
      <c r="A576" s="5">
        <v>44017</v>
      </c>
      <c r="B576">
        <v>2.6749999999999999E-2</v>
      </c>
      <c r="C576">
        <v>2.6929999999999999E-2</v>
      </c>
      <c r="D576">
        <v>2.555E-2</v>
      </c>
      <c r="E576">
        <v>2.6120000000000001E-2</v>
      </c>
      <c r="F576">
        <v>3329955.7</v>
      </c>
      <c r="G576">
        <v>0</v>
      </c>
      <c r="L576" t="s">
        <v>7</v>
      </c>
      <c r="M576" t="s">
        <v>7</v>
      </c>
      <c r="N576" t="s">
        <v>8</v>
      </c>
      <c r="P576">
        <f t="shared" si="984"/>
        <v>-0.17391304347825889</v>
      </c>
      <c r="Q576">
        <f t="shared" si="985"/>
        <v>-579122.73043477605</v>
      </c>
      <c r="R576">
        <f t="shared" si="986"/>
        <v>38716053.436438859</v>
      </c>
      <c r="S576">
        <f t="shared" si="987"/>
        <v>387.16053436438858</v>
      </c>
      <c r="T576">
        <f t="shared" si="988"/>
        <v>0.38716053436438858</v>
      </c>
    </row>
    <row r="577" spans="1:20" x14ac:dyDescent="0.25">
      <c r="A577" s="5">
        <v>44016</v>
      </c>
      <c r="B577">
        <v>2.6689999999999998E-2</v>
      </c>
      <c r="C577">
        <v>2.691E-2</v>
      </c>
      <c r="D577">
        <v>2.6259999999999999E-2</v>
      </c>
      <c r="E577">
        <v>2.6749999999999999E-2</v>
      </c>
      <c r="F577">
        <v>2776089.9</v>
      </c>
      <c r="G577">
        <v>0</v>
      </c>
      <c r="L577" t="s">
        <v>7</v>
      </c>
      <c r="M577" t="s">
        <v>7</v>
      </c>
      <c r="N577" t="s">
        <v>8</v>
      </c>
      <c r="P577">
        <f t="shared" si="984"/>
        <v>0.50769230769230733</v>
      </c>
      <c r="Q577">
        <f t="shared" si="985"/>
        <v>1409399.4876923067</v>
      </c>
      <c r="R577">
        <f t="shared" si="986"/>
        <v>39295176.166873634</v>
      </c>
      <c r="S577">
        <f t="shared" si="987"/>
        <v>392.95176166873637</v>
      </c>
      <c r="T577">
        <f t="shared" si="988"/>
        <v>0.39295176166873635</v>
      </c>
    </row>
    <row r="578" spans="1:20" x14ac:dyDescent="0.25">
      <c r="A578" s="5">
        <v>44015</v>
      </c>
      <c r="B578">
        <v>2.623E-2</v>
      </c>
      <c r="C578">
        <v>2.7150000000000001E-2</v>
      </c>
      <c r="D578">
        <v>2.623E-2</v>
      </c>
      <c r="E578">
        <v>2.6689999999999998E-2</v>
      </c>
      <c r="F578">
        <v>4165300.4</v>
      </c>
      <c r="G578">
        <v>0</v>
      </c>
      <c r="L578" t="s">
        <v>7</v>
      </c>
      <c r="M578" t="s">
        <v>7</v>
      </c>
      <c r="N578" t="s">
        <v>8</v>
      </c>
      <c r="P578">
        <f t="shared" si="984"/>
        <v>-3.7711379912539255E-15</v>
      </c>
      <c r="Q578">
        <f t="shared" si="985"/>
        <v>-1.5707922583425173E-8</v>
      </c>
      <c r="R578">
        <f t="shared" si="986"/>
        <v>37885776.67918133</v>
      </c>
      <c r="S578">
        <f t="shared" si="987"/>
        <v>378.85776679181328</v>
      </c>
      <c r="T578">
        <f t="shared" si="988"/>
        <v>0.37885776679181327</v>
      </c>
    </row>
    <row r="579" spans="1:20" x14ac:dyDescent="0.25">
      <c r="A579" s="5">
        <v>44014</v>
      </c>
      <c r="B579">
        <v>2.6579999999999999E-2</v>
      </c>
      <c r="C579">
        <v>2.7230000000000001E-2</v>
      </c>
      <c r="D579">
        <v>2.529E-2</v>
      </c>
      <c r="E579">
        <v>2.623E-2</v>
      </c>
      <c r="F579">
        <v>4700514.5</v>
      </c>
      <c r="G579">
        <v>0</v>
      </c>
      <c r="L579" t="s">
        <v>7</v>
      </c>
      <c r="M579" t="s">
        <v>7</v>
      </c>
      <c r="N579" t="s">
        <v>8</v>
      </c>
      <c r="P579">
        <f t="shared" si="984"/>
        <v>-3.0927835051546906E-2</v>
      </c>
      <c r="Q579">
        <f t="shared" si="985"/>
        <v>-145376.7371134045</v>
      </c>
      <c r="R579">
        <f t="shared" si="986"/>
        <v>37885776.679181345</v>
      </c>
      <c r="S579">
        <f t="shared" si="987"/>
        <v>378.85776679181345</v>
      </c>
      <c r="T579">
        <f t="shared" si="988"/>
        <v>0.37885776679181343</v>
      </c>
    </row>
    <row r="580" spans="1:20" x14ac:dyDescent="0.25">
      <c r="A580" s="5">
        <v>44013</v>
      </c>
      <c r="B580">
        <v>2.69E-2</v>
      </c>
      <c r="C580">
        <v>2.7019999999999999E-2</v>
      </c>
      <c r="D580">
        <v>2.596E-2</v>
      </c>
      <c r="E580">
        <v>2.6579999999999999E-2</v>
      </c>
      <c r="F580">
        <v>3081589.2</v>
      </c>
      <c r="G580">
        <v>0</v>
      </c>
      <c r="L580" t="s">
        <v>8</v>
      </c>
      <c r="M580" t="s">
        <v>7</v>
      </c>
      <c r="N580" t="s">
        <v>8</v>
      </c>
      <c r="P580">
        <f t="shared" si="984"/>
        <v>0.16981132075471686</v>
      </c>
      <c r="Q580">
        <f t="shared" si="985"/>
        <v>523288.73207547137</v>
      </c>
      <c r="R580">
        <f t="shared" si="986"/>
        <v>38031153.416294746</v>
      </c>
      <c r="S580">
        <f t="shared" si="987"/>
        <v>380.31153416294745</v>
      </c>
      <c r="T580">
        <f t="shared" si="988"/>
        <v>0.38031153416294744</v>
      </c>
    </row>
    <row r="581" spans="1:20" x14ac:dyDescent="0.25">
      <c r="A581" s="5">
        <v>44012</v>
      </c>
      <c r="B581">
        <v>2.6710000000000001E-2</v>
      </c>
      <c r="C581">
        <v>2.7269999999999999E-2</v>
      </c>
      <c r="D581">
        <v>2.615E-2</v>
      </c>
      <c r="E581">
        <v>2.6929999999999999E-2</v>
      </c>
      <c r="F581">
        <v>2634380.7999999998</v>
      </c>
      <c r="G581">
        <v>0</v>
      </c>
      <c r="L581" t="s">
        <v>8</v>
      </c>
      <c r="M581" t="s">
        <v>7</v>
      </c>
      <c r="N581" t="s">
        <v>8</v>
      </c>
      <c r="P581">
        <f t="shared" si="984"/>
        <v>0.39285714285714252</v>
      </c>
      <c r="Q581">
        <f t="shared" si="985"/>
        <v>1034935.3142857134</v>
      </c>
      <c r="R581">
        <f t="shared" si="986"/>
        <v>37507864.684219278</v>
      </c>
      <c r="S581">
        <f t="shared" si="987"/>
        <v>375.07864684219277</v>
      </c>
      <c r="T581">
        <f t="shared" si="988"/>
        <v>0.37507864684219278</v>
      </c>
    </row>
    <row r="582" spans="1:20" x14ac:dyDescent="0.25">
      <c r="A582" s="5">
        <v>44011</v>
      </c>
      <c r="B582">
        <v>2.5700000000000001E-2</v>
      </c>
      <c r="C582">
        <v>2.699E-2</v>
      </c>
      <c r="D582">
        <v>2.555E-2</v>
      </c>
      <c r="E582">
        <v>2.6769999999999999E-2</v>
      </c>
      <c r="F582">
        <v>4114276.7</v>
      </c>
      <c r="G582">
        <v>0</v>
      </c>
      <c r="L582" t="s">
        <v>8</v>
      </c>
      <c r="M582" t="s">
        <v>7</v>
      </c>
      <c r="N582" t="s">
        <v>8</v>
      </c>
      <c r="P582">
        <f t="shared" ref="P582:P645" si="989">IF(C582=D582,0,((E582-D582)-(C582-E582))/(C582-D582))</f>
        <v>0.69444444444444253</v>
      </c>
      <c r="Q582">
        <f t="shared" ref="Q582:Q645" si="990">F582*P582</f>
        <v>2857136.5972222146</v>
      </c>
      <c r="R582">
        <f t="shared" ref="R582:R645" si="991">R583+Q582</f>
        <v>36472929.369933568</v>
      </c>
      <c r="S582">
        <f t="shared" ref="S582:S645" si="992">R582/100000</f>
        <v>364.7292936993357</v>
      </c>
      <c r="T582">
        <f t="shared" ref="T582:T645" si="993">S582/1000</f>
        <v>0.36472929369933571</v>
      </c>
    </row>
    <row r="583" spans="1:20" x14ac:dyDescent="0.25">
      <c r="A583" s="5">
        <v>44010</v>
      </c>
      <c r="B583">
        <v>2.5190000000000001E-2</v>
      </c>
      <c r="C583">
        <v>2.6169999999999999E-2</v>
      </c>
      <c r="D583">
        <v>2.4539999999999999E-2</v>
      </c>
      <c r="E583">
        <v>2.5749999999999999E-2</v>
      </c>
      <c r="F583">
        <v>2691541.3</v>
      </c>
      <c r="G583">
        <v>0</v>
      </c>
      <c r="L583" t="s">
        <v>7</v>
      </c>
      <c r="M583" t="s">
        <v>7</v>
      </c>
      <c r="N583" t="s">
        <v>8</v>
      </c>
      <c r="P583">
        <f t="shared" si="989"/>
        <v>0.4846625766871161</v>
      </c>
      <c r="Q583">
        <f t="shared" si="990"/>
        <v>1304489.3417177901</v>
      </c>
      <c r="R583">
        <f t="shared" si="991"/>
        <v>33615792.772711352</v>
      </c>
      <c r="S583">
        <f t="shared" si="992"/>
        <v>336.15792772711353</v>
      </c>
      <c r="T583">
        <f t="shared" si="993"/>
        <v>0.3361579277271135</v>
      </c>
    </row>
    <row r="584" spans="1:20" x14ac:dyDescent="0.25">
      <c r="A584" s="5">
        <v>44009</v>
      </c>
      <c r="B584">
        <v>2.6880000000000001E-2</v>
      </c>
      <c r="C584">
        <v>2.69E-2</v>
      </c>
      <c r="D584">
        <v>2.477E-2</v>
      </c>
      <c r="E584">
        <v>2.5319999999999999E-2</v>
      </c>
      <c r="F584">
        <v>2643580.4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-0.48356807511737238</v>
      </c>
      <c r="Q584">
        <f t="shared" si="990"/>
        <v>-1278351.0854460134</v>
      </c>
      <c r="R584">
        <f t="shared" si="991"/>
        <v>32311303.430993564</v>
      </c>
      <c r="S584">
        <f t="shared" si="992"/>
        <v>323.11303430993564</v>
      </c>
      <c r="T584">
        <f t="shared" si="993"/>
        <v>0.32311303430993565</v>
      </c>
    </row>
    <row r="585" spans="1:20" x14ac:dyDescent="0.25">
      <c r="A585" s="5">
        <v>44008</v>
      </c>
      <c r="B585">
        <v>2.776E-2</v>
      </c>
      <c r="C585">
        <v>2.828E-2</v>
      </c>
      <c r="D585">
        <v>2.613E-2</v>
      </c>
      <c r="E585">
        <v>2.6880000000000001E-2</v>
      </c>
      <c r="F585">
        <v>5049143.5999999996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-0.30232558139534793</v>
      </c>
      <c r="Q585">
        <f t="shared" si="990"/>
        <v>-1526485.2744185999</v>
      </c>
      <c r="R585">
        <f t="shared" si="991"/>
        <v>33589654.516439579</v>
      </c>
      <c r="S585">
        <f t="shared" si="992"/>
        <v>335.89654516439577</v>
      </c>
      <c r="T585">
        <f t="shared" si="993"/>
        <v>0.33589654516439577</v>
      </c>
    </row>
    <row r="586" spans="1:20" x14ac:dyDescent="0.25">
      <c r="A586" s="5">
        <v>44007</v>
      </c>
      <c r="B586">
        <v>2.9000000000000001E-2</v>
      </c>
      <c r="C586">
        <v>2.9059999999999999E-2</v>
      </c>
      <c r="D586">
        <v>2.63E-2</v>
      </c>
      <c r="E586">
        <v>2.7660000000000001E-2</v>
      </c>
      <c r="F586">
        <v>6768462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-1.4492753623187823E-2</v>
      </c>
      <c r="Q586">
        <f t="shared" si="990"/>
        <v>-98093.652173909097</v>
      </c>
      <c r="R586">
        <f t="shared" si="991"/>
        <v>35116139.790858179</v>
      </c>
      <c r="S586">
        <f t="shared" si="992"/>
        <v>351.16139790858182</v>
      </c>
      <c r="T586">
        <f t="shared" si="993"/>
        <v>0.35116139790858181</v>
      </c>
    </row>
    <row r="587" spans="1:20" x14ac:dyDescent="0.25">
      <c r="A587" s="5">
        <v>44006</v>
      </c>
      <c r="B587">
        <v>3.0280000000000001E-2</v>
      </c>
      <c r="C587">
        <v>3.083E-2</v>
      </c>
      <c r="D587">
        <v>2.8000000000000001E-2</v>
      </c>
      <c r="E587">
        <v>2.9000000000000001E-2</v>
      </c>
      <c r="F587">
        <v>6428925.2999999998</v>
      </c>
      <c r="G587">
        <v>0</v>
      </c>
      <c r="L587" t="s">
        <v>7</v>
      </c>
      <c r="M587" t="s">
        <v>7</v>
      </c>
      <c r="N587" t="s">
        <v>8</v>
      </c>
      <c r="P587">
        <f t="shared" si="989"/>
        <v>-0.29328621908127123</v>
      </c>
      <c r="Q587">
        <f t="shared" si="990"/>
        <v>-1885515.1939929272</v>
      </c>
      <c r="R587">
        <f t="shared" si="991"/>
        <v>35214233.443032086</v>
      </c>
      <c r="S587">
        <f t="shared" si="992"/>
        <v>352.14233443032089</v>
      </c>
      <c r="T587">
        <f t="shared" si="993"/>
        <v>0.35214233443032089</v>
      </c>
    </row>
    <row r="588" spans="1:20" x14ac:dyDescent="0.25">
      <c r="A588" s="5">
        <v>44005</v>
      </c>
      <c r="B588">
        <v>3.006E-2</v>
      </c>
      <c r="C588">
        <v>3.0620000000000001E-2</v>
      </c>
      <c r="D588">
        <v>2.9530000000000001E-2</v>
      </c>
      <c r="E588">
        <v>3.0280000000000001E-2</v>
      </c>
      <c r="F588">
        <v>4812046.2</v>
      </c>
      <c r="G588">
        <v>0</v>
      </c>
      <c r="L588" t="s">
        <v>7</v>
      </c>
      <c r="M588" t="s">
        <v>7</v>
      </c>
      <c r="N588" t="s">
        <v>8</v>
      </c>
      <c r="P588">
        <f t="shared" si="989"/>
        <v>0.37614678899082604</v>
      </c>
      <c r="Q588">
        <f t="shared" si="990"/>
        <v>1810035.7266055064</v>
      </c>
      <c r="R588">
        <f t="shared" si="991"/>
        <v>37099748.637025014</v>
      </c>
      <c r="S588">
        <f t="shared" si="992"/>
        <v>370.99748637025016</v>
      </c>
      <c r="T588">
        <f t="shared" si="993"/>
        <v>0.37099748637025015</v>
      </c>
    </row>
    <row r="589" spans="1:20" x14ac:dyDescent="0.25">
      <c r="A589" s="5">
        <v>44004</v>
      </c>
      <c r="B589">
        <v>2.9610000000000001E-2</v>
      </c>
      <c r="C589">
        <v>3.1220000000000001E-2</v>
      </c>
      <c r="D589">
        <v>2.9319999999999999E-2</v>
      </c>
      <c r="E589">
        <v>2.9950000000000001E-2</v>
      </c>
      <c r="F589">
        <v>7888150</v>
      </c>
      <c r="G589">
        <v>0</v>
      </c>
      <c r="L589" t="s">
        <v>7</v>
      </c>
      <c r="M589" t="s">
        <v>7</v>
      </c>
      <c r="N589" t="s">
        <v>8</v>
      </c>
      <c r="P589">
        <f t="shared" si="989"/>
        <v>-0.33684210526315655</v>
      </c>
      <c r="Q589">
        <f t="shared" si="990"/>
        <v>-2657061.0526315682</v>
      </c>
      <c r="R589">
        <f t="shared" si="991"/>
        <v>35289712.910419509</v>
      </c>
      <c r="S589">
        <f t="shared" si="992"/>
        <v>352.89712910419507</v>
      </c>
      <c r="T589">
        <f t="shared" si="993"/>
        <v>0.35289712910419507</v>
      </c>
    </row>
    <row r="590" spans="1:20" x14ac:dyDescent="0.25">
      <c r="A590" s="5">
        <v>44003</v>
      </c>
      <c r="B590">
        <v>2.998E-2</v>
      </c>
      <c r="C590">
        <v>3.1530000000000002E-2</v>
      </c>
      <c r="D590">
        <v>2.9499999999999998E-2</v>
      </c>
      <c r="E590">
        <v>2.9749999999999999E-2</v>
      </c>
      <c r="F590">
        <v>8823025.5999999996</v>
      </c>
      <c r="G590">
        <v>0</v>
      </c>
      <c r="L590" t="s">
        <v>8</v>
      </c>
      <c r="M590" t="s">
        <v>7</v>
      </c>
      <c r="N590" t="s">
        <v>8</v>
      </c>
      <c r="P590">
        <f t="shared" si="989"/>
        <v>-0.75369458128078848</v>
      </c>
      <c r="Q590">
        <f t="shared" si="990"/>
        <v>-6649866.5852216771</v>
      </c>
      <c r="R590">
        <f t="shared" si="991"/>
        <v>37946773.963051081</v>
      </c>
      <c r="S590">
        <f t="shared" si="992"/>
        <v>379.46773963051083</v>
      </c>
      <c r="T590">
        <f t="shared" si="993"/>
        <v>0.37946773963051084</v>
      </c>
    </row>
    <row r="591" spans="1:20" x14ac:dyDescent="0.25">
      <c r="A591" s="5">
        <v>44002</v>
      </c>
      <c r="B591">
        <v>3.056E-2</v>
      </c>
      <c r="C591">
        <v>3.057E-2</v>
      </c>
      <c r="D591">
        <v>2.8709999999999999E-2</v>
      </c>
      <c r="E591">
        <v>3.0030000000000001E-2</v>
      </c>
      <c r="F591">
        <v>5506980.7999999998</v>
      </c>
      <c r="G591">
        <v>0</v>
      </c>
      <c r="L591" t="s">
        <v>7</v>
      </c>
      <c r="M591" t="s">
        <v>7</v>
      </c>
      <c r="N591" t="s">
        <v>8</v>
      </c>
      <c r="P591">
        <f t="shared" si="989"/>
        <v>0.41935483870967888</v>
      </c>
      <c r="Q591">
        <f t="shared" si="990"/>
        <v>2309379.0451612985</v>
      </c>
      <c r="R591">
        <f t="shared" si="991"/>
        <v>44596640.548272759</v>
      </c>
      <c r="S591">
        <f t="shared" si="992"/>
        <v>445.96640548272757</v>
      </c>
      <c r="T591">
        <f t="shared" si="993"/>
        <v>0.44596640548272759</v>
      </c>
    </row>
    <row r="592" spans="1:20" x14ac:dyDescent="0.25">
      <c r="A592" s="5">
        <v>44001</v>
      </c>
      <c r="B592">
        <v>3.168E-2</v>
      </c>
      <c r="C592">
        <v>3.1850000000000003E-2</v>
      </c>
      <c r="D592">
        <v>2.964E-2</v>
      </c>
      <c r="E592">
        <v>3.0609999999999998E-2</v>
      </c>
      <c r="F592">
        <v>8457846.6999999993</v>
      </c>
      <c r="G592">
        <v>0</v>
      </c>
      <c r="L592" t="s">
        <v>7</v>
      </c>
      <c r="M592" t="s">
        <v>7</v>
      </c>
      <c r="N592" t="s">
        <v>8</v>
      </c>
      <c r="P592">
        <f t="shared" si="989"/>
        <v>-0.12217194570136014</v>
      </c>
      <c r="Q592">
        <f t="shared" si="990"/>
        <v>-1033311.5877828279</v>
      </c>
      <c r="R592">
        <f t="shared" si="991"/>
        <v>42287261.503111459</v>
      </c>
      <c r="S592">
        <f t="shared" si="992"/>
        <v>422.87261503111461</v>
      </c>
      <c r="T592">
        <f t="shared" si="993"/>
        <v>0.42287261503111462</v>
      </c>
    </row>
    <row r="593" spans="1:20" x14ac:dyDescent="0.25">
      <c r="A593" s="5">
        <v>44000</v>
      </c>
      <c r="B593">
        <v>3.2710000000000003E-2</v>
      </c>
      <c r="C593">
        <v>3.279E-2</v>
      </c>
      <c r="D593">
        <v>3.0620000000000001E-2</v>
      </c>
      <c r="E593">
        <v>3.1690000000000003E-2</v>
      </c>
      <c r="F593">
        <v>10426389.199999999</v>
      </c>
      <c r="G593">
        <v>0</v>
      </c>
      <c r="L593" t="s">
        <v>7</v>
      </c>
      <c r="M593" t="s">
        <v>8</v>
      </c>
      <c r="N593" t="s">
        <v>8</v>
      </c>
      <c r="P593">
        <f t="shared" si="989"/>
        <v>-1.3824884792624576E-2</v>
      </c>
      <c r="Q593">
        <f t="shared" si="990"/>
        <v>-144143.62949306512</v>
      </c>
      <c r="R593">
        <f t="shared" si="991"/>
        <v>43320573.090894289</v>
      </c>
      <c r="S593">
        <f t="shared" si="992"/>
        <v>433.20573090894288</v>
      </c>
      <c r="T593">
        <f t="shared" si="993"/>
        <v>0.43320573090894288</v>
      </c>
    </row>
    <row r="594" spans="1:20" x14ac:dyDescent="0.25">
      <c r="A594" s="5">
        <v>43999</v>
      </c>
      <c r="B594">
        <v>3.4000000000000002E-2</v>
      </c>
      <c r="C594">
        <v>3.449E-2</v>
      </c>
      <c r="D594">
        <v>3.1579999999999997E-2</v>
      </c>
      <c r="E594">
        <v>3.2710000000000003E-2</v>
      </c>
      <c r="F594">
        <v>10291501.300000001</v>
      </c>
      <c r="G594">
        <v>0</v>
      </c>
      <c r="L594" t="s">
        <v>7</v>
      </c>
      <c r="M594" t="s">
        <v>8</v>
      </c>
      <c r="N594" t="s">
        <v>8</v>
      </c>
      <c r="P594">
        <f t="shared" si="989"/>
        <v>-0.22336769759449837</v>
      </c>
      <c r="Q594">
        <f t="shared" si="990"/>
        <v>-2298788.9501717868</v>
      </c>
      <c r="R594">
        <f t="shared" si="991"/>
        <v>43464716.720387354</v>
      </c>
      <c r="S594">
        <f t="shared" si="992"/>
        <v>434.64716720387355</v>
      </c>
      <c r="T594">
        <f t="shared" si="993"/>
        <v>0.43464716720387353</v>
      </c>
    </row>
    <row r="595" spans="1:20" x14ac:dyDescent="0.25">
      <c r="A595" s="5">
        <v>43998</v>
      </c>
      <c r="B595">
        <v>3.3250000000000002E-2</v>
      </c>
      <c r="C595">
        <v>3.5099999999999999E-2</v>
      </c>
      <c r="D595">
        <v>3.202E-2</v>
      </c>
      <c r="E595">
        <v>3.4099999999999998E-2</v>
      </c>
      <c r="F595">
        <v>18448464.5</v>
      </c>
      <c r="G595">
        <v>0</v>
      </c>
      <c r="L595" t="s">
        <v>8</v>
      </c>
      <c r="M595" t="s">
        <v>8</v>
      </c>
      <c r="N595" t="s">
        <v>8</v>
      </c>
      <c r="P595">
        <f t="shared" si="989"/>
        <v>0.35064935064934993</v>
      </c>
      <c r="Q595">
        <f t="shared" si="990"/>
        <v>6468942.0974025838</v>
      </c>
      <c r="R595">
        <f t="shared" si="991"/>
        <v>45763505.670559138</v>
      </c>
      <c r="S595">
        <f t="shared" si="992"/>
        <v>457.63505670559135</v>
      </c>
      <c r="T595">
        <f t="shared" si="993"/>
        <v>0.45763505670559135</v>
      </c>
    </row>
    <row r="596" spans="1:20" x14ac:dyDescent="0.25">
      <c r="A596" s="5">
        <v>43997</v>
      </c>
      <c r="B596">
        <v>3.0839999999999999E-2</v>
      </c>
      <c r="C596">
        <v>3.3860000000000001E-2</v>
      </c>
      <c r="D596">
        <v>2.7480000000000001E-2</v>
      </c>
      <c r="E596">
        <v>3.3250000000000002E-2</v>
      </c>
      <c r="F596">
        <v>21805367.100000001</v>
      </c>
      <c r="G596">
        <v>0</v>
      </c>
      <c r="L596" t="s">
        <v>8</v>
      </c>
      <c r="M596" t="s">
        <v>8</v>
      </c>
      <c r="N596" t="s">
        <v>8</v>
      </c>
      <c r="P596">
        <f t="shared" si="989"/>
        <v>0.80877742946708486</v>
      </c>
      <c r="Q596">
        <f t="shared" si="990"/>
        <v>17635688.751724143</v>
      </c>
      <c r="R596">
        <f t="shared" si="991"/>
        <v>39294563.573156551</v>
      </c>
      <c r="S596">
        <f t="shared" si="992"/>
        <v>392.94563573156552</v>
      </c>
      <c r="T596">
        <f t="shared" si="993"/>
        <v>0.39294563573156549</v>
      </c>
    </row>
    <row r="597" spans="1:20" x14ac:dyDescent="0.25">
      <c r="A597" s="5">
        <v>43996</v>
      </c>
      <c r="B597">
        <v>3.058E-2</v>
      </c>
      <c r="C597">
        <v>3.2739999999999998E-2</v>
      </c>
      <c r="D597">
        <v>2.9350000000000001E-2</v>
      </c>
      <c r="E597">
        <v>3.0859999999999999E-2</v>
      </c>
      <c r="F597">
        <v>15655701.6</v>
      </c>
      <c r="G597">
        <v>0</v>
      </c>
      <c r="L597" t="s">
        <v>8</v>
      </c>
      <c r="M597" t="s">
        <v>8</v>
      </c>
      <c r="N597" t="s">
        <v>8</v>
      </c>
      <c r="P597">
        <f t="shared" si="989"/>
        <v>-0.10914454277286212</v>
      </c>
      <c r="Q597">
        <f t="shared" si="990"/>
        <v>-1708734.3929203658</v>
      </c>
      <c r="R597">
        <f t="shared" si="991"/>
        <v>21658874.821432408</v>
      </c>
      <c r="S597">
        <f t="shared" si="992"/>
        <v>216.58874821432408</v>
      </c>
      <c r="T597">
        <f t="shared" si="993"/>
        <v>0.21658874821432408</v>
      </c>
    </row>
    <row r="598" spans="1:20" x14ac:dyDescent="0.25">
      <c r="A598" s="5">
        <v>43995</v>
      </c>
      <c r="B598">
        <v>2.8580000000000001E-2</v>
      </c>
      <c r="C598">
        <v>3.0599999999999999E-2</v>
      </c>
      <c r="D598">
        <v>2.8299999999999999E-2</v>
      </c>
      <c r="E598">
        <v>3.058E-2</v>
      </c>
      <c r="F598">
        <v>10550080.800000001</v>
      </c>
      <c r="G598">
        <v>0</v>
      </c>
      <c r="L598" t="s">
        <v>8</v>
      </c>
      <c r="M598" t="s">
        <v>8</v>
      </c>
      <c r="N598" t="s">
        <v>8</v>
      </c>
      <c r="P598">
        <f t="shared" si="989"/>
        <v>0.98260869565217457</v>
      </c>
      <c r="Q598">
        <f t="shared" si="990"/>
        <v>10366601.133913051</v>
      </c>
      <c r="R598">
        <f t="shared" si="991"/>
        <v>23367609.214352775</v>
      </c>
      <c r="S598">
        <f t="shared" si="992"/>
        <v>233.67609214352774</v>
      </c>
      <c r="T598">
        <f t="shared" si="993"/>
        <v>0.23367609214352775</v>
      </c>
    </row>
    <row r="599" spans="1:20" x14ac:dyDescent="0.25">
      <c r="A599" s="5">
        <v>43994</v>
      </c>
      <c r="B599">
        <v>2.5190000000000001E-2</v>
      </c>
      <c r="C599">
        <v>2.8580000000000001E-2</v>
      </c>
      <c r="D599">
        <v>2.5180000000000001E-2</v>
      </c>
      <c r="E599">
        <v>2.8580000000000001E-2</v>
      </c>
      <c r="F599">
        <v>12039196.6</v>
      </c>
      <c r="G599">
        <v>0</v>
      </c>
      <c r="L599" t="s">
        <v>8</v>
      </c>
      <c r="M599" t="s">
        <v>7</v>
      </c>
      <c r="N599" t="s">
        <v>8</v>
      </c>
      <c r="P599">
        <f t="shared" si="989"/>
        <v>1</v>
      </c>
      <c r="Q599">
        <f t="shared" si="990"/>
        <v>12039196.6</v>
      </c>
      <c r="R599">
        <f t="shared" si="991"/>
        <v>13001008.080439724</v>
      </c>
      <c r="S599">
        <f t="shared" si="992"/>
        <v>130.01008080439723</v>
      </c>
      <c r="T599">
        <f t="shared" si="993"/>
        <v>0.13001008080439724</v>
      </c>
    </row>
    <row r="600" spans="1:20" x14ac:dyDescent="0.25">
      <c r="A600" s="5">
        <v>43993</v>
      </c>
      <c r="B600">
        <v>3.0349999999999999E-2</v>
      </c>
      <c r="C600">
        <v>3.1550000000000002E-2</v>
      </c>
      <c r="D600">
        <v>2.5000000000000001E-2</v>
      </c>
      <c r="E600">
        <v>2.546E-2</v>
      </c>
      <c r="F600">
        <v>16127049.1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-0.85954198473282484</v>
      </c>
      <c r="Q600">
        <f t="shared" si="990"/>
        <v>-13861875.791297717</v>
      </c>
      <c r="R600">
        <f t="shared" si="991"/>
        <v>961811.4804397244</v>
      </c>
      <c r="S600">
        <f t="shared" si="992"/>
        <v>9.6181148043972442</v>
      </c>
      <c r="T600">
        <f t="shared" si="993"/>
        <v>9.6181148043972438E-3</v>
      </c>
    </row>
    <row r="601" spans="1:20" x14ac:dyDescent="0.25">
      <c r="A601" s="5">
        <v>43992</v>
      </c>
      <c r="B601">
        <v>2.998E-2</v>
      </c>
      <c r="C601">
        <v>3.1969999999999998E-2</v>
      </c>
      <c r="D601">
        <v>2.9069999999999999E-2</v>
      </c>
      <c r="E601">
        <v>3.0349999999999999E-2</v>
      </c>
      <c r="F601">
        <v>15056188.199999999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-0.11724137931034484</v>
      </c>
      <c r="Q601">
        <f t="shared" si="990"/>
        <v>-1765208.2717241379</v>
      </c>
      <c r="R601">
        <f t="shared" si="991"/>
        <v>14823687.271737441</v>
      </c>
      <c r="S601">
        <f t="shared" si="992"/>
        <v>148.23687271737441</v>
      </c>
      <c r="T601">
        <f t="shared" si="993"/>
        <v>0.1482368727173744</v>
      </c>
    </row>
    <row r="602" spans="1:20" x14ac:dyDescent="0.25">
      <c r="A602" s="5">
        <v>43991</v>
      </c>
      <c r="B602">
        <v>2.8740000000000002E-2</v>
      </c>
      <c r="C602">
        <v>3.048E-2</v>
      </c>
      <c r="D602">
        <v>2.7969999999999998E-2</v>
      </c>
      <c r="E602">
        <v>2.998E-2</v>
      </c>
      <c r="F602">
        <v>10300832.300000001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0.60159362549800788</v>
      </c>
      <c r="Q602">
        <f t="shared" si="990"/>
        <v>6196915.0490039838</v>
      </c>
      <c r="R602">
        <f t="shared" si="991"/>
        <v>16588895.54346158</v>
      </c>
      <c r="S602">
        <f t="shared" si="992"/>
        <v>165.88895543461581</v>
      </c>
      <c r="T602">
        <f t="shared" si="993"/>
        <v>0.16588895543461582</v>
      </c>
    </row>
    <row r="603" spans="1:20" x14ac:dyDescent="0.25">
      <c r="A603" s="5">
        <v>43990</v>
      </c>
      <c r="B603">
        <v>2.7640000000000001E-2</v>
      </c>
      <c r="C603">
        <v>2.9819999999999999E-2</v>
      </c>
      <c r="D603">
        <v>2.7529999999999999E-2</v>
      </c>
      <c r="E603">
        <v>2.861E-2</v>
      </c>
      <c r="F603">
        <v>7523622.0999999996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-5.6768558951964261E-2</v>
      </c>
      <c r="Q603">
        <f t="shared" si="990"/>
        <v>-427105.18471615115</v>
      </c>
      <c r="R603">
        <f t="shared" si="991"/>
        <v>10391980.494457597</v>
      </c>
      <c r="S603">
        <f t="shared" si="992"/>
        <v>103.91980494457597</v>
      </c>
      <c r="T603">
        <f t="shared" si="993"/>
        <v>0.10391980494457598</v>
      </c>
    </row>
    <row r="604" spans="1:20" x14ac:dyDescent="0.25">
      <c r="A604" s="5">
        <v>43989</v>
      </c>
      <c r="B604">
        <v>2.818E-2</v>
      </c>
      <c r="C604">
        <v>2.8389999999999999E-2</v>
      </c>
      <c r="D604">
        <v>2.6499999999999999E-2</v>
      </c>
      <c r="E604">
        <v>2.775E-2</v>
      </c>
      <c r="F604">
        <v>5015274.7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0.3227513227513244</v>
      </c>
      <c r="Q604">
        <f t="shared" si="990"/>
        <v>1618686.5433862517</v>
      </c>
      <c r="R604">
        <f t="shared" si="991"/>
        <v>10819085.679173749</v>
      </c>
      <c r="S604">
        <f t="shared" si="992"/>
        <v>108.19085679173749</v>
      </c>
      <c r="T604">
        <f t="shared" si="993"/>
        <v>0.10819085679173748</v>
      </c>
    </row>
    <row r="605" spans="1:20" x14ac:dyDescent="0.25">
      <c r="A605" s="5">
        <v>43988</v>
      </c>
      <c r="B605">
        <v>2.8750000000000001E-2</v>
      </c>
      <c r="C605">
        <v>2.903E-2</v>
      </c>
      <c r="D605">
        <v>2.7439999999999999E-2</v>
      </c>
      <c r="E605">
        <v>2.818E-2</v>
      </c>
      <c r="F605">
        <v>7549470.0999999996</v>
      </c>
      <c r="G605">
        <v>0</v>
      </c>
      <c r="L605" t="s">
        <v>7</v>
      </c>
      <c r="M605" t="s">
        <v>8</v>
      </c>
      <c r="N605" t="s">
        <v>8</v>
      </c>
      <c r="P605">
        <f t="shared" si="989"/>
        <v>-6.9182389937106237E-2</v>
      </c>
      <c r="Q605">
        <f t="shared" si="990"/>
        <v>-522290.38427672436</v>
      </c>
      <c r="R605">
        <f t="shared" si="991"/>
        <v>9200399.1357874982</v>
      </c>
      <c r="S605">
        <f t="shared" si="992"/>
        <v>92.00399135787498</v>
      </c>
      <c r="T605">
        <f t="shared" si="993"/>
        <v>9.2003991357874987E-2</v>
      </c>
    </row>
    <row r="606" spans="1:20" x14ac:dyDescent="0.25">
      <c r="A606" s="5">
        <v>43987</v>
      </c>
      <c r="B606">
        <v>2.7820000000000001E-2</v>
      </c>
      <c r="C606">
        <v>3.1220000000000001E-2</v>
      </c>
      <c r="D606">
        <v>2.777E-2</v>
      </c>
      <c r="E606">
        <v>2.878E-2</v>
      </c>
      <c r="F606">
        <v>26473820.600000001</v>
      </c>
      <c r="G606">
        <v>0</v>
      </c>
      <c r="L606" t="s">
        <v>8</v>
      </c>
      <c r="M606" t="s">
        <v>8</v>
      </c>
      <c r="N606" t="s">
        <v>8</v>
      </c>
      <c r="P606">
        <f t="shared" si="989"/>
        <v>-0.41449275362318844</v>
      </c>
      <c r="Q606">
        <f t="shared" si="990"/>
        <v>-10973206.799420292</v>
      </c>
      <c r="R606">
        <f t="shared" si="991"/>
        <v>9722689.5200642217</v>
      </c>
      <c r="S606">
        <f t="shared" si="992"/>
        <v>97.226895200642218</v>
      </c>
      <c r="T606">
        <f t="shared" si="993"/>
        <v>9.7226895200642219E-2</v>
      </c>
    </row>
    <row r="607" spans="1:20" x14ac:dyDescent="0.25">
      <c r="A607" s="5">
        <v>43986</v>
      </c>
      <c r="B607">
        <v>2.6339999999999999E-2</v>
      </c>
      <c r="C607">
        <v>2.9950000000000001E-2</v>
      </c>
      <c r="D607">
        <v>2.5659999999999999E-2</v>
      </c>
      <c r="E607">
        <v>2.7859999999999999E-2</v>
      </c>
      <c r="F607">
        <v>11462890.1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2.5641025641025394E-2</v>
      </c>
      <c r="Q607">
        <f t="shared" si="990"/>
        <v>293920.25897435611</v>
      </c>
      <c r="R607">
        <f t="shared" si="991"/>
        <v>20695896.319484513</v>
      </c>
      <c r="S607">
        <f t="shared" si="992"/>
        <v>206.95896319484513</v>
      </c>
      <c r="T607">
        <f t="shared" si="993"/>
        <v>0.20695896319484514</v>
      </c>
    </row>
    <row r="608" spans="1:20" x14ac:dyDescent="0.25">
      <c r="A608" s="5">
        <v>43985</v>
      </c>
      <c r="B608">
        <v>2.6089999999999999E-2</v>
      </c>
      <c r="C608">
        <v>2.6450000000000001E-2</v>
      </c>
      <c r="D608">
        <v>2.5309999999999999E-2</v>
      </c>
      <c r="E608">
        <v>2.6339999999999999E-2</v>
      </c>
      <c r="F608">
        <v>4836178.7</v>
      </c>
      <c r="G608">
        <v>0</v>
      </c>
      <c r="L608" t="s">
        <v>8</v>
      </c>
      <c r="M608" t="s">
        <v>8</v>
      </c>
      <c r="N608" t="s">
        <v>8</v>
      </c>
      <c r="P608">
        <f t="shared" si="989"/>
        <v>0.80701754385964519</v>
      </c>
      <c r="Q608">
        <f t="shared" si="990"/>
        <v>3902881.056140332</v>
      </c>
      <c r="R608">
        <f t="shared" si="991"/>
        <v>20401976.060510159</v>
      </c>
      <c r="S608">
        <f t="shared" si="992"/>
        <v>204.0197606051016</v>
      </c>
      <c r="T608">
        <f t="shared" si="993"/>
        <v>0.2040197606051016</v>
      </c>
    </row>
    <row r="609" spans="1:20" x14ac:dyDescent="0.25">
      <c r="A609" s="5">
        <v>43984</v>
      </c>
      <c r="B609">
        <v>2.589E-2</v>
      </c>
      <c r="C609">
        <v>2.717E-2</v>
      </c>
      <c r="D609">
        <v>2.4299999999999999E-2</v>
      </c>
      <c r="E609">
        <v>2.6110000000000001E-2</v>
      </c>
      <c r="F609">
        <v>7465919.4000000004</v>
      </c>
      <c r="G609">
        <v>0</v>
      </c>
      <c r="L609" t="s">
        <v>8</v>
      </c>
      <c r="M609" t="s">
        <v>8</v>
      </c>
      <c r="N609" t="s">
        <v>8</v>
      </c>
      <c r="P609">
        <f t="shared" si="989"/>
        <v>0.26132404181184804</v>
      </c>
      <c r="Q609">
        <f t="shared" si="990"/>
        <v>1951024.2334494875</v>
      </c>
      <c r="R609">
        <f t="shared" si="991"/>
        <v>16499095.004369825</v>
      </c>
      <c r="S609">
        <f t="shared" si="992"/>
        <v>164.99095004369826</v>
      </c>
      <c r="T609">
        <f t="shared" si="993"/>
        <v>0.16499095004369826</v>
      </c>
    </row>
    <row r="610" spans="1:20" x14ac:dyDescent="0.25">
      <c r="A610" s="5">
        <v>43983</v>
      </c>
      <c r="B610">
        <v>2.5049999999999999E-2</v>
      </c>
      <c r="C610">
        <v>2.666E-2</v>
      </c>
      <c r="D610">
        <v>2.462E-2</v>
      </c>
      <c r="E610">
        <v>2.589E-2</v>
      </c>
      <c r="F610">
        <v>6819581.2999999998</v>
      </c>
      <c r="G610">
        <v>0</v>
      </c>
      <c r="L610" t="s">
        <v>7</v>
      </c>
      <c r="M610" t="s">
        <v>8</v>
      </c>
      <c r="N610" t="s">
        <v>8</v>
      </c>
      <c r="P610">
        <f t="shared" si="989"/>
        <v>0.24509803921568649</v>
      </c>
      <c r="Q610">
        <f t="shared" si="990"/>
        <v>1671466.0049019621</v>
      </c>
      <c r="R610">
        <f t="shared" si="991"/>
        <v>14548070.770920338</v>
      </c>
      <c r="S610">
        <f t="shared" si="992"/>
        <v>145.48070770920339</v>
      </c>
      <c r="T610">
        <f t="shared" si="993"/>
        <v>0.14548070770920338</v>
      </c>
    </row>
    <row r="611" spans="1:20" x14ac:dyDescent="0.25">
      <c r="A611" s="5">
        <v>43982</v>
      </c>
      <c r="B611">
        <v>2.5270000000000001E-2</v>
      </c>
      <c r="C611">
        <v>2.7109999999999999E-2</v>
      </c>
      <c r="D611">
        <v>2.4879999999999999E-2</v>
      </c>
      <c r="E611">
        <v>2.5049999999999999E-2</v>
      </c>
      <c r="F611">
        <v>7945990.2000000002</v>
      </c>
      <c r="G611">
        <v>0</v>
      </c>
      <c r="L611" t="s">
        <v>8</v>
      </c>
      <c r="M611" t="s">
        <v>8</v>
      </c>
      <c r="N611" t="s">
        <v>8</v>
      </c>
      <c r="P611">
        <f t="shared" si="989"/>
        <v>-0.84753363228699541</v>
      </c>
      <c r="Q611">
        <f t="shared" si="990"/>
        <v>-6734493.9363228688</v>
      </c>
      <c r="R611">
        <f t="shared" si="991"/>
        <v>12876604.766018376</v>
      </c>
      <c r="S611">
        <f t="shared" si="992"/>
        <v>128.76604766018374</v>
      </c>
      <c r="T611">
        <f t="shared" si="993"/>
        <v>0.12876604766018374</v>
      </c>
    </row>
    <row r="612" spans="1:20" x14ac:dyDescent="0.25">
      <c r="A612" s="5">
        <v>43981</v>
      </c>
      <c r="B612">
        <v>2.444E-2</v>
      </c>
      <c r="C612">
        <v>2.5930000000000002E-2</v>
      </c>
      <c r="D612">
        <v>2.4279999999999999E-2</v>
      </c>
      <c r="E612">
        <v>2.5219999999999999E-2</v>
      </c>
      <c r="F612">
        <v>6289900.5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0.13939393939393774</v>
      </c>
      <c r="Q612">
        <f t="shared" si="990"/>
        <v>876774.00909089867</v>
      </c>
      <c r="R612">
        <f t="shared" si="991"/>
        <v>19611098.702341244</v>
      </c>
      <c r="S612">
        <f t="shared" si="992"/>
        <v>196.11098702341243</v>
      </c>
      <c r="T612">
        <f t="shared" si="993"/>
        <v>0.19611098702341243</v>
      </c>
    </row>
    <row r="613" spans="1:20" x14ac:dyDescent="0.25">
      <c r="A613" s="5">
        <v>43980</v>
      </c>
      <c r="B613">
        <v>2.4879999999999999E-2</v>
      </c>
      <c r="C613">
        <v>2.528E-2</v>
      </c>
      <c r="D613">
        <v>2.3779999999999999E-2</v>
      </c>
      <c r="E613">
        <v>2.444E-2</v>
      </c>
      <c r="F613">
        <v>6481151.2999999998</v>
      </c>
      <c r="G613">
        <v>0</v>
      </c>
      <c r="L613" t="s">
        <v>7</v>
      </c>
      <c r="M613" t="s">
        <v>8</v>
      </c>
      <c r="N613" t="s">
        <v>8</v>
      </c>
      <c r="P613">
        <f t="shared" si="989"/>
        <v>-0.11999999999999963</v>
      </c>
      <c r="Q613">
        <f t="shared" si="990"/>
        <v>-777738.15599999763</v>
      </c>
      <c r="R613">
        <f t="shared" si="991"/>
        <v>18734324.693250343</v>
      </c>
      <c r="S613">
        <f t="shared" si="992"/>
        <v>187.34324693250343</v>
      </c>
      <c r="T613">
        <f t="shared" si="993"/>
        <v>0.18734324693250343</v>
      </c>
    </row>
    <row r="614" spans="1:20" x14ac:dyDescent="0.25">
      <c r="A614" s="5">
        <v>43979</v>
      </c>
      <c r="B614">
        <v>2.5219999999999999E-2</v>
      </c>
      <c r="C614">
        <v>2.563E-2</v>
      </c>
      <c r="D614">
        <v>2.4230000000000002E-2</v>
      </c>
      <c r="E614">
        <v>2.4879999999999999E-2</v>
      </c>
      <c r="F614">
        <v>6344346.7999999998</v>
      </c>
      <c r="G614">
        <v>0</v>
      </c>
      <c r="L614" t="s">
        <v>7</v>
      </c>
      <c r="M614" t="s">
        <v>8</v>
      </c>
      <c r="N614" t="s">
        <v>8</v>
      </c>
      <c r="P614">
        <f t="shared" si="989"/>
        <v>-7.1428571428573548E-2</v>
      </c>
      <c r="Q614">
        <f t="shared" si="990"/>
        <v>-453167.62857144198</v>
      </c>
      <c r="R614">
        <f t="shared" si="991"/>
        <v>19512062.849250343</v>
      </c>
      <c r="S614">
        <f t="shared" si="992"/>
        <v>195.12062849250341</v>
      </c>
      <c r="T614">
        <f t="shared" si="993"/>
        <v>0.19512062849250342</v>
      </c>
    </row>
    <row r="615" spans="1:20" x14ac:dyDescent="0.25">
      <c r="A615" s="5">
        <v>43978</v>
      </c>
      <c r="B615">
        <v>2.6970000000000001E-2</v>
      </c>
      <c r="C615">
        <v>2.726E-2</v>
      </c>
      <c r="D615">
        <v>2.4760000000000001E-2</v>
      </c>
      <c r="E615">
        <v>2.5219999999999999E-2</v>
      </c>
      <c r="F615">
        <v>6803059.5</v>
      </c>
      <c r="G615">
        <v>0</v>
      </c>
      <c r="L615" t="s">
        <v>7</v>
      </c>
      <c r="M615" t="s">
        <v>8</v>
      </c>
      <c r="N615" t="s">
        <v>8</v>
      </c>
      <c r="P615">
        <f t="shared" si="989"/>
        <v>-0.63200000000000089</v>
      </c>
      <c r="Q615">
        <f t="shared" si="990"/>
        <v>-4299533.6040000059</v>
      </c>
      <c r="R615">
        <f t="shared" si="991"/>
        <v>19965230.477821786</v>
      </c>
      <c r="S615">
        <f t="shared" si="992"/>
        <v>199.65230477821785</v>
      </c>
      <c r="T615">
        <f t="shared" si="993"/>
        <v>0.19965230477821785</v>
      </c>
    </row>
    <row r="616" spans="1:20" x14ac:dyDescent="0.25">
      <c r="A616" s="5">
        <v>43977</v>
      </c>
      <c r="B616">
        <v>2.5610000000000001E-2</v>
      </c>
      <c r="C616">
        <v>2.7709999999999999E-2</v>
      </c>
      <c r="D616">
        <v>2.5100000000000001E-2</v>
      </c>
      <c r="E616">
        <v>2.6960000000000001E-2</v>
      </c>
      <c r="F616">
        <v>9637285.3000000007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0.42528735632184073</v>
      </c>
      <c r="Q616">
        <f t="shared" si="990"/>
        <v>4098615.5873563378</v>
      </c>
      <c r="R616">
        <f t="shared" si="991"/>
        <v>24264764.081821792</v>
      </c>
      <c r="S616">
        <f t="shared" si="992"/>
        <v>242.64764081821792</v>
      </c>
      <c r="T616">
        <f t="shared" si="993"/>
        <v>0.24264764081821794</v>
      </c>
    </row>
    <row r="617" spans="1:20" x14ac:dyDescent="0.25">
      <c r="A617" s="5">
        <v>43976</v>
      </c>
      <c r="B617">
        <v>2.3050000000000001E-2</v>
      </c>
      <c r="C617">
        <v>2.5909999999999999E-2</v>
      </c>
      <c r="D617">
        <v>2.247E-2</v>
      </c>
      <c r="E617">
        <v>2.5659999999999999E-2</v>
      </c>
      <c r="F617">
        <v>11116143.9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0.85465116279069753</v>
      </c>
      <c r="Q617">
        <f t="shared" si="990"/>
        <v>9500425.3098837193</v>
      </c>
      <c r="R617">
        <f t="shared" si="991"/>
        <v>20166148.494465455</v>
      </c>
      <c r="S617">
        <f t="shared" si="992"/>
        <v>201.66148494465455</v>
      </c>
      <c r="T617">
        <f t="shared" si="993"/>
        <v>0.20166148494465455</v>
      </c>
    </row>
    <row r="618" spans="1:20" x14ac:dyDescent="0.25">
      <c r="A618" s="5">
        <v>43975</v>
      </c>
      <c r="B618">
        <v>2.4109999999999999E-2</v>
      </c>
      <c r="C618">
        <v>2.647E-2</v>
      </c>
      <c r="D618">
        <v>2.3109999999999999E-2</v>
      </c>
      <c r="E618">
        <v>2.3189999999999999E-2</v>
      </c>
      <c r="F618">
        <v>7564649.4000000004</v>
      </c>
      <c r="G618">
        <v>0</v>
      </c>
      <c r="L618" t="s">
        <v>8</v>
      </c>
      <c r="M618" t="s">
        <v>8</v>
      </c>
      <c r="N618" t="s">
        <v>8</v>
      </c>
      <c r="P618">
        <f t="shared" si="989"/>
        <v>-0.95238095238095233</v>
      </c>
      <c r="Q618">
        <f t="shared" si="990"/>
        <v>-7204428</v>
      </c>
      <c r="R618">
        <f t="shared" si="991"/>
        <v>10665723.184581734</v>
      </c>
      <c r="S618">
        <f t="shared" si="992"/>
        <v>106.65723184581734</v>
      </c>
      <c r="T618">
        <f t="shared" si="993"/>
        <v>0.10665723184581734</v>
      </c>
    </row>
    <row r="619" spans="1:20" x14ac:dyDescent="0.25">
      <c r="A619" s="5">
        <v>43974</v>
      </c>
      <c r="B619">
        <v>2.5229999999999999E-2</v>
      </c>
      <c r="C619">
        <v>2.529E-2</v>
      </c>
      <c r="D619">
        <v>2.3130000000000001E-2</v>
      </c>
      <c r="E619">
        <v>2.4160000000000001E-2</v>
      </c>
      <c r="F619">
        <v>7982319.5</v>
      </c>
      <c r="G619">
        <v>0</v>
      </c>
      <c r="L619" t="s">
        <v>7</v>
      </c>
      <c r="M619" t="s">
        <v>8</v>
      </c>
      <c r="N619" t="s">
        <v>8</v>
      </c>
      <c r="P619">
        <f t="shared" si="989"/>
        <v>-4.6296296296296044E-2</v>
      </c>
      <c r="Q619">
        <f t="shared" si="990"/>
        <v>-369551.82870370167</v>
      </c>
      <c r="R619">
        <f t="shared" si="991"/>
        <v>17870151.184581734</v>
      </c>
      <c r="S619">
        <f t="shared" si="992"/>
        <v>178.70151184581735</v>
      </c>
      <c r="T619">
        <f t="shared" si="993"/>
        <v>0.17870151184581734</v>
      </c>
    </row>
    <row r="620" spans="1:20" x14ac:dyDescent="0.25">
      <c r="A620" s="5">
        <v>43973</v>
      </c>
      <c r="B620">
        <v>2.2579999999999999E-2</v>
      </c>
      <c r="C620">
        <v>2.7E-2</v>
      </c>
      <c r="D620">
        <v>2.2159999999999999E-2</v>
      </c>
      <c r="E620">
        <v>2.5159999999999998E-2</v>
      </c>
      <c r="F620">
        <v>13488607.9</v>
      </c>
      <c r="G620">
        <v>0</v>
      </c>
      <c r="L620" t="s">
        <v>8</v>
      </c>
      <c r="M620" t="s">
        <v>8</v>
      </c>
      <c r="N620" t="s">
        <v>8</v>
      </c>
      <c r="P620">
        <f t="shared" si="989"/>
        <v>0.23966942148760284</v>
      </c>
      <c r="Q620">
        <f t="shared" si="990"/>
        <v>3232806.8520661094</v>
      </c>
      <c r="R620">
        <f t="shared" si="991"/>
        <v>18239703.013285436</v>
      </c>
      <c r="S620">
        <f t="shared" si="992"/>
        <v>182.39703013285435</v>
      </c>
      <c r="T620">
        <f t="shared" si="993"/>
        <v>0.18239703013285435</v>
      </c>
    </row>
    <row r="621" spans="1:20" x14ac:dyDescent="0.25">
      <c r="A621" s="5">
        <v>43972</v>
      </c>
      <c r="B621">
        <v>2.2429999999999999E-2</v>
      </c>
      <c r="C621">
        <v>2.3820000000000001E-2</v>
      </c>
      <c r="D621">
        <v>2.001E-2</v>
      </c>
      <c r="E621">
        <v>2.274E-2</v>
      </c>
      <c r="F621">
        <v>6022871.2000000002</v>
      </c>
      <c r="G621">
        <v>0</v>
      </c>
      <c r="L621" t="s">
        <v>8</v>
      </c>
      <c r="M621" t="s">
        <v>8</v>
      </c>
      <c r="N621" t="s">
        <v>8</v>
      </c>
      <c r="P621">
        <f t="shared" si="989"/>
        <v>0.43307086614173185</v>
      </c>
      <c r="Q621">
        <f t="shared" si="990"/>
        <v>2608330.047244092</v>
      </c>
      <c r="R621">
        <f t="shared" si="991"/>
        <v>15006896.161219325</v>
      </c>
      <c r="S621">
        <f t="shared" si="992"/>
        <v>150.06896161219325</v>
      </c>
      <c r="T621">
        <f t="shared" si="993"/>
        <v>0.15006896161219324</v>
      </c>
    </row>
    <row r="622" spans="1:20" x14ac:dyDescent="0.25">
      <c r="A622" s="5">
        <v>43971</v>
      </c>
      <c r="B622">
        <v>2.273E-2</v>
      </c>
      <c r="C622">
        <v>2.3179999999999999E-2</v>
      </c>
      <c r="D622">
        <v>2.1520000000000001E-2</v>
      </c>
      <c r="E622">
        <v>2.2579999999999999E-2</v>
      </c>
      <c r="F622">
        <v>3917663.4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0.27710843373493921</v>
      </c>
      <c r="Q622">
        <f t="shared" si="990"/>
        <v>1085617.5686746966</v>
      </c>
      <c r="R622">
        <f t="shared" si="991"/>
        <v>12398566.113975232</v>
      </c>
      <c r="S622">
        <f t="shared" si="992"/>
        <v>123.98566113975232</v>
      </c>
      <c r="T622">
        <f t="shared" si="993"/>
        <v>0.12398566113975232</v>
      </c>
    </row>
    <row r="623" spans="1:20" x14ac:dyDescent="0.25">
      <c r="A623" s="5">
        <v>43970</v>
      </c>
      <c r="B623">
        <v>2.2280000000000001E-2</v>
      </c>
      <c r="C623">
        <v>2.3089999999999999E-2</v>
      </c>
      <c r="D623">
        <v>2.213E-2</v>
      </c>
      <c r="E623">
        <v>2.273E-2</v>
      </c>
      <c r="F623">
        <v>5330796.0999999996</v>
      </c>
      <c r="G623">
        <v>0</v>
      </c>
      <c r="L623" t="s">
        <v>8</v>
      </c>
      <c r="M623" t="s">
        <v>8</v>
      </c>
      <c r="N623" t="s">
        <v>8</v>
      </c>
      <c r="P623">
        <f t="shared" si="989"/>
        <v>0.25000000000000089</v>
      </c>
      <c r="Q623">
        <f t="shared" si="990"/>
        <v>1332699.0250000046</v>
      </c>
      <c r="R623">
        <f t="shared" si="991"/>
        <v>11312948.545300536</v>
      </c>
      <c r="S623">
        <f t="shared" si="992"/>
        <v>113.12948545300536</v>
      </c>
      <c r="T623">
        <f t="shared" si="993"/>
        <v>0.11312948545300536</v>
      </c>
    </row>
    <row r="624" spans="1:20" x14ac:dyDescent="0.25">
      <c r="A624" s="5">
        <v>43969</v>
      </c>
      <c r="B624">
        <v>2.0879999999999999E-2</v>
      </c>
      <c r="C624">
        <v>2.3109999999999999E-2</v>
      </c>
      <c r="D624">
        <v>2.0879999999999999E-2</v>
      </c>
      <c r="E624">
        <v>2.2210000000000001E-2</v>
      </c>
      <c r="F624">
        <v>7043045.7999999998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0.19282511210762485</v>
      </c>
      <c r="Q624">
        <f t="shared" si="990"/>
        <v>1358076.0959641363</v>
      </c>
      <c r="R624">
        <f t="shared" si="991"/>
        <v>9980249.5203005318</v>
      </c>
      <c r="S624">
        <f t="shared" si="992"/>
        <v>99.802495203005321</v>
      </c>
      <c r="T624">
        <f t="shared" si="993"/>
        <v>9.9802495203005326E-2</v>
      </c>
    </row>
    <row r="625" spans="1:20" x14ac:dyDescent="0.25">
      <c r="A625" s="5">
        <v>43968</v>
      </c>
      <c r="B625">
        <v>2.1049999999999999E-2</v>
      </c>
      <c r="C625">
        <v>2.129E-2</v>
      </c>
      <c r="D625">
        <v>2.0650000000000002E-2</v>
      </c>
      <c r="E625">
        <v>2.0879999999999999E-2</v>
      </c>
      <c r="F625">
        <v>4038377.7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-0.28125000000000561</v>
      </c>
      <c r="Q625">
        <f t="shared" si="990"/>
        <v>-1135793.7281250227</v>
      </c>
      <c r="R625">
        <f t="shared" si="991"/>
        <v>8622173.4243363962</v>
      </c>
      <c r="S625">
        <f t="shared" si="992"/>
        <v>86.221734243363969</v>
      </c>
      <c r="T625">
        <f t="shared" si="993"/>
        <v>8.6221734243363962E-2</v>
      </c>
    </row>
    <row r="626" spans="1:20" x14ac:dyDescent="0.25">
      <c r="A626" s="5">
        <v>43967</v>
      </c>
      <c r="B626">
        <v>2.009E-2</v>
      </c>
      <c r="C626">
        <v>2.1309999999999999E-2</v>
      </c>
      <c r="D626">
        <v>2.009E-2</v>
      </c>
      <c r="E626">
        <v>2.095E-2</v>
      </c>
      <c r="F626">
        <v>2020239.2</v>
      </c>
      <c r="G626">
        <v>0</v>
      </c>
      <c r="L626" t="s">
        <v>8</v>
      </c>
      <c r="M626" t="s">
        <v>8</v>
      </c>
      <c r="N626" t="s">
        <v>8</v>
      </c>
      <c r="P626">
        <f t="shared" si="989"/>
        <v>0.40983606557377122</v>
      </c>
      <c r="Q626">
        <f t="shared" si="990"/>
        <v>827966.88524590305</v>
      </c>
      <c r="R626">
        <f t="shared" si="991"/>
        <v>9757967.1524614189</v>
      </c>
      <c r="S626">
        <f t="shared" si="992"/>
        <v>97.579671524614184</v>
      </c>
      <c r="T626">
        <f t="shared" si="993"/>
        <v>9.7579671524614178E-2</v>
      </c>
    </row>
    <row r="627" spans="1:20" x14ac:dyDescent="0.25">
      <c r="A627" s="5">
        <v>43966</v>
      </c>
      <c r="B627">
        <v>2.085E-2</v>
      </c>
      <c r="C627">
        <v>2.0899999999999998E-2</v>
      </c>
      <c r="D627">
        <v>1.9980000000000001E-2</v>
      </c>
      <c r="E627">
        <v>2.01E-2</v>
      </c>
      <c r="F627">
        <v>3197257.9</v>
      </c>
      <c r="G627">
        <v>0</v>
      </c>
      <c r="L627" t="s">
        <v>8</v>
      </c>
      <c r="M627" t="s">
        <v>8</v>
      </c>
      <c r="N627" t="s">
        <v>8</v>
      </c>
      <c r="P627">
        <f t="shared" si="989"/>
        <v>-0.73913043478261098</v>
      </c>
      <c r="Q627">
        <f t="shared" si="990"/>
        <v>-2363190.6217391375</v>
      </c>
      <c r="R627">
        <f t="shared" si="991"/>
        <v>8930000.2672155164</v>
      </c>
      <c r="S627">
        <f t="shared" si="992"/>
        <v>89.300002672155159</v>
      </c>
      <c r="T627">
        <f t="shared" si="993"/>
        <v>8.9300002672155154E-2</v>
      </c>
    </row>
    <row r="628" spans="1:20" x14ac:dyDescent="0.25">
      <c r="A628" s="5">
        <v>43965</v>
      </c>
      <c r="B628">
        <v>2.0920000000000001E-2</v>
      </c>
      <c r="C628">
        <v>2.111E-2</v>
      </c>
      <c r="D628">
        <v>0.02</v>
      </c>
      <c r="E628">
        <v>2.0740000000000001E-2</v>
      </c>
      <c r="F628">
        <v>3662437.5</v>
      </c>
      <c r="G628">
        <v>0</v>
      </c>
      <c r="L628" t="s">
        <v>8</v>
      </c>
      <c r="M628" t="s">
        <v>8</v>
      </c>
      <c r="N628" t="s">
        <v>8</v>
      </c>
      <c r="P628">
        <f t="shared" si="989"/>
        <v>0.33333333333333542</v>
      </c>
      <c r="Q628">
        <f t="shared" si="990"/>
        <v>1220812.5000000077</v>
      </c>
      <c r="R628">
        <f t="shared" si="991"/>
        <v>11293190.888954654</v>
      </c>
      <c r="S628">
        <f t="shared" si="992"/>
        <v>112.93190888954655</v>
      </c>
      <c r="T628">
        <f t="shared" si="993"/>
        <v>0.11293190888954655</v>
      </c>
    </row>
    <row r="629" spans="1:20" x14ac:dyDescent="0.25">
      <c r="A629" s="5">
        <v>43964</v>
      </c>
      <c r="B629">
        <v>2.0799999999999999E-2</v>
      </c>
      <c r="C629">
        <v>2.1299999999999999E-2</v>
      </c>
      <c r="D629">
        <v>2.0580000000000001E-2</v>
      </c>
      <c r="E629">
        <v>2.0969999999999999E-2</v>
      </c>
      <c r="F629">
        <v>2060129.1</v>
      </c>
      <c r="G629">
        <v>0</v>
      </c>
      <c r="L629" t="s">
        <v>8</v>
      </c>
      <c r="M629" t="s">
        <v>8</v>
      </c>
      <c r="N629" t="s">
        <v>8</v>
      </c>
      <c r="P629">
        <f t="shared" si="989"/>
        <v>8.3333333333330123E-2</v>
      </c>
      <c r="Q629">
        <f t="shared" si="990"/>
        <v>171677.42499999338</v>
      </c>
      <c r="R629">
        <f t="shared" si="991"/>
        <v>10072378.388954647</v>
      </c>
      <c r="S629">
        <f t="shared" si="992"/>
        <v>100.72378388954647</v>
      </c>
      <c r="T629">
        <f t="shared" si="993"/>
        <v>0.10072378388954646</v>
      </c>
    </row>
    <row r="630" spans="1:20" x14ac:dyDescent="0.25">
      <c r="A630" s="5">
        <v>43963</v>
      </c>
      <c r="B630">
        <v>1.9609999999999999E-2</v>
      </c>
      <c r="C630">
        <v>2.1389999999999999E-2</v>
      </c>
      <c r="D630">
        <v>1.9349999999999999E-2</v>
      </c>
      <c r="E630">
        <v>2.0799999999999999E-2</v>
      </c>
      <c r="F630">
        <v>2674265.7000000002</v>
      </c>
      <c r="G630">
        <v>0</v>
      </c>
      <c r="L630" t="s">
        <v>8</v>
      </c>
      <c r="M630" t="s">
        <v>8</v>
      </c>
      <c r="N630" t="s">
        <v>8</v>
      </c>
      <c r="P630">
        <f t="shared" si="989"/>
        <v>0.42156862745098017</v>
      </c>
      <c r="Q630">
        <f t="shared" si="990"/>
        <v>1127386.5205882348</v>
      </c>
      <c r="R630">
        <f t="shared" si="991"/>
        <v>9900700.9639546536</v>
      </c>
      <c r="S630">
        <f t="shared" si="992"/>
        <v>99.007009639546538</v>
      </c>
      <c r="T630">
        <f t="shared" si="993"/>
        <v>9.9007009639546534E-2</v>
      </c>
    </row>
    <row r="631" spans="1:20" x14ac:dyDescent="0.25">
      <c r="A631" s="5">
        <v>43962</v>
      </c>
      <c r="B631">
        <v>0.02</v>
      </c>
      <c r="C631">
        <v>2.0140000000000002E-2</v>
      </c>
      <c r="D631">
        <v>1.8280000000000001E-2</v>
      </c>
      <c r="E631">
        <v>1.9619999999999999E-2</v>
      </c>
      <c r="F631">
        <v>6343598.5999999996</v>
      </c>
      <c r="G631">
        <v>0</v>
      </c>
      <c r="L631" t="s">
        <v>7</v>
      </c>
      <c r="M631" t="s">
        <v>7</v>
      </c>
      <c r="N631" t="s">
        <v>8</v>
      </c>
      <c r="P631">
        <f t="shared" si="989"/>
        <v>0.44086021505376027</v>
      </c>
      <c r="Q631">
        <f t="shared" si="990"/>
        <v>2796640.2430107323</v>
      </c>
      <c r="R631">
        <f t="shared" si="991"/>
        <v>8773314.4433664195</v>
      </c>
      <c r="S631">
        <f t="shared" si="992"/>
        <v>87.733144433664194</v>
      </c>
      <c r="T631">
        <f t="shared" si="993"/>
        <v>8.7733144433664187E-2</v>
      </c>
    </row>
    <row r="632" spans="1:20" x14ac:dyDescent="0.25">
      <c r="A632" s="5">
        <v>43961</v>
      </c>
      <c r="B632">
        <v>2.266E-2</v>
      </c>
      <c r="C632">
        <v>2.2710000000000001E-2</v>
      </c>
      <c r="D632">
        <v>1.883E-2</v>
      </c>
      <c r="E632">
        <v>1.9910000000000001E-2</v>
      </c>
      <c r="F632">
        <v>11404818.1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-0.44329896907216459</v>
      </c>
      <c r="Q632">
        <f t="shared" si="990"/>
        <v>-5055744.1061855629</v>
      </c>
      <c r="R632">
        <f t="shared" si="991"/>
        <v>5976674.2003556881</v>
      </c>
      <c r="S632">
        <f t="shared" si="992"/>
        <v>59.766742003556878</v>
      </c>
      <c r="T632">
        <f t="shared" si="993"/>
        <v>5.9766742003556875E-2</v>
      </c>
    </row>
    <row r="633" spans="1:20" x14ac:dyDescent="0.25">
      <c r="A633" s="5">
        <v>43960</v>
      </c>
      <c r="B633">
        <v>2.2890000000000001E-2</v>
      </c>
      <c r="C633">
        <v>2.402E-2</v>
      </c>
      <c r="D633">
        <v>2.2210000000000001E-2</v>
      </c>
      <c r="E633">
        <v>2.2550000000000001E-2</v>
      </c>
      <c r="F633">
        <v>4507377.8</v>
      </c>
      <c r="G633">
        <v>0</v>
      </c>
      <c r="L633" t="s">
        <v>7</v>
      </c>
      <c r="M633" t="s">
        <v>7</v>
      </c>
      <c r="N633" t="s">
        <v>8</v>
      </c>
      <c r="P633">
        <f t="shared" si="989"/>
        <v>-0.62430939226519311</v>
      </c>
      <c r="Q633">
        <f t="shared" si="990"/>
        <v>-2813998.295027623</v>
      </c>
      <c r="R633">
        <f t="shared" si="991"/>
        <v>11032418.306541251</v>
      </c>
      <c r="S633">
        <f t="shared" si="992"/>
        <v>110.32418306541251</v>
      </c>
      <c r="T633">
        <f t="shared" si="993"/>
        <v>0.11032418306541251</v>
      </c>
    </row>
    <row r="634" spans="1:20" x14ac:dyDescent="0.25">
      <c r="A634" s="5">
        <v>43959</v>
      </c>
      <c r="B634">
        <v>2.1919999999999999E-2</v>
      </c>
      <c r="C634">
        <v>2.3800000000000002E-2</v>
      </c>
      <c r="D634">
        <v>2.1350000000000001E-2</v>
      </c>
      <c r="E634">
        <v>2.3E-2</v>
      </c>
      <c r="F634">
        <v>7683993.4000000004</v>
      </c>
      <c r="G634">
        <v>0</v>
      </c>
      <c r="L634" t="s">
        <v>8</v>
      </c>
      <c r="M634" t="s">
        <v>7</v>
      </c>
      <c r="N634" t="s">
        <v>8</v>
      </c>
      <c r="P634">
        <f t="shared" si="989"/>
        <v>0.34693877551020258</v>
      </c>
      <c r="Q634">
        <f t="shared" si="990"/>
        <v>2665875.2612244785</v>
      </c>
      <c r="R634">
        <f t="shared" si="991"/>
        <v>13846416.601568874</v>
      </c>
      <c r="S634">
        <f t="shared" si="992"/>
        <v>138.46416601568873</v>
      </c>
      <c r="T634">
        <f t="shared" si="993"/>
        <v>0.13846416601568873</v>
      </c>
    </row>
    <row r="635" spans="1:20" x14ac:dyDescent="0.25">
      <c r="A635" s="5">
        <v>43958</v>
      </c>
      <c r="B635">
        <v>2.1000000000000001E-2</v>
      </c>
      <c r="C635">
        <v>2.2040000000000001E-2</v>
      </c>
      <c r="D635">
        <v>2.0709999999999999E-2</v>
      </c>
      <c r="E635">
        <v>2.1919999999999999E-2</v>
      </c>
      <c r="F635">
        <v>2529939.7000000002</v>
      </c>
      <c r="G635">
        <v>0</v>
      </c>
      <c r="L635" t="s">
        <v>7</v>
      </c>
      <c r="M635" t="s">
        <v>7</v>
      </c>
      <c r="N635" t="s">
        <v>8</v>
      </c>
      <c r="P635">
        <f t="shared" si="989"/>
        <v>0.81954887218044825</v>
      </c>
      <c r="Q635">
        <f t="shared" si="990"/>
        <v>2073409.2278195417</v>
      </c>
      <c r="R635">
        <f t="shared" si="991"/>
        <v>11180541.340344395</v>
      </c>
      <c r="S635">
        <f t="shared" si="992"/>
        <v>111.80541340344395</v>
      </c>
      <c r="T635">
        <f t="shared" si="993"/>
        <v>0.11180541340344395</v>
      </c>
    </row>
    <row r="636" spans="1:20" x14ac:dyDescent="0.25">
      <c r="A636" s="5">
        <v>43957</v>
      </c>
      <c r="B636">
        <v>2.1569999999999999E-2</v>
      </c>
      <c r="C636">
        <v>2.2020000000000001E-2</v>
      </c>
      <c r="D636">
        <v>2.1100000000000001E-2</v>
      </c>
      <c r="E636">
        <v>2.1139999999999999E-2</v>
      </c>
      <c r="F636">
        <v>2992756.7</v>
      </c>
      <c r="G636">
        <v>0</v>
      </c>
      <c r="L636" t="s">
        <v>7</v>
      </c>
      <c r="M636" t="s">
        <v>7</v>
      </c>
      <c r="N636" t="s">
        <v>8</v>
      </c>
      <c r="P636">
        <f t="shared" si="989"/>
        <v>-0.91304347826087318</v>
      </c>
      <c r="Q636">
        <f t="shared" si="990"/>
        <v>-2732516.9869565326</v>
      </c>
      <c r="R636">
        <f t="shared" si="991"/>
        <v>9107132.112524854</v>
      </c>
      <c r="S636">
        <f t="shared" si="992"/>
        <v>91.071321125248545</v>
      </c>
      <c r="T636">
        <f t="shared" si="993"/>
        <v>9.1071321125248544E-2</v>
      </c>
    </row>
    <row r="637" spans="1:20" x14ac:dyDescent="0.25">
      <c r="A637" s="5">
        <v>43956</v>
      </c>
      <c r="B637">
        <v>2.1430000000000001E-2</v>
      </c>
      <c r="C637">
        <v>2.2790000000000001E-2</v>
      </c>
      <c r="D637">
        <v>2.0709999999999999E-2</v>
      </c>
      <c r="E637">
        <v>2.1569999999999999E-2</v>
      </c>
      <c r="F637">
        <v>4270178.2</v>
      </c>
      <c r="G637">
        <v>0</v>
      </c>
      <c r="L637" t="s">
        <v>8</v>
      </c>
      <c r="M637" t="s">
        <v>7</v>
      </c>
      <c r="N637" t="s">
        <v>8</v>
      </c>
      <c r="P637">
        <f t="shared" si="989"/>
        <v>-0.17307692307692421</v>
      </c>
      <c r="Q637">
        <f t="shared" si="990"/>
        <v>-739069.30384615867</v>
      </c>
      <c r="R637">
        <f t="shared" si="991"/>
        <v>11839649.099481387</v>
      </c>
      <c r="S637">
        <f t="shared" si="992"/>
        <v>118.39649099481387</v>
      </c>
      <c r="T637">
        <f t="shared" si="993"/>
        <v>0.11839649099481388</v>
      </c>
    </row>
    <row r="638" spans="1:20" x14ac:dyDescent="0.25">
      <c r="A638" s="5">
        <v>43955</v>
      </c>
      <c r="B638">
        <v>2.1770000000000001E-2</v>
      </c>
      <c r="C638">
        <v>2.1770000000000001E-2</v>
      </c>
      <c r="D638">
        <v>2.036E-2</v>
      </c>
      <c r="E638">
        <v>2.1389999999999999E-2</v>
      </c>
      <c r="F638">
        <v>2202219.6</v>
      </c>
      <c r="G638">
        <v>0</v>
      </c>
      <c r="L638" t="s">
        <v>7</v>
      </c>
      <c r="M638" t="s">
        <v>7</v>
      </c>
      <c r="N638" t="s">
        <v>8</v>
      </c>
      <c r="P638">
        <f t="shared" si="989"/>
        <v>0.46099290780141639</v>
      </c>
      <c r="Q638">
        <f t="shared" si="990"/>
        <v>1015207.6170212721</v>
      </c>
      <c r="R638">
        <f t="shared" si="991"/>
        <v>12578718.403327545</v>
      </c>
      <c r="S638">
        <f t="shared" si="992"/>
        <v>125.78718403327545</v>
      </c>
      <c r="T638">
        <f t="shared" si="993"/>
        <v>0.12578718403327546</v>
      </c>
    </row>
    <row r="639" spans="1:20" x14ac:dyDescent="0.25">
      <c r="A639" s="5">
        <v>43954</v>
      </c>
      <c r="B639">
        <v>2.3109999999999999E-2</v>
      </c>
      <c r="C639">
        <v>2.333E-2</v>
      </c>
      <c r="D639">
        <v>2.1139999999999999E-2</v>
      </c>
      <c r="E639">
        <v>2.1659999999999999E-2</v>
      </c>
      <c r="F639">
        <v>3616766.4</v>
      </c>
      <c r="G639">
        <v>0</v>
      </c>
      <c r="L639" t="s">
        <v>7</v>
      </c>
      <c r="M639" t="s">
        <v>7</v>
      </c>
      <c r="N639" t="s">
        <v>8</v>
      </c>
      <c r="P639">
        <f t="shared" si="989"/>
        <v>-0.52511415525114213</v>
      </c>
      <c r="Q639">
        <f t="shared" si="990"/>
        <v>-1899215.2328767143</v>
      </c>
      <c r="R639">
        <f t="shared" si="991"/>
        <v>11563510.786306273</v>
      </c>
      <c r="S639">
        <f t="shared" si="992"/>
        <v>115.63510786306273</v>
      </c>
      <c r="T639">
        <f t="shared" si="993"/>
        <v>0.11563510786306273</v>
      </c>
    </row>
    <row r="640" spans="1:20" x14ac:dyDescent="0.25">
      <c r="A640" s="5">
        <v>43953</v>
      </c>
      <c r="B640">
        <v>2.2839999999999999E-2</v>
      </c>
      <c r="C640">
        <v>2.3709999999999998E-2</v>
      </c>
      <c r="D640">
        <v>2.2290000000000001E-2</v>
      </c>
      <c r="E640">
        <v>2.3109999999999999E-2</v>
      </c>
      <c r="F640">
        <v>8567811.9000000004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0.15492957746478755</v>
      </c>
      <c r="Q640">
        <f t="shared" si="990"/>
        <v>1327407.4774647788</v>
      </c>
      <c r="R640">
        <f t="shared" si="991"/>
        <v>13462726.019182988</v>
      </c>
      <c r="S640">
        <f t="shared" si="992"/>
        <v>134.62726019182986</v>
      </c>
      <c r="T640">
        <f t="shared" si="993"/>
        <v>0.13462726019182986</v>
      </c>
    </row>
    <row r="641" spans="1:20" x14ac:dyDescent="0.25">
      <c r="A641" s="5">
        <v>43952</v>
      </c>
      <c r="B641">
        <v>2.07E-2</v>
      </c>
      <c r="C641">
        <v>2.5520000000000001E-2</v>
      </c>
      <c r="D641">
        <v>2.07E-2</v>
      </c>
      <c r="E641">
        <v>2.3009999999999999E-2</v>
      </c>
      <c r="F641">
        <v>14064287.6</v>
      </c>
      <c r="G641">
        <v>0</v>
      </c>
      <c r="L641" t="s">
        <v>8</v>
      </c>
      <c r="M641" t="s">
        <v>8</v>
      </c>
      <c r="N641" t="s">
        <v>8</v>
      </c>
      <c r="P641">
        <f t="shared" si="989"/>
        <v>-4.1493775933610415E-2</v>
      </c>
      <c r="Q641">
        <f t="shared" si="990"/>
        <v>-583580.39834025537</v>
      </c>
      <c r="R641">
        <f t="shared" si="991"/>
        <v>12135318.541718209</v>
      </c>
      <c r="S641">
        <f t="shared" si="992"/>
        <v>121.35318541718209</v>
      </c>
      <c r="T641">
        <f t="shared" si="993"/>
        <v>0.12135318541718208</v>
      </c>
    </row>
    <row r="642" spans="1:20" x14ac:dyDescent="0.25">
      <c r="A642" s="5">
        <v>43951</v>
      </c>
      <c r="B642">
        <v>2.1649999999999999E-2</v>
      </c>
      <c r="C642">
        <v>2.2689999999999998E-2</v>
      </c>
      <c r="D642">
        <v>2.001E-2</v>
      </c>
      <c r="E642">
        <v>2.0539999999999999E-2</v>
      </c>
      <c r="F642">
        <v>5481670.2999999998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-0.60447761194029881</v>
      </c>
      <c r="Q642">
        <f t="shared" si="990"/>
        <v>-3313546.9723880612</v>
      </c>
      <c r="R642">
        <f t="shared" si="991"/>
        <v>12718898.940058464</v>
      </c>
      <c r="S642">
        <f t="shared" si="992"/>
        <v>127.18898940058465</v>
      </c>
      <c r="T642">
        <f t="shared" si="993"/>
        <v>0.12718898940058465</v>
      </c>
    </row>
    <row r="643" spans="1:20" x14ac:dyDescent="0.25">
      <c r="A643" s="5">
        <v>43950</v>
      </c>
      <c r="B643">
        <v>2.0490000000000001E-2</v>
      </c>
      <c r="C643">
        <v>2.179E-2</v>
      </c>
      <c r="D643">
        <v>2.0469999999999999E-2</v>
      </c>
      <c r="E643">
        <v>2.1579999999999998E-2</v>
      </c>
      <c r="F643">
        <v>4921535.9000000004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0.68181818181817944</v>
      </c>
      <c r="Q643">
        <f t="shared" si="990"/>
        <v>3355592.6590908975</v>
      </c>
      <c r="R643">
        <f t="shared" si="991"/>
        <v>16032445.912446525</v>
      </c>
      <c r="S643">
        <f t="shared" si="992"/>
        <v>160.32445912446525</v>
      </c>
      <c r="T643">
        <f t="shared" si="993"/>
        <v>0.16032445912446525</v>
      </c>
    </row>
    <row r="644" spans="1:20" x14ac:dyDescent="0.25">
      <c r="A644" s="5">
        <v>43949</v>
      </c>
      <c r="B644">
        <v>2.0420000000000001E-2</v>
      </c>
      <c r="C644">
        <v>2.07E-2</v>
      </c>
      <c r="D644">
        <v>0.02</v>
      </c>
      <c r="E644">
        <v>2.0490000000000001E-2</v>
      </c>
      <c r="F644">
        <v>1001280.3</v>
      </c>
      <c r="G644">
        <v>0</v>
      </c>
      <c r="L644" t="s">
        <v>8</v>
      </c>
      <c r="M644" t="s">
        <v>7</v>
      </c>
      <c r="N644" t="s">
        <v>8</v>
      </c>
      <c r="P644">
        <f t="shared" si="989"/>
        <v>0.40000000000000396</v>
      </c>
      <c r="Q644">
        <f t="shared" si="990"/>
        <v>400512.12000000401</v>
      </c>
      <c r="R644">
        <f t="shared" si="991"/>
        <v>12676853.253355628</v>
      </c>
      <c r="S644">
        <f t="shared" si="992"/>
        <v>126.76853253355628</v>
      </c>
      <c r="T644">
        <f t="shared" si="993"/>
        <v>0.12676853253355627</v>
      </c>
    </row>
    <row r="645" spans="1:20" x14ac:dyDescent="0.25">
      <c r="A645" s="5">
        <v>43948</v>
      </c>
      <c r="B645">
        <v>2.0879999999999999E-2</v>
      </c>
      <c r="C645">
        <v>2.1000000000000001E-2</v>
      </c>
      <c r="D645">
        <v>2.0160000000000001E-2</v>
      </c>
      <c r="E645">
        <v>2.0400000000000001E-2</v>
      </c>
      <c r="F645">
        <v>2255564.7999999998</v>
      </c>
      <c r="G645">
        <v>0</v>
      </c>
      <c r="L645" t="s">
        <v>8</v>
      </c>
      <c r="M645" t="s">
        <v>7</v>
      </c>
      <c r="N645" t="s">
        <v>8</v>
      </c>
      <c r="P645">
        <f t="shared" si="989"/>
        <v>-0.42857142857142738</v>
      </c>
      <c r="Q645">
        <f t="shared" si="990"/>
        <v>-966670.6285714258</v>
      </c>
      <c r="R645">
        <f t="shared" si="991"/>
        <v>12276341.133355623</v>
      </c>
      <c r="S645">
        <f t="shared" si="992"/>
        <v>122.76341133355623</v>
      </c>
      <c r="T645">
        <f t="shared" si="993"/>
        <v>0.12276341133355624</v>
      </c>
    </row>
    <row r="646" spans="1:20" x14ac:dyDescent="0.25">
      <c r="A646" s="5">
        <v>43947</v>
      </c>
      <c r="B646">
        <v>2.0639999999999999E-2</v>
      </c>
      <c r="C646">
        <v>2.0959999999999999E-2</v>
      </c>
      <c r="D646">
        <v>2.0320000000000001E-2</v>
      </c>
      <c r="E646">
        <v>2.078E-2</v>
      </c>
      <c r="F646">
        <v>2370952.2000000002</v>
      </c>
      <c r="G646">
        <v>0</v>
      </c>
      <c r="L646" t="s">
        <v>8</v>
      </c>
      <c r="M646" t="s">
        <v>7</v>
      </c>
      <c r="N646" t="s">
        <v>8</v>
      </c>
      <c r="P646">
        <f t="shared" ref="P646:P709" si="994">IF(C646=D646,0,((E646-D646)-(C646-E646))/(C646-D646))</f>
        <v>0.43749999999999967</v>
      </c>
      <c r="Q646">
        <f t="shared" ref="Q646:Q709" si="995">F646*P646</f>
        <v>1037291.5874999993</v>
      </c>
      <c r="R646">
        <f t="shared" ref="R646:R709" si="996">R647+Q646</f>
        <v>13243011.76192705</v>
      </c>
      <c r="S646">
        <f t="shared" ref="S646:S709" si="997">R646/100000</f>
        <v>132.4301176192705</v>
      </c>
      <c r="T646">
        <f t="shared" ref="T646:T709" si="998">S646/1000</f>
        <v>0.13243011761927051</v>
      </c>
    </row>
    <row r="647" spans="1:20" x14ac:dyDescent="0.25">
      <c r="A647" s="5">
        <v>43946</v>
      </c>
      <c r="B647">
        <v>2.0469999999999999E-2</v>
      </c>
      <c r="C647">
        <v>2.0799999999999999E-2</v>
      </c>
      <c r="D647">
        <v>2.0070000000000001E-2</v>
      </c>
      <c r="E647">
        <v>2.0719999999999999E-2</v>
      </c>
      <c r="F647">
        <v>1922863.2</v>
      </c>
      <c r="G647">
        <v>0</v>
      </c>
      <c r="L647" t="s">
        <v>8</v>
      </c>
      <c r="M647" t="s">
        <v>7</v>
      </c>
      <c r="N647" t="s">
        <v>8</v>
      </c>
      <c r="P647">
        <f t="shared" si="994"/>
        <v>0.78082191780821797</v>
      </c>
      <c r="Q647">
        <f t="shared" si="995"/>
        <v>1501413.7315068468</v>
      </c>
      <c r="R647">
        <f t="shared" si="996"/>
        <v>12205720.174427051</v>
      </c>
      <c r="S647">
        <f t="shared" si="997"/>
        <v>122.05720174427051</v>
      </c>
      <c r="T647">
        <f t="shared" si="998"/>
        <v>0.12205720174427051</v>
      </c>
    </row>
    <row r="648" spans="1:20" x14ac:dyDescent="0.25">
      <c r="A648" s="5">
        <v>43945</v>
      </c>
      <c r="B648">
        <v>1.9699999999999999E-2</v>
      </c>
      <c r="C648">
        <v>2.0500000000000001E-2</v>
      </c>
      <c r="D648">
        <v>1.9609999999999999E-2</v>
      </c>
      <c r="E648">
        <v>2.036E-2</v>
      </c>
      <c r="F648">
        <v>1530099.8</v>
      </c>
      <c r="G648">
        <v>0</v>
      </c>
      <c r="L648" t="s">
        <v>8</v>
      </c>
      <c r="M648" t="s">
        <v>7</v>
      </c>
      <c r="N648" t="s">
        <v>8</v>
      </c>
      <c r="P648">
        <f t="shared" si="994"/>
        <v>0.68539325842696419</v>
      </c>
      <c r="Q648">
        <f t="shared" si="995"/>
        <v>1048720.0876404461</v>
      </c>
      <c r="R648">
        <f t="shared" si="996"/>
        <v>10704306.442920204</v>
      </c>
      <c r="S648">
        <f t="shared" si="997"/>
        <v>107.04306442920205</v>
      </c>
      <c r="T648">
        <f t="shared" si="998"/>
        <v>0.10704306442920204</v>
      </c>
    </row>
    <row r="649" spans="1:20" x14ac:dyDescent="0.25">
      <c r="A649" s="5">
        <v>43944</v>
      </c>
      <c r="B649">
        <v>1.9029999999999998E-2</v>
      </c>
      <c r="C649">
        <v>2.027E-2</v>
      </c>
      <c r="D649">
        <v>1.873E-2</v>
      </c>
      <c r="E649">
        <v>1.9699999999999999E-2</v>
      </c>
      <c r="F649">
        <v>2639983.2000000002</v>
      </c>
      <c r="G649">
        <v>0</v>
      </c>
      <c r="L649" t="s">
        <v>8</v>
      </c>
      <c r="M649" t="s">
        <v>7</v>
      </c>
      <c r="N649" t="s">
        <v>8</v>
      </c>
      <c r="P649">
        <f t="shared" si="994"/>
        <v>0.25974025974025822</v>
      </c>
      <c r="Q649">
        <f t="shared" si="995"/>
        <v>685709.92207791808</v>
      </c>
      <c r="R649">
        <f t="shared" si="996"/>
        <v>9655586.3552797586</v>
      </c>
      <c r="S649">
        <f t="shared" si="997"/>
        <v>96.555863552797589</v>
      </c>
      <c r="T649">
        <f t="shared" si="998"/>
        <v>9.6555863552797591E-2</v>
      </c>
    </row>
    <row r="650" spans="1:20" x14ac:dyDescent="0.25">
      <c r="A650" s="5">
        <v>43943</v>
      </c>
      <c r="B650">
        <v>1.8360000000000001E-2</v>
      </c>
      <c r="C650">
        <v>1.925E-2</v>
      </c>
      <c r="D650">
        <v>1.823E-2</v>
      </c>
      <c r="E650">
        <v>1.9029999999999998E-2</v>
      </c>
      <c r="F650">
        <v>929357</v>
      </c>
      <c r="G650">
        <v>0</v>
      </c>
      <c r="L650" t="s">
        <v>7</v>
      </c>
      <c r="M650" t="s">
        <v>7</v>
      </c>
      <c r="N650" t="s">
        <v>8</v>
      </c>
      <c r="P650">
        <f t="shared" si="994"/>
        <v>0.56862745098038936</v>
      </c>
      <c r="Q650">
        <f t="shared" si="995"/>
        <v>528457.90196078166</v>
      </c>
      <c r="R650">
        <f t="shared" si="996"/>
        <v>8969876.4332018401</v>
      </c>
      <c r="S650">
        <f t="shared" si="997"/>
        <v>89.698764332018399</v>
      </c>
      <c r="T650">
        <f t="shared" si="998"/>
        <v>8.9698764332018399E-2</v>
      </c>
    </row>
    <row r="651" spans="1:20" x14ac:dyDescent="0.25">
      <c r="A651" s="5">
        <v>43942</v>
      </c>
      <c r="B651">
        <v>1.8429999999999998E-2</v>
      </c>
      <c r="C651">
        <v>1.865E-2</v>
      </c>
      <c r="D651">
        <v>1.8020000000000001E-2</v>
      </c>
      <c r="E651">
        <v>1.8610000000000002E-2</v>
      </c>
      <c r="F651">
        <v>934262.5</v>
      </c>
      <c r="G651">
        <v>0</v>
      </c>
      <c r="L651" t="s">
        <v>7</v>
      </c>
      <c r="M651" t="s">
        <v>7</v>
      </c>
      <c r="N651" t="s">
        <v>8</v>
      </c>
      <c r="P651">
        <f t="shared" si="994"/>
        <v>0.87301587301587791</v>
      </c>
      <c r="Q651">
        <f t="shared" si="995"/>
        <v>815625.99206349661</v>
      </c>
      <c r="R651">
        <f t="shared" si="996"/>
        <v>8441418.5312410593</v>
      </c>
      <c r="S651">
        <f t="shared" si="997"/>
        <v>84.414185312410595</v>
      </c>
      <c r="T651">
        <f t="shared" si="998"/>
        <v>8.44141853124106E-2</v>
      </c>
    </row>
    <row r="652" spans="1:20" x14ac:dyDescent="0.25">
      <c r="A652" s="5">
        <v>43941</v>
      </c>
      <c r="B652">
        <v>1.9910000000000001E-2</v>
      </c>
      <c r="C652">
        <v>2.034E-2</v>
      </c>
      <c r="D652">
        <v>1.7950000000000001E-2</v>
      </c>
      <c r="E652">
        <v>1.8429999999999998E-2</v>
      </c>
      <c r="F652">
        <v>2930561</v>
      </c>
      <c r="G652">
        <v>0</v>
      </c>
      <c r="L652" t="s">
        <v>8</v>
      </c>
      <c r="M652" t="s">
        <v>7</v>
      </c>
      <c r="N652" t="s">
        <v>8</v>
      </c>
      <c r="P652">
        <f t="shared" si="994"/>
        <v>-0.59832635983263782</v>
      </c>
      <c r="Q652">
        <f t="shared" si="995"/>
        <v>-1753431.895397495</v>
      </c>
      <c r="R652">
        <f t="shared" si="996"/>
        <v>7625792.539177563</v>
      </c>
      <c r="S652">
        <f t="shared" si="997"/>
        <v>76.257925391775629</v>
      </c>
      <c r="T652">
        <f t="shared" si="998"/>
        <v>7.625792539177563E-2</v>
      </c>
    </row>
    <row r="653" spans="1:20" x14ac:dyDescent="0.25">
      <c r="A653" s="5">
        <v>43940</v>
      </c>
      <c r="B653">
        <v>1.9970000000000002E-2</v>
      </c>
      <c r="C653">
        <v>2.019E-2</v>
      </c>
      <c r="D653">
        <v>1.941E-2</v>
      </c>
      <c r="E653">
        <v>1.984E-2</v>
      </c>
      <c r="F653">
        <v>1603886.7</v>
      </c>
      <c r="G653">
        <v>0</v>
      </c>
      <c r="L653" t="s">
        <v>8</v>
      </c>
      <c r="M653" t="s">
        <v>7</v>
      </c>
      <c r="N653" t="s">
        <v>8</v>
      </c>
      <c r="P653">
        <f t="shared" si="994"/>
        <v>0.10256410256410291</v>
      </c>
      <c r="Q653">
        <f t="shared" si="995"/>
        <v>164501.20000000054</v>
      </c>
      <c r="R653">
        <f t="shared" si="996"/>
        <v>9379224.4345750585</v>
      </c>
      <c r="S653">
        <f t="shared" si="997"/>
        <v>93.792244345750589</v>
      </c>
      <c r="T653">
        <f t="shared" si="998"/>
        <v>9.3792244345750592E-2</v>
      </c>
    </row>
    <row r="654" spans="1:20" x14ac:dyDescent="0.25">
      <c r="A654" s="5">
        <v>43939</v>
      </c>
      <c r="B654">
        <v>1.9349999999999999E-2</v>
      </c>
      <c r="C654">
        <v>2.0199999999999999E-2</v>
      </c>
      <c r="D654">
        <v>1.9130000000000001E-2</v>
      </c>
      <c r="E654">
        <v>2.0140000000000002E-2</v>
      </c>
      <c r="F654">
        <v>1922977.2</v>
      </c>
      <c r="G654">
        <v>0</v>
      </c>
      <c r="L654" t="s">
        <v>8</v>
      </c>
      <c r="M654" t="s">
        <v>7</v>
      </c>
      <c r="N654" t="s">
        <v>8</v>
      </c>
      <c r="P654">
        <f t="shared" si="994"/>
        <v>0.88785046728972394</v>
      </c>
      <c r="Q654">
        <f t="shared" si="995"/>
        <v>1707316.2056074848</v>
      </c>
      <c r="R654">
        <f t="shared" si="996"/>
        <v>9214723.2345750574</v>
      </c>
      <c r="S654">
        <f t="shared" si="997"/>
        <v>92.147232345750581</v>
      </c>
      <c r="T654">
        <f t="shared" si="998"/>
        <v>9.2147232345750577E-2</v>
      </c>
    </row>
    <row r="655" spans="1:20" x14ac:dyDescent="0.25">
      <c r="A655" s="5">
        <v>43938</v>
      </c>
      <c r="B655">
        <v>1.933E-2</v>
      </c>
      <c r="C655">
        <v>1.941E-2</v>
      </c>
      <c r="D655">
        <v>1.8800000000000001E-2</v>
      </c>
      <c r="E655">
        <v>1.9310000000000001E-2</v>
      </c>
      <c r="F655">
        <v>701368.3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0.67213114754098524</v>
      </c>
      <c r="Q655">
        <f t="shared" si="995"/>
        <v>471411.48032787006</v>
      </c>
      <c r="R655">
        <f t="shared" si="996"/>
        <v>7507407.0289675733</v>
      </c>
      <c r="S655">
        <f t="shared" si="997"/>
        <v>75.074070289675731</v>
      </c>
      <c r="T655">
        <f t="shared" si="998"/>
        <v>7.5074070289675734E-2</v>
      </c>
    </row>
    <row r="656" spans="1:20" x14ac:dyDescent="0.25">
      <c r="A656" s="5">
        <v>43937</v>
      </c>
      <c r="B656">
        <v>1.8169999999999999E-2</v>
      </c>
      <c r="C656">
        <v>1.9460000000000002E-2</v>
      </c>
      <c r="D656">
        <v>1.7489999999999999E-2</v>
      </c>
      <c r="E656">
        <v>1.925E-2</v>
      </c>
      <c r="F656">
        <v>2236438.5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0.78680203045685126</v>
      </c>
      <c r="Q656">
        <f t="shared" si="995"/>
        <v>1759634.3527918747</v>
      </c>
      <c r="R656">
        <f t="shared" si="996"/>
        <v>7035995.5486397035</v>
      </c>
      <c r="S656">
        <f t="shared" si="997"/>
        <v>70.359955486397041</v>
      </c>
      <c r="T656">
        <f t="shared" si="998"/>
        <v>7.0359955486397036E-2</v>
      </c>
    </row>
    <row r="657" spans="1:20" x14ac:dyDescent="0.25">
      <c r="A657" s="5">
        <v>43936</v>
      </c>
      <c r="B657">
        <v>1.8880000000000001E-2</v>
      </c>
      <c r="C657">
        <v>1.9E-2</v>
      </c>
      <c r="D657">
        <v>1.8180000000000002E-2</v>
      </c>
      <c r="E657">
        <v>1.8190000000000001E-2</v>
      </c>
      <c r="F657">
        <v>872253.1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-0.97560975609756195</v>
      </c>
      <c r="Q657">
        <f t="shared" si="995"/>
        <v>-850978.63414634229</v>
      </c>
      <c r="R657">
        <f t="shared" si="996"/>
        <v>5276361.1958478289</v>
      </c>
      <c r="S657">
        <f t="shared" si="997"/>
        <v>52.763611958478286</v>
      </c>
      <c r="T657">
        <f t="shared" si="998"/>
        <v>5.2763611958478285E-2</v>
      </c>
    </row>
    <row r="658" spans="1:20" x14ac:dyDescent="0.25">
      <c r="A658" s="5">
        <v>43935</v>
      </c>
      <c r="B658">
        <v>1.899E-2</v>
      </c>
      <c r="C658">
        <v>1.924E-2</v>
      </c>
      <c r="D658">
        <v>1.8350000000000002E-2</v>
      </c>
      <c r="E658">
        <v>1.8880000000000001E-2</v>
      </c>
      <c r="F658">
        <v>2157686</v>
      </c>
      <c r="G658">
        <v>0</v>
      </c>
      <c r="L658" t="s">
        <v>7</v>
      </c>
      <c r="M658" t="s">
        <v>7</v>
      </c>
      <c r="N658" t="s">
        <v>8</v>
      </c>
      <c r="P658">
        <f t="shared" si="994"/>
        <v>0.19101123595505654</v>
      </c>
      <c r="Q658">
        <f t="shared" si="995"/>
        <v>412142.26966292213</v>
      </c>
      <c r="R658">
        <f t="shared" si="996"/>
        <v>6127339.8299941709</v>
      </c>
      <c r="S658">
        <f t="shared" si="997"/>
        <v>61.273398299941711</v>
      </c>
      <c r="T658">
        <f t="shared" si="998"/>
        <v>6.127339829994171E-2</v>
      </c>
    </row>
    <row r="659" spans="1:20" x14ac:dyDescent="0.25">
      <c r="A659" s="5">
        <v>43934</v>
      </c>
      <c r="B659">
        <v>1.908E-2</v>
      </c>
      <c r="C659">
        <v>1.925E-2</v>
      </c>
      <c r="D659">
        <v>1.8200000000000001E-2</v>
      </c>
      <c r="E659">
        <v>1.89E-2</v>
      </c>
      <c r="F659">
        <v>1035262.7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0.33333333333333331</v>
      </c>
      <c r="Q659">
        <f t="shared" si="995"/>
        <v>345087.56666666665</v>
      </c>
      <c r="R659">
        <f t="shared" si="996"/>
        <v>5715197.5603312487</v>
      </c>
      <c r="S659">
        <f t="shared" si="997"/>
        <v>57.151975603312486</v>
      </c>
      <c r="T659">
        <f t="shared" si="998"/>
        <v>5.7151975603312484E-2</v>
      </c>
    </row>
    <row r="660" spans="1:20" x14ac:dyDescent="0.25">
      <c r="A660" s="5">
        <v>43933</v>
      </c>
      <c r="B660">
        <v>1.933E-2</v>
      </c>
      <c r="C660">
        <v>2.017E-2</v>
      </c>
      <c r="D660">
        <v>1.8950000000000002E-2</v>
      </c>
      <c r="E660">
        <v>1.9449999999999999E-2</v>
      </c>
      <c r="F660">
        <v>1575844.5</v>
      </c>
      <c r="G660">
        <v>0</v>
      </c>
      <c r="L660" t="s">
        <v>7</v>
      </c>
      <c r="M660" t="s">
        <v>8</v>
      </c>
      <c r="N660" t="s">
        <v>8</v>
      </c>
      <c r="P660">
        <f t="shared" si="994"/>
        <v>-0.18032786885246321</v>
      </c>
      <c r="Q660">
        <f t="shared" si="995"/>
        <v>-284168.68032787548</v>
      </c>
      <c r="R660">
        <f t="shared" si="996"/>
        <v>5370109.9936645823</v>
      </c>
      <c r="S660">
        <f t="shared" si="997"/>
        <v>53.701099936645825</v>
      </c>
      <c r="T660">
        <f t="shared" si="998"/>
        <v>5.3701099936645826E-2</v>
      </c>
    </row>
    <row r="661" spans="1:20" x14ac:dyDescent="0.25">
      <c r="A661" s="5">
        <v>43932</v>
      </c>
      <c r="B661">
        <v>1.942E-2</v>
      </c>
      <c r="C661">
        <v>1.9879999999999998E-2</v>
      </c>
      <c r="D661">
        <v>1.8950000000000002E-2</v>
      </c>
      <c r="E661">
        <v>1.933E-2</v>
      </c>
      <c r="F661">
        <v>1570636.3</v>
      </c>
      <c r="G661">
        <v>0</v>
      </c>
      <c r="L661" t="s">
        <v>7</v>
      </c>
      <c r="M661" t="s">
        <v>8</v>
      </c>
      <c r="N661" t="s">
        <v>8</v>
      </c>
      <c r="P661">
        <f t="shared" si="994"/>
        <v>-0.18279569892473183</v>
      </c>
      <c r="Q661">
        <f t="shared" si="995"/>
        <v>-287105.56021505478</v>
      </c>
      <c r="R661">
        <f t="shared" si="996"/>
        <v>5654278.6739924578</v>
      </c>
      <c r="S661">
        <f t="shared" si="997"/>
        <v>56.54278673992458</v>
      </c>
      <c r="T661">
        <f t="shared" si="998"/>
        <v>5.6542786739924578E-2</v>
      </c>
    </row>
    <row r="662" spans="1:20" x14ac:dyDescent="0.25">
      <c r="A662" s="5">
        <v>43931</v>
      </c>
      <c r="B662">
        <v>2.1559999999999999E-2</v>
      </c>
      <c r="C662">
        <v>2.164E-2</v>
      </c>
      <c r="D662">
        <v>1.891E-2</v>
      </c>
      <c r="E662">
        <v>1.942E-2</v>
      </c>
      <c r="F662">
        <v>5040568.5999999996</v>
      </c>
      <c r="G662">
        <v>0</v>
      </c>
      <c r="L662" t="s">
        <v>7</v>
      </c>
      <c r="M662" t="s">
        <v>8</v>
      </c>
      <c r="N662" t="s">
        <v>8</v>
      </c>
      <c r="P662">
        <f t="shared" si="994"/>
        <v>-0.62637362637362637</v>
      </c>
      <c r="Q662">
        <f t="shared" si="995"/>
        <v>-3157279.2329670326</v>
      </c>
      <c r="R662">
        <f t="shared" si="996"/>
        <v>5941384.2342075128</v>
      </c>
      <c r="S662">
        <f t="shared" si="997"/>
        <v>59.413842342075128</v>
      </c>
      <c r="T662">
        <f t="shared" si="998"/>
        <v>5.9413842342075127E-2</v>
      </c>
    </row>
    <row r="663" spans="1:20" x14ac:dyDescent="0.25">
      <c r="A663" s="5">
        <v>43930</v>
      </c>
      <c r="B663">
        <v>2.0899999999999998E-2</v>
      </c>
      <c r="C663">
        <v>2.196E-2</v>
      </c>
      <c r="D663">
        <v>2.0740000000000001E-2</v>
      </c>
      <c r="E663">
        <v>2.1739999999999999E-2</v>
      </c>
      <c r="F663">
        <v>3622717.5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0.63934426229507924</v>
      </c>
      <c r="Q663">
        <f t="shared" si="995"/>
        <v>2316163.6475409735</v>
      </c>
      <c r="R663">
        <f t="shared" si="996"/>
        <v>9098663.4671745449</v>
      </c>
      <c r="S663">
        <f t="shared" si="997"/>
        <v>90.986634671745449</v>
      </c>
      <c r="T663">
        <f t="shared" si="998"/>
        <v>9.0986634671745448E-2</v>
      </c>
    </row>
    <row r="664" spans="1:20" x14ac:dyDescent="0.25">
      <c r="A664" s="5">
        <v>43929</v>
      </c>
      <c r="B664">
        <v>2.018E-2</v>
      </c>
      <c r="C664">
        <v>2.0969999999999999E-2</v>
      </c>
      <c r="D664">
        <v>1.9970000000000002E-2</v>
      </c>
      <c r="E664">
        <v>2.0899999999999998E-2</v>
      </c>
      <c r="F664">
        <v>3218941.8</v>
      </c>
      <c r="G664">
        <v>0</v>
      </c>
      <c r="L664" t="s">
        <v>8</v>
      </c>
      <c r="M664" t="s">
        <v>8</v>
      </c>
      <c r="N664" t="s">
        <v>8</v>
      </c>
      <c r="P664">
        <f t="shared" si="994"/>
        <v>0.85999999999999843</v>
      </c>
      <c r="Q664">
        <f t="shared" si="995"/>
        <v>2768289.9479999947</v>
      </c>
      <c r="R664">
        <f t="shared" si="996"/>
        <v>6782499.8196335714</v>
      </c>
      <c r="S664">
        <f t="shared" si="997"/>
        <v>67.824998196335713</v>
      </c>
      <c r="T664">
        <f t="shared" si="998"/>
        <v>6.7824998196335709E-2</v>
      </c>
    </row>
    <row r="665" spans="1:20" x14ac:dyDescent="0.25">
      <c r="A665" s="5">
        <v>43928</v>
      </c>
      <c r="B665">
        <v>2.0500000000000001E-2</v>
      </c>
      <c r="C665">
        <v>2.102E-2</v>
      </c>
      <c r="D665">
        <v>1.9970000000000002E-2</v>
      </c>
      <c r="E665">
        <v>2.027E-2</v>
      </c>
      <c r="F665">
        <v>3157548.7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-0.42857142857143138</v>
      </c>
      <c r="Q665">
        <f t="shared" si="995"/>
        <v>-1353235.1571428662</v>
      </c>
      <c r="R665">
        <f t="shared" si="996"/>
        <v>4014209.8716335762</v>
      </c>
      <c r="S665">
        <f t="shared" si="997"/>
        <v>40.142098716335759</v>
      </c>
      <c r="T665">
        <f t="shared" si="998"/>
        <v>4.0142098716335763E-2</v>
      </c>
    </row>
    <row r="666" spans="1:20" x14ac:dyDescent="0.25">
      <c r="A666" s="5">
        <v>43927</v>
      </c>
      <c r="B666">
        <v>1.932E-2</v>
      </c>
      <c r="C666">
        <v>2.0580000000000001E-2</v>
      </c>
      <c r="D666">
        <v>1.9259999999999999E-2</v>
      </c>
      <c r="E666">
        <v>2.0449999999999999E-2</v>
      </c>
      <c r="F666">
        <v>3489763.3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0.80303030303030076</v>
      </c>
      <c r="Q666">
        <f t="shared" si="995"/>
        <v>2802385.6803030223</v>
      </c>
      <c r="R666">
        <f t="shared" si="996"/>
        <v>5367445.0287764426</v>
      </c>
      <c r="S666">
        <f t="shared" si="997"/>
        <v>53.674450287764429</v>
      </c>
      <c r="T666">
        <f t="shared" si="998"/>
        <v>5.3674450287764429E-2</v>
      </c>
    </row>
    <row r="667" spans="1:20" x14ac:dyDescent="0.25">
      <c r="A667" s="5">
        <v>43926</v>
      </c>
      <c r="B667">
        <v>1.9609999999999999E-2</v>
      </c>
      <c r="C667">
        <v>2.0500000000000001E-2</v>
      </c>
      <c r="D667">
        <v>1.9050000000000001E-2</v>
      </c>
      <c r="E667">
        <v>1.9140000000000001E-2</v>
      </c>
      <c r="F667">
        <v>3627341.1</v>
      </c>
      <c r="G667">
        <v>0</v>
      </c>
      <c r="L667" t="s">
        <v>8</v>
      </c>
      <c r="M667" t="s">
        <v>8</v>
      </c>
      <c r="N667" t="s">
        <v>8</v>
      </c>
      <c r="P667">
        <f t="shared" si="994"/>
        <v>-0.87586206896551755</v>
      </c>
      <c r="Q667">
        <f t="shared" si="995"/>
        <v>-3177050.4806896565</v>
      </c>
      <c r="R667">
        <f t="shared" si="996"/>
        <v>2565059.3484734208</v>
      </c>
      <c r="S667">
        <f t="shared" si="997"/>
        <v>25.650593484734209</v>
      </c>
      <c r="T667">
        <f t="shared" si="998"/>
        <v>2.565059348473421E-2</v>
      </c>
    </row>
    <row r="668" spans="1:20" x14ac:dyDescent="0.25">
      <c r="A668" s="5">
        <v>43925</v>
      </c>
      <c r="B668">
        <v>1.9439999999999999E-2</v>
      </c>
      <c r="C668">
        <v>1.9990000000000001E-2</v>
      </c>
      <c r="D668">
        <v>1.9109999999999999E-2</v>
      </c>
      <c r="E668">
        <v>1.959E-2</v>
      </c>
      <c r="F668">
        <v>2928475.2</v>
      </c>
      <c r="G668">
        <v>0</v>
      </c>
      <c r="L668" t="s">
        <v>8</v>
      </c>
      <c r="M668" t="s">
        <v>8</v>
      </c>
      <c r="N668" t="s">
        <v>8</v>
      </c>
      <c r="P668">
        <f t="shared" si="994"/>
        <v>9.0909090909090912E-2</v>
      </c>
      <c r="Q668">
        <f t="shared" si="995"/>
        <v>266225.01818181819</v>
      </c>
      <c r="R668">
        <f t="shared" si="996"/>
        <v>5742109.8291630773</v>
      </c>
      <c r="S668">
        <f t="shared" si="997"/>
        <v>57.42109829163077</v>
      </c>
      <c r="T668">
        <f t="shared" si="998"/>
        <v>5.7421098291630772E-2</v>
      </c>
    </row>
    <row r="669" spans="1:20" x14ac:dyDescent="0.25">
      <c r="A669" s="5">
        <v>43924</v>
      </c>
      <c r="B669">
        <v>1.907E-2</v>
      </c>
      <c r="C669">
        <v>1.976E-2</v>
      </c>
      <c r="D669">
        <v>1.8700000000000001E-2</v>
      </c>
      <c r="E669">
        <v>1.9519999999999999E-2</v>
      </c>
      <c r="F669">
        <v>3333002.2</v>
      </c>
      <c r="G669">
        <v>0</v>
      </c>
      <c r="L669" t="s">
        <v>8</v>
      </c>
      <c r="M669" t="s">
        <v>8</v>
      </c>
      <c r="N669" t="s">
        <v>8</v>
      </c>
      <c r="P669">
        <f t="shared" si="994"/>
        <v>0.54716981132075282</v>
      </c>
      <c r="Q669">
        <f t="shared" si="995"/>
        <v>1823718.1849056541</v>
      </c>
      <c r="R669">
        <f t="shared" si="996"/>
        <v>5475884.8109812587</v>
      </c>
      <c r="S669">
        <f t="shared" si="997"/>
        <v>54.75884810981259</v>
      </c>
      <c r="T669">
        <f t="shared" si="998"/>
        <v>5.4758848109812588E-2</v>
      </c>
    </row>
    <row r="670" spans="1:20" x14ac:dyDescent="0.25">
      <c r="A670" s="5">
        <v>43923</v>
      </c>
      <c r="B670">
        <v>1.8780000000000002E-2</v>
      </c>
      <c r="C670">
        <v>1.983E-2</v>
      </c>
      <c r="D670">
        <v>1.8339999999999999E-2</v>
      </c>
      <c r="E670">
        <v>1.915E-2</v>
      </c>
      <c r="F670">
        <v>2257792.4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8.7248322147652005E-2</v>
      </c>
      <c r="Q670">
        <f t="shared" si="995"/>
        <v>196988.59865772037</v>
      </c>
      <c r="R670">
        <f t="shared" si="996"/>
        <v>3652166.6260756045</v>
      </c>
      <c r="S670">
        <f t="shared" si="997"/>
        <v>36.521666260756042</v>
      </c>
      <c r="T670">
        <f t="shared" si="998"/>
        <v>3.6521666260756043E-2</v>
      </c>
    </row>
    <row r="671" spans="1:20" x14ac:dyDescent="0.25">
      <c r="A671" s="5">
        <v>43922</v>
      </c>
      <c r="B671">
        <v>1.8769999999999998E-2</v>
      </c>
      <c r="C671">
        <v>1.89E-2</v>
      </c>
      <c r="D671">
        <v>1.7500000000000002E-2</v>
      </c>
      <c r="E671">
        <v>1.8790000000000001E-2</v>
      </c>
      <c r="F671">
        <v>2733649.5</v>
      </c>
      <c r="G671">
        <v>0</v>
      </c>
      <c r="L671" t="s">
        <v>7</v>
      </c>
      <c r="M671" t="s">
        <v>8</v>
      </c>
      <c r="N671" t="s">
        <v>8</v>
      </c>
      <c r="P671">
        <f t="shared" si="994"/>
        <v>0.84285714285714408</v>
      </c>
      <c r="Q671">
        <f t="shared" si="995"/>
        <v>2304076.0071428604</v>
      </c>
      <c r="R671">
        <f t="shared" si="996"/>
        <v>3455178.0274178842</v>
      </c>
      <c r="S671">
        <f t="shared" si="997"/>
        <v>34.551780274178839</v>
      </c>
      <c r="T671">
        <f t="shared" si="998"/>
        <v>3.4551780274178837E-2</v>
      </c>
    </row>
    <row r="672" spans="1:20" x14ac:dyDescent="0.25">
      <c r="A672" s="5">
        <v>43921</v>
      </c>
      <c r="B672">
        <v>1.7579999999999998E-2</v>
      </c>
      <c r="C672">
        <v>2.0219999999999998E-2</v>
      </c>
      <c r="D672">
        <v>1.7399999999999999E-2</v>
      </c>
      <c r="E672">
        <v>1.8800000000000001E-2</v>
      </c>
      <c r="F672">
        <v>11116976.300000001</v>
      </c>
      <c r="G672">
        <v>0</v>
      </c>
      <c r="L672" t="s">
        <v>8</v>
      </c>
      <c r="M672" t="s">
        <v>8</v>
      </c>
      <c r="N672" t="s">
        <v>8</v>
      </c>
      <c r="P672">
        <f t="shared" si="994"/>
        <v>-7.0921985815587656E-3</v>
      </c>
      <c r="Q672">
        <f t="shared" si="995"/>
        <v>-78843.803546082418</v>
      </c>
      <c r="R672">
        <f t="shared" si="996"/>
        <v>1151102.0202750235</v>
      </c>
      <c r="S672">
        <f t="shared" si="997"/>
        <v>11.511020202750235</v>
      </c>
      <c r="T672">
        <f t="shared" si="998"/>
        <v>1.1511020202750235E-2</v>
      </c>
    </row>
    <row r="673" spans="1:20" x14ac:dyDescent="0.25">
      <c r="A673" s="5">
        <v>43920</v>
      </c>
      <c r="B673">
        <v>1.6650000000000002E-2</v>
      </c>
      <c r="C673">
        <v>1.8100000000000002E-2</v>
      </c>
      <c r="D673">
        <v>1.6590000000000001E-2</v>
      </c>
      <c r="E673">
        <v>1.7610000000000001E-2</v>
      </c>
      <c r="F673">
        <v>2738620.5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0.350993377483443</v>
      </c>
      <c r="Q673">
        <f t="shared" si="995"/>
        <v>961237.65894039546</v>
      </c>
      <c r="R673">
        <f t="shared" si="996"/>
        <v>1229945.823821106</v>
      </c>
      <c r="S673">
        <f t="shared" si="997"/>
        <v>12.299458238211059</v>
      </c>
      <c r="T673">
        <f t="shared" si="998"/>
        <v>1.2299458238211059E-2</v>
      </c>
    </row>
    <row r="674" spans="1:20" x14ac:dyDescent="0.25">
      <c r="A674" s="5">
        <v>43919</v>
      </c>
      <c r="B674">
        <v>1.787E-2</v>
      </c>
      <c r="C674">
        <v>1.8460000000000001E-2</v>
      </c>
      <c r="D674">
        <v>1.653E-2</v>
      </c>
      <c r="E674">
        <v>1.6709999999999999E-2</v>
      </c>
      <c r="F674">
        <v>1489057.2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-0.81347150259067413</v>
      </c>
      <c r="Q674">
        <f t="shared" si="995"/>
        <v>-1211305.5979274618</v>
      </c>
      <c r="R674">
        <f t="shared" si="996"/>
        <v>268708.16488071042</v>
      </c>
      <c r="S674">
        <f t="shared" si="997"/>
        <v>2.6870816488071041</v>
      </c>
      <c r="T674">
        <f t="shared" si="998"/>
        <v>2.687081648807104E-3</v>
      </c>
    </row>
    <row r="675" spans="1:20" x14ac:dyDescent="0.25">
      <c r="A675" s="5">
        <v>43918</v>
      </c>
      <c r="B675">
        <v>1.8599999999999998E-2</v>
      </c>
      <c r="C675">
        <v>1.8599999999999998E-2</v>
      </c>
      <c r="D675">
        <v>1.7080000000000001E-2</v>
      </c>
      <c r="E675">
        <v>1.787E-2</v>
      </c>
      <c r="F675">
        <v>2417944.9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3.947368421052707E-2</v>
      </c>
      <c r="Q675">
        <f t="shared" si="995"/>
        <v>95445.193421054457</v>
      </c>
      <c r="R675">
        <f t="shared" si="996"/>
        <v>1480013.7628081723</v>
      </c>
      <c r="S675">
        <f t="shared" si="997"/>
        <v>14.800137628081723</v>
      </c>
      <c r="T675">
        <f t="shared" si="998"/>
        <v>1.4800137628081723E-2</v>
      </c>
    </row>
    <row r="676" spans="1:20" x14ac:dyDescent="0.25">
      <c r="A676" s="5">
        <v>43917</v>
      </c>
      <c r="B676">
        <v>1.9460000000000002E-2</v>
      </c>
      <c r="C676">
        <v>1.9789999999999999E-2</v>
      </c>
      <c r="D676">
        <v>1.8499999999999999E-2</v>
      </c>
      <c r="E676">
        <v>1.8749999999999999E-2</v>
      </c>
      <c r="F676">
        <v>5215049.5999999996</v>
      </c>
      <c r="G676">
        <v>0</v>
      </c>
      <c r="L676" t="s">
        <v>8</v>
      </c>
      <c r="M676" t="s">
        <v>7</v>
      </c>
      <c r="N676" t="s">
        <v>8</v>
      </c>
      <c r="P676">
        <f t="shared" si="994"/>
        <v>-0.61240310077519333</v>
      </c>
      <c r="Q676">
        <f t="shared" si="995"/>
        <v>-3193712.5457364316</v>
      </c>
      <c r="R676">
        <f t="shared" si="996"/>
        <v>1384568.5693871179</v>
      </c>
      <c r="S676">
        <f t="shared" si="997"/>
        <v>13.845685693871179</v>
      </c>
      <c r="T676">
        <f t="shared" si="998"/>
        <v>1.3845685693871179E-2</v>
      </c>
    </row>
    <row r="677" spans="1:20" x14ac:dyDescent="0.25">
      <c r="A677" s="5">
        <v>43916</v>
      </c>
      <c r="B677">
        <v>1.9220000000000001E-2</v>
      </c>
      <c r="C677">
        <v>1.9689999999999999E-2</v>
      </c>
      <c r="D677">
        <v>1.8489999999999999E-2</v>
      </c>
      <c r="E677">
        <v>1.9460000000000002E-2</v>
      </c>
      <c r="F677">
        <v>1381346.1</v>
      </c>
      <c r="G677">
        <v>0</v>
      </c>
      <c r="L677" t="s">
        <v>8</v>
      </c>
      <c r="M677" t="s">
        <v>7</v>
      </c>
      <c r="N677" t="s">
        <v>8</v>
      </c>
      <c r="P677">
        <f t="shared" si="994"/>
        <v>0.61666666666667058</v>
      </c>
      <c r="Q677">
        <f t="shared" si="995"/>
        <v>851830.09500000544</v>
      </c>
      <c r="R677">
        <f t="shared" si="996"/>
        <v>4578281.1151235495</v>
      </c>
      <c r="S677">
        <f t="shared" si="997"/>
        <v>45.782811151235492</v>
      </c>
      <c r="T677">
        <f t="shared" si="998"/>
        <v>4.5782811151235489E-2</v>
      </c>
    </row>
    <row r="678" spans="1:20" x14ac:dyDescent="0.25">
      <c r="A678" s="5">
        <v>43915</v>
      </c>
      <c r="B678">
        <v>1.95E-2</v>
      </c>
      <c r="C678">
        <v>1.9810000000000001E-2</v>
      </c>
      <c r="D678">
        <v>1.8249999999999999E-2</v>
      </c>
      <c r="E678">
        <v>1.9189999999999999E-2</v>
      </c>
      <c r="F678">
        <v>2934161.8</v>
      </c>
      <c r="G678">
        <v>0</v>
      </c>
      <c r="L678" t="s">
        <v>7</v>
      </c>
      <c r="M678" t="s">
        <v>7</v>
      </c>
      <c r="N678" t="s">
        <v>8</v>
      </c>
      <c r="P678">
        <f t="shared" si="994"/>
        <v>0.20512820512820312</v>
      </c>
      <c r="Q678">
        <f t="shared" si="995"/>
        <v>601879.34358973766</v>
      </c>
      <c r="R678">
        <f t="shared" si="996"/>
        <v>3726451.0201235437</v>
      </c>
      <c r="S678">
        <f t="shared" si="997"/>
        <v>37.264510201235439</v>
      </c>
      <c r="T678">
        <f t="shared" si="998"/>
        <v>3.7264510201235439E-2</v>
      </c>
    </row>
    <row r="679" spans="1:20" x14ac:dyDescent="0.25">
      <c r="A679" s="5">
        <v>43914</v>
      </c>
      <c r="B679">
        <v>1.9789999999999999E-2</v>
      </c>
      <c r="C679">
        <v>2.0109999999999999E-2</v>
      </c>
      <c r="D679">
        <v>1.848E-2</v>
      </c>
      <c r="E679">
        <v>1.9529999999999999E-2</v>
      </c>
      <c r="F679">
        <v>3035012.3</v>
      </c>
      <c r="G679">
        <v>0</v>
      </c>
      <c r="L679" t="s">
        <v>8</v>
      </c>
      <c r="M679" t="s">
        <v>7</v>
      </c>
      <c r="N679" t="s">
        <v>8</v>
      </c>
      <c r="P679">
        <f t="shared" si="994"/>
        <v>0.28834355828220759</v>
      </c>
      <c r="Q679">
        <f t="shared" si="995"/>
        <v>875126.24601226684</v>
      </c>
      <c r="R679">
        <f t="shared" si="996"/>
        <v>3124571.6765338061</v>
      </c>
      <c r="S679">
        <f t="shared" si="997"/>
        <v>31.245716765338063</v>
      </c>
      <c r="T679">
        <f t="shared" si="998"/>
        <v>3.1245716765338064E-2</v>
      </c>
    </row>
    <row r="680" spans="1:20" x14ac:dyDescent="0.25">
      <c r="A680" s="5">
        <v>43913</v>
      </c>
      <c r="B680">
        <v>1.7639999999999999E-2</v>
      </c>
      <c r="C680">
        <v>2.0289999999999999E-2</v>
      </c>
      <c r="D680">
        <v>1.7389999999999999E-2</v>
      </c>
      <c r="E680">
        <v>1.9810000000000001E-2</v>
      </c>
      <c r="F680">
        <v>2845047.8</v>
      </c>
      <c r="G680">
        <v>0</v>
      </c>
      <c r="L680" t="s">
        <v>7</v>
      </c>
      <c r="M680" t="s">
        <v>7</v>
      </c>
      <c r="N680" t="s">
        <v>8</v>
      </c>
      <c r="P680">
        <f t="shared" si="994"/>
        <v>0.66896551724138076</v>
      </c>
      <c r="Q680">
        <f t="shared" si="995"/>
        <v>1903238.8731034524</v>
      </c>
      <c r="R680">
        <f t="shared" si="996"/>
        <v>2249445.4305215394</v>
      </c>
      <c r="S680">
        <f t="shared" si="997"/>
        <v>22.494454305215395</v>
      </c>
      <c r="T680">
        <f t="shared" si="998"/>
        <v>2.2494454305215395E-2</v>
      </c>
    </row>
    <row r="681" spans="1:20" x14ac:dyDescent="0.25">
      <c r="A681" s="5">
        <v>43912</v>
      </c>
      <c r="B681">
        <v>1.916E-2</v>
      </c>
      <c r="C681">
        <v>2.094E-2</v>
      </c>
      <c r="D681">
        <v>1.772E-2</v>
      </c>
      <c r="E681">
        <v>1.7819999999999999E-2</v>
      </c>
      <c r="F681">
        <v>3138411.8</v>
      </c>
      <c r="G681">
        <v>0</v>
      </c>
      <c r="L681" t="s">
        <v>7</v>
      </c>
      <c r="M681" t="s">
        <v>8</v>
      </c>
      <c r="N681" t="s">
        <v>8</v>
      </c>
      <c r="P681">
        <f t="shared" si="994"/>
        <v>-0.93788819875776441</v>
      </c>
      <c r="Q681">
        <f t="shared" si="995"/>
        <v>-2943479.3900621128</v>
      </c>
      <c r="R681">
        <f t="shared" si="996"/>
        <v>346206.55741808703</v>
      </c>
      <c r="S681">
        <f t="shared" si="997"/>
        <v>3.4620655741808704</v>
      </c>
      <c r="T681">
        <f t="shared" si="998"/>
        <v>3.4620655741808702E-3</v>
      </c>
    </row>
    <row r="682" spans="1:20" x14ac:dyDescent="0.25">
      <c r="A682" s="5">
        <v>43911</v>
      </c>
      <c r="B682">
        <v>1.8780000000000002E-2</v>
      </c>
      <c r="C682">
        <v>2.0719999999999999E-2</v>
      </c>
      <c r="D682">
        <v>1.7979999999999999E-2</v>
      </c>
      <c r="E682">
        <v>1.9199999999999998E-2</v>
      </c>
      <c r="F682">
        <v>4750846.5999999996</v>
      </c>
      <c r="G682">
        <v>0</v>
      </c>
      <c r="L682" t="s">
        <v>7</v>
      </c>
      <c r="M682" t="s">
        <v>8</v>
      </c>
      <c r="N682" t="s">
        <v>8</v>
      </c>
      <c r="P682">
        <f t="shared" si="994"/>
        <v>-0.10948905109489114</v>
      </c>
      <c r="Q682">
        <f t="shared" si="995"/>
        <v>-520165.68613138981</v>
      </c>
      <c r="R682">
        <f t="shared" si="996"/>
        <v>3289685.9474801999</v>
      </c>
      <c r="S682">
        <f t="shared" si="997"/>
        <v>32.896859474802</v>
      </c>
      <c r="T682">
        <f t="shared" si="998"/>
        <v>3.2896859474801997E-2</v>
      </c>
    </row>
    <row r="683" spans="1:20" x14ac:dyDescent="0.25">
      <c r="A683" s="5">
        <v>43910</v>
      </c>
      <c r="B683">
        <v>1.8790000000000001E-2</v>
      </c>
      <c r="C683">
        <v>2.0799999999999999E-2</v>
      </c>
      <c r="D683">
        <v>1.711E-2</v>
      </c>
      <c r="E683">
        <v>1.8620000000000001E-2</v>
      </c>
      <c r="F683">
        <v>7176160.2000000002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-0.18157181571815642</v>
      </c>
      <c r="Q683">
        <f t="shared" si="995"/>
        <v>-1302988.4373983685</v>
      </c>
      <c r="R683">
        <f t="shared" si="996"/>
        <v>3809851.6336115897</v>
      </c>
      <c r="S683">
        <f t="shared" si="997"/>
        <v>38.0985163361159</v>
      </c>
      <c r="T683">
        <f t="shared" si="998"/>
        <v>3.8098516336115898E-2</v>
      </c>
    </row>
    <row r="684" spans="1:20" x14ac:dyDescent="0.25">
      <c r="A684" s="5">
        <v>43909</v>
      </c>
      <c r="B684">
        <v>1.6830000000000001E-2</v>
      </c>
      <c r="C684">
        <v>1.9879999999999998E-2</v>
      </c>
      <c r="D684">
        <v>1.651E-2</v>
      </c>
      <c r="E684">
        <v>1.8579999999999999E-2</v>
      </c>
      <c r="F684">
        <v>7754635.7999999998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0.22848664688427309</v>
      </c>
      <c r="Q684">
        <f t="shared" si="995"/>
        <v>1771830.7317507425</v>
      </c>
      <c r="R684">
        <f t="shared" si="996"/>
        <v>5112840.0710099582</v>
      </c>
      <c r="S684">
        <f t="shared" si="997"/>
        <v>51.128400710099584</v>
      </c>
      <c r="T684">
        <f t="shared" si="998"/>
        <v>5.1128400710099581E-2</v>
      </c>
    </row>
    <row r="685" spans="1:20" x14ac:dyDescent="0.25">
      <c r="A685" s="5">
        <v>43908</v>
      </c>
      <c r="B685">
        <v>1.6240000000000001E-2</v>
      </c>
      <c r="C685">
        <v>1.6719999999999999E-2</v>
      </c>
      <c r="D685">
        <v>1.4919999999999999E-2</v>
      </c>
      <c r="E685">
        <v>1.661E-2</v>
      </c>
      <c r="F685">
        <v>2360576.9</v>
      </c>
      <c r="G685">
        <v>0</v>
      </c>
      <c r="L685" t="s">
        <v>7</v>
      </c>
      <c r="M685" t="s">
        <v>8</v>
      </c>
      <c r="N685" t="s">
        <v>7</v>
      </c>
      <c r="P685">
        <f t="shared" si="994"/>
        <v>0.87777777777777888</v>
      </c>
      <c r="Q685">
        <f t="shared" si="995"/>
        <v>2072061.945555558</v>
      </c>
      <c r="R685">
        <f t="shared" si="996"/>
        <v>3341009.3392592156</v>
      </c>
      <c r="S685">
        <f t="shared" si="997"/>
        <v>33.410093392592159</v>
      </c>
      <c r="T685">
        <f t="shared" si="998"/>
        <v>3.3410093392592162E-2</v>
      </c>
    </row>
    <row r="686" spans="1:20" x14ac:dyDescent="0.25">
      <c r="A686" s="5">
        <v>43907</v>
      </c>
      <c r="B686">
        <v>1.533E-2</v>
      </c>
      <c r="C686">
        <v>1.7149999999999999E-2</v>
      </c>
      <c r="D686">
        <v>1.524E-2</v>
      </c>
      <c r="E686">
        <v>1.6379999999999999E-2</v>
      </c>
      <c r="F686">
        <v>3309898.4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0.19371727748691053</v>
      </c>
      <c r="Q686">
        <f t="shared" si="995"/>
        <v>641184.50680628116</v>
      </c>
      <c r="R686">
        <f t="shared" si="996"/>
        <v>1268947.3937036577</v>
      </c>
      <c r="S686">
        <f t="shared" si="997"/>
        <v>12.689473937036576</v>
      </c>
      <c r="T686">
        <f t="shared" si="998"/>
        <v>1.2689473937036577E-2</v>
      </c>
    </row>
    <row r="687" spans="1:20" x14ac:dyDescent="0.25">
      <c r="A687" s="5">
        <v>43906</v>
      </c>
      <c r="B687">
        <v>1.7940000000000001E-2</v>
      </c>
      <c r="C687">
        <v>1.7950000000000001E-2</v>
      </c>
      <c r="D687">
        <v>1.3559999999999999E-2</v>
      </c>
      <c r="E687">
        <v>1.519E-2</v>
      </c>
      <c r="F687">
        <v>4097629.1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-0.25740318906605891</v>
      </c>
      <c r="Q687">
        <f t="shared" si="995"/>
        <v>-1054742.7979498848</v>
      </c>
      <c r="R687">
        <f t="shared" si="996"/>
        <v>627762.88689737651</v>
      </c>
      <c r="S687">
        <f t="shared" si="997"/>
        <v>6.2776288689737649</v>
      </c>
      <c r="T687">
        <f t="shared" si="998"/>
        <v>6.2776288689737648E-3</v>
      </c>
    </row>
    <row r="688" spans="1:20" x14ac:dyDescent="0.25">
      <c r="A688" s="5">
        <v>43905</v>
      </c>
      <c r="B688">
        <v>1.6719999999999999E-2</v>
      </c>
      <c r="C688">
        <v>1.9130000000000001E-2</v>
      </c>
      <c r="D688">
        <v>1.6660000000000001E-2</v>
      </c>
      <c r="E688">
        <v>1.77E-2</v>
      </c>
      <c r="F688">
        <v>6474439.7000000002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-0.15789473684210587</v>
      </c>
      <c r="Q688">
        <f t="shared" si="995"/>
        <v>-1022279.9526315829</v>
      </c>
      <c r="R688">
        <f t="shared" si="996"/>
        <v>1682505.6848472613</v>
      </c>
      <c r="S688">
        <f t="shared" si="997"/>
        <v>16.825056848472613</v>
      </c>
      <c r="T688">
        <f t="shared" si="998"/>
        <v>1.6825056848472613E-2</v>
      </c>
    </row>
    <row r="689" spans="1:20" x14ac:dyDescent="0.25">
      <c r="A689" s="5">
        <v>43904</v>
      </c>
      <c r="B689">
        <v>1.5570000000000001E-2</v>
      </c>
      <c r="C689">
        <v>1.7520000000000001E-2</v>
      </c>
      <c r="D689">
        <v>1.481E-2</v>
      </c>
      <c r="E689">
        <v>1.6670000000000001E-2</v>
      </c>
      <c r="F689">
        <v>3444396.8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0.37269372693726949</v>
      </c>
      <c r="Q689">
        <f t="shared" si="995"/>
        <v>1283705.0804428048</v>
      </c>
      <c r="R689">
        <f t="shared" si="996"/>
        <v>2704785.6374788443</v>
      </c>
      <c r="S689">
        <f t="shared" si="997"/>
        <v>27.047856374788442</v>
      </c>
      <c r="T689">
        <f t="shared" si="998"/>
        <v>2.7047856374788442E-2</v>
      </c>
    </row>
    <row r="690" spans="1:20" x14ac:dyDescent="0.25">
      <c r="A690" s="5">
        <v>43903</v>
      </c>
      <c r="B690">
        <v>1.406E-2</v>
      </c>
      <c r="C690">
        <v>1.687E-2</v>
      </c>
      <c r="D690">
        <v>9.6900000000000007E-3</v>
      </c>
      <c r="E690">
        <v>1.592E-2</v>
      </c>
      <c r="F690">
        <v>10385781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0.73537604456824524</v>
      </c>
      <c r="Q690">
        <f t="shared" si="995"/>
        <v>7637454.5515320348</v>
      </c>
      <c r="R690">
        <f t="shared" si="996"/>
        <v>1421080.5570360394</v>
      </c>
      <c r="S690">
        <f t="shared" si="997"/>
        <v>14.210805570360394</v>
      </c>
      <c r="T690">
        <f t="shared" si="998"/>
        <v>1.4210805570360394E-2</v>
      </c>
    </row>
    <row r="691" spans="1:20" x14ac:dyDescent="0.25">
      <c r="A691" s="5">
        <v>43902</v>
      </c>
      <c r="B691">
        <v>2.5149999999999999E-2</v>
      </c>
      <c r="C691">
        <v>2.521E-2</v>
      </c>
      <c r="D691">
        <v>1.325E-2</v>
      </c>
      <c r="E691">
        <v>1.3559999999999999E-2</v>
      </c>
      <c r="F691">
        <v>8765776.4000000004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-0.94816053511705689</v>
      </c>
      <c r="Q691">
        <f t="shared" si="995"/>
        <v>-8311363.2421404691</v>
      </c>
      <c r="R691">
        <f t="shared" si="996"/>
        <v>-6216373.9944959953</v>
      </c>
      <c r="S691">
        <f t="shared" si="997"/>
        <v>-62.16373994495995</v>
      </c>
      <c r="T691">
        <f t="shared" si="998"/>
        <v>-6.2163739944959953E-2</v>
      </c>
    </row>
    <row r="692" spans="1:20" x14ac:dyDescent="0.25">
      <c r="A692" s="5">
        <v>43901</v>
      </c>
      <c r="B692">
        <v>2.6919999999999999E-2</v>
      </c>
      <c r="C692">
        <v>2.751E-2</v>
      </c>
      <c r="D692">
        <v>2.3400000000000001E-2</v>
      </c>
      <c r="E692">
        <v>2.521E-2</v>
      </c>
      <c r="F692">
        <v>3973406.9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-0.11922141119221434</v>
      </c>
      <c r="Q692">
        <f t="shared" si="995"/>
        <v>-473715.17785888165</v>
      </c>
      <c r="R692">
        <f t="shared" si="996"/>
        <v>2094989.2476444738</v>
      </c>
      <c r="S692">
        <f t="shared" si="997"/>
        <v>20.949892476444738</v>
      </c>
      <c r="T692">
        <f t="shared" si="998"/>
        <v>2.0949892476444739E-2</v>
      </c>
    </row>
    <row r="693" spans="1:20" x14ac:dyDescent="0.25">
      <c r="A693" s="5">
        <v>43900</v>
      </c>
      <c r="B693">
        <v>2.6349999999999998E-2</v>
      </c>
      <c r="C693">
        <v>2.7289999999999998E-2</v>
      </c>
      <c r="D693">
        <v>2.5930000000000002E-2</v>
      </c>
      <c r="E693">
        <v>2.7119999999999998E-2</v>
      </c>
      <c r="F693">
        <v>1478542.5</v>
      </c>
      <c r="G693">
        <v>0</v>
      </c>
      <c r="L693" t="s">
        <v>8</v>
      </c>
      <c r="M693" t="s">
        <v>7</v>
      </c>
      <c r="N693" t="s">
        <v>8</v>
      </c>
      <c r="P693">
        <f t="shared" si="994"/>
        <v>0.74999999999999933</v>
      </c>
      <c r="Q693">
        <f t="shared" si="995"/>
        <v>1108906.8749999991</v>
      </c>
      <c r="R693">
        <f t="shared" si="996"/>
        <v>2568704.4255033555</v>
      </c>
      <c r="S693">
        <f t="shared" si="997"/>
        <v>25.687044255033555</v>
      </c>
      <c r="T693">
        <f t="shared" si="998"/>
        <v>2.5687044255033556E-2</v>
      </c>
    </row>
    <row r="694" spans="1:20" x14ac:dyDescent="0.25">
      <c r="A694" s="5">
        <v>43899</v>
      </c>
      <c r="B694">
        <v>2.6190000000000001E-2</v>
      </c>
      <c r="C694">
        <v>2.7060000000000001E-2</v>
      </c>
      <c r="D694">
        <v>2.4639999999999999E-2</v>
      </c>
      <c r="E694">
        <v>2.6599999999999999E-2</v>
      </c>
      <c r="F694">
        <v>3086979.2</v>
      </c>
      <c r="G694">
        <v>0</v>
      </c>
      <c r="L694" t="s">
        <v>7</v>
      </c>
      <c r="M694" t="s">
        <v>7</v>
      </c>
      <c r="N694" t="s">
        <v>8</v>
      </c>
      <c r="P694">
        <f t="shared" si="994"/>
        <v>0.61983471074380025</v>
      </c>
      <c r="Q694">
        <f t="shared" si="995"/>
        <v>1913416.8595041281</v>
      </c>
      <c r="R694">
        <f t="shared" si="996"/>
        <v>1459797.5505033566</v>
      </c>
      <c r="S694">
        <f t="shared" si="997"/>
        <v>14.597975505033567</v>
      </c>
      <c r="T694">
        <f t="shared" si="998"/>
        <v>1.4597975505033566E-2</v>
      </c>
    </row>
    <row r="695" spans="1:20" x14ac:dyDescent="0.25">
      <c r="A695" s="5">
        <v>43898</v>
      </c>
      <c r="B695">
        <v>3.252E-2</v>
      </c>
      <c r="C695">
        <v>3.2570000000000002E-2</v>
      </c>
      <c r="D695">
        <v>2.5930000000000002E-2</v>
      </c>
      <c r="E695">
        <v>2.6190000000000001E-2</v>
      </c>
      <c r="F695">
        <v>5021566.2</v>
      </c>
      <c r="G695">
        <v>0</v>
      </c>
      <c r="L695" t="s">
        <v>8</v>
      </c>
      <c r="M695" t="s">
        <v>7</v>
      </c>
      <c r="N695" t="s">
        <v>8</v>
      </c>
      <c r="P695">
        <f t="shared" si="994"/>
        <v>-0.92168674698795183</v>
      </c>
      <c r="Q695">
        <f t="shared" si="995"/>
        <v>-4628311.0156626506</v>
      </c>
      <c r="R695">
        <f t="shared" si="996"/>
        <v>-453619.30900077149</v>
      </c>
      <c r="S695">
        <f t="shared" si="997"/>
        <v>-4.536193090007715</v>
      </c>
      <c r="T695">
        <f t="shared" si="998"/>
        <v>-4.5361930900077148E-3</v>
      </c>
    </row>
    <row r="696" spans="1:20" x14ac:dyDescent="0.25">
      <c r="A696" s="5">
        <v>43897</v>
      </c>
      <c r="B696">
        <v>3.1719999999999998E-2</v>
      </c>
      <c r="C696">
        <v>3.252E-2</v>
      </c>
      <c r="D696">
        <v>3.048E-2</v>
      </c>
      <c r="E696">
        <v>3.2379999999999999E-2</v>
      </c>
      <c r="F696">
        <v>3083228.3</v>
      </c>
      <c r="G696">
        <v>0</v>
      </c>
      <c r="L696" t="s">
        <v>8</v>
      </c>
      <c r="M696" t="s">
        <v>7</v>
      </c>
      <c r="N696" t="s">
        <v>8</v>
      </c>
      <c r="P696">
        <f t="shared" si="994"/>
        <v>0.86274509803921451</v>
      </c>
      <c r="Q696">
        <f t="shared" si="995"/>
        <v>2660040.1019607806</v>
      </c>
      <c r="R696">
        <f t="shared" si="996"/>
        <v>4174691.7066618791</v>
      </c>
      <c r="S696">
        <f t="shared" si="997"/>
        <v>41.746917066618792</v>
      </c>
      <c r="T696">
        <f t="shared" si="998"/>
        <v>4.1746917066618795E-2</v>
      </c>
    </row>
    <row r="697" spans="1:20" x14ac:dyDescent="0.25">
      <c r="A697" s="5">
        <v>43896</v>
      </c>
      <c r="B697">
        <v>3.2489999999999998E-2</v>
      </c>
      <c r="C697">
        <v>3.3320000000000002E-2</v>
      </c>
      <c r="D697">
        <v>2.8830000000000001E-2</v>
      </c>
      <c r="E697">
        <v>3.1699999999999999E-2</v>
      </c>
      <c r="F697">
        <v>3475347.1</v>
      </c>
      <c r="G697">
        <v>0</v>
      </c>
      <c r="L697" t="s">
        <v>7</v>
      </c>
      <c r="M697" t="s">
        <v>7</v>
      </c>
      <c r="N697" t="s">
        <v>8</v>
      </c>
      <c r="P697">
        <f t="shared" si="994"/>
        <v>0.27839643652561114</v>
      </c>
      <c r="Q697">
        <f t="shared" si="995"/>
        <v>967524.24832961673</v>
      </c>
      <c r="R697">
        <f t="shared" si="996"/>
        <v>1514651.6047010985</v>
      </c>
      <c r="S697">
        <f t="shared" si="997"/>
        <v>15.146516047010985</v>
      </c>
      <c r="T697">
        <f t="shared" si="998"/>
        <v>1.5146516047010986E-2</v>
      </c>
    </row>
    <row r="698" spans="1:20" x14ac:dyDescent="0.25">
      <c r="A698" s="5">
        <v>43895</v>
      </c>
      <c r="B698">
        <v>3.3489999999999999E-2</v>
      </c>
      <c r="C698">
        <v>3.3590000000000002E-2</v>
      </c>
      <c r="D698">
        <v>3.2039999999999999E-2</v>
      </c>
      <c r="E698">
        <v>3.2289999999999999E-2</v>
      </c>
      <c r="F698">
        <v>7187814.5</v>
      </c>
      <c r="G698">
        <v>0</v>
      </c>
      <c r="L698" t="s">
        <v>7</v>
      </c>
      <c r="M698" t="s">
        <v>8</v>
      </c>
      <c r="N698" t="s">
        <v>8</v>
      </c>
      <c r="P698">
        <f t="shared" si="994"/>
        <v>-0.67741935483870996</v>
      </c>
      <c r="Q698">
        <f t="shared" si="995"/>
        <v>-4869164.6612903243</v>
      </c>
      <c r="R698">
        <f t="shared" si="996"/>
        <v>547127.3563714819</v>
      </c>
      <c r="S698">
        <f t="shared" si="997"/>
        <v>5.4712735637148189</v>
      </c>
      <c r="T698">
        <f t="shared" si="998"/>
        <v>5.4712735637148192E-3</v>
      </c>
    </row>
    <row r="699" spans="1:20" x14ac:dyDescent="0.25">
      <c r="A699" s="5">
        <v>43894</v>
      </c>
      <c r="B699">
        <v>2.7140000000000001E-2</v>
      </c>
      <c r="C699">
        <v>3.517E-2</v>
      </c>
      <c r="D699">
        <v>2.691E-2</v>
      </c>
      <c r="E699">
        <v>3.3489999999999999E-2</v>
      </c>
      <c r="F699">
        <v>23644779.5</v>
      </c>
      <c r="G699">
        <v>0</v>
      </c>
      <c r="L699" t="s">
        <v>8</v>
      </c>
      <c r="M699" t="s">
        <v>8</v>
      </c>
      <c r="N699" t="s">
        <v>8</v>
      </c>
      <c r="P699">
        <f t="shared" si="994"/>
        <v>0.5932203389830506</v>
      </c>
      <c r="Q699">
        <f t="shared" si="995"/>
        <v>14026564.110169485</v>
      </c>
      <c r="R699">
        <f t="shared" si="996"/>
        <v>5416292.0176618062</v>
      </c>
      <c r="S699">
        <f t="shared" si="997"/>
        <v>54.162920176618059</v>
      </c>
      <c r="T699">
        <f t="shared" si="998"/>
        <v>5.4162920176618057E-2</v>
      </c>
    </row>
    <row r="700" spans="1:20" x14ac:dyDescent="0.25">
      <c r="A700" s="5">
        <v>43893</v>
      </c>
      <c r="B700">
        <v>2.707E-2</v>
      </c>
      <c r="C700">
        <v>2.75E-2</v>
      </c>
      <c r="D700">
        <v>2.6089999999999999E-2</v>
      </c>
      <c r="E700">
        <v>2.7140000000000001E-2</v>
      </c>
      <c r="F700">
        <v>4094751.4</v>
      </c>
      <c r="G700">
        <v>0</v>
      </c>
      <c r="L700" t="s">
        <v>8</v>
      </c>
      <c r="M700" t="s">
        <v>8</v>
      </c>
      <c r="N700" t="s">
        <v>7</v>
      </c>
      <c r="P700">
        <f t="shared" si="994"/>
        <v>0.48936170212766122</v>
      </c>
      <c r="Q700">
        <f t="shared" si="995"/>
        <v>2003814.5148936238</v>
      </c>
      <c r="R700">
        <f t="shared" si="996"/>
        <v>-8610272.092507679</v>
      </c>
      <c r="S700">
        <f t="shared" si="997"/>
        <v>-86.102720925076795</v>
      </c>
      <c r="T700">
        <f t="shared" si="998"/>
        <v>-8.6102720925076801E-2</v>
      </c>
    </row>
    <row r="701" spans="1:20" x14ac:dyDescent="0.25">
      <c r="A701" s="5">
        <v>43892</v>
      </c>
      <c r="B701">
        <v>2.477E-2</v>
      </c>
      <c r="C701">
        <v>2.7519999999999999E-2</v>
      </c>
      <c r="D701">
        <v>2.4629999999999999E-2</v>
      </c>
      <c r="E701">
        <v>2.707E-2</v>
      </c>
      <c r="F701">
        <v>3084513.2</v>
      </c>
      <c r="G701">
        <v>0</v>
      </c>
      <c r="L701" t="s">
        <v>8</v>
      </c>
      <c r="M701" t="s">
        <v>8</v>
      </c>
      <c r="N701" t="s">
        <v>7</v>
      </c>
      <c r="P701">
        <f t="shared" si="994"/>
        <v>0.6885813148788934</v>
      </c>
      <c r="Q701">
        <f t="shared" si="995"/>
        <v>2123938.1550173033</v>
      </c>
      <c r="R701">
        <f t="shared" si="996"/>
        <v>-10614086.607401302</v>
      </c>
      <c r="S701">
        <f t="shared" si="997"/>
        <v>-106.14086607401302</v>
      </c>
      <c r="T701">
        <f t="shared" si="998"/>
        <v>-0.10614086607401302</v>
      </c>
    </row>
    <row r="702" spans="1:20" x14ac:dyDescent="0.25">
      <c r="A702" s="5">
        <v>43891</v>
      </c>
      <c r="B702">
        <v>2.3449999999999999E-2</v>
      </c>
      <c r="C702">
        <v>2.5649999999999999E-2</v>
      </c>
      <c r="D702">
        <v>2.3449999999999999E-2</v>
      </c>
      <c r="E702">
        <v>2.4889999999999999E-2</v>
      </c>
      <c r="F702">
        <v>3156155.2</v>
      </c>
      <c r="G702">
        <v>0</v>
      </c>
      <c r="L702" t="s">
        <v>8</v>
      </c>
      <c r="M702" t="s">
        <v>7</v>
      </c>
      <c r="N702" t="s">
        <v>7</v>
      </c>
      <c r="P702">
        <f t="shared" si="994"/>
        <v>0.30909090909090903</v>
      </c>
      <c r="Q702">
        <f t="shared" si="995"/>
        <v>975538.87999999989</v>
      </c>
      <c r="R702">
        <f t="shared" si="996"/>
        <v>-12738024.762418605</v>
      </c>
      <c r="S702">
        <f t="shared" si="997"/>
        <v>-127.38024762418605</v>
      </c>
      <c r="T702">
        <f t="shared" si="998"/>
        <v>-0.12738024762418607</v>
      </c>
    </row>
    <row r="703" spans="1:20" x14ac:dyDescent="0.25">
      <c r="A703" s="5">
        <v>43890</v>
      </c>
      <c r="B703">
        <v>2.358E-2</v>
      </c>
      <c r="C703">
        <v>2.4670000000000001E-2</v>
      </c>
      <c r="D703">
        <v>2.317E-2</v>
      </c>
      <c r="E703">
        <v>2.3300000000000001E-2</v>
      </c>
      <c r="F703">
        <v>2378735.5</v>
      </c>
      <c r="G703">
        <v>0</v>
      </c>
      <c r="L703" t="s">
        <v>7</v>
      </c>
      <c r="M703" t="s">
        <v>7</v>
      </c>
      <c r="N703" t="s">
        <v>7</v>
      </c>
      <c r="P703">
        <f t="shared" si="994"/>
        <v>-0.82666666666666466</v>
      </c>
      <c r="Q703">
        <f t="shared" si="995"/>
        <v>-1966421.3466666618</v>
      </c>
      <c r="R703">
        <f t="shared" si="996"/>
        <v>-13713563.642418604</v>
      </c>
      <c r="S703">
        <f t="shared" si="997"/>
        <v>-137.13563642418603</v>
      </c>
      <c r="T703">
        <f t="shared" si="998"/>
        <v>-0.13713563642418602</v>
      </c>
    </row>
    <row r="704" spans="1:20" x14ac:dyDescent="0.25">
      <c r="A704" s="5">
        <v>43889</v>
      </c>
      <c r="B704">
        <v>2.477E-2</v>
      </c>
      <c r="C704">
        <v>2.8129999999999999E-2</v>
      </c>
      <c r="D704">
        <v>2.2700000000000001E-2</v>
      </c>
      <c r="E704">
        <v>2.368E-2</v>
      </c>
      <c r="F704">
        <v>8702529.3000000007</v>
      </c>
      <c r="G704">
        <v>0</v>
      </c>
      <c r="L704" t="s">
        <v>8</v>
      </c>
      <c r="M704" t="s">
        <v>8</v>
      </c>
      <c r="N704" t="s">
        <v>7</v>
      </c>
      <c r="P704">
        <f t="shared" si="994"/>
        <v>-0.63904235727440195</v>
      </c>
      <c r="Q704">
        <f t="shared" si="995"/>
        <v>-5561284.838121552</v>
      </c>
      <c r="R704">
        <f t="shared" si="996"/>
        <v>-11747142.295751942</v>
      </c>
      <c r="S704">
        <f t="shared" si="997"/>
        <v>-117.47142295751942</v>
      </c>
      <c r="T704">
        <f t="shared" si="998"/>
        <v>-0.11747142295751942</v>
      </c>
    </row>
    <row r="705" spans="1:20" x14ac:dyDescent="0.25">
      <c r="A705" s="5">
        <v>43888</v>
      </c>
      <c r="B705">
        <v>2.2259999999999999E-2</v>
      </c>
      <c r="C705">
        <v>2.6499999999999999E-2</v>
      </c>
      <c r="D705">
        <v>2.1399999999999999E-2</v>
      </c>
      <c r="E705">
        <v>2.477E-2</v>
      </c>
      <c r="F705">
        <v>7363617.2999999998</v>
      </c>
      <c r="G705">
        <v>0</v>
      </c>
      <c r="L705" t="s">
        <v>7</v>
      </c>
      <c r="M705" t="s">
        <v>8</v>
      </c>
      <c r="N705" t="s">
        <v>7</v>
      </c>
      <c r="P705">
        <f t="shared" si="994"/>
        <v>0.32156862745098086</v>
      </c>
      <c r="Q705">
        <f t="shared" si="995"/>
        <v>2367908.3082352974</v>
      </c>
      <c r="R705">
        <f t="shared" si="996"/>
        <v>-6185857.4576303903</v>
      </c>
      <c r="S705">
        <f t="shared" si="997"/>
        <v>-61.858574576303901</v>
      </c>
      <c r="T705">
        <f t="shared" si="998"/>
        <v>-6.18585745763039E-2</v>
      </c>
    </row>
    <row r="706" spans="1:20" x14ac:dyDescent="0.25">
      <c r="A706" s="5">
        <v>43887</v>
      </c>
      <c r="B706">
        <v>2.5250000000000002E-2</v>
      </c>
      <c r="C706">
        <v>2.5399999999999999E-2</v>
      </c>
      <c r="D706">
        <v>2.1659999999999999E-2</v>
      </c>
      <c r="E706">
        <v>2.2259999999999999E-2</v>
      </c>
      <c r="F706">
        <v>5176345.2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-0.67914438502673813</v>
      </c>
      <c r="Q706">
        <f t="shared" si="995"/>
        <v>-3515485.7775401077</v>
      </c>
      <c r="R706">
        <f t="shared" si="996"/>
        <v>-8553765.7658656873</v>
      </c>
      <c r="S706">
        <f t="shared" si="997"/>
        <v>-85.537657658656869</v>
      </c>
      <c r="T706">
        <f t="shared" si="998"/>
        <v>-8.5537657658656868E-2</v>
      </c>
    </row>
    <row r="707" spans="1:20" x14ac:dyDescent="0.25">
      <c r="A707" s="5">
        <v>43886</v>
      </c>
      <c r="B707">
        <v>2.9569999999999999E-2</v>
      </c>
      <c r="C707">
        <v>2.9569999999999999E-2</v>
      </c>
      <c r="D707">
        <v>2.5250000000000002E-2</v>
      </c>
      <c r="E707">
        <v>2.5250000000000002E-2</v>
      </c>
      <c r="F707">
        <v>3537680.4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-1</v>
      </c>
      <c r="Q707">
        <f t="shared" si="995"/>
        <v>-3537680.4</v>
      </c>
      <c r="R707">
        <f t="shared" si="996"/>
        <v>-5038279.98832558</v>
      </c>
      <c r="S707">
        <f t="shared" si="997"/>
        <v>-50.3827998832558</v>
      </c>
      <c r="T707">
        <f t="shared" si="998"/>
        <v>-5.0382799883255801E-2</v>
      </c>
    </row>
    <row r="708" spans="1:20" x14ac:dyDescent="0.25">
      <c r="A708" s="5">
        <v>43885</v>
      </c>
      <c r="B708">
        <v>3.057E-2</v>
      </c>
      <c r="C708">
        <v>3.1130000000000001E-2</v>
      </c>
      <c r="D708">
        <v>2.8910000000000002E-2</v>
      </c>
      <c r="E708">
        <v>2.9350000000000001E-2</v>
      </c>
      <c r="F708">
        <v>2768983.3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-0.6036036036036041</v>
      </c>
      <c r="Q708">
        <f t="shared" si="995"/>
        <v>-1671368.2981981994</v>
      </c>
      <c r="R708">
        <f t="shared" si="996"/>
        <v>-1500599.5883255801</v>
      </c>
      <c r="S708">
        <f t="shared" si="997"/>
        <v>-15.005995883255801</v>
      </c>
      <c r="T708">
        <f t="shared" si="998"/>
        <v>-1.5005995883255801E-2</v>
      </c>
    </row>
    <row r="709" spans="1:20" x14ac:dyDescent="0.25">
      <c r="A709" s="5">
        <v>43884</v>
      </c>
      <c r="B709">
        <v>2.9489999999999999E-2</v>
      </c>
      <c r="C709">
        <v>3.1390000000000001E-2</v>
      </c>
      <c r="D709">
        <v>2.9229999999999999E-2</v>
      </c>
      <c r="E709">
        <v>3.057E-2</v>
      </c>
      <c r="F709">
        <v>2524127.5</v>
      </c>
      <c r="G709">
        <v>0</v>
      </c>
      <c r="L709" t="s">
        <v>8</v>
      </c>
      <c r="M709" t="s">
        <v>7</v>
      </c>
      <c r="N709" t="s">
        <v>7</v>
      </c>
      <c r="P709">
        <f t="shared" si="994"/>
        <v>0.24074074074074031</v>
      </c>
      <c r="Q709">
        <f t="shared" si="995"/>
        <v>607660.324074073</v>
      </c>
      <c r="R709">
        <f t="shared" si="996"/>
        <v>170768.70987261913</v>
      </c>
      <c r="S709">
        <f t="shared" si="997"/>
        <v>1.7076870987261914</v>
      </c>
      <c r="T709">
        <f t="shared" si="998"/>
        <v>1.7076870987261913E-3</v>
      </c>
    </row>
    <row r="710" spans="1:20" x14ac:dyDescent="0.25">
      <c r="A710" s="5">
        <v>43883</v>
      </c>
      <c r="B710">
        <v>3.0179999999999998E-2</v>
      </c>
      <c r="C710">
        <v>3.0620000000000001E-2</v>
      </c>
      <c r="D710">
        <v>2.9010000000000001E-2</v>
      </c>
      <c r="E710">
        <v>2.9489999999999999E-2</v>
      </c>
      <c r="F710">
        <v>2180769.2999999998</v>
      </c>
      <c r="G710">
        <v>0</v>
      </c>
      <c r="L710" t="s">
        <v>7</v>
      </c>
      <c r="M710" t="s">
        <v>7</v>
      </c>
      <c r="N710" t="s">
        <v>7</v>
      </c>
      <c r="P710">
        <f t="shared" ref="P710:P766" si="999">IF(C710=D710,0,((E710-D710)-(C710-E710))/(C710-D710))</f>
        <v>-0.40372670807453703</v>
      </c>
      <c r="Q710">
        <f t="shared" ref="Q710:Q766" si="1000">F710*P710</f>
        <v>-880434.81055901235</v>
      </c>
      <c r="R710">
        <f t="shared" ref="R710:R766" si="1001">R711+Q710</f>
        <v>-436891.61420145386</v>
      </c>
      <c r="S710">
        <f t="shared" ref="S710:S766" si="1002">R710/100000</f>
        <v>-4.3689161420145384</v>
      </c>
      <c r="T710">
        <f t="shared" ref="T710:T766" si="1003">S710/1000</f>
        <v>-4.3689161420145386E-3</v>
      </c>
    </row>
    <row r="711" spans="1:20" x14ac:dyDescent="0.25">
      <c r="A711" s="5">
        <v>43882</v>
      </c>
      <c r="B711">
        <v>2.9700000000000001E-2</v>
      </c>
      <c r="C711">
        <v>3.3450000000000001E-2</v>
      </c>
      <c r="D711">
        <v>2.954E-2</v>
      </c>
      <c r="E711">
        <v>3.041E-2</v>
      </c>
      <c r="F711">
        <v>3258631.4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-0.55498721227621528</v>
      </c>
      <c r="Q711">
        <f t="shared" si="1000"/>
        <v>-1808498.7565217405</v>
      </c>
      <c r="R711">
        <f t="shared" si="1001"/>
        <v>443543.19635755848</v>
      </c>
      <c r="S711">
        <f t="shared" si="1002"/>
        <v>4.435431963575585</v>
      </c>
      <c r="T711">
        <f t="shared" si="1003"/>
        <v>4.4354319635755849E-3</v>
      </c>
    </row>
    <row r="712" spans="1:20" x14ac:dyDescent="0.25">
      <c r="A712" s="5">
        <v>43881</v>
      </c>
      <c r="B712">
        <v>3.141E-2</v>
      </c>
      <c r="C712">
        <v>3.159E-2</v>
      </c>
      <c r="D712">
        <v>2.853E-2</v>
      </c>
      <c r="E712">
        <v>2.9700000000000001E-2</v>
      </c>
      <c r="F712">
        <v>2630693.4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-0.23529411764705829</v>
      </c>
      <c r="Q712">
        <f t="shared" si="1000"/>
        <v>-618986.68235293974</v>
      </c>
      <c r="R712">
        <f t="shared" si="1001"/>
        <v>2252041.9528792989</v>
      </c>
      <c r="S712">
        <f t="shared" si="1002"/>
        <v>22.520419528792988</v>
      </c>
      <c r="T712">
        <f t="shared" si="1003"/>
        <v>2.2520419528792988E-2</v>
      </c>
    </row>
    <row r="713" spans="1:20" x14ac:dyDescent="0.25">
      <c r="A713" s="5">
        <v>43880</v>
      </c>
      <c r="B713">
        <v>3.508E-2</v>
      </c>
      <c r="C713">
        <v>3.5499999999999997E-2</v>
      </c>
      <c r="D713">
        <v>3.0499999999999999E-2</v>
      </c>
      <c r="E713">
        <v>3.1440000000000003E-2</v>
      </c>
      <c r="F713">
        <v>3944769.6</v>
      </c>
      <c r="G713">
        <v>0</v>
      </c>
      <c r="L713" t="s">
        <v>7</v>
      </c>
      <c r="M713" t="s">
        <v>7</v>
      </c>
      <c r="N713" t="s">
        <v>7</v>
      </c>
      <c r="P713">
        <f t="shared" si="999"/>
        <v>-0.62399999999999844</v>
      </c>
      <c r="Q713">
        <f t="shared" si="1000"/>
        <v>-2461536.2303999937</v>
      </c>
      <c r="R713">
        <f t="shared" si="1001"/>
        <v>2871028.6352322386</v>
      </c>
      <c r="S713">
        <f t="shared" si="1002"/>
        <v>28.710286352322385</v>
      </c>
      <c r="T713">
        <f t="shared" si="1003"/>
        <v>2.8710286352322385E-2</v>
      </c>
    </row>
    <row r="714" spans="1:20" x14ac:dyDescent="0.25">
      <c r="A714" s="5">
        <v>43879</v>
      </c>
      <c r="B714">
        <v>3.4459999999999998E-2</v>
      </c>
      <c r="C714">
        <v>3.6290000000000003E-2</v>
      </c>
      <c r="D714">
        <v>3.2809999999999999E-2</v>
      </c>
      <c r="E714">
        <v>3.508E-2</v>
      </c>
      <c r="F714">
        <v>4425114.2</v>
      </c>
      <c r="G714">
        <v>0</v>
      </c>
      <c r="L714" t="s">
        <v>8</v>
      </c>
      <c r="M714" t="s">
        <v>8</v>
      </c>
      <c r="N714" t="s">
        <v>7</v>
      </c>
      <c r="P714">
        <f t="shared" si="999"/>
        <v>0.30459770114942447</v>
      </c>
      <c r="Q714">
        <f t="shared" si="1000"/>
        <v>1347879.6126436747</v>
      </c>
      <c r="R714">
        <f t="shared" si="1001"/>
        <v>5332564.8656322323</v>
      </c>
      <c r="S714">
        <f t="shared" si="1002"/>
        <v>53.325648656322322</v>
      </c>
      <c r="T714">
        <f t="shared" si="1003"/>
        <v>5.3325648656322319E-2</v>
      </c>
    </row>
    <row r="715" spans="1:20" x14ac:dyDescent="0.25">
      <c r="A715" s="5">
        <v>43878</v>
      </c>
      <c r="B715">
        <v>3.5479999999999998E-2</v>
      </c>
      <c r="C715">
        <v>3.6499999999999998E-2</v>
      </c>
      <c r="D715">
        <v>3.0190000000000002E-2</v>
      </c>
      <c r="E715">
        <v>3.449E-2</v>
      </c>
      <c r="F715">
        <v>6159013.5999999996</v>
      </c>
      <c r="G715">
        <v>0</v>
      </c>
      <c r="L715" t="s">
        <v>7</v>
      </c>
      <c r="M715" t="s">
        <v>7</v>
      </c>
      <c r="N715" t="s">
        <v>7</v>
      </c>
      <c r="P715">
        <f t="shared" si="999"/>
        <v>0.3629160063391445</v>
      </c>
      <c r="Q715">
        <f t="shared" si="1000"/>
        <v>2235204.6187004773</v>
      </c>
      <c r="R715">
        <f t="shared" si="1001"/>
        <v>3984685.2529885573</v>
      </c>
      <c r="S715">
        <f t="shared" si="1002"/>
        <v>39.846852529885574</v>
      </c>
      <c r="T715">
        <f t="shared" si="1003"/>
        <v>3.9846852529885575E-2</v>
      </c>
    </row>
    <row r="716" spans="1:20" x14ac:dyDescent="0.25">
      <c r="A716" s="5">
        <v>43877</v>
      </c>
      <c r="B716">
        <v>3.594E-2</v>
      </c>
      <c r="C716">
        <v>4.3360000000000003E-2</v>
      </c>
      <c r="D716">
        <v>3.1780000000000003E-2</v>
      </c>
      <c r="E716">
        <v>3.5920000000000001E-2</v>
      </c>
      <c r="F716">
        <v>19300950.199999999</v>
      </c>
      <c r="G716">
        <v>0</v>
      </c>
      <c r="L716" t="s">
        <v>8</v>
      </c>
      <c r="M716" t="s">
        <v>8</v>
      </c>
      <c r="N716" t="s">
        <v>8</v>
      </c>
      <c r="P716">
        <f t="shared" si="999"/>
        <v>-0.28497409326424905</v>
      </c>
      <c r="Q716">
        <f t="shared" si="1000"/>
        <v>-5500270.7823834261</v>
      </c>
      <c r="R716">
        <f t="shared" si="1001"/>
        <v>1749480.63428808</v>
      </c>
      <c r="S716">
        <f t="shared" si="1002"/>
        <v>17.4948063428808</v>
      </c>
      <c r="T716">
        <f t="shared" si="1003"/>
        <v>1.7494806342880798E-2</v>
      </c>
    </row>
    <row r="717" spans="1:20" x14ac:dyDescent="0.25">
      <c r="A717" s="5">
        <v>43876</v>
      </c>
      <c r="B717">
        <v>3.422E-2</v>
      </c>
      <c r="C717">
        <v>3.9949999999999999E-2</v>
      </c>
      <c r="D717">
        <v>3.2960000000000003E-2</v>
      </c>
      <c r="E717">
        <v>3.637E-2</v>
      </c>
      <c r="F717">
        <v>11876780.5</v>
      </c>
      <c r="G717">
        <v>0</v>
      </c>
      <c r="L717" t="s">
        <v>8</v>
      </c>
      <c r="M717" t="s">
        <v>8</v>
      </c>
      <c r="N717" t="s">
        <v>8</v>
      </c>
      <c r="P717">
        <f t="shared" si="999"/>
        <v>-2.4320457796853157E-2</v>
      </c>
      <c r="Q717">
        <f t="shared" si="1000"/>
        <v>-288848.73891273851</v>
      </c>
      <c r="R717">
        <f t="shared" si="1001"/>
        <v>7249751.4166715061</v>
      </c>
      <c r="S717">
        <f t="shared" si="1002"/>
        <v>72.497514166715064</v>
      </c>
      <c r="T717">
        <f t="shared" si="1003"/>
        <v>7.2497514166715057E-2</v>
      </c>
    </row>
    <row r="718" spans="1:20" x14ac:dyDescent="0.25">
      <c r="A718" s="5">
        <v>43875</v>
      </c>
      <c r="B718">
        <v>3.2439999999999997E-2</v>
      </c>
      <c r="C718">
        <v>3.5409999999999997E-2</v>
      </c>
      <c r="D718">
        <v>3.1690000000000003E-2</v>
      </c>
      <c r="E718">
        <v>3.4049999999999997E-2</v>
      </c>
      <c r="F718">
        <v>4229815.4000000004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0.26881720430107409</v>
      </c>
      <c r="Q718">
        <f t="shared" si="1000"/>
        <v>1137047.1505376296</v>
      </c>
      <c r="R718">
        <f t="shared" si="1001"/>
        <v>7538600.155584245</v>
      </c>
      <c r="S718">
        <f t="shared" si="1002"/>
        <v>75.386001555842455</v>
      </c>
      <c r="T718">
        <f t="shared" si="1003"/>
        <v>7.538600155584245E-2</v>
      </c>
    </row>
    <row r="719" spans="1:20" x14ac:dyDescent="0.25">
      <c r="A719" s="5">
        <v>43874</v>
      </c>
      <c r="B719">
        <v>3.4180000000000002E-2</v>
      </c>
      <c r="C719">
        <v>3.4660000000000003E-2</v>
      </c>
      <c r="D719">
        <v>3.1099999999999999E-2</v>
      </c>
      <c r="E719">
        <v>3.2439999999999997E-2</v>
      </c>
      <c r="F719">
        <v>5330063.3</v>
      </c>
      <c r="G719">
        <v>0</v>
      </c>
      <c r="L719" t="s">
        <v>7</v>
      </c>
      <c r="M719" t="s">
        <v>8</v>
      </c>
      <c r="N719" t="s">
        <v>8</v>
      </c>
      <c r="P719">
        <f t="shared" si="999"/>
        <v>-0.24719101123595735</v>
      </c>
      <c r="Q719">
        <f t="shared" si="1000"/>
        <v>-1317543.7370786639</v>
      </c>
      <c r="R719">
        <f t="shared" si="1001"/>
        <v>6401553.0050466154</v>
      </c>
      <c r="S719">
        <f t="shared" si="1002"/>
        <v>64.015530050466154</v>
      </c>
      <c r="T719">
        <f t="shared" si="1003"/>
        <v>6.401553005046616E-2</v>
      </c>
    </row>
    <row r="720" spans="1:20" x14ac:dyDescent="0.25">
      <c r="A720" s="5">
        <v>43873</v>
      </c>
      <c r="B720">
        <v>3.4110000000000001E-2</v>
      </c>
      <c r="C720">
        <v>3.5700000000000003E-2</v>
      </c>
      <c r="D720">
        <v>3.3320000000000002E-2</v>
      </c>
      <c r="E720">
        <v>3.4250000000000003E-2</v>
      </c>
      <c r="F720">
        <v>7483571.5999999996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-0.21848739495798303</v>
      </c>
      <c r="Q720">
        <f t="shared" si="1000"/>
        <v>-1635066.063865545</v>
      </c>
      <c r="R720">
        <f t="shared" si="1001"/>
        <v>7719096.7421252793</v>
      </c>
      <c r="S720">
        <f t="shared" si="1002"/>
        <v>77.190967421252793</v>
      </c>
      <c r="T720">
        <f t="shared" si="1003"/>
        <v>7.7190967421252796E-2</v>
      </c>
    </row>
    <row r="721" spans="1:20" x14ac:dyDescent="0.25">
      <c r="A721" s="5">
        <v>43872</v>
      </c>
      <c r="B721">
        <v>3.2070000000000001E-2</v>
      </c>
      <c r="C721">
        <v>3.5279999999999999E-2</v>
      </c>
      <c r="D721">
        <v>3.0259999999999999E-2</v>
      </c>
      <c r="E721">
        <v>3.4040000000000001E-2</v>
      </c>
      <c r="F721">
        <v>9935616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0.50597609561753065</v>
      </c>
      <c r="Q721">
        <f t="shared" si="1000"/>
        <v>5027184.1912350673</v>
      </c>
      <c r="R721">
        <f t="shared" si="1001"/>
        <v>9354162.8059908245</v>
      </c>
      <c r="S721">
        <f t="shared" si="1002"/>
        <v>93.541628059908248</v>
      </c>
      <c r="T721">
        <f t="shared" si="1003"/>
        <v>9.3541628059908247E-2</v>
      </c>
    </row>
    <row r="722" spans="1:20" x14ac:dyDescent="0.25">
      <c r="A722" s="5">
        <v>43871</v>
      </c>
      <c r="B722">
        <v>3.1099999999999999E-2</v>
      </c>
      <c r="C722">
        <v>3.3270000000000001E-2</v>
      </c>
      <c r="D722">
        <v>2.8709999999999999E-2</v>
      </c>
      <c r="E722">
        <v>3.1859999999999999E-2</v>
      </c>
      <c r="F722">
        <v>7497372.7999999998</v>
      </c>
      <c r="G722">
        <v>0</v>
      </c>
      <c r="L722" t="s">
        <v>8</v>
      </c>
      <c r="M722" t="s">
        <v>8</v>
      </c>
      <c r="N722" t="s">
        <v>8</v>
      </c>
      <c r="P722">
        <f t="shared" si="999"/>
        <v>0.38157894736842057</v>
      </c>
      <c r="Q722">
        <f t="shared" si="1000"/>
        <v>2860839.6210526279</v>
      </c>
      <c r="R722">
        <f t="shared" si="1001"/>
        <v>4326978.6147557572</v>
      </c>
      <c r="S722">
        <f t="shared" si="1002"/>
        <v>43.269786147557575</v>
      </c>
      <c r="T722">
        <f t="shared" si="1003"/>
        <v>4.3269786147557575E-2</v>
      </c>
    </row>
    <row r="723" spans="1:20" x14ac:dyDescent="0.25">
      <c r="A723" s="5">
        <v>43870</v>
      </c>
      <c r="B723">
        <v>3.0669999999999999E-2</v>
      </c>
      <c r="C723">
        <v>3.1220000000000001E-2</v>
      </c>
      <c r="D723">
        <v>2.8660000000000001E-2</v>
      </c>
      <c r="E723">
        <v>3.1019999999999999E-2</v>
      </c>
      <c r="F723">
        <v>3954723.6</v>
      </c>
      <c r="G723">
        <v>0</v>
      </c>
      <c r="L723" t="s">
        <v>7</v>
      </c>
      <c r="M723" t="s">
        <v>8</v>
      </c>
      <c r="N723" t="s">
        <v>8</v>
      </c>
      <c r="P723">
        <f t="shared" si="999"/>
        <v>0.84374999999999822</v>
      </c>
      <c r="Q723">
        <f t="shared" si="1000"/>
        <v>3336798.0374999931</v>
      </c>
      <c r="R723">
        <f t="shared" si="1001"/>
        <v>1466138.993703129</v>
      </c>
      <c r="S723">
        <f t="shared" si="1002"/>
        <v>14.66138993703129</v>
      </c>
      <c r="T723">
        <f t="shared" si="1003"/>
        <v>1.466138993703129E-2</v>
      </c>
    </row>
    <row r="724" spans="1:20" x14ac:dyDescent="0.25">
      <c r="A724" s="5">
        <v>43869</v>
      </c>
      <c r="B724">
        <v>3.1609999999999999E-2</v>
      </c>
      <c r="C724">
        <v>3.2539999999999999E-2</v>
      </c>
      <c r="D724">
        <v>2.9579999999999999E-2</v>
      </c>
      <c r="E724">
        <v>3.0689999999999999E-2</v>
      </c>
      <c r="F724">
        <v>4636510.7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-0.25000000000000028</v>
      </c>
      <c r="Q724">
        <f t="shared" si="1000"/>
        <v>-1159127.6750000014</v>
      </c>
      <c r="R724">
        <f t="shared" si="1001"/>
        <v>-1870659.0437968641</v>
      </c>
      <c r="S724">
        <f t="shared" si="1002"/>
        <v>-18.706590437968639</v>
      </c>
      <c r="T724">
        <f t="shared" si="1003"/>
        <v>-1.8706590437968639E-2</v>
      </c>
    </row>
    <row r="725" spans="1:20" x14ac:dyDescent="0.25">
      <c r="A725" s="5">
        <v>43868</v>
      </c>
      <c r="B725">
        <v>2.896E-2</v>
      </c>
      <c r="C725">
        <v>3.3320000000000002E-2</v>
      </c>
      <c r="D725">
        <v>2.8879999999999999E-2</v>
      </c>
      <c r="E725">
        <v>3.1609999999999999E-2</v>
      </c>
      <c r="F725">
        <v>7489028.4000000004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0.2297297297297288</v>
      </c>
      <c r="Q725">
        <f t="shared" si="1000"/>
        <v>1720452.4702702635</v>
      </c>
      <c r="R725">
        <f t="shared" si="1001"/>
        <v>-711531.36879686266</v>
      </c>
      <c r="S725">
        <f t="shared" si="1002"/>
        <v>-7.1153136879686265</v>
      </c>
      <c r="T725">
        <f t="shared" si="1003"/>
        <v>-7.1153136879686264E-3</v>
      </c>
    </row>
    <row r="726" spans="1:20" x14ac:dyDescent="0.25">
      <c r="A726" s="5">
        <v>43867</v>
      </c>
      <c r="B726">
        <v>2.8850000000000001E-2</v>
      </c>
      <c r="C726">
        <v>2.9600000000000001E-2</v>
      </c>
      <c r="D726">
        <v>2.8320000000000001E-2</v>
      </c>
      <c r="E726">
        <v>2.896E-2</v>
      </c>
      <c r="F726">
        <v>5946300.9000000004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-2.7105054312137615E-15</v>
      </c>
      <c r="Q726">
        <f t="shared" si="1000"/>
        <v>-1.6117480885081279E-8</v>
      </c>
      <c r="R726">
        <f t="shared" si="1001"/>
        <v>-2431983.8390671262</v>
      </c>
      <c r="S726">
        <f t="shared" si="1002"/>
        <v>-24.319838390671261</v>
      </c>
      <c r="T726">
        <f t="shared" si="1003"/>
        <v>-2.4319838390671263E-2</v>
      </c>
    </row>
    <row r="727" spans="1:20" x14ac:dyDescent="0.25">
      <c r="A727" s="5">
        <v>43866</v>
      </c>
      <c r="B727">
        <v>2.8819999999999998E-2</v>
      </c>
      <c r="C727">
        <v>2.9690000000000001E-2</v>
      </c>
      <c r="D727">
        <v>2.725E-2</v>
      </c>
      <c r="E727">
        <v>2.8850000000000001E-2</v>
      </c>
      <c r="F727">
        <v>8327575.4000000004</v>
      </c>
      <c r="G727">
        <v>0</v>
      </c>
      <c r="L727" t="s">
        <v>7</v>
      </c>
      <c r="M727" t="s">
        <v>8</v>
      </c>
      <c r="N727" t="s">
        <v>8</v>
      </c>
      <c r="P727">
        <f t="shared" si="999"/>
        <v>0.31147540983606553</v>
      </c>
      <c r="Q727">
        <f t="shared" si="1000"/>
        <v>2593834.9606557377</v>
      </c>
      <c r="R727">
        <f t="shared" si="1001"/>
        <v>-2431983.8390671099</v>
      </c>
      <c r="S727">
        <f t="shared" si="1002"/>
        <v>-24.319838390671098</v>
      </c>
      <c r="T727">
        <f t="shared" si="1003"/>
        <v>-2.43198383906711E-2</v>
      </c>
    </row>
    <row r="728" spans="1:20" x14ac:dyDescent="0.25">
      <c r="A728" s="5">
        <v>43865</v>
      </c>
      <c r="B728">
        <v>2.666E-2</v>
      </c>
      <c r="C728">
        <v>2.9499999999999998E-2</v>
      </c>
      <c r="D728">
        <v>2.6419999999999999E-2</v>
      </c>
      <c r="E728">
        <v>2.8830000000000001E-2</v>
      </c>
      <c r="F728">
        <v>7305298.5999999996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0.56493506493506684</v>
      </c>
      <c r="Q728">
        <f t="shared" si="1000"/>
        <v>4127019.3389610527</v>
      </c>
      <c r="R728">
        <f t="shared" si="1001"/>
        <v>-5025818.7997228475</v>
      </c>
      <c r="S728">
        <f t="shared" si="1002"/>
        <v>-50.258187997228475</v>
      </c>
      <c r="T728">
        <f t="shared" si="1003"/>
        <v>-5.0258187997228476E-2</v>
      </c>
    </row>
    <row r="729" spans="1:20" x14ac:dyDescent="0.25">
      <c r="A729" s="5">
        <v>43864</v>
      </c>
      <c r="B729">
        <v>2.7550000000000002E-2</v>
      </c>
      <c r="C729">
        <v>2.9239999999999999E-2</v>
      </c>
      <c r="D729">
        <v>2.6069999999999999E-2</v>
      </c>
      <c r="E729">
        <v>2.6509999999999999E-2</v>
      </c>
      <c r="F729">
        <v>7258651.0999999996</v>
      </c>
      <c r="G729">
        <v>0</v>
      </c>
      <c r="L729" t="s">
        <v>7</v>
      </c>
      <c r="M729" t="s">
        <v>8</v>
      </c>
      <c r="N729" t="s">
        <v>8</v>
      </c>
      <c r="P729">
        <f t="shared" si="999"/>
        <v>-0.72239747634069429</v>
      </c>
      <c r="Q729">
        <f t="shared" si="1000"/>
        <v>-5243631.2362776045</v>
      </c>
      <c r="R729">
        <f t="shared" si="1001"/>
        <v>-9152838.1386839002</v>
      </c>
      <c r="S729">
        <f t="shared" si="1002"/>
        <v>-91.528381386839001</v>
      </c>
      <c r="T729">
        <f t="shared" si="1003"/>
        <v>-9.1528381386838997E-2</v>
      </c>
    </row>
    <row r="730" spans="1:20" x14ac:dyDescent="0.25">
      <c r="A730" s="5">
        <v>43863</v>
      </c>
      <c r="B730">
        <v>2.5669999999999998E-2</v>
      </c>
      <c r="C730">
        <v>3.057E-2</v>
      </c>
      <c r="D730">
        <v>2.53E-2</v>
      </c>
      <c r="E730">
        <v>2.7359999999999999E-2</v>
      </c>
      <c r="F730">
        <v>13972241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-0.21821631878557907</v>
      </c>
      <c r="Q730">
        <f t="shared" si="1000"/>
        <v>-3048970.9962049383</v>
      </c>
      <c r="R730">
        <f t="shared" si="1001"/>
        <v>-3909206.9024062958</v>
      </c>
      <c r="S730">
        <f t="shared" si="1002"/>
        <v>-39.092069024062958</v>
      </c>
      <c r="T730">
        <f t="shared" si="1003"/>
        <v>-3.909206902406296E-2</v>
      </c>
    </row>
    <row r="731" spans="1:20" x14ac:dyDescent="0.25">
      <c r="A731" s="5">
        <v>43862</v>
      </c>
      <c r="B731">
        <v>2.545E-2</v>
      </c>
      <c r="C731">
        <v>2.5999999999999999E-2</v>
      </c>
      <c r="D731">
        <v>2.4320000000000001E-2</v>
      </c>
      <c r="E731">
        <v>2.581E-2</v>
      </c>
      <c r="F731">
        <v>4291487.7</v>
      </c>
      <c r="G731">
        <v>0</v>
      </c>
      <c r="L731" t="s">
        <v>8</v>
      </c>
      <c r="M731" t="s">
        <v>8</v>
      </c>
      <c r="N731" t="s">
        <v>8</v>
      </c>
      <c r="P731">
        <f t="shared" si="999"/>
        <v>0.77380952380952439</v>
      </c>
      <c r="Q731">
        <f t="shared" si="1000"/>
        <v>3320794.0535714314</v>
      </c>
      <c r="R731">
        <f t="shared" si="1001"/>
        <v>-860235.90620135749</v>
      </c>
      <c r="S731">
        <f t="shared" si="1002"/>
        <v>-8.6023590620135746</v>
      </c>
      <c r="T731">
        <f t="shared" si="1003"/>
        <v>-8.6023590620135752E-3</v>
      </c>
    </row>
    <row r="732" spans="1:20" x14ac:dyDescent="0.25">
      <c r="A732" s="5">
        <v>43861</v>
      </c>
      <c r="B732">
        <v>2.409E-2</v>
      </c>
      <c r="C732">
        <v>2.5930000000000002E-2</v>
      </c>
      <c r="D732">
        <v>2.3359999999999999E-2</v>
      </c>
      <c r="E732">
        <v>2.555E-2</v>
      </c>
      <c r="F732">
        <v>10619738.1</v>
      </c>
      <c r="G732">
        <v>0</v>
      </c>
      <c r="L732" t="s">
        <v>8</v>
      </c>
      <c r="M732" t="s">
        <v>8</v>
      </c>
      <c r="N732" t="s">
        <v>8</v>
      </c>
      <c r="P732">
        <f t="shared" si="999"/>
        <v>0.70428015564202218</v>
      </c>
      <c r="Q732">
        <f t="shared" si="1000"/>
        <v>7479270.8019455122</v>
      </c>
      <c r="R732">
        <f t="shared" si="1001"/>
        <v>-4181029.9597727889</v>
      </c>
      <c r="S732">
        <f t="shared" si="1002"/>
        <v>-41.810299597727891</v>
      </c>
      <c r="T732">
        <f t="shared" si="1003"/>
        <v>-4.181029959772789E-2</v>
      </c>
    </row>
    <row r="733" spans="1:20" x14ac:dyDescent="0.25">
      <c r="A733" s="5">
        <v>43860</v>
      </c>
      <c r="B733">
        <v>2.2380000000000001E-2</v>
      </c>
      <c r="C733">
        <v>2.4709999999999999E-2</v>
      </c>
      <c r="D733">
        <v>2.1989999999999999E-2</v>
      </c>
      <c r="E733">
        <v>2.4109999999999999E-2</v>
      </c>
      <c r="F733">
        <v>3804966.2</v>
      </c>
      <c r="G733">
        <v>0</v>
      </c>
      <c r="L733" t="s">
        <v>8</v>
      </c>
      <c r="M733" t="s">
        <v>8</v>
      </c>
      <c r="N733" t="s">
        <v>8</v>
      </c>
      <c r="P733">
        <f t="shared" si="999"/>
        <v>0.55882352941176483</v>
      </c>
      <c r="Q733">
        <f t="shared" si="1000"/>
        <v>2126304.641176471</v>
      </c>
      <c r="R733">
        <f t="shared" si="1001"/>
        <v>-11660300.761718301</v>
      </c>
      <c r="S733">
        <f t="shared" si="1002"/>
        <v>-116.60300761718301</v>
      </c>
      <c r="T733">
        <f t="shared" si="1003"/>
        <v>-0.11660300761718301</v>
      </c>
    </row>
    <row r="734" spans="1:20" x14ac:dyDescent="0.25">
      <c r="A734" s="5">
        <v>43859</v>
      </c>
      <c r="B734">
        <v>2.2370000000000001E-2</v>
      </c>
      <c r="C734">
        <v>2.2880000000000001E-2</v>
      </c>
      <c r="D734">
        <v>2.1899999999999999E-2</v>
      </c>
      <c r="E734">
        <v>2.239E-2</v>
      </c>
      <c r="F734">
        <v>2929810.6</v>
      </c>
      <c r="G734">
        <v>0</v>
      </c>
      <c r="L734" t="s">
        <v>8</v>
      </c>
      <c r="M734" t="s">
        <v>7</v>
      </c>
      <c r="N734" t="s">
        <v>8</v>
      </c>
      <c r="P734">
        <f t="shared" si="999"/>
        <v>0</v>
      </c>
      <c r="Q734">
        <f t="shared" si="1000"/>
        <v>0</v>
      </c>
      <c r="R734">
        <f t="shared" si="1001"/>
        <v>-13786605.402894773</v>
      </c>
      <c r="S734">
        <f t="shared" si="1002"/>
        <v>-137.86605402894773</v>
      </c>
      <c r="T734">
        <f t="shared" si="1003"/>
        <v>-0.13786605402894772</v>
      </c>
    </row>
    <row r="735" spans="1:20" x14ac:dyDescent="0.25">
      <c r="A735" s="5">
        <v>43858</v>
      </c>
      <c r="B735">
        <v>2.1870000000000001E-2</v>
      </c>
      <c r="C735">
        <v>2.358E-2</v>
      </c>
      <c r="D735">
        <v>2.1680000000000001E-2</v>
      </c>
      <c r="E735">
        <v>2.2200000000000001E-2</v>
      </c>
      <c r="F735">
        <v>5302496.3</v>
      </c>
      <c r="G735">
        <v>0</v>
      </c>
      <c r="L735" t="s">
        <v>8</v>
      </c>
      <c r="M735" t="s">
        <v>7</v>
      </c>
      <c r="N735" t="s">
        <v>8</v>
      </c>
      <c r="P735">
        <f t="shared" si="999"/>
        <v>-0.4526315789473685</v>
      </c>
      <c r="Q735">
        <f t="shared" si="1000"/>
        <v>-2400077.2726315791</v>
      </c>
      <c r="R735">
        <f t="shared" si="1001"/>
        <v>-13786605.402894773</v>
      </c>
      <c r="S735">
        <f t="shared" si="1002"/>
        <v>-137.86605402894773</v>
      </c>
      <c r="T735">
        <f t="shared" si="1003"/>
        <v>-0.13786605402894772</v>
      </c>
    </row>
    <row r="736" spans="1:20" x14ac:dyDescent="0.25">
      <c r="A736" s="5">
        <v>43857</v>
      </c>
      <c r="B736">
        <v>2.1739999999999999E-2</v>
      </c>
      <c r="C736">
        <v>2.1999999999999999E-2</v>
      </c>
      <c r="D736">
        <v>2.1149999999999999E-2</v>
      </c>
      <c r="E736">
        <v>2.1690000000000001E-2</v>
      </c>
      <c r="F736">
        <v>1367277.8</v>
      </c>
      <c r="G736">
        <v>0</v>
      </c>
      <c r="L736" t="s">
        <v>7</v>
      </c>
      <c r="M736" t="s">
        <v>7</v>
      </c>
      <c r="N736" t="s">
        <v>8</v>
      </c>
      <c r="P736">
        <f t="shared" si="999"/>
        <v>0.2705882352941229</v>
      </c>
      <c r="Q736">
        <f t="shared" si="1000"/>
        <v>369969.28705883073</v>
      </c>
      <c r="R736">
        <f t="shared" si="1001"/>
        <v>-11386528.130263194</v>
      </c>
      <c r="S736">
        <f t="shared" si="1002"/>
        <v>-113.86528130263194</v>
      </c>
      <c r="T736">
        <f t="shared" si="1003"/>
        <v>-0.11386528130263195</v>
      </c>
    </row>
    <row r="737" spans="1:20" x14ac:dyDescent="0.25">
      <c r="A737" s="5">
        <v>43856</v>
      </c>
      <c r="B737">
        <v>2.1329999999999998E-2</v>
      </c>
      <c r="C737">
        <v>2.1770000000000001E-2</v>
      </c>
      <c r="D737">
        <v>2.1260000000000001E-2</v>
      </c>
      <c r="E737">
        <v>2.1700000000000001E-2</v>
      </c>
      <c r="F737">
        <v>870984.7</v>
      </c>
      <c r="G737">
        <v>0</v>
      </c>
      <c r="L737" t="s">
        <v>7</v>
      </c>
      <c r="M737" t="s">
        <v>7</v>
      </c>
      <c r="N737" t="s">
        <v>8</v>
      </c>
      <c r="P737">
        <f t="shared" si="999"/>
        <v>0.72549019607842902</v>
      </c>
      <c r="Q737">
        <f t="shared" si="1000"/>
        <v>631890.86078431166</v>
      </c>
      <c r="R737">
        <f t="shared" si="1001"/>
        <v>-11756497.417322025</v>
      </c>
      <c r="S737">
        <f t="shared" si="1002"/>
        <v>-117.56497417322025</v>
      </c>
      <c r="T737">
        <f t="shared" si="1003"/>
        <v>-0.11756497417322025</v>
      </c>
    </row>
    <row r="738" spans="1:20" x14ac:dyDescent="0.25">
      <c r="A738" s="5">
        <v>43855</v>
      </c>
      <c r="B738">
        <v>2.18E-2</v>
      </c>
      <c r="C738">
        <v>2.1850000000000001E-2</v>
      </c>
      <c r="D738">
        <v>2.086E-2</v>
      </c>
      <c r="E738">
        <v>2.1329999999999998E-2</v>
      </c>
      <c r="F738">
        <v>1924312.7</v>
      </c>
      <c r="G738">
        <v>0</v>
      </c>
      <c r="L738" t="s">
        <v>7</v>
      </c>
      <c r="M738" t="s">
        <v>7</v>
      </c>
      <c r="N738" t="s">
        <v>8</v>
      </c>
      <c r="P738">
        <f t="shared" si="999"/>
        <v>-5.0505050505055389E-2</v>
      </c>
      <c r="Q738">
        <f t="shared" si="1000"/>
        <v>-97187.510101019492</v>
      </c>
      <c r="R738">
        <f t="shared" si="1001"/>
        <v>-12388388.278106336</v>
      </c>
      <c r="S738">
        <f t="shared" si="1002"/>
        <v>-123.88388278106335</v>
      </c>
      <c r="T738">
        <f t="shared" si="1003"/>
        <v>-0.12388388278106335</v>
      </c>
    </row>
    <row r="739" spans="1:20" x14ac:dyDescent="0.25">
      <c r="A739" s="5">
        <v>43854</v>
      </c>
      <c r="B739">
        <v>2.223E-2</v>
      </c>
      <c r="C739">
        <v>2.2339999999999999E-2</v>
      </c>
      <c r="D739">
        <v>2.1049999999999999E-2</v>
      </c>
      <c r="E739">
        <v>2.1940000000000001E-2</v>
      </c>
      <c r="F739">
        <v>2862145.5</v>
      </c>
      <c r="G739">
        <v>0</v>
      </c>
      <c r="L739" t="s">
        <v>7</v>
      </c>
      <c r="M739" t="s">
        <v>7</v>
      </c>
      <c r="N739" t="s">
        <v>8</v>
      </c>
      <c r="P739">
        <f t="shared" si="999"/>
        <v>0.37984496124031358</v>
      </c>
      <c r="Q739">
        <f t="shared" si="1000"/>
        <v>1087171.546511638</v>
      </c>
      <c r="R739">
        <f t="shared" si="1001"/>
        <v>-12291200.768005315</v>
      </c>
      <c r="S739">
        <f t="shared" si="1002"/>
        <v>-122.91200768005315</v>
      </c>
      <c r="T739">
        <f t="shared" si="1003"/>
        <v>-0.12291200768005316</v>
      </c>
    </row>
    <row r="740" spans="1:20" x14ac:dyDescent="0.25">
      <c r="A740" s="5">
        <v>43853</v>
      </c>
      <c r="B740">
        <v>2.367E-2</v>
      </c>
      <c r="C740">
        <v>2.3910000000000001E-2</v>
      </c>
      <c r="D740">
        <v>2.1999999999999999E-2</v>
      </c>
      <c r="E740">
        <v>2.223E-2</v>
      </c>
      <c r="F740">
        <v>5606189.2999999998</v>
      </c>
      <c r="G740">
        <v>0</v>
      </c>
      <c r="L740" t="s">
        <v>7</v>
      </c>
      <c r="M740" t="s">
        <v>7</v>
      </c>
      <c r="N740" t="s">
        <v>8</v>
      </c>
      <c r="P740">
        <f t="shared" si="999"/>
        <v>-0.75916230366492066</v>
      </c>
      <c r="Q740">
        <f t="shared" si="1000"/>
        <v>-4256007.5837696288</v>
      </c>
      <c r="R740">
        <f t="shared" si="1001"/>
        <v>-13378372.314516952</v>
      </c>
      <c r="S740">
        <f t="shared" si="1002"/>
        <v>-133.78372314516952</v>
      </c>
      <c r="T740">
        <f t="shared" si="1003"/>
        <v>-0.13378372314516951</v>
      </c>
    </row>
    <row r="741" spans="1:20" x14ac:dyDescent="0.25">
      <c r="A741" s="5">
        <v>43852</v>
      </c>
      <c r="B741">
        <v>2.35E-2</v>
      </c>
      <c r="C741">
        <v>2.6069999999999999E-2</v>
      </c>
      <c r="D741">
        <v>2.2530000000000001E-2</v>
      </c>
      <c r="E741">
        <v>2.359E-2</v>
      </c>
      <c r="F741">
        <v>22553268</v>
      </c>
      <c r="G741">
        <v>0</v>
      </c>
      <c r="L741" t="s">
        <v>8</v>
      </c>
      <c r="M741" t="s">
        <v>8</v>
      </c>
      <c r="N741" t="s">
        <v>8</v>
      </c>
      <c r="P741">
        <f t="shared" si="999"/>
        <v>-0.40112994350282538</v>
      </c>
      <c r="Q741">
        <f t="shared" si="1000"/>
        <v>-9046791.1186440792</v>
      </c>
      <c r="R741">
        <f t="shared" si="1001"/>
        <v>-9122364.7307473235</v>
      </c>
      <c r="S741">
        <f t="shared" si="1002"/>
        <v>-91.223647307473229</v>
      </c>
      <c r="T741">
        <f t="shared" si="1003"/>
        <v>-9.1223647307473232E-2</v>
      </c>
    </row>
    <row r="742" spans="1:20" x14ac:dyDescent="0.25">
      <c r="A742" s="5">
        <v>43851</v>
      </c>
      <c r="B742">
        <v>2.018E-2</v>
      </c>
      <c r="C742">
        <v>2.494E-2</v>
      </c>
      <c r="D742">
        <v>1.9949999999999999E-2</v>
      </c>
      <c r="E742">
        <v>2.351E-2</v>
      </c>
      <c r="F742">
        <v>7503513.2000000002</v>
      </c>
      <c r="G742">
        <v>0</v>
      </c>
      <c r="L742" t="s">
        <v>8</v>
      </c>
      <c r="M742" t="s">
        <v>8</v>
      </c>
      <c r="N742" t="s">
        <v>8</v>
      </c>
      <c r="P742">
        <f t="shared" si="999"/>
        <v>0.42685370741482953</v>
      </c>
      <c r="Q742">
        <f t="shared" si="1000"/>
        <v>3202902.4280561116</v>
      </c>
      <c r="R742">
        <f t="shared" si="1001"/>
        <v>-75573.612103245221</v>
      </c>
      <c r="S742">
        <f t="shared" si="1002"/>
        <v>-0.75573612103245225</v>
      </c>
      <c r="T742">
        <f t="shared" si="1003"/>
        <v>-7.557361210324522E-4</v>
      </c>
    </row>
    <row r="743" spans="1:20" x14ac:dyDescent="0.25">
      <c r="A743" s="5">
        <v>43850</v>
      </c>
      <c r="B743">
        <v>2.0119999999999999E-2</v>
      </c>
      <c r="C743">
        <v>2.0279999999999999E-2</v>
      </c>
      <c r="D743">
        <v>1.9699999999999999E-2</v>
      </c>
      <c r="E743">
        <v>2.019E-2</v>
      </c>
      <c r="F743">
        <v>841183</v>
      </c>
      <c r="G743">
        <v>0</v>
      </c>
      <c r="L743" t="s">
        <v>7</v>
      </c>
      <c r="M743" t="s">
        <v>8</v>
      </c>
      <c r="N743" t="s">
        <v>7</v>
      </c>
      <c r="P743">
        <f t="shared" si="999"/>
        <v>0.68965517241379415</v>
      </c>
      <c r="Q743">
        <f t="shared" si="1000"/>
        <v>580126.20689655258</v>
      </c>
      <c r="R743">
        <f t="shared" si="1001"/>
        <v>-3278476.0401593568</v>
      </c>
      <c r="S743">
        <f t="shared" si="1002"/>
        <v>-32.784760401593566</v>
      </c>
      <c r="T743">
        <f t="shared" si="1003"/>
        <v>-3.2784760401593567E-2</v>
      </c>
    </row>
    <row r="744" spans="1:20" x14ac:dyDescent="0.25">
      <c r="A744" s="5">
        <v>43849</v>
      </c>
      <c r="B744">
        <v>2.154E-2</v>
      </c>
      <c r="C744">
        <v>2.1950000000000001E-2</v>
      </c>
      <c r="D744">
        <v>1.9519999999999999E-2</v>
      </c>
      <c r="E744">
        <v>2.01E-2</v>
      </c>
      <c r="F744">
        <v>3350379.1</v>
      </c>
      <c r="G744">
        <v>0</v>
      </c>
      <c r="L744" t="s">
        <v>7</v>
      </c>
      <c r="M744" t="s">
        <v>8</v>
      </c>
      <c r="N744" t="s">
        <v>7</v>
      </c>
      <c r="P744">
        <f t="shared" si="999"/>
        <v>-0.52263374485596681</v>
      </c>
      <c r="Q744">
        <f t="shared" si="1000"/>
        <v>-1751021.1757201639</v>
      </c>
      <c r="R744">
        <f t="shared" si="1001"/>
        <v>-3858602.2470559096</v>
      </c>
      <c r="S744">
        <f t="shared" si="1002"/>
        <v>-38.586022470559094</v>
      </c>
      <c r="T744">
        <f t="shared" si="1003"/>
        <v>-3.8586022470559096E-2</v>
      </c>
    </row>
    <row r="745" spans="1:20" x14ac:dyDescent="0.25">
      <c r="A745" s="5">
        <v>43848</v>
      </c>
      <c r="B745">
        <v>2.137E-2</v>
      </c>
      <c r="C745">
        <v>2.1839999999999998E-2</v>
      </c>
      <c r="D745">
        <v>2.0500000000000001E-2</v>
      </c>
      <c r="E745">
        <v>2.1579999999999998E-2</v>
      </c>
      <c r="F745">
        <v>3758275.5</v>
      </c>
      <c r="G745">
        <v>0</v>
      </c>
      <c r="L745" t="s">
        <v>7</v>
      </c>
      <c r="M745" t="s">
        <v>8</v>
      </c>
      <c r="N745" t="s">
        <v>7</v>
      </c>
      <c r="P745">
        <f t="shared" si="999"/>
        <v>0.61194029850746223</v>
      </c>
      <c r="Q745">
        <f t="shared" si="1000"/>
        <v>2299840.2313432819</v>
      </c>
      <c r="R745">
        <f t="shared" si="1001"/>
        <v>-2107581.0713357455</v>
      </c>
      <c r="S745">
        <f t="shared" si="1002"/>
        <v>-21.075810713357455</v>
      </c>
      <c r="T745">
        <f t="shared" si="1003"/>
        <v>-2.1075810713357457E-2</v>
      </c>
    </row>
    <row r="746" spans="1:20" x14ac:dyDescent="0.25">
      <c r="A746" s="5">
        <v>43847</v>
      </c>
      <c r="B746">
        <v>1.9879999999999998E-2</v>
      </c>
      <c r="C746">
        <v>2.2599999999999999E-2</v>
      </c>
      <c r="D746">
        <v>1.9630000000000002E-2</v>
      </c>
      <c r="E746">
        <v>2.1329999999999998E-2</v>
      </c>
      <c r="F746">
        <v>6935302.2000000002</v>
      </c>
      <c r="G746">
        <v>0</v>
      </c>
      <c r="L746" t="s">
        <v>8</v>
      </c>
      <c r="M746" t="s">
        <v>8</v>
      </c>
      <c r="N746" t="s">
        <v>7</v>
      </c>
      <c r="P746">
        <f t="shared" si="999"/>
        <v>0.14478114478114371</v>
      </c>
      <c r="Q746">
        <f t="shared" si="1000"/>
        <v>1004100.9919191845</v>
      </c>
      <c r="R746">
        <f t="shared" si="1001"/>
        <v>-4407421.3026790274</v>
      </c>
      <c r="S746">
        <f t="shared" si="1002"/>
        <v>-44.074213026790275</v>
      </c>
      <c r="T746">
        <f t="shared" si="1003"/>
        <v>-4.4074213026790272E-2</v>
      </c>
    </row>
    <row r="747" spans="1:20" x14ac:dyDescent="0.25">
      <c r="A747" s="5">
        <v>43846</v>
      </c>
      <c r="B747">
        <v>2.0330000000000001E-2</v>
      </c>
      <c r="C747">
        <v>2.1100000000000001E-2</v>
      </c>
      <c r="D747">
        <v>1.924E-2</v>
      </c>
      <c r="E747">
        <v>1.9879999999999998E-2</v>
      </c>
      <c r="F747">
        <v>3371088.4</v>
      </c>
      <c r="G747">
        <v>0</v>
      </c>
      <c r="L747" t="s">
        <v>8</v>
      </c>
      <c r="M747" t="s">
        <v>8</v>
      </c>
      <c r="N747" t="s">
        <v>7</v>
      </c>
      <c r="P747">
        <f t="shared" si="999"/>
        <v>-0.31182795698924942</v>
      </c>
      <c r="Q747">
        <f t="shared" si="1000"/>
        <v>-1051199.6086021576</v>
      </c>
      <c r="R747">
        <f t="shared" si="1001"/>
        <v>-5411522.2945982115</v>
      </c>
      <c r="S747">
        <f t="shared" si="1002"/>
        <v>-54.115222945982119</v>
      </c>
      <c r="T747">
        <f t="shared" si="1003"/>
        <v>-5.4115222945982117E-2</v>
      </c>
    </row>
    <row r="748" spans="1:20" x14ac:dyDescent="0.25">
      <c r="A748" s="5">
        <v>43845</v>
      </c>
      <c r="B748">
        <v>1.8950000000000002E-2</v>
      </c>
      <c r="C748">
        <v>2.085E-2</v>
      </c>
      <c r="D748">
        <v>1.8800000000000001E-2</v>
      </c>
      <c r="E748">
        <v>2.0299999999999999E-2</v>
      </c>
      <c r="F748">
        <v>7041688.7000000002</v>
      </c>
      <c r="G748">
        <v>0</v>
      </c>
      <c r="L748" t="s">
        <v>8</v>
      </c>
      <c r="M748" t="s">
        <v>8</v>
      </c>
      <c r="N748" t="s">
        <v>7</v>
      </c>
      <c r="P748">
        <f t="shared" si="999"/>
        <v>0.46341463414633954</v>
      </c>
      <c r="Q748">
        <f t="shared" si="1000"/>
        <v>3263221.5926829134</v>
      </c>
      <c r="R748">
        <f t="shared" si="1001"/>
        <v>-4360322.6859960537</v>
      </c>
      <c r="S748">
        <f t="shared" si="1002"/>
        <v>-43.603226859960536</v>
      </c>
      <c r="T748">
        <f t="shared" si="1003"/>
        <v>-4.3603226859960535E-2</v>
      </c>
    </row>
    <row r="749" spans="1:20" x14ac:dyDescent="0.25">
      <c r="A749" s="5">
        <v>43844</v>
      </c>
      <c r="B749">
        <v>1.9539999999999998E-2</v>
      </c>
      <c r="C749">
        <v>1.9740000000000001E-2</v>
      </c>
      <c r="D749">
        <v>1.8540000000000001E-2</v>
      </c>
      <c r="E749">
        <v>1.9040000000000001E-2</v>
      </c>
      <c r="F749">
        <v>11399079.699999999</v>
      </c>
      <c r="G749">
        <v>0</v>
      </c>
      <c r="L749" t="s">
        <v>7</v>
      </c>
      <c r="M749" t="s">
        <v>8</v>
      </c>
      <c r="N749" t="s">
        <v>7</v>
      </c>
      <c r="P749">
        <f t="shared" si="999"/>
        <v>-0.16666666666666571</v>
      </c>
      <c r="Q749">
        <f t="shared" si="1000"/>
        <v>-1899846.6166666558</v>
      </c>
      <c r="R749">
        <f t="shared" si="1001"/>
        <v>-7623544.2786789667</v>
      </c>
      <c r="S749">
        <f t="shared" si="1002"/>
        <v>-76.235442786789662</v>
      </c>
      <c r="T749">
        <f t="shared" si="1003"/>
        <v>-7.6235442786789662E-2</v>
      </c>
    </row>
    <row r="750" spans="1:20" x14ac:dyDescent="0.25">
      <c r="A750" s="5">
        <v>43843</v>
      </c>
      <c r="B750">
        <v>2.0930000000000001E-2</v>
      </c>
      <c r="C750">
        <v>2.1219999999999999E-2</v>
      </c>
      <c r="D750">
        <v>1.9279999999999999E-2</v>
      </c>
      <c r="E750">
        <v>1.9539999999999998E-2</v>
      </c>
      <c r="F750">
        <v>2829539.7</v>
      </c>
      <c r="G750">
        <v>0</v>
      </c>
      <c r="L750" t="s">
        <v>7</v>
      </c>
      <c r="M750" t="s">
        <v>8</v>
      </c>
      <c r="N750" t="s">
        <v>7</v>
      </c>
      <c r="P750">
        <f t="shared" si="999"/>
        <v>-0.73195876288659822</v>
      </c>
      <c r="Q750">
        <f t="shared" si="1000"/>
        <v>-2071106.3783505163</v>
      </c>
      <c r="R750">
        <f t="shared" si="1001"/>
        <v>-5723697.6620123107</v>
      </c>
      <c r="S750">
        <f t="shared" si="1002"/>
        <v>-57.236976620123109</v>
      </c>
      <c r="T750">
        <f t="shared" si="1003"/>
        <v>-5.7236976620123108E-2</v>
      </c>
    </row>
    <row r="751" spans="1:20" x14ac:dyDescent="0.25">
      <c r="A751" s="5">
        <v>43842</v>
      </c>
      <c r="B751">
        <v>1.8409999999999999E-2</v>
      </c>
      <c r="C751">
        <v>2.162E-2</v>
      </c>
      <c r="D751">
        <v>1.84E-2</v>
      </c>
      <c r="E751">
        <v>2.0930000000000001E-2</v>
      </c>
      <c r="F751">
        <v>9647532</v>
      </c>
      <c r="G751">
        <v>0</v>
      </c>
      <c r="L751" t="s">
        <v>8</v>
      </c>
      <c r="M751" t="s">
        <v>8</v>
      </c>
      <c r="N751" t="s">
        <v>7</v>
      </c>
      <c r="P751">
        <f t="shared" si="999"/>
        <v>0.57142857142857173</v>
      </c>
      <c r="Q751">
        <f t="shared" si="1000"/>
        <v>5512875.4285714319</v>
      </c>
      <c r="R751">
        <f t="shared" si="1001"/>
        <v>-3652591.2836617948</v>
      </c>
      <c r="S751">
        <f t="shared" si="1002"/>
        <v>-36.525912836617948</v>
      </c>
      <c r="T751">
        <f t="shared" si="1003"/>
        <v>-3.6525912836617949E-2</v>
      </c>
    </row>
    <row r="752" spans="1:20" x14ac:dyDescent="0.25">
      <c r="A752" s="5">
        <v>43841</v>
      </c>
      <c r="B752">
        <v>1.7670000000000002E-2</v>
      </c>
      <c r="C752">
        <v>1.9099999999999999E-2</v>
      </c>
      <c r="D752">
        <v>1.7479999999999999E-2</v>
      </c>
      <c r="E752">
        <v>1.8419999999999999E-2</v>
      </c>
      <c r="F752">
        <v>2228687</v>
      </c>
      <c r="G752">
        <v>0</v>
      </c>
      <c r="L752" t="s">
        <v>8</v>
      </c>
      <c r="M752" t="s">
        <v>7</v>
      </c>
      <c r="N752" t="s">
        <v>7</v>
      </c>
      <c r="P752">
        <f t="shared" si="999"/>
        <v>0.16049382716049373</v>
      </c>
      <c r="Q752">
        <f t="shared" si="1000"/>
        <v>357690.50617283932</v>
      </c>
      <c r="R752">
        <f t="shared" si="1001"/>
        <v>-9165466.7122332267</v>
      </c>
      <c r="S752">
        <f t="shared" si="1002"/>
        <v>-91.65466712233227</v>
      </c>
      <c r="T752">
        <f t="shared" si="1003"/>
        <v>-9.1654667122332265E-2</v>
      </c>
    </row>
    <row r="753" spans="1:20" x14ac:dyDescent="0.25">
      <c r="A753" s="5">
        <v>43840</v>
      </c>
      <c r="B753">
        <v>1.7770000000000001E-2</v>
      </c>
      <c r="C753">
        <v>1.8010000000000002E-2</v>
      </c>
      <c r="D753">
        <v>1.7319999999999999E-2</v>
      </c>
      <c r="E753">
        <v>1.77E-2</v>
      </c>
      <c r="F753">
        <v>1024911.1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0.10144927536231928</v>
      </c>
      <c r="Q753">
        <f t="shared" si="1000"/>
        <v>103976.48840579754</v>
      </c>
      <c r="R753">
        <f t="shared" si="1001"/>
        <v>-9523157.2184060663</v>
      </c>
      <c r="S753">
        <f t="shared" si="1002"/>
        <v>-95.231572184060667</v>
      </c>
      <c r="T753">
        <f t="shared" si="1003"/>
        <v>-9.523157218406067E-2</v>
      </c>
    </row>
    <row r="754" spans="1:20" x14ac:dyDescent="0.25">
      <c r="A754" s="5">
        <v>43839</v>
      </c>
      <c r="B754">
        <v>1.8020000000000001E-2</v>
      </c>
      <c r="C754">
        <v>1.8499999999999999E-2</v>
      </c>
      <c r="D754">
        <v>1.7610000000000001E-2</v>
      </c>
      <c r="E754">
        <v>1.7770000000000001E-2</v>
      </c>
      <c r="F754">
        <v>864936.5</v>
      </c>
      <c r="G754">
        <v>0</v>
      </c>
      <c r="L754" t="s">
        <v>7</v>
      </c>
      <c r="M754" t="s">
        <v>8</v>
      </c>
      <c r="N754" t="s">
        <v>7</v>
      </c>
      <c r="P754">
        <f t="shared" si="999"/>
        <v>-0.64044943820224565</v>
      </c>
      <c r="Q754">
        <f t="shared" si="1000"/>
        <v>-553948.09550561663</v>
      </c>
      <c r="R754">
        <f t="shared" si="1001"/>
        <v>-9627133.7068118639</v>
      </c>
      <c r="S754">
        <f t="shared" si="1002"/>
        <v>-96.27133706811864</v>
      </c>
      <c r="T754">
        <f t="shared" si="1003"/>
        <v>-9.6271337068118634E-2</v>
      </c>
    </row>
    <row r="755" spans="1:20" x14ac:dyDescent="0.25">
      <c r="A755" s="5">
        <v>43838</v>
      </c>
      <c r="B755">
        <v>1.8890000000000001E-2</v>
      </c>
      <c r="C755">
        <v>1.915E-2</v>
      </c>
      <c r="D755">
        <v>1.755E-2</v>
      </c>
      <c r="E755">
        <v>1.814E-2</v>
      </c>
      <c r="F755">
        <v>3395750.8</v>
      </c>
      <c r="G755">
        <v>0</v>
      </c>
      <c r="L755" t="s">
        <v>7</v>
      </c>
      <c r="M755" t="s">
        <v>8</v>
      </c>
      <c r="N755" t="s">
        <v>7</v>
      </c>
      <c r="P755">
        <f t="shared" si="999"/>
        <v>-0.26250000000000001</v>
      </c>
      <c r="Q755">
        <f t="shared" si="1000"/>
        <v>-891384.58499999996</v>
      </c>
      <c r="R755">
        <f t="shared" si="1001"/>
        <v>-9073185.6113062482</v>
      </c>
      <c r="S755">
        <f t="shared" si="1002"/>
        <v>-90.731856113062477</v>
      </c>
      <c r="T755">
        <f t="shared" si="1003"/>
        <v>-9.0731856113062476E-2</v>
      </c>
    </row>
    <row r="756" spans="1:20" x14ac:dyDescent="0.25">
      <c r="A756" s="5">
        <v>43837</v>
      </c>
      <c r="B756">
        <v>1.9910000000000001E-2</v>
      </c>
      <c r="C756">
        <v>2.0039999999999999E-2</v>
      </c>
      <c r="D756">
        <v>1.8450000000000001E-2</v>
      </c>
      <c r="E756">
        <v>1.89E-2</v>
      </c>
      <c r="F756">
        <v>3169982.2</v>
      </c>
      <c r="G756">
        <v>0</v>
      </c>
      <c r="L756" t="s">
        <v>8</v>
      </c>
      <c r="M756" t="s">
        <v>8</v>
      </c>
      <c r="N756" t="s">
        <v>7</v>
      </c>
      <c r="P756">
        <f t="shared" si="999"/>
        <v>-0.4339622641509438</v>
      </c>
      <c r="Q756">
        <f t="shared" si="1000"/>
        <v>-1375652.65283019</v>
      </c>
      <c r="R756">
        <f t="shared" si="1001"/>
        <v>-8181801.0263062483</v>
      </c>
      <c r="S756">
        <f t="shared" si="1002"/>
        <v>-81.818010263062476</v>
      </c>
      <c r="T756">
        <f t="shared" si="1003"/>
        <v>-8.1818010263062471E-2</v>
      </c>
    </row>
    <row r="757" spans="1:20" x14ac:dyDescent="0.25">
      <c r="A757" s="5">
        <v>43836</v>
      </c>
      <c r="B757">
        <v>1.8839999999999999E-2</v>
      </c>
      <c r="C757">
        <v>0.02</v>
      </c>
      <c r="D757">
        <v>1.8280000000000001E-2</v>
      </c>
      <c r="E757">
        <v>1.9980000000000001E-2</v>
      </c>
      <c r="F757">
        <v>3996035.1</v>
      </c>
      <c r="G757">
        <v>0</v>
      </c>
      <c r="L757" t="s">
        <v>7</v>
      </c>
      <c r="M757" t="s">
        <v>8</v>
      </c>
      <c r="N757" t="s">
        <v>7</v>
      </c>
      <c r="P757">
        <f t="shared" si="999"/>
        <v>0.97674418604651259</v>
      </c>
      <c r="Q757">
        <f t="shared" si="1000"/>
        <v>3903104.0511627947</v>
      </c>
      <c r="R757">
        <f t="shared" si="1001"/>
        <v>-6806148.3734760582</v>
      </c>
      <c r="S757">
        <f t="shared" si="1002"/>
        <v>-68.061483734760586</v>
      </c>
      <c r="T757">
        <f t="shared" si="1003"/>
        <v>-6.8061483734760592E-2</v>
      </c>
    </row>
    <row r="758" spans="1:20" x14ac:dyDescent="0.25">
      <c r="A758" s="5">
        <v>43835</v>
      </c>
      <c r="B758">
        <v>1.9550000000000001E-2</v>
      </c>
      <c r="C758">
        <v>1.983E-2</v>
      </c>
      <c r="D758">
        <v>1.8610000000000002E-2</v>
      </c>
      <c r="E758">
        <v>1.864E-2</v>
      </c>
      <c r="F758">
        <v>4937276.5</v>
      </c>
      <c r="G758">
        <v>0</v>
      </c>
      <c r="L758" t="s">
        <v>7</v>
      </c>
      <c r="M758" t="s">
        <v>8</v>
      </c>
      <c r="N758" t="s">
        <v>7</v>
      </c>
      <c r="P758">
        <f t="shared" si="999"/>
        <v>-0.95081967213114948</v>
      </c>
      <c r="Q758">
        <f t="shared" si="1000"/>
        <v>-4694459.6229508296</v>
      </c>
      <c r="R758">
        <f t="shared" si="1001"/>
        <v>-10709252.424638852</v>
      </c>
      <c r="S758">
        <f t="shared" si="1002"/>
        <v>-107.09252424638852</v>
      </c>
      <c r="T758">
        <f t="shared" si="1003"/>
        <v>-0.10709252424638852</v>
      </c>
    </row>
    <row r="759" spans="1:20" x14ac:dyDescent="0.25">
      <c r="A759" s="5">
        <v>43834</v>
      </c>
      <c r="B759">
        <v>1.9429999999999999E-2</v>
      </c>
      <c r="C759">
        <v>1.9800000000000002E-2</v>
      </c>
      <c r="D759">
        <v>1.898E-2</v>
      </c>
      <c r="E759">
        <v>1.9730000000000001E-2</v>
      </c>
      <c r="F759">
        <v>2612215.4</v>
      </c>
      <c r="G759">
        <v>0</v>
      </c>
      <c r="L759" t="s">
        <v>7</v>
      </c>
      <c r="M759" t="s">
        <v>8</v>
      </c>
      <c r="N759" t="s">
        <v>7</v>
      </c>
      <c r="P759">
        <f t="shared" si="999"/>
        <v>0.82926829268292557</v>
      </c>
      <c r="Q759">
        <f t="shared" si="1000"/>
        <v>2166227.4048780454</v>
      </c>
      <c r="R759">
        <f t="shared" si="1001"/>
        <v>-6014792.8016880238</v>
      </c>
      <c r="S759">
        <f t="shared" si="1002"/>
        <v>-60.147928016880236</v>
      </c>
      <c r="T759">
        <f t="shared" si="1003"/>
        <v>-6.0147928016880237E-2</v>
      </c>
    </row>
    <row r="760" spans="1:20" x14ac:dyDescent="0.25">
      <c r="A760" s="5">
        <v>43833</v>
      </c>
      <c r="B760">
        <v>1.966E-2</v>
      </c>
      <c r="C760">
        <v>2.1000000000000001E-2</v>
      </c>
      <c r="D760">
        <v>1.873E-2</v>
      </c>
      <c r="E760">
        <v>1.9429999999999999E-2</v>
      </c>
      <c r="F760">
        <v>6851234</v>
      </c>
      <c r="G760">
        <v>0</v>
      </c>
      <c r="L760" t="s">
        <v>8</v>
      </c>
      <c r="M760" t="s">
        <v>8</v>
      </c>
      <c r="N760" t="s">
        <v>7</v>
      </c>
      <c r="P760">
        <f t="shared" si="999"/>
        <v>-0.38325991189427411</v>
      </c>
      <c r="Q760">
        <f t="shared" si="1000"/>
        <v>-2625803.339207055</v>
      </c>
      <c r="R760">
        <f t="shared" si="1001"/>
        <v>-8181020.2065660693</v>
      </c>
      <c r="S760">
        <f t="shared" si="1002"/>
        <v>-81.81020206566069</v>
      </c>
      <c r="T760">
        <f t="shared" si="1003"/>
        <v>-8.1810202065660684E-2</v>
      </c>
    </row>
    <row r="761" spans="1:20" x14ac:dyDescent="0.25">
      <c r="A761" s="5">
        <v>43832</v>
      </c>
      <c r="B761">
        <v>1.7989999999999999E-2</v>
      </c>
      <c r="C761">
        <v>2.0289999999999999E-2</v>
      </c>
      <c r="D761">
        <v>1.729E-2</v>
      </c>
      <c r="E761">
        <v>1.9460000000000002E-2</v>
      </c>
      <c r="F761">
        <v>6277952.7000000002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0.44666666666666827</v>
      </c>
      <c r="Q761">
        <f t="shared" si="1000"/>
        <v>2804152.20600001</v>
      </c>
      <c r="R761">
        <f t="shared" si="1001"/>
        <v>-5555216.8673590142</v>
      </c>
      <c r="S761">
        <f t="shared" si="1002"/>
        <v>-55.552168673590145</v>
      </c>
      <c r="T761">
        <f t="shared" si="1003"/>
        <v>-5.5552168673590148E-2</v>
      </c>
    </row>
    <row r="762" spans="1:20" x14ac:dyDescent="0.25">
      <c r="A762" s="5">
        <v>43831</v>
      </c>
      <c r="B762">
        <v>1.806E-2</v>
      </c>
      <c r="C762">
        <v>1.821E-2</v>
      </c>
      <c r="D762">
        <v>1.7659999999999999E-2</v>
      </c>
      <c r="E762">
        <v>1.7989999999999999E-2</v>
      </c>
      <c r="F762">
        <v>2667984.5</v>
      </c>
      <c r="G762">
        <v>0</v>
      </c>
      <c r="L762" t="s">
        <v>7</v>
      </c>
      <c r="M762" t="s">
        <v>7</v>
      </c>
      <c r="N762" t="s">
        <v>7</v>
      </c>
      <c r="P762">
        <f t="shared" si="999"/>
        <v>0.19999999999999749</v>
      </c>
      <c r="Q762">
        <f t="shared" si="1000"/>
        <v>533596.89999999327</v>
      </c>
      <c r="R762">
        <f t="shared" si="1001"/>
        <v>-8359369.0733590238</v>
      </c>
      <c r="S762">
        <f t="shared" si="1002"/>
        <v>-83.593690733590236</v>
      </c>
      <c r="T762">
        <f t="shared" si="1003"/>
        <v>-8.3593690733590242E-2</v>
      </c>
    </row>
    <row r="763" spans="1:20" x14ac:dyDescent="0.25">
      <c r="A763" s="5">
        <v>43830</v>
      </c>
      <c r="B763">
        <v>2.0070000000000001E-2</v>
      </c>
      <c r="C763">
        <v>2.01E-2</v>
      </c>
      <c r="D763">
        <v>1.8030000000000001E-2</v>
      </c>
      <c r="E763">
        <v>1.8259999999999998E-2</v>
      </c>
      <c r="F763">
        <v>3670255.8</v>
      </c>
      <c r="G763">
        <v>0</v>
      </c>
      <c r="L763" t="s">
        <v>7</v>
      </c>
      <c r="M763" t="s">
        <v>7</v>
      </c>
      <c r="N763" t="s">
        <v>7</v>
      </c>
      <c r="P763">
        <f t="shared" si="999"/>
        <v>-0.77777777777778001</v>
      </c>
      <c r="Q763">
        <f t="shared" si="1000"/>
        <v>-2854643.4000000078</v>
      </c>
      <c r="R763">
        <f t="shared" si="1001"/>
        <v>-8892965.9733590167</v>
      </c>
      <c r="S763">
        <f t="shared" si="1002"/>
        <v>-88.929659733590171</v>
      </c>
      <c r="T763">
        <f t="shared" si="1003"/>
        <v>-8.8929659733590169E-2</v>
      </c>
    </row>
    <row r="764" spans="1:20" x14ac:dyDescent="0.25">
      <c r="A764" s="5">
        <v>43829</v>
      </c>
      <c r="B764">
        <v>2.0990000000000002E-2</v>
      </c>
      <c r="C764">
        <v>2.1729999999999999E-2</v>
      </c>
      <c r="D764">
        <v>1.9349999999999999E-2</v>
      </c>
      <c r="E764">
        <v>2.009E-2</v>
      </c>
      <c r="F764">
        <v>4706012.2</v>
      </c>
      <c r="G764">
        <v>0</v>
      </c>
      <c r="L764" t="s">
        <v>7</v>
      </c>
      <c r="M764" t="s">
        <v>8</v>
      </c>
      <c r="N764" t="s">
        <v>7</v>
      </c>
      <c r="P764">
        <f t="shared" si="999"/>
        <v>-0.37815126050420084</v>
      </c>
      <c r="Q764">
        <f t="shared" si="1000"/>
        <v>-1779584.4453781473</v>
      </c>
      <c r="R764">
        <f t="shared" si="1001"/>
        <v>-6038322.5733590089</v>
      </c>
      <c r="S764">
        <f t="shared" si="1002"/>
        <v>-60.383225733590088</v>
      </c>
      <c r="T764">
        <f t="shared" si="1003"/>
        <v>-6.038322573359009E-2</v>
      </c>
    </row>
    <row r="765" spans="1:20" x14ac:dyDescent="0.25">
      <c r="A765" s="5">
        <v>43828</v>
      </c>
      <c r="B765">
        <v>1.8599999999999998E-2</v>
      </c>
      <c r="C765">
        <v>2.1870000000000001E-2</v>
      </c>
      <c r="D765">
        <v>1.8440000000000002E-2</v>
      </c>
      <c r="E765">
        <v>2.0820000000000002E-2</v>
      </c>
      <c r="F765">
        <v>20306886.600000001</v>
      </c>
      <c r="G765">
        <v>0</v>
      </c>
      <c r="L765" t="s">
        <v>8</v>
      </c>
      <c r="M765" t="s">
        <v>8</v>
      </c>
      <c r="N765" t="s">
        <v>7</v>
      </c>
      <c r="P765">
        <f t="shared" si="999"/>
        <v>0.38775510204081681</v>
      </c>
      <c r="Q765">
        <f t="shared" si="1000"/>
        <v>7874098.8857142963</v>
      </c>
      <c r="R765">
        <f t="shared" si="1001"/>
        <v>-4258738.1279808618</v>
      </c>
      <c r="S765">
        <f t="shared" si="1002"/>
        <v>-42.587381279808618</v>
      </c>
      <c r="T765">
        <f t="shared" si="1003"/>
        <v>-4.2587381279808614E-2</v>
      </c>
    </row>
    <row r="766" spans="1:20" x14ac:dyDescent="0.25">
      <c r="A766" s="5">
        <v>43827</v>
      </c>
      <c r="B766">
        <v>1.7469999999999999E-2</v>
      </c>
      <c r="C766">
        <v>1.9120000000000002E-2</v>
      </c>
      <c r="D766">
        <v>1.729E-2</v>
      </c>
      <c r="E766">
        <v>1.8599999999999998E-2</v>
      </c>
      <c r="F766">
        <v>3705554.8</v>
      </c>
      <c r="G766">
        <v>0</v>
      </c>
      <c r="L766" t="s">
        <v>8</v>
      </c>
      <c r="M766" t="s">
        <v>7</v>
      </c>
      <c r="N766" t="s">
        <v>7</v>
      </c>
      <c r="P766">
        <f t="shared" si="999"/>
        <v>0.4316939890710354</v>
      </c>
      <c r="Q766">
        <f t="shared" si="1000"/>
        <v>1599665.7333333227</v>
      </c>
      <c r="R766">
        <f t="shared" si="1001"/>
        <v>-12132837.013695158</v>
      </c>
      <c r="S766">
        <f t="shared" si="1002"/>
        <v>-121.32837013695158</v>
      </c>
      <c r="T766">
        <f t="shared" si="1003"/>
        <v>-0.12132837013695158</v>
      </c>
    </row>
    <row r="767" spans="1:20" x14ac:dyDescent="0.25">
      <c r="A767" s="5">
        <v>43826</v>
      </c>
      <c r="B767">
        <v>1.7559999999999999E-2</v>
      </c>
      <c r="C767">
        <v>1.77E-2</v>
      </c>
      <c r="D767">
        <v>1.6809999999999999E-2</v>
      </c>
      <c r="E767">
        <v>1.7469999999999999E-2</v>
      </c>
      <c r="F767">
        <v>836860.4</v>
      </c>
      <c r="G767">
        <v>0</v>
      </c>
      <c r="L767" t="s">
        <v>7</v>
      </c>
      <c r="M767" t="s">
        <v>7</v>
      </c>
      <c r="N767" t="s">
        <v>7</v>
      </c>
      <c r="P767">
        <f t="shared" ref="P767:P830" si="1004">IF(C767=D767,0,((E767-D767)-(C767-E767))/(C767-D767))</f>
        <v>0.48314606741572913</v>
      </c>
      <c r="Q767">
        <f t="shared" ref="Q767:Q830" si="1005">F767*P767</f>
        <v>404325.81123595405</v>
      </c>
      <c r="R767">
        <f t="shared" ref="R767:R830" si="1006">R768+Q767</f>
        <v>-13732502.747028481</v>
      </c>
      <c r="S767">
        <f t="shared" ref="S767:S830" si="1007">R767/100000</f>
        <v>-137.32502747028482</v>
      </c>
      <c r="T767">
        <f t="shared" ref="T767:T830" si="1008">S767/1000</f>
        <v>-0.13732502747028483</v>
      </c>
    </row>
    <row r="768" spans="1:20" x14ac:dyDescent="0.25">
      <c r="A768" s="5">
        <v>43825</v>
      </c>
      <c r="B768">
        <v>1.7469999999999999E-2</v>
      </c>
      <c r="C768">
        <v>1.8499999999999999E-2</v>
      </c>
      <c r="D768">
        <v>1.6990000000000002E-2</v>
      </c>
      <c r="E768">
        <v>1.7590000000000001E-2</v>
      </c>
      <c r="F768">
        <v>2495025.2000000002</v>
      </c>
      <c r="G768">
        <v>0</v>
      </c>
      <c r="L768" t="s">
        <v>8</v>
      </c>
      <c r="M768" t="s">
        <v>7</v>
      </c>
      <c r="N768" t="s">
        <v>7</v>
      </c>
      <c r="P768">
        <f t="shared" si="1004"/>
        <v>-0.205298013245032</v>
      </c>
      <c r="Q768">
        <f t="shared" si="1005"/>
        <v>-512223.71655628865</v>
      </c>
      <c r="R768">
        <f t="shared" si="1006"/>
        <v>-14136828.558264436</v>
      </c>
      <c r="S768">
        <f t="shared" si="1007"/>
        <v>-141.36828558264438</v>
      </c>
      <c r="T768">
        <f t="shared" si="1008"/>
        <v>-0.14136828558264439</v>
      </c>
    </row>
    <row r="769" spans="1:20" x14ac:dyDescent="0.25">
      <c r="A769" s="5">
        <v>43824</v>
      </c>
      <c r="B769">
        <v>1.753E-2</v>
      </c>
      <c r="C769">
        <v>1.763E-2</v>
      </c>
      <c r="D769">
        <v>1.6889999999999999E-2</v>
      </c>
      <c r="E769">
        <v>1.7399999999999999E-2</v>
      </c>
      <c r="F769">
        <v>449743.8</v>
      </c>
      <c r="G769">
        <v>0</v>
      </c>
      <c r="L769" t="s">
        <v>7</v>
      </c>
      <c r="M769" t="s">
        <v>7</v>
      </c>
      <c r="N769" t="s">
        <v>7</v>
      </c>
      <c r="P769">
        <f t="shared" si="1004"/>
        <v>0.37837837837837646</v>
      </c>
      <c r="Q769">
        <f t="shared" si="1005"/>
        <v>170173.32972972887</v>
      </c>
      <c r="R769">
        <f t="shared" si="1006"/>
        <v>-13624604.841708148</v>
      </c>
      <c r="S769">
        <f t="shared" si="1007"/>
        <v>-136.24604841708148</v>
      </c>
      <c r="T769">
        <f t="shared" si="1008"/>
        <v>-0.13624604841708149</v>
      </c>
    </row>
    <row r="770" spans="1:20" x14ac:dyDescent="0.25">
      <c r="A770" s="5">
        <v>43823</v>
      </c>
      <c r="B770">
        <v>1.737E-2</v>
      </c>
      <c r="C770">
        <v>1.8159999999999999E-2</v>
      </c>
      <c r="D770">
        <v>1.711E-2</v>
      </c>
      <c r="E770">
        <v>1.7500000000000002E-2</v>
      </c>
      <c r="F770">
        <v>586861.5</v>
      </c>
      <c r="G770">
        <v>0</v>
      </c>
      <c r="L770" t="s">
        <v>7</v>
      </c>
      <c r="M770" t="s">
        <v>7</v>
      </c>
      <c r="N770" t="s">
        <v>7</v>
      </c>
      <c r="P770">
        <f t="shared" si="1004"/>
        <v>-0.25714285714285356</v>
      </c>
      <c r="Q770">
        <f t="shared" si="1005"/>
        <v>-150907.24285714075</v>
      </c>
      <c r="R770">
        <f t="shared" si="1006"/>
        <v>-13794778.171437876</v>
      </c>
      <c r="S770">
        <f t="shared" si="1007"/>
        <v>-137.94778171437875</v>
      </c>
      <c r="T770">
        <f t="shared" si="1008"/>
        <v>-0.13794778171437874</v>
      </c>
    </row>
    <row r="771" spans="1:20" x14ac:dyDescent="0.25">
      <c r="A771" s="5">
        <v>43822</v>
      </c>
      <c r="B771">
        <v>1.823E-2</v>
      </c>
      <c r="C771">
        <v>1.8440000000000002E-2</v>
      </c>
      <c r="D771">
        <v>1.7010000000000001E-2</v>
      </c>
      <c r="E771">
        <v>1.7409999999999998E-2</v>
      </c>
      <c r="F771">
        <v>850939.7</v>
      </c>
      <c r="G771">
        <v>0</v>
      </c>
      <c r="L771" t="s">
        <v>7</v>
      </c>
      <c r="M771" t="s">
        <v>7</v>
      </c>
      <c r="N771" t="s">
        <v>7</v>
      </c>
      <c r="P771">
        <f t="shared" si="1004"/>
        <v>-0.44055944055944424</v>
      </c>
      <c r="Q771">
        <f t="shared" si="1005"/>
        <v>-374889.51818182127</v>
      </c>
      <c r="R771">
        <f t="shared" si="1006"/>
        <v>-13643870.928580735</v>
      </c>
      <c r="S771">
        <f t="shared" si="1007"/>
        <v>-136.43870928580736</v>
      </c>
      <c r="T771">
        <f t="shared" si="1008"/>
        <v>-0.13643870928580737</v>
      </c>
    </row>
    <row r="772" spans="1:20" x14ac:dyDescent="0.25">
      <c r="A772" s="5">
        <v>43821</v>
      </c>
      <c r="B772">
        <v>1.866E-2</v>
      </c>
      <c r="C772">
        <v>1.8790000000000001E-2</v>
      </c>
      <c r="D772">
        <v>1.796E-2</v>
      </c>
      <c r="E772">
        <v>1.8440000000000002E-2</v>
      </c>
      <c r="F772">
        <v>1125296.5</v>
      </c>
      <c r="G772">
        <v>0</v>
      </c>
      <c r="L772" t="s">
        <v>7</v>
      </c>
      <c r="M772" t="s">
        <v>8</v>
      </c>
      <c r="N772" t="s">
        <v>7</v>
      </c>
      <c r="P772">
        <f t="shared" si="1004"/>
        <v>0.15662650602409819</v>
      </c>
      <c r="Q772">
        <f t="shared" si="1005"/>
        <v>176251.25903614663</v>
      </c>
      <c r="R772">
        <f t="shared" si="1006"/>
        <v>-13268981.410398914</v>
      </c>
      <c r="S772">
        <f t="shared" si="1007"/>
        <v>-132.68981410398914</v>
      </c>
      <c r="T772">
        <f t="shared" si="1008"/>
        <v>-0.13268981410398914</v>
      </c>
    </row>
    <row r="773" spans="1:20" x14ac:dyDescent="0.25">
      <c r="A773" s="5">
        <v>43820</v>
      </c>
      <c r="B773">
        <v>1.9800000000000002E-2</v>
      </c>
      <c r="C773">
        <v>1.9949999999999999E-2</v>
      </c>
      <c r="D773">
        <v>1.84E-2</v>
      </c>
      <c r="E773">
        <v>1.866E-2</v>
      </c>
      <c r="F773">
        <v>1554394.4</v>
      </c>
      <c r="G773">
        <v>0</v>
      </c>
      <c r="L773" t="s">
        <v>7</v>
      </c>
      <c r="M773" t="s">
        <v>8</v>
      </c>
      <c r="N773" t="s">
        <v>7</v>
      </c>
      <c r="P773">
        <f t="shared" si="1004"/>
        <v>-0.6645161290322581</v>
      </c>
      <c r="Q773">
        <f t="shared" si="1005"/>
        <v>-1032920.1496774193</v>
      </c>
      <c r="R773">
        <f t="shared" si="1006"/>
        <v>-13445232.66943506</v>
      </c>
      <c r="S773">
        <f t="shared" si="1007"/>
        <v>-134.4523266943506</v>
      </c>
      <c r="T773">
        <f t="shared" si="1008"/>
        <v>-0.13445232669435062</v>
      </c>
    </row>
    <row r="774" spans="1:20" x14ac:dyDescent="0.25">
      <c r="A774" s="5">
        <v>43819</v>
      </c>
      <c r="B774">
        <v>1.8499999999999999E-2</v>
      </c>
      <c r="C774">
        <v>2.018E-2</v>
      </c>
      <c r="D774">
        <v>1.814E-2</v>
      </c>
      <c r="E774">
        <v>1.9970000000000002E-2</v>
      </c>
      <c r="F774">
        <v>1978778.1</v>
      </c>
      <c r="G774">
        <v>0</v>
      </c>
      <c r="L774" t="s">
        <v>8</v>
      </c>
      <c r="M774" t="s">
        <v>8</v>
      </c>
      <c r="N774" t="s">
        <v>7</v>
      </c>
      <c r="P774">
        <f t="shared" si="1004"/>
        <v>0.79411764705882515</v>
      </c>
      <c r="Q774">
        <f t="shared" si="1005"/>
        <v>1571382.6088235327</v>
      </c>
      <c r="R774">
        <f t="shared" si="1006"/>
        <v>-12412312.51975764</v>
      </c>
      <c r="S774">
        <f t="shared" si="1007"/>
        <v>-124.1231251975764</v>
      </c>
      <c r="T774">
        <f t="shared" si="1008"/>
        <v>-0.1241231251975764</v>
      </c>
    </row>
    <row r="775" spans="1:20" x14ac:dyDescent="0.25">
      <c r="A775" s="5">
        <v>43818</v>
      </c>
      <c r="B775">
        <v>1.942E-2</v>
      </c>
      <c r="C775">
        <v>1.968E-2</v>
      </c>
      <c r="D775">
        <v>1.821E-2</v>
      </c>
      <c r="E775">
        <v>1.847E-2</v>
      </c>
      <c r="F775">
        <v>1626253.7</v>
      </c>
      <c r="G775">
        <v>0</v>
      </c>
      <c r="L775" t="s">
        <v>8</v>
      </c>
      <c r="M775" t="s">
        <v>7</v>
      </c>
      <c r="N775" t="s">
        <v>7</v>
      </c>
      <c r="P775">
        <f t="shared" si="1004"/>
        <v>-0.6462585034013606</v>
      </c>
      <c r="Q775">
        <f t="shared" si="1005"/>
        <v>-1050980.2823129252</v>
      </c>
      <c r="R775">
        <f t="shared" si="1006"/>
        <v>-13983695.128581172</v>
      </c>
      <c r="S775">
        <f t="shared" si="1007"/>
        <v>-139.83695128581172</v>
      </c>
      <c r="T775">
        <f t="shared" si="1008"/>
        <v>-0.13983695128581172</v>
      </c>
    </row>
    <row r="776" spans="1:20" x14ac:dyDescent="0.25">
      <c r="A776" s="5">
        <v>43817</v>
      </c>
      <c r="B776">
        <v>1.8280000000000001E-2</v>
      </c>
      <c r="C776">
        <v>1.9599999999999999E-2</v>
      </c>
      <c r="D776">
        <v>1.6879999999999999E-2</v>
      </c>
      <c r="E776">
        <v>1.942E-2</v>
      </c>
      <c r="F776">
        <v>1986220.5</v>
      </c>
      <c r="G776">
        <v>0</v>
      </c>
      <c r="L776" t="s">
        <v>7</v>
      </c>
      <c r="M776" t="s">
        <v>7</v>
      </c>
      <c r="N776" t="s">
        <v>7</v>
      </c>
      <c r="P776">
        <f t="shared" si="1004"/>
        <v>0.86764705882352966</v>
      </c>
      <c r="Q776">
        <f t="shared" si="1005"/>
        <v>1723338.3750000005</v>
      </c>
      <c r="R776">
        <f t="shared" si="1006"/>
        <v>-12932714.846268246</v>
      </c>
      <c r="S776">
        <f t="shared" si="1007"/>
        <v>-129.32714846268246</v>
      </c>
      <c r="T776">
        <f t="shared" si="1008"/>
        <v>-0.12932714846268245</v>
      </c>
    </row>
    <row r="777" spans="1:20" x14ac:dyDescent="0.25">
      <c r="A777" s="5">
        <v>43816</v>
      </c>
      <c r="B777">
        <v>2.0719999999999999E-2</v>
      </c>
      <c r="C777">
        <v>2.0740000000000001E-2</v>
      </c>
      <c r="D777">
        <v>1.7909999999999999E-2</v>
      </c>
      <c r="E777">
        <v>1.8020000000000001E-2</v>
      </c>
      <c r="F777">
        <v>2109777.2999999998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-0.92226148409893827</v>
      </c>
      <c r="Q777">
        <f t="shared" si="1005"/>
        <v>-1945766.3438162508</v>
      </c>
      <c r="R777">
        <f t="shared" si="1006"/>
        <v>-14656053.221268246</v>
      </c>
      <c r="S777">
        <f t="shared" si="1007"/>
        <v>-146.56053221268246</v>
      </c>
      <c r="T777">
        <f t="shared" si="1008"/>
        <v>-0.14656053221268245</v>
      </c>
    </row>
    <row r="778" spans="1:20" x14ac:dyDescent="0.25">
      <c r="A778" s="5">
        <v>43815</v>
      </c>
      <c r="B778">
        <v>2.2780000000000002E-2</v>
      </c>
      <c r="C778">
        <v>2.29E-2</v>
      </c>
      <c r="D778">
        <v>2.0129999999999999E-2</v>
      </c>
      <c r="E778">
        <v>2.0740000000000001E-2</v>
      </c>
      <c r="F778">
        <v>2780484.5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-0.55956678700360829</v>
      </c>
      <c r="Q778">
        <f t="shared" si="1005"/>
        <v>-1555866.7779783343</v>
      </c>
      <c r="R778">
        <f t="shared" si="1006"/>
        <v>-12710286.877451995</v>
      </c>
      <c r="S778">
        <f t="shared" si="1007"/>
        <v>-127.10286877451995</v>
      </c>
      <c r="T778">
        <f t="shared" si="1008"/>
        <v>-0.12710286877451996</v>
      </c>
    </row>
    <row r="779" spans="1:20" x14ac:dyDescent="0.25">
      <c r="A779" s="5">
        <v>43814</v>
      </c>
      <c r="B779">
        <v>2.2550000000000001E-2</v>
      </c>
      <c r="C779">
        <v>2.317E-2</v>
      </c>
      <c r="D779">
        <v>2.1919999999999999E-2</v>
      </c>
      <c r="E779">
        <v>2.281E-2</v>
      </c>
      <c r="F779">
        <v>490667.7</v>
      </c>
      <c r="G779">
        <v>0</v>
      </c>
      <c r="L779" t="s">
        <v>7</v>
      </c>
      <c r="M779" t="s">
        <v>7</v>
      </c>
      <c r="N779" t="s">
        <v>7</v>
      </c>
      <c r="P779">
        <f t="shared" si="1004"/>
        <v>0.42400000000000176</v>
      </c>
      <c r="Q779">
        <f t="shared" si="1005"/>
        <v>208043.10480000087</v>
      </c>
      <c r="R779">
        <f t="shared" si="1006"/>
        <v>-11154420.099473661</v>
      </c>
      <c r="S779">
        <f t="shared" si="1007"/>
        <v>-111.54420099473661</v>
      </c>
      <c r="T779">
        <f t="shared" si="1008"/>
        <v>-0.11154420099473661</v>
      </c>
    </row>
    <row r="780" spans="1:20" x14ac:dyDescent="0.25">
      <c r="A780" s="5">
        <v>43813</v>
      </c>
      <c r="B780">
        <v>2.3599999999999999E-2</v>
      </c>
      <c r="C780">
        <v>2.4199999999999999E-2</v>
      </c>
      <c r="D780">
        <v>2.1989999999999999E-2</v>
      </c>
      <c r="E780">
        <v>2.299E-2</v>
      </c>
      <c r="F780">
        <v>1468220.9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-9.50226244343884E-2</v>
      </c>
      <c r="Q780">
        <f t="shared" si="1005"/>
        <v>-139514.20316741971</v>
      </c>
      <c r="R780">
        <f t="shared" si="1006"/>
        <v>-11362463.204273662</v>
      </c>
      <c r="S780">
        <f t="shared" si="1007"/>
        <v>-113.62463204273662</v>
      </c>
      <c r="T780">
        <f t="shared" si="1008"/>
        <v>-0.11362463204273662</v>
      </c>
    </row>
    <row r="781" spans="1:20" x14ac:dyDescent="0.25">
      <c r="A781" s="5">
        <v>43812</v>
      </c>
      <c r="B781">
        <v>2.3800000000000002E-2</v>
      </c>
      <c r="C781">
        <v>2.4240000000000001E-2</v>
      </c>
      <c r="D781">
        <v>2.3449999999999999E-2</v>
      </c>
      <c r="E781">
        <v>2.3470000000000001E-2</v>
      </c>
      <c r="F781">
        <v>1250993.7</v>
      </c>
      <c r="G781">
        <v>0</v>
      </c>
      <c r="L781" t="s">
        <v>7</v>
      </c>
      <c r="M781" t="s">
        <v>7</v>
      </c>
      <c r="N781" t="s">
        <v>7</v>
      </c>
      <c r="P781">
        <f t="shared" si="1004"/>
        <v>-0.94936708860758834</v>
      </c>
      <c r="Q781">
        <f t="shared" si="1005"/>
        <v>-1187652.2468354348</v>
      </c>
      <c r="R781">
        <f t="shared" si="1006"/>
        <v>-11222949.001106242</v>
      </c>
      <c r="S781">
        <f t="shared" si="1007"/>
        <v>-112.22949001106242</v>
      </c>
      <c r="T781">
        <f t="shared" si="1008"/>
        <v>-0.11222949001106243</v>
      </c>
    </row>
    <row r="782" spans="1:20" x14ac:dyDescent="0.25">
      <c r="A782" s="5">
        <v>43811</v>
      </c>
      <c r="B782">
        <v>2.5350000000000001E-2</v>
      </c>
      <c r="C782">
        <v>2.5700000000000001E-2</v>
      </c>
      <c r="D782">
        <v>2.3199999999999998E-2</v>
      </c>
      <c r="E782">
        <v>2.358E-2</v>
      </c>
      <c r="F782">
        <v>1652433.4</v>
      </c>
      <c r="G782">
        <v>0</v>
      </c>
      <c r="L782" t="s">
        <v>7</v>
      </c>
      <c r="M782" t="s">
        <v>7</v>
      </c>
      <c r="N782" t="s">
        <v>7</v>
      </c>
      <c r="P782">
        <f t="shared" si="1004"/>
        <v>-0.69599999999999873</v>
      </c>
      <c r="Q782">
        <f t="shared" si="1005"/>
        <v>-1150093.6463999979</v>
      </c>
      <c r="R782">
        <f t="shared" si="1006"/>
        <v>-10035296.754270807</v>
      </c>
      <c r="S782">
        <f t="shared" si="1007"/>
        <v>-100.35296754270807</v>
      </c>
      <c r="T782">
        <f t="shared" si="1008"/>
        <v>-0.10035296754270807</v>
      </c>
    </row>
    <row r="783" spans="1:20" x14ac:dyDescent="0.25">
      <c r="A783" s="5">
        <v>43810</v>
      </c>
      <c r="B783">
        <v>2.3900000000000001E-2</v>
      </c>
      <c r="C783">
        <v>2.5690000000000001E-2</v>
      </c>
      <c r="D783">
        <v>2.3720000000000001E-2</v>
      </c>
      <c r="E783">
        <v>2.5270000000000001E-2</v>
      </c>
      <c r="F783">
        <v>1681750.9</v>
      </c>
      <c r="G783">
        <v>0</v>
      </c>
      <c r="L783" t="s">
        <v>8</v>
      </c>
      <c r="M783" t="s">
        <v>7</v>
      </c>
      <c r="N783" t="s">
        <v>7</v>
      </c>
      <c r="P783">
        <f t="shared" si="1004"/>
        <v>0.57360406091370519</v>
      </c>
      <c r="Q783">
        <f t="shared" si="1005"/>
        <v>964659.14568527846</v>
      </c>
      <c r="R783">
        <f t="shared" si="1006"/>
        <v>-8885203.1078708097</v>
      </c>
      <c r="S783">
        <f t="shared" si="1007"/>
        <v>-88.852031078708094</v>
      </c>
      <c r="T783">
        <f t="shared" si="1008"/>
        <v>-8.8852031078708094E-2</v>
      </c>
    </row>
    <row r="784" spans="1:20" x14ac:dyDescent="0.25">
      <c r="A784" s="5">
        <v>43809</v>
      </c>
      <c r="B784">
        <v>2.6200000000000001E-2</v>
      </c>
      <c r="C784">
        <v>2.648E-2</v>
      </c>
      <c r="D784">
        <v>2.307E-2</v>
      </c>
      <c r="E784">
        <v>2.3779999999999999E-2</v>
      </c>
      <c r="F784">
        <v>1318637.7</v>
      </c>
      <c r="G784">
        <v>0</v>
      </c>
      <c r="L784" t="s">
        <v>7</v>
      </c>
      <c r="M784" t="s">
        <v>7</v>
      </c>
      <c r="N784" t="s">
        <v>7</v>
      </c>
      <c r="P784">
        <f t="shared" si="1004"/>
        <v>-0.58357771260997138</v>
      </c>
      <c r="Q784">
        <f t="shared" si="1005"/>
        <v>-769527.57272727368</v>
      </c>
      <c r="R784">
        <f t="shared" si="1006"/>
        <v>-9849862.2535560876</v>
      </c>
      <c r="S784">
        <f t="shared" si="1007"/>
        <v>-98.49862253556087</v>
      </c>
      <c r="T784">
        <f t="shared" si="1008"/>
        <v>-9.8498622535560867E-2</v>
      </c>
    </row>
    <row r="785" spans="1:20" x14ac:dyDescent="0.25">
      <c r="A785" s="5">
        <v>43808</v>
      </c>
      <c r="B785">
        <v>2.7490000000000001E-2</v>
      </c>
      <c r="C785">
        <v>2.793E-2</v>
      </c>
      <c r="D785">
        <v>2.6030000000000001E-2</v>
      </c>
      <c r="E785">
        <v>2.647E-2</v>
      </c>
      <c r="F785">
        <v>1033206.8</v>
      </c>
      <c r="G785">
        <v>0</v>
      </c>
      <c r="L785" t="s">
        <v>7</v>
      </c>
      <c r="M785" t="s">
        <v>7</v>
      </c>
      <c r="N785" t="s">
        <v>7</v>
      </c>
      <c r="P785">
        <f t="shared" si="1004"/>
        <v>-0.53684210526315823</v>
      </c>
      <c r="Q785">
        <f t="shared" si="1005"/>
        <v>-554668.91368421086</v>
      </c>
      <c r="R785">
        <f t="shared" si="1006"/>
        <v>-9080334.6808288135</v>
      </c>
      <c r="S785">
        <f t="shared" si="1007"/>
        <v>-90.80334680828814</v>
      </c>
      <c r="T785">
        <f t="shared" si="1008"/>
        <v>-9.0803346808288138E-2</v>
      </c>
    </row>
    <row r="786" spans="1:20" x14ac:dyDescent="0.25">
      <c r="A786" s="5">
        <v>43807</v>
      </c>
      <c r="B786">
        <v>2.682E-2</v>
      </c>
      <c r="C786">
        <v>2.826E-2</v>
      </c>
      <c r="D786">
        <v>2.6249999999999999E-2</v>
      </c>
      <c r="E786">
        <v>2.7470000000000001E-2</v>
      </c>
      <c r="F786">
        <v>1397294.3</v>
      </c>
      <c r="G786">
        <v>0</v>
      </c>
      <c r="L786" t="s">
        <v>8</v>
      </c>
      <c r="M786" t="s">
        <v>7</v>
      </c>
      <c r="N786" t="s">
        <v>7</v>
      </c>
      <c r="P786">
        <f t="shared" si="1004"/>
        <v>0.21393034825870796</v>
      </c>
      <c r="Q786">
        <f t="shared" si="1005"/>
        <v>298923.65621890756</v>
      </c>
      <c r="R786">
        <f t="shared" si="1006"/>
        <v>-8525665.7671446018</v>
      </c>
      <c r="S786">
        <f t="shared" si="1007"/>
        <v>-85.256657671446021</v>
      </c>
      <c r="T786">
        <f t="shared" si="1008"/>
        <v>-8.5256657671446023E-2</v>
      </c>
    </row>
    <row r="787" spans="1:20" x14ac:dyDescent="0.25">
      <c r="A787" s="5">
        <v>43806</v>
      </c>
      <c r="B787">
        <v>2.6499999999999999E-2</v>
      </c>
      <c r="C787">
        <v>2.7439999999999999E-2</v>
      </c>
      <c r="D787">
        <v>2.596E-2</v>
      </c>
      <c r="E787">
        <v>2.683E-2</v>
      </c>
      <c r="F787">
        <v>1022994.6</v>
      </c>
      <c r="G787">
        <v>0</v>
      </c>
      <c r="L787" t="s">
        <v>8</v>
      </c>
      <c r="M787" t="s">
        <v>7</v>
      </c>
      <c r="N787" t="s">
        <v>7</v>
      </c>
      <c r="P787">
        <f t="shared" si="1004"/>
        <v>0.17567567567567571</v>
      </c>
      <c r="Q787">
        <f t="shared" si="1005"/>
        <v>179715.26756756761</v>
      </c>
      <c r="R787">
        <f t="shared" si="1006"/>
        <v>-8824589.4233635087</v>
      </c>
      <c r="S787">
        <f t="shared" si="1007"/>
        <v>-88.245894233635084</v>
      </c>
      <c r="T787">
        <f t="shared" si="1008"/>
        <v>-8.8245894233635089E-2</v>
      </c>
    </row>
    <row r="788" spans="1:20" x14ac:dyDescent="0.25">
      <c r="A788" s="5">
        <v>43805</v>
      </c>
      <c r="B788">
        <v>2.6020000000000001E-2</v>
      </c>
      <c r="C788">
        <v>2.6720000000000001E-2</v>
      </c>
      <c r="D788">
        <v>2.5530000000000001E-2</v>
      </c>
      <c r="E788">
        <v>2.6499999999999999E-2</v>
      </c>
      <c r="F788">
        <v>993501.3</v>
      </c>
      <c r="G788">
        <v>0</v>
      </c>
      <c r="L788" t="s">
        <v>7</v>
      </c>
      <c r="M788" t="s">
        <v>7</v>
      </c>
      <c r="N788" t="s">
        <v>7</v>
      </c>
      <c r="P788">
        <f t="shared" si="1004"/>
        <v>0.63025210084033378</v>
      </c>
      <c r="Q788">
        <f t="shared" si="1005"/>
        <v>626156.2815126027</v>
      </c>
      <c r="R788">
        <f t="shared" si="1006"/>
        <v>-9004304.6909310762</v>
      </c>
      <c r="S788">
        <f t="shared" si="1007"/>
        <v>-90.04304690931076</v>
      </c>
      <c r="T788">
        <f t="shared" si="1008"/>
        <v>-9.0043046909310767E-2</v>
      </c>
    </row>
    <row r="789" spans="1:20" x14ac:dyDescent="0.25">
      <c r="A789" s="5">
        <v>43804</v>
      </c>
      <c r="B789">
        <v>2.6089999999999999E-2</v>
      </c>
      <c r="C789">
        <v>2.6540000000000001E-2</v>
      </c>
      <c r="D789">
        <v>2.5420000000000002E-2</v>
      </c>
      <c r="E789">
        <v>2.6040000000000001E-2</v>
      </c>
      <c r="F789">
        <v>575572.19999999995</v>
      </c>
      <c r="G789">
        <v>0</v>
      </c>
      <c r="L789" t="s">
        <v>7</v>
      </c>
      <c r="M789" t="s">
        <v>7</v>
      </c>
      <c r="N789" t="s">
        <v>7</v>
      </c>
      <c r="P789">
        <f t="shared" si="1004"/>
        <v>0.10714285714285593</v>
      </c>
      <c r="Q789">
        <f t="shared" si="1005"/>
        <v>61668.449999999299</v>
      </c>
      <c r="R789">
        <f t="shared" si="1006"/>
        <v>-9630460.9724436793</v>
      </c>
      <c r="S789">
        <f t="shared" si="1007"/>
        <v>-96.304609724436787</v>
      </c>
      <c r="T789">
        <f t="shared" si="1008"/>
        <v>-9.6304609724436788E-2</v>
      </c>
    </row>
    <row r="790" spans="1:20" x14ac:dyDescent="0.25">
      <c r="A790" s="5">
        <v>43803</v>
      </c>
      <c r="B790">
        <v>2.777E-2</v>
      </c>
      <c r="C790">
        <v>2.8719999999999999E-2</v>
      </c>
      <c r="D790">
        <v>2.6020000000000001E-2</v>
      </c>
      <c r="E790">
        <v>2.6120000000000001E-2</v>
      </c>
      <c r="F790">
        <v>1063029.1000000001</v>
      </c>
      <c r="G790">
        <v>0</v>
      </c>
      <c r="L790" t="s">
        <v>7</v>
      </c>
      <c r="M790" t="s">
        <v>7</v>
      </c>
      <c r="N790" t="s">
        <v>7</v>
      </c>
      <c r="P790">
        <f t="shared" si="1004"/>
        <v>-0.92592592592592626</v>
      </c>
      <c r="Q790">
        <f t="shared" si="1005"/>
        <v>-984286.20370370417</v>
      </c>
      <c r="R790">
        <f t="shared" si="1006"/>
        <v>-9692129.4224436786</v>
      </c>
      <c r="S790">
        <f t="shared" si="1007"/>
        <v>-96.921294224436792</v>
      </c>
      <c r="T790">
        <f t="shared" si="1008"/>
        <v>-9.6921294224436794E-2</v>
      </c>
    </row>
    <row r="791" spans="1:20" x14ac:dyDescent="0.25">
      <c r="A791" s="5">
        <v>43802</v>
      </c>
      <c r="B791">
        <v>2.7189999999999999E-2</v>
      </c>
      <c r="C791">
        <v>2.7969999999999998E-2</v>
      </c>
      <c r="D791">
        <v>2.7060000000000001E-2</v>
      </c>
      <c r="E791">
        <v>2.777E-2</v>
      </c>
      <c r="F791">
        <v>566973.4</v>
      </c>
      <c r="G791">
        <v>0</v>
      </c>
      <c r="L791" t="s">
        <v>7</v>
      </c>
      <c r="M791" t="s">
        <v>7</v>
      </c>
      <c r="N791" t="s">
        <v>7</v>
      </c>
      <c r="P791">
        <f t="shared" si="1004"/>
        <v>0.560439560439562</v>
      </c>
      <c r="Q791">
        <f t="shared" si="1005"/>
        <v>317754.32307692396</v>
      </c>
      <c r="R791">
        <f t="shared" si="1006"/>
        <v>-8707843.2187399752</v>
      </c>
      <c r="S791">
        <f t="shared" si="1007"/>
        <v>-87.078432187399756</v>
      </c>
      <c r="T791">
        <f t="shared" si="1008"/>
        <v>-8.707843218739976E-2</v>
      </c>
    </row>
    <row r="792" spans="1:20" x14ac:dyDescent="0.25">
      <c r="A792" s="5">
        <v>43801</v>
      </c>
      <c r="B792">
        <v>2.7640000000000001E-2</v>
      </c>
      <c r="C792">
        <v>2.7969999999999998E-2</v>
      </c>
      <c r="D792">
        <v>2.6939999999999999E-2</v>
      </c>
      <c r="E792">
        <v>2.7189999999999999E-2</v>
      </c>
      <c r="F792">
        <v>459851.5</v>
      </c>
      <c r="G792">
        <v>0</v>
      </c>
      <c r="L792" t="s">
        <v>7</v>
      </c>
      <c r="M792" t="s">
        <v>7</v>
      </c>
      <c r="N792" t="s">
        <v>7</v>
      </c>
      <c r="P792">
        <f t="shared" si="1004"/>
        <v>-0.51456310679611594</v>
      </c>
      <c r="Q792">
        <f t="shared" si="1005"/>
        <v>-236622.61650485412</v>
      </c>
      <c r="R792">
        <f t="shared" si="1006"/>
        <v>-9025597.5418168996</v>
      </c>
      <c r="S792">
        <f t="shared" si="1007"/>
        <v>-90.255975418169001</v>
      </c>
      <c r="T792">
        <f t="shared" si="1008"/>
        <v>-9.0255975418169002E-2</v>
      </c>
    </row>
    <row r="793" spans="1:20" x14ac:dyDescent="0.25">
      <c r="A793" s="5">
        <v>43800</v>
      </c>
      <c r="B793">
        <v>2.809E-2</v>
      </c>
      <c r="C793">
        <v>2.8219999999999999E-2</v>
      </c>
      <c r="D793">
        <v>2.64E-2</v>
      </c>
      <c r="E793">
        <v>2.7650000000000001E-2</v>
      </c>
      <c r="F793">
        <v>1255788.2</v>
      </c>
      <c r="G793">
        <v>0</v>
      </c>
      <c r="L793" t="s">
        <v>7</v>
      </c>
      <c r="M793" t="s">
        <v>7</v>
      </c>
      <c r="N793" t="s">
        <v>7</v>
      </c>
      <c r="P793">
        <f t="shared" si="1004"/>
        <v>0.37362637362637585</v>
      </c>
      <c r="Q793">
        <f t="shared" si="1005"/>
        <v>469195.59120879398</v>
      </c>
      <c r="R793">
        <f t="shared" si="1006"/>
        <v>-8788974.925312046</v>
      </c>
      <c r="S793">
        <f t="shared" si="1007"/>
        <v>-87.889749253120456</v>
      </c>
      <c r="T793">
        <f t="shared" si="1008"/>
        <v>-8.7889749253120458E-2</v>
      </c>
    </row>
    <row r="794" spans="1:20" x14ac:dyDescent="0.25">
      <c r="A794" s="5">
        <v>43799</v>
      </c>
      <c r="B794">
        <v>2.9729999999999999E-2</v>
      </c>
      <c r="C794">
        <v>3.2219999999999999E-2</v>
      </c>
      <c r="D794">
        <v>2.7830000000000001E-2</v>
      </c>
      <c r="E794">
        <v>2.81E-2</v>
      </c>
      <c r="F794">
        <v>2017802.8</v>
      </c>
      <c r="G794">
        <v>0</v>
      </c>
      <c r="L794" t="s">
        <v>8</v>
      </c>
      <c r="M794" t="s">
        <v>8</v>
      </c>
      <c r="N794" t="s">
        <v>7</v>
      </c>
      <c r="P794">
        <f t="shared" si="1004"/>
        <v>-0.87699316628701618</v>
      </c>
      <c r="Q794">
        <f t="shared" si="1005"/>
        <v>-1769599.2665148068</v>
      </c>
      <c r="R794">
        <f t="shared" si="1006"/>
        <v>-9258170.5165208392</v>
      </c>
      <c r="S794">
        <f t="shared" si="1007"/>
        <v>-92.58170516520839</v>
      </c>
      <c r="T794">
        <f t="shared" si="1008"/>
        <v>-9.2581705165208389E-2</v>
      </c>
    </row>
    <row r="795" spans="1:20" x14ac:dyDescent="0.25">
      <c r="A795" s="5">
        <v>43798</v>
      </c>
      <c r="B795">
        <v>2.886E-2</v>
      </c>
      <c r="C795">
        <v>3.073E-2</v>
      </c>
      <c r="D795">
        <v>2.8459999999999999E-2</v>
      </c>
      <c r="E795">
        <v>2.9729999999999999E-2</v>
      </c>
      <c r="F795">
        <v>893566.6</v>
      </c>
      <c r="G795">
        <v>0</v>
      </c>
      <c r="L795" t="s">
        <v>8</v>
      </c>
      <c r="M795" t="s">
        <v>8</v>
      </c>
      <c r="N795" t="s">
        <v>7</v>
      </c>
      <c r="P795">
        <f t="shared" si="1004"/>
        <v>0.11894273127753272</v>
      </c>
      <c r="Q795">
        <f t="shared" si="1005"/>
        <v>106283.25198237856</v>
      </c>
      <c r="R795">
        <f t="shared" si="1006"/>
        <v>-7488571.2500060322</v>
      </c>
      <c r="S795">
        <f t="shared" si="1007"/>
        <v>-74.885712500060322</v>
      </c>
      <c r="T795">
        <f t="shared" si="1008"/>
        <v>-7.488571250006032E-2</v>
      </c>
    </row>
    <row r="796" spans="1:20" x14ac:dyDescent="0.25">
      <c r="A796" s="5">
        <v>43797</v>
      </c>
      <c r="B796">
        <v>2.9159999999999998E-2</v>
      </c>
      <c r="C796">
        <v>3.0099999999999998E-2</v>
      </c>
      <c r="D796">
        <v>2.8369999999999999E-2</v>
      </c>
      <c r="E796">
        <v>2.879E-2</v>
      </c>
      <c r="F796">
        <v>1307448.5</v>
      </c>
      <c r="G796">
        <v>0</v>
      </c>
      <c r="L796" t="s">
        <v>7</v>
      </c>
      <c r="M796" t="s">
        <v>8</v>
      </c>
      <c r="N796" t="s">
        <v>7</v>
      </c>
      <c r="P796">
        <f t="shared" si="1004"/>
        <v>-0.51445086705202259</v>
      </c>
      <c r="Q796">
        <f t="shared" si="1005"/>
        <v>-672618.01445086638</v>
      </c>
      <c r="R796">
        <f t="shared" si="1006"/>
        <v>-7594854.5019884109</v>
      </c>
      <c r="S796">
        <f t="shared" si="1007"/>
        <v>-75.948545019884108</v>
      </c>
      <c r="T796">
        <f t="shared" si="1008"/>
        <v>-7.5948545019884114E-2</v>
      </c>
    </row>
    <row r="797" spans="1:20" x14ac:dyDescent="0.25">
      <c r="A797" s="5">
        <v>43796</v>
      </c>
      <c r="B797">
        <v>2.8570000000000002E-2</v>
      </c>
      <c r="C797">
        <v>3.2030000000000003E-2</v>
      </c>
      <c r="D797">
        <v>2.7300000000000001E-2</v>
      </c>
      <c r="E797">
        <v>2.895E-2</v>
      </c>
      <c r="F797">
        <v>2906917.5</v>
      </c>
      <c r="G797">
        <v>0</v>
      </c>
      <c r="L797" t="s">
        <v>8</v>
      </c>
      <c r="M797" t="s">
        <v>8</v>
      </c>
      <c r="N797" t="s">
        <v>7</v>
      </c>
      <c r="P797">
        <f t="shared" si="1004"/>
        <v>-0.3023255813953496</v>
      </c>
      <c r="Q797">
        <f t="shared" si="1005"/>
        <v>-878835.5232558162</v>
      </c>
      <c r="R797">
        <f t="shared" si="1006"/>
        <v>-6922236.4875375442</v>
      </c>
      <c r="S797">
        <f t="shared" si="1007"/>
        <v>-69.222364875375447</v>
      </c>
      <c r="T797">
        <f t="shared" si="1008"/>
        <v>-6.9222364875375447E-2</v>
      </c>
    </row>
    <row r="798" spans="1:20" x14ac:dyDescent="0.25">
      <c r="A798" s="5">
        <v>43795</v>
      </c>
      <c r="B798">
        <v>2.7050000000000001E-2</v>
      </c>
      <c r="C798">
        <v>2.8570000000000002E-2</v>
      </c>
      <c r="D798">
        <v>2.6409999999999999E-2</v>
      </c>
      <c r="E798">
        <v>2.8400000000000002E-2</v>
      </c>
      <c r="F798">
        <v>1653776.1</v>
      </c>
      <c r="G798">
        <v>0</v>
      </c>
      <c r="L798" t="s">
        <v>8</v>
      </c>
      <c r="M798" t="s">
        <v>8</v>
      </c>
      <c r="N798" t="s">
        <v>7</v>
      </c>
      <c r="P798">
        <f t="shared" si="1004"/>
        <v>0.84259259259259278</v>
      </c>
      <c r="Q798">
        <f t="shared" si="1005"/>
        <v>1393459.4916666672</v>
      </c>
      <c r="R798">
        <f t="shared" si="1006"/>
        <v>-6043400.9642817285</v>
      </c>
      <c r="S798">
        <f t="shared" si="1007"/>
        <v>-60.434009642817287</v>
      </c>
      <c r="T798">
        <f t="shared" si="1008"/>
        <v>-6.0434009642817289E-2</v>
      </c>
    </row>
    <row r="799" spans="1:20" x14ac:dyDescent="0.25">
      <c r="A799" s="5">
        <v>43794</v>
      </c>
      <c r="B799">
        <v>2.7689999999999999E-2</v>
      </c>
      <c r="C799">
        <v>2.7730000000000001E-2</v>
      </c>
      <c r="D799">
        <v>2.3560000000000001E-2</v>
      </c>
      <c r="E799">
        <v>2.7060000000000001E-2</v>
      </c>
      <c r="F799">
        <v>1505717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0.67865707434052736</v>
      </c>
      <c r="Q799">
        <f t="shared" si="1005"/>
        <v>1021865.4940047958</v>
      </c>
      <c r="R799">
        <f t="shared" si="1006"/>
        <v>-7436860.4559483957</v>
      </c>
      <c r="S799">
        <f t="shared" si="1007"/>
        <v>-74.368604559483956</v>
      </c>
      <c r="T799">
        <f t="shared" si="1008"/>
        <v>-7.436860455948395E-2</v>
      </c>
    </row>
    <row r="800" spans="1:20" x14ac:dyDescent="0.25">
      <c r="A800" s="5">
        <v>43793</v>
      </c>
      <c r="B800">
        <v>2.921E-2</v>
      </c>
      <c r="C800">
        <v>2.921E-2</v>
      </c>
      <c r="D800">
        <v>2.588E-2</v>
      </c>
      <c r="E800">
        <v>2.7220000000000001E-2</v>
      </c>
      <c r="F800">
        <v>710454.3</v>
      </c>
      <c r="G800">
        <v>0</v>
      </c>
      <c r="L800" t="s">
        <v>7</v>
      </c>
      <c r="M800" t="s">
        <v>7</v>
      </c>
      <c r="N800" t="s">
        <v>7</v>
      </c>
      <c r="P800">
        <f t="shared" si="1004"/>
        <v>-0.19519519519519457</v>
      </c>
      <c r="Q800">
        <f t="shared" si="1005"/>
        <v>-138677.26576576533</v>
      </c>
      <c r="R800">
        <f t="shared" si="1006"/>
        <v>-8458725.949953191</v>
      </c>
      <c r="S800">
        <f t="shared" si="1007"/>
        <v>-84.58725949953191</v>
      </c>
      <c r="T800">
        <f t="shared" si="1008"/>
        <v>-8.4587259499531914E-2</v>
      </c>
    </row>
    <row r="801" spans="1:20" x14ac:dyDescent="0.25">
      <c r="A801" s="5">
        <v>43792</v>
      </c>
      <c r="B801">
        <v>2.9190000000000001E-2</v>
      </c>
      <c r="C801">
        <v>2.9360000000000001E-2</v>
      </c>
      <c r="D801">
        <v>2.725E-2</v>
      </c>
      <c r="E801">
        <v>2.9180000000000001E-2</v>
      </c>
      <c r="F801">
        <v>1638560.6</v>
      </c>
      <c r="G801">
        <v>0</v>
      </c>
      <c r="L801" t="s">
        <v>8</v>
      </c>
      <c r="M801" t="s">
        <v>7</v>
      </c>
      <c r="N801" t="s">
        <v>7</v>
      </c>
      <c r="P801">
        <f t="shared" si="1004"/>
        <v>0.82938388625592463</v>
      </c>
      <c r="Q801">
        <f t="shared" si="1005"/>
        <v>1358995.7582938396</v>
      </c>
      <c r="R801">
        <f t="shared" si="1006"/>
        <v>-8320048.6841874253</v>
      </c>
      <c r="S801">
        <f t="shared" si="1007"/>
        <v>-83.200486841874252</v>
      </c>
      <c r="T801">
        <f t="shared" si="1008"/>
        <v>-8.3200486841874255E-2</v>
      </c>
    </row>
    <row r="802" spans="1:20" x14ac:dyDescent="0.25">
      <c r="A802" s="5">
        <v>43791</v>
      </c>
      <c r="B802">
        <v>3.3210000000000003E-2</v>
      </c>
      <c r="C802">
        <v>3.4099999999999998E-2</v>
      </c>
      <c r="D802">
        <v>2.716E-2</v>
      </c>
      <c r="E802">
        <v>2.9360000000000001E-2</v>
      </c>
      <c r="F802">
        <v>2513870.7999999998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-0.3659942363112389</v>
      </c>
      <c r="Q802">
        <f t="shared" si="1005"/>
        <v>-920062.22363112308</v>
      </c>
      <c r="R802">
        <f t="shared" si="1006"/>
        <v>-9679044.4424812645</v>
      </c>
      <c r="S802">
        <f t="shared" si="1007"/>
        <v>-96.790444424812648</v>
      </c>
      <c r="T802">
        <f t="shared" si="1008"/>
        <v>-9.6790444424812647E-2</v>
      </c>
    </row>
    <row r="803" spans="1:20" x14ac:dyDescent="0.25">
      <c r="A803" s="5">
        <v>43790</v>
      </c>
      <c r="B803">
        <v>3.5740000000000001E-2</v>
      </c>
      <c r="C803">
        <v>3.6499999999999998E-2</v>
      </c>
      <c r="D803">
        <v>3.1489999999999997E-2</v>
      </c>
      <c r="E803">
        <v>3.3210000000000003E-2</v>
      </c>
      <c r="F803">
        <v>742261.8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-0.31337325349301154</v>
      </c>
      <c r="Q803">
        <f t="shared" si="1005"/>
        <v>-232604.99520957904</v>
      </c>
      <c r="R803">
        <f t="shared" si="1006"/>
        <v>-8758982.2188501414</v>
      </c>
      <c r="S803">
        <f t="shared" si="1007"/>
        <v>-87.589822188501415</v>
      </c>
      <c r="T803">
        <f t="shared" si="1008"/>
        <v>-8.7589822188501421E-2</v>
      </c>
    </row>
    <row r="804" spans="1:20" x14ac:dyDescent="0.25">
      <c r="A804" s="5">
        <v>43789</v>
      </c>
      <c r="B804">
        <v>3.6339999999999997E-2</v>
      </c>
      <c r="C804">
        <v>3.6839999999999998E-2</v>
      </c>
      <c r="D804">
        <v>3.5450000000000002E-2</v>
      </c>
      <c r="E804">
        <v>3.5740000000000001E-2</v>
      </c>
      <c r="F804">
        <v>227976.8</v>
      </c>
      <c r="G804">
        <v>0</v>
      </c>
      <c r="L804" t="s">
        <v>7</v>
      </c>
      <c r="M804" t="s">
        <v>7</v>
      </c>
      <c r="N804" t="s">
        <v>7</v>
      </c>
      <c r="P804">
        <f t="shared" si="1004"/>
        <v>-0.58273381294964088</v>
      </c>
      <c r="Q804">
        <f t="shared" si="1005"/>
        <v>-132849.7899280577</v>
      </c>
      <c r="R804">
        <f t="shared" si="1006"/>
        <v>-8526377.223640563</v>
      </c>
      <c r="S804">
        <f t="shared" si="1007"/>
        <v>-85.263772236405629</v>
      </c>
      <c r="T804">
        <f t="shared" si="1008"/>
        <v>-8.5263772236405633E-2</v>
      </c>
    </row>
    <row r="805" spans="1:20" x14ac:dyDescent="0.25">
      <c r="A805" s="5">
        <v>43788</v>
      </c>
      <c r="B805">
        <v>3.7990000000000003E-2</v>
      </c>
      <c r="C805">
        <v>3.7990000000000003E-2</v>
      </c>
      <c r="D805">
        <v>3.5499999999999997E-2</v>
      </c>
      <c r="E805">
        <v>3.6639999999999999E-2</v>
      </c>
      <c r="F805">
        <v>577712.19999999995</v>
      </c>
      <c r="G805">
        <v>0</v>
      </c>
      <c r="L805" t="s">
        <v>7</v>
      </c>
      <c r="M805" t="s">
        <v>7</v>
      </c>
      <c r="N805" t="s">
        <v>7</v>
      </c>
      <c r="P805">
        <f t="shared" si="1004"/>
        <v>-8.4337349397590897E-2</v>
      </c>
      <c r="Q805">
        <f t="shared" si="1005"/>
        <v>-48722.71566265091</v>
      </c>
      <c r="R805">
        <f t="shared" si="1006"/>
        <v>-8393527.4337125048</v>
      </c>
      <c r="S805">
        <f t="shared" si="1007"/>
        <v>-83.935274337125051</v>
      </c>
      <c r="T805">
        <f t="shared" si="1008"/>
        <v>-8.3935274337125054E-2</v>
      </c>
    </row>
    <row r="806" spans="1:20" x14ac:dyDescent="0.25">
      <c r="A806" s="5">
        <v>43787</v>
      </c>
      <c r="B806">
        <v>3.909E-2</v>
      </c>
      <c r="C806">
        <v>3.95E-2</v>
      </c>
      <c r="D806">
        <v>3.7499999999999999E-2</v>
      </c>
      <c r="E806">
        <v>3.7510000000000002E-2</v>
      </c>
      <c r="F806">
        <v>748896.6</v>
      </c>
      <c r="G806">
        <v>0</v>
      </c>
      <c r="L806" t="s">
        <v>7</v>
      </c>
      <c r="M806" t="s">
        <v>7</v>
      </c>
      <c r="N806" t="s">
        <v>8</v>
      </c>
      <c r="P806">
        <f t="shared" si="1004"/>
        <v>-0.98999999999999699</v>
      </c>
      <c r="Q806">
        <f t="shared" si="1005"/>
        <v>-741407.63399999775</v>
      </c>
      <c r="R806">
        <f t="shared" si="1006"/>
        <v>-8344804.718049854</v>
      </c>
      <c r="S806">
        <f t="shared" si="1007"/>
        <v>-83.448047180498534</v>
      </c>
      <c r="T806">
        <f t="shared" si="1008"/>
        <v>-8.344804718049853E-2</v>
      </c>
    </row>
    <row r="807" spans="1:20" x14ac:dyDescent="0.25">
      <c r="A807" s="5">
        <v>43786</v>
      </c>
      <c r="B807">
        <v>3.8620000000000002E-2</v>
      </c>
      <c r="C807">
        <v>4.3889999999999998E-2</v>
      </c>
      <c r="D807">
        <v>3.823E-2</v>
      </c>
      <c r="E807">
        <v>3.9370000000000002E-2</v>
      </c>
      <c r="F807">
        <v>1047654.3</v>
      </c>
      <c r="G807">
        <v>0</v>
      </c>
      <c r="L807" t="s">
        <v>8</v>
      </c>
      <c r="M807" t="s">
        <v>7</v>
      </c>
      <c r="N807" t="s">
        <v>8</v>
      </c>
      <c r="P807">
        <f t="shared" si="1004"/>
        <v>-0.59717314487632422</v>
      </c>
      <c r="Q807">
        <f t="shared" si="1005"/>
        <v>-625631.01307420409</v>
      </c>
      <c r="R807">
        <f t="shared" si="1006"/>
        <v>-7603397.0840498563</v>
      </c>
      <c r="S807">
        <f t="shared" si="1007"/>
        <v>-76.033970840498569</v>
      </c>
      <c r="T807">
        <f t="shared" si="1008"/>
        <v>-7.6033970840498566E-2</v>
      </c>
    </row>
    <row r="808" spans="1:20" x14ac:dyDescent="0.25">
      <c r="A808" s="5">
        <v>43785</v>
      </c>
      <c r="B808">
        <v>3.848E-2</v>
      </c>
      <c r="C808">
        <v>3.9260000000000003E-2</v>
      </c>
      <c r="D808">
        <v>3.8399999999999997E-2</v>
      </c>
      <c r="E808">
        <v>3.8620000000000002E-2</v>
      </c>
      <c r="F808">
        <v>80773</v>
      </c>
      <c r="G808">
        <v>0</v>
      </c>
      <c r="L808" t="s">
        <v>7</v>
      </c>
      <c r="M808" t="s">
        <v>7</v>
      </c>
      <c r="N808" t="s">
        <v>8</v>
      </c>
      <c r="P808">
        <f t="shared" si="1004"/>
        <v>-0.4883720930232483</v>
      </c>
      <c r="Q808">
        <f t="shared" si="1005"/>
        <v>-39447.279069766832</v>
      </c>
      <c r="R808">
        <f t="shared" si="1006"/>
        <v>-6977766.070975652</v>
      </c>
      <c r="S808">
        <f t="shared" si="1007"/>
        <v>-69.777660709756518</v>
      </c>
      <c r="T808">
        <f t="shared" si="1008"/>
        <v>-6.9777660709756523E-2</v>
      </c>
    </row>
    <row r="809" spans="1:20" x14ac:dyDescent="0.25">
      <c r="A809" s="5">
        <v>43784</v>
      </c>
      <c r="B809">
        <v>3.9399999999999998E-2</v>
      </c>
      <c r="C809">
        <v>3.9899999999999998E-2</v>
      </c>
      <c r="D809">
        <v>3.8240000000000003E-2</v>
      </c>
      <c r="E809">
        <v>3.9030000000000002E-2</v>
      </c>
      <c r="F809">
        <v>284843.5</v>
      </c>
      <c r="G809">
        <v>0</v>
      </c>
      <c r="L809" t="s">
        <v>7</v>
      </c>
      <c r="M809" t="s">
        <v>7</v>
      </c>
      <c r="N809" t="s">
        <v>8</v>
      </c>
      <c r="P809">
        <f t="shared" si="1004"/>
        <v>-4.8192771084335534E-2</v>
      </c>
      <c r="Q809">
        <f t="shared" si="1005"/>
        <v>-13727.397590360928</v>
      </c>
      <c r="R809">
        <f t="shared" si="1006"/>
        <v>-6938318.7919058856</v>
      </c>
      <c r="S809">
        <f t="shared" si="1007"/>
        <v>-69.383187919058855</v>
      </c>
      <c r="T809">
        <f t="shared" si="1008"/>
        <v>-6.9383187919058856E-2</v>
      </c>
    </row>
    <row r="810" spans="1:20" x14ac:dyDescent="0.25">
      <c r="A810" s="5">
        <v>43783</v>
      </c>
      <c r="B810">
        <v>4.0009999999999997E-2</v>
      </c>
      <c r="C810">
        <v>4.0160000000000001E-2</v>
      </c>
      <c r="D810">
        <v>3.866E-2</v>
      </c>
      <c r="E810">
        <v>3.9410000000000001E-2</v>
      </c>
      <c r="F810">
        <v>253659.8</v>
      </c>
      <c r="G810">
        <v>0</v>
      </c>
      <c r="L810" t="s">
        <v>7</v>
      </c>
      <c r="M810" t="s">
        <v>7</v>
      </c>
      <c r="N810" t="s">
        <v>8</v>
      </c>
      <c r="P810">
        <f t="shared" si="1004"/>
        <v>0</v>
      </c>
      <c r="Q810">
        <f t="shared" si="1005"/>
        <v>0</v>
      </c>
      <c r="R810">
        <f t="shared" si="1006"/>
        <v>-6924591.394315525</v>
      </c>
      <c r="S810">
        <f t="shared" si="1007"/>
        <v>-69.245913943155244</v>
      </c>
      <c r="T810">
        <f t="shared" si="1008"/>
        <v>-6.9245913943155241E-2</v>
      </c>
    </row>
    <row r="811" spans="1:20" x14ac:dyDescent="0.25">
      <c r="A811" s="5">
        <v>43782</v>
      </c>
      <c r="B811">
        <v>4.0030000000000003E-2</v>
      </c>
      <c r="C811">
        <v>4.0410000000000001E-2</v>
      </c>
      <c r="D811">
        <v>3.9510000000000003E-2</v>
      </c>
      <c r="E811">
        <v>4.0230000000000002E-2</v>
      </c>
      <c r="F811">
        <v>401726.9</v>
      </c>
      <c r="G811">
        <v>0</v>
      </c>
      <c r="L811" t="s">
        <v>8</v>
      </c>
      <c r="M811" t="s">
        <v>7</v>
      </c>
      <c r="N811" t="s">
        <v>8</v>
      </c>
      <c r="P811">
        <f t="shared" si="1004"/>
        <v>0.6</v>
      </c>
      <c r="Q811">
        <f t="shared" si="1005"/>
        <v>241036.14</v>
      </c>
      <c r="R811">
        <f t="shared" si="1006"/>
        <v>-6924591.394315525</v>
      </c>
      <c r="S811">
        <f t="shared" si="1007"/>
        <v>-69.245913943155244</v>
      </c>
      <c r="T811">
        <f t="shared" si="1008"/>
        <v>-6.9245913943155241E-2</v>
      </c>
    </row>
    <row r="812" spans="1:20" x14ac:dyDescent="0.25">
      <c r="A812" s="5">
        <v>43781</v>
      </c>
      <c r="B812">
        <v>3.9750000000000001E-2</v>
      </c>
      <c r="C812">
        <v>4.172E-2</v>
      </c>
      <c r="D812">
        <v>3.9230000000000001E-2</v>
      </c>
      <c r="E812">
        <v>4.0030000000000003E-2</v>
      </c>
      <c r="F812">
        <v>821480.6</v>
      </c>
      <c r="G812">
        <v>0</v>
      </c>
      <c r="L812" t="s">
        <v>8</v>
      </c>
      <c r="M812" t="s">
        <v>7</v>
      </c>
      <c r="N812" t="s">
        <v>8</v>
      </c>
      <c r="P812">
        <f t="shared" si="1004"/>
        <v>-0.35742971887550012</v>
      </c>
      <c r="Q812">
        <f t="shared" si="1005"/>
        <v>-293621.57991967717</v>
      </c>
      <c r="R812">
        <f t="shared" si="1006"/>
        <v>-7165627.5343155246</v>
      </c>
      <c r="S812">
        <f t="shared" si="1007"/>
        <v>-71.656275343155244</v>
      </c>
      <c r="T812">
        <f t="shared" si="1008"/>
        <v>-7.1656275343155246E-2</v>
      </c>
    </row>
    <row r="813" spans="1:20" x14ac:dyDescent="0.25">
      <c r="A813" s="5">
        <v>43780</v>
      </c>
      <c r="B813">
        <v>4.0869999999999997E-2</v>
      </c>
      <c r="C813">
        <v>4.1239999999999999E-2</v>
      </c>
      <c r="D813">
        <v>3.9070000000000001E-2</v>
      </c>
      <c r="E813">
        <v>4.0099999999999997E-2</v>
      </c>
      <c r="F813">
        <v>266261.5</v>
      </c>
      <c r="G813">
        <v>0</v>
      </c>
      <c r="L813" t="s">
        <v>8</v>
      </c>
      <c r="M813" t="s">
        <v>7</v>
      </c>
      <c r="N813" t="s">
        <v>8</v>
      </c>
      <c r="P813">
        <f t="shared" si="1004"/>
        <v>-5.0691244239634108E-2</v>
      </c>
      <c r="Q813">
        <f t="shared" si="1005"/>
        <v>-13497.126728111338</v>
      </c>
      <c r="R813">
        <f t="shared" si="1006"/>
        <v>-6872005.9543958474</v>
      </c>
      <c r="S813">
        <f t="shared" si="1007"/>
        <v>-68.72005954395847</v>
      </c>
      <c r="T813">
        <f t="shared" si="1008"/>
        <v>-6.8720059543958475E-2</v>
      </c>
    </row>
    <row r="814" spans="1:20" x14ac:dyDescent="0.25">
      <c r="A814" s="5">
        <v>43779</v>
      </c>
      <c r="B814">
        <v>4.0070000000000001E-2</v>
      </c>
      <c r="C814">
        <v>4.1369999999999997E-2</v>
      </c>
      <c r="D814">
        <v>3.9710000000000002E-2</v>
      </c>
      <c r="E814">
        <v>4.0840000000000001E-2</v>
      </c>
      <c r="F814">
        <v>679422.7</v>
      </c>
      <c r="G814">
        <v>0</v>
      </c>
      <c r="L814" t="s">
        <v>8</v>
      </c>
      <c r="M814" t="s">
        <v>7</v>
      </c>
      <c r="N814" t="s">
        <v>8</v>
      </c>
      <c r="P814">
        <f t="shared" si="1004"/>
        <v>0.36144578313253323</v>
      </c>
      <c r="Q814">
        <f t="shared" si="1005"/>
        <v>245574.46987952015</v>
      </c>
      <c r="R814">
        <f t="shared" si="1006"/>
        <v>-6858508.8276677364</v>
      </c>
      <c r="S814">
        <f t="shared" si="1007"/>
        <v>-68.585088276677368</v>
      </c>
      <c r="T814">
        <f t="shared" si="1008"/>
        <v>-6.8585088276677364E-2</v>
      </c>
    </row>
    <row r="815" spans="1:20" x14ac:dyDescent="0.25">
      <c r="A815" s="5">
        <v>43778</v>
      </c>
      <c r="B815">
        <v>4.0370000000000003E-2</v>
      </c>
      <c r="C815">
        <v>4.1259999999999998E-2</v>
      </c>
      <c r="D815">
        <v>3.9960000000000002E-2</v>
      </c>
      <c r="E815">
        <v>4.0410000000000001E-2</v>
      </c>
      <c r="F815">
        <v>586792.69999999995</v>
      </c>
      <c r="G815">
        <v>0</v>
      </c>
      <c r="L815" t="s">
        <v>8</v>
      </c>
      <c r="M815" t="s">
        <v>7</v>
      </c>
      <c r="N815" t="s">
        <v>8</v>
      </c>
      <c r="P815">
        <f t="shared" si="1004"/>
        <v>-0.30769230769230688</v>
      </c>
      <c r="Q815">
        <f t="shared" si="1005"/>
        <v>-180551.59999999951</v>
      </c>
      <c r="R815">
        <f t="shared" si="1006"/>
        <v>-7104083.2975472566</v>
      </c>
      <c r="S815">
        <f t="shared" si="1007"/>
        <v>-71.040832975472568</v>
      </c>
      <c r="T815">
        <f t="shared" si="1008"/>
        <v>-7.1040832975472562E-2</v>
      </c>
    </row>
    <row r="816" spans="1:20" x14ac:dyDescent="0.25">
      <c r="A816" s="5">
        <v>43777</v>
      </c>
      <c r="B816">
        <v>4.2009999999999999E-2</v>
      </c>
      <c r="C816">
        <v>4.2180000000000002E-2</v>
      </c>
      <c r="D816">
        <v>3.8789999999999998E-2</v>
      </c>
      <c r="E816">
        <v>4.0099999999999997E-2</v>
      </c>
      <c r="F816">
        <v>362655</v>
      </c>
      <c r="G816">
        <v>0</v>
      </c>
      <c r="L816" t="s">
        <v>7</v>
      </c>
      <c r="M816" t="s">
        <v>7</v>
      </c>
      <c r="N816" t="s">
        <v>8</v>
      </c>
      <c r="P816">
        <f t="shared" si="1004"/>
        <v>-0.22713864306784834</v>
      </c>
      <c r="Q816">
        <f t="shared" si="1005"/>
        <v>-82372.964601770538</v>
      </c>
      <c r="R816">
        <f t="shared" si="1006"/>
        <v>-6923531.6975472569</v>
      </c>
      <c r="S816">
        <f t="shared" si="1007"/>
        <v>-69.235316975472571</v>
      </c>
      <c r="T816">
        <f t="shared" si="1008"/>
        <v>-6.9235316975472569E-2</v>
      </c>
    </row>
    <row r="817" spans="1:20" x14ac:dyDescent="0.25">
      <c r="A817" s="5">
        <v>43776</v>
      </c>
      <c r="B817">
        <v>4.3619999999999999E-2</v>
      </c>
      <c r="C817">
        <v>4.3799999999999999E-2</v>
      </c>
      <c r="D817">
        <v>4.086E-2</v>
      </c>
      <c r="E817">
        <v>4.233E-2</v>
      </c>
      <c r="F817">
        <v>878893.2</v>
      </c>
      <c r="G817">
        <v>0</v>
      </c>
      <c r="L817" t="s">
        <v>7</v>
      </c>
      <c r="M817" t="s">
        <v>8</v>
      </c>
      <c r="N817" t="s">
        <v>8</v>
      </c>
      <c r="P817">
        <f t="shared" si="1004"/>
        <v>0</v>
      </c>
      <c r="Q817">
        <f t="shared" si="1005"/>
        <v>0</v>
      </c>
      <c r="R817">
        <f t="shared" si="1006"/>
        <v>-6841158.732945486</v>
      </c>
      <c r="S817">
        <f t="shared" si="1007"/>
        <v>-68.411587329454861</v>
      </c>
      <c r="T817">
        <f t="shared" si="1008"/>
        <v>-6.8411587329454862E-2</v>
      </c>
    </row>
    <row r="818" spans="1:20" x14ac:dyDescent="0.25">
      <c r="A818" s="5">
        <v>43775</v>
      </c>
      <c r="B818">
        <v>4.3749999999999997E-2</v>
      </c>
      <c r="C818">
        <v>4.4220000000000002E-2</v>
      </c>
      <c r="D818">
        <v>4.2930000000000003E-2</v>
      </c>
      <c r="E818">
        <v>4.3619999999999999E-2</v>
      </c>
      <c r="F818">
        <v>1242164.3999999999</v>
      </c>
      <c r="G818">
        <v>0</v>
      </c>
      <c r="L818" t="s">
        <v>7</v>
      </c>
      <c r="M818" t="s">
        <v>8</v>
      </c>
      <c r="N818" t="s">
        <v>8</v>
      </c>
      <c r="P818">
        <f t="shared" si="1004"/>
        <v>6.9767441860459606E-2</v>
      </c>
      <c r="Q818">
        <f t="shared" si="1005"/>
        <v>86662.632558132682</v>
      </c>
      <c r="R818">
        <f t="shared" si="1006"/>
        <v>-6841158.732945486</v>
      </c>
      <c r="S818">
        <f t="shared" si="1007"/>
        <v>-68.411587329454861</v>
      </c>
      <c r="T818">
        <f t="shared" si="1008"/>
        <v>-6.8411587329454862E-2</v>
      </c>
    </row>
    <row r="819" spans="1:20" x14ac:dyDescent="0.25">
      <c r="A819" s="5">
        <v>43774</v>
      </c>
      <c r="B819">
        <v>4.3630000000000002E-2</v>
      </c>
      <c r="C819">
        <v>4.7699999999999999E-2</v>
      </c>
      <c r="D819">
        <v>4.3630000000000002E-2</v>
      </c>
      <c r="E819">
        <v>4.3749999999999997E-2</v>
      </c>
      <c r="F819">
        <v>2028256.7</v>
      </c>
      <c r="G819">
        <v>0</v>
      </c>
      <c r="L819" t="s">
        <v>8</v>
      </c>
      <c r="M819" t="s">
        <v>8</v>
      </c>
      <c r="N819" t="s">
        <v>8</v>
      </c>
      <c r="P819">
        <f t="shared" si="1004"/>
        <v>-0.94103194103194343</v>
      </c>
      <c r="Q819">
        <f t="shared" si="1005"/>
        <v>-1908654.3393120442</v>
      </c>
      <c r="R819">
        <f t="shared" si="1006"/>
        <v>-6927821.3655036185</v>
      </c>
      <c r="S819">
        <f t="shared" si="1007"/>
        <v>-69.278213655036183</v>
      </c>
      <c r="T819">
        <f t="shared" si="1008"/>
        <v>-6.9278213655036183E-2</v>
      </c>
    </row>
    <row r="820" spans="1:20" x14ac:dyDescent="0.25">
      <c r="A820" s="5">
        <v>43773</v>
      </c>
      <c r="B820">
        <v>4.2999999999999997E-2</v>
      </c>
      <c r="C820">
        <v>4.3650000000000001E-2</v>
      </c>
      <c r="D820">
        <v>4.2209999999999998E-2</v>
      </c>
      <c r="E820">
        <v>4.3400000000000001E-2</v>
      </c>
      <c r="F820">
        <v>626839</v>
      </c>
      <c r="G820">
        <v>0</v>
      </c>
      <c r="L820" t="s">
        <v>8</v>
      </c>
      <c r="M820" t="s">
        <v>8</v>
      </c>
      <c r="N820" t="s">
        <v>7</v>
      </c>
      <c r="P820">
        <f t="shared" si="1004"/>
        <v>0.65277777777777835</v>
      </c>
      <c r="Q820">
        <f t="shared" si="1005"/>
        <v>409186.56944444479</v>
      </c>
      <c r="R820">
        <f t="shared" si="1006"/>
        <v>-5019167.0261915745</v>
      </c>
      <c r="S820">
        <f t="shared" si="1007"/>
        <v>-50.191670261915746</v>
      </c>
      <c r="T820">
        <f t="shared" si="1008"/>
        <v>-5.0191670261915747E-2</v>
      </c>
    </row>
    <row r="821" spans="1:20" x14ac:dyDescent="0.25">
      <c r="A821" s="5">
        <v>43772</v>
      </c>
      <c r="B821">
        <v>4.258E-2</v>
      </c>
      <c r="C821">
        <v>4.5350000000000001E-2</v>
      </c>
      <c r="D821">
        <v>4.1939999999999998E-2</v>
      </c>
      <c r="E821">
        <v>4.2909999999999997E-2</v>
      </c>
      <c r="F821">
        <v>1001387.8</v>
      </c>
      <c r="G821">
        <v>0</v>
      </c>
      <c r="L821" t="s">
        <v>8</v>
      </c>
      <c r="M821" t="s">
        <v>8</v>
      </c>
      <c r="N821" t="s">
        <v>7</v>
      </c>
      <c r="P821">
        <f t="shared" si="1004"/>
        <v>-0.43108504398827113</v>
      </c>
      <c r="Q821">
        <f t="shared" si="1005"/>
        <v>-431683.30381231807</v>
      </c>
      <c r="R821">
        <f t="shared" si="1006"/>
        <v>-5428353.5956360195</v>
      </c>
      <c r="S821">
        <f t="shared" si="1007"/>
        <v>-54.283535956360197</v>
      </c>
      <c r="T821">
        <f t="shared" si="1008"/>
        <v>-5.42835359563602E-2</v>
      </c>
    </row>
    <row r="822" spans="1:20" x14ac:dyDescent="0.25">
      <c r="A822" s="5">
        <v>43771</v>
      </c>
      <c r="B822">
        <v>4.3299999999999998E-2</v>
      </c>
      <c r="C822">
        <v>4.3729999999999998E-2</v>
      </c>
      <c r="D822">
        <v>4.1419999999999998E-2</v>
      </c>
      <c r="E822">
        <v>4.2599999999999999E-2</v>
      </c>
      <c r="F822">
        <v>544051.80000000005</v>
      </c>
      <c r="G822">
        <v>0</v>
      </c>
      <c r="L822" t="s">
        <v>8</v>
      </c>
      <c r="M822" t="s">
        <v>8</v>
      </c>
      <c r="N822" t="s">
        <v>7</v>
      </c>
      <c r="P822">
        <f t="shared" si="1004"/>
        <v>2.1645021645022269E-2</v>
      </c>
      <c r="Q822">
        <f t="shared" si="1005"/>
        <v>11776.012987013328</v>
      </c>
      <c r="R822">
        <f t="shared" si="1006"/>
        <v>-4996670.291823701</v>
      </c>
      <c r="S822">
        <f t="shared" si="1007"/>
        <v>-49.966702918237011</v>
      </c>
      <c r="T822">
        <f t="shared" si="1008"/>
        <v>-4.9966702918237009E-2</v>
      </c>
    </row>
    <row r="823" spans="1:20" x14ac:dyDescent="0.25">
      <c r="A823" s="5">
        <v>43770</v>
      </c>
      <c r="B823">
        <v>4.1770000000000002E-2</v>
      </c>
      <c r="C823">
        <v>4.3860000000000003E-2</v>
      </c>
      <c r="D823">
        <v>4.1450000000000001E-2</v>
      </c>
      <c r="E823">
        <v>4.3319999999999997E-2</v>
      </c>
      <c r="F823">
        <v>468594.4</v>
      </c>
      <c r="G823">
        <v>0</v>
      </c>
      <c r="L823" t="s">
        <v>8</v>
      </c>
      <c r="M823" t="s">
        <v>8</v>
      </c>
      <c r="N823" t="s">
        <v>7</v>
      </c>
      <c r="P823">
        <f t="shared" si="1004"/>
        <v>0.55186721991700816</v>
      </c>
      <c r="Q823">
        <f t="shared" si="1005"/>
        <v>258601.88879667851</v>
      </c>
      <c r="R823">
        <f t="shared" si="1006"/>
        <v>-5008446.304810714</v>
      </c>
      <c r="S823">
        <f t="shared" si="1007"/>
        <v>-50.084463048107139</v>
      </c>
      <c r="T823">
        <f t="shared" si="1008"/>
        <v>-5.0084463048107139E-2</v>
      </c>
    </row>
    <row r="824" spans="1:20" x14ac:dyDescent="0.25">
      <c r="A824" s="5">
        <v>43769</v>
      </c>
      <c r="B824">
        <v>4.1840000000000002E-2</v>
      </c>
      <c r="C824">
        <v>4.3959999999999999E-2</v>
      </c>
      <c r="D824">
        <v>3.977E-2</v>
      </c>
      <c r="E824">
        <v>4.1889999999999997E-2</v>
      </c>
      <c r="F824">
        <v>611511.1</v>
      </c>
      <c r="G824">
        <v>0</v>
      </c>
      <c r="L824" t="s">
        <v>7</v>
      </c>
      <c r="M824" t="s">
        <v>8</v>
      </c>
      <c r="N824" t="s">
        <v>7</v>
      </c>
      <c r="P824">
        <f t="shared" si="1004"/>
        <v>1.1933174224342364E-2</v>
      </c>
      <c r="Q824">
        <f t="shared" si="1005"/>
        <v>7297.2684964192449</v>
      </c>
      <c r="R824">
        <f t="shared" si="1006"/>
        <v>-5267048.1936073927</v>
      </c>
      <c r="S824">
        <f t="shared" si="1007"/>
        <v>-52.670481936073926</v>
      </c>
      <c r="T824">
        <f t="shared" si="1008"/>
        <v>-5.2670481936073925E-2</v>
      </c>
    </row>
    <row r="825" spans="1:20" x14ac:dyDescent="0.25">
      <c r="A825" s="5">
        <v>43768</v>
      </c>
      <c r="B825">
        <v>4.3299999999999998E-2</v>
      </c>
      <c r="C825">
        <v>4.3589999999999997E-2</v>
      </c>
      <c r="D825">
        <v>4.079E-2</v>
      </c>
      <c r="E825">
        <v>4.1239999999999999E-2</v>
      </c>
      <c r="F825">
        <v>556464.4</v>
      </c>
      <c r="G825">
        <v>0</v>
      </c>
      <c r="L825" t="s">
        <v>7</v>
      </c>
      <c r="M825" t="s">
        <v>8</v>
      </c>
      <c r="N825" t="s">
        <v>7</v>
      </c>
      <c r="P825">
        <f t="shared" si="1004"/>
        <v>-0.67857142857142894</v>
      </c>
      <c r="Q825">
        <f t="shared" si="1005"/>
        <v>-377600.84285714308</v>
      </c>
      <c r="R825">
        <f t="shared" si="1006"/>
        <v>-5274345.462103812</v>
      </c>
      <c r="S825">
        <f t="shared" si="1007"/>
        <v>-52.743454621038119</v>
      </c>
      <c r="T825">
        <f t="shared" si="1008"/>
        <v>-5.2743454621038119E-2</v>
      </c>
    </row>
    <row r="826" spans="1:20" x14ac:dyDescent="0.25">
      <c r="A826" s="5">
        <v>43767</v>
      </c>
      <c r="B826">
        <v>4.2999999999999997E-2</v>
      </c>
      <c r="C826">
        <v>4.4389999999999999E-2</v>
      </c>
      <c r="D826">
        <v>4.1880000000000001E-2</v>
      </c>
      <c r="E826">
        <v>4.326E-2</v>
      </c>
      <c r="F826">
        <v>495731.8</v>
      </c>
      <c r="G826">
        <v>0</v>
      </c>
      <c r="L826" t="s">
        <v>7</v>
      </c>
      <c r="M826" t="s">
        <v>8</v>
      </c>
      <c r="N826" t="s">
        <v>7</v>
      </c>
      <c r="P826">
        <f t="shared" si="1004"/>
        <v>9.9601593625498155E-2</v>
      </c>
      <c r="Q826">
        <f t="shared" si="1005"/>
        <v>49375.677290836727</v>
      </c>
      <c r="R826">
        <f t="shared" si="1006"/>
        <v>-4896744.6192466691</v>
      </c>
      <c r="S826">
        <f t="shared" si="1007"/>
        <v>-48.967446192466689</v>
      </c>
      <c r="T826">
        <f t="shared" si="1008"/>
        <v>-4.8967446192466686E-2</v>
      </c>
    </row>
    <row r="827" spans="1:20" x14ac:dyDescent="0.25">
      <c r="A827" s="5">
        <v>43766</v>
      </c>
      <c r="B827">
        <v>4.2880000000000001E-2</v>
      </c>
      <c r="C827">
        <v>4.4889999999999999E-2</v>
      </c>
      <c r="D827">
        <v>4.1410000000000002E-2</v>
      </c>
      <c r="E827">
        <v>4.2999999999999997E-2</v>
      </c>
      <c r="F827">
        <v>799223.3</v>
      </c>
      <c r="G827">
        <v>0</v>
      </c>
      <c r="L827" t="s">
        <v>7</v>
      </c>
      <c r="M827" t="s">
        <v>8</v>
      </c>
      <c r="N827" t="s">
        <v>7</v>
      </c>
      <c r="P827">
        <f t="shared" si="1004"/>
        <v>-8.6206896551726683E-2</v>
      </c>
      <c r="Q827">
        <f t="shared" si="1005"/>
        <v>-68898.560344829632</v>
      </c>
      <c r="R827">
        <f t="shared" si="1006"/>
        <v>-4946120.2965375055</v>
      </c>
      <c r="S827">
        <f t="shared" si="1007"/>
        <v>-49.461202965375051</v>
      </c>
      <c r="T827">
        <f t="shared" si="1008"/>
        <v>-4.9461202965375053E-2</v>
      </c>
    </row>
    <row r="828" spans="1:20" x14ac:dyDescent="0.25">
      <c r="A828" s="5">
        <v>43765</v>
      </c>
      <c r="B828">
        <v>3.9879999999999999E-2</v>
      </c>
      <c r="C828">
        <v>4.4990000000000002E-2</v>
      </c>
      <c r="D828">
        <v>3.9379999999999998E-2</v>
      </c>
      <c r="E828">
        <v>4.2639999999999997E-2</v>
      </c>
      <c r="F828">
        <v>923753.1</v>
      </c>
      <c r="G828">
        <v>0</v>
      </c>
      <c r="L828" t="s">
        <v>8</v>
      </c>
      <c r="M828" t="s">
        <v>8</v>
      </c>
      <c r="N828" t="s">
        <v>7</v>
      </c>
      <c r="P828">
        <f t="shared" si="1004"/>
        <v>0.16221033868092577</v>
      </c>
      <c r="Q828">
        <f t="shared" si="1005"/>
        <v>149842.30320855509</v>
      </c>
      <c r="R828">
        <f t="shared" si="1006"/>
        <v>-4877221.7361926762</v>
      </c>
      <c r="S828">
        <f t="shared" si="1007"/>
        <v>-48.772217361926764</v>
      </c>
      <c r="T828">
        <f t="shared" si="1008"/>
        <v>-4.8772217361926766E-2</v>
      </c>
    </row>
    <row r="829" spans="1:20" x14ac:dyDescent="0.25">
      <c r="A829" s="5">
        <v>43764</v>
      </c>
      <c r="B829">
        <v>3.9750000000000001E-2</v>
      </c>
      <c r="C829">
        <v>4.3830000000000001E-2</v>
      </c>
      <c r="D829">
        <v>3.8289999999999998E-2</v>
      </c>
      <c r="E829">
        <v>3.9879999999999999E-2</v>
      </c>
      <c r="F829">
        <v>877502.9</v>
      </c>
      <c r="G829">
        <v>0</v>
      </c>
      <c r="L829" t="s">
        <v>8</v>
      </c>
      <c r="M829" t="s">
        <v>8</v>
      </c>
      <c r="N829" t="s">
        <v>7</v>
      </c>
      <c r="P829">
        <f t="shared" si="1004"/>
        <v>-0.42599277978339345</v>
      </c>
      <c r="Q829">
        <f t="shared" si="1005"/>
        <v>-373809.89963898913</v>
      </c>
      <c r="R829">
        <f t="shared" si="1006"/>
        <v>-5027064.0394012313</v>
      </c>
      <c r="S829">
        <f t="shared" si="1007"/>
        <v>-50.270640394012311</v>
      </c>
      <c r="T829">
        <f t="shared" si="1008"/>
        <v>-5.0270640394012314E-2</v>
      </c>
    </row>
    <row r="830" spans="1:20" x14ac:dyDescent="0.25">
      <c r="A830" s="5">
        <v>43763</v>
      </c>
      <c r="B830">
        <v>3.7629999999999997E-2</v>
      </c>
      <c r="C830">
        <v>0.04</v>
      </c>
      <c r="D830">
        <v>3.6290000000000003E-2</v>
      </c>
      <c r="E830">
        <v>3.9750000000000001E-2</v>
      </c>
      <c r="F830">
        <v>1486092.4</v>
      </c>
      <c r="G830">
        <v>0</v>
      </c>
      <c r="L830" t="s">
        <v>8</v>
      </c>
      <c r="M830" t="s">
        <v>7</v>
      </c>
      <c r="N830" t="s">
        <v>7</v>
      </c>
      <c r="P830">
        <f t="shared" si="1004"/>
        <v>0.86522911051212914</v>
      </c>
      <c r="Q830">
        <f t="shared" si="1005"/>
        <v>1285810.4053908351</v>
      </c>
      <c r="R830">
        <f t="shared" si="1006"/>
        <v>-4653254.1397622423</v>
      </c>
      <c r="S830">
        <f t="shared" si="1007"/>
        <v>-46.532541397622424</v>
      </c>
      <c r="T830">
        <f t="shared" si="1008"/>
        <v>-4.6532541397622425E-2</v>
      </c>
    </row>
    <row r="831" spans="1:20" x14ac:dyDescent="0.25">
      <c r="A831" s="5">
        <v>43762</v>
      </c>
      <c r="B831">
        <v>3.6810000000000002E-2</v>
      </c>
      <c r="C831">
        <v>3.789E-2</v>
      </c>
      <c r="D831">
        <v>3.6540000000000003E-2</v>
      </c>
      <c r="E831">
        <v>3.7629999999999997E-2</v>
      </c>
      <c r="F831">
        <v>864825.4</v>
      </c>
      <c r="G831">
        <v>0</v>
      </c>
      <c r="L831" t="s">
        <v>7</v>
      </c>
      <c r="M831" t="s">
        <v>7</v>
      </c>
      <c r="N831" t="s">
        <v>7</v>
      </c>
      <c r="P831">
        <f t="shared" ref="P831:P889" si="1009">IF(C831=D831,0,((E831-D831)-(C831-E831))/(C831-D831))</f>
        <v>0.61481481481480915</v>
      </c>
      <c r="Q831">
        <f t="shared" ref="Q831:Q889" si="1010">F831*P831</f>
        <v>531707.46814814326</v>
      </c>
      <c r="R831">
        <f t="shared" ref="R831:R889" si="1011">R832+Q831</f>
        <v>-5939064.5451530777</v>
      </c>
      <c r="S831">
        <f t="shared" ref="S831:S889" si="1012">R831/100000</f>
        <v>-59.39064545153078</v>
      </c>
      <c r="T831">
        <f t="shared" ref="T831:T889" si="1013">S831/1000</f>
        <v>-5.9390645451530777E-2</v>
      </c>
    </row>
    <row r="832" spans="1:20" x14ac:dyDescent="0.25">
      <c r="A832" s="5">
        <v>43761</v>
      </c>
      <c r="B832">
        <v>4.0239999999999998E-2</v>
      </c>
      <c r="C832">
        <v>4.1480000000000003E-2</v>
      </c>
      <c r="D832">
        <v>3.5220000000000001E-2</v>
      </c>
      <c r="E832">
        <v>3.6810000000000002E-2</v>
      </c>
      <c r="F832">
        <v>1759641.8</v>
      </c>
      <c r="G832">
        <v>0</v>
      </c>
      <c r="L832" t="s">
        <v>8</v>
      </c>
      <c r="M832" t="s">
        <v>7</v>
      </c>
      <c r="N832" t="s">
        <v>7</v>
      </c>
      <c r="P832">
        <f t="shared" si="1009"/>
        <v>-0.49201277955271544</v>
      </c>
      <c r="Q832">
        <f t="shared" si="1010"/>
        <v>-865766.25303514337</v>
      </c>
      <c r="R832">
        <f t="shared" si="1011"/>
        <v>-6470772.0133012207</v>
      </c>
      <c r="S832">
        <f t="shared" si="1012"/>
        <v>-64.707720133012202</v>
      </c>
      <c r="T832">
        <f t="shared" si="1013"/>
        <v>-6.4707720133012209E-2</v>
      </c>
    </row>
    <row r="833" spans="1:20" x14ac:dyDescent="0.25">
      <c r="A833" s="5">
        <v>43760</v>
      </c>
      <c r="B833">
        <v>3.8789999999999998E-2</v>
      </c>
      <c r="C833">
        <v>4.1119999999999997E-2</v>
      </c>
      <c r="D833">
        <v>3.8530000000000002E-2</v>
      </c>
      <c r="E833">
        <v>4.0239999999999998E-2</v>
      </c>
      <c r="F833">
        <v>1494274.2</v>
      </c>
      <c r="G833">
        <v>0</v>
      </c>
      <c r="L833" t="s">
        <v>8</v>
      </c>
      <c r="M833" t="s">
        <v>7</v>
      </c>
      <c r="N833" t="s">
        <v>8</v>
      </c>
      <c r="P833">
        <f t="shared" si="1009"/>
        <v>0.32046332046332004</v>
      </c>
      <c r="Q833">
        <f t="shared" si="1010"/>
        <v>478860.07181467116</v>
      </c>
      <c r="R833">
        <f t="shared" si="1011"/>
        <v>-5605005.7602660777</v>
      </c>
      <c r="S833">
        <f t="shared" si="1012"/>
        <v>-56.050057602660779</v>
      </c>
      <c r="T833">
        <f t="shared" si="1013"/>
        <v>-5.6050057602660776E-2</v>
      </c>
    </row>
    <row r="834" spans="1:20" x14ac:dyDescent="0.25">
      <c r="A834" s="5">
        <v>43759</v>
      </c>
      <c r="B834">
        <v>3.8600000000000002E-2</v>
      </c>
      <c r="C834">
        <v>3.95E-2</v>
      </c>
      <c r="D834">
        <v>3.7999999999999999E-2</v>
      </c>
      <c r="E834">
        <v>3.8789999999999998E-2</v>
      </c>
      <c r="F834">
        <v>398075.9</v>
      </c>
      <c r="G834">
        <v>0</v>
      </c>
      <c r="L834" t="s">
        <v>8</v>
      </c>
      <c r="M834" t="s">
        <v>7</v>
      </c>
      <c r="N834" t="s">
        <v>8</v>
      </c>
      <c r="P834">
        <f t="shared" si="1009"/>
        <v>5.3333333333331116E-2</v>
      </c>
      <c r="Q834">
        <f t="shared" si="1010"/>
        <v>21230.714666665786</v>
      </c>
      <c r="R834">
        <f t="shared" si="1011"/>
        <v>-6083865.8320807489</v>
      </c>
      <c r="S834">
        <f t="shared" si="1012"/>
        <v>-60.83865832080749</v>
      </c>
      <c r="T834">
        <f t="shared" si="1013"/>
        <v>-6.0838658320807489E-2</v>
      </c>
    </row>
    <row r="835" spans="1:20" x14ac:dyDescent="0.25">
      <c r="A835" s="5">
        <v>43758</v>
      </c>
      <c r="B835">
        <v>3.789E-2</v>
      </c>
      <c r="C835">
        <v>3.9660000000000001E-2</v>
      </c>
      <c r="D835">
        <v>3.739E-2</v>
      </c>
      <c r="E835">
        <v>3.8600000000000002E-2</v>
      </c>
      <c r="F835">
        <v>476997</v>
      </c>
      <c r="G835">
        <v>0</v>
      </c>
      <c r="L835" t="s">
        <v>8</v>
      </c>
      <c r="M835" t="s">
        <v>7</v>
      </c>
      <c r="N835" t="s">
        <v>8</v>
      </c>
      <c r="P835">
        <f t="shared" si="1009"/>
        <v>6.6079295154186882E-2</v>
      </c>
      <c r="Q835">
        <f t="shared" si="1010"/>
        <v>31519.62555066168</v>
      </c>
      <c r="R835">
        <f t="shared" si="1011"/>
        <v>-6105096.5467474144</v>
      </c>
      <c r="S835">
        <f t="shared" si="1012"/>
        <v>-61.050965467474143</v>
      </c>
      <c r="T835">
        <f t="shared" si="1013"/>
        <v>-6.1050965467474141E-2</v>
      </c>
    </row>
    <row r="836" spans="1:20" x14ac:dyDescent="0.25">
      <c r="A836" s="5">
        <v>43757</v>
      </c>
      <c r="B836">
        <v>3.7019999999999997E-2</v>
      </c>
      <c r="C836">
        <v>3.8940000000000002E-2</v>
      </c>
      <c r="D836">
        <v>3.6830000000000002E-2</v>
      </c>
      <c r="E836">
        <v>3.7949999999999998E-2</v>
      </c>
      <c r="F836">
        <v>304785.40000000002</v>
      </c>
      <c r="G836">
        <v>0</v>
      </c>
      <c r="L836" t="s">
        <v>7</v>
      </c>
      <c r="M836" t="s">
        <v>7</v>
      </c>
      <c r="N836" t="s">
        <v>8</v>
      </c>
      <c r="P836">
        <f t="shared" si="1009"/>
        <v>6.1611374407578759E-2</v>
      </c>
      <c r="Q836">
        <f t="shared" si="1010"/>
        <v>18778.247393363657</v>
      </c>
      <c r="R836">
        <f t="shared" si="1011"/>
        <v>-6136616.1722980756</v>
      </c>
      <c r="S836">
        <f t="shared" si="1012"/>
        <v>-61.366161722980756</v>
      </c>
      <c r="T836">
        <f t="shared" si="1013"/>
        <v>-6.1366161722980754E-2</v>
      </c>
    </row>
    <row r="837" spans="1:20" x14ac:dyDescent="0.25">
      <c r="A837" s="5">
        <v>43756</v>
      </c>
      <c r="B837">
        <v>3.8980000000000001E-2</v>
      </c>
      <c r="C837">
        <v>3.8980000000000001E-2</v>
      </c>
      <c r="D837">
        <v>3.6799999999999999E-2</v>
      </c>
      <c r="E837">
        <v>3.7440000000000001E-2</v>
      </c>
      <c r="F837">
        <v>373886.7</v>
      </c>
      <c r="G837">
        <v>0</v>
      </c>
      <c r="L837" t="s">
        <v>7</v>
      </c>
      <c r="M837" t="s">
        <v>7</v>
      </c>
      <c r="N837" t="s">
        <v>8</v>
      </c>
      <c r="P837">
        <f t="shared" si="1009"/>
        <v>-0.41284403669724656</v>
      </c>
      <c r="Q837">
        <f t="shared" si="1010"/>
        <v>-154356.89449541242</v>
      </c>
      <c r="R837">
        <f t="shared" si="1011"/>
        <v>-6155394.4196914397</v>
      </c>
      <c r="S837">
        <f t="shared" si="1012"/>
        <v>-61.553944196914394</v>
      </c>
      <c r="T837">
        <f t="shared" si="1013"/>
        <v>-6.1553944196914394E-2</v>
      </c>
    </row>
    <row r="838" spans="1:20" x14ac:dyDescent="0.25">
      <c r="A838" s="5">
        <v>43755</v>
      </c>
      <c r="B838">
        <v>3.7999999999999999E-2</v>
      </c>
      <c r="C838">
        <v>3.9030000000000002E-2</v>
      </c>
      <c r="D838">
        <v>3.6819999999999999E-2</v>
      </c>
      <c r="E838">
        <v>3.9030000000000002E-2</v>
      </c>
      <c r="F838">
        <v>200619.5</v>
      </c>
      <c r="G838">
        <v>0</v>
      </c>
      <c r="L838" t="s">
        <v>7</v>
      </c>
      <c r="M838" t="s">
        <v>7</v>
      </c>
      <c r="N838" t="s">
        <v>8</v>
      </c>
      <c r="P838">
        <f t="shared" si="1009"/>
        <v>1</v>
      </c>
      <c r="Q838">
        <f t="shared" si="1010"/>
        <v>200619.5</v>
      </c>
      <c r="R838">
        <f t="shared" si="1011"/>
        <v>-6001037.525196027</v>
      </c>
      <c r="S838">
        <f t="shared" si="1012"/>
        <v>-60.010375251960269</v>
      </c>
      <c r="T838">
        <f t="shared" si="1013"/>
        <v>-6.001037525196027E-2</v>
      </c>
    </row>
    <row r="839" spans="1:20" x14ac:dyDescent="0.25">
      <c r="A839" s="5">
        <v>43754</v>
      </c>
      <c r="B839">
        <v>3.9120000000000002E-2</v>
      </c>
      <c r="C839">
        <v>3.9899999999999998E-2</v>
      </c>
      <c r="D839">
        <v>3.6700000000000003E-2</v>
      </c>
      <c r="E839">
        <v>3.7999999999999999E-2</v>
      </c>
      <c r="F839">
        <v>457083.7</v>
      </c>
      <c r="G839">
        <v>0</v>
      </c>
      <c r="L839" t="s">
        <v>7</v>
      </c>
      <c r="M839" t="s">
        <v>7</v>
      </c>
      <c r="N839" t="s">
        <v>8</v>
      </c>
      <c r="P839">
        <f t="shared" si="1009"/>
        <v>-0.18750000000000136</v>
      </c>
      <c r="Q839">
        <f t="shared" si="1010"/>
        <v>-85703.193750000617</v>
      </c>
      <c r="R839">
        <f t="shared" si="1011"/>
        <v>-6201657.025196027</v>
      </c>
      <c r="S839">
        <f t="shared" si="1012"/>
        <v>-62.016570251960268</v>
      </c>
      <c r="T839">
        <f t="shared" si="1013"/>
        <v>-6.2016570251960265E-2</v>
      </c>
    </row>
    <row r="840" spans="1:20" x14ac:dyDescent="0.25">
      <c r="A840" s="5">
        <v>43753</v>
      </c>
      <c r="B840">
        <v>4.1500000000000002E-2</v>
      </c>
      <c r="C840">
        <v>4.3290000000000002E-2</v>
      </c>
      <c r="D840">
        <v>3.8929999999999999E-2</v>
      </c>
      <c r="E840">
        <v>3.9719999999999998E-2</v>
      </c>
      <c r="F840">
        <v>1081383.3</v>
      </c>
      <c r="G840">
        <v>0</v>
      </c>
      <c r="L840" t="s">
        <v>8</v>
      </c>
      <c r="M840" t="s">
        <v>7</v>
      </c>
      <c r="N840" t="s">
        <v>8</v>
      </c>
      <c r="P840">
        <f t="shared" si="1009"/>
        <v>-0.63761467889908319</v>
      </c>
      <c r="Q840">
        <f t="shared" si="1010"/>
        <v>-689505.86559633096</v>
      </c>
      <c r="R840">
        <f t="shared" si="1011"/>
        <v>-6115953.8314460265</v>
      </c>
      <c r="S840">
        <f t="shared" si="1012"/>
        <v>-61.159538314460264</v>
      </c>
      <c r="T840">
        <f t="shared" si="1013"/>
        <v>-6.1159538314460263E-2</v>
      </c>
    </row>
    <row r="841" spans="1:20" x14ac:dyDescent="0.25">
      <c r="A841" s="5">
        <v>43752</v>
      </c>
      <c r="B841">
        <v>3.9480000000000001E-2</v>
      </c>
      <c r="C841">
        <v>4.1919999999999999E-2</v>
      </c>
      <c r="D841">
        <v>3.8980000000000001E-2</v>
      </c>
      <c r="E841">
        <v>4.1500000000000002E-2</v>
      </c>
      <c r="F841">
        <v>503428.2</v>
      </c>
      <c r="G841">
        <v>0</v>
      </c>
      <c r="L841" t="s">
        <v>8</v>
      </c>
      <c r="M841" t="s">
        <v>7</v>
      </c>
      <c r="N841" t="s">
        <v>8</v>
      </c>
      <c r="P841">
        <f t="shared" si="1009"/>
        <v>0.7142857142857163</v>
      </c>
      <c r="Q841">
        <f t="shared" si="1010"/>
        <v>359591.57142857247</v>
      </c>
      <c r="R841">
        <f t="shared" si="1011"/>
        <v>-5426447.9658496957</v>
      </c>
      <c r="S841">
        <f t="shared" si="1012"/>
        <v>-54.26447965849696</v>
      </c>
      <c r="T841">
        <f t="shared" si="1013"/>
        <v>-5.4264479658496963E-2</v>
      </c>
    </row>
    <row r="842" spans="1:20" x14ac:dyDescent="0.25">
      <c r="A842" s="5">
        <v>43751</v>
      </c>
      <c r="B842">
        <v>4.0120000000000003E-2</v>
      </c>
      <c r="C842">
        <v>4.0960000000000003E-2</v>
      </c>
      <c r="D842">
        <v>3.8760000000000003E-2</v>
      </c>
      <c r="E842">
        <v>3.9480000000000001E-2</v>
      </c>
      <c r="F842">
        <v>215800.8</v>
      </c>
      <c r="G842">
        <v>0</v>
      </c>
      <c r="L842" t="s">
        <v>7</v>
      </c>
      <c r="M842" t="s">
        <v>7</v>
      </c>
      <c r="N842" t="s">
        <v>8</v>
      </c>
      <c r="P842">
        <f t="shared" si="1009"/>
        <v>-0.34545454545454707</v>
      </c>
      <c r="Q842">
        <f t="shared" si="1010"/>
        <v>-74549.367272727613</v>
      </c>
      <c r="R842">
        <f t="shared" si="1011"/>
        <v>-5786039.5372782685</v>
      </c>
      <c r="S842">
        <f t="shared" si="1012"/>
        <v>-57.860395372782683</v>
      </c>
      <c r="T842">
        <f t="shared" si="1013"/>
        <v>-5.7860395372782682E-2</v>
      </c>
    </row>
    <row r="843" spans="1:20" x14ac:dyDescent="0.25">
      <c r="A843" s="5">
        <v>43750</v>
      </c>
      <c r="B843">
        <v>3.9460000000000002E-2</v>
      </c>
      <c r="C843">
        <v>4.2000000000000003E-2</v>
      </c>
      <c r="D843">
        <v>3.918E-2</v>
      </c>
      <c r="E843">
        <v>3.9960000000000002E-2</v>
      </c>
      <c r="F843">
        <v>309417</v>
      </c>
      <c r="G843">
        <v>0</v>
      </c>
      <c r="L843" t="s">
        <v>8</v>
      </c>
      <c r="M843" t="s">
        <v>7</v>
      </c>
      <c r="N843" t="s">
        <v>8</v>
      </c>
      <c r="P843">
        <f t="shared" si="1009"/>
        <v>-0.44680851063829641</v>
      </c>
      <c r="Q843">
        <f t="shared" si="1010"/>
        <v>-138250.14893616975</v>
      </c>
      <c r="R843">
        <f t="shared" si="1011"/>
        <v>-5711490.1700055413</v>
      </c>
      <c r="S843">
        <f t="shared" si="1012"/>
        <v>-57.114901700055412</v>
      </c>
      <c r="T843">
        <f t="shared" si="1013"/>
        <v>-5.7114901700055412E-2</v>
      </c>
    </row>
    <row r="844" spans="1:20" x14ac:dyDescent="0.25">
      <c r="A844" s="5">
        <v>43749</v>
      </c>
      <c r="B844">
        <v>4.1459999999999997E-2</v>
      </c>
      <c r="C844">
        <v>4.2040000000000001E-2</v>
      </c>
      <c r="D844">
        <v>3.8640000000000001E-2</v>
      </c>
      <c r="E844">
        <v>3.9829999999999997E-2</v>
      </c>
      <c r="F844">
        <v>684857.6</v>
      </c>
      <c r="G844">
        <v>0</v>
      </c>
      <c r="L844" t="s">
        <v>7</v>
      </c>
      <c r="M844" t="s">
        <v>7</v>
      </c>
      <c r="N844" t="s">
        <v>8</v>
      </c>
      <c r="P844">
        <f t="shared" si="1009"/>
        <v>-0.30000000000000204</v>
      </c>
      <c r="Q844">
        <f t="shared" si="1010"/>
        <v>-205457.2800000014</v>
      </c>
      <c r="R844">
        <f t="shared" si="1011"/>
        <v>-5573240.0210693711</v>
      </c>
      <c r="S844">
        <f t="shared" si="1012"/>
        <v>-55.732400210693712</v>
      </c>
      <c r="T844">
        <f t="shared" si="1013"/>
        <v>-5.5732400210693714E-2</v>
      </c>
    </row>
    <row r="845" spans="1:20" x14ac:dyDescent="0.25">
      <c r="A845" s="5">
        <v>43748</v>
      </c>
      <c r="B845">
        <v>4.2020000000000002E-2</v>
      </c>
      <c r="C845">
        <v>4.283E-2</v>
      </c>
      <c r="D845">
        <v>4.0379999999999999E-2</v>
      </c>
      <c r="E845">
        <v>4.2220000000000001E-2</v>
      </c>
      <c r="F845">
        <v>445671</v>
      </c>
      <c r="G845">
        <v>0</v>
      </c>
      <c r="L845" t="s">
        <v>7</v>
      </c>
      <c r="M845" t="s">
        <v>8</v>
      </c>
      <c r="N845" t="s">
        <v>8</v>
      </c>
      <c r="P845">
        <f t="shared" si="1009"/>
        <v>0.50204081632653119</v>
      </c>
      <c r="Q845">
        <f t="shared" si="1010"/>
        <v>223745.03265306147</v>
      </c>
      <c r="R845">
        <f t="shared" si="1011"/>
        <v>-5367782.7410693699</v>
      </c>
      <c r="S845">
        <f t="shared" si="1012"/>
        <v>-53.677827410693702</v>
      </c>
      <c r="T845">
        <f t="shared" si="1013"/>
        <v>-5.3677827410693699E-2</v>
      </c>
    </row>
    <row r="846" spans="1:20" x14ac:dyDescent="0.25">
      <c r="A846" s="5">
        <v>43747</v>
      </c>
      <c r="B846">
        <v>4.2759999999999999E-2</v>
      </c>
      <c r="C846">
        <v>4.7699999999999999E-2</v>
      </c>
      <c r="D846">
        <v>4.0259999999999997E-2</v>
      </c>
      <c r="E846">
        <v>4.1790000000000001E-2</v>
      </c>
      <c r="F846">
        <v>2002950.4</v>
      </c>
      <c r="G846">
        <v>0</v>
      </c>
      <c r="L846" t="s">
        <v>7</v>
      </c>
      <c r="M846" t="s">
        <v>8</v>
      </c>
      <c r="N846" t="s">
        <v>8</v>
      </c>
      <c r="P846">
        <f t="shared" si="1009"/>
        <v>-0.58870967741935398</v>
      </c>
      <c r="Q846">
        <f t="shared" si="1010"/>
        <v>-1179156.2838709659</v>
      </c>
      <c r="R846">
        <f t="shared" si="1011"/>
        <v>-5591527.7737224316</v>
      </c>
      <c r="S846">
        <f t="shared" si="1012"/>
        <v>-55.915277737224315</v>
      </c>
      <c r="T846">
        <f t="shared" si="1013"/>
        <v>-5.5915277737224316E-2</v>
      </c>
    </row>
    <row r="847" spans="1:20" x14ac:dyDescent="0.25">
      <c r="A847" s="5">
        <v>43746</v>
      </c>
      <c r="B847">
        <v>4.2209999999999998E-2</v>
      </c>
      <c r="C847">
        <v>4.4749999999999998E-2</v>
      </c>
      <c r="D847">
        <v>4.0980000000000003E-2</v>
      </c>
      <c r="E847">
        <v>4.3060000000000001E-2</v>
      </c>
      <c r="F847">
        <v>921047.7</v>
      </c>
      <c r="G847">
        <v>0</v>
      </c>
      <c r="L847" t="s">
        <v>7</v>
      </c>
      <c r="M847" t="s">
        <v>8</v>
      </c>
      <c r="N847" t="s">
        <v>7</v>
      </c>
      <c r="P847">
        <f t="shared" si="1009"/>
        <v>0.10344827586206948</v>
      </c>
      <c r="Q847">
        <f t="shared" si="1010"/>
        <v>95280.796551724605</v>
      </c>
      <c r="R847">
        <f t="shared" si="1011"/>
        <v>-4412371.4898514654</v>
      </c>
      <c r="S847">
        <f t="shared" si="1012"/>
        <v>-44.123714898514656</v>
      </c>
      <c r="T847">
        <f t="shared" si="1013"/>
        <v>-4.4123714898514653E-2</v>
      </c>
    </row>
    <row r="848" spans="1:20" x14ac:dyDescent="0.25">
      <c r="A848" s="5">
        <v>43745</v>
      </c>
      <c r="B848">
        <v>4.0379999999999999E-2</v>
      </c>
      <c r="C848">
        <v>4.5949999999999998E-2</v>
      </c>
      <c r="D848">
        <v>4.0379999999999999E-2</v>
      </c>
      <c r="E848">
        <v>4.2209999999999998E-2</v>
      </c>
      <c r="F848">
        <v>3272131.5</v>
      </c>
      <c r="G848">
        <v>0</v>
      </c>
      <c r="L848" t="s">
        <v>8</v>
      </c>
      <c r="M848" t="s">
        <v>8</v>
      </c>
      <c r="N848" t="s">
        <v>7</v>
      </c>
      <c r="P848">
        <f t="shared" si="1009"/>
        <v>-0.34290843806104171</v>
      </c>
      <c r="Q848">
        <f t="shared" si="1010"/>
        <v>-1122041.5017953336</v>
      </c>
      <c r="R848">
        <f t="shared" si="1011"/>
        <v>-4507652.2864031903</v>
      </c>
      <c r="S848">
        <f t="shared" si="1012"/>
        <v>-45.076522864031901</v>
      </c>
      <c r="T848">
        <f t="shared" si="1013"/>
        <v>-4.5076522864031902E-2</v>
      </c>
    </row>
    <row r="849" spans="1:20" x14ac:dyDescent="0.25">
      <c r="A849" s="5">
        <v>43744</v>
      </c>
      <c r="B849">
        <v>4.2849999999999999E-2</v>
      </c>
      <c r="C849">
        <v>4.2939999999999999E-2</v>
      </c>
      <c r="D849">
        <v>3.8260000000000002E-2</v>
      </c>
      <c r="E849">
        <v>4.0129999999999999E-2</v>
      </c>
      <c r="F849">
        <v>1086343</v>
      </c>
      <c r="G849">
        <v>0</v>
      </c>
      <c r="L849" t="s">
        <v>7</v>
      </c>
      <c r="M849" t="s">
        <v>8</v>
      </c>
      <c r="N849" t="s">
        <v>7</v>
      </c>
      <c r="P849">
        <f t="shared" si="1009"/>
        <v>-0.20085470085470172</v>
      </c>
      <c r="Q849">
        <f t="shared" si="1010"/>
        <v>-218197.09829059924</v>
      </c>
      <c r="R849">
        <f t="shared" si="1011"/>
        <v>-3385610.7846078565</v>
      </c>
      <c r="S849">
        <f t="shared" si="1012"/>
        <v>-33.856107846078565</v>
      </c>
      <c r="T849">
        <f t="shared" si="1013"/>
        <v>-3.3856107846078565E-2</v>
      </c>
    </row>
    <row r="850" spans="1:20" x14ac:dyDescent="0.25">
      <c r="A850" s="5">
        <v>43743</v>
      </c>
      <c r="B850">
        <v>3.8449999999999998E-2</v>
      </c>
      <c r="C850">
        <v>4.3520000000000003E-2</v>
      </c>
      <c r="D850">
        <v>3.8199999999999998E-2</v>
      </c>
      <c r="E850">
        <v>4.3130000000000002E-2</v>
      </c>
      <c r="F850">
        <v>2004465.8</v>
      </c>
      <c r="G850">
        <v>0</v>
      </c>
      <c r="L850" t="s">
        <v>8</v>
      </c>
      <c r="M850" t="s">
        <v>8</v>
      </c>
      <c r="N850" t="s">
        <v>7</v>
      </c>
      <c r="P850">
        <f t="shared" si="1009"/>
        <v>0.85338345864661613</v>
      </c>
      <c r="Q850">
        <f t="shared" si="1010"/>
        <v>1710577.9571428564</v>
      </c>
      <c r="R850">
        <f t="shared" si="1011"/>
        <v>-3167413.6863172571</v>
      </c>
      <c r="S850">
        <f t="shared" si="1012"/>
        <v>-31.674136863172571</v>
      </c>
      <c r="T850">
        <f t="shared" si="1013"/>
        <v>-3.1674136863172574E-2</v>
      </c>
    </row>
    <row r="851" spans="1:20" x14ac:dyDescent="0.25">
      <c r="A851" s="5">
        <v>43742</v>
      </c>
      <c r="B851">
        <v>3.8019999999999998E-2</v>
      </c>
      <c r="C851">
        <v>3.9170000000000003E-2</v>
      </c>
      <c r="D851">
        <v>3.6799999999999999E-2</v>
      </c>
      <c r="E851">
        <v>3.8789999999999998E-2</v>
      </c>
      <c r="F851">
        <v>305761.40000000002</v>
      </c>
      <c r="G851">
        <v>0</v>
      </c>
      <c r="L851" t="s">
        <v>8</v>
      </c>
      <c r="M851" t="s">
        <v>8</v>
      </c>
      <c r="N851" t="s">
        <v>7</v>
      </c>
      <c r="P851">
        <f t="shared" si="1009"/>
        <v>0.67932489451476397</v>
      </c>
      <c r="Q851">
        <f t="shared" si="1010"/>
        <v>207711.33080168656</v>
      </c>
      <c r="R851">
        <f t="shared" si="1011"/>
        <v>-4877991.6434601136</v>
      </c>
      <c r="S851">
        <f t="shared" si="1012"/>
        <v>-48.779916434601134</v>
      </c>
      <c r="T851">
        <f t="shared" si="1013"/>
        <v>-4.8779916434601132E-2</v>
      </c>
    </row>
    <row r="852" spans="1:20" x14ac:dyDescent="0.25">
      <c r="A852" s="5">
        <v>43741</v>
      </c>
      <c r="B852">
        <v>3.7620000000000001E-2</v>
      </c>
      <c r="C852">
        <v>3.9199999999999999E-2</v>
      </c>
      <c r="D852">
        <v>3.6740000000000002E-2</v>
      </c>
      <c r="E852">
        <v>3.8089999999999999E-2</v>
      </c>
      <c r="F852">
        <v>833625.4</v>
      </c>
      <c r="G852">
        <v>0</v>
      </c>
      <c r="L852" t="s">
        <v>8</v>
      </c>
      <c r="M852" t="s">
        <v>8</v>
      </c>
      <c r="N852" t="s">
        <v>7</v>
      </c>
      <c r="P852">
        <f t="shared" si="1009"/>
        <v>9.756097560975506E-2</v>
      </c>
      <c r="Q852">
        <f t="shared" si="1010"/>
        <v>81329.307317072307</v>
      </c>
      <c r="R852">
        <f t="shared" si="1011"/>
        <v>-5085702.9742617998</v>
      </c>
      <c r="S852">
        <f t="shared" si="1012"/>
        <v>-50.857029742617996</v>
      </c>
      <c r="T852">
        <f t="shared" si="1013"/>
        <v>-5.0857029742617993E-2</v>
      </c>
    </row>
    <row r="853" spans="1:20" x14ac:dyDescent="0.25">
      <c r="A853" s="5">
        <v>43740</v>
      </c>
      <c r="B853">
        <v>3.6740000000000002E-2</v>
      </c>
      <c r="C853">
        <v>3.8109999999999998E-2</v>
      </c>
      <c r="D853">
        <v>3.5779999999999999E-2</v>
      </c>
      <c r="E853">
        <v>3.8109999999999998E-2</v>
      </c>
      <c r="F853">
        <v>213867.7</v>
      </c>
      <c r="G853">
        <v>0</v>
      </c>
      <c r="L853" t="s">
        <v>8</v>
      </c>
      <c r="M853" t="s">
        <v>8</v>
      </c>
      <c r="N853" t="s">
        <v>7</v>
      </c>
      <c r="P853">
        <f t="shared" si="1009"/>
        <v>1</v>
      </c>
      <c r="Q853">
        <f t="shared" si="1010"/>
        <v>213867.7</v>
      </c>
      <c r="R853">
        <f t="shared" si="1011"/>
        <v>-5167032.2815788724</v>
      </c>
      <c r="S853">
        <f t="shared" si="1012"/>
        <v>-51.670322815788722</v>
      </c>
      <c r="T853">
        <f t="shared" si="1013"/>
        <v>-5.1670322815788719E-2</v>
      </c>
    </row>
    <row r="854" spans="1:20" x14ac:dyDescent="0.25">
      <c r="A854" s="5">
        <v>43739</v>
      </c>
      <c r="B854">
        <v>3.6400000000000002E-2</v>
      </c>
      <c r="C854">
        <v>3.721E-2</v>
      </c>
      <c r="D854">
        <v>3.5959999999999999E-2</v>
      </c>
      <c r="E854">
        <v>3.6299999999999999E-2</v>
      </c>
      <c r="F854">
        <v>374528.4</v>
      </c>
      <c r="G854">
        <v>0</v>
      </c>
      <c r="L854" t="s">
        <v>8</v>
      </c>
      <c r="M854" t="s">
        <v>8</v>
      </c>
      <c r="N854" t="s">
        <v>7</v>
      </c>
      <c r="P854">
        <f t="shared" si="1009"/>
        <v>-0.45600000000000046</v>
      </c>
      <c r="Q854">
        <f t="shared" si="1010"/>
        <v>-170784.95040000018</v>
      </c>
      <c r="R854">
        <f t="shared" si="1011"/>
        <v>-5380899.9815788725</v>
      </c>
      <c r="S854">
        <f t="shared" si="1012"/>
        <v>-53.808999815788724</v>
      </c>
      <c r="T854">
        <f t="shared" si="1013"/>
        <v>-5.3808999815788724E-2</v>
      </c>
    </row>
    <row r="855" spans="1:20" x14ac:dyDescent="0.25">
      <c r="A855" s="5">
        <v>43738</v>
      </c>
      <c r="B855">
        <v>3.5959999999999999E-2</v>
      </c>
      <c r="C855">
        <v>3.6819999999999999E-2</v>
      </c>
      <c r="D855">
        <v>3.4369999999999998E-2</v>
      </c>
      <c r="E855">
        <v>3.6400000000000002E-2</v>
      </c>
      <c r="F855">
        <v>524203.8</v>
      </c>
      <c r="G855">
        <v>0</v>
      </c>
      <c r="L855" t="s">
        <v>7</v>
      </c>
      <c r="M855" t="s">
        <v>8</v>
      </c>
      <c r="N855" t="s">
        <v>7</v>
      </c>
      <c r="P855">
        <f t="shared" si="1009"/>
        <v>0.65714285714285992</v>
      </c>
      <c r="Q855">
        <f t="shared" si="1010"/>
        <v>344476.78285714431</v>
      </c>
      <c r="R855">
        <f t="shared" si="1011"/>
        <v>-5210115.0311788721</v>
      </c>
      <c r="S855">
        <f t="shared" si="1012"/>
        <v>-52.101150311788722</v>
      </c>
      <c r="T855">
        <f t="shared" si="1013"/>
        <v>-5.2101150311788719E-2</v>
      </c>
    </row>
    <row r="856" spans="1:20" x14ac:dyDescent="0.25">
      <c r="A856" s="5">
        <v>43737</v>
      </c>
      <c r="B856">
        <v>3.7280000000000001E-2</v>
      </c>
      <c r="C856">
        <v>3.8460000000000001E-2</v>
      </c>
      <c r="D856">
        <v>3.4099999999999998E-2</v>
      </c>
      <c r="E856">
        <v>3.5319999999999997E-2</v>
      </c>
      <c r="F856">
        <v>439947.8</v>
      </c>
      <c r="G856">
        <v>0</v>
      </c>
      <c r="L856" t="s">
        <v>8</v>
      </c>
      <c r="M856" t="s">
        <v>8</v>
      </c>
      <c r="N856" t="s">
        <v>7</v>
      </c>
      <c r="P856">
        <f t="shared" si="1009"/>
        <v>-0.44036697247706508</v>
      </c>
      <c r="Q856">
        <f t="shared" si="1010"/>
        <v>-193738.48073394533</v>
      </c>
      <c r="R856">
        <f t="shared" si="1011"/>
        <v>-5554591.8140360164</v>
      </c>
      <c r="S856">
        <f t="shared" si="1012"/>
        <v>-55.545918140360165</v>
      </c>
      <c r="T856">
        <f t="shared" si="1013"/>
        <v>-5.5545918140360168E-2</v>
      </c>
    </row>
    <row r="857" spans="1:20" x14ac:dyDescent="0.25">
      <c r="A857" s="5">
        <v>43736</v>
      </c>
      <c r="B857">
        <v>3.7229999999999999E-2</v>
      </c>
      <c r="C857">
        <v>3.7769999999999998E-2</v>
      </c>
      <c r="D857">
        <v>3.6409999999999998E-2</v>
      </c>
      <c r="E857">
        <v>3.7280000000000001E-2</v>
      </c>
      <c r="F857">
        <v>194094.7</v>
      </c>
      <c r="G857">
        <v>0</v>
      </c>
      <c r="L857" t="s">
        <v>8</v>
      </c>
      <c r="M857" t="s">
        <v>7</v>
      </c>
      <c r="N857" t="s">
        <v>7</v>
      </c>
      <c r="P857">
        <f t="shared" si="1009"/>
        <v>0.27941176470588625</v>
      </c>
      <c r="Q857">
        <f t="shared" si="1010"/>
        <v>54232.34264705958</v>
      </c>
      <c r="R857">
        <f t="shared" si="1011"/>
        <v>-5360853.3333020713</v>
      </c>
      <c r="S857">
        <f t="shared" si="1012"/>
        <v>-53.608533333020716</v>
      </c>
      <c r="T857">
        <f t="shared" si="1013"/>
        <v>-5.3608533333020715E-2</v>
      </c>
    </row>
    <row r="858" spans="1:20" x14ac:dyDescent="0.25">
      <c r="A858" s="5">
        <v>43735</v>
      </c>
      <c r="B858">
        <v>3.5470000000000002E-2</v>
      </c>
      <c r="C858">
        <v>3.7220000000000003E-2</v>
      </c>
      <c r="D858">
        <v>3.4070000000000003E-2</v>
      </c>
      <c r="E858">
        <v>3.6630000000000003E-2</v>
      </c>
      <c r="F858">
        <v>689146.6</v>
      </c>
      <c r="G858">
        <v>0</v>
      </c>
      <c r="L858" t="s">
        <v>7</v>
      </c>
      <c r="M858" t="s">
        <v>7</v>
      </c>
      <c r="N858" t="s">
        <v>7</v>
      </c>
      <c r="P858">
        <f t="shared" si="1009"/>
        <v>0.62539682539682528</v>
      </c>
      <c r="Q858">
        <f t="shared" si="1010"/>
        <v>430990.09587301576</v>
      </c>
      <c r="R858">
        <f t="shared" si="1011"/>
        <v>-5415085.6759491311</v>
      </c>
      <c r="S858">
        <f t="shared" si="1012"/>
        <v>-54.150856759491312</v>
      </c>
      <c r="T858">
        <f t="shared" si="1013"/>
        <v>-5.4150856759491314E-2</v>
      </c>
    </row>
    <row r="859" spans="1:20" x14ac:dyDescent="0.25">
      <c r="A859" s="5">
        <v>43734</v>
      </c>
      <c r="B859">
        <v>3.6839999999999998E-2</v>
      </c>
      <c r="C859">
        <v>3.9620000000000002E-2</v>
      </c>
      <c r="D859">
        <v>3.27E-2</v>
      </c>
      <c r="E859">
        <v>3.5979999999999998E-2</v>
      </c>
      <c r="F859">
        <v>906835.6</v>
      </c>
      <c r="G859">
        <v>0</v>
      </c>
      <c r="L859" t="s">
        <v>8</v>
      </c>
      <c r="M859" t="s">
        <v>7</v>
      </c>
      <c r="N859" t="s">
        <v>7</v>
      </c>
      <c r="P859">
        <f t="shared" si="1009"/>
        <v>-5.2023121387284106E-2</v>
      </c>
      <c r="Q859">
        <f t="shared" si="1010"/>
        <v>-47176.418497110615</v>
      </c>
      <c r="R859">
        <f t="shared" si="1011"/>
        <v>-5846075.7718221471</v>
      </c>
      <c r="S859">
        <f t="shared" si="1012"/>
        <v>-58.460757718221473</v>
      </c>
      <c r="T859">
        <f t="shared" si="1013"/>
        <v>-5.846075771822147E-2</v>
      </c>
    </row>
    <row r="860" spans="1:20" x14ac:dyDescent="0.25">
      <c r="A860" s="5">
        <v>43733</v>
      </c>
      <c r="B860">
        <v>3.4939999999999999E-2</v>
      </c>
      <c r="C860">
        <v>3.7159999999999999E-2</v>
      </c>
      <c r="D860">
        <v>3.3480000000000003E-2</v>
      </c>
      <c r="E860">
        <v>3.6310000000000002E-2</v>
      </c>
      <c r="F860">
        <v>428662.6</v>
      </c>
      <c r="G860">
        <v>0</v>
      </c>
      <c r="L860" t="s">
        <v>8</v>
      </c>
      <c r="M860" t="s">
        <v>7</v>
      </c>
      <c r="N860" t="s">
        <v>7</v>
      </c>
      <c r="P860">
        <f t="shared" si="1009"/>
        <v>0.53804347826087084</v>
      </c>
      <c r="Q860">
        <f t="shared" si="1010"/>
        <v>230639.11630434837</v>
      </c>
      <c r="R860">
        <f t="shared" si="1011"/>
        <v>-5798899.3533250364</v>
      </c>
      <c r="S860">
        <f t="shared" si="1012"/>
        <v>-57.988993533250365</v>
      </c>
      <c r="T860">
        <f t="shared" si="1013"/>
        <v>-5.7988993533250363E-2</v>
      </c>
    </row>
    <row r="861" spans="1:20" x14ac:dyDescent="0.25">
      <c r="A861" s="5">
        <v>43732</v>
      </c>
      <c r="B861">
        <v>4.2040000000000001E-2</v>
      </c>
      <c r="C861">
        <v>4.5010000000000001E-2</v>
      </c>
      <c r="D861">
        <v>3.3750000000000002E-2</v>
      </c>
      <c r="E861">
        <v>3.4889999999999997E-2</v>
      </c>
      <c r="F861">
        <v>1284266.3999999999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-0.79751332149200793</v>
      </c>
      <c r="Q861">
        <f t="shared" si="1010"/>
        <v>-1024219.5623445836</v>
      </c>
      <c r="R861">
        <f t="shared" si="1011"/>
        <v>-6029538.4696293846</v>
      </c>
      <c r="S861">
        <f t="shared" si="1012"/>
        <v>-60.295384696293844</v>
      </c>
      <c r="T861">
        <f t="shared" si="1013"/>
        <v>-6.0295384696293843E-2</v>
      </c>
    </row>
    <row r="862" spans="1:20" x14ac:dyDescent="0.25">
      <c r="A862" s="5">
        <v>43731</v>
      </c>
      <c r="B862">
        <v>4.6620000000000002E-2</v>
      </c>
      <c r="C862">
        <v>4.6940000000000003E-2</v>
      </c>
      <c r="D862">
        <v>4.1680000000000002E-2</v>
      </c>
      <c r="E862">
        <v>4.2130000000000001E-2</v>
      </c>
      <c r="F862">
        <v>387694</v>
      </c>
      <c r="G862">
        <v>0</v>
      </c>
      <c r="L862" t="s">
        <v>7</v>
      </c>
      <c r="M862" t="s">
        <v>7</v>
      </c>
      <c r="N862" t="s">
        <v>7</v>
      </c>
      <c r="P862">
        <f t="shared" si="1009"/>
        <v>-0.82889733840304225</v>
      </c>
      <c r="Q862">
        <f t="shared" si="1010"/>
        <v>-321358.52471482905</v>
      </c>
      <c r="R862">
        <f t="shared" si="1011"/>
        <v>-5005318.9072848009</v>
      </c>
      <c r="S862">
        <f t="shared" si="1012"/>
        <v>-50.053189072848006</v>
      </c>
      <c r="T862">
        <f t="shared" si="1013"/>
        <v>-5.0053189072848003E-2</v>
      </c>
    </row>
    <row r="863" spans="1:20" x14ac:dyDescent="0.25">
      <c r="A863" s="5">
        <v>43730</v>
      </c>
      <c r="B863">
        <v>4.4499999999999998E-2</v>
      </c>
      <c r="C863">
        <v>4.7750000000000001E-2</v>
      </c>
      <c r="D863">
        <v>4.4290000000000003E-2</v>
      </c>
      <c r="E863">
        <v>4.6620000000000002E-2</v>
      </c>
      <c r="F863">
        <v>657531.19999999995</v>
      </c>
      <c r="G863">
        <v>0</v>
      </c>
      <c r="L863" t="s">
        <v>8</v>
      </c>
      <c r="M863" t="s">
        <v>7</v>
      </c>
      <c r="N863" t="s">
        <v>7</v>
      </c>
      <c r="P863">
        <f t="shared" si="1009"/>
        <v>0.34682080924855502</v>
      </c>
      <c r="Q863">
        <f t="shared" si="1010"/>
        <v>228045.50289017346</v>
      </c>
      <c r="R863">
        <f t="shared" si="1011"/>
        <v>-4683960.3825699715</v>
      </c>
      <c r="S863">
        <f t="shared" si="1012"/>
        <v>-46.839603825699712</v>
      </c>
      <c r="T863">
        <f t="shared" si="1013"/>
        <v>-4.683960382569971E-2</v>
      </c>
    </row>
    <row r="864" spans="1:20" x14ac:dyDescent="0.25">
      <c r="A864" s="5">
        <v>43729</v>
      </c>
      <c r="B864">
        <v>4.5569999999999999E-2</v>
      </c>
      <c r="C864">
        <v>4.5969999999999997E-2</v>
      </c>
      <c r="D864">
        <v>4.376E-2</v>
      </c>
      <c r="E864">
        <v>4.4499999999999998E-2</v>
      </c>
      <c r="F864">
        <v>168313.2</v>
      </c>
      <c r="G864">
        <v>0</v>
      </c>
      <c r="L864" t="s">
        <v>7</v>
      </c>
      <c r="M864" t="s">
        <v>7</v>
      </c>
      <c r="N864" t="s">
        <v>7</v>
      </c>
      <c r="P864">
        <f t="shared" si="1009"/>
        <v>-0.33031674208144912</v>
      </c>
      <c r="Q864">
        <f t="shared" si="1010"/>
        <v>-55596.66787330337</v>
      </c>
      <c r="R864">
        <f t="shared" si="1011"/>
        <v>-4912005.8854601448</v>
      </c>
      <c r="S864">
        <f t="shared" si="1012"/>
        <v>-49.120058854601446</v>
      </c>
      <c r="T864">
        <f t="shared" si="1013"/>
        <v>-4.9120058854601446E-2</v>
      </c>
    </row>
    <row r="865" spans="1:20" x14ac:dyDescent="0.25">
      <c r="A865" s="5">
        <v>43728</v>
      </c>
      <c r="B865">
        <v>4.4040000000000003E-2</v>
      </c>
      <c r="C865">
        <v>4.8000000000000001E-2</v>
      </c>
      <c r="D865">
        <v>4.301E-2</v>
      </c>
      <c r="E865">
        <v>4.5569999999999999E-2</v>
      </c>
      <c r="F865">
        <v>376874.1</v>
      </c>
      <c r="G865">
        <v>0</v>
      </c>
      <c r="L865" t="s">
        <v>8</v>
      </c>
      <c r="M865" t="s">
        <v>7</v>
      </c>
      <c r="N865" t="s">
        <v>7</v>
      </c>
      <c r="P865">
        <f t="shared" si="1009"/>
        <v>2.6052104208416461E-2</v>
      </c>
      <c r="Q865">
        <f t="shared" si="1010"/>
        <v>9818.3633266531651</v>
      </c>
      <c r="R865">
        <f t="shared" si="1011"/>
        <v>-4856409.2175868414</v>
      </c>
      <c r="S865">
        <f t="shared" si="1012"/>
        <v>-48.564092175868417</v>
      </c>
      <c r="T865">
        <f t="shared" si="1013"/>
        <v>-4.856409217586842E-2</v>
      </c>
    </row>
    <row r="866" spans="1:20" x14ac:dyDescent="0.25">
      <c r="A866" s="5">
        <v>43727</v>
      </c>
      <c r="B866">
        <v>4.582E-2</v>
      </c>
      <c r="C866">
        <v>4.582E-2</v>
      </c>
      <c r="D866">
        <v>4.1820000000000003E-2</v>
      </c>
      <c r="E866">
        <v>4.3580000000000001E-2</v>
      </c>
      <c r="F866">
        <v>499574.6</v>
      </c>
      <c r="G866">
        <v>0</v>
      </c>
      <c r="L866" t="s">
        <v>7</v>
      </c>
      <c r="M866" t="s">
        <v>7</v>
      </c>
      <c r="N866" t="s">
        <v>7</v>
      </c>
      <c r="P866">
        <f t="shared" si="1009"/>
        <v>-0.12000000000000041</v>
      </c>
      <c r="Q866">
        <f t="shared" si="1010"/>
        <v>-59948.952000000201</v>
      </c>
      <c r="R866">
        <f t="shared" si="1011"/>
        <v>-4866227.5809134943</v>
      </c>
      <c r="S866">
        <f t="shared" si="1012"/>
        <v>-48.662275809134947</v>
      </c>
      <c r="T866">
        <f t="shared" si="1013"/>
        <v>-4.8662275809134944E-2</v>
      </c>
    </row>
    <row r="867" spans="1:20" x14ac:dyDescent="0.25">
      <c r="A867" s="5">
        <v>43726</v>
      </c>
      <c r="B867">
        <v>4.274E-2</v>
      </c>
      <c r="C867">
        <v>5.0999999999999997E-2</v>
      </c>
      <c r="D867">
        <v>4.274E-2</v>
      </c>
      <c r="E867">
        <v>4.582E-2</v>
      </c>
      <c r="F867">
        <v>1673728.1</v>
      </c>
      <c r="G867">
        <v>0</v>
      </c>
      <c r="L867" t="s">
        <v>8</v>
      </c>
      <c r="M867" t="s">
        <v>8</v>
      </c>
      <c r="N867" t="s">
        <v>7</v>
      </c>
      <c r="P867">
        <f t="shared" si="1009"/>
        <v>-0.25423728813559304</v>
      </c>
      <c r="Q867">
        <f t="shared" si="1010"/>
        <v>-425524.09322033869</v>
      </c>
      <c r="R867">
        <f t="shared" si="1011"/>
        <v>-4806278.6289134938</v>
      </c>
      <c r="S867">
        <f t="shared" si="1012"/>
        <v>-48.062786289134941</v>
      </c>
      <c r="T867">
        <f t="shared" si="1013"/>
        <v>-4.8062786289134941E-2</v>
      </c>
    </row>
    <row r="868" spans="1:20" x14ac:dyDescent="0.25">
      <c r="A868" s="5">
        <v>43725</v>
      </c>
      <c r="B868">
        <v>4.3130000000000002E-2</v>
      </c>
      <c r="C868">
        <v>4.4900000000000002E-2</v>
      </c>
      <c r="D868">
        <v>4.1549999999999997E-2</v>
      </c>
      <c r="E868">
        <v>4.274E-2</v>
      </c>
      <c r="F868">
        <v>659830.80000000005</v>
      </c>
      <c r="G868">
        <v>0</v>
      </c>
      <c r="L868" t="s">
        <v>8</v>
      </c>
      <c r="M868" t="s">
        <v>7</v>
      </c>
      <c r="N868" t="s">
        <v>7</v>
      </c>
      <c r="P868">
        <f t="shared" si="1009"/>
        <v>-0.28955223880596925</v>
      </c>
      <c r="Q868">
        <f t="shared" si="1010"/>
        <v>-191055.48537313376</v>
      </c>
      <c r="R868">
        <f t="shared" si="1011"/>
        <v>-4380754.5356931556</v>
      </c>
      <c r="S868">
        <f t="shared" si="1012"/>
        <v>-43.807545356931556</v>
      </c>
      <c r="T868">
        <f t="shared" si="1013"/>
        <v>-4.3807545356931557E-2</v>
      </c>
    </row>
    <row r="869" spans="1:20" x14ac:dyDescent="0.25">
      <c r="A869" s="5">
        <v>43724</v>
      </c>
      <c r="B869">
        <v>4.446E-2</v>
      </c>
      <c r="C869">
        <v>4.5019999999999998E-2</v>
      </c>
      <c r="D869">
        <v>4.1820000000000003E-2</v>
      </c>
      <c r="E869">
        <v>4.3180000000000003E-2</v>
      </c>
      <c r="F869">
        <v>310813.7</v>
      </c>
      <c r="G869">
        <v>0</v>
      </c>
      <c r="L869" t="s">
        <v>7</v>
      </c>
      <c r="M869" t="s">
        <v>7</v>
      </c>
      <c r="N869" t="s">
        <v>7</v>
      </c>
      <c r="P869">
        <f t="shared" si="1009"/>
        <v>-0.1499999999999985</v>
      </c>
      <c r="Q869">
        <f t="shared" si="1010"/>
        <v>-46622.054999999535</v>
      </c>
      <c r="R869">
        <f t="shared" si="1011"/>
        <v>-4189699.0503200223</v>
      </c>
      <c r="S869">
        <f t="shared" si="1012"/>
        <v>-41.896990503200222</v>
      </c>
      <c r="T869">
        <f t="shared" si="1013"/>
        <v>-4.189699050320022E-2</v>
      </c>
    </row>
    <row r="870" spans="1:20" x14ac:dyDescent="0.25">
      <c r="A870" s="5">
        <v>43723</v>
      </c>
      <c r="B870">
        <v>4.2900000000000001E-2</v>
      </c>
      <c r="C870">
        <v>4.5999999999999999E-2</v>
      </c>
      <c r="D870">
        <v>4.2320000000000003E-2</v>
      </c>
      <c r="E870">
        <v>4.4470000000000003E-2</v>
      </c>
      <c r="F870">
        <v>316616.7</v>
      </c>
      <c r="G870">
        <v>0</v>
      </c>
      <c r="L870" t="s">
        <v>8</v>
      </c>
      <c r="M870" t="s">
        <v>7</v>
      </c>
      <c r="N870" t="s">
        <v>7</v>
      </c>
      <c r="P870">
        <f t="shared" si="1009"/>
        <v>0.16847826086956608</v>
      </c>
      <c r="Q870">
        <f t="shared" si="1010"/>
        <v>53343.030978261144</v>
      </c>
      <c r="R870">
        <f t="shared" si="1011"/>
        <v>-4143076.9953200226</v>
      </c>
      <c r="S870">
        <f t="shared" si="1012"/>
        <v>-41.430769953200226</v>
      </c>
      <c r="T870">
        <f t="shared" si="1013"/>
        <v>-4.1430769953200226E-2</v>
      </c>
    </row>
    <row r="871" spans="1:20" x14ac:dyDescent="0.25">
      <c r="A871" s="5">
        <v>43722</v>
      </c>
      <c r="B871">
        <v>4.2290000000000001E-2</v>
      </c>
      <c r="C871">
        <v>4.4580000000000002E-2</v>
      </c>
      <c r="D871">
        <v>4.1239999999999999E-2</v>
      </c>
      <c r="E871">
        <v>4.3069999999999997E-2</v>
      </c>
      <c r="F871">
        <v>266733.09999999998</v>
      </c>
      <c r="G871">
        <v>0</v>
      </c>
      <c r="L871" t="s">
        <v>7</v>
      </c>
      <c r="M871" t="s">
        <v>7</v>
      </c>
      <c r="N871" t="s">
        <v>7</v>
      </c>
      <c r="P871">
        <f t="shared" si="1009"/>
        <v>9.5808383233531025E-2</v>
      </c>
      <c r="Q871">
        <f t="shared" si="1010"/>
        <v>25555.267065867753</v>
      </c>
      <c r="R871">
        <f t="shared" si="1011"/>
        <v>-4196420.0262982836</v>
      </c>
      <c r="S871">
        <f t="shared" si="1012"/>
        <v>-41.964200262982835</v>
      </c>
      <c r="T871">
        <f t="shared" si="1013"/>
        <v>-4.1964200262982837E-2</v>
      </c>
    </row>
    <row r="872" spans="1:20" x14ac:dyDescent="0.25">
      <c r="A872" s="5">
        <v>43721</v>
      </c>
      <c r="B872">
        <v>4.3659999999999997E-2</v>
      </c>
      <c r="C872">
        <v>4.4359999999999997E-2</v>
      </c>
      <c r="D872">
        <v>4.1399999999999999E-2</v>
      </c>
      <c r="E872">
        <v>4.231E-2</v>
      </c>
      <c r="F872">
        <v>269963.3</v>
      </c>
      <c r="G872">
        <v>0</v>
      </c>
      <c r="L872" t="s">
        <v>7</v>
      </c>
      <c r="M872" t="s">
        <v>7</v>
      </c>
      <c r="N872" t="s">
        <v>7</v>
      </c>
      <c r="P872">
        <f t="shared" si="1009"/>
        <v>-0.38513513513513387</v>
      </c>
      <c r="Q872">
        <f t="shared" si="1010"/>
        <v>-103972.35202702667</v>
      </c>
      <c r="R872">
        <f t="shared" si="1011"/>
        <v>-4221975.2933641514</v>
      </c>
      <c r="S872">
        <f t="shared" si="1012"/>
        <v>-42.219752933641516</v>
      </c>
      <c r="T872">
        <f t="shared" si="1013"/>
        <v>-4.2219752933641518E-2</v>
      </c>
    </row>
    <row r="873" spans="1:20" x14ac:dyDescent="0.25">
      <c r="A873" s="5">
        <v>43720</v>
      </c>
      <c r="B873">
        <v>4.4979999999999999E-2</v>
      </c>
      <c r="C873">
        <v>4.6899999999999997E-2</v>
      </c>
      <c r="D873">
        <v>4.2630000000000001E-2</v>
      </c>
      <c r="E873">
        <v>4.3659999999999997E-2</v>
      </c>
      <c r="F873">
        <v>1775709.3</v>
      </c>
      <c r="G873">
        <v>0</v>
      </c>
      <c r="L873" t="s">
        <v>8</v>
      </c>
      <c r="M873" t="s">
        <v>7</v>
      </c>
      <c r="N873" t="s">
        <v>7</v>
      </c>
      <c r="P873">
        <f t="shared" si="1009"/>
        <v>-0.5175644028103058</v>
      </c>
      <c r="Q873">
        <f t="shared" si="1010"/>
        <v>-919043.92341920617</v>
      </c>
      <c r="R873">
        <f t="shared" si="1011"/>
        <v>-4118002.9413371244</v>
      </c>
      <c r="S873">
        <f t="shared" si="1012"/>
        <v>-41.180029413371244</v>
      </c>
      <c r="T873">
        <f t="shared" si="1013"/>
        <v>-4.1180029413371247E-2</v>
      </c>
    </row>
    <row r="874" spans="1:20" x14ac:dyDescent="0.25">
      <c r="A874" s="5">
        <v>43719</v>
      </c>
      <c r="B874">
        <v>4.2349999999999999E-2</v>
      </c>
      <c r="C874">
        <v>4.5900000000000003E-2</v>
      </c>
      <c r="D874">
        <v>4.181E-2</v>
      </c>
      <c r="E874">
        <v>4.4990000000000002E-2</v>
      </c>
      <c r="F874">
        <v>1588675.4</v>
      </c>
      <c r="G874">
        <v>0</v>
      </c>
      <c r="L874" t="s">
        <v>8</v>
      </c>
      <c r="M874" t="s">
        <v>7</v>
      </c>
      <c r="N874" t="s">
        <v>7</v>
      </c>
      <c r="P874">
        <f t="shared" si="1009"/>
        <v>0.55501222493887514</v>
      </c>
      <c r="Q874">
        <f t="shared" si="1010"/>
        <v>881734.26845965744</v>
      </c>
      <c r="R874">
        <f t="shared" si="1011"/>
        <v>-3198959.017917918</v>
      </c>
      <c r="S874">
        <f t="shared" si="1012"/>
        <v>-31.989590179179181</v>
      </c>
      <c r="T874">
        <f t="shared" si="1013"/>
        <v>-3.1989590179179184E-2</v>
      </c>
    </row>
    <row r="875" spans="1:20" x14ac:dyDescent="0.25">
      <c r="A875" s="5">
        <v>43718</v>
      </c>
      <c r="B875">
        <v>4.4150000000000002E-2</v>
      </c>
      <c r="C875">
        <v>4.4639999999999999E-2</v>
      </c>
      <c r="D875">
        <v>4.1020000000000001E-2</v>
      </c>
      <c r="E875">
        <v>4.2270000000000002E-2</v>
      </c>
      <c r="F875">
        <v>1124127</v>
      </c>
      <c r="G875">
        <v>0</v>
      </c>
      <c r="L875" t="s">
        <v>7</v>
      </c>
      <c r="M875" t="s">
        <v>7</v>
      </c>
      <c r="N875" t="s">
        <v>7</v>
      </c>
      <c r="P875">
        <f t="shared" si="1009"/>
        <v>-0.30939226519336921</v>
      </c>
      <c r="Q875">
        <f t="shared" si="1010"/>
        <v>-347796.19889502652</v>
      </c>
      <c r="R875">
        <f t="shared" si="1011"/>
        <v>-4080693.2863775757</v>
      </c>
      <c r="S875">
        <f t="shared" si="1012"/>
        <v>-40.806932863775756</v>
      </c>
      <c r="T875">
        <f t="shared" si="1013"/>
        <v>-4.0806932863775756E-2</v>
      </c>
    </row>
    <row r="876" spans="1:20" x14ac:dyDescent="0.25">
      <c r="A876" s="5">
        <v>43717</v>
      </c>
      <c r="B876">
        <v>4.1849999999999998E-2</v>
      </c>
      <c r="C876">
        <v>4.9970000000000001E-2</v>
      </c>
      <c r="D876">
        <v>4.1849999999999998E-2</v>
      </c>
      <c r="E876">
        <v>4.4749999999999998E-2</v>
      </c>
      <c r="F876">
        <v>3451569.5</v>
      </c>
      <c r="G876">
        <v>0</v>
      </c>
      <c r="L876" t="s">
        <v>8</v>
      </c>
      <c r="M876" t="s">
        <v>8</v>
      </c>
      <c r="N876" t="s">
        <v>7</v>
      </c>
      <c r="P876">
        <f t="shared" si="1009"/>
        <v>-0.28571428571428598</v>
      </c>
      <c r="Q876">
        <f t="shared" si="1010"/>
        <v>-986162.71428571513</v>
      </c>
      <c r="R876">
        <f t="shared" si="1011"/>
        <v>-3732897.0874825493</v>
      </c>
      <c r="S876">
        <f t="shared" si="1012"/>
        <v>-37.328970874825494</v>
      </c>
      <c r="T876">
        <f t="shared" si="1013"/>
        <v>-3.7328970874825493E-2</v>
      </c>
    </row>
    <row r="877" spans="1:20" x14ac:dyDescent="0.25">
      <c r="A877" s="5">
        <v>43716</v>
      </c>
      <c r="B877">
        <v>4.1369999999999997E-2</v>
      </c>
      <c r="C877">
        <v>4.4949999999999997E-2</v>
      </c>
      <c r="D877">
        <v>3.9550000000000002E-2</v>
      </c>
      <c r="E877">
        <v>4.1880000000000001E-2</v>
      </c>
      <c r="F877">
        <v>468937.4</v>
      </c>
      <c r="G877">
        <v>0</v>
      </c>
      <c r="L877" t="s">
        <v>8</v>
      </c>
      <c r="M877" t="s">
        <v>8</v>
      </c>
      <c r="N877" t="s">
        <v>7</v>
      </c>
      <c r="P877">
        <f t="shared" si="1009"/>
        <v>-0.13703703703703671</v>
      </c>
      <c r="Q877">
        <f t="shared" si="1010"/>
        <v>-64261.791851851704</v>
      </c>
      <c r="R877">
        <f t="shared" si="1011"/>
        <v>-2746734.3731968342</v>
      </c>
      <c r="S877">
        <f t="shared" si="1012"/>
        <v>-27.467343731968342</v>
      </c>
      <c r="T877">
        <f t="shared" si="1013"/>
        <v>-2.7467343731968342E-2</v>
      </c>
    </row>
    <row r="878" spans="1:20" x14ac:dyDescent="0.25">
      <c r="A878" s="5">
        <v>43715</v>
      </c>
      <c r="B878">
        <v>3.9019999999999999E-2</v>
      </c>
      <c r="C878">
        <v>4.2200000000000001E-2</v>
      </c>
      <c r="D878">
        <v>3.8080000000000003E-2</v>
      </c>
      <c r="E878">
        <v>4.1369999999999997E-2</v>
      </c>
      <c r="F878">
        <v>617833</v>
      </c>
      <c r="G878">
        <v>0</v>
      </c>
      <c r="L878" t="s">
        <v>8</v>
      </c>
      <c r="M878" t="s">
        <v>7</v>
      </c>
      <c r="N878" t="s">
        <v>7</v>
      </c>
      <c r="P878">
        <f t="shared" si="1009"/>
        <v>0.59708737864077444</v>
      </c>
      <c r="Q878">
        <f t="shared" si="1010"/>
        <v>368900.28640776558</v>
      </c>
      <c r="R878">
        <f t="shared" si="1011"/>
        <v>-2682472.5813449826</v>
      </c>
      <c r="S878">
        <f t="shared" si="1012"/>
        <v>-26.824725813449827</v>
      </c>
      <c r="T878">
        <f t="shared" si="1013"/>
        <v>-2.6824725813449829E-2</v>
      </c>
    </row>
    <row r="879" spans="1:20" x14ac:dyDescent="0.25">
      <c r="A879" s="5">
        <v>43714</v>
      </c>
      <c r="B879">
        <v>4.0399999999999998E-2</v>
      </c>
      <c r="C879">
        <v>4.045E-2</v>
      </c>
      <c r="D879">
        <v>3.7319999999999999E-2</v>
      </c>
      <c r="E879">
        <v>3.9019999999999999E-2</v>
      </c>
      <c r="F879">
        <v>581028.1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8.6261980830670715E-2</v>
      </c>
      <c r="Q879">
        <f t="shared" si="1010"/>
        <v>50120.634824281027</v>
      </c>
      <c r="R879">
        <f t="shared" si="1011"/>
        <v>-3051372.8677527481</v>
      </c>
      <c r="S879">
        <f t="shared" si="1012"/>
        <v>-30.513728677527482</v>
      </c>
      <c r="T879">
        <f t="shared" si="1013"/>
        <v>-3.0513728677527482E-2</v>
      </c>
    </row>
    <row r="880" spans="1:20" x14ac:dyDescent="0.25">
      <c r="A880" s="5">
        <v>43713</v>
      </c>
      <c r="B880">
        <v>4.2099999999999999E-2</v>
      </c>
      <c r="C880">
        <v>4.2189999999999998E-2</v>
      </c>
      <c r="D880">
        <v>3.9039999999999998E-2</v>
      </c>
      <c r="E880">
        <v>4.0399999999999998E-2</v>
      </c>
      <c r="F880">
        <v>678847.9</v>
      </c>
      <c r="G880">
        <v>0</v>
      </c>
      <c r="L880" t="s">
        <v>7</v>
      </c>
      <c r="M880" t="s">
        <v>7</v>
      </c>
      <c r="N880" t="s">
        <v>7</v>
      </c>
      <c r="P880">
        <f t="shared" si="1009"/>
        <v>-0.13650793650793644</v>
      </c>
      <c r="Q880">
        <f t="shared" si="1010"/>
        <v>-92668.126031745982</v>
      </c>
      <c r="R880">
        <f t="shared" si="1011"/>
        <v>-3101493.5025770292</v>
      </c>
      <c r="S880">
        <f t="shared" si="1012"/>
        <v>-31.014935025770292</v>
      </c>
      <c r="T880">
        <f t="shared" si="1013"/>
        <v>-3.1014935025770293E-2</v>
      </c>
    </row>
    <row r="881" spans="1:20" x14ac:dyDescent="0.25">
      <c r="A881" s="5">
        <v>43712</v>
      </c>
      <c r="B881">
        <v>4.1349999999999998E-2</v>
      </c>
      <c r="C881">
        <v>4.8059999999999999E-2</v>
      </c>
      <c r="D881">
        <v>4.1209999999999997E-2</v>
      </c>
      <c r="E881">
        <v>4.2099999999999999E-2</v>
      </c>
      <c r="F881">
        <v>1082448.8</v>
      </c>
      <c r="G881">
        <v>0</v>
      </c>
      <c r="L881" t="s">
        <v>8</v>
      </c>
      <c r="M881" t="s">
        <v>8</v>
      </c>
      <c r="N881" t="s">
        <v>7</v>
      </c>
      <c r="P881">
        <f t="shared" si="1009"/>
        <v>-0.74014598540145937</v>
      </c>
      <c r="Q881">
        <f t="shared" si="1010"/>
        <v>-801170.1337226273</v>
      </c>
      <c r="R881">
        <f t="shared" si="1011"/>
        <v>-3008825.376545283</v>
      </c>
      <c r="S881">
        <f t="shared" si="1012"/>
        <v>-30.08825376545283</v>
      </c>
      <c r="T881">
        <f t="shared" si="1013"/>
        <v>-3.0088253765452828E-2</v>
      </c>
    </row>
    <row r="882" spans="1:20" x14ac:dyDescent="0.25">
      <c r="A882" s="5">
        <v>43711</v>
      </c>
      <c r="B882">
        <v>4.1390000000000003E-2</v>
      </c>
      <c r="C882">
        <v>4.199E-2</v>
      </c>
      <c r="D882">
        <v>4.0750000000000001E-2</v>
      </c>
      <c r="E882">
        <v>4.1939999999999998E-2</v>
      </c>
      <c r="F882">
        <v>411062.8</v>
      </c>
      <c r="G882">
        <v>0</v>
      </c>
      <c r="L882" t="s">
        <v>8</v>
      </c>
      <c r="M882" t="s">
        <v>7</v>
      </c>
      <c r="N882" t="s">
        <v>7</v>
      </c>
      <c r="P882">
        <f t="shared" si="1009"/>
        <v>0.91935483870967494</v>
      </c>
      <c r="Q882">
        <f t="shared" si="1010"/>
        <v>377912.57419354736</v>
      </c>
      <c r="R882">
        <f t="shared" si="1011"/>
        <v>-2207655.2428226555</v>
      </c>
      <c r="S882">
        <f t="shared" si="1012"/>
        <v>-22.076552428226556</v>
      </c>
      <c r="T882">
        <f t="shared" si="1013"/>
        <v>-2.2076552428226558E-2</v>
      </c>
    </row>
    <row r="883" spans="1:20" x14ac:dyDescent="0.25">
      <c r="A883" s="5">
        <v>43710</v>
      </c>
      <c r="B883">
        <v>4.1250000000000002E-2</v>
      </c>
      <c r="C883">
        <v>4.231E-2</v>
      </c>
      <c r="D883">
        <v>3.9640000000000002E-2</v>
      </c>
      <c r="E883">
        <v>4.1390000000000003E-2</v>
      </c>
      <c r="F883">
        <v>1043043.1</v>
      </c>
      <c r="G883">
        <v>0</v>
      </c>
      <c r="L883" t="s">
        <v>8</v>
      </c>
      <c r="M883" t="s">
        <v>7</v>
      </c>
      <c r="N883" t="s">
        <v>7</v>
      </c>
      <c r="P883">
        <f t="shared" si="1009"/>
        <v>0.31086142322097554</v>
      </c>
      <c r="Q883">
        <f t="shared" si="1010"/>
        <v>324241.86254681833</v>
      </c>
      <c r="R883">
        <f t="shared" si="1011"/>
        <v>-2585567.817016203</v>
      </c>
      <c r="S883">
        <f t="shared" si="1012"/>
        <v>-25.85567817016203</v>
      </c>
      <c r="T883">
        <f t="shared" si="1013"/>
        <v>-2.585567817016203E-2</v>
      </c>
    </row>
    <row r="884" spans="1:20" x14ac:dyDescent="0.25">
      <c r="A884" s="5">
        <v>43709</v>
      </c>
      <c r="B884">
        <v>4.1669999999999999E-2</v>
      </c>
      <c r="C884">
        <v>4.1669999999999999E-2</v>
      </c>
      <c r="D884">
        <v>3.95E-2</v>
      </c>
      <c r="E884">
        <v>4.1099999999999998E-2</v>
      </c>
      <c r="F884">
        <v>236552.4</v>
      </c>
      <c r="G884">
        <v>0</v>
      </c>
      <c r="L884" t="s">
        <v>7</v>
      </c>
      <c r="M884" t="s">
        <v>7</v>
      </c>
      <c r="N884" t="s">
        <v>7</v>
      </c>
      <c r="P884">
        <f t="shared" si="1009"/>
        <v>0.47465437788018294</v>
      </c>
      <c r="Q884">
        <f t="shared" si="1010"/>
        <v>112280.63225806419</v>
      </c>
      <c r="R884">
        <f t="shared" si="1011"/>
        <v>-2909809.6795630213</v>
      </c>
      <c r="S884">
        <f t="shared" si="1012"/>
        <v>-29.098096795630212</v>
      </c>
      <c r="T884">
        <f t="shared" si="1013"/>
        <v>-2.9098096795630211E-2</v>
      </c>
    </row>
    <row r="885" spans="1:20" x14ac:dyDescent="0.25">
      <c r="A885" s="5">
        <v>43708</v>
      </c>
      <c r="B885">
        <v>4.2040000000000001E-2</v>
      </c>
      <c r="C885">
        <v>4.2270000000000002E-2</v>
      </c>
      <c r="D885">
        <v>3.9809999999999998E-2</v>
      </c>
      <c r="E885">
        <v>4.0750000000000001E-2</v>
      </c>
      <c r="F885">
        <v>566437.1</v>
      </c>
      <c r="G885">
        <v>0</v>
      </c>
      <c r="L885" t="s">
        <v>7</v>
      </c>
      <c r="M885" t="s">
        <v>7</v>
      </c>
      <c r="N885" t="s">
        <v>7</v>
      </c>
      <c r="P885">
        <f t="shared" si="1009"/>
        <v>-0.23577235772357572</v>
      </c>
      <c r="Q885">
        <f t="shared" si="1010"/>
        <v>-133550.21056910482</v>
      </c>
      <c r="R885">
        <f t="shared" si="1011"/>
        <v>-3022090.3118210854</v>
      </c>
      <c r="S885">
        <f t="shared" si="1012"/>
        <v>-30.220903118210853</v>
      </c>
      <c r="T885">
        <f t="shared" si="1013"/>
        <v>-3.0220903118210851E-2</v>
      </c>
    </row>
    <row r="886" spans="1:20" x14ac:dyDescent="0.25">
      <c r="A886" s="5">
        <v>43707</v>
      </c>
      <c r="B886">
        <v>4.1250000000000002E-2</v>
      </c>
      <c r="C886">
        <v>4.7899999999999998E-2</v>
      </c>
      <c r="D886">
        <v>0.04</v>
      </c>
      <c r="E886">
        <v>4.2200000000000001E-2</v>
      </c>
      <c r="F886">
        <v>3979079.2</v>
      </c>
      <c r="G886">
        <v>0</v>
      </c>
      <c r="L886" t="s">
        <v>8</v>
      </c>
      <c r="M886" t="s">
        <v>8</v>
      </c>
      <c r="N886" t="s">
        <v>7</v>
      </c>
      <c r="P886">
        <f t="shared" si="1009"/>
        <v>-0.44303797468354394</v>
      </c>
      <c r="Q886">
        <f t="shared" si="1010"/>
        <v>-1762883.1898734164</v>
      </c>
      <c r="R886">
        <f t="shared" si="1011"/>
        <v>-2888540.1012519808</v>
      </c>
      <c r="S886">
        <f t="shared" si="1012"/>
        <v>-28.885401012519807</v>
      </c>
      <c r="T886">
        <f t="shared" si="1013"/>
        <v>-2.8885401012519806E-2</v>
      </c>
    </row>
    <row r="887" spans="1:20" x14ac:dyDescent="0.25">
      <c r="A887" s="5">
        <v>43706</v>
      </c>
      <c r="B887">
        <v>4.0779999999999997E-2</v>
      </c>
      <c r="C887">
        <v>4.3470000000000002E-2</v>
      </c>
      <c r="D887">
        <v>3.7810000000000003E-2</v>
      </c>
      <c r="E887">
        <v>4.1250000000000002E-2</v>
      </c>
      <c r="F887">
        <v>1102846.6000000001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0.21554770318021188</v>
      </c>
      <c r="Q887">
        <f t="shared" si="1010"/>
        <v>237716.05159010587</v>
      </c>
      <c r="R887">
        <f t="shared" si="1011"/>
        <v>-1125656.9113785643</v>
      </c>
      <c r="S887">
        <f t="shared" si="1012"/>
        <v>-11.256569113785643</v>
      </c>
      <c r="T887">
        <f t="shared" si="1013"/>
        <v>-1.1256569113785643E-2</v>
      </c>
    </row>
    <row r="888" spans="1:20" x14ac:dyDescent="0.25">
      <c r="A888" s="5">
        <v>43705</v>
      </c>
      <c r="B888">
        <v>4.6080000000000003E-2</v>
      </c>
      <c r="C888">
        <v>4.8750000000000002E-2</v>
      </c>
      <c r="D888">
        <v>4.0099999999999997E-2</v>
      </c>
      <c r="E888">
        <v>4.0629999999999999E-2</v>
      </c>
      <c r="F888">
        <v>959452.6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-0.87745664739884333</v>
      </c>
      <c r="Q888">
        <f t="shared" si="1010"/>
        <v>-841878.06173410348</v>
      </c>
      <c r="R888">
        <f t="shared" si="1011"/>
        <v>-1363372.9629686703</v>
      </c>
      <c r="S888">
        <f t="shared" si="1012"/>
        <v>-13.633729629686703</v>
      </c>
      <c r="T888">
        <f t="shared" si="1013"/>
        <v>-1.3633729629686703E-2</v>
      </c>
    </row>
    <row r="889" spans="1:20" x14ac:dyDescent="0.25">
      <c r="A889" s="5">
        <v>43704</v>
      </c>
      <c r="B889">
        <v>4.8000000000000001E-2</v>
      </c>
      <c r="C889">
        <v>4.9979999999999997E-2</v>
      </c>
      <c r="D889">
        <v>4.512E-2</v>
      </c>
      <c r="E889">
        <v>4.6080000000000003E-2</v>
      </c>
      <c r="F889">
        <v>862063</v>
      </c>
      <c r="G889">
        <v>0</v>
      </c>
      <c r="P889">
        <f t="shared" si="1009"/>
        <v>-0.60493827160493696</v>
      </c>
      <c r="Q889">
        <f t="shared" si="1010"/>
        <v>-521494.90123456676</v>
      </c>
      <c r="R889">
        <f t="shared" si="1011"/>
        <v>-521494.90123456676</v>
      </c>
      <c r="S889">
        <f t="shared" si="1012"/>
        <v>-5.2149490123456674</v>
      </c>
      <c r="T889">
        <f t="shared" si="1013"/>
        <v>-5.2149490123456679E-3</v>
      </c>
    </row>
    <row r="890" spans="1:20" x14ac:dyDescent="0.25">
      <c r="A890" s="5"/>
      <c r="C890" s="4"/>
      <c r="D890" s="4"/>
    </row>
    <row r="891" spans="1:20" x14ac:dyDescent="0.25">
      <c r="A891" s="5"/>
      <c r="C891" s="4"/>
      <c r="D891" s="4"/>
    </row>
    <row r="892" spans="1:20" x14ac:dyDescent="0.25">
      <c r="A892" s="5"/>
      <c r="C892" s="4"/>
      <c r="D892" s="4"/>
    </row>
    <row r="893" spans="1:20" x14ac:dyDescent="0.25">
      <c r="A893" s="5"/>
      <c r="C893" s="4"/>
      <c r="D893" s="4"/>
    </row>
    <row r="894" spans="1:20" x14ac:dyDescent="0.25">
      <c r="A894" s="5"/>
      <c r="C894" s="4"/>
      <c r="D894" s="4"/>
    </row>
    <row r="895" spans="1:20" x14ac:dyDescent="0.25">
      <c r="A895" s="5"/>
      <c r="C895" s="4"/>
      <c r="D895" s="4"/>
    </row>
    <row r="896" spans="1:20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PB663" sqref="PB663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$A$662</v>
      </c>
      <c r="D111" s="1" t="str">
        <f>ADDRESS(C121-1,D121,1,1)</f>
        <v>$PB$662</v>
      </c>
      <c r="E111"/>
    </row>
    <row r="112" spans="1:5" x14ac:dyDescent="0.25">
      <c r="A112" s="7">
        <v>12164.144957890772</v>
      </c>
      <c r="C112" s="1" t="str">
        <f>ADDRESS(C121,1,1,1)</f>
        <v>$A$663</v>
      </c>
      <c r="D112" s="1" t="str">
        <f>ADDRESS(C121,D121-1,1,1)</f>
        <v>$PA$663</v>
      </c>
      <c r="E112"/>
    </row>
    <row r="113" spans="1:5" x14ac:dyDescent="0.25">
      <c r="A113" s="7">
        <v>11925.63231165762</v>
      </c>
      <c r="C113" s="1" t="str">
        <f>ADDRESS(C121+1,1,1,1)</f>
        <v>$A$664</v>
      </c>
      <c r="D113" s="1" t="str">
        <f>ADDRESS(C121-1,D121+1,1,1)</f>
        <v>$PC$662</v>
      </c>
    </row>
    <row r="114" spans="1:5" x14ac:dyDescent="0.25">
      <c r="A114" s="7">
        <v>11691.796383978059</v>
      </c>
      <c r="C114" s="1" t="str">
        <f>ADDRESS(C121,D121,1,1)</f>
        <v>$PB$663</v>
      </c>
      <c r="D114" s="1" t="str">
        <f>ADDRESS(C121+1,D121+1,1,1)</f>
        <v>$PC$664</v>
      </c>
    </row>
    <row r="115" spans="1:5" x14ac:dyDescent="0.25">
      <c r="A115" s="7">
        <v>11462.545474488292</v>
      </c>
      <c r="C115" s="1" t="str">
        <f>ADDRESS(C121+1,D121,1,1)</f>
        <v>$PB$664</v>
      </c>
    </row>
    <row r="116" spans="1:5" x14ac:dyDescent="0.25">
      <c r="A116" s="7">
        <v>11237.789680870874</v>
      </c>
      <c r="C116" s="1">
        <f>C117-1</f>
        <v>662</v>
      </c>
    </row>
    <row r="117" spans="1:5" x14ac:dyDescent="0.25">
      <c r="A117" s="7">
        <v>11017.440863598895</v>
      </c>
      <c r="C117" s="1">
        <f>C121</f>
        <v>663</v>
      </c>
      <c r="D117" s="1">
        <f>D121</f>
        <v>418</v>
      </c>
    </row>
    <row r="118" spans="1:5" x14ac:dyDescent="0.25">
      <c r="A118" s="7">
        <v>10801.412611371465</v>
      </c>
      <c r="C118" s="1">
        <f>C117+1</f>
        <v>664</v>
      </c>
      <c r="D118" s="1">
        <f>D117+1</f>
        <v>419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663</v>
      </c>
      <c r="D121" s="19">
        <v>418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R663</v>
      </c>
      <c r="D123" s="1" t="str">
        <f>"C"&amp;D121</f>
        <v>C418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0.22201736609644623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352" x14ac:dyDescent="0.25">
      <c r="A577" s="7">
        <v>1.2189944199947573</v>
      </c>
      <c r="B577"/>
      <c r="C577"/>
      <c r="D577"/>
      <c r="E577"/>
    </row>
    <row r="578" spans="1:352" x14ac:dyDescent="0.25">
      <c r="A578" s="7">
        <v>1.1950925686223111</v>
      </c>
      <c r="B578"/>
      <c r="C578"/>
      <c r="D578"/>
      <c r="E578"/>
    </row>
    <row r="579" spans="1:352" x14ac:dyDescent="0.25">
      <c r="A579" s="7">
        <v>1.1716593810022657</v>
      </c>
      <c r="B579"/>
      <c r="C579"/>
      <c r="D579"/>
      <c r="E579"/>
    </row>
    <row r="580" spans="1:352" x14ac:dyDescent="0.25">
      <c r="A580" s="7">
        <v>1.14868566764928</v>
      </c>
      <c r="B580"/>
      <c r="C580"/>
      <c r="D580"/>
      <c r="E580"/>
    </row>
    <row r="581" spans="1:352" x14ac:dyDescent="0.25">
      <c r="A581" s="7">
        <v>1.1261624192640001</v>
      </c>
      <c r="B581"/>
      <c r="C581"/>
      <c r="D581"/>
      <c r="E581"/>
    </row>
    <row r="582" spans="1:352" x14ac:dyDescent="0.25">
      <c r="A582" s="7">
        <v>1.1040808032</v>
      </c>
      <c r="B582"/>
      <c r="C582"/>
      <c r="D582"/>
      <c r="E582"/>
    </row>
    <row r="583" spans="1:352" x14ac:dyDescent="0.25">
      <c r="A583" s="7">
        <v>1.08243216</v>
      </c>
      <c r="B583"/>
      <c r="C583"/>
      <c r="D583"/>
      <c r="E583"/>
    </row>
    <row r="584" spans="1:352" x14ac:dyDescent="0.25">
      <c r="A584" s="7">
        <v>1.0612079999999999</v>
      </c>
      <c r="B584"/>
      <c r="C584"/>
      <c r="D584"/>
      <c r="E584"/>
    </row>
    <row r="585" spans="1:352" x14ac:dyDescent="0.25">
      <c r="A585" s="7">
        <v>1.0404</v>
      </c>
      <c r="B585"/>
      <c r="C585"/>
      <c r="D585"/>
      <c r="E585"/>
    </row>
    <row r="586" spans="1:352" x14ac:dyDescent="0.25">
      <c r="A586" s="7">
        <v>1.02</v>
      </c>
      <c r="B586"/>
      <c r="C586"/>
      <c r="D586"/>
      <c r="E586"/>
    </row>
    <row r="587" spans="1:352" x14ac:dyDescent="0.25">
      <c r="A587" s="7">
        <v>1</v>
      </c>
      <c r="B587"/>
      <c r="C587"/>
      <c r="D587"/>
      <c r="E587" s="29" t="s">
        <v>8</v>
      </c>
    </row>
    <row r="588" spans="1:352" x14ac:dyDescent="0.25">
      <c r="A588" s="7">
        <v>0.98039215686274506</v>
      </c>
      <c r="B588"/>
      <c r="C588"/>
      <c r="D588"/>
      <c r="E588"/>
      <c r="F588" s="27" t="s">
        <v>7</v>
      </c>
    </row>
    <row r="589" spans="1:352" x14ac:dyDescent="0.25">
      <c r="A589" s="7">
        <v>0.96116878123798544</v>
      </c>
      <c r="B589"/>
      <c r="C589"/>
      <c r="D589"/>
      <c r="E589"/>
      <c r="F589" s="27" t="s">
        <v>7</v>
      </c>
      <c r="MM589" s="27" t="s">
        <v>8</v>
      </c>
    </row>
    <row r="590" spans="1:352" x14ac:dyDescent="0.25">
      <c r="A590" s="7">
        <v>0.94232233454704462</v>
      </c>
      <c r="B590"/>
      <c r="C590"/>
      <c r="D590"/>
      <c r="E590"/>
      <c r="F590" s="27" t="s">
        <v>7</v>
      </c>
      <c r="MM590" s="27" t="s">
        <v>8</v>
      </c>
      <c r="MN590" s="27" t="s">
        <v>7</v>
      </c>
    </row>
    <row r="591" spans="1:352" x14ac:dyDescent="0.25">
      <c r="A591" s="7">
        <v>0.92384542602651432</v>
      </c>
      <c r="B591"/>
      <c r="C591"/>
      <c r="D591"/>
      <c r="E591"/>
      <c r="F591" s="27" t="s">
        <v>7</v>
      </c>
      <c r="MM591" s="27" t="s">
        <v>8</v>
      </c>
      <c r="MN591" s="27" t="s">
        <v>7</v>
      </c>
    </row>
    <row r="592" spans="1:352" x14ac:dyDescent="0.25">
      <c r="A592" s="7">
        <v>0.90573080982991594</v>
      </c>
      <c r="B592"/>
      <c r="C592"/>
      <c r="D592"/>
      <c r="E592"/>
      <c r="F592" s="27" t="s">
        <v>7</v>
      </c>
      <c r="MM592" s="27" t="s">
        <v>8</v>
      </c>
      <c r="MN592" s="27" t="s">
        <v>7</v>
      </c>
    </row>
    <row r="593" spans="1:377" x14ac:dyDescent="0.25">
      <c r="A593" s="7">
        <v>0.8879713821861922</v>
      </c>
      <c r="B593"/>
      <c r="C593"/>
      <c r="D593"/>
      <c r="E593"/>
      <c r="F593" s="27" t="s">
        <v>7</v>
      </c>
      <c r="MM593" s="27" t="s">
        <v>8</v>
      </c>
      <c r="MN593" s="27" t="s">
        <v>7</v>
      </c>
    </row>
    <row r="594" spans="1:377" x14ac:dyDescent="0.25">
      <c r="A594" s="7">
        <v>0.87056017861391399</v>
      </c>
      <c r="B594"/>
      <c r="C594"/>
      <c r="D594"/>
      <c r="E594"/>
      <c r="F594" s="27" t="s">
        <v>7</v>
      </c>
      <c r="MM594" s="27" t="s">
        <v>8</v>
      </c>
      <c r="MN594" s="27" t="s">
        <v>7</v>
      </c>
    </row>
    <row r="595" spans="1:377" x14ac:dyDescent="0.25">
      <c r="A595" s="7">
        <v>0.85349037119011173</v>
      </c>
      <c r="B595"/>
      <c r="C595"/>
      <c r="D595"/>
      <c r="E595"/>
      <c r="F595" s="27" t="s">
        <v>7</v>
      </c>
      <c r="MM595" s="27" t="s">
        <v>8</v>
      </c>
      <c r="MN595" s="27" t="s">
        <v>7</v>
      </c>
    </row>
    <row r="596" spans="1:377" x14ac:dyDescent="0.25">
      <c r="A596" s="7">
        <v>0.83675526587265858</v>
      </c>
      <c r="B596"/>
      <c r="C596"/>
      <c r="D596"/>
      <c r="E596"/>
      <c r="F596" s="27" t="s">
        <v>7</v>
      </c>
      <c r="MM596" s="27" t="s">
        <v>8</v>
      </c>
      <c r="MN596" s="27" t="s">
        <v>7</v>
      </c>
    </row>
    <row r="597" spans="1:377" x14ac:dyDescent="0.25">
      <c r="A597" s="7">
        <v>0.82034829987515545</v>
      </c>
      <c r="B597"/>
      <c r="C597"/>
      <c r="D597"/>
      <c r="E597"/>
      <c r="F597" s="27" t="s">
        <v>7</v>
      </c>
      <c r="MM597" s="27" t="s">
        <v>8</v>
      </c>
      <c r="MN597" s="27" t="s">
        <v>7</v>
      </c>
    </row>
    <row r="598" spans="1:377" x14ac:dyDescent="0.25">
      <c r="A598" s="7">
        <v>0.80426303909328967</v>
      </c>
      <c r="B598"/>
      <c r="C598"/>
      <c r="D598"/>
      <c r="E598"/>
      <c r="F598" s="27" t="s">
        <v>7</v>
      </c>
      <c r="MM598" s="27" t="s">
        <v>8</v>
      </c>
      <c r="MN598" s="27" t="s">
        <v>7</v>
      </c>
    </row>
    <row r="599" spans="1:377" x14ac:dyDescent="0.25">
      <c r="A599" s="7">
        <v>0.78849317558165644</v>
      </c>
      <c r="B599"/>
      <c r="C599"/>
      <c r="D599"/>
      <c r="E599"/>
      <c r="F599" s="27" t="s">
        <v>7</v>
      </c>
      <c r="MM599" s="27" t="s">
        <v>8</v>
      </c>
      <c r="MN599" s="27" t="s">
        <v>7</v>
      </c>
    </row>
    <row r="600" spans="1:377" x14ac:dyDescent="0.25">
      <c r="A600" s="7">
        <v>0.77303252508005538</v>
      </c>
      <c r="B600"/>
      <c r="C600"/>
      <c r="D600"/>
      <c r="E600"/>
      <c r="F600" s="27" t="s">
        <v>7</v>
      </c>
      <c r="MM600" s="27" t="s">
        <v>8</v>
      </c>
      <c r="MN600" s="27" t="s">
        <v>7</v>
      </c>
    </row>
    <row r="601" spans="1:377" x14ac:dyDescent="0.25">
      <c r="A601" s="7">
        <v>0.75787502458828959</v>
      </c>
      <c r="B601"/>
      <c r="C601"/>
      <c r="D601"/>
      <c r="E601"/>
      <c r="F601" s="27" t="s">
        <v>7</v>
      </c>
      <c r="MM601" s="27" t="s">
        <v>8</v>
      </c>
      <c r="MN601" s="27" t="s">
        <v>7</v>
      </c>
    </row>
    <row r="602" spans="1:377" x14ac:dyDescent="0.25">
      <c r="A602" s="7">
        <v>0.74301472998851925</v>
      </c>
      <c r="B602"/>
      <c r="C602"/>
      <c r="D602"/>
      <c r="E602"/>
      <c r="F602" s="27" t="s">
        <v>7</v>
      </c>
      <c r="MM602" s="27" t="s">
        <v>8</v>
      </c>
      <c r="MN602" s="27" t="s">
        <v>7</v>
      </c>
    </row>
    <row r="603" spans="1:377" x14ac:dyDescent="0.25">
      <c r="A603" s="7">
        <v>0.72844581371423456</v>
      </c>
      <c r="B603"/>
      <c r="C603"/>
      <c r="D603"/>
      <c r="E603"/>
      <c r="F603" s="27" t="s">
        <v>7</v>
      </c>
      <c r="MM603" s="27" t="s">
        <v>8</v>
      </c>
      <c r="MN603" s="27" t="s">
        <v>7</v>
      </c>
    </row>
    <row r="604" spans="1:377" x14ac:dyDescent="0.25">
      <c r="A604" s="7">
        <v>0.71416256246493581</v>
      </c>
      <c r="B604"/>
      <c r="C604"/>
      <c r="D604"/>
      <c r="E604"/>
      <c r="F604" s="27" t="s">
        <v>7</v>
      </c>
      <c r="JU604" s="27" t="s">
        <v>8</v>
      </c>
      <c r="MM604" s="27" t="s">
        <v>8</v>
      </c>
      <c r="MN604" s="27" t="s">
        <v>7</v>
      </c>
    </row>
    <row r="605" spans="1:377" x14ac:dyDescent="0.25">
      <c r="A605" s="7">
        <v>0.7001593749656233</v>
      </c>
      <c r="B605"/>
      <c r="C605"/>
      <c r="D605"/>
      <c r="E605"/>
      <c r="F605" s="27" t="s">
        <v>7</v>
      </c>
      <c r="JS605" s="27" t="s">
        <v>8</v>
      </c>
      <c r="JU605" s="27" t="s">
        <v>8</v>
      </c>
      <c r="JV605" s="27" t="s">
        <v>7</v>
      </c>
      <c r="MM605" s="27" t="s">
        <v>8</v>
      </c>
      <c r="MN605" s="27" t="s">
        <v>7</v>
      </c>
    </row>
    <row r="606" spans="1:377" x14ac:dyDescent="0.25">
      <c r="A606" s="7">
        <v>0.68643075977021883</v>
      </c>
      <c r="B606"/>
      <c r="C606"/>
      <c r="D606"/>
      <c r="E606"/>
      <c r="F606" s="27" t="s">
        <v>7</v>
      </c>
      <c r="JO606" s="27" t="s">
        <v>8</v>
      </c>
      <c r="JS606" s="27" t="s">
        <v>8</v>
      </c>
      <c r="JT606" s="27" t="s">
        <v>7</v>
      </c>
      <c r="JU606" s="27" t="s">
        <v>8</v>
      </c>
      <c r="JV606" s="27" t="s">
        <v>7</v>
      </c>
      <c r="JW606" s="27" t="s">
        <v>8</v>
      </c>
      <c r="KG606" s="27" t="s">
        <v>8</v>
      </c>
      <c r="MM606" s="27" t="s">
        <v>8</v>
      </c>
      <c r="MN606" s="27" t="s">
        <v>7</v>
      </c>
    </row>
    <row r="607" spans="1:377" x14ac:dyDescent="0.25">
      <c r="A607" s="7">
        <v>0.67297133310805768</v>
      </c>
      <c r="B607"/>
      <c r="C607"/>
      <c r="D607"/>
      <c r="E607"/>
      <c r="F607" s="27" t="s">
        <v>7</v>
      </c>
      <c r="JO607" s="27" t="s">
        <v>8</v>
      </c>
      <c r="JP607" s="27" t="s">
        <v>7</v>
      </c>
      <c r="JQ607" s="27" t="s">
        <v>8</v>
      </c>
      <c r="JS607" s="27" t="s">
        <v>8</v>
      </c>
      <c r="JT607" s="27" t="s">
        <v>7</v>
      </c>
      <c r="JU607" s="27" t="s">
        <v>8</v>
      </c>
      <c r="JV607" s="27" t="s">
        <v>7</v>
      </c>
      <c r="JW607" s="27" t="s">
        <v>8</v>
      </c>
      <c r="JX607" s="27" t="s">
        <v>7</v>
      </c>
      <c r="KG607" s="27" t="s">
        <v>8</v>
      </c>
      <c r="KH607" s="27" t="s">
        <v>7</v>
      </c>
      <c r="MM607" s="27" t="s">
        <v>8</v>
      </c>
      <c r="MN607" s="27" t="s">
        <v>7</v>
      </c>
    </row>
    <row r="608" spans="1:377" x14ac:dyDescent="0.25">
      <c r="A608" s="7">
        <v>0.65977581677260566</v>
      </c>
      <c r="B608"/>
      <c r="C608"/>
      <c r="D608"/>
      <c r="E608"/>
      <c r="F608" s="27" t="s">
        <v>7</v>
      </c>
      <c r="JO608" s="27" t="s">
        <v>8</v>
      </c>
      <c r="JP608" s="27" t="s">
        <v>7</v>
      </c>
      <c r="JQ608" s="27" t="s">
        <v>8</v>
      </c>
      <c r="JR608" s="27" t="s">
        <v>7</v>
      </c>
      <c r="JS608" s="27" t="s">
        <v>8</v>
      </c>
      <c r="JT608" s="27" t="s">
        <v>7</v>
      </c>
      <c r="JU608" s="27" t="s">
        <v>8</v>
      </c>
      <c r="JV608" s="27" t="s">
        <v>7</v>
      </c>
      <c r="JW608" s="27" t="s">
        <v>8</v>
      </c>
      <c r="JX608" s="27" t="s">
        <v>7</v>
      </c>
      <c r="KG608" s="27" t="s">
        <v>8</v>
      </c>
      <c r="KH608" s="27" t="s">
        <v>7</v>
      </c>
      <c r="MM608" s="27" t="s">
        <v>8</v>
      </c>
      <c r="MN608" s="27" t="s">
        <v>7</v>
      </c>
      <c r="NM608" s="27" t="s">
        <v>8</v>
      </c>
    </row>
    <row r="609" spans="1:394" x14ac:dyDescent="0.25">
      <c r="A609" s="7">
        <v>0.64683903605157422</v>
      </c>
      <c r="B609"/>
      <c r="C609"/>
      <c r="D609"/>
      <c r="E609"/>
      <c r="F609" s="27" t="s">
        <v>7</v>
      </c>
      <c r="JO609" s="27" t="s">
        <v>8</v>
      </c>
      <c r="JP609" s="27" t="s">
        <v>7</v>
      </c>
      <c r="JQ609" s="27" t="s">
        <v>8</v>
      </c>
      <c r="JR609" s="27" t="s">
        <v>7</v>
      </c>
      <c r="JS609" s="27" t="s">
        <v>8</v>
      </c>
      <c r="JT609" s="27" t="s">
        <v>7</v>
      </c>
      <c r="JU609" s="27" t="s">
        <v>8</v>
      </c>
      <c r="JV609" s="27" t="s">
        <v>7</v>
      </c>
      <c r="JW609" s="27" t="s">
        <v>8</v>
      </c>
      <c r="JX609" s="27" t="s">
        <v>7</v>
      </c>
      <c r="KE609" s="27" t="s">
        <v>8</v>
      </c>
      <c r="KG609" s="27" t="s">
        <v>8</v>
      </c>
      <c r="KH609" s="27" t="s">
        <v>7</v>
      </c>
      <c r="MM609" s="27" t="s">
        <v>8</v>
      </c>
      <c r="MN609" s="27" t="s">
        <v>7</v>
      </c>
      <c r="MO609" s="27" t="s">
        <v>8</v>
      </c>
      <c r="NM609" s="27" t="s">
        <v>8</v>
      </c>
      <c r="NN609" s="27" t="s">
        <v>7</v>
      </c>
      <c r="OA609" s="27" t="s">
        <v>8</v>
      </c>
    </row>
    <row r="610" spans="1:394" x14ac:dyDescent="0.25">
      <c r="A610" s="7">
        <v>0.63415591769762181</v>
      </c>
      <c r="B610"/>
      <c r="C610"/>
      <c r="D610"/>
      <c r="E610"/>
      <c r="F610" s="27" t="s">
        <v>7</v>
      </c>
      <c r="JO610" s="27" t="s">
        <v>8</v>
      </c>
      <c r="JP610" s="27" t="s">
        <v>7</v>
      </c>
      <c r="JQ610" s="27" t="s">
        <v>8</v>
      </c>
      <c r="JR610" s="27" t="s">
        <v>7</v>
      </c>
      <c r="JS610" s="27" t="s">
        <v>8</v>
      </c>
      <c r="JT610" s="27" t="s">
        <v>7</v>
      </c>
      <c r="JU610" s="27" t="s">
        <v>8</v>
      </c>
      <c r="JV610" s="27" t="s">
        <v>7</v>
      </c>
      <c r="JX610" s="27" t="s">
        <v>7</v>
      </c>
      <c r="KE610" s="27" t="s">
        <v>8</v>
      </c>
      <c r="KF610" s="27" t="s">
        <v>7</v>
      </c>
      <c r="KG610" s="27" t="s">
        <v>8</v>
      </c>
      <c r="KH610" s="27" t="s">
        <v>7</v>
      </c>
      <c r="MM610" s="27" t="s">
        <v>8</v>
      </c>
      <c r="MN610" s="27" t="s">
        <v>7</v>
      </c>
      <c r="MO610" s="27" t="s">
        <v>8</v>
      </c>
      <c r="MP610" s="27" t="s">
        <v>7</v>
      </c>
      <c r="NM610" s="27" t="s">
        <v>8</v>
      </c>
      <c r="NN610" s="27" t="s">
        <v>7</v>
      </c>
      <c r="NY610" s="27" t="s">
        <v>8</v>
      </c>
      <c r="OA610" s="27" t="s">
        <v>8</v>
      </c>
      <c r="OB610" s="27" t="s">
        <v>7</v>
      </c>
    </row>
    <row r="611" spans="1:394" x14ac:dyDescent="0.25">
      <c r="A611" s="7">
        <v>0.62172148793884496</v>
      </c>
      <c r="B611"/>
      <c r="C611"/>
      <c r="D611"/>
      <c r="E611"/>
      <c r="F611" s="27" t="s">
        <v>7</v>
      </c>
      <c r="JO611" s="27" t="s">
        <v>8</v>
      </c>
      <c r="JP611" s="27" t="s">
        <v>7</v>
      </c>
      <c r="JQ611" s="27" t="s">
        <v>8</v>
      </c>
      <c r="JR611" s="27" t="s">
        <v>7</v>
      </c>
      <c r="JS611" s="27" t="s">
        <v>8</v>
      </c>
      <c r="JT611" s="27" t="s">
        <v>7</v>
      </c>
      <c r="JX611" s="27" t="s">
        <v>7</v>
      </c>
      <c r="JY611" s="27" t="s">
        <v>8</v>
      </c>
      <c r="KE611" s="27" t="s">
        <v>8</v>
      </c>
      <c r="KF611" s="27" t="s">
        <v>7</v>
      </c>
      <c r="KG611" s="27" t="s">
        <v>8</v>
      </c>
      <c r="KH611" s="27" t="s">
        <v>7</v>
      </c>
      <c r="MM611" s="27" t="s">
        <v>8</v>
      </c>
      <c r="MN611" s="27" t="s">
        <v>7</v>
      </c>
      <c r="MO611" s="27" t="s">
        <v>8</v>
      </c>
      <c r="MP611" s="27" t="s">
        <v>7</v>
      </c>
      <c r="NM611" s="27" t="s">
        <v>8</v>
      </c>
      <c r="NN611" s="27" t="s">
        <v>7</v>
      </c>
      <c r="NY611" s="27" t="s">
        <v>8</v>
      </c>
      <c r="NZ611" s="27" t="s">
        <v>7</v>
      </c>
      <c r="OA611" s="27" t="s">
        <v>8</v>
      </c>
      <c r="OB611" s="27" t="s">
        <v>7</v>
      </c>
    </row>
    <row r="612" spans="1:394" x14ac:dyDescent="0.25">
      <c r="A612" s="7">
        <v>0.60953087052827937</v>
      </c>
      <c r="B612"/>
      <c r="C612"/>
      <c r="D612"/>
      <c r="E612"/>
      <c r="F612" s="27" t="s">
        <v>7</v>
      </c>
      <c r="JO612" s="27" t="s">
        <v>8</v>
      </c>
      <c r="JP612" s="27" t="s">
        <v>7</v>
      </c>
      <c r="JQ612" s="27" t="s">
        <v>8</v>
      </c>
      <c r="JR612" s="27" t="s">
        <v>7</v>
      </c>
      <c r="JS612" s="27" t="s">
        <v>8</v>
      </c>
      <c r="JX612" s="27" t="s">
        <v>7</v>
      </c>
      <c r="JY612" s="27" t="s">
        <v>8</v>
      </c>
      <c r="JZ612" s="27" t="s">
        <v>7</v>
      </c>
      <c r="KE612" s="27" t="s">
        <v>8</v>
      </c>
      <c r="KF612" s="27" t="s">
        <v>7</v>
      </c>
      <c r="KG612" s="27" t="s">
        <v>8</v>
      </c>
      <c r="KH612" s="27" t="s">
        <v>7</v>
      </c>
      <c r="MM612" s="27" t="s">
        <v>8</v>
      </c>
      <c r="MN612" s="27" t="s">
        <v>7</v>
      </c>
      <c r="MO612" s="27" t="s">
        <v>8</v>
      </c>
      <c r="MP612" s="27" t="s">
        <v>7</v>
      </c>
      <c r="NM612" s="27" t="s">
        <v>8</v>
      </c>
      <c r="NN612" s="27" t="s">
        <v>7</v>
      </c>
      <c r="NY612" s="27" t="s">
        <v>8</v>
      </c>
      <c r="NZ612" s="27" t="s">
        <v>7</v>
      </c>
      <c r="OA612" s="27" t="s">
        <v>8</v>
      </c>
      <c r="OB612" s="27" t="s">
        <v>7</v>
      </c>
    </row>
    <row r="613" spans="1:394" x14ac:dyDescent="0.25">
      <c r="A613" s="7">
        <v>0.59757928483164646</v>
      </c>
      <c r="B613"/>
      <c r="C613"/>
      <c r="D613"/>
      <c r="E613"/>
      <c r="F613" s="27" t="s">
        <v>7</v>
      </c>
      <c r="JO613" s="27" t="s">
        <v>8</v>
      </c>
      <c r="JP613" s="27" t="s">
        <v>7</v>
      </c>
      <c r="JR613" s="27" t="s">
        <v>7</v>
      </c>
      <c r="JS613" s="27" t="s">
        <v>8</v>
      </c>
      <c r="JX613" s="27" t="s">
        <v>7</v>
      </c>
      <c r="JY613" s="27" t="s">
        <v>8</v>
      </c>
      <c r="JZ613" s="27" t="s">
        <v>7</v>
      </c>
      <c r="KE613" s="27" t="s">
        <v>8</v>
      </c>
      <c r="KF613" s="27" t="s">
        <v>7</v>
      </c>
      <c r="KG613" s="27" t="s">
        <v>8</v>
      </c>
      <c r="KH613" s="27" t="s">
        <v>7</v>
      </c>
      <c r="MM613" s="27" t="s">
        <v>8</v>
      </c>
      <c r="MN613" s="27" t="s">
        <v>7</v>
      </c>
      <c r="MO613" s="27" t="s">
        <v>8</v>
      </c>
      <c r="MP613" s="27" t="s">
        <v>7</v>
      </c>
      <c r="MS613" s="27" t="s">
        <v>8</v>
      </c>
      <c r="NM613" s="27" t="s">
        <v>8</v>
      </c>
      <c r="NN613" s="27" t="s">
        <v>7</v>
      </c>
      <c r="NY613" s="27" t="s">
        <v>8</v>
      </c>
      <c r="NZ613" s="27" t="s">
        <v>7</v>
      </c>
      <c r="OA613" s="27" t="s">
        <v>8</v>
      </c>
      <c r="OB613" s="27" t="s">
        <v>7</v>
      </c>
    </row>
    <row r="614" spans="1:394" x14ac:dyDescent="0.25">
      <c r="A614" s="7">
        <v>0.58586204395259456</v>
      </c>
      <c r="B614"/>
      <c r="C614"/>
      <c r="D614"/>
      <c r="E614"/>
      <c r="F614" s="27" t="s">
        <v>7</v>
      </c>
      <c r="IM614" s="27" t="s">
        <v>8</v>
      </c>
      <c r="JO614" s="27" t="s">
        <v>8</v>
      </c>
      <c r="JR614" s="27" t="s">
        <v>7</v>
      </c>
      <c r="JS614" s="27" t="s">
        <v>8</v>
      </c>
      <c r="JX614" s="27" t="s">
        <v>7</v>
      </c>
      <c r="JY614" s="27" t="s">
        <v>8</v>
      </c>
      <c r="JZ614" s="27" t="s">
        <v>7</v>
      </c>
      <c r="KE614" s="27" t="s">
        <v>8</v>
      </c>
      <c r="KF614" s="27" t="s">
        <v>7</v>
      </c>
      <c r="KG614" s="27" t="s">
        <v>8</v>
      </c>
      <c r="KH614" s="27" t="s">
        <v>7</v>
      </c>
      <c r="MM614" s="27" t="s">
        <v>8</v>
      </c>
      <c r="MN614" s="27" t="s">
        <v>7</v>
      </c>
      <c r="MO614" s="27" t="s">
        <v>8</v>
      </c>
      <c r="MP614" s="27" t="s">
        <v>7</v>
      </c>
      <c r="MS614" s="27" t="s">
        <v>8</v>
      </c>
      <c r="MT614" s="27" t="s">
        <v>7</v>
      </c>
      <c r="NC614" s="27" t="s">
        <v>8</v>
      </c>
      <c r="NE614" s="27" t="s">
        <v>8</v>
      </c>
      <c r="NM614" s="27" t="s">
        <v>8</v>
      </c>
      <c r="NN614" s="27" t="s">
        <v>7</v>
      </c>
      <c r="NY614" s="27" t="s">
        <v>8</v>
      </c>
      <c r="NZ614" s="27" t="s">
        <v>7</v>
      </c>
      <c r="OA614" s="27" t="s">
        <v>8</v>
      </c>
      <c r="OB614" s="27" t="s">
        <v>7</v>
      </c>
    </row>
    <row r="615" spans="1:394" x14ac:dyDescent="0.25">
      <c r="A615" s="7">
        <v>0.57437455289470052</v>
      </c>
      <c r="B615"/>
      <c r="C615"/>
      <c r="D615"/>
      <c r="E615"/>
      <c r="F615" s="27" t="s">
        <v>7</v>
      </c>
      <c r="IM615" s="27" t="s">
        <v>8</v>
      </c>
      <c r="IN615" s="27" t="s">
        <v>7</v>
      </c>
      <c r="JO615" s="27" t="s">
        <v>8</v>
      </c>
      <c r="JR615" s="27" t="s">
        <v>7</v>
      </c>
      <c r="JS615" s="27" t="s">
        <v>8</v>
      </c>
      <c r="JX615" s="27" t="s">
        <v>7</v>
      </c>
      <c r="JY615" s="27" t="s">
        <v>8</v>
      </c>
      <c r="JZ615" s="27" t="s">
        <v>7</v>
      </c>
      <c r="KE615" s="27" t="s">
        <v>8</v>
      </c>
      <c r="KF615" s="27" t="s">
        <v>7</v>
      </c>
      <c r="KG615" s="27" t="s">
        <v>8</v>
      </c>
      <c r="KH615" s="27" t="s">
        <v>7</v>
      </c>
      <c r="MM615" s="27" t="s">
        <v>8</v>
      </c>
      <c r="MN615" s="27" t="s">
        <v>7</v>
      </c>
      <c r="MO615" s="27" t="s">
        <v>8</v>
      </c>
      <c r="MP615" s="27" t="s">
        <v>7</v>
      </c>
      <c r="MS615" s="27" t="s">
        <v>8</v>
      </c>
      <c r="MT615" s="27" t="s">
        <v>7</v>
      </c>
      <c r="NC615" s="27" t="s">
        <v>8</v>
      </c>
      <c r="ND615" s="27" t="s">
        <v>7</v>
      </c>
      <c r="NE615" s="27" t="s">
        <v>8</v>
      </c>
      <c r="NF615" s="27" t="s">
        <v>7</v>
      </c>
      <c r="NM615" s="27" t="s">
        <v>8</v>
      </c>
      <c r="NN615" s="27" t="s">
        <v>7</v>
      </c>
      <c r="NW615" s="27" t="s">
        <v>8</v>
      </c>
      <c r="NY615" s="27" t="s">
        <v>8</v>
      </c>
      <c r="NZ615" s="27" t="s">
        <v>7</v>
      </c>
      <c r="OA615" s="27" t="s">
        <v>8</v>
      </c>
      <c r="OB615" s="27" t="s">
        <v>7</v>
      </c>
      <c r="OC615" s="27" t="s">
        <v>8</v>
      </c>
    </row>
    <row r="616" spans="1:394" x14ac:dyDescent="0.25">
      <c r="A616" s="7">
        <v>0.56311230675951029</v>
      </c>
      <c r="B616"/>
      <c r="C616"/>
      <c r="D616"/>
      <c r="E616"/>
      <c r="F616" s="27" t="s">
        <v>7</v>
      </c>
      <c r="IM616" s="27" t="s">
        <v>8</v>
      </c>
      <c r="IN616" s="27" t="s">
        <v>7</v>
      </c>
      <c r="JM616" s="27" t="s">
        <v>8</v>
      </c>
      <c r="JO616" s="27" t="s">
        <v>8</v>
      </c>
      <c r="JR616" s="27" t="s">
        <v>7</v>
      </c>
      <c r="JS616" s="27" t="s">
        <v>8</v>
      </c>
      <c r="JX616" s="27" t="s">
        <v>7</v>
      </c>
      <c r="JY616" s="27" t="s">
        <v>8</v>
      </c>
      <c r="JZ616" s="27" t="s">
        <v>7</v>
      </c>
      <c r="KE616" s="27" t="s">
        <v>8</v>
      </c>
      <c r="KF616" s="27" t="s">
        <v>7</v>
      </c>
      <c r="KG616" s="27" t="s">
        <v>8</v>
      </c>
      <c r="KH616" s="27" t="s">
        <v>7</v>
      </c>
      <c r="MM616" s="27" t="s">
        <v>8</v>
      </c>
      <c r="MN616" s="27" t="s">
        <v>7</v>
      </c>
      <c r="MO616" s="27" t="s">
        <v>8</v>
      </c>
      <c r="MP616" s="27" t="s">
        <v>7</v>
      </c>
      <c r="MS616" s="27" t="s">
        <v>8</v>
      </c>
      <c r="MT616" s="27" t="s">
        <v>7</v>
      </c>
      <c r="NC616" s="27" t="s">
        <v>8</v>
      </c>
      <c r="ND616" s="27" t="s">
        <v>7</v>
      </c>
      <c r="NE616" s="27" t="s">
        <v>8</v>
      </c>
      <c r="NF616" s="27" t="s">
        <v>7</v>
      </c>
      <c r="NM616" s="27" t="s">
        <v>8</v>
      </c>
      <c r="NN616" s="27" t="s">
        <v>7</v>
      </c>
      <c r="NW616" s="27" t="s">
        <v>8</v>
      </c>
      <c r="NX616" s="27" t="s">
        <v>7</v>
      </c>
      <c r="NY616" s="27" t="s">
        <v>8</v>
      </c>
      <c r="NZ616" s="27" t="s">
        <v>7</v>
      </c>
      <c r="OA616" s="27" t="s">
        <v>8</v>
      </c>
      <c r="OB616" s="27" t="s">
        <v>7</v>
      </c>
      <c r="OC616" s="27" t="s">
        <v>8</v>
      </c>
      <c r="OD616" s="27" t="s">
        <v>7</v>
      </c>
    </row>
    <row r="617" spans="1:394" x14ac:dyDescent="0.25">
      <c r="A617" s="7">
        <v>0.55207088897991208</v>
      </c>
      <c r="B617"/>
      <c r="C617"/>
      <c r="D617"/>
      <c r="E617"/>
      <c r="F617" s="27" t="s">
        <v>7</v>
      </c>
      <c r="IM617" s="27" t="s">
        <v>8</v>
      </c>
      <c r="IN617" s="27" t="s">
        <v>7</v>
      </c>
      <c r="JM617" s="27" t="s">
        <v>8</v>
      </c>
      <c r="JN617" s="27" t="s">
        <v>7</v>
      </c>
      <c r="JO617" s="27" t="s">
        <v>8</v>
      </c>
      <c r="JR617" s="27" t="s">
        <v>7</v>
      </c>
      <c r="JS617" s="27" t="s">
        <v>8</v>
      </c>
      <c r="JX617" s="27" t="s">
        <v>7</v>
      </c>
      <c r="JY617" s="27" t="s">
        <v>8</v>
      </c>
      <c r="JZ617" s="27" t="s">
        <v>7</v>
      </c>
      <c r="KE617" s="27" t="s">
        <v>8</v>
      </c>
      <c r="KF617" s="27" t="s">
        <v>7</v>
      </c>
      <c r="KG617" s="27" t="s">
        <v>8</v>
      </c>
      <c r="KH617" s="27" t="s">
        <v>7</v>
      </c>
      <c r="MM617" s="27" t="s">
        <v>8</v>
      </c>
      <c r="MN617" s="27" t="s">
        <v>7</v>
      </c>
      <c r="MO617" s="27" t="s">
        <v>8</v>
      </c>
      <c r="MP617" s="27" t="s">
        <v>7</v>
      </c>
      <c r="MQ617" s="27" t="s">
        <v>8</v>
      </c>
      <c r="MS617" s="27" t="s">
        <v>8</v>
      </c>
      <c r="MT617" s="27" t="s">
        <v>7</v>
      </c>
      <c r="NC617" s="27" t="s">
        <v>8</v>
      </c>
      <c r="ND617" s="27" t="s">
        <v>7</v>
      </c>
      <c r="NE617" s="27" t="s">
        <v>8</v>
      </c>
      <c r="NF617" s="27" t="s">
        <v>7</v>
      </c>
      <c r="NM617" s="27" t="s">
        <v>8</v>
      </c>
      <c r="NN617" s="27" t="s">
        <v>7</v>
      </c>
      <c r="NW617" s="27" t="s">
        <v>8</v>
      </c>
      <c r="NX617" s="27" t="s">
        <v>7</v>
      </c>
      <c r="NY617" s="27" t="s">
        <v>8</v>
      </c>
      <c r="NZ617" s="27" t="s">
        <v>7</v>
      </c>
      <c r="OA617" s="27" t="s">
        <v>8</v>
      </c>
      <c r="OB617" s="27" t="s">
        <v>7</v>
      </c>
      <c r="OC617" s="27" t="s">
        <v>8</v>
      </c>
      <c r="OD617" s="27" t="s">
        <v>7</v>
      </c>
    </row>
    <row r="618" spans="1:394" x14ac:dyDescent="0.25">
      <c r="A618" s="7">
        <v>0.54124596958814908</v>
      </c>
      <c r="B618"/>
      <c r="C618"/>
      <c r="D618"/>
      <c r="E618"/>
      <c r="F618" s="27" t="s">
        <v>7</v>
      </c>
      <c r="IM618" s="27" t="s">
        <v>8</v>
      </c>
      <c r="IN618" s="27" t="s">
        <v>7</v>
      </c>
      <c r="IQ618" s="27" t="s">
        <v>8</v>
      </c>
      <c r="JI618" s="27" t="s">
        <v>8</v>
      </c>
      <c r="JM618" s="27" t="s">
        <v>8</v>
      </c>
      <c r="JN618" s="27" t="s">
        <v>7</v>
      </c>
      <c r="JO618" s="27" t="s">
        <v>8</v>
      </c>
      <c r="JR618" s="27" t="s">
        <v>7</v>
      </c>
      <c r="JS618" s="27" t="s">
        <v>8</v>
      </c>
      <c r="JX618" s="27" t="s">
        <v>7</v>
      </c>
      <c r="JY618" s="27" t="s">
        <v>8</v>
      </c>
      <c r="JZ618" s="27" t="s">
        <v>7</v>
      </c>
      <c r="KC618" s="27" t="s">
        <v>8</v>
      </c>
      <c r="KE618" s="27" t="s">
        <v>8</v>
      </c>
      <c r="KF618" s="27" t="s">
        <v>7</v>
      </c>
      <c r="KG618" s="27" t="s">
        <v>8</v>
      </c>
      <c r="KH618" s="27" t="s">
        <v>7</v>
      </c>
      <c r="KI618" s="27" t="s">
        <v>8</v>
      </c>
      <c r="MM618" s="27" t="s">
        <v>8</v>
      </c>
      <c r="MN618" s="27" t="s">
        <v>7</v>
      </c>
      <c r="MO618" s="27" t="s">
        <v>8</v>
      </c>
      <c r="MP618" s="27" t="s">
        <v>7</v>
      </c>
      <c r="MQ618" s="27" t="s">
        <v>8</v>
      </c>
      <c r="MR618" s="27" t="s">
        <v>7</v>
      </c>
      <c r="MS618" s="27" t="s">
        <v>8</v>
      </c>
      <c r="MT618" s="27" t="s">
        <v>7</v>
      </c>
      <c r="NA618" s="27" t="s">
        <v>8</v>
      </c>
      <c r="NC618" s="27" t="s">
        <v>8</v>
      </c>
      <c r="ND618" s="27" t="s">
        <v>7</v>
      </c>
      <c r="NE618" s="27" t="s">
        <v>8</v>
      </c>
      <c r="NF618" s="27" t="s">
        <v>7</v>
      </c>
      <c r="NG618" s="27" t="s">
        <v>8</v>
      </c>
      <c r="NM618" s="27" t="s">
        <v>8</v>
      </c>
      <c r="NN618" s="27" t="s">
        <v>7</v>
      </c>
      <c r="NW618" s="27" t="s">
        <v>8</v>
      </c>
      <c r="NX618" s="27" t="s">
        <v>7</v>
      </c>
      <c r="NY618" s="27" t="s">
        <v>8</v>
      </c>
      <c r="NZ618" s="27" t="s">
        <v>7</v>
      </c>
      <c r="OA618" s="27" t="s">
        <v>8</v>
      </c>
      <c r="OB618" s="27" t="s">
        <v>7</v>
      </c>
      <c r="OD618" s="27" t="s">
        <v>7</v>
      </c>
    </row>
    <row r="619" spans="1:394" x14ac:dyDescent="0.25">
      <c r="A619" s="7">
        <v>0.53063330351779314</v>
      </c>
      <c r="B619"/>
      <c r="C619"/>
      <c r="D619"/>
      <c r="E619"/>
      <c r="F619" s="27" t="s">
        <v>7</v>
      </c>
      <c r="IM619" s="27" t="s">
        <v>8</v>
      </c>
      <c r="IN619" s="27" t="s">
        <v>7</v>
      </c>
      <c r="IQ619" s="27" t="s">
        <v>8</v>
      </c>
      <c r="IR619" s="27" t="s">
        <v>7</v>
      </c>
      <c r="JI619" s="27" t="s">
        <v>8</v>
      </c>
      <c r="JJ619" s="27" t="s">
        <v>7</v>
      </c>
      <c r="JM619" s="27" t="s">
        <v>8</v>
      </c>
      <c r="JN619" s="27" t="s">
        <v>7</v>
      </c>
      <c r="JO619" s="27" t="s">
        <v>8</v>
      </c>
      <c r="JR619" s="27" t="s">
        <v>7</v>
      </c>
      <c r="JS619" s="27" t="s">
        <v>8</v>
      </c>
      <c r="JX619" s="27" t="s">
        <v>7</v>
      </c>
      <c r="JY619" s="27" t="s">
        <v>8</v>
      </c>
      <c r="JZ619" s="27" t="s">
        <v>7</v>
      </c>
      <c r="KC619" s="27" t="s">
        <v>8</v>
      </c>
      <c r="KD619" s="27" t="s">
        <v>7</v>
      </c>
      <c r="KE619" s="27" t="s">
        <v>8</v>
      </c>
      <c r="KF619" s="27" t="s">
        <v>7</v>
      </c>
      <c r="KG619" s="27" t="s">
        <v>8</v>
      </c>
      <c r="KH619" s="27" t="s">
        <v>7</v>
      </c>
      <c r="KI619" s="27" t="s">
        <v>8</v>
      </c>
      <c r="KJ619" s="27" t="s">
        <v>7</v>
      </c>
      <c r="KO619" s="27" t="s">
        <v>8</v>
      </c>
      <c r="MM619" s="27" t="s">
        <v>8</v>
      </c>
      <c r="MN619" s="27" t="s">
        <v>7</v>
      </c>
      <c r="MO619" s="27" t="s">
        <v>8</v>
      </c>
      <c r="MP619" s="27" t="s">
        <v>7</v>
      </c>
      <c r="MQ619" s="27" t="s">
        <v>8</v>
      </c>
      <c r="MR619" s="27" t="s">
        <v>7</v>
      </c>
      <c r="MS619" s="27" t="s">
        <v>8</v>
      </c>
      <c r="MT619" s="27" t="s">
        <v>7</v>
      </c>
      <c r="MU619" s="27" t="s">
        <v>8</v>
      </c>
      <c r="NA619" s="27" t="s">
        <v>8</v>
      </c>
      <c r="NB619" s="27" t="s">
        <v>7</v>
      </c>
      <c r="NC619" s="27" t="s">
        <v>8</v>
      </c>
      <c r="ND619" s="27" t="s">
        <v>7</v>
      </c>
      <c r="NE619" s="27" t="s">
        <v>8</v>
      </c>
      <c r="NF619" s="27" t="s">
        <v>7</v>
      </c>
      <c r="NG619" s="27" t="s">
        <v>8</v>
      </c>
      <c r="NH619" s="27" t="s">
        <v>7</v>
      </c>
      <c r="NM619" s="27" t="s">
        <v>8</v>
      </c>
      <c r="NN619" s="27" t="s">
        <v>7</v>
      </c>
      <c r="NO619" s="27" t="s">
        <v>8</v>
      </c>
      <c r="NW619" s="27" t="s">
        <v>8</v>
      </c>
      <c r="NX619" s="27" t="s">
        <v>7</v>
      </c>
      <c r="NY619" s="27" t="s">
        <v>8</v>
      </c>
      <c r="NZ619" s="27" t="s">
        <v>7</v>
      </c>
      <c r="OA619" s="27" t="s">
        <v>8</v>
      </c>
      <c r="OD619" s="27" t="s">
        <v>7</v>
      </c>
    </row>
    <row r="620" spans="1:394" x14ac:dyDescent="0.25">
      <c r="A620" s="7">
        <v>0.52022872893901284</v>
      </c>
      <c r="B620"/>
      <c r="C620"/>
      <c r="D620"/>
      <c r="E620"/>
      <c r="F620" s="27" t="s">
        <v>7</v>
      </c>
      <c r="IM620" s="27" t="s">
        <v>8</v>
      </c>
      <c r="IN620" s="27" t="s">
        <v>7</v>
      </c>
      <c r="IQ620" s="27" t="s">
        <v>8</v>
      </c>
      <c r="IR620" s="27" t="s">
        <v>7</v>
      </c>
      <c r="JI620" s="27" t="s">
        <v>8</v>
      </c>
      <c r="JJ620" s="27" t="s">
        <v>7</v>
      </c>
      <c r="JM620" s="27" t="s">
        <v>8</v>
      </c>
      <c r="JN620" s="27" t="s">
        <v>7</v>
      </c>
      <c r="JR620" s="27" t="s">
        <v>7</v>
      </c>
      <c r="JS620" s="27" t="s">
        <v>8</v>
      </c>
      <c r="JX620" s="27" t="s">
        <v>7</v>
      </c>
      <c r="JY620" s="27" t="s">
        <v>8</v>
      </c>
      <c r="JZ620" s="27" t="s">
        <v>7</v>
      </c>
      <c r="KC620" s="27" t="s">
        <v>8</v>
      </c>
      <c r="KD620" s="27" t="s">
        <v>7</v>
      </c>
      <c r="KE620" s="27" t="s">
        <v>8</v>
      </c>
      <c r="KF620" s="27" t="s">
        <v>7</v>
      </c>
      <c r="KH620" s="27" t="s">
        <v>7</v>
      </c>
      <c r="KI620" s="27" t="s">
        <v>8</v>
      </c>
      <c r="KJ620" s="27" t="s">
        <v>7</v>
      </c>
      <c r="KO620" s="27" t="s">
        <v>8</v>
      </c>
      <c r="KP620" s="27" t="s">
        <v>7</v>
      </c>
      <c r="MM620" s="27" t="s">
        <v>8</v>
      </c>
      <c r="MN620" s="27" t="s">
        <v>7</v>
      </c>
      <c r="MO620" s="27" t="s">
        <v>8</v>
      </c>
      <c r="MP620" s="27" t="s">
        <v>7</v>
      </c>
      <c r="MQ620" s="27" t="s">
        <v>8</v>
      </c>
      <c r="MR620" s="27" t="s">
        <v>7</v>
      </c>
      <c r="MS620" s="27" t="s">
        <v>8</v>
      </c>
      <c r="MT620" s="27" t="s">
        <v>7</v>
      </c>
      <c r="MU620" s="27" t="s">
        <v>8</v>
      </c>
      <c r="MV620" s="27" t="s">
        <v>7</v>
      </c>
      <c r="NA620" s="27" t="s">
        <v>8</v>
      </c>
      <c r="NB620" s="27" t="s">
        <v>7</v>
      </c>
      <c r="NC620" s="27" t="s">
        <v>8</v>
      </c>
      <c r="ND620" s="27" t="s">
        <v>7</v>
      </c>
      <c r="NF620" s="27" t="s">
        <v>7</v>
      </c>
      <c r="NG620" s="27" t="s">
        <v>8</v>
      </c>
      <c r="NH620" s="27" t="s">
        <v>7</v>
      </c>
      <c r="NM620" s="27" t="s">
        <v>8</v>
      </c>
      <c r="NN620" s="27" t="s">
        <v>7</v>
      </c>
      <c r="NO620" s="27" t="s">
        <v>8</v>
      </c>
      <c r="NP620" s="27" t="s">
        <v>7</v>
      </c>
      <c r="NU620" s="27" t="s">
        <v>8</v>
      </c>
      <c r="NW620" s="27" t="s">
        <v>8</v>
      </c>
      <c r="NX620" s="27" t="s">
        <v>7</v>
      </c>
      <c r="NZ620" s="27" t="s">
        <v>7</v>
      </c>
      <c r="OA620" s="27" t="s">
        <v>8</v>
      </c>
      <c r="OD620" s="27" t="s">
        <v>7</v>
      </c>
    </row>
    <row r="621" spans="1:394" x14ac:dyDescent="0.25">
      <c r="A621" s="7">
        <v>0.51002816562648323</v>
      </c>
      <c r="B621"/>
      <c r="C621"/>
      <c r="D621"/>
      <c r="E621"/>
      <c r="F621" s="27" t="s">
        <v>7</v>
      </c>
      <c r="IM621" s="27" t="s">
        <v>8</v>
      </c>
      <c r="IN621" s="27" t="s">
        <v>7</v>
      </c>
      <c r="IQ621" s="27" t="s">
        <v>8</v>
      </c>
      <c r="IR621" s="27" t="s">
        <v>7</v>
      </c>
      <c r="JI621" s="27" t="s">
        <v>8</v>
      </c>
      <c r="JJ621" s="27" t="s">
        <v>7</v>
      </c>
      <c r="JM621" s="27" t="s">
        <v>8</v>
      </c>
      <c r="JR621" s="27" t="s">
        <v>7</v>
      </c>
      <c r="JS621" s="27" t="s">
        <v>8</v>
      </c>
      <c r="JX621" s="27" t="s">
        <v>7</v>
      </c>
      <c r="JY621" s="27" t="s">
        <v>8</v>
      </c>
      <c r="JZ621" s="27" t="s">
        <v>7</v>
      </c>
      <c r="KC621" s="27" t="s">
        <v>8</v>
      </c>
      <c r="KD621" s="27" t="s">
        <v>7</v>
      </c>
      <c r="KE621" s="27" t="s">
        <v>8</v>
      </c>
      <c r="KH621" s="27" t="s">
        <v>7</v>
      </c>
      <c r="KI621" s="27" t="s">
        <v>8</v>
      </c>
      <c r="KJ621" s="27" t="s">
        <v>7</v>
      </c>
      <c r="KK621" s="27" t="s">
        <v>8</v>
      </c>
      <c r="KO621" s="27" t="s">
        <v>8</v>
      </c>
      <c r="KP621" s="27" t="s">
        <v>7</v>
      </c>
      <c r="MM621" s="27" t="s">
        <v>8</v>
      </c>
      <c r="MN621" s="27" t="s">
        <v>7</v>
      </c>
      <c r="MO621" s="27" t="s">
        <v>8</v>
      </c>
      <c r="MP621" s="27" t="s">
        <v>7</v>
      </c>
      <c r="MQ621" s="27" t="s">
        <v>8</v>
      </c>
      <c r="MR621" s="27" t="s">
        <v>7</v>
      </c>
      <c r="MS621" s="27" t="s">
        <v>8</v>
      </c>
      <c r="MT621" s="27" t="s">
        <v>7</v>
      </c>
      <c r="MU621" s="27" t="s">
        <v>8</v>
      </c>
      <c r="MV621" s="27" t="s">
        <v>7</v>
      </c>
      <c r="NA621" s="27" t="s">
        <v>8</v>
      </c>
      <c r="NB621" s="27" t="s">
        <v>7</v>
      </c>
      <c r="NC621" s="27" t="s">
        <v>8</v>
      </c>
      <c r="NF621" s="27" t="s">
        <v>7</v>
      </c>
      <c r="NG621" s="27" t="s">
        <v>8</v>
      </c>
      <c r="NH621" s="27" t="s">
        <v>7</v>
      </c>
      <c r="NM621" s="27" t="s">
        <v>8</v>
      </c>
      <c r="NN621" s="27" t="s">
        <v>7</v>
      </c>
      <c r="NO621" s="27" t="s">
        <v>8</v>
      </c>
      <c r="NP621" s="27" t="s">
        <v>7</v>
      </c>
      <c r="NU621" s="27" t="s">
        <v>8</v>
      </c>
      <c r="NV621" s="27" t="s">
        <v>7</v>
      </c>
      <c r="NW621" s="27" t="s">
        <v>8</v>
      </c>
      <c r="NZ621" s="27" t="s">
        <v>7</v>
      </c>
      <c r="OA621" s="27" t="s">
        <v>8</v>
      </c>
      <c r="OD621" s="27" t="s">
        <v>7</v>
      </c>
    </row>
    <row r="622" spans="1:394" x14ac:dyDescent="0.25">
      <c r="A622" s="7">
        <v>0.50002761335929735</v>
      </c>
      <c r="B622"/>
      <c r="C622"/>
      <c r="D622"/>
      <c r="E622"/>
      <c r="F622" s="27" t="s">
        <v>7</v>
      </c>
      <c r="IM622" s="27" t="s">
        <v>8</v>
      </c>
      <c r="IN622" s="27" t="s">
        <v>7</v>
      </c>
      <c r="IQ622" s="27" t="s">
        <v>8</v>
      </c>
      <c r="IR622" s="27" t="s">
        <v>7</v>
      </c>
      <c r="JG622" s="27" t="s">
        <v>8</v>
      </c>
      <c r="JI622" s="27" t="s">
        <v>8</v>
      </c>
      <c r="JJ622" s="27" t="s">
        <v>7</v>
      </c>
      <c r="JK622" s="27" t="s">
        <v>8</v>
      </c>
      <c r="JM622" s="27" t="s">
        <v>8</v>
      </c>
      <c r="JR622" s="27" t="s">
        <v>7</v>
      </c>
      <c r="JX622" s="27" t="s">
        <v>7</v>
      </c>
      <c r="JY622" s="27" t="s">
        <v>8</v>
      </c>
      <c r="JZ622" s="27" t="s">
        <v>7</v>
      </c>
      <c r="KC622" s="27" t="s">
        <v>8</v>
      </c>
      <c r="KD622" s="27" t="s">
        <v>7</v>
      </c>
      <c r="KE622" s="27" t="s">
        <v>8</v>
      </c>
      <c r="KH622" s="27" t="s">
        <v>7</v>
      </c>
      <c r="KI622" s="27" t="s">
        <v>8</v>
      </c>
      <c r="KJ622" s="27" t="s">
        <v>7</v>
      </c>
      <c r="KK622" s="27" t="s">
        <v>8</v>
      </c>
      <c r="KL622" s="27" t="s">
        <v>7</v>
      </c>
      <c r="KO622" s="27" t="s">
        <v>8</v>
      </c>
      <c r="KP622" s="27" t="s">
        <v>7</v>
      </c>
      <c r="MM622" s="27" t="s">
        <v>8</v>
      </c>
      <c r="MN622" s="27" t="s">
        <v>7</v>
      </c>
      <c r="MO622" s="27" t="s">
        <v>8</v>
      </c>
      <c r="MP622" s="27" t="s">
        <v>7</v>
      </c>
      <c r="MQ622" s="27" t="s">
        <v>8</v>
      </c>
      <c r="MR622" s="27" t="s">
        <v>7</v>
      </c>
      <c r="MS622" s="27" t="s">
        <v>8</v>
      </c>
      <c r="MT622" s="27" t="s">
        <v>7</v>
      </c>
      <c r="MU622" s="27" t="s">
        <v>8</v>
      </c>
      <c r="MV622" s="27" t="s">
        <v>7</v>
      </c>
      <c r="NA622" s="27" t="s">
        <v>8</v>
      </c>
      <c r="NB622" s="27" t="s">
        <v>7</v>
      </c>
      <c r="NC622" s="27" t="s">
        <v>8</v>
      </c>
      <c r="NF622" s="27" t="s">
        <v>7</v>
      </c>
      <c r="NG622" s="27" t="s">
        <v>8</v>
      </c>
      <c r="NH622" s="27" t="s">
        <v>7</v>
      </c>
      <c r="NM622" s="27" t="s">
        <v>8</v>
      </c>
      <c r="NN622" s="27" t="s">
        <v>7</v>
      </c>
      <c r="NO622" s="27" t="s">
        <v>8</v>
      </c>
      <c r="NP622" s="27" t="s">
        <v>7</v>
      </c>
      <c r="NS622" s="27" t="s">
        <v>8</v>
      </c>
      <c r="NU622" s="27" t="s">
        <v>8</v>
      </c>
      <c r="NV622" s="27" t="s">
        <v>7</v>
      </c>
      <c r="NW622" s="27" t="s">
        <v>8</v>
      </c>
      <c r="NZ622" s="27" t="s">
        <v>7</v>
      </c>
      <c r="OA622" s="27" t="s">
        <v>8</v>
      </c>
      <c r="OD622" s="27" t="s">
        <v>7</v>
      </c>
    </row>
    <row r="623" spans="1:394" x14ac:dyDescent="0.25">
      <c r="A623" s="7">
        <v>0.49022315035225228</v>
      </c>
      <c r="B623"/>
      <c r="C623"/>
      <c r="D623"/>
      <c r="E623"/>
      <c r="F623" s="27" t="s">
        <v>7</v>
      </c>
      <c r="IM623" s="27" t="s">
        <v>8</v>
      </c>
      <c r="IN623" s="27" t="s">
        <v>7</v>
      </c>
      <c r="IO623" s="27" t="s">
        <v>8</v>
      </c>
      <c r="IQ623" s="27" t="s">
        <v>8</v>
      </c>
      <c r="IR623" s="27" t="s">
        <v>7</v>
      </c>
      <c r="JG623" s="27" t="s">
        <v>8</v>
      </c>
      <c r="JH623" s="27" t="s">
        <v>7</v>
      </c>
      <c r="JI623" s="27" t="s">
        <v>8</v>
      </c>
      <c r="JJ623" s="27" t="s">
        <v>7</v>
      </c>
      <c r="JK623" s="27" t="s">
        <v>8</v>
      </c>
      <c r="JL623" s="27" t="s">
        <v>7</v>
      </c>
      <c r="JM623" s="27" t="s">
        <v>8</v>
      </c>
      <c r="JX623" s="27" t="s">
        <v>7</v>
      </c>
      <c r="JY623" s="27" t="s">
        <v>8</v>
      </c>
      <c r="JZ623" s="27" t="s">
        <v>7</v>
      </c>
      <c r="KC623" s="27" t="s">
        <v>8</v>
      </c>
      <c r="KD623" s="27" t="s">
        <v>7</v>
      </c>
      <c r="KH623" s="27" t="s">
        <v>7</v>
      </c>
      <c r="KI623" s="27" t="s">
        <v>8</v>
      </c>
      <c r="KJ623" s="27" t="s">
        <v>7</v>
      </c>
      <c r="KK623" s="27" t="s">
        <v>8</v>
      </c>
      <c r="KL623" s="27" t="s">
        <v>7</v>
      </c>
      <c r="KO623" s="27" t="s">
        <v>8</v>
      </c>
      <c r="KP623" s="27" t="s">
        <v>7</v>
      </c>
      <c r="MM623" s="27" t="s">
        <v>8</v>
      </c>
      <c r="MN623" s="27" t="s">
        <v>7</v>
      </c>
      <c r="MO623" s="27" t="s">
        <v>8</v>
      </c>
      <c r="MP623" s="27" t="s">
        <v>7</v>
      </c>
      <c r="MR623" s="27" t="s">
        <v>7</v>
      </c>
      <c r="MS623" s="27" t="s">
        <v>8</v>
      </c>
      <c r="MT623" s="27" t="s">
        <v>7</v>
      </c>
      <c r="MU623" s="27" t="s">
        <v>8</v>
      </c>
      <c r="MV623" s="27" t="s">
        <v>7</v>
      </c>
      <c r="MW623" s="27" t="s">
        <v>8</v>
      </c>
      <c r="NA623" s="27" t="s">
        <v>8</v>
      </c>
      <c r="NB623" s="27" t="s">
        <v>7</v>
      </c>
      <c r="NF623" s="27" t="s">
        <v>7</v>
      </c>
      <c r="NG623" s="27" t="s">
        <v>8</v>
      </c>
      <c r="NH623" s="27" t="s">
        <v>7</v>
      </c>
      <c r="NI623" s="27" t="s">
        <v>8</v>
      </c>
      <c r="NK623" s="27" t="s">
        <v>8</v>
      </c>
      <c r="NM623" s="27" t="s">
        <v>8</v>
      </c>
      <c r="NN623" s="27" t="s">
        <v>7</v>
      </c>
      <c r="NO623" s="27" t="s">
        <v>8</v>
      </c>
      <c r="NP623" s="27" t="s">
        <v>7</v>
      </c>
      <c r="NS623" s="27" t="s">
        <v>8</v>
      </c>
      <c r="NT623" s="27" t="s">
        <v>7</v>
      </c>
      <c r="NU623" s="27" t="s">
        <v>8</v>
      </c>
      <c r="NV623" s="27" t="s">
        <v>7</v>
      </c>
      <c r="NW623" s="27" t="s">
        <v>8</v>
      </c>
      <c r="NZ623" s="27" t="s">
        <v>7</v>
      </c>
      <c r="OD623" s="27" t="s">
        <v>7</v>
      </c>
    </row>
    <row r="624" spans="1:394" x14ac:dyDescent="0.25">
      <c r="A624" s="7">
        <v>0.48061093171789437</v>
      </c>
      <c r="B624"/>
      <c r="C624"/>
      <c r="D624"/>
      <c r="E624"/>
      <c r="F624" s="27" t="s">
        <v>7</v>
      </c>
      <c r="IM624" s="27" t="s">
        <v>8</v>
      </c>
      <c r="IN624" s="27" t="s">
        <v>7</v>
      </c>
      <c r="IO624" s="27" t="s">
        <v>8</v>
      </c>
      <c r="IP624" s="27" t="s">
        <v>7</v>
      </c>
      <c r="IQ624" s="27" t="s">
        <v>8</v>
      </c>
      <c r="IR624" s="27" t="s">
        <v>7</v>
      </c>
      <c r="IS624" s="27" t="s">
        <v>8</v>
      </c>
      <c r="JA624" s="27" t="s">
        <v>8</v>
      </c>
      <c r="JC624" s="27" t="s">
        <v>8</v>
      </c>
      <c r="JG624" s="27" t="s">
        <v>8</v>
      </c>
      <c r="JH624" s="27" t="s">
        <v>7</v>
      </c>
      <c r="JI624" s="27" t="s">
        <v>8</v>
      </c>
      <c r="JJ624" s="27" t="s">
        <v>7</v>
      </c>
      <c r="JK624" s="27" t="s">
        <v>8</v>
      </c>
      <c r="JL624" s="27" t="s">
        <v>7</v>
      </c>
      <c r="JM624" s="27" t="s">
        <v>8</v>
      </c>
      <c r="JX624" s="27" t="s">
        <v>7</v>
      </c>
      <c r="JY624" s="27" t="s">
        <v>8</v>
      </c>
      <c r="JZ624" s="27" t="s">
        <v>7</v>
      </c>
      <c r="KC624" s="27" t="s">
        <v>8</v>
      </c>
      <c r="KH624" s="27" t="s">
        <v>7</v>
      </c>
      <c r="KJ624" s="27" t="s">
        <v>7</v>
      </c>
      <c r="KK624" s="27" t="s">
        <v>8</v>
      </c>
      <c r="KL624" s="27" t="s">
        <v>7</v>
      </c>
      <c r="KO624" s="27" t="s">
        <v>8</v>
      </c>
      <c r="KP624" s="27" t="s">
        <v>7</v>
      </c>
      <c r="MM624" s="27" t="s">
        <v>8</v>
      </c>
      <c r="MN624" s="27" t="s">
        <v>7</v>
      </c>
      <c r="MO624" s="27" t="s">
        <v>8</v>
      </c>
      <c r="MR624" s="27" t="s">
        <v>7</v>
      </c>
      <c r="MS624" s="27" t="s">
        <v>8</v>
      </c>
      <c r="MT624" s="27" t="s">
        <v>7</v>
      </c>
      <c r="MU624" s="27" t="s">
        <v>8</v>
      </c>
      <c r="MV624" s="27" t="s">
        <v>7</v>
      </c>
      <c r="MW624" s="27" t="s">
        <v>8</v>
      </c>
      <c r="MX624" s="27" t="s">
        <v>7</v>
      </c>
      <c r="NA624" s="27" t="s">
        <v>8</v>
      </c>
      <c r="NF624" s="27" t="s">
        <v>7</v>
      </c>
      <c r="NG624" s="27" t="s">
        <v>8</v>
      </c>
      <c r="NH624" s="27" t="s">
        <v>7</v>
      </c>
      <c r="NI624" s="27" t="s">
        <v>8</v>
      </c>
      <c r="NJ624" s="27" t="s">
        <v>7</v>
      </c>
      <c r="NK624" s="27" t="s">
        <v>8</v>
      </c>
      <c r="NL624" s="27" t="s">
        <v>7</v>
      </c>
      <c r="NM624" s="27" t="s">
        <v>8</v>
      </c>
      <c r="NN624" s="27" t="s">
        <v>7</v>
      </c>
      <c r="NO624" s="27" t="s">
        <v>8</v>
      </c>
      <c r="NP624" s="27" t="s">
        <v>7</v>
      </c>
      <c r="NS624" s="27" t="s">
        <v>8</v>
      </c>
      <c r="NT624" s="27" t="s">
        <v>7</v>
      </c>
      <c r="NU624" s="27" t="s">
        <v>8</v>
      </c>
      <c r="NV624" s="27" t="s">
        <v>7</v>
      </c>
      <c r="NW624" s="27" t="s">
        <v>8</v>
      </c>
      <c r="OD624" s="27" t="s">
        <v>7</v>
      </c>
    </row>
    <row r="625" spans="1:408" x14ac:dyDescent="0.25">
      <c r="A625" s="7">
        <v>0.47118718795871994</v>
      </c>
      <c r="B625"/>
      <c r="C625"/>
      <c r="D625"/>
      <c r="E625"/>
      <c r="F625" s="27" t="s">
        <v>7</v>
      </c>
      <c r="IM625" s="27" t="s">
        <v>8</v>
      </c>
      <c r="IN625" s="27" t="s">
        <v>7</v>
      </c>
      <c r="IO625" s="27" t="s">
        <v>8</v>
      </c>
      <c r="IP625" s="27" t="s">
        <v>7</v>
      </c>
      <c r="IQ625" s="27" t="s">
        <v>8</v>
      </c>
      <c r="IR625" s="27" t="s">
        <v>7</v>
      </c>
      <c r="IS625" s="27" t="s">
        <v>8</v>
      </c>
      <c r="IT625" s="27" t="s">
        <v>7</v>
      </c>
      <c r="JA625" s="27" t="s">
        <v>8</v>
      </c>
      <c r="JB625" s="27" t="s">
        <v>7</v>
      </c>
      <c r="JC625" s="27" t="s">
        <v>8</v>
      </c>
      <c r="JD625" s="27" t="s">
        <v>7</v>
      </c>
      <c r="JG625" s="27" t="s">
        <v>8</v>
      </c>
      <c r="JH625" s="27" t="s">
        <v>7</v>
      </c>
      <c r="JI625" s="27" t="s">
        <v>8</v>
      </c>
      <c r="JJ625" s="27" t="s">
        <v>7</v>
      </c>
      <c r="JK625" s="27" t="s">
        <v>8</v>
      </c>
      <c r="JL625" s="27" t="s">
        <v>7</v>
      </c>
      <c r="JM625" s="27" t="s">
        <v>8</v>
      </c>
      <c r="JX625" s="27" t="s">
        <v>7</v>
      </c>
      <c r="JY625" s="27" t="s">
        <v>8</v>
      </c>
      <c r="JZ625" s="27" t="s">
        <v>7</v>
      </c>
      <c r="KC625" s="27" t="s">
        <v>8</v>
      </c>
      <c r="KJ625" s="27" t="s">
        <v>7</v>
      </c>
      <c r="KK625" s="27" t="s">
        <v>8</v>
      </c>
      <c r="KL625" s="27" t="s">
        <v>7</v>
      </c>
      <c r="KO625" s="27" t="s">
        <v>8</v>
      </c>
      <c r="KP625" s="27" t="s">
        <v>7</v>
      </c>
      <c r="MM625" s="27" t="s">
        <v>8</v>
      </c>
      <c r="MN625" s="27" t="s">
        <v>7</v>
      </c>
      <c r="MO625" s="27" t="s">
        <v>8</v>
      </c>
      <c r="MR625" s="27" t="s">
        <v>7</v>
      </c>
      <c r="MS625" s="27" t="s">
        <v>8</v>
      </c>
      <c r="MT625" s="27" t="s">
        <v>7</v>
      </c>
      <c r="MU625" s="27" t="s">
        <v>8</v>
      </c>
      <c r="MV625" s="27" t="s">
        <v>7</v>
      </c>
      <c r="MW625" s="27" t="s">
        <v>8</v>
      </c>
      <c r="MX625" s="27" t="s">
        <v>7</v>
      </c>
      <c r="NA625" s="27" t="s">
        <v>8</v>
      </c>
      <c r="NF625" s="27" t="s">
        <v>7</v>
      </c>
      <c r="NG625" s="27" t="s">
        <v>8</v>
      </c>
      <c r="NH625" s="27" t="s">
        <v>7</v>
      </c>
      <c r="NI625" s="27" t="s">
        <v>8</v>
      </c>
      <c r="NJ625" s="27" t="s">
        <v>7</v>
      </c>
      <c r="NK625" s="27" t="s">
        <v>8</v>
      </c>
      <c r="NL625" s="27" t="s">
        <v>7</v>
      </c>
      <c r="NM625" s="27" t="s">
        <v>8</v>
      </c>
      <c r="NN625" s="27" t="s">
        <v>7</v>
      </c>
      <c r="NO625" s="27" t="s">
        <v>8</v>
      </c>
      <c r="NP625" s="27" t="s">
        <v>7</v>
      </c>
      <c r="NQ625" s="27" t="s">
        <v>8</v>
      </c>
      <c r="NS625" s="27" t="s">
        <v>8</v>
      </c>
      <c r="NT625" s="27" t="s">
        <v>7</v>
      </c>
      <c r="NU625" s="27" t="s">
        <v>8</v>
      </c>
      <c r="NV625" s="27" t="s">
        <v>7</v>
      </c>
      <c r="NW625" s="27" t="s">
        <v>8</v>
      </c>
      <c r="OD625" s="27" t="s">
        <v>7</v>
      </c>
    </row>
    <row r="626" spans="1:408" x14ac:dyDescent="0.25">
      <c r="A626" s="7">
        <v>0.46194822348894116</v>
      </c>
      <c r="B626"/>
      <c r="C626"/>
      <c r="D626"/>
      <c r="E626"/>
      <c r="F626" s="27" t="s">
        <v>7</v>
      </c>
      <c r="IM626" s="27" t="s">
        <v>8</v>
      </c>
      <c r="IN626" s="27" t="s">
        <v>7</v>
      </c>
      <c r="IO626" s="27" t="s">
        <v>8</v>
      </c>
      <c r="IP626" s="27" t="s">
        <v>7</v>
      </c>
      <c r="IQ626" s="27" t="s">
        <v>8</v>
      </c>
      <c r="IR626" s="27" t="s">
        <v>7</v>
      </c>
      <c r="IS626" s="27" t="s">
        <v>8</v>
      </c>
      <c r="IT626" s="27" t="s">
        <v>7</v>
      </c>
      <c r="JA626" s="27" t="s">
        <v>8</v>
      </c>
      <c r="JB626" s="27" t="s">
        <v>7</v>
      </c>
      <c r="JC626" s="27" t="s">
        <v>8</v>
      </c>
      <c r="JD626" s="27" t="s">
        <v>7</v>
      </c>
      <c r="JE626" s="27" t="s">
        <v>8</v>
      </c>
      <c r="JG626" s="27" t="s">
        <v>8</v>
      </c>
      <c r="JH626" s="27" t="s">
        <v>7</v>
      </c>
      <c r="JI626" s="27" t="s">
        <v>8</v>
      </c>
      <c r="JJ626" s="27" t="s">
        <v>7</v>
      </c>
      <c r="JK626" s="27" t="s">
        <v>8</v>
      </c>
      <c r="JL626" s="27" t="s">
        <v>7</v>
      </c>
      <c r="JX626" s="27" t="s">
        <v>7</v>
      </c>
      <c r="JY626" s="27" t="s">
        <v>8</v>
      </c>
      <c r="JZ626" s="27" t="s">
        <v>7</v>
      </c>
      <c r="KA626" s="27" t="s">
        <v>8</v>
      </c>
      <c r="KC626" s="27" t="s">
        <v>8</v>
      </c>
      <c r="KJ626" s="27" t="s">
        <v>7</v>
      </c>
      <c r="KK626" s="27" t="s">
        <v>8</v>
      </c>
      <c r="KL626" s="27" t="s">
        <v>7</v>
      </c>
      <c r="KO626" s="27" t="s">
        <v>8</v>
      </c>
      <c r="KP626" s="27" t="s">
        <v>7</v>
      </c>
      <c r="MM626" s="27" t="s">
        <v>8</v>
      </c>
      <c r="MN626" s="27" t="s">
        <v>7</v>
      </c>
      <c r="MO626" s="27" t="s">
        <v>8</v>
      </c>
      <c r="MR626" s="27" t="s">
        <v>7</v>
      </c>
      <c r="MT626" s="27" t="s">
        <v>7</v>
      </c>
      <c r="MU626" s="27" t="s">
        <v>8</v>
      </c>
      <c r="MV626" s="27" t="s">
        <v>7</v>
      </c>
      <c r="MW626" s="27" t="s">
        <v>8</v>
      </c>
      <c r="MX626" s="27" t="s">
        <v>7</v>
      </c>
      <c r="NA626" s="27" t="s">
        <v>8</v>
      </c>
      <c r="NF626" s="27" t="s">
        <v>7</v>
      </c>
      <c r="NG626" s="27" t="s">
        <v>8</v>
      </c>
      <c r="NH626" s="27" t="s">
        <v>7</v>
      </c>
      <c r="NJ626" s="27" t="s">
        <v>7</v>
      </c>
      <c r="NL626" s="27" t="s">
        <v>7</v>
      </c>
      <c r="NM626" s="27" t="s">
        <v>8</v>
      </c>
      <c r="NN626" s="27" t="s">
        <v>7</v>
      </c>
      <c r="NO626" s="27" t="s">
        <v>8</v>
      </c>
      <c r="NP626" s="27" t="s">
        <v>7</v>
      </c>
      <c r="NQ626" s="27" t="s">
        <v>8</v>
      </c>
      <c r="NR626" s="27" t="s">
        <v>7</v>
      </c>
      <c r="NS626" s="27" t="s">
        <v>8</v>
      </c>
      <c r="NT626" s="27" t="s">
        <v>7</v>
      </c>
      <c r="NU626" s="27" t="s">
        <v>8</v>
      </c>
      <c r="NV626" s="27" t="s">
        <v>7</v>
      </c>
      <c r="NW626" s="27" t="s">
        <v>8</v>
      </c>
      <c r="OD626" s="27" t="s">
        <v>7</v>
      </c>
    </row>
    <row r="627" spans="1:408" x14ac:dyDescent="0.25">
      <c r="A627" s="7">
        <v>0.45289041518523643</v>
      </c>
      <c r="B627"/>
      <c r="C627"/>
      <c r="D627"/>
      <c r="E627"/>
      <c r="F627" s="27" t="s">
        <v>7</v>
      </c>
      <c r="IM627" s="27" t="s">
        <v>8</v>
      </c>
      <c r="IN627" s="27" t="s">
        <v>7</v>
      </c>
      <c r="IO627" s="27" t="s">
        <v>8</v>
      </c>
      <c r="IP627" s="27" t="s">
        <v>7</v>
      </c>
      <c r="IQ627" s="27" t="s">
        <v>8</v>
      </c>
      <c r="IR627" s="27" t="s">
        <v>7</v>
      </c>
      <c r="IS627" s="27" t="s">
        <v>8</v>
      </c>
      <c r="IT627" s="27" t="s">
        <v>7</v>
      </c>
      <c r="JA627" s="27" t="s">
        <v>8</v>
      </c>
      <c r="JB627" s="27" t="s">
        <v>7</v>
      </c>
      <c r="JC627" s="27" t="s">
        <v>8</v>
      </c>
      <c r="JD627" s="27" t="s">
        <v>7</v>
      </c>
      <c r="JE627" s="27" t="s">
        <v>8</v>
      </c>
      <c r="JF627" s="27" t="s">
        <v>7</v>
      </c>
      <c r="JG627" s="27" t="s">
        <v>8</v>
      </c>
      <c r="JH627" s="27" t="s">
        <v>7</v>
      </c>
      <c r="JI627" s="27" t="s">
        <v>8</v>
      </c>
      <c r="JJ627" s="27" t="s">
        <v>7</v>
      </c>
      <c r="JK627" s="27" t="s">
        <v>8</v>
      </c>
      <c r="JX627" s="27" t="s">
        <v>7</v>
      </c>
      <c r="JY627" s="27" t="s">
        <v>8</v>
      </c>
      <c r="JZ627" s="27" t="s">
        <v>7</v>
      </c>
      <c r="KA627" s="27" t="s">
        <v>8</v>
      </c>
      <c r="KB627" s="27" t="s">
        <v>7</v>
      </c>
      <c r="KC627" s="27" t="s">
        <v>8</v>
      </c>
      <c r="KJ627" s="27" t="s">
        <v>7</v>
      </c>
      <c r="KK627" s="27" t="s">
        <v>8</v>
      </c>
      <c r="KL627" s="27" t="s">
        <v>7</v>
      </c>
      <c r="KO627" s="27" t="s">
        <v>8</v>
      </c>
      <c r="KP627" s="27" t="s">
        <v>7</v>
      </c>
      <c r="MM627" s="27" t="s">
        <v>8</v>
      </c>
      <c r="MN627" s="27" t="s">
        <v>7</v>
      </c>
      <c r="MO627" s="27" t="s">
        <v>8</v>
      </c>
      <c r="MT627" s="27" t="s">
        <v>7</v>
      </c>
      <c r="MU627" s="27" t="s">
        <v>8</v>
      </c>
      <c r="MV627" s="27" t="s">
        <v>7</v>
      </c>
      <c r="MW627" s="27" t="s">
        <v>8</v>
      </c>
      <c r="MX627" s="27" t="s">
        <v>7</v>
      </c>
      <c r="NA627" s="27" t="s">
        <v>8</v>
      </c>
      <c r="NF627" s="27" t="s">
        <v>7</v>
      </c>
      <c r="NL627" s="27" t="s">
        <v>7</v>
      </c>
      <c r="NM627" s="27" t="s">
        <v>8</v>
      </c>
      <c r="NN627" s="27" t="s">
        <v>7</v>
      </c>
      <c r="NO627" s="27" t="s">
        <v>8</v>
      </c>
      <c r="NP627" s="27" t="s">
        <v>7</v>
      </c>
      <c r="NQ627" s="27" t="s">
        <v>8</v>
      </c>
      <c r="NR627" s="27" t="s">
        <v>7</v>
      </c>
      <c r="NS627" s="27" t="s">
        <v>8</v>
      </c>
      <c r="NT627" s="27" t="s">
        <v>7</v>
      </c>
      <c r="NU627" s="27" t="s">
        <v>8</v>
      </c>
      <c r="NV627" s="27" t="s">
        <v>7</v>
      </c>
      <c r="NW627" s="27" t="s">
        <v>8</v>
      </c>
      <c r="OD627" s="27" t="s">
        <v>7</v>
      </c>
    </row>
    <row r="628" spans="1:408" x14ac:dyDescent="0.25">
      <c r="A628" s="7">
        <v>0.44401021096591808</v>
      </c>
      <c r="B628"/>
      <c r="C628"/>
      <c r="D628"/>
      <c r="E628"/>
      <c r="F628" s="27" t="s">
        <v>7</v>
      </c>
      <c r="IM628" s="27" t="s">
        <v>8</v>
      </c>
      <c r="IN628" s="27" t="s">
        <v>7</v>
      </c>
      <c r="IO628" s="27" t="s">
        <v>8</v>
      </c>
      <c r="IP628" s="27" t="s">
        <v>7</v>
      </c>
      <c r="IQ628" s="27" t="s">
        <v>8</v>
      </c>
      <c r="IR628" s="27" t="s">
        <v>7</v>
      </c>
      <c r="IS628" s="27" t="s">
        <v>8</v>
      </c>
      <c r="IT628" s="27" t="s">
        <v>7</v>
      </c>
      <c r="JA628" s="27" t="s">
        <v>8</v>
      </c>
      <c r="JB628" s="27" t="s">
        <v>7</v>
      </c>
      <c r="JC628" s="27" t="s">
        <v>8</v>
      </c>
      <c r="JD628" s="27" t="s">
        <v>7</v>
      </c>
      <c r="JE628" s="27" t="s">
        <v>8</v>
      </c>
      <c r="JF628" s="27" t="s">
        <v>7</v>
      </c>
      <c r="JG628" s="27" t="s">
        <v>8</v>
      </c>
      <c r="JH628" s="27" t="s">
        <v>7</v>
      </c>
      <c r="JI628" s="27" t="s">
        <v>8</v>
      </c>
      <c r="JJ628" s="27" t="s">
        <v>7</v>
      </c>
      <c r="JK628" s="27" t="s">
        <v>8</v>
      </c>
      <c r="JX628" s="27" t="s">
        <v>7</v>
      </c>
      <c r="JZ628" s="27" t="s">
        <v>7</v>
      </c>
      <c r="KA628" s="27" t="s">
        <v>8</v>
      </c>
      <c r="KB628" s="27" t="s">
        <v>7</v>
      </c>
      <c r="KC628" s="27" t="s">
        <v>8</v>
      </c>
      <c r="KJ628" s="27" t="s">
        <v>7</v>
      </c>
      <c r="KK628" s="27" t="s">
        <v>8</v>
      </c>
      <c r="KL628" s="27" t="s">
        <v>7</v>
      </c>
      <c r="KM628" s="27" t="s">
        <v>8</v>
      </c>
      <c r="KO628" s="27" t="s">
        <v>8</v>
      </c>
      <c r="KP628" s="27" t="s">
        <v>7</v>
      </c>
      <c r="MM628" s="27" t="s">
        <v>8</v>
      </c>
      <c r="MN628" s="27" t="s">
        <v>7</v>
      </c>
      <c r="MO628" s="27" t="s">
        <v>8</v>
      </c>
      <c r="MT628" s="27" t="s">
        <v>7</v>
      </c>
      <c r="MU628" s="27" t="s">
        <v>8</v>
      </c>
      <c r="MV628" s="27" t="s">
        <v>7</v>
      </c>
      <c r="MX628" s="27" t="s">
        <v>7</v>
      </c>
      <c r="MY628" s="27" t="s">
        <v>8</v>
      </c>
      <c r="NA628" s="27" t="s">
        <v>8</v>
      </c>
      <c r="NL628" s="27" t="s">
        <v>7</v>
      </c>
      <c r="NM628" s="27" t="s">
        <v>8</v>
      </c>
      <c r="NN628" s="27" t="s">
        <v>7</v>
      </c>
      <c r="NP628" s="27" t="s">
        <v>7</v>
      </c>
      <c r="NQ628" s="27" t="s">
        <v>8</v>
      </c>
      <c r="NR628" s="27" t="s">
        <v>7</v>
      </c>
      <c r="NT628" s="27" t="s">
        <v>7</v>
      </c>
      <c r="NU628" s="27" t="s">
        <v>8</v>
      </c>
      <c r="NV628" s="27" t="s">
        <v>7</v>
      </c>
      <c r="OD628" s="27" t="s">
        <v>7</v>
      </c>
    </row>
    <row r="629" spans="1:408" x14ac:dyDescent="0.25">
      <c r="A629" s="7">
        <v>0.4353041283979589</v>
      </c>
      <c r="B629"/>
      <c r="C629"/>
      <c r="D629"/>
      <c r="E629"/>
      <c r="F629" s="27" t="s">
        <v>7</v>
      </c>
      <c r="IM629" s="27" t="s">
        <v>8</v>
      </c>
      <c r="IN629" s="27" t="s">
        <v>7</v>
      </c>
      <c r="IO629" s="27" t="s">
        <v>8</v>
      </c>
      <c r="IP629" s="27" t="s">
        <v>7</v>
      </c>
      <c r="IQ629" s="27" t="s">
        <v>8</v>
      </c>
      <c r="IR629" s="27" t="s">
        <v>7</v>
      </c>
      <c r="IS629" s="27" t="s">
        <v>8</v>
      </c>
      <c r="IT629" s="27" t="s">
        <v>7</v>
      </c>
      <c r="JA629" s="27" t="s">
        <v>8</v>
      </c>
      <c r="JB629" s="27" t="s">
        <v>7</v>
      </c>
      <c r="JC629" s="27" t="s">
        <v>8</v>
      </c>
      <c r="JD629" s="27" t="s">
        <v>7</v>
      </c>
      <c r="JE629" s="27" t="s">
        <v>8</v>
      </c>
      <c r="JF629" s="27" t="s">
        <v>7</v>
      </c>
      <c r="JG629" s="27" t="s">
        <v>8</v>
      </c>
      <c r="JH629" s="27" t="s">
        <v>7</v>
      </c>
      <c r="JI629" s="27" t="s">
        <v>8</v>
      </c>
      <c r="JJ629" s="27" t="s">
        <v>7</v>
      </c>
      <c r="JK629" s="27" t="s">
        <v>8</v>
      </c>
      <c r="JZ629" s="27" t="s">
        <v>7</v>
      </c>
      <c r="KA629" s="27" t="s">
        <v>8</v>
      </c>
      <c r="KB629" s="27" t="s">
        <v>7</v>
      </c>
      <c r="KC629" s="27" t="s">
        <v>8</v>
      </c>
      <c r="KJ629" s="27" t="s">
        <v>7</v>
      </c>
      <c r="KK629" s="27" t="s">
        <v>8</v>
      </c>
      <c r="KL629" s="27" t="s">
        <v>7</v>
      </c>
      <c r="KM629" s="27" t="s">
        <v>8</v>
      </c>
      <c r="KN629" s="27" t="s">
        <v>7</v>
      </c>
      <c r="KO629" s="27" t="s">
        <v>8</v>
      </c>
      <c r="KP629" s="27" t="s">
        <v>7</v>
      </c>
      <c r="MM629" s="27" t="s">
        <v>8</v>
      </c>
      <c r="MN629" s="27" t="s">
        <v>7</v>
      </c>
      <c r="MO629" s="27" t="s">
        <v>8</v>
      </c>
      <c r="MT629" s="27" t="s">
        <v>7</v>
      </c>
      <c r="MU629" s="27" t="s">
        <v>8</v>
      </c>
      <c r="MX629" s="27" t="s">
        <v>7</v>
      </c>
      <c r="MY629" s="27" t="s">
        <v>8</v>
      </c>
      <c r="MZ629" s="27" t="s">
        <v>7</v>
      </c>
      <c r="NA629" s="27" t="s">
        <v>8</v>
      </c>
      <c r="NL629" s="27" t="s">
        <v>7</v>
      </c>
      <c r="NM629" s="27" t="s">
        <v>8</v>
      </c>
      <c r="NP629" s="27" t="s">
        <v>7</v>
      </c>
      <c r="NQ629" s="27" t="s">
        <v>8</v>
      </c>
      <c r="NT629" s="27" t="s">
        <v>7</v>
      </c>
      <c r="NU629" s="27" t="s">
        <v>8</v>
      </c>
      <c r="OD629" s="27" t="s">
        <v>7</v>
      </c>
      <c r="OQ629" s="27" t="s">
        <v>8</v>
      </c>
    </row>
    <row r="630" spans="1:408" x14ac:dyDescent="0.25">
      <c r="A630" s="7">
        <v>0.4267687533313323</v>
      </c>
      <c r="B630"/>
      <c r="C630"/>
      <c r="D630"/>
      <c r="E630"/>
      <c r="F630" s="27" t="s">
        <v>7</v>
      </c>
      <c r="IM630" s="27" t="s">
        <v>8</v>
      </c>
      <c r="IN630" s="27" t="s">
        <v>7</v>
      </c>
      <c r="IO630" s="27" t="s">
        <v>8</v>
      </c>
      <c r="IP630" s="27" t="s">
        <v>7</v>
      </c>
      <c r="IQ630" s="27" t="s">
        <v>8</v>
      </c>
      <c r="IR630" s="27" t="s">
        <v>7</v>
      </c>
      <c r="IS630" s="27" t="s">
        <v>8</v>
      </c>
      <c r="IT630" s="27" t="s">
        <v>7</v>
      </c>
      <c r="JA630" s="27" t="s">
        <v>8</v>
      </c>
      <c r="JB630" s="27" t="s">
        <v>7</v>
      </c>
      <c r="JC630" s="27" t="s">
        <v>8</v>
      </c>
      <c r="JD630" s="27" t="s">
        <v>7</v>
      </c>
      <c r="JE630" s="27" t="s">
        <v>8</v>
      </c>
      <c r="JF630" s="27" t="s">
        <v>7</v>
      </c>
      <c r="JG630" s="27" t="s">
        <v>8</v>
      </c>
      <c r="JH630" s="27" t="s">
        <v>7</v>
      </c>
      <c r="JI630" s="27" t="s">
        <v>8</v>
      </c>
      <c r="JJ630" s="27" t="s">
        <v>7</v>
      </c>
      <c r="JK630" s="27" t="s">
        <v>8</v>
      </c>
      <c r="JZ630" s="27" t="s">
        <v>7</v>
      </c>
      <c r="KA630" s="27" t="s">
        <v>8</v>
      </c>
      <c r="KB630" s="27" t="s">
        <v>7</v>
      </c>
      <c r="KC630" s="27" t="s">
        <v>8</v>
      </c>
      <c r="KJ630" s="27" t="s">
        <v>7</v>
      </c>
      <c r="KL630" s="27" t="s">
        <v>7</v>
      </c>
      <c r="KM630" s="27" t="s">
        <v>8</v>
      </c>
      <c r="KN630" s="27" t="s">
        <v>7</v>
      </c>
      <c r="KO630" s="27" t="s">
        <v>8</v>
      </c>
      <c r="KP630" s="27" t="s">
        <v>7</v>
      </c>
      <c r="MM630" s="27" t="s">
        <v>8</v>
      </c>
      <c r="MN630" s="27" t="s">
        <v>7</v>
      </c>
      <c r="MO630" s="27" t="s">
        <v>8</v>
      </c>
      <c r="MT630" s="27" t="s">
        <v>7</v>
      </c>
      <c r="MU630" s="27" t="s">
        <v>8</v>
      </c>
      <c r="MX630" s="27" t="s">
        <v>7</v>
      </c>
      <c r="MY630" s="27" t="s">
        <v>8</v>
      </c>
      <c r="MZ630" s="27" t="s">
        <v>7</v>
      </c>
      <c r="NA630" s="27" t="s">
        <v>8</v>
      </c>
      <c r="NL630" s="27" t="s">
        <v>7</v>
      </c>
      <c r="NM630" s="27" t="s">
        <v>8</v>
      </c>
      <c r="NP630" s="27" t="s">
        <v>7</v>
      </c>
      <c r="NT630" s="27" t="s">
        <v>7</v>
      </c>
      <c r="NU630" s="27" t="s">
        <v>8</v>
      </c>
      <c r="OD630" s="27" t="s">
        <v>7</v>
      </c>
      <c r="OQ630" s="27" t="s">
        <v>8</v>
      </c>
      <c r="OR630" s="27" t="s">
        <v>7</v>
      </c>
    </row>
    <row r="631" spans="1:408" x14ac:dyDescent="0.25">
      <c r="A631" s="7">
        <v>0.41840073856012971</v>
      </c>
      <c r="B631"/>
      <c r="C631"/>
      <c r="D631"/>
      <c r="E631"/>
      <c r="F631" s="27" t="s">
        <v>7</v>
      </c>
      <c r="IM631" s="27" t="s">
        <v>8</v>
      </c>
      <c r="IN631" s="27" t="s">
        <v>7</v>
      </c>
      <c r="IO631" s="27" t="s">
        <v>8</v>
      </c>
      <c r="IP631" s="27" t="s">
        <v>7</v>
      </c>
      <c r="IQ631" s="27" t="s">
        <v>8</v>
      </c>
      <c r="IR631" s="27" t="s">
        <v>7</v>
      </c>
      <c r="IT631" s="27" t="s">
        <v>7</v>
      </c>
      <c r="IY631" s="27" t="s">
        <v>8</v>
      </c>
      <c r="JA631" s="27" t="s">
        <v>8</v>
      </c>
      <c r="JB631" s="27" t="s">
        <v>7</v>
      </c>
      <c r="JC631" s="27" t="s">
        <v>8</v>
      </c>
      <c r="JD631" s="27" t="s">
        <v>7</v>
      </c>
      <c r="JE631" s="27" t="s">
        <v>8</v>
      </c>
      <c r="JF631" s="27" t="s">
        <v>7</v>
      </c>
      <c r="JG631" s="27" t="s">
        <v>8</v>
      </c>
      <c r="JH631" s="27" t="s">
        <v>7</v>
      </c>
      <c r="JI631" s="27" t="s">
        <v>8</v>
      </c>
      <c r="JJ631" s="27" t="s">
        <v>7</v>
      </c>
      <c r="JK631" s="27" t="s">
        <v>8</v>
      </c>
      <c r="JZ631" s="27" t="s">
        <v>7</v>
      </c>
      <c r="KA631" s="27" t="s">
        <v>8</v>
      </c>
      <c r="KB631" s="27" t="s">
        <v>7</v>
      </c>
      <c r="KC631" s="27" t="s">
        <v>8</v>
      </c>
      <c r="KL631" s="27" t="s">
        <v>7</v>
      </c>
      <c r="KM631" s="27" t="s">
        <v>8</v>
      </c>
      <c r="KN631" s="27" t="s">
        <v>7</v>
      </c>
      <c r="KO631" s="27" t="s">
        <v>8</v>
      </c>
      <c r="KP631" s="27" t="s">
        <v>7</v>
      </c>
      <c r="KQ631" s="27" t="s">
        <v>8</v>
      </c>
      <c r="MM631" s="27" t="s">
        <v>8</v>
      </c>
      <c r="MN631" s="27" t="s">
        <v>7</v>
      </c>
      <c r="MT631" s="27" t="s">
        <v>7</v>
      </c>
      <c r="MU631" s="27" t="s">
        <v>8</v>
      </c>
      <c r="MX631" s="27" t="s">
        <v>7</v>
      </c>
      <c r="MY631" s="27" t="s">
        <v>8</v>
      </c>
      <c r="MZ631" s="27" t="s">
        <v>7</v>
      </c>
      <c r="NA631" s="27" t="s">
        <v>8</v>
      </c>
      <c r="NL631" s="27" t="s">
        <v>7</v>
      </c>
      <c r="NM631" s="27" t="s">
        <v>8</v>
      </c>
      <c r="NT631" s="27" t="s">
        <v>7</v>
      </c>
      <c r="OD631" s="27" t="s">
        <v>7</v>
      </c>
      <c r="OQ631" s="27" t="s">
        <v>8</v>
      </c>
      <c r="OR631" s="27" t="s">
        <v>7</v>
      </c>
    </row>
    <row r="632" spans="1:408" x14ac:dyDescent="0.25">
      <c r="A632" s="7">
        <v>0.41019680250993112</v>
      </c>
      <c r="B632"/>
      <c r="C632"/>
      <c r="D632"/>
      <c r="E632"/>
      <c r="F632" s="27" t="s">
        <v>7</v>
      </c>
      <c r="IM632" s="27" t="s">
        <v>8</v>
      </c>
      <c r="IN632" s="27" t="s">
        <v>7</v>
      </c>
      <c r="IO632" s="27" t="s">
        <v>8</v>
      </c>
      <c r="IP632" s="27" t="s">
        <v>7</v>
      </c>
      <c r="IQ632" s="27" t="s">
        <v>8</v>
      </c>
      <c r="IT632" s="27" t="s">
        <v>7</v>
      </c>
      <c r="IW632" s="27" t="s">
        <v>8</v>
      </c>
      <c r="IY632" s="27" t="s">
        <v>8</v>
      </c>
      <c r="IZ632" s="27" t="s">
        <v>7</v>
      </c>
      <c r="JA632" s="27" t="s">
        <v>8</v>
      </c>
      <c r="JB632" s="27" t="s">
        <v>7</v>
      </c>
      <c r="JC632" s="27" t="s">
        <v>8</v>
      </c>
      <c r="JD632" s="27" t="s">
        <v>7</v>
      </c>
      <c r="JE632" s="27" t="s">
        <v>8</v>
      </c>
      <c r="JF632" s="27" t="s">
        <v>7</v>
      </c>
      <c r="JH632" s="27" t="s">
        <v>7</v>
      </c>
      <c r="JI632" s="27" t="s">
        <v>8</v>
      </c>
      <c r="JJ632" s="27" t="s">
        <v>7</v>
      </c>
      <c r="JK632" s="27" t="s">
        <v>8</v>
      </c>
      <c r="JZ632" s="27" t="s">
        <v>7</v>
      </c>
      <c r="KA632" s="27" t="s">
        <v>8</v>
      </c>
      <c r="KB632" s="27" t="s">
        <v>7</v>
      </c>
      <c r="KC632" s="27" t="s">
        <v>8</v>
      </c>
      <c r="KL632" s="27" t="s">
        <v>7</v>
      </c>
      <c r="KM632" s="27" t="s">
        <v>8</v>
      </c>
      <c r="KN632" s="27" t="s">
        <v>7</v>
      </c>
      <c r="KO632" s="27" t="s">
        <v>8</v>
      </c>
      <c r="KP632" s="27" t="s">
        <v>7</v>
      </c>
      <c r="KQ632" s="27" t="s">
        <v>8</v>
      </c>
      <c r="KR632" s="27" t="s">
        <v>7</v>
      </c>
      <c r="MM632" s="27" t="s">
        <v>8</v>
      </c>
      <c r="MT632" s="27" t="s">
        <v>7</v>
      </c>
      <c r="MU632" s="27" t="s">
        <v>8</v>
      </c>
      <c r="MX632" s="27" t="s">
        <v>7</v>
      </c>
      <c r="MZ632" s="27" t="s">
        <v>7</v>
      </c>
      <c r="NA632" s="27" t="s">
        <v>8</v>
      </c>
      <c r="NL632" s="27" t="s">
        <v>7</v>
      </c>
      <c r="NM632" s="27" t="s">
        <v>8</v>
      </c>
      <c r="OD632" s="27" t="s">
        <v>7</v>
      </c>
      <c r="OG632" s="27" t="s">
        <v>8</v>
      </c>
      <c r="OQ632" s="27" t="s">
        <v>8</v>
      </c>
      <c r="OR632" s="27" t="s">
        <v>7</v>
      </c>
    </row>
    <row r="633" spans="1:408" x14ac:dyDescent="0.25">
      <c r="A633" s="7">
        <v>0.40215372795091286</v>
      </c>
      <c r="B633"/>
      <c r="C633"/>
      <c r="D633"/>
      <c r="E633"/>
      <c r="F633" s="27" t="s">
        <v>7</v>
      </c>
      <c r="IM633" s="27" t="s">
        <v>8</v>
      </c>
      <c r="IN633" s="27" t="s">
        <v>7</v>
      </c>
      <c r="IO633" s="27" t="s">
        <v>8</v>
      </c>
      <c r="IP633" s="27" t="s">
        <v>7</v>
      </c>
      <c r="IT633" s="27" t="s">
        <v>7</v>
      </c>
      <c r="IW633" s="27" t="s">
        <v>8</v>
      </c>
      <c r="IX633" s="27" t="s">
        <v>7</v>
      </c>
      <c r="IY633" s="27" t="s">
        <v>8</v>
      </c>
      <c r="IZ633" s="27" t="s">
        <v>7</v>
      </c>
      <c r="JA633" s="27" t="s">
        <v>8</v>
      </c>
      <c r="JB633" s="27" t="s">
        <v>7</v>
      </c>
      <c r="JD633" s="27" t="s">
        <v>7</v>
      </c>
      <c r="JE633" s="27" t="s">
        <v>8</v>
      </c>
      <c r="JH633" s="27" t="s">
        <v>7</v>
      </c>
      <c r="JJ633" s="27" t="s">
        <v>7</v>
      </c>
      <c r="JZ633" s="27" t="s">
        <v>7</v>
      </c>
      <c r="KA633" s="27" t="s">
        <v>8</v>
      </c>
      <c r="KB633" s="27" t="s">
        <v>7</v>
      </c>
      <c r="KL633" s="27" t="s">
        <v>7</v>
      </c>
      <c r="KM633" s="27" t="s">
        <v>8</v>
      </c>
      <c r="KN633" s="27" t="s">
        <v>7</v>
      </c>
      <c r="KO633" s="27" t="s">
        <v>8</v>
      </c>
      <c r="KP633" s="27" t="s">
        <v>7</v>
      </c>
      <c r="KQ633" s="27" t="s">
        <v>8</v>
      </c>
      <c r="KR633" s="27" t="s">
        <v>7</v>
      </c>
      <c r="MM633" s="27" t="s">
        <v>8</v>
      </c>
      <c r="MT633" s="27" t="s">
        <v>7</v>
      </c>
      <c r="MU633" s="27" t="s">
        <v>8</v>
      </c>
      <c r="MZ633" s="27" t="s">
        <v>7</v>
      </c>
      <c r="NA633" s="27" t="s">
        <v>8</v>
      </c>
      <c r="NL633" s="27" t="s">
        <v>7</v>
      </c>
      <c r="NM633" s="27" t="s">
        <v>8</v>
      </c>
      <c r="OD633" s="27" t="s">
        <v>7</v>
      </c>
      <c r="OE633" s="27" t="s">
        <v>8</v>
      </c>
      <c r="OG633" s="27" t="s">
        <v>8</v>
      </c>
      <c r="OH633" s="27" t="s">
        <v>7</v>
      </c>
      <c r="OQ633" s="27" t="s">
        <v>8</v>
      </c>
      <c r="OR633" s="27" t="s">
        <v>7</v>
      </c>
    </row>
    <row r="634" spans="1:408" x14ac:dyDescent="0.25">
      <c r="A634" s="7">
        <v>0.39426836073618904</v>
      </c>
      <c r="B634"/>
      <c r="C634"/>
      <c r="D634"/>
      <c r="E634"/>
      <c r="F634" s="27" t="s">
        <v>7</v>
      </c>
      <c r="IM634" s="27" t="s">
        <v>8</v>
      </c>
      <c r="IN634" s="27" t="s">
        <v>7</v>
      </c>
      <c r="IT634" s="27" t="s">
        <v>7</v>
      </c>
      <c r="IU634" s="27" t="s">
        <v>8</v>
      </c>
      <c r="IW634" s="27" t="s">
        <v>8</v>
      </c>
      <c r="IX634" s="27" t="s">
        <v>7</v>
      </c>
      <c r="IY634" s="27" t="s">
        <v>8</v>
      </c>
      <c r="IZ634" s="27" t="s">
        <v>7</v>
      </c>
      <c r="JA634" s="27" t="s">
        <v>8</v>
      </c>
      <c r="JD634" s="27" t="s">
        <v>7</v>
      </c>
      <c r="JZ634" s="27" t="s">
        <v>7</v>
      </c>
      <c r="KA634" s="27" t="s">
        <v>8</v>
      </c>
      <c r="KL634" s="27" t="s">
        <v>7</v>
      </c>
      <c r="KM634" s="27" t="s">
        <v>8</v>
      </c>
      <c r="KN634" s="27" t="s">
        <v>7</v>
      </c>
      <c r="KO634" s="27" t="s">
        <v>8</v>
      </c>
      <c r="KP634" s="27" t="s">
        <v>7</v>
      </c>
      <c r="KQ634" s="27" t="s">
        <v>8</v>
      </c>
      <c r="KR634" s="27" t="s">
        <v>7</v>
      </c>
      <c r="MM634" s="27" t="s">
        <v>8</v>
      </c>
      <c r="MT634" s="27" t="s">
        <v>7</v>
      </c>
      <c r="MU634" s="27" t="s">
        <v>8</v>
      </c>
      <c r="MZ634" s="27" t="s">
        <v>7</v>
      </c>
      <c r="NL634" s="27" t="s">
        <v>7</v>
      </c>
      <c r="NM634" s="27" t="s">
        <v>8</v>
      </c>
      <c r="OD634" s="27" t="s">
        <v>7</v>
      </c>
      <c r="OE634" s="27" t="s">
        <v>8</v>
      </c>
      <c r="OF634" s="27" t="s">
        <v>7</v>
      </c>
      <c r="OG634" s="27" t="s">
        <v>8</v>
      </c>
      <c r="OH634" s="27" t="s">
        <v>7</v>
      </c>
      <c r="OQ634" s="27" t="s">
        <v>8</v>
      </c>
      <c r="OR634" s="27" t="s">
        <v>7</v>
      </c>
    </row>
    <row r="635" spans="1:408" x14ac:dyDescent="0.25">
      <c r="A635" s="7">
        <v>0.38653760856489122</v>
      </c>
      <c r="B635"/>
      <c r="C635"/>
      <c r="D635"/>
      <c r="E635"/>
      <c r="F635" s="27" t="s">
        <v>7</v>
      </c>
      <c r="IM635" s="27" t="s">
        <v>8</v>
      </c>
      <c r="IT635" s="27" t="s">
        <v>7</v>
      </c>
      <c r="IU635" s="27" t="s">
        <v>8</v>
      </c>
      <c r="IV635" s="27" t="s">
        <v>7</v>
      </c>
      <c r="IW635" s="27" t="s">
        <v>8</v>
      </c>
      <c r="IX635" s="27" t="s">
        <v>7</v>
      </c>
      <c r="IY635" s="27" t="s">
        <v>8</v>
      </c>
      <c r="IZ635" s="27" t="s">
        <v>7</v>
      </c>
      <c r="JA635" s="27" t="s">
        <v>8</v>
      </c>
      <c r="JZ635" s="27" t="s">
        <v>7</v>
      </c>
      <c r="KA635" s="27" t="s">
        <v>8</v>
      </c>
      <c r="KL635" s="27" t="s">
        <v>7</v>
      </c>
      <c r="KN635" s="27" t="s">
        <v>7</v>
      </c>
      <c r="KO635" s="27" t="s">
        <v>8</v>
      </c>
      <c r="KP635" s="27" t="s">
        <v>7</v>
      </c>
      <c r="KQ635" s="27" t="s">
        <v>8</v>
      </c>
      <c r="KR635" s="27" t="s">
        <v>7</v>
      </c>
      <c r="MM635" s="27" t="s">
        <v>8</v>
      </c>
      <c r="MT635" s="27" t="s">
        <v>7</v>
      </c>
      <c r="MU635" s="27" t="s">
        <v>8</v>
      </c>
      <c r="NL635" s="27" t="s">
        <v>7</v>
      </c>
      <c r="OD635" s="27" t="s">
        <v>7</v>
      </c>
      <c r="OE635" s="27" t="s">
        <v>8</v>
      </c>
      <c r="OF635" s="27" t="s">
        <v>7</v>
      </c>
      <c r="OG635" s="27" t="s">
        <v>8</v>
      </c>
      <c r="OH635" s="27" t="s">
        <v>7</v>
      </c>
      <c r="OO635" s="27" t="s">
        <v>8</v>
      </c>
      <c r="OQ635" s="27" t="s">
        <v>8</v>
      </c>
      <c r="OR635" s="27" t="s">
        <v>7</v>
      </c>
    </row>
    <row r="636" spans="1:408" x14ac:dyDescent="0.25">
      <c r="A636" s="7">
        <v>0.37895843976950117</v>
      </c>
      <c r="B636"/>
      <c r="C636"/>
      <c r="D636"/>
      <c r="E636"/>
      <c r="F636" s="27" t="s">
        <v>7</v>
      </c>
      <c r="IM636" s="27" t="s">
        <v>8</v>
      </c>
      <c r="IT636" s="27" t="s">
        <v>7</v>
      </c>
      <c r="IU636" s="27" t="s">
        <v>8</v>
      </c>
      <c r="IV636" s="27" t="s">
        <v>7</v>
      </c>
      <c r="IW636" s="27" t="s">
        <v>8</v>
      </c>
      <c r="IX636" s="27" t="s">
        <v>7</v>
      </c>
      <c r="IY636" s="27" t="s">
        <v>8</v>
      </c>
      <c r="IZ636" s="27" t="s">
        <v>7</v>
      </c>
      <c r="JA636" s="27" t="s">
        <v>8</v>
      </c>
      <c r="JZ636" s="27" t="s">
        <v>7</v>
      </c>
      <c r="KA636" s="27" t="s">
        <v>8</v>
      </c>
      <c r="KN636" s="27" t="s">
        <v>7</v>
      </c>
      <c r="KO636" s="27" t="s">
        <v>8</v>
      </c>
      <c r="KP636" s="27" t="s">
        <v>7</v>
      </c>
      <c r="KQ636" s="27" t="s">
        <v>8</v>
      </c>
      <c r="KR636" s="27" t="s">
        <v>7</v>
      </c>
      <c r="KU636" s="27" t="s">
        <v>8</v>
      </c>
      <c r="MG636" s="27" t="s">
        <v>8</v>
      </c>
      <c r="MM636" s="27" t="s">
        <v>8</v>
      </c>
      <c r="MT636" s="27" t="s">
        <v>7</v>
      </c>
      <c r="OD636" s="27" t="s">
        <v>7</v>
      </c>
      <c r="OE636" s="27" t="s">
        <v>8</v>
      </c>
      <c r="OF636" s="27" t="s">
        <v>7</v>
      </c>
      <c r="OG636" s="27" t="s">
        <v>8</v>
      </c>
      <c r="OH636" s="27" t="s">
        <v>7</v>
      </c>
      <c r="OO636" s="27" t="s">
        <v>8</v>
      </c>
      <c r="OP636" s="27" t="s">
        <v>7</v>
      </c>
      <c r="OQ636" s="27" t="s">
        <v>8</v>
      </c>
      <c r="OR636" s="27" t="s">
        <v>7</v>
      </c>
    </row>
    <row r="637" spans="1:408" x14ac:dyDescent="0.25">
      <c r="A637" s="7">
        <v>0.37152788212696197</v>
      </c>
      <c r="B637"/>
      <c r="C637"/>
      <c r="D637"/>
      <c r="E637"/>
      <c r="F637" s="27" t="s">
        <v>7</v>
      </c>
      <c r="IM637" s="27" t="s">
        <v>8</v>
      </c>
      <c r="IT637" s="27" t="s">
        <v>7</v>
      </c>
      <c r="IU637" s="27" t="s">
        <v>8</v>
      </c>
      <c r="IV637" s="27" t="s">
        <v>7</v>
      </c>
      <c r="IW637" s="27" t="s">
        <v>8</v>
      </c>
      <c r="IX637" s="27" t="s">
        <v>7</v>
      </c>
      <c r="IY637" s="27" t="s">
        <v>8</v>
      </c>
      <c r="IZ637" s="27" t="s">
        <v>7</v>
      </c>
      <c r="JA637" s="27" t="s">
        <v>8</v>
      </c>
      <c r="JZ637" s="27" t="s">
        <v>7</v>
      </c>
      <c r="KA637" s="27" t="s">
        <v>8</v>
      </c>
      <c r="KN637" s="27" t="s">
        <v>7</v>
      </c>
      <c r="KO637" s="27" t="s">
        <v>8</v>
      </c>
      <c r="KP637" s="27" t="s">
        <v>7</v>
      </c>
      <c r="KQ637" s="27" t="s">
        <v>8</v>
      </c>
      <c r="KR637" s="27" t="s">
        <v>7</v>
      </c>
      <c r="KU637" s="27" t="s">
        <v>8</v>
      </c>
      <c r="KV637" s="27" t="s">
        <v>7</v>
      </c>
      <c r="MG637" s="27" t="s">
        <v>8</v>
      </c>
      <c r="MH637" s="27" t="s">
        <v>7</v>
      </c>
      <c r="MI637" s="27" t="s">
        <v>8</v>
      </c>
      <c r="MM637" s="27" t="s">
        <v>8</v>
      </c>
      <c r="OD637" s="27" t="s">
        <v>7</v>
      </c>
      <c r="OE637" s="27" t="s">
        <v>8</v>
      </c>
      <c r="OF637" s="27" t="s">
        <v>7</v>
      </c>
      <c r="OG637" s="27" t="s">
        <v>8</v>
      </c>
      <c r="OH637" s="27" t="s">
        <v>7</v>
      </c>
      <c r="OO637" s="27" t="s">
        <v>8</v>
      </c>
      <c r="OP637" s="27" t="s">
        <v>7</v>
      </c>
      <c r="OQ637" s="27" t="s">
        <v>8</v>
      </c>
      <c r="OR637" s="27" t="s">
        <v>7</v>
      </c>
    </row>
    <row r="638" spans="1:408" x14ac:dyDescent="0.25">
      <c r="A638" s="7">
        <v>0.36424302169310002</v>
      </c>
      <c r="B638"/>
      <c r="C638"/>
      <c r="D638"/>
      <c r="E638"/>
      <c r="F638" s="27" t="s">
        <v>7</v>
      </c>
      <c r="IM638" s="27" t="s">
        <v>8</v>
      </c>
      <c r="IT638" s="27" t="s">
        <v>7</v>
      </c>
      <c r="IU638" s="27" t="s">
        <v>8</v>
      </c>
      <c r="IV638" s="27" t="s">
        <v>7</v>
      </c>
      <c r="IW638" s="27" t="s">
        <v>8</v>
      </c>
      <c r="IX638" s="27" t="s">
        <v>7</v>
      </c>
      <c r="IY638" s="27" t="s">
        <v>8</v>
      </c>
      <c r="IZ638" s="27" t="s">
        <v>7</v>
      </c>
      <c r="JA638" s="27" t="s">
        <v>8</v>
      </c>
      <c r="JZ638" s="27" t="s">
        <v>7</v>
      </c>
      <c r="KA638" s="27" t="s">
        <v>8</v>
      </c>
      <c r="KN638" s="27" t="s">
        <v>7</v>
      </c>
      <c r="KO638" s="27" t="s">
        <v>8</v>
      </c>
      <c r="KP638" s="27" t="s">
        <v>7</v>
      </c>
      <c r="KQ638" s="27" t="s">
        <v>8</v>
      </c>
      <c r="KR638" s="27" t="s">
        <v>7</v>
      </c>
      <c r="KU638" s="27" t="s">
        <v>8</v>
      </c>
      <c r="KV638" s="27" t="s">
        <v>7</v>
      </c>
      <c r="MG638" s="27" t="s">
        <v>8</v>
      </c>
      <c r="MH638" s="27" t="s">
        <v>7</v>
      </c>
      <c r="MI638" s="27" t="s">
        <v>8</v>
      </c>
      <c r="MJ638" s="27" t="s">
        <v>7</v>
      </c>
      <c r="MK638" s="27" t="s">
        <v>8</v>
      </c>
      <c r="MM638" s="27" t="s">
        <v>8</v>
      </c>
      <c r="OD638" s="27" t="s">
        <v>7</v>
      </c>
      <c r="OE638" s="27" t="s">
        <v>8</v>
      </c>
      <c r="OF638" s="27" t="s">
        <v>7</v>
      </c>
      <c r="OG638" s="27" t="s">
        <v>8</v>
      </c>
      <c r="OH638" s="27" t="s">
        <v>7</v>
      </c>
      <c r="OO638" s="27" t="s">
        <v>8</v>
      </c>
      <c r="OP638" s="27" t="s">
        <v>7</v>
      </c>
      <c r="OQ638" s="27" t="s">
        <v>8</v>
      </c>
      <c r="OR638" s="27" t="s">
        <v>7</v>
      </c>
    </row>
    <row r="639" spans="1:408" x14ac:dyDescent="0.25">
      <c r="A639" s="7">
        <v>0.35710100165990194</v>
      </c>
      <c r="B639"/>
      <c r="C639"/>
      <c r="D639"/>
      <c r="E639"/>
      <c r="F639" s="27" t="s">
        <v>7</v>
      </c>
      <c r="IM639" s="27" t="s">
        <v>8</v>
      </c>
      <c r="IT639" s="27" t="s">
        <v>7</v>
      </c>
      <c r="IU639" s="27" t="s">
        <v>8</v>
      </c>
      <c r="IV639" s="27" t="s">
        <v>7</v>
      </c>
      <c r="IW639" s="27" t="s">
        <v>8</v>
      </c>
      <c r="IX639" s="27" t="s">
        <v>7</v>
      </c>
      <c r="IY639" s="27" t="s">
        <v>8</v>
      </c>
      <c r="IZ639" s="27" t="s">
        <v>7</v>
      </c>
      <c r="JZ639" s="27" t="s">
        <v>7</v>
      </c>
      <c r="KA639" s="27" t="s">
        <v>8</v>
      </c>
      <c r="KN639" s="27" t="s">
        <v>7</v>
      </c>
      <c r="KO639" s="27" t="s">
        <v>8</v>
      </c>
      <c r="KP639" s="27" t="s">
        <v>7</v>
      </c>
      <c r="KQ639" s="27" t="s">
        <v>8</v>
      </c>
      <c r="KR639" s="27" t="s">
        <v>7</v>
      </c>
      <c r="KU639" s="27" t="s">
        <v>8</v>
      </c>
      <c r="KV639" s="27" t="s">
        <v>7</v>
      </c>
      <c r="MC639" s="27" t="s">
        <v>8</v>
      </c>
      <c r="MG639" s="27" t="s">
        <v>8</v>
      </c>
      <c r="MH639" s="27" t="s">
        <v>7</v>
      </c>
      <c r="MI639" s="27" t="s">
        <v>8</v>
      </c>
      <c r="MJ639" s="27" t="s">
        <v>7</v>
      </c>
      <c r="MK639" s="27" t="s">
        <v>8</v>
      </c>
      <c r="ML639" s="27" t="s">
        <v>7</v>
      </c>
      <c r="MM639" s="27" t="s">
        <v>8</v>
      </c>
      <c r="OD639" s="27" t="s">
        <v>7</v>
      </c>
      <c r="OE639" s="27" t="s">
        <v>8</v>
      </c>
      <c r="OF639" s="27" t="s">
        <v>7</v>
      </c>
      <c r="OG639" s="27" t="s">
        <v>8</v>
      </c>
      <c r="OH639" s="27" t="s">
        <v>7</v>
      </c>
      <c r="OI639" s="27" t="s">
        <v>8</v>
      </c>
      <c r="OO639" s="27" t="s">
        <v>8</v>
      </c>
      <c r="OP639" s="27" t="s">
        <v>7</v>
      </c>
      <c r="OQ639" s="27" t="s">
        <v>8</v>
      </c>
      <c r="OR639" s="27" t="s">
        <v>7</v>
      </c>
    </row>
    <row r="640" spans="1:408" x14ac:dyDescent="0.25">
      <c r="A640" s="7">
        <v>0.35009902123519804</v>
      </c>
      <c r="B640"/>
      <c r="C640"/>
      <c r="D640"/>
      <c r="E640"/>
      <c r="F640" s="27" t="s">
        <v>7</v>
      </c>
      <c r="IM640" s="27" t="s">
        <v>8</v>
      </c>
      <c r="IT640" s="27" t="s">
        <v>7</v>
      </c>
      <c r="IU640" s="27" t="s">
        <v>8</v>
      </c>
      <c r="IV640" s="27" t="s">
        <v>7</v>
      </c>
      <c r="IW640" s="27" t="s">
        <v>8</v>
      </c>
      <c r="IX640" s="27" t="s">
        <v>7</v>
      </c>
      <c r="IY640" s="27" t="s">
        <v>8</v>
      </c>
      <c r="JZ640" s="27" t="s">
        <v>7</v>
      </c>
      <c r="KA640" s="27" t="s">
        <v>8</v>
      </c>
      <c r="KN640" s="27" t="s">
        <v>7</v>
      </c>
      <c r="KO640" s="27" t="s">
        <v>8</v>
      </c>
      <c r="KP640" s="27" t="s">
        <v>7</v>
      </c>
      <c r="KQ640" s="27" t="s">
        <v>8</v>
      </c>
      <c r="KR640" s="27" t="s">
        <v>7</v>
      </c>
      <c r="KS640" s="27" t="s">
        <v>8</v>
      </c>
      <c r="KU640" s="27" t="s">
        <v>8</v>
      </c>
      <c r="KV640" s="27" t="s">
        <v>7</v>
      </c>
      <c r="KW640" s="27" t="s">
        <v>8</v>
      </c>
      <c r="MC640" s="27" t="s">
        <v>8</v>
      </c>
      <c r="MD640" s="27" t="s">
        <v>7</v>
      </c>
      <c r="ME640" s="27" t="s">
        <v>8</v>
      </c>
      <c r="MG640" s="27" t="s">
        <v>8</v>
      </c>
      <c r="MH640" s="27" t="s">
        <v>7</v>
      </c>
      <c r="MI640" s="27" t="s">
        <v>8</v>
      </c>
      <c r="MJ640" s="27" t="s">
        <v>7</v>
      </c>
      <c r="MK640" s="27" t="s">
        <v>8</v>
      </c>
      <c r="ML640" s="27" t="s">
        <v>7</v>
      </c>
      <c r="MM640" s="27" t="s">
        <v>8</v>
      </c>
      <c r="OD640" s="27" t="s">
        <v>7</v>
      </c>
      <c r="OE640" s="27" t="s">
        <v>8</v>
      </c>
      <c r="OF640" s="27" t="s">
        <v>7</v>
      </c>
      <c r="OG640" s="27" t="s">
        <v>8</v>
      </c>
      <c r="OH640" s="27" t="s">
        <v>7</v>
      </c>
      <c r="OI640" s="27" t="s">
        <v>8</v>
      </c>
      <c r="OJ640" s="27" t="s">
        <v>7</v>
      </c>
      <c r="OK640" s="27" t="s">
        <v>8</v>
      </c>
      <c r="OO640" s="27" t="s">
        <v>8</v>
      </c>
      <c r="OP640" s="27" t="s">
        <v>7</v>
      </c>
      <c r="OQ640" s="27" t="s">
        <v>8</v>
      </c>
      <c r="OR640" s="27" t="s">
        <v>7</v>
      </c>
    </row>
    <row r="641" spans="1:414" x14ac:dyDescent="0.25">
      <c r="A641" s="7">
        <v>0.34323433454431179</v>
      </c>
      <c r="B641"/>
      <c r="C641"/>
      <c r="D641"/>
      <c r="E641"/>
      <c r="F641" s="27" t="s">
        <v>7</v>
      </c>
      <c r="IM641" s="27" t="s">
        <v>8</v>
      </c>
      <c r="IT641" s="27" t="s">
        <v>7</v>
      </c>
      <c r="IU641" s="27" t="s">
        <v>8</v>
      </c>
      <c r="IV641" s="27" t="s">
        <v>7</v>
      </c>
      <c r="IW641" s="27" t="s">
        <v>8</v>
      </c>
      <c r="IX641" s="27" t="s">
        <v>7</v>
      </c>
      <c r="IY641" s="27" t="s">
        <v>8</v>
      </c>
      <c r="JZ641" s="27" t="s">
        <v>7</v>
      </c>
      <c r="KA641" s="27" t="s">
        <v>8</v>
      </c>
      <c r="KN641" s="27" t="s">
        <v>7</v>
      </c>
      <c r="KO641" s="27" t="s">
        <v>8</v>
      </c>
      <c r="KP641" s="27" t="s">
        <v>7</v>
      </c>
      <c r="KQ641" s="27" t="s">
        <v>8</v>
      </c>
      <c r="KR641" s="27" t="s">
        <v>7</v>
      </c>
      <c r="KS641" s="27" t="s">
        <v>8</v>
      </c>
      <c r="KT641" s="27" t="s">
        <v>7</v>
      </c>
      <c r="KU641" s="27" t="s">
        <v>8</v>
      </c>
      <c r="KV641" s="27" t="s">
        <v>7</v>
      </c>
      <c r="KW641" s="27" t="s">
        <v>8</v>
      </c>
      <c r="KX641" s="27" t="s">
        <v>7</v>
      </c>
      <c r="MC641" s="27" t="s">
        <v>8</v>
      </c>
      <c r="MD641" s="27" t="s">
        <v>7</v>
      </c>
      <c r="ME641" s="27" t="s">
        <v>8</v>
      </c>
      <c r="MF641" s="27" t="s">
        <v>7</v>
      </c>
      <c r="MG641" s="27" t="s">
        <v>8</v>
      </c>
      <c r="MH641" s="27" t="s">
        <v>7</v>
      </c>
      <c r="MI641" s="27" t="s">
        <v>8</v>
      </c>
      <c r="MJ641" s="27" t="s">
        <v>7</v>
      </c>
      <c r="MK641" s="27" t="s">
        <v>8</v>
      </c>
      <c r="ML641" s="27" t="s">
        <v>7</v>
      </c>
      <c r="MM641" s="27" t="s">
        <v>8</v>
      </c>
      <c r="OD641" s="27" t="s">
        <v>7</v>
      </c>
      <c r="OE641" s="27" t="s">
        <v>8</v>
      </c>
      <c r="OF641" s="27" t="s">
        <v>7</v>
      </c>
      <c r="OG641" s="27" t="s">
        <v>8</v>
      </c>
      <c r="OH641" s="27" t="s">
        <v>7</v>
      </c>
      <c r="OI641" s="27" t="s">
        <v>8</v>
      </c>
      <c r="OJ641" s="27" t="s">
        <v>7</v>
      </c>
      <c r="OK641" s="27" t="s">
        <v>8</v>
      </c>
      <c r="OL641" s="27" t="s">
        <v>7</v>
      </c>
      <c r="OO641" s="27" t="s">
        <v>8</v>
      </c>
      <c r="OP641" s="27" t="s">
        <v>7</v>
      </c>
      <c r="OQ641" s="27" t="s">
        <v>8</v>
      </c>
      <c r="OR641" s="27" t="s">
        <v>7</v>
      </c>
      <c r="OS641" s="27" t="s">
        <v>8</v>
      </c>
      <c r="OW641" s="27" t="s">
        <v>8</v>
      </c>
    </row>
    <row r="642" spans="1:414" x14ac:dyDescent="0.25">
      <c r="A642" s="7">
        <v>0.33650424955324681</v>
      </c>
      <c r="B642"/>
      <c r="C642"/>
      <c r="D642"/>
      <c r="E642"/>
      <c r="F642" s="27" t="s">
        <v>7</v>
      </c>
      <c r="IM642" s="27" t="s">
        <v>8</v>
      </c>
      <c r="IT642" s="27" t="s">
        <v>7</v>
      </c>
      <c r="IU642" s="27" t="s">
        <v>8</v>
      </c>
      <c r="IV642" s="27" t="s">
        <v>7</v>
      </c>
      <c r="IW642" s="27" t="s">
        <v>8</v>
      </c>
      <c r="IX642" s="27" t="s">
        <v>7</v>
      </c>
      <c r="IY642" s="27" t="s">
        <v>8</v>
      </c>
      <c r="JZ642" s="27" t="s">
        <v>7</v>
      </c>
      <c r="KA642" s="27" t="s">
        <v>8</v>
      </c>
      <c r="KN642" s="27" t="s">
        <v>7</v>
      </c>
      <c r="KO642" s="27" t="s">
        <v>8</v>
      </c>
      <c r="KP642" s="27" t="s">
        <v>7</v>
      </c>
      <c r="KQ642" s="27" t="s">
        <v>8</v>
      </c>
      <c r="KR642" s="27" t="s">
        <v>7</v>
      </c>
      <c r="KS642" s="27" t="s">
        <v>8</v>
      </c>
      <c r="KT642" s="27" t="s">
        <v>7</v>
      </c>
      <c r="KU642" s="27" t="s">
        <v>8</v>
      </c>
      <c r="KV642" s="27" t="s">
        <v>7</v>
      </c>
      <c r="KW642" s="27" t="s">
        <v>8</v>
      </c>
      <c r="KX642" s="27" t="s">
        <v>7</v>
      </c>
      <c r="MC642" s="27" t="s">
        <v>8</v>
      </c>
      <c r="MD642" s="27" t="s">
        <v>7</v>
      </c>
      <c r="ME642" s="27" t="s">
        <v>8</v>
      </c>
      <c r="MF642" s="27" t="s">
        <v>7</v>
      </c>
      <c r="MG642" s="27" t="s">
        <v>8</v>
      </c>
      <c r="MH642" s="27" t="s">
        <v>7</v>
      </c>
      <c r="MI642" s="27" t="s">
        <v>8</v>
      </c>
      <c r="MJ642" s="27" t="s">
        <v>7</v>
      </c>
      <c r="MK642" s="27" t="s">
        <v>8</v>
      </c>
      <c r="ML642" s="27" t="s">
        <v>7</v>
      </c>
      <c r="MM642" s="27" t="s">
        <v>8</v>
      </c>
      <c r="OD642" s="27" t="s">
        <v>7</v>
      </c>
      <c r="OE642" s="27" t="s">
        <v>8</v>
      </c>
      <c r="OF642" s="27" t="s">
        <v>7</v>
      </c>
      <c r="OG642" s="27" t="s">
        <v>8</v>
      </c>
      <c r="OH642" s="27" t="s">
        <v>7</v>
      </c>
      <c r="OJ642" s="27" t="s">
        <v>7</v>
      </c>
      <c r="OK642" s="27" t="s">
        <v>8</v>
      </c>
      <c r="OL642" s="27" t="s">
        <v>7</v>
      </c>
      <c r="OM642" s="27" t="s">
        <v>8</v>
      </c>
      <c r="OO642" s="27" t="s">
        <v>8</v>
      </c>
      <c r="OP642" s="27" t="s">
        <v>7</v>
      </c>
      <c r="OQ642" s="27" t="s">
        <v>8</v>
      </c>
      <c r="OR642" s="27" t="s">
        <v>7</v>
      </c>
      <c r="OS642" s="27" t="s">
        <v>8</v>
      </c>
      <c r="OT642" s="27" t="s">
        <v>7</v>
      </c>
      <c r="OU642" s="27" t="s">
        <v>8</v>
      </c>
      <c r="OW642" s="27" t="s">
        <v>8</v>
      </c>
      <c r="OX642" s="27" t="s">
        <v>7</v>
      </c>
    </row>
    <row r="643" spans="1:414" x14ac:dyDescent="0.25">
      <c r="A643" s="7">
        <v>0.3299061270129871</v>
      </c>
      <c r="B643"/>
      <c r="C643"/>
      <c r="D643"/>
      <c r="E643"/>
      <c r="F643" s="27" t="s">
        <v>7</v>
      </c>
      <c r="IM643" s="27" t="s">
        <v>8</v>
      </c>
      <c r="IT643" s="27" t="s">
        <v>7</v>
      </c>
      <c r="IU643" s="27" t="s">
        <v>8</v>
      </c>
      <c r="IV643" s="27" t="s">
        <v>7</v>
      </c>
      <c r="IW643" s="27" t="s">
        <v>8</v>
      </c>
      <c r="IX643" s="27" t="s">
        <v>7</v>
      </c>
      <c r="IY643" s="27" t="s">
        <v>8</v>
      </c>
      <c r="JZ643" s="27" t="s">
        <v>7</v>
      </c>
      <c r="KA643" s="27" t="s">
        <v>8</v>
      </c>
      <c r="KN643" s="27" t="s">
        <v>7</v>
      </c>
      <c r="KO643" s="27" t="s">
        <v>8</v>
      </c>
      <c r="KP643" s="27" t="s">
        <v>7</v>
      </c>
      <c r="KQ643" s="27" t="s">
        <v>8</v>
      </c>
      <c r="KR643" s="27" t="s">
        <v>7</v>
      </c>
      <c r="KS643" s="27" t="s">
        <v>8</v>
      </c>
      <c r="KT643" s="27" t="s">
        <v>7</v>
      </c>
      <c r="KU643" s="27" t="s">
        <v>8</v>
      </c>
      <c r="KV643" s="27" t="s">
        <v>7</v>
      </c>
      <c r="KW643" s="27" t="s">
        <v>8</v>
      </c>
      <c r="KX643" s="27" t="s">
        <v>7</v>
      </c>
      <c r="MC643" s="27" t="s">
        <v>8</v>
      </c>
      <c r="MD643" s="27" t="s">
        <v>7</v>
      </c>
      <c r="ME643" s="27" t="s">
        <v>8</v>
      </c>
      <c r="MF643" s="27" t="s">
        <v>7</v>
      </c>
      <c r="MG643" s="27" t="s">
        <v>8</v>
      </c>
      <c r="MH643" s="27" t="s">
        <v>7</v>
      </c>
      <c r="MJ643" s="27" t="s">
        <v>7</v>
      </c>
      <c r="MK643" s="27" t="s">
        <v>8</v>
      </c>
      <c r="ML643" s="27" t="s">
        <v>7</v>
      </c>
      <c r="MM643" s="27" t="s">
        <v>8</v>
      </c>
      <c r="OD643" s="27" t="s">
        <v>7</v>
      </c>
      <c r="OE643" s="27" t="s">
        <v>8</v>
      </c>
      <c r="OF643" s="27" t="s">
        <v>7</v>
      </c>
      <c r="OG643" s="27" t="s">
        <v>8</v>
      </c>
      <c r="OJ643" s="27" t="s">
        <v>7</v>
      </c>
      <c r="OK643" s="27" t="s">
        <v>8</v>
      </c>
      <c r="OL643" s="27" t="s">
        <v>7</v>
      </c>
      <c r="OM643" s="27" t="s">
        <v>8</v>
      </c>
      <c r="ON643" s="27" t="s">
        <v>7</v>
      </c>
      <c r="OO643" s="27" t="s">
        <v>8</v>
      </c>
      <c r="OP643" s="27" t="s">
        <v>7</v>
      </c>
      <c r="OQ643" s="27" t="s">
        <v>8</v>
      </c>
      <c r="OR643" s="27" t="s">
        <v>7</v>
      </c>
      <c r="OS643" s="27" t="s">
        <v>8</v>
      </c>
      <c r="OT643" s="27" t="s">
        <v>7</v>
      </c>
      <c r="OU643" s="27" t="s">
        <v>8</v>
      </c>
      <c r="OV643" s="27" t="s">
        <v>7</v>
      </c>
      <c r="OW643" s="27" t="s">
        <v>8</v>
      </c>
      <c r="OX643" s="27" t="s">
        <v>7</v>
      </c>
    </row>
    <row r="644" spans="1:414" x14ac:dyDescent="0.25">
      <c r="A644" s="7">
        <v>0.32343737942449713</v>
      </c>
      <c r="B644"/>
      <c r="C644"/>
      <c r="D644"/>
      <c r="E644"/>
      <c r="F644" s="27" t="s">
        <v>7</v>
      </c>
      <c r="IM644" s="27" t="s">
        <v>8</v>
      </c>
      <c r="IT644" s="27" t="s">
        <v>7</v>
      </c>
      <c r="IU644" s="27" t="s">
        <v>8</v>
      </c>
      <c r="IV644" s="27" t="s">
        <v>7</v>
      </c>
      <c r="IW644" s="27" t="s">
        <v>8</v>
      </c>
      <c r="IX644" s="27" t="s">
        <v>7</v>
      </c>
      <c r="IY644" s="27" t="s">
        <v>8</v>
      </c>
      <c r="JZ644" s="27" t="s">
        <v>7</v>
      </c>
      <c r="KA644" s="27" t="s">
        <v>8</v>
      </c>
      <c r="KN644" s="27" t="s">
        <v>7</v>
      </c>
      <c r="KO644" s="27" t="s">
        <v>8</v>
      </c>
      <c r="KP644" s="27" t="s">
        <v>7</v>
      </c>
      <c r="KQ644" s="27" t="s">
        <v>8</v>
      </c>
      <c r="KR644" s="27" t="s">
        <v>7</v>
      </c>
      <c r="KS644" s="27" t="s">
        <v>8</v>
      </c>
      <c r="KT644" s="27" t="s">
        <v>7</v>
      </c>
      <c r="KU644" s="27" t="s">
        <v>8</v>
      </c>
      <c r="KV644" s="27" t="s">
        <v>7</v>
      </c>
      <c r="KW644" s="27" t="s">
        <v>8</v>
      </c>
      <c r="KX644" s="27" t="s">
        <v>7</v>
      </c>
      <c r="MC644" s="27" t="s">
        <v>8</v>
      </c>
      <c r="MD644" s="27" t="s">
        <v>7</v>
      </c>
      <c r="ME644" s="27" t="s">
        <v>8</v>
      </c>
      <c r="MF644" s="27" t="s">
        <v>7</v>
      </c>
      <c r="MG644" s="27" t="s">
        <v>8</v>
      </c>
      <c r="MJ644" s="27" t="s">
        <v>7</v>
      </c>
      <c r="MK644" s="27" t="s">
        <v>8</v>
      </c>
      <c r="ML644" s="27" t="s">
        <v>7</v>
      </c>
      <c r="OD644" s="27" t="s">
        <v>7</v>
      </c>
      <c r="OE644" s="27" t="s">
        <v>8</v>
      </c>
      <c r="OF644" s="27" t="s">
        <v>7</v>
      </c>
      <c r="OJ644" s="27" t="s">
        <v>7</v>
      </c>
      <c r="OK644" s="27" t="s">
        <v>8</v>
      </c>
      <c r="OL644" s="27" t="s">
        <v>7</v>
      </c>
      <c r="OM644" s="27" t="s">
        <v>8</v>
      </c>
      <c r="ON644" s="27" t="s">
        <v>7</v>
      </c>
      <c r="OO644" s="27" t="s">
        <v>8</v>
      </c>
      <c r="OP644" s="27" t="s">
        <v>7</v>
      </c>
      <c r="OR644" s="27" t="s">
        <v>7</v>
      </c>
      <c r="OS644" s="27" t="s">
        <v>8</v>
      </c>
      <c r="OT644" s="27" t="s">
        <v>7</v>
      </c>
      <c r="OU644" s="27" t="s">
        <v>8</v>
      </c>
      <c r="OV644" s="27" t="s">
        <v>7</v>
      </c>
      <c r="OW644" s="27" t="s">
        <v>8</v>
      </c>
      <c r="OX644" s="27" t="s">
        <v>7</v>
      </c>
    </row>
    <row r="645" spans="1:414" x14ac:dyDescent="0.25">
      <c r="A645" s="7">
        <v>0.31709547002401678</v>
      </c>
      <c r="B645"/>
      <c r="C645"/>
      <c r="D645"/>
      <c r="E645"/>
      <c r="F645" s="27" t="s">
        <v>7</v>
      </c>
      <c r="IM645" s="27" t="s">
        <v>8</v>
      </c>
      <c r="IT645" s="27" t="s">
        <v>7</v>
      </c>
      <c r="IU645" s="27" t="s">
        <v>8</v>
      </c>
      <c r="IV645" s="27" t="s">
        <v>7</v>
      </c>
      <c r="IX645" s="27" t="s">
        <v>7</v>
      </c>
      <c r="IY645" s="27" t="s">
        <v>8</v>
      </c>
      <c r="JZ645" s="27" t="s">
        <v>7</v>
      </c>
      <c r="KA645" s="27" t="s">
        <v>8</v>
      </c>
      <c r="KN645" s="27" t="s">
        <v>7</v>
      </c>
      <c r="KO645" s="27" t="s">
        <v>8</v>
      </c>
      <c r="KP645" s="27" t="s">
        <v>7</v>
      </c>
      <c r="KQ645" s="27" t="s">
        <v>8</v>
      </c>
      <c r="KR645" s="27" t="s">
        <v>7</v>
      </c>
      <c r="KS645" s="27" t="s">
        <v>8</v>
      </c>
      <c r="KT645" s="27" t="s">
        <v>7</v>
      </c>
      <c r="KV645" s="27" t="s">
        <v>7</v>
      </c>
      <c r="KW645" s="27" t="s">
        <v>8</v>
      </c>
      <c r="KX645" s="27" t="s">
        <v>7</v>
      </c>
      <c r="LU645" s="27" t="s">
        <v>8</v>
      </c>
      <c r="MC645" s="27" t="s">
        <v>8</v>
      </c>
      <c r="MD645" s="27" t="s">
        <v>7</v>
      </c>
      <c r="ME645" s="27" t="s">
        <v>8</v>
      </c>
      <c r="MF645" s="27" t="s">
        <v>7</v>
      </c>
      <c r="MG645" s="27" t="s">
        <v>8</v>
      </c>
      <c r="MJ645" s="27" t="s">
        <v>7</v>
      </c>
      <c r="MK645" s="27" t="s">
        <v>8</v>
      </c>
      <c r="OD645" s="27" t="s">
        <v>7</v>
      </c>
      <c r="OE645" s="27" t="s">
        <v>8</v>
      </c>
      <c r="OJ645" s="27" t="s">
        <v>7</v>
      </c>
      <c r="OK645" s="27" t="s">
        <v>8</v>
      </c>
      <c r="OL645" s="27" t="s">
        <v>7</v>
      </c>
      <c r="OM645" s="27" t="s">
        <v>8</v>
      </c>
      <c r="ON645" s="27" t="s">
        <v>7</v>
      </c>
      <c r="OO645" s="27" t="s">
        <v>8</v>
      </c>
      <c r="OR645" s="27" t="s">
        <v>7</v>
      </c>
      <c r="OS645" s="27" t="s">
        <v>8</v>
      </c>
      <c r="OT645" s="27" t="s">
        <v>7</v>
      </c>
      <c r="OU645" s="27" t="s">
        <v>8</v>
      </c>
      <c r="OV645" s="27" t="s">
        <v>7</v>
      </c>
      <c r="OX645" s="27" t="s">
        <v>7</v>
      </c>
    </row>
    <row r="646" spans="1:414" x14ac:dyDescent="0.25">
      <c r="A646" s="7">
        <v>0.31087791178825175</v>
      </c>
      <c r="B646"/>
      <c r="C646"/>
      <c r="D646"/>
      <c r="E646"/>
      <c r="F646" s="27" t="s">
        <v>7</v>
      </c>
      <c r="IM646" s="27" t="s">
        <v>8</v>
      </c>
      <c r="IT646" s="27" t="s">
        <v>7</v>
      </c>
      <c r="IU646" s="27" t="s">
        <v>8</v>
      </c>
      <c r="IX646" s="27" t="s">
        <v>7</v>
      </c>
      <c r="JZ646" s="27" t="s">
        <v>7</v>
      </c>
      <c r="KA646" s="27" t="s">
        <v>8</v>
      </c>
      <c r="KN646" s="27" t="s">
        <v>7</v>
      </c>
      <c r="KO646" s="27" t="s">
        <v>8</v>
      </c>
      <c r="KP646" s="27" t="s">
        <v>7</v>
      </c>
      <c r="KQ646" s="27" t="s">
        <v>8</v>
      </c>
      <c r="KR646" s="27" t="s">
        <v>7</v>
      </c>
      <c r="KS646" s="27" t="s">
        <v>8</v>
      </c>
      <c r="KV646" s="27" t="s">
        <v>7</v>
      </c>
      <c r="KX646" s="27" t="s">
        <v>7</v>
      </c>
      <c r="KY646" s="27" t="s">
        <v>8</v>
      </c>
      <c r="LU646" s="27" t="s">
        <v>8</v>
      </c>
      <c r="LV646" s="27" t="s">
        <v>7</v>
      </c>
      <c r="MC646" s="27" t="s">
        <v>8</v>
      </c>
      <c r="MD646" s="27" t="s">
        <v>7</v>
      </c>
      <c r="ME646" s="27" t="s">
        <v>8</v>
      </c>
      <c r="MF646" s="27" t="s">
        <v>7</v>
      </c>
      <c r="MG646" s="27" t="s">
        <v>8</v>
      </c>
      <c r="MJ646" s="27" t="s">
        <v>7</v>
      </c>
      <c r="MK646" s="27" t="s">
        <v>8</v>
      </c>
      <c r="OD646" s="27" t="s">
        <v>7</v>
      </c>
      <c r="OE646" s="27" t="s">
        <v>8</v>
      </c>
      <c r="OJ646" s="27" t="s">
        <v>7</v>
      </c>
      <c r="OL646" s="27" t="s">
        <v>7</v>
      </c>
      <c r="ON646" s="27" t="s">
        <v>7</v>
      </c>
      <c r="OO646" s="27" t="s">
        <v>8</v>
      </c>
      <c r="OR646" s="27" t="s">
        <v>7</v>
      </c>
      <c r="OS646" s="27" t="s">
        <v>8</v>
      </c>
      <c r="OT646" s="27" t="s">
        <v>7</v>
      </c>
      <c r="OU646" s="27" t="s">
        <v>8</v>
      </c>
      <c r="OX646" s="27" t="s">
        <v>7</v>
      </c>
    </row>
    <row r="647" spans="1:414" x14ac:dyDescent="0.25">
      <c r="A647" s="7">
        <v>0.30478226645907036</v>
      </c>
      <c r="B647"/>
      <c r="C647"/>
      <c r="D647"/>
      <c r="E647"/>
      <c r="F647" s="27" t="s">
        <v>7</v>
      </c>
      <c r="IM647" s="27" t="s">
        <v>8</v>
      </c>
      <c r="IT647" s="27" t="s">
        <v>7</v>
      </c>
      <c r="IU647" s="27" t="s">
        <v>8</v>
      </c>
      <c r="JZ647" s="27" t="s">
        <v>7</v>
      </c>
      <c r="KA647" s="27" t="s">
        <v>8</v>
      </c>
      <c r="KN647" s="27" t="s">
        <v>7</v>
      </c>
      <c r="KO647" s="27" t="s">
        <v>8</v>
      </c>
      <c r="KP647" s="27" t="s">
        <v>7</v>
      </c>
      <c r="KQ647" s="27" t="s">
        <v>8</v>
      </c>
      <c r="KR647" s="27" t="s">
        <v>7</v>
      </c>
      <c r="KS647" s="27" t="s">
        <v>8</v>
      </c>
      <c r="KX647" s="27" t="s">
        <v>7</v>
      </c>
      <c r="KY647" s="27" t="s">
        <v>8</v>
      </c>
      <c r="KZ647" s="27" t="s">
        <v>7</v>
      </c>
      <c r="LU647" s="27" t="s">
        <v>8</v>
      </c>
      <c r="LV647" s="27" t="s">
        <v>7</v>
      </c>
      <c r="LY647" s="27" t="s">
        <v>8</v>
      </c>
      <c r="MA647" s="27" t="s">
        <v>8</v>
      </c>
      <c r="MC647" s="27" t="s">
        <v>8</v>
      </c>
      <c r="MD647" s="27" t="s">
        <v>7</v>
      </c>
      <c r="ME647" s="27" t="s">
        <v>8</v>
      </c>
      <c r="MF647" s="27" t="s">
        <v>7</v>
      </c>
      <c r="MG647" s="27" t="s">
        <v>8</v>
      </c>
      <c r="MJ647" s="27" t="s">
        <v>7</v>
      </c>
      <c r="OD647" s="27" t="s">
        <v>7</v>
      </c>
      <c r="ON647" s="27" t="s">
        <v>7</v>
      </c>
      <c r="OR647" s="27" t="s">
        <v>7</v>
      </c>
      <c r="OT647" s="27" t="s">
        <v>7</v>
      </c>
      <c r="OX647" s="27" t="s">
        <v>7</v>
      </c>
    </row>
    <row r="648" spans="1:414" x14ac:dyDescent="0.25">
      <c r="A648" s="7">
        <v>0.29880614358732388</v>
      </c>
      <c r="B648"/>
      <c r="C648"/>
      <c r="D648"/>
      <c r="E648"/>
      <c r="F648" s="27" t="s">
        <v>7</v>
      </c>
      <c r="II648" s="27" t="s">
        <v>8</v>
      </c>
      <c r="IM648" s="27" t="s">
        <v>8</v>
      </c>
      <c r="IT648" s="27" t="s">
        <v>7</v>
      </c>
      <c r="IU648" s="27" t="s">
        <v>8</v>
      </c>
      <c r="JZ648" s="27" t="s">
        <v>7</v>
      </c>
      <c r="KA648" s="27" t="s">
        <v>8</v>
      </c>
      <c r="KN648" s="27" t="s">
        <v>7</v>
      </c>
      <c r="KO648" s="27" t="s">
        <v>8</v>
      </c>
      <c r="KP648" s="27" t="s">
        <v>7</v>
      </c>
      <c r="KQ648" s="27" t="s">
        <v>8</v>
      </c>
      <c r="KR648" s="27" t="s">
        <v>7</v>
      </c>
      <c r="KS648" s="27" t="s">
        <v>8</v>
      </c>
      <c r="KX648" s="27" t="s">
        <v>7</v>
      </c>
      <c r="KY648" s="27" t="s">
        <v>8</v>
      </c>
      <c r="KZ648" s="27" t="s">
        <v>7</v>
      </c>
      <c r="LI648" s="27" t="s">
        <v>8</v>
      </c>
      <c r="LU648" s="27" t="s">
        <v>8</v>
      </c>
      <c r="LV648" s="27" t="s">
        <v>7</v>
      </c>
      <c r="LY648" s="27" t="s">
        <v>8</v>
      </c>
      <c r="LZ648" s="27" t="s">
        <v>7</v>
      </c>
      <c r="MA648" s="27" t="s">
        <v>8</v>
      </c>
      <c r="MB648" s="27" t="s">
        <v>7</v>
      </c>
      <c r="MC648" s="27" t="s">
        <v>8</v>
      </c>
      <c r="MD648" s="27" t="s">
        <v>7</v>
      </c>
      <c r="MF648" s="27" t="s">
        <v>7</v>
      </c>
      <c r="MG648" s="27" t="s">
        <v>8</v>
      </c>
      <c r="OX648" s="27" t="s">
        <v>7</v>
      </c>
    </row>
    <row r="649" spans="1:414" x14ac:dyDescent="0.25">
      <c r="A649" s="7">
        <v>0.2929471995954156</v>
      </c>
      <c r="B649"/>
      <c r="C649"/>
      <c r="D649"/>
      <c r="E649"/>
      <c r="F649" s="27" t="s">
        <v>7</v>
      </c>
      <c r="II649" s="27" t="s">
        <v>8</v>
      </c>
      <c r="IJ649" s="27" t="s">
        <v>7</v>
      </c>
      <c r="IM649" s="27" t="s">
        <v>8</v>
      </c>
      <c r="IT649" s="27" t="s">
        <v>7</v>
      </c>
      <c r="IU649" s="27" t="s">
        <v>8</v>
      </c>
      <c r="JZ649" s="27" t="s">
        <v>7</v>
      </c>
      <c r="KA649" s="27" t="s">
        <v>8</v>
      </c>
      <c r="KN649" s="27" t="s">
        <v>7</v>
      </c>
      <c r="KO649" s="27" t="s">
        <v>8</v>
      </c>
      <c r="KP649" s="27" t="s">
        <v>7</v>
      </c>
      <c r="KQ649" s="27" t="s">
        <v>8</v>
      </c>
      <c r="KR649" s="27" t="s">
        <v>7</v>
      </c>
      <c r="KS649" s="27" t="s">
        <v>8</v>
      </c>
      <c r="KX649" s="27" t="s">
        <v>7</v>
      </c>
      <c r="KY649" s="27" t="s">
        <v>8</v>
      </c>
      <c r="KZ649" s="27" t="s">
        <v>7</v>
      </c>
      <c r="LI649" s="27" t="s">
        <v>8</v>
      </c>
      <c r="LJ649" s="27" t="s">
        <v>7</v>
      </c>
      <c r="LK649" s="27" t="s">
        <v>8</v>
      </c>
      <c r="LU649" s="27" t="s">
        <v>8</v>
      </c>
      <c r="LV649" s="27" t="s">
        <v>7</v>
      </c>
      <c r="LY649" s="27" t="s">
        <v>8</v>
      </c>
      <c r="LZ649" s="27" t="s">
        <v>7</v>
      </c>
      <c r="MA649" s="27" t="s">
        <v>8</v>
      </c>
      <c r="MB649" s="27" t="s">
        <v>7</v>
      </c>
      <c r="MC649" s="27" t="s">
        <v>8</v>
      </c>
      <c r="MF649" s="27" t="s">
        <v>7</v>
      </c>
      <c r="OX649" s="27" t="s">
        <v>7</v>
      </c>
    </row>
    <row r="650" spans="1:414" x14ac:dyDescent="0.25">
      <c r="A650" s="7">
        <v>0.28720313685825055</v>
      </c>
      <c r="B650"/>
      <c r="C650"/>
      <c r="D650"/>
      <c r="E650"/>
      <c r="F650" s="27" t="s">
        <v>7</v>
      </c>
      <c r="II650" s="27" t="s">
        <v>8</v>
      </c>
      <c r="IJ650" s="27" t="s">
        <v>7</v>
      </c>
      <c r="IM650" s="27" t="s">
        <v>8</v>
      </c>
      <c r="IT650" s="27" t="s">
        <v>7</v>
      </c>
      <c r="IU650" s="27" t="s">
        <v>8</v>
      </c>
      <c r="JZ650" s="27" t="s">
        <v>7</v>
      </c>
      <c r="KA650" s="27" t="s">
        <v>8</v>
      </c>
      <c r="KN650" s="27" t="s">
        <v>7</v>
      </c>
      <c r="KO650" s="27" t="s">
        <v>8</v>
      </c>
      <c r="KP650" s="27" t="s">
        <v>7</v>
      </c>
      <c r="KQ650" s="27" t="s">
        <v>8</v>
      </c>
      <c r="KR650" s="27" t="s">
        <v>7</v>
      </c>
      <c r="KX650" s="27" t="s">
        <v>7</v>
      </c>
      <c r="KY650" s="27" t="s">
        <v>8</v>
      </c>
      <c r="KZ650" s="27" t="s">
        <v>7</v>
      </c>
      <c r="LI650" s="27" t="s">
        <v>8</v>
      </c>
      <c r="LJ650" s="27" t="s">
        <v>7</v>
      </c>
      <c r="LK650" s="27" t="s">
        <v>8</v>
      </c>
      <c r="LL650" s="27" t="s">
        <v>7</v>
      </c>
      <c r="LU650" s="27" t="s">
        <v>8</v>
      </c>
      <c r="LV650" s="27" t="s">
        <v>7</v>
      </c>
      <c r="LW650" s="27" t="s">
        <v>8</v>
      </c>
      <c r="LY650" s="27" t="s">
        <v>8</v>
      </c>
      <c r="LZ650" s="27" t="s">
        <v>7</v>
      </c>
      <c r="MA650" s="27" t="s">
        <v>8</v>
      </c>
      <c r="MB650" s="27" t="s">
        <v>7</v>
      </c>
      <c r="MC650" s="27" t="s">
        <v>8</v>
      </c>
      <c r="OX650" s="27" t="s">
        <v>7</v>
      </c>
    </row>
    <row r="651" spans="1:414" x14ac:dyDescent="0.25">
      <c r="A651" s="7">
        <v>0.28157170280220645</v>
      </c>
      <c r="B651"/>
      <c r="C651"/>
      <c r="D651"/>
      <c r="E651"/>
      <c r="F651" s="27" t="s">
        <v>7</v>
      </c>
      <c r="II651" s="27" t="s">
        <v>8</v>
      </c>
      <c r="IJ651" s="27" t="s">
        <v>7</v>
      </c>
      <c r="IM651" s="27" t="s">
        <v>8</v>
      </c>
      <c r="IT651" s="27" t="s">
        <v>7</v>
      </c>
      <c r="IU651" s="27" t="s">
        <v>8</v>
      </c>
      <c r="JZ651" s="27" t="s">
        <v>7</v>
      </c>
      <c r="KN651" s="27" t="s">
        <v>7</v>
      </c>
      <c r="KO651" s="27" t="s">
        <v>8</v>
      </c>
      <c r="KP651" s="27" t="s">
        <v>7</v>
      </c>
      <c r="KQ651" s="27" t="s">
        <v>8</v>
      </c>
      <c r="KX651" s="27" t="s">
        <v>7</v>
      </c>
      <c r="KY651" s="27" t="s">
        <v>8</v>
      </c>
      <c r="KZ651" s="27" t="s">
        <v>7</v>
      </c>
      <c r="LI651" s="27" t="s">
        <v>8</v>
      </c>
      <c r="LJ651" s="27" t="s">
        <v>7</v>
      </c>
      <c r="LK651" s="27" t="s">
        <v>8</v>
      </c>
      <c r="LL651" s="27" t="s">
        <v>7</v>
      </c>
      <c r="LU651" s="27" t="s">
        <v>8</v>
      </c>
      <c r="LV651" s="27" t="s">
        <v>7</v>
      </c>
      <c r="LW651" s="27" t="s">
        <v>8</v>
      </c>
      <c r="LX651" s="27" t="s">
        <v>7</v>
      </c>
      <c r="LY651" s="27" t="s">
        <v>8</v>
      </c>
      <c r="LZ651" s="27" t="s">
        <v>7</v>
      </c>
      <c r="MA651" s="27" t="s">
        <v>8</v>
      </c>
      <c r="MB651" s="27" t="s">
        <v>7</v>
      </c>
      <c r="MC651" s="27" t="s">
        <v>8</v>
      </c>
      <c r="OX651" s="27" t="s">
        <v>7</v>
      </c>
    </row>
    <row r="652" spans="1:414" x14ac:dyDescent="0.25">
      <c r="A652" s="7">
        <v>0.27605068902177105</v>
      </c>
      <c r="B652"/>
      <c r="C652"/>
      <c r="D652"/>
      <c r="E652"/>
      <c r="F652" s="27" t="s">
        <v>7</v>
      </c>
      <c r="II652" s="27" t="s">
        <v>8</v>
      </c>
      <c r="IJ652" s="27" t="s">
        <v>7</v>
      </c>
      <c r="IM652" s="27" t="s">
        <v>8</v>
      </c>
      <c r="IT652" s="27" t="s">
        <v>7</v>
      </c>
      <c r="IU652" s="27" t="s">
        <v>8</v>
      </c>
      <c r="KN652" s="27" t="s">
        <v>7</v>
      </c>
      <c r="KO652" s="27" t="s">
        <v>8</v>
      </c>
      <c r="KP652" s="27" t="s">
        <v>7</v>
      </c>
      <c r="KQ652" s="27" t="s">
        <v>8</v>
      </c>
      <c r="KX652" s="27" t="s">
        <v>7</v>
      </c>
      <c r="KY652" s="27" t="s">
        <v>8</v>
      </c>
      <c r="KZ652" s="27" t="s">
        <v>7</v>
      </c>
      <c r="LA652" s="27" t="s">
        <v>8</v>
      </c>
      <c r="LI652" s="27" t="s">
        <v>8</v>
      </c>
      <c r="LJ652" s="27" t="s">
        <v>7</v>
      </c>
      <c r="LK652" s="27" t="s">
        <v>8</v>
      </c>
      <c r="LL652" s="27" t="s">
        <v>7</v>
      </c>
      <c r="LU652" s="27" t="s">
        <v>8</v>
      </c>
      <c r="LV652" s="27" t="s">
        <v>7</v>
      </c>
      <c r="LW652" s="27" t="s">
        <v>8</v>
      </c>
      <c r="LX652" s="27" t="s">
        <v>7</v>
      </c>
      <c r="LY652" s="27" t="s">
        <v>8</v>
      </c>
      <c r="LZ652" s="27" t="s">
        <v>7</v>
      </c>
      <c r="MA652" s="27" t="s">
        <v>8</v>
      </c>
      <c r="MB652" s="27" t="s">
        <v>7</v>
      </c>
      <c r="MC652" s="27" t="s">
        <v>8</v>
      </c>
      <c r="OX652" s="27" t="s">
        <v>7</v>
      </c>
    </row>
    <row r="653" spans="1:414" x14ac:dyDescent="0.25">
      <c r="A653" s="7">
        <v>0.27063793041350104</v>
      </c>
      <c r="B653"/>
      <c r="C653"/>
      <c r="D653"/>
      <c r="E653"/>
      <c r="F653" s="27" t="s">
        <v>7</v>
      </c>
      <c r="II653" s="27" t="s">
        <v>8</v>
      </c>
      <c r="IJ653" s="27" t="s">
        <v>7</v>
      </c>
      <c r="IM653" s="27" t="s">
        <v>8</v>
      </c>
      <c r="IT653" s="27" t="s">
        <v>7</v>
      </c>
      <c r="IU653" s="27" t="s">
        <v>8</v>
      </c>
      <c r="KN653" s="27" t="s">
        <v>7</v>
      </c>
      <c r="KO653" s="27" t="s">
        <v>8</v>
      </c>
      <c r="KP653" s="27" t="s">
        <v>7</v>
      </c>
      <c r="KQ653" s="27" t="s">
        <v>8</v>
      </c>
      <c r="KX653" s="27" t="s">
        <v>7</v>
      </c>
      <c r="KY653" s="27" t="s">
        <v>8</v>
      </c>
      <c r="KZ653" s="27" t="s">
        <v>7</v>
      </c>
      <c r="LA653" s="27" t="s">
        <v>8</v>
      </c>
      <c r="LB653" s="27" t="s">
        <v>7</v>
      </c>
      <c r="LI653" s="27" t="s">
        <v>8</v>
      </c>
      <c r="LJ653" s="27" t="s">
        <v>7</v>
      </c>
      <c r="LL653" s="27" t="s">
        <v>7</v>
      </c>
      <c r="LU653" s="27" t="s">
        <v>8</v>
      </c>
      <c r="LV653" s="27" t="s">
        <v>7</v>
      </c>
      <c r="LW653" s="27" t="s">
        <v>8</v>
      </c>
      <c r="LX653" s="27" t="s">
        <v>7</v>
      </c>
      <c r="LY653" s="27" t="s">
        <v>8</v>
      </c>
      <c r="LZ653" s="27" t="s">
        <v>7</v>
      </c>
      <c r="MA653" s="27" t="s">
        <v>8</v>
      </c>
      <c r="MB653" s="27" t="s">
        <v>7</v>
      </c>
      <c r="OX653" s="27" t="s">
        <v>7</v>
      </c>
    </row>
    <row r="654" spans="1:414" x14ac:dyDescent="0.25">
      <c r="A654" s="7">
        <v>0.26533130432696184</v>
      </c>
      <c r="B654"/>
      <c r="C654"/>
      <c r="D654"/>
      <c r="E654"/>
      <c r="F654" s="27" t="s">
        <v>7</v>
      </c>
      <c r="II654" s="27" t="s">
        <v>8</v>
      </c>
      <c r="IJ654" s="27" t="s">
        <v>7</v>
      </c>
      <c r="IM654" s="27" t="s">
        <v>8</v>
      </c>
      <c r="IT654" s="27" t="s">
        <v>7</v>
      </c>
      <c r="KN654" s="27" t="s">
        <v>7</v>
      </c>
      <c r="KO654" s="27" t="s">
        <v>8</v>
      </c>
      <c r="KP654" s="27" t="s">
        <v>7</v>
      </c>
      <c r="KQ654" s="27" t="s">
        <v>8</v>
      </c>
      <c r="KX654" s="27" t="s">
        <v>7</v>
      </c>
      <c r="KY654" s="27" t="s">
        <v>8</v>
      </c>
      <c r="KZ654" s="27" t="s">
        <v>7</v>
      </c>
      <c r="LA654" s="27" t="s">
        <v>8</v>
      </c>
      <c r="LB654" s="27" t="s">
        <v>7</v>
      </c>
      <c r="LI654" s="27" t="s">
        <v>8</v>
      </c>
      <c r="LL654" s="27" t="s">
        <v>7</v>
      </c>
      <c r="LU654" s="27" t="s">
        <v>8</v>
      </c>
      <c r="LV654" s="27" t="s">
        <v>7</v>
      </c>
      <c r="LW654" s="27" t="s">
        <v>8</v>
      </c>
      <c r="LX654" s="27" t="s">
        <v>7</v>
      </c>
      <c r="LY654" s="27" t="s">
        <v>8</v>
      </c>
      <c r="LZ654" s="27" t="s">
        <v>7</v>
      </c>
      <c r="MA654" s="27" t="s">
        <v>8</v>
      </c>
      <c r="OX654" s="27" t="s">
        <v>7</v>
      </c>
    </row>
    <row r="655" spans="1:414" x14ac:dyDescent="0.25">
      <c r="A655" s="7">
        <v>0.26012872973231554</v>
      </c>
      <c r="B655"/>
      <c r="C655"/>
      <c r="D655"/>
      <c r="E655"/>
      <c r="F655" s="27" t="s">
        <v>7</v>
      </c>
      <c r="II655" s="27" t="s">
        <v>8</v>
      </c>
      <c r="IJ655" s="27" t="s">
        <v>7</v>
      </c>
      <c r="IM655" s="27" t="s">
        <v>8</v>
      </c>
      <c r="KN655" s="27" t="s">
        <v>7</v>
      </c>
      <c r="KO655" s="27" t="s">
        <v>8</v>
      </c>
      <c r="KP655" s="27" t="s">
        <v>7</v>
      </c>
      <c r="KQ655" s="27" t="s">
        <v>8</v>
      </c>
      <c r="KX655" s="27" t="s">
        <v>7</v>
      </c>
      <c r="KZ655" s="27" t="s">
        <v>7</v>
      </c>
      <c r="LA655" s="27" t="s">
        <v>8</v>
      </c>
      <c r="LB655" s="27" t="s">
        <v>7</v>
      </c>
      <c r="LI655" s="27" t="s">
        <v>8</v>
      </c>
      <c r="LL655" s="27" t="s">
        <v>7</v>
      </c>
      <c r="LU655" s="27" t="s">
        <v>8</v>
      </c>
      <c r="LV655" s="27" t="s">
        <v>7</v>
      </c>
      <c r="LW655" s="27" t="s">
        <v>8</v>
      </c>
      <c r="LX655" s="27" t="s">
        <v>7</v>
      </c>
      <c r="LY655" s="27" t="s">
        <v>8</v>
      </c>
      <c r="LZ655" s="27" t="s">
        <v>7</v>
      </c>
      <c r="MA655" s="27" t="s">
        <v>8</v>
      </c>
      <c r="OX655" s="27" t="s">
        <v>7</v>
      </c>
    </row>
    <row r="656" spans="1:414" x14ac:dyDescent="0.25">
      <c r="A656" s="7">
        <v>0.25502816640423093</v>
      </c>
      <c r="B656"/>
      <c r="C656"/>
      <c r="D656"/>
      <c r="E656"/>
      <c r="F656" s="27" t="s">
        <v>7</v>
      </c>
      <c r="II656" s="27" t="s">
        <v>8</v>
      </c>
      <c r="IJ656" s="27" t="s">
        <v>7</v>
      </c>
      <c r="IM656" s="27" t="s">
        <v>8</v>
      </c>
      <c r="KN656" s="27" t="s">
        <v>7</v>
      </c>
      <c r="KO656" s="27" t="s">
        <v>8</v>
      </c>
      <c r="KP656" s="27" t="s">
        <v>7</v>
      </c>
      <c r="KQ656" s="27" t="s">
        <v>8</v>
      </c>
      <c r="KZ656" s="27" t="s">
        <v>7</v>
      </c>
      <c r="LA656" s="27" t="s">
        <v>8</v>
      </c>
      <c r="LB656" s="27" t="s">
        <v>7</v>
      </c>
      <c r="LG656" s="27" t="s">
        <v>8</v>
      </c>
      <c r="LI656" s="27" t="s">
        <v>8</v>
      </c>
      <c r="LL656" s="27" t="s">
        <v>7</v>
      </c>
      <c r="LU656" s="27" t="s">
        <v>8</v>
      </c>
      <c r="LV656" s="27" t="s">
        <v>7</v>
      </c>
      <c r="LX656" s="27" t="s">
        <v>7</v>
      </c>
      <c r="LZ656" s="27" t="s">
        <v>7</v>
      </c>
      <c r="OX656" s="27" t="s">
        <v>7</v>
      </c>
    </row>
    <row r="657" spans="1:418" x14ac:dyDescent="0.25">
      <c r="A657" s="7">
        <v>0.25002761412179503</v>
      </c>
      <c r="B657"/>
      <c r="C657"/>
      <c r="D657"/>
      <c r="E657"/>
      <c r="F657" s="27" t="s">
        <v>7</v>
      </c>
      <c r="II657" s="27" t="s">
        <v>8</v>
      </c>
      <c r="IJ657" s="27" t="s">
        <v>7</v>
      </c>
      <c r="IK657" s="27" t="s">
        <v>8</v>
      </c>
      <c r="IM657" s="27" t="s">
        <v>8</v>
      </c>
      <c r="KN657" s="27" t="s">
        <v>7</v>
      </c>
      <c r="KO657" s="27" t="s">
        <v>8</v>
      </c>
      <c r="KP657" s="27" t="s">
        <v>7</v>
      </c>
      <c r="KQ657" s="27" t="s">
        <v>8</v>
      </c>
      <c r="KZ657" s="27" t="s">
        <v>7</v>
      </c>
      <c r="LA657" s="27" t="s">
        <v>8</v>
      </c>
      <c r="LB657" s="27" t="s">
        <v>7</v>
      </c>
      <c r="LG657" s="27" t="s">
        <v>8</v>
      </c>
      <c r="LH657" s="27" t="s">
        <v>7</v>
      </c>
      <c r="LI657" s="27" t="s">
        <v>8</v>
      </c>
      <c r="LL657" s="27" t="s">
        <v>7</v>
      </c>
      <c r="LM657" s="27" t="s">
        <v>8</v>
      </c>
      <c r="LU657" s="27" t="s">
        <v>8</v>
      </c>
      <c r="OX657" s="27" t="s">
        <v>7</v>
      </c>
    </row>
    <row r="658" spans="1:418" x14ac:dyDescent="0.25">
      <c r="A658" s="7">
        <v>0.24512511188411276</v>
      </c>
      <c r="B658"/>
      <c r="C658"/>
      <c r="D658"/>
      <c r="E658"/>
      <c r="F658" s="27" t="s">
        <v>7</v>
      </c>
      <c r="II658" s="27" t="s">
        <v>8</v>
      </c>
      <c r="IJ658" s="27" t="s">
        <v>7</v>
      </c>
      <c r="IK658" s="27" t="s">
        <v>8</v>
      </c>
      <c r="IL658" s="27" t="s">
        <v>7</v>
      </c>
      <c r="IM658" s="27" t="s">
        <v>8</v>
      </c>
      <c r="KN658" s="27" t="s">
        <v>7</v>
      </c>
      <c r="KO658" s="27" t="s">
        <v>8</v>
      </c>
      <c r="KP658" s="27" t="s">
        <v>7</v>
      </c>
      <c r="KQ658" s="27" t="s">
        <v>8</v>
      </c>
      <c r="KZ658" s="27" t="s">
        <v>7</v>
      </c>
      <c r="LB658" s="27" t="s">
        <v>7</v>
      </c>
      <c r="LG658" s="27" t="s">
        <v>8</v>
      </c>
      <c r="LH658" s="27" t="s">
        <v>7</v>
      </c>
      <c r="LI658" s="27" t="s">
        <v>8</v>
      </c>
      <c r="LL658" s="27" t="s">
        <v>7</v>
      </c>
      <c r="LM658" s="27" t="s">
        <v>8</v>
      </c>
      <c r="LN658" s="27" t="s">
        <v>7</v>
      </c>
      <c r="LU658" s="27" t="s">
        <v>8</v>
      </c>
      <c r="OX658" s="27" t="s">
        <v>7</v>
      </c>
    </row>
    <row r="659" spans="1:418" x14ac:dyDescent="0.25">
      <c r="A659" s="7">
        <v>0.24031873714128701</v>
      </c>
      <c r="B659"/>
      <c r="C659"/>
      <c r="D659"/>
      <c r="E659"/>
      <c r="F659" s="27" t="s">
        <v>7</v>
      </c>
      <c r="II659" s="27" t="s">
        <v>8</v>
      </c>
      <c r="IJ659" s="27" t="s">
        <v>7</v>
      </c>
      <c r="IK659" s="27" t="s">
        <v>8</v>
      </c>
      <c r="IL659" s="27" t="s">
        <v>7</v>
      </c>
      <c r="IM659" s="27" t="s">
        <v>8</v>
      </c>
      <c r="KN659" s="27" t="s">
        <v>7</v>
      </c>
      <c r="KO659" s="27" t="s">
        <v>8</v>
      </c>
      <c r="KP659" s="27" t="s">
        <v>7</v>
      </c>
      <c r="KQ659" s="27" t="s">
        <v>8</v>
      </c>
      <c r="LB659" s="27" t="s">
        <v>7</v>
      </c>
      <c r="LC659" s="27" t="s">
        <v>8</v>
      </c>
      <c r="LG659" s="27" t="s">
        <v>8</v>
      </c>
      <c r="LH659" s="27" t="s">
        <v>7</v>
      </c>
      <c r="LI659" s="27" t="s">
        <v>8</v>
      </c>
      <c r="LL659" s="27" t="s">
        <v>7</v>
      </c>
      <c r="LM659" s="27" t="s">
        <v>8</v>
      </c>
      <c r="LN659" s="27" t="s">
        <v>7</v>
      </c>
      <c r="LU659" s="27" t="s">
        <v>8</v>
      </c>
      <c r="OX659" s="27" t="s">
        <v>7</v>
      </c>
      <c r="PA659" s="27" t="s">
        <v>8</v>
      </c>
    </row>
    <row r="660" spans="1:418" x14ac:dyDescent="0.25">
      <c r="A660" s="7">
        <v>0.23560660504047748</v>
      </c>
      <c r="B660"/>
      <c r="C660"/>
      <c r="D660"/>
      <c r="E660"/>
      <c r="F660" s="27" t="s">
        <v>7</v>
      </c>
      <c r="II660" s="27" t="s">
        <v>8</v>
      </c>
      <c r="IJ660" s="27" t="s">
        <v>7</v>
      </c>
      <c r="IK660" s="27" t="s">
        <v>8</v>
      </c>
      <c r="IL660" s="27" t="s">
        <v>7</v>
      </c>
      <c r="IM660" s="27" t="s">
        <v>8</v>
      </c>
      <c r="KN660" s="27" t="s">
        <v>7</v>
      </c>
      <c r="KO660" s="27" t="s">
        <v>8</v>
      </c>
      <c r="KP660" s="27" t="s">
        <v>7</v>
      </c>
      <c r="KQ660" s="27" t="s">
        <v>8</v>
      </c>
      <c r="LB660" s="27" t="s">
        <v>7</v>
      </c>
      <c r="LC660" s="27" t="s">
        <v>8</v>
      </c>
      <c r="LD660" s="27" t="s">
        <v>7</v>
      </c>
      <c r="LG660" s="27" t="s">
        <v>8</v>
      </c>
      <c r="LH660" s="27" t="s">
        <v>7</v>
      </c>
      <c r="LI660" s="27" t="s">
        <v>8</v>
      </c>
      <c r="LL660" s="27" t="s">
        <v>7</v>
      </c>
      <c r="LM660" s="27" t="s">
        <v>8</v>
      </c>
      <c r="LN660" s="27" t="s">
        <v>7</v>
      </c>
      <c r="LU660" s="27" t="s">
        <v>8</v>
      </c>
      <c r="OX660" s="27" t="s">
        <v>7</v>
      </c>
      <c r="OY660" s="27" t="s">
        <v>8</v>
      </c>
      <c r="PA660" s="27" t="s">
        <v>8</v>
      </c>
      <c r="PB660" s="27" t="s">
        <v>7</v>
      </c>
    </row>
    <row r="661" spans="1:418" x14ac:dyDescent="0.25">
      <c r="A661" s="7">
        <v>0.23098686768674265</v>
      </c>
      <c r="B661"/>
      <c r="C661"/>
      <c r="D661"/>
      <c r="E661"/>
      <c r="F661" s="27" t="s">
        <v>7</v>
      </c>
      <c r="II661" s="27" t="s">
        <v>8</v>
      </c>
      <c r="IJ661" s="27" t="s">
        <v>7</v>
      </c>
      <c r="IK661" s="27" t="s">
        <v>8</v>
      </c>
      <c r="IL661" s="27" t="s">
        <v>7</v>
      </c>
      <c r="IM661" s="27" t="s">
        <v>8</v>
      </c>
      <c r="KN661" s="27" t="s">
        <v>7</v>
      </c>
      <c r="KO661" s="27" t="s">
        <v>8</v>
      </c>
      <c r="KP661" s="27" t="s">
        <v>7</v>
      </c>
      <c r="KQ661" s="27" t="s">
        <v>8</v>
      </c>
      <c r="LB661" s="27" t="s">
        <v>7</v>
      </c>
      <c r="LC661" s="27" t="s">
        <v>8</v>
      </c>
      <c r="LD661" s="27" t="s">
        <v>7</v>
      </c>
      <c r="LG661" s="27" t="s">
        <v>8</v>
      </c>
      <c r="LH661" s="27" t="s">
        <v>7</v>
      </c>
      <c r="LI661" s="27" t="s">
        <v>8</v>
      </c>
      <c r="LL661" s="27" t="s">
        <v>7</v>
      </c>
      <c r="LN661" s="27" t="s">
        <v>7</v>
      </c>
      <c r="LO661" s="27" t="s">
        <v>8</v>
      </c>
      <c r="LU661" s="27" t="s">
        <v>8</v>
      </c>
      <c r="OX661" s="27" t="s">
        <v>7</v>
      </c>
      <c r="OY661" s="27" t="s">
        <v>8</v>
      </c>
      <c r="OZ661" s="27" t="s">
        <v>7</v>
      </c>
      <c r="PA661" s="27" t="s">
        <v>8</v>
      </c>
      <c r="PB661" s="27" t="s">
        <v>7</v>
      </c>
    </row>
    <row r="662" spans="1:418" x14ac:dyDescent="0.25">
      <c r="A662" s="7">
        <v>0.22645771341837515</v>
      </c>
      <c r="B662"/>
      <c r="C662"/>
      <c r="D662"/>
      <c r="E662"/>
      <c r="F662" s="27" t="s">
        <v>7</v>
      </c>
      <c r="II662" s="27" t="s">
        <v>8</v>
      </c>
      <c r="IJ662" s="27" t="s">
        <v>7</v>
      </c>
      <c r="IK662" s="27" t="s">
        <v>8</v>
      </c>
      <c r="IL662" s="27" t="s">
        <v>7</v>
      </c>
      <c r="KN662" s="27" t="s">
        <v>7</v>
      </c>
      <c r="KO662" s="27" t="s">
        <v>8</v>
      </c>
      <c r="KP662" s="27" t="s">
        <v>7</v>
      </c>
      <c r="KQ662" s="27" t="s">
        <v>8</v>
      </c>
      <c r="LB662" s="27" t="s">
        <v>7</v>
      </c>
      <c r="LD662" s="27" t="s">
        <v>7</v>
      </c>
      <c r="LG662" s="27" t="s">
        <v>8</v>
      </c>
      <c r="LH662" s="27" t="s">
        <v>7</v>
      </c>
      <c r="LI662" s="27" t="s">
        <v>8</v>
      </c>
      <c r="LN662" s="27" t="s">
        <v>7</v>
      </c>
      <c r="LO662" s="27" t="s">
        <v>8</v>
      </c>
      <c r="LP662" s="27" t="s">
        <v>7</v>
      </c>
      <c r="LS662" s="27" t="s">
        <v>8</v>
      </c>
      <c r="LU662" s="27" t="s">
        <v>8</v>
      </c>
      <c r="OX662" s="27" t="s">
        <v>7</v>
      </c>
      <c r="OY662" s="27" t="s">
        <v>8</v>
      </c>
      <c r="OZ662" s="27" t="s">
        <v>7</v>
      </c>
      <c r="PA662" s="27" t="s">
        <v>8</v>
      </c>
      <c r="PB662" s="27" t="s">
        <v>7</v>
      </c>
    </row>
    <row r="663" spans="1:418" x14ac:dyDescent="0.25">
      <c r="A663" s="7">
        <v>0.22201736609644623</v>
      </c>
      <c r="B663"/>
      <c r="C663"/>
      <c r="D663"/>
      <c r="E663"/>
      <c r="F663" s="27" t="s">
        <v>7</v>
      </c>
      <c r="II663" s="27" t="s">
        <v>8</v>
      </c>
      <c r="IJ663" s="27" t="s">
        <v>7</v>
      </c>
      <c r="IK663" s="27" t="s">
        <v>8</v>
      </c>
      <c r="KN663" s="27" t="s">
        <v>7</v>
      </c>
      <c r="KO663" s="27" t="s">
        <v>8</v>
      </c>
      <c r="KP663" s="27" t="s">
        <v>7</v>
      </c>
      <c r="KQ663" s="27" t="s">
        <v>8</v>
      </c>
      <c r="LD663" s="27" t="s">
        <v>7</v>
      </c>
      <c r="LG663" s="27" t="s">
        <v>8</v>
      </c>
      <c r="LH663" s="27" t="s">
        <v>7</v>
      </c>
      <c r="LN663" s="27" t="s">
        <v>7</v>
      </c>
      <c r="LO663" s="27" t="s">
        <v>8</v>
      </c>
      <c r="LP663" s="27" t="s">
        <v>7</v>
      </c>
      <c r="LQ663" s="27" t="s">
        <v>8</v>
      </c>
      <c r="LS663" s="27" t="s">
        <v>8</v>
      </c>
      <c r="LT663" s="27" t="s">
        <v>7</v>
      </c>
      <c r="LU663" s="27" t="s">
        <v>8</v>
      </c>
      <c r="OX663" s="27" t="s">
        <v>7</v>
      </c>
      <c r="OY663" s="27" t="s">
        <v>8</v>
      </c>
      <c r="OZ663" s="27" t="s">
        <v>7</v>
      </c>
      <c r="PA663" s="27" t="s">
        <v>8</v>
      </c>
      <c r="PB663" s="27" t="s">
        <v>7</v>
      </c>
    </row>
    <row r="664" spans="1:418" x14ac:dyDescent="0.25">
      <c r="A664" s="7">
        <v>0.21766408440828061</v>
      </c>
      <c r="B664"/>
      <c r="C664"/>
      <c r="D664"/>
      <c r="E664"/>
      <c r="F664" s="27" t="s">
        <v>7</v>
      </c>
      <c r="HU664" s="27" t="s">
        <v>8</v>
      </c>
      <c r="II664" s="27" t="s">
        <v>8</v>
      </c>
      <c r="IJ664" s="27" t="s">
        <v>7</v>
      </c>
      <c r="KN664" s="27" t="s">
        <v>7</v>
      </c>
      <c r="KO664" s="27" t="s">
        <v>8</v>
      </c>
      <c r="KP664" s="27" t="s">
        <v>7</v>
      </c>
      <c r="LD664" s="27" t="s">
        <v>7</v>
      </c>
      <c r="LG664" s="27" t="s">
        <v>8</v>
      </c>
      <c r="LN664" s="27" t="s">
        <v>7</v>
      </c>
      <c r="LO664" s="27" t="s">
        <v>8</v>
      </c>
      <c r="LP664" s="27" t="s">
        <v>7</v>
      </c>
      <c r="LQ664" s="27" t="s">
        <v>8</v>
      </c>
      <c r="LR664" s="27" t="s">
        <v>7</v>
      </c>
      <c r="LS664" s="27" t="s">
        <v>8</v>
      </c>
      <c r="LT664" s="27" t="s">
        <v>7</v>
      </c>
      <c r="LU664" s="27" t="s">
        <v>8</v>
      </c>
      <c r="OX664" s="27" t="s">
        <v>7</v>
      </c>
      <c r="OY664" s="27" t="s">
        <v>8</v>
      </c>
      <c r="OZ664" s="27" t="s">
        <v>7</v>
      </c>
      <c r="PA664" s="27" t="s">
        <v>8</v>
      </c>
    </row>
    <row r="665" spans="1:418" x14ac:dyDescent="0.25">
      <c r="A665" s="7">
        <v>0.21339616118458882</v>
      </c>
      <c r="B665"/>
      <c r="C665"/>
      <c r="D665"/>
      <c r="E665"/>
      <c r="F665" s="27" t="s">
        <v>7</v>
      </c>
      <c r="HU665" s="27" t="s">
        <v>8</v>
      </c>
      <c r="HV665" s="27" t="s">
        <v>7</v>
      </c>
      <c r="II665" s="27" t="s">
        <v>8</v>
      </c>
      <c r="KN665" s="27" t="s">
        <v>7</v>
      </c>
      <c r="KO665" s="27" t="s">
        <v>8</v>
      </c>
      <c r="LD665" s="27" t="s">
        <v>7</v>
      </c>
      <c r="LG665" s="27" t="s">
        <v>8</v>
      </c>
      <c r="LN665" s="27" t="s">
        <v>7</v>
      </c>
      <c r="LP665" s="27" t="s">
        <v>7</v>
      </c>
      <c r="LQ665" s="27" t="s">
        <v>8</v>
      </c>
      <c r="LR665" s="27" t="s">
        <v>7</v>
      </c>
      <c r="LS665" s="27" t="s">
        <v>8</v>
      </c>
      <c r="LT665" s="27" t="s">
        <v>7</v>
      </c>
      <c r="LU665" s="27" t="s">
        <v>8</v>
      </c>
      <c r="OX665" s="27" t="s">
        <v>7</v>
      </c>
      <c r="OY665" s="27" t="s">
        <v>8</v>
      </c>
      <c r="OZ665" s="27" t="s">
        <v>7</v>
      </c>
      <c r="PA665" s="27" t="s">
        <v>8</v>
      </c>
    </row>
    <row r="666" spans="1:418" x14ac:dyDescent="0.25">
      <c r="A666" s="7">
        <v>0.20921192272998904</v>
      </c>
      <c r="B666"/>
      <c r="C666"/>
      <c r="D666"/>
      <c r="E666"/>
      <c r="F666" s="27" t="s">
        <v>7</v>
      </c>
      <c r="HU666" s="27" t="s">
        <v>8</v>
      </c>
      <c r="HV666" s="27" t="s">
        <v>7</v>
      </c>
      <c r="II666" s="27" t="s">
        <v>8</v>
      </c>
      <c r="KN666" s="27" t="s">
        <v>7</v>
      </c>
      <c r="KO666" s="27" t="s">
        <v>8</v>
      </c>
      <c r="LD666" s="27" t="s">
        <v>7</v>
      </c>
      <c r="LG666" s="27" t="s">
        <v>8</v>
      </c>
      <c r="LP666" s="27" t="s">
        <v>7</v>
      </c>
      <c r="LQ666" s="27" t="s">
        <v>8</v>
      </c>
      <c r="LR666" s="27" t="s">
        <v>7</v>
      </c>
      <c r="LS666" s="27" t="s">
        <v>8</v>
      </c>
      <c r="LT666" s="27" t="s">
        <v>7</v>
      </c>
      <c r="OX666" s="27" t="s">
        <v>7</v>
      </c>
      <c r="OY666" s="27" t="s">
        <v>8</v>
      </c>
      <c r="OZ666" s="27" t="s">
        <v>7</v>
      </c>
    </row>
    <row r="667" spans="1:418" x14ac:dyDescent="0.25">
      <c r="A667" s="7">
        <v>0.20510972816665593</v>
      </c>
      <c r="B667"/>
      <c r="C667"/>
      <c r="D667"/>
      <c r="E667"/>
      <c r="F667" s="27" t="s">
        <v>7</v>
      </c>
      <c r="HU667" s="27" t="s">
        <v>8</v>
      </c>
      <c r="HV667" s="27" t="s">
        <v>7</v>
      </c>
      <c r="II667" s="27" t="s">
        <v>8</v>
      </c>
      <c r="KN667" s="27" t="s">
        <v>7</v>
      </c>
      <c r="KO667" s="27" t="s">
        <v>8</v>
      </c>
      <c r="LD667" s="27" t="s">
        <v>7</v>
      </c>
      <c r="LE667" s="27" t="s">
        <v>8</v>
      </c>
      <c r="LG667" s="27" t="s">
        <v>8</v>
      </c>
      <c r="LP667" s="27" t="s">
        <v>7</v>
      </c>
      <c r="LQ667" s="27" t="s">
        <v>8</v>
      </c>
      <c r="LR667" s="27" t="s">
        <v>7</v>
      </c>
      <c r="LS667" s="27" t="s">
        <v>8</v>
      </c>
      <c r="OX667" s="27" t="s">
        <v>7</v>
      </c>
      <c r="OY667" s="27" t="s">
        <v>8</v>
      </c>
    </row>
    <row r="668" spans="1:418" x14ac:dyDescent="0.25">
      <c r="A668" s="7">
        <v>0.20108796879083912</v>
      </c>
      <c r="B668"/>
      <c r="C668"/>
      <c r="D668"/>
      <c r="E668"/>
      <c r="F668" s="27" t="s">
        <v>7</v>
      </c>
      <c r="HU668" s="27" t="s">
        <v>8</v>
      </c>
      <c r="HV668" s="27" t="s">
        <v>7</v>
      </c>
      <c r="II668" s="27" t="s">
        <v>8</v>
      </c>
      <c r="KN668" s="27" t="s">
        <v>7</v>
      </c>
      <c r="KO668" s="27" t="s">
        <v>8</v>
      </c>
      <c r="LD668" s="27" t="s">
        <v>7</v>
      </c>
      <c r="LE668" s="27" t="s">
        <v>8</v>
      </c>
      <c r="LF668" s="27" t="s">
        <v>7</v>
      </c>
      <c r="LG668" s="27" t="s">
        <v>8</v>
      </c>
      <c r="LP668" s="27" t="s">
        <v>7</v>
      </c>
      <c r="LR668" s="27" t="s">
        <v>7</v>
      </c>
      <c r="LS668" s="27" t="s">
        <v>8</v>
      </c>
      <c r="OX668" s="27" t="s">
        <v>7</v>
      </c>
      <c r="OY668" s="27" t="s">
        <v>8</v>
      </c>
    </row>
    <row r="669" spans="1:418" x14ac:dyDescent="0.25">
      <c r="A669" s="7">
        <v>0.19714506744199917</v>
      </c>
      <c r="B669"/>
      <c r="C669"/>
      <c r="D669"/>
      <c r="E669"/>
      <c r="F669" s="27" t="s">
        <v>7</v>
      </c>
      <c r="HU669" s="27" t="s">
        <v>8</v>
      </c>
      <c r="HV669" s="27" t="s">
        <v>7</v>
      </c>
      <c r="II669" s="27" t="s">
        <v>8</v>
      </c>
      <c r="KN669" s="27" t="s">
        <v>7</v>
      </c>
      <c r="KO669" s="27" t="s">
        <v>8</v>
      </c>
      <c r="LD669" s="27" t="s">
        <v>7</v>
      </c>
      <c r="LE669" s="27" t="s">
        <v>8</v>
      </c>
      <c r="LF669" s="27" t="s">
        <v>7</v>
      </c>
      <c r="LG669" s="27" t="s">
        <v>8</v>
      </c>
      <c r="LR669" s="27" t="s">
        <v>7</v>
      </c>
      <c r="LS669" s="27" t="s">
        <v>8</v>
      </c>
      <c r="OX669" s="27" t="s">
        <v>7</v>
      </c>
    </row>
    <row r="670" spans="1:418" x14ac:dyDescent="0.25">
      <c r="A670" s="7">
        <v>0.19327947788431293</v>
      </c>
      <c r="B670"/>
      <c r="C670"/>
      <c r="D670"/>
      <c r="E670"/>
      <c r="F670" s="27" t="s">
        <v>7</v>
      </c>
      <c r="HU670" s="27" t="s">
        <v>8</v>
      </c>
      <c r="HV670" s="27" t="s">
        <v>7</v>
      </c>
      <c r="II670" s="27" t="s">
        <v>8</v>
      </c>
      <c r="KN670" s="27" t="s">
        <v>7</v>
      </c>
      <c r="LD670" s="27" t="s">
        <v>7</v>
      </c>
      <c r="LE670" s="27" t="s">
        <v>8</v>
      </c>
      <c r="LF670" s="27" t="s">
        <v>7</v>
      </c>
      <c r="LG670" s="27" t="s">
        <v>8</v>
      </c>
      <c r="LR670" s="18" t="s">
        <v>7</v>
      </c>
      <c r="LS670" s="27" t="s">
        <v>8</v>
      </c>
    </row>
    <row r="671" spans="1:418" x14ac:dyDescent="0.25">
      <c r="A671" s="7">
        <v>0.18948968420030682</v>
      </c>
      <c r="B671"/>
      <c r="C671"/>
      <c r="D671"/>
      <c r="E671"/>
      <c r="F671" s="27" t="s">
        <v>7</v>
      </c>
      <c r="HU671" s="27" t="s">
        <v>8</v>
      </c>
      <c r="HV671" s="27" t="s">
        <v>7</v>
      </c>
      <c r="HW671" s="27" t="s">
        <v>8</v>
      </c>
      <c r="II671" s="27" t="s">
        <v>8</v>
      </c>
      <c r="LD671" s="27" t="s">
        <v>7</v>
      </c>
      <c r="LE671" s="27" t="s">
        <v>8</v>
      </c>
      <c r="LF671" s="27" t="s">
        <v>7</v>
      </c>
      <c r="LG671" s="27" t="s">
        <v>8</v>
      </c>
      <c r="LR671" s="27" t="s">
        <v>7</v>
      </c>
      <c r="LS671" s="27" t="s">
        <v>8</v>
      </c>
    </row>
    <row r="672" spans="1:418" x14ac:dyDescent="0.25">
      <c r="A672" s="7">
        <v>0.18577420019637925</v>
      </c>
      <c r="B672"/>
      <c r="C672"/>
      <c r="D672"/>
      <c r="E672"/>
      <c r="F672" s="27" t="s">
        <v>7</v>
      </c>
      <c r="HU672" s="27" t="s">
        <v>8</v>
      </c>
      <c r="HV672" s="27" t="s">
        <v>7</v>
      </c>
      <c r="HW672" s="27" t="s">
        <v>8</v>
      </c>
      <c r="HX672" s="27" t="s">
        <v>7</v>
      </c>
      <c r="II672" s="27" t="s">
        <v>8</v>
      </c>
      <c r="LD672" s="27" t="s">
        <v>7</v>
      </c>
      <c r="LE672" s="27" t="s">
        <v>8</v>
      </c>
      <c r="LF672" s="27" t="s">
        <v>7</v>
      </c>
      <c r="LG672" s="27" t="s">
        <v>8</v>
      </c>
      <c r="LR672" s="27" t="s">
        <v>7</v>
      </c>
      <c r="LS672" s="27" t="s">
        <v>8</v>
      </c>
    </row>
    <row r="673" spans="1:331" x14ac:dyDescent="0.25">
      <c r="A673" s="7">
        <v>0.18213156881997963</v>
      </c>
      <c r="B673"/>
      <c r="C673"/>
      <c r="D673"/>
      <c r="E673"/>
      <c r="F673" s="27" t="s">
        <v>7</v>
      </c>
      <c r="HU673" s="27" t="s">
        <v>8</v>
      </c>
      <c r="HV673" s="27" t="s">
        <v>7</v>
      </c>
      <c r="HW673" s="27" t="s">
        <v>8</v>
      </c>
      <c r="HX673" s="27" t="s">
        <v>7</v>
      </c>
      <c r="II673" s="27" t="s">
        <v>8</v>
      </c>
      <c r="LD673" s="27" t="s">
        <v>7</v>
      </c>
      <c r="LE673" s="27" t="s">
        <v>8</v>
      </c>
      <c r="LF673" s="27" t="s">
        <v>7</v>
      </c>
      <c r="LG673" s="27" t="s">
        <v>8</v>
      </c>
      <c r="LR673" s="27" t="s">
        <v>7</v>
      </c>
      <c r="LS673" s="27" t="s">
        <v>8</v>
      </c>
    </row>
    <row r="674" spans="1:331" x14ac:dyDescent="0.25">
      <c r="A674" s="7">
        <v>0.17856036158821534</v>
      </c>
      <c r="B674"/>
      <c r="C674"/>
      <c r="D674"/>
      <c r="E674"/>
      <c r="F674" s="27" t="s">
        <v>7</v>
      </c>
      <c r="HU674" s="27" t="s">
        <v>8</v>
      </c>
      <c r="HV674" s="27" t="s">
        <v>7</v>
      </c>
      <c r="HW674" s="27" t="s">
        <v>8</v>
      </c>
      <c r="HX674" s="27" t="s">
        <v>7</v>
      </c>
      <c r="II674" s="27" t="s">
        <v>8</v>
      </c>
      <c r="LD674" s="27" t="s">
        <v>7</v>
      </c>
      <c r="LE674" s="27" t="s">
        <v>8</v>
      </c>
      <c r="LF674" s="27" t="s">
        <v>7</v>
      </c>
      <c r="LG674" s="27" t="s">
        <v>8</v>
      </c>
      <c r="LR674" s="27" t="s">
        <v>7</v>
      </c>
      <c r="LS674" s="27" t="s">
        <v>8</v>
      </c>
    </row>
    <row r="675" spans="1:331" x14ac:dyDescent="0.25">
      <c r="A675" s="7">
        <v>0.17505917802766208</v>
      </c>
      <c r="B675"/>
      <c r="C675"/>
      <c r="D675"/>
      <c r="E675"/>
      <c r="F675" s="27" t="s">
        <v>7</v>
      </c>
      <c r="HU675" s="27" t="s">
        <v>8</v>
      </c>
      <c r="HV675" s="27" t="s">
        <v>7</v>
      </c>
      <c r="HW675" s="27" t="s">
        <v>8</v>
      </c>
      <c r="HX675" s="27" t="s">
        <v>7</v>
      </c>
      <c r="II675" s="27" t="s">
        <v>8</v>
      </c>
      <c r="LD675" s="27" t="s">
        <v>7</v>
      </c>
      <c r="LE675" s="27" t="s">
        <v>8</v>
      </c>
      <c r="LF675" s="27" t="s">
        <v>7</v>
      </c>
      <c r="LG675" s="27" t="s">
        <v>8</v>
      </c>
      <c r="LR675" s="27" t="s">
        <v>7</v>
      </c>
    </row>
    <row r="676" spans="1:331" x14ac:dyDescent="0.25">
      <c r="A676" s="7">
        <v>0.17162664512515888</v>
      </c>
      <c r="B676"/>
      <c r="C676"/>
      <c r="D676"/>
      <c r="E676"/>
      <c r="F676" s="27" t="s">
        <v>7</v>
      </c>
      <c r="GI676" s="27" t="s">
        <v>8</v>
      </c>
      <c r="HU676" s="27" t="s">
        <v>8</v>
      </c>
      <c r="HV676" s="27" t="s">
        <v>7</v>
      </c>
      <c r="HW676" s="27" t="s">
        <v>8</v>
      </c>
      <c r="HX676" s="27" t="s">
        <v>7</v>
      </c>
      <c r="HY676" s="27" t="s">
        <v>8</v>
      </c>
      <c r="II676" s="27" t="s">
        <v>8</v>
      </c>
      <c r="LD676" s="27" t="s">
        <v>7</v>
      </c>
      <c r="LE676" s="27" t="s">
        <v>8</v>
      </c>
      <c r="LF676" s="27" t="s">
        <v>7</v>
      </c>
    </row>
    <row r="677" spans="1:331" x14ac:dyDescent="0.25">
      <c r="A677" s="7">
        <v>0.16826141678937145</v>
      </c>
      <c r="B677"/>
      <c r="C677"/>
      <c r="D677"/>
      <c r="E677"/>
      <c r="F677" s="27" t="s">
        <v>7</v>
      </c>
      <c r="GI677" s="27" t="s">
        <v>8</v>
      </c>
      <c r="GJ677" s="27" t="s">
        <v>7</v>
      </c>
      <c r="HU677" s="27" t="s">
        <v>8</v>
      </c>
      <c r="HV677" s="27" t="s">
        <v>7</v>
      </c>
      <c r="HW677" s="27" t="s">
        <v>8</v>
      </c>
      <c r="HX677" s="27" t="s">
        <v>7</v>
      </c>
      <c r="HY677" s="27" t="s">
        <v>8</v>
      </c>
      <c r="HZ677" s="27" t="s">
        <v>7</v>
      </c>
      <c r="IC677" s="27" t="s">
        <v>8</v>
      </c>
      <c r="II677" s="27" t="s">
        <v>8</v>
      </c>
      <c r="LD677" s="27" t="s">
        <v>7</v>
      </c>
      <c r="LE677" s="27" t="s">
        <v>8</v>
      </c>
    </row>
    <row r="678" spans="1:331" x14ac:dyDescent="0.25">
      <c r="A678" s="7">
        <v>0.16496217332291319</v>
      </c>
      <c r="B678"/>
      <c r="C678"/>
      <c r="D678"/>
      <c r="E678"/>
      <c r="F678" s="27" t="s">
        <v>7</v>
      </c>
      <c r="GI678" s="27" t="s">
        <v>8</v>
      </c>
      <c r="GJ678" s="27" t="s">
        <v>7</v>
      </c>
      <c r="HU678" s="27" t="s">
        <v>8</v>
      </c>
      <c r="HV678" s="27" t="s">
        <v>7</v>
      </c>
      <c r="HW678" s="27" t="s">
        <v>8</v>
      </c>
      <c r="HX678" s="27" t="s">
        <v>7</v>
      </c>
      <c r="HY678" s="27" t="s">
        <v>8</v>
      </c>
      <c r="HZ678" s="27" t="s">
        <v>7</v>
      </c>
      <c r="IA678" s="27" t="s">
        <v>8</v>
      </c>
      <c r="IC678" s="27" t="s">
        <v>8</v>
      </c>
      <c r="ID678" s="27" t="s">
        <v>7</v>
      </c>
      <c r="IG678" s="27" t="s">
        <v>8</v>
      </c>
      <c r="II678" s="27" t="s">
        <v>8</v>
      </c>
      <c r="LD678" s="27" t="s">
        <v>7</v>
      </c>
      <c r="LE678" s="27" t="s">
        <v>8</v>
      </c>
    </row>
    <row r="679" spans="1:331" x14ac:dyDescent="0.25">
      <c r="A679" s="7">
        <v>0.16172762090481685</v>
      </c>
      <c r="B679"/>
      <c r="C679"/>
      <c r="D679"/>
      <c r="E679"/>
      <c r="F679" s="27" t="s">
        <v>7</v>
      </c>
      <c r="GI679" s="27" t="s">
        <v>8</v>
      </c>
      <c r="GJ679" s="27" t="s">
        <v>7</v>
      </c>
      <c r="HU679" s="27" t="s">
        <v>8</v>
      </c>
      <c r="HV679" s="27" t="s">
        <v>7</v>
      </c>
      <c r="HW679" s="27" t="s">
        <v>8</v>
      </c>
      <c r="HX679" s="27" t="s">
        <v>7</v>
      </c>
      <c r="HY679" s="27" t="s">
        <v>8</v>
      </c>
      <c r="HZ679" s="27" t="s">
        <v>7</v>
      </c>
      <c r="IA679" s="27" t="s">
        <v>8</v>
      </c>
      <c r="IB679" s="27" t="s">
        <v>7</v>
      </c>
      <c r="IC679" s="27" t="s">
        <v>8</v>
      </c>
      <c r="ID679" s="27" t="s">
        <v>7</v>
      </c>
      <c r="IE679" s="27" t="s">
        <v>8</v>
      </c>
      <c r="IG679" s="27" t="s">
        <v>8</v>
      </c>
      <c r="IH679" s="27" t="s">
        <v>7</v>
      </c>
      <c r="II679" s="27" t="s">
        <v>8</v>
      </c>
      <c r="LD679" s="27" t="s">
        <v>7</v>
      </c>
      <c r="LE679" s="27" t="s">
        <v>8</v>
      </c>
    </row>
    <row r="680" spans="1:331" x14ac:dyDescent="0.25">
      <c r="A680" s="7">
        <v>0.15855649108315376</v>
      </c>
      <c r="B680"/>
      <c r="C680"/>
      <c r="D680"/>
      <c r="E680"/>
      <c r="F680" s="27" t="s">
        <v>7</v>
      </c>
      <c r="GI680" s="27" t="s">
        <v>8</v>
      </c>
      <c r="GJ680" s="27" t="s">
        <v>7</v>
      </c>
      <c r="HU680" s="27" t="s">
        <v>8</v>
      </c>
      <c r="HV680" s="27" t="s">
        <v>7</v>
      </c>
      <c r="HW680" s="27" t="s">
        <v>8</v>
      </c>
      <c r="HX680" s="27" t="s">
        <v>7</v>
      </c>
      <c r="HY680" s="27" t="s">
        <v>8</v>
      </c>
      <c r="HZ680" s="27" t="s">
        <v>7</v>
      </c>
      <c r="IA680" s="27" t="s">
        <v>8</v>
      </c>
      <c r="IB680" s="27" t="s">
        <v>7</v>
      </c>
      <c r="IC680" s="27" t="s">
        <v>8</v>
      </c>
      <c r="ID680" s="27" t="s">
        <v>7</v>
      </c>
      <c r="IE680" s="27" t="s">
        <v>8</v>
      </c>
      <c r="IF680" s="27" t="s">
        <v>7</v>
      </c>
      <c r="IG680" s="27" t="s">
        <v>8</v>
      </c>
      <c r="IH680" s="27" t="s">
        <v>7</v>
      </c>
      <c r="II680" s="27" t="s">
        <v>8</v>
      </c>
      <c r="LD680" s="27" t="s">
        <v>7</v>
      </c>
      <c r="LE680" s="27" t="s">
        <v>8</v>
      </c>
    </row>
    <row r="681" spans="1:331" x14ac:dyDescent="0.25">
      <c r="A681" s="7">
        <v>0.15544754027760171</v>
      </c>
      <c r="B681"/>
      <c r="C681"/>
      <c r="D681"/>
      <c r="E681"/>
      <c r="F681" s="27" t="s">
        <v>7</v>
      </c>
      <c r="GI681" s="27" t="s">
        <v>8</v>
      </c>
      <c r="GJ681" s="27" t="s">
        <v>7</v>
      </c>
      <c r="HU681" s="27" t="s">
        <v>8</v>
      </c>
      <c r="HV681" s="27" t="s">
        <v>7</v>
      </c>
      <c r="HW681" s="27" t="s">
        <v>8</v>
      </c>
      <c r="HX681" s="27" t="s">
        <v>7</v>
      </c>
      <c r="HY681" s="27" t="s">
        <v>8</v>
      </c>
      <c r="HZ681" s="27" t="s">
        <v>7</v>
      </c>
      <c r="IA681" s="27" t="s">
        <v>8</v>
      </c>
      <c r="IB681" s="27" t="s">
        <v>7</v>
      </c>
      <c r="IC681" s="27" t="s">
        <v>8</v>
      </c>
      <c r="ID681" s="27" t="s">
        <v>7</v>
      </c>
      <c r="IE681" s="27" t="s">
        <v>8</v>
      </c>
      <c r="IF681" s="27" t="s">
        <v>7</v>
      </c>
      <c r="IG681" s="27" t="s">
        <v>8</v>
      </c>
      <c r="IH681" s="27" t="s">
        <v>7</v>
      </c>
      <c r="II681" s="27" t="s">
        <v>8</v>
      </c>
      <c r="LD681" s="27" t="s">
        <v>7</v>
      </c>
      <c r="LE681" s="27" t="s">
        <v>8</v>
      </c>
    </row>
    <row r="682" spans="1:331" x14ac:dyDescent="0.25">
      <c r="A682" s="7">
        <v>0.15239954929176638</v>
      </c>
      <c r="B682"/>
      <c r="C682"/>
      <c r="D682"/>
      <c r="E682"/>
      <c r="F682" s="27" t="s">
        <v>7</v>
      </c>
      <c r="GI682" s="27" t="s">
        <v>8</v>
      </c>
      <c r="GJ682" s="27" t="s">
        <v>7</v>
      </c>
      <c r="HU682" s="27" t="s">
        <v>8</v>
      </c>
      <c r="HV682" s="27" t="s">
        <v>7</v>
      </c>
      <c r="HW682" s="27" t="s">
        <v>8</v>
      </c>
      <c r="HX682" s="27" t="s">
        <v>7</v>
      </c>
      <c r="HZ682" s="27" t="s">
        <v>7</v>
      </c>
      <c r="IA682" s="27" t="s">
        <v>8</v>
      </c>
      <c r="IB682" s="27" t="s">
        <v>7</v>
      </c>
      <c r="IC682" s="27" t="s">
        <v>8</v>
      </c>
      <c r="ID682" s="27" t="s">
        <v>7</v>
      </c>
      <c r="IE682" s="27" t="s">
        <v>8</v>
      </c>
      <c r="IF682" s="27" t="s">
        <v>7</v>
      </c>
      <c r="IG682" s="27" t="s">
        <v>8</v>
      </c>
      <c r="IH682" s="27" t="s">
        <v>7</v>
      </c>
      <c r="II682" s="27" t="s">
        <v>8</v>
      </c>
      <c r="LD682" s="27" t="s">
        <v>7</v>
      </c>
      <c r="LE682" s="27" t="s">
        <v>8</v>
      </c>
    </row>
    <row r="683" spans="1:331" x14ac:dyDescent="0.25">
      <c r="A683" s="7">
        <v>0.14941132283506509</v>
      </c>
      <c r="B683"/>
      <c r="C683"/>
      <c r="D683"/>
      <c r="E683"/>
      <c r="F683" s="27" t="s">
        <v>7</v>
      </c>
      <c r="GI683" s="27" t="s">
        <v>8</v>
      </c>
      <c r="GJ683" s="27" t="s">
        <v>7</v>
      </c>
      <c r="HU683" s="27" t="s">
        <v>8</v>
      </c>
      <c r="HV683" s="27" t="s">
        <v>7</v>
      </c>
      <c r="HW683" s="27" t="s">
        <v>8</v>
      </c>
      <c r="HZ683" s="27" t="s">
        <v>7</v>
      </c>
      <c r="IA683" s="27" t="s">
        <v>8</v>
      </c>
      <c r="IB683" s="27" t="s">
        <v>7</v>
      </c>
      <c r="IC683" s="27" t="s">
        <v>8</v>
      </c>
      <c r="ID683" s="27" t="s">
        <v>7</v>
      </c>
      <c r="IE683" s="27" t="s">
        <v>8</v>
      </c>
      <c r="IF683" s="27" t="s">
        <v>7</v>
      </c>
      <c r="IG683" s="27" t="s">
        <v>8</v>
      </c>
      <c r="IH683" s="27" t="s">
        <v>7</v>
      </c>
      <c r="LD683" s="27" t="s">
        <v>7</v>
      </c>
      <c r="LE683" s="27" t="s">
        <v>8</v>
      </c>
    </row>
    <row r="684" spans="1:331" x14ac:dyDescent="0.25">
      <c r="A684" s="7">
        <v>0.14648168905398537</v>
      </c>
      <c r="B684"/>
      <c r="C684"/>
      <c r="D684"/>
      <c r="E684"/>
      <c r="F684" s="27" t="s">
        <v>7</v>
      </c>
      <c r="GI684" s="27" t="s">
        <v>8</v>
      </c>
      <c r="GJ684" s="27" t="s">
        <v>7</v>
      </c>
      <c r="HU684" s="27" t="s">
        <v>8</v>
      </c>
      <c r="HV684" s="27" t="s">
        <v>7</v>
      </c>
      <c r="HW684" s="27" t="s">
        <v>8</v>
      </c>
      <c r="HZ684" s="27" t="s">
        <v>7</v>
      </c>
      <c r="IA684" s="27" t="s">
        <v>8</v>
      </c>
      <c r="IB684" s="27" t="s">
        <v>7</v>
      </c>
      <c r="ID684" s="27" t="s">
        <v>7</v>
      </c>
      <c r="IE684" s="27" t="s">
        <v>8</v>
      </c>
      <c r="IF684" s="27" t="s">
        <v>7</v>
      </c>
      <c r="IG684" s="27" t="s">
        <v>8</v>
      </c>
      <c r="LD684" s="27" t="s">
        <v>7</v>
      </c>
    </row>
    <row r="685" spans="1:331" x14ac:dyDescent="0.25">
      <c r="A685" s="7">
        <v>0.14360949907253467</v>
      </c>
      <c r="B685"/>
      <c r="C685"/>
      <c r="D685"/>
      <c r="E685"/>
      <c r="F685" s="27" t="s">
        <v>7</v>
      </c>
      <c r="GI685" s="27" t="s">
        <v>8</v>
      </c>
      <c r="GJ685" s="27" t="s">
        <v>7</v>
      </c>
      <c r="GW685" s="27" t="s">
        <v>8</v>
      </c>
      <c r="HU685" s="27" t="s">
        <v>8</v>
      </c>
      <c r="HV685" s="27" t="s">
        <v>7</v>
      </c>
      <c r="HW685" s="27" t="s">
        <v>8</v>
      </c>
      <c r="HZ685" s="27" t="s">
        <v>7</v>
      </c>
      <c r="IA685" s="27" t="s">
        <v>8</v>
      </c>
      <c r="ID685" s="27" t="s">
        <v>7</v>
      </c>
      <c r="IE685" s="27" t="s">
        <v>8</v>
      </c>
      <c r="IF685" s="27" t="s">
        <v>7</v>
      </c>
      <c r="IG685" s="27" t="s">
        <v>8</v>
      </c>
    </row>
    <row r="686" spans="1:331" x14ac:dyDescent="0.25">
      <c r="A686" s="7">
        <v>0.14079362654170066</v>
      </c>
      <c r="B686"/>
      <c r="C686"/>
      <c r="D686"/>
      <c r="E686"/>
      <c r="F686" s="27" t="s">
        <v>7</v>
      </c>
      <c r="GI686" s="27" t="s">
        <v>8</v>
      </c>
      <c r="GJ686" s="27" t="s">
        <v>7</v>
      </c>
      <c r="GW686" s="27" t="s">
        <v>8</v>
      </c>
      <c r="GX686" s="27" t="s">
        <v>7</v>
      </c>
      <c r="HU686" s="27" t="s">
        <v>8</v>
      </c>
      <c r="HV686" s="27" t="s">
        <v>7</v>
      </c>
      <c r="HW686" s="27" t="s">
        <v>8</v>
      </c>
      <c r="HZ686" s="27" t="s">
        <v>7</v>
      </c>
      <c r="IA686" s="27" t="s">
        <v>8</v>
      </c>
      <c r="ID686" s="27" t="s">
        <v>7</v>
      </c>
      <c r="IE686" s="27" t="s">
        <v>8</v>
      </c>
      <c r="IF686" s="27" t="s">
        <v>7</v>
      </c>
      <c r="IG686" s="27" t="s">
        <v>8</v>
      </c>
    </row>
    <row r="687" spans="1:331" x14ac:dyDescent="0.25">
      <c r="A687" s="7">
        <v>0.13803296719774574</v>
      </c>
      <c r="B687"/>
      <c r="C687"/>
      <c r="D687"/>
      <c r="E687"/>
      <c r="F687" s="27" t="s">
        <v>7</v>
      </c>
      <c r="GI687" s="27" t="s">
        <v>8</v>
      </c>
      <c r="GJ687" s="27" t="s">
        <v>7</v>
      </c>
      <c r="GW687" s="27" t="s">
        <v>8</v>
      </c>
      <c r="GX687" s="27" t="s">
        <v>7</v>
      </c>
      <c r="HU687" s="27" t="s">
        <v>8</v>
      </c>
      <c r="HV687" s="27" t="s">
        <v>7</v>
      </c>
      <c r="HW687" s="27" t="s">
        <v>8</v>
      </c>
      <c r="HZ687" s="27" t="s">
        <v>7</v>
      </c>
      <c r="IA687" s="27" t="s">
        <v>8</v>
      </c>
      <c r="ID687" s="27" t="s">
        <v>7</v>
      </c>
      <c r="IE687" s="27" t="s">
        <v>8</v>
      </c>
      <c r="IF687" s="27" t="s">
        <v>7</v>
      </c>
      <c r="IG687" s="27" t="s">
        <v>8</v>
      </c>
    </row>
    <row r="688" spans="1:331" x14ac:dyDescent="0.25">
      <c r="A688" s="7">
        <v>0.1353264384291625</v>
      </c>
      <c r="B688"/>
      <c r="C688"/>
      <c r="D688"/>
      <c r="E688"/>
      <c r="F688" s="27" t="s">
        <v>7</v>
      </c>
      <c r="GI688" s="27" t="s">
        <v>8</v>
      </c>
      <c r="GJ688" s="27" t="s">
        <v>7</v>
      </c>
      <c r="GW688" s="27" t="s">
        <v>8</v>
      </c>
      <c r="GX688" s="27" t="s">
        <v>7</v>
      </c>
      <c r="HU688" s="27" t="s">
        <v>8</v>
      </c>
      <c r="HV688" s="27" t="s">
        <v>7</v>
      </c>
      <c r="HW688" s="27" t="s">
        <v>8</v>
      </c>
      <c r="HZ688" s="27" t="s">
        <v>7</v>
      </c>
      <c r="IA688" s="27" t="s">
        <v>8</v>
      </c>
      <c r="ID688" s="27" t="s">
        <v>7</v>
      </c>
      <c r="IE688" s="27" t="s">
        <v>8</v>
      </c>
      <c r="IF688" s="27" t="s">
        <v>7</v>
      </c>
      <c r="IG688" s="27" t="s">
        <v>8</v>
      </c>
    </row>
    <row r="689" spans="1:241" x14ac:dyDescent="0.25">
      <c r="A689" s="7">
        <v>0.13267297885212009</v>
      </c>
      <c r="B689"/>
      <c r="C689"/>
      <c r="D689"/>
      <c r="E689"/>
      <c r="F689" s="27" t="s">
        <v>7</v>
      </c>
      <c r="GI689" s="27" t="s">
        <v>8</v>
      </c>
      <c r="GJ689" s="27" t="s">
        <v>7</v>
      </c>
      <c r="GW689" s="27" t="s">
        <v>8</v>
      </c>
      <c r="GX689" s="27" t="s">
        <v>7</v>
      </c>
      <c r="HU689" s="27" t="s">
        <v>8</v>
      </c>
      <c r="HV689" s="27" t="s">
        <v>7</v>
      </c>
      <c r="HW689" s="27" t="s">
        <v>8</v>
      </c>
      <c r="HZ689" s="27" t="s">
        <v>7</v>
      </c>
      <c r="IA689" s="27" t="s">
        <v>8</v>
      </c>
      <c r="ID689" s="27" t="s">
        <v>7</v>
      </c>
      <c r="IE689" s="27" t="s">
        <v>8</v>
      </c>
      <c r="IF689" s="27" t="s">
        <v>7</v>
      </c>
      <c r="IG689" s="27" t="s">
        <v>8</v>
      </c>
    </row>
    <row r="690" spans="1:241" x14ac:dyDescent="0.25">
      <c r="A690" s="7">
        <v>0.13007154789423539</v>
      </c>
      <c r="B690"/>
      <c r="C690"/>
      <c r="D690"/>
      <c r="E690"/>
      <c r="F690" s="27" t="s">
        <v>7</v>
      </c>
      <c r="GI690" s="27" t="s">
        <v>8</v>
      </c>
      <c r="GJ690" s="27" t="s">
        <v>7</v>
      </c>
      <c r="GW690" s="27" t="s">
        <v>8</v>
      </c>
      <c r="GX690" s="27" t="s">
        <v>7</v>
      </c>
      <c r="HU690" s="27" t="s">
        <v>8</v>
      </c>
      <c r="HV690" s="27" t="s">
        <v>7</v>
      </c>
      <c r="HW690" s="27" t="s">
        <v>8</v>
      </c>
      <c r="HZ690" s="27" t="s">
        <v>7</v>
      </c>
      <c r="IA690" s="27" t="s">
        <v>8</v>
      </c>
      <c r="ID690" s="27" t="s">
        <v>7</v>
      </c>
      <c r="IE690" s="27" t="s">
        <v>8</v>
      </c>
      <c r="IF690" s="27" t="s">
        <v>7</v>
      </c>
    </row>
    <row r="691" spans="1:241" x14ac:dyDescent="0.25">
      <c r="A691" s="7">
        <v>0.12752112538650529</v>
      </c>
      <c r="B691"/>
      <c r="C691"/>
      <c r="D691"/>
      <c r="E691"/>
      <c r="F691" s="27" t="s">
        <v>7</v>
      </c>
      <c r="GI691" s="27" t="s">
        <v>8</v>
      </c>
      <c r="GJ691" s="27" t="s">
        <v>7</v>
      </c>
      <c r="GK691" s="27" t="s">
        <v>8</v>
      </c>
      <c r="GW691" s="27" t="s">
        <v>8</v>
      </c>
      <c r="GX691" s="27" t="s">
        <v>7</v>
      </c>
      <c r="HU691" s="27" t="s">
        <v>8</v>
      </c>
      <c r="HV691" s="27" t="s">
        <v>7</v>
      </c>
      <c r="HW691" s="27" t="s">
        <v>8</v>
      </c>
      <c r="HZ691" s="27" t="s">
        <v>7</v>
      </c>
      <c r="IA691" s="27" t="s">
        <v>8</v>
      </c>
      <c r="ID691" s="27" t="s">
        <v>7</v>
      </c>
      <c r="IE691" s="27" t="s">
        <v>8</v>
      </c>
    </row>
    <row r="692" spans="1:241" x14ac:dyDescent="0.25">
      <c r="A692" s="7">
        <v>0.12502071116324048</v>
      </c>
      <c r="B692"/>
      <c r="C692"/>
      <c r="D692"/>
      <c r="E692"/>
      <c r="F692" s="27" t="s">
        <v>7</v>
      </c>
      <c r="GI692" s="27" t="s">
        <v>8</v>
      </c>
      <c r="GJ692" s="27" t="s">
        <v>7</v>
      </c>
      <c r="GK692" s="27" t="s">
        <v>8</v>
      </c>
      <c r="GL692" s="27" t="s">
        <v>7</v>
      </c>
      <c r="GW692" s="27" t="s">
        <v>8</v>
      </c>
      <c r="GX692" s="27" t="s">
        <v>7</v>
      </c>
      <c r="HU692" s="27" t="s">
        <v>8</v>
      </c>
      <c r="HV692" s="27" t="s">
        <v>7</v>
      </c>
      <c r="HW692" s="27" t="s">
        <v>8</v>
      </c>
      <c r="HZ692" s="27" t="s">
        <v>7</v>
      </c>
      <c r="IA692" s="27" t="s">
        <v>8</v>
      </c>
      <c r="ID692" s="27" t="s">
        <v>7</v>
      </c>
      <c r="IE692" s="27" t="s">
        <v>8</v>
      </c>
    </row>
    <row r="693" spans="1:241" x14ac:dyDescent="0.25">
      <c r="A693" s="7">
        <v>0.1225693246698436</v>
      </c>
      <c r="B693"/>
      <c r="C693"/>
      <c r="D693"/>
      <c r="E693"/>
      <c r="F693" s="27" t="s">
        <v>7</v>
      </c>
      <c r="GI693" s="27" t="s">
        <v>8</v>
      </c>
      <c r="GJ693" s="27" t="s">
        <v>7</v>
      </c>
      <c r="GK693" s="27" t="s">
        <v>8</v>
      </c>
      <c r="GL693" s="27" t="s">
        <v>7</v>
      </c>
      <c r="GW693" s="27" t="s">
        <v>8</v>
      </c>
      <c r="GX693" s="27" t="s">
        <v>7</v>
      </c>
      <c r="HU693" s="27" t="s">
        <v>8</v>
      </c>
      <c r="HV693" s="27" t="s">
        <v>7</v>
      </c>
      <c r="HW693" s="27" t="s">
        <v>8</v>
      </c>
      <c r="HZ693" s="27" t="s">
        <v>7</v>
      </c>
      <c r="ID693" s="27" t="s">
        <v>7</v>
      </c>
      <c r="IE693" s="27" t="s">
        <v>8</v>
      </c>
    </row>
    <row r="694" spans="1:241" x14ac:dyDescent="0.25">
      <c r="A694" s="7">
        <v>0.12016600457827803</v>
      </c>
      <c r="B694"/>
      <c r="C694"/>
      <c r="D694"/>
      <c r="E694"/>
      <c r="F694" s="27" t="s">
        <v>7</v>
      </c>
      <c r="GI694" s="27" t="s">
        <v>8</v>
      </c>
      <c r="GJ694" s="27" t="s">
        <v>7</v>
      </c>
      <c r="GK694" s="27" t="s">
        <v>8</v>
      </c>
      <c r="GL694" s="27" t="s">
        <v>7</v>
      </c>
      <c r="GW694" s="27" t="s">
        <v>8</v>
      </c>
      <c r="GX694" s="27" t="s">
        <v>7</v>
      </c>
      <c r="HU694" s="27" t="s">
        <v>8</v>
      </c>
      <c r="HV694" s="27" t="s">
        <v>7</v>
      </c>
      <c r="HW694" s="27" t="s">
        <v>8</v>
      </c>
      <c r="ID694" s="27" t="s">
        <v>7</v>
      </c>
      <c r="IE694" s="27" t="s">
        <v>8</v>
      </c>
    </row>
    <row r="695" spans="1:241" x14ac:dyDescent="0.25">
      <c r="A695" s="7">
        <v>0.1178098084100765</v>
      </c>
      <c r="B695"/>
      <c r="C695"/>
      <c r="D695"/>
      <c r="E695"/>
      <c r="F695" s="27" t="s">
        <v>7</v>
      </c>
      <c r="GI695" s="27" t="s">
        <v>8</v>
      </c>
      <c r="GJ695" s="27" t="s">
        <v>7</v>
      </c>
      <c r="GK695" s="27" t="s">
        <v>8</v>
      </c>
      <c r="GL695" s="27" t="s">
        <v>7</v>
      </c>
      <c r="GM695" s="27" t="s">
        <v>8</v>
      </c>
      <c r="GW695" s="27" t="s">
        <v>8</v>
      </c>
      <c r="GX695" s="27" t="s">
        <v>7</v>
      </c>
      <c r="GY695" s="27" t="s">
        <v>8</v>
      </c>
      <c r="HU695" s="27" t="s">
        <v>8</v>
      </c>
      <c r="HV695" s="27" t="s">
        <v>7</v>
      </c>
      <c r="HW695" s="27" t="s">
        <v>8</v>
      </c>
      <c r="ID695" s="27" t="s">
        <v>7</v>
      </c>
      <c r="IE695" s="27" t="s">
        <v>8</v>
      </c>
    </row>
    <row r="696" spans="1:241" x14ac:dyDescent="0.25">
      <c r="A696" s="7">
        <v>0.11549981216674166</v>
      </c>
      <c r="B696"/>
      <c r="C696"/>
      <c r="D696"/>
      <c r="E696"/>
      <c r="F696" s="27" t="s">
        <v>7</v>
      </c>
      <c r="GI696" s="27" t="s">
        <v>8</v>
      </c>
      <c r="GJ696" s="27" t="s">
        <v>7</v>
      </c>
      <c r="GK696" s="27" t="s">
        <v>8</v>
      </c>
      <c r="GL696" s="27" t="s">
        <v>7</v>
      </c>
      <c r="GM696" s="27" t="s">
        <v>8</v>
      </c>
      <c r="GN696" s="27" t="s">
        <v>7</v>
      </c>
      <c r="GW696" s="27" t="s">
        <v>8</v>
      </c>
      <c r="GX696" s="27" t="s">
        <v>7</v>
      </c>
      <c r="GY696" s="27" t="s">
        <v>8</v>
      </c>
      <c r="GZ696" s="27" t="s">
        <v>7</v>
      </c>
      <c r="HU696" s="27" t="s">
        <v>8</v>
      </c>
      <c r="HV696" s="27" t="s">
        <v>7</v>
      </c>
      <c r="HW696" s="27" t="s">
        <v>8</v>
      </c>
      <c r="ID696" s="27" t="s">
        <v>7</v>
      </c>
    </row>
    <row r="697" spans="1:241" x14ac:dyDescent="0.25">
      <c r="A697" s="7">
        <v>0.11323510996739378</v>
      </c>
      <c r="B697"/>
      <c r="C697"/>
      <c r="D697"/>
      <c r="E697"/>
      <c r="F697" s="27" t="s">
        <v>7</v>
      </c>
      <c r="GI697" s="27" t="s">
        <v>8</v>
      </c>
      <c r="GJ697" s="27" t="s">
        <v>7</v>
      </c>
      <c r="GK697" s="27" t="s">
        <v>8</v>
      </c>
      <c r="GL697" s="27" t="s">
        <v>7</v>
      </c>
      <c r="GM697" s="27" t="s">
        <v>8</v>
      </c>
      <c r="GN697" s="27" t="s">
        <v>7</v>
      </c>
      <c r="GW697" s="27" t="s">
        <v>8</v>
      </c>
      <c r="GX697" s="27" t="s">
        <v>7</v>
      </c>
      <c r="GY697" s="27" t="s">
        <v>8</v>
      </c>
      <c r="GZ697" s="27" t="s">
        <v>7</v>
      </c>
      <c r="HU697" s="27" t="s">
        <v>8</v>
      </c>
      <c r="HV697" s="27" t="s">
        <v>7</v>
      </c>
      <c r="HW697" s="27" t="s">
        <v>8</v>
      </c>
    </row>
    <row r="698" spans="1:241" x14ac:dyDescent="0.25">
      <c r="A698" s="7">
        <v>0.11101481369352331</v>
      </c>
      <c r="B698"/>
      <c r="C698"/>
      <c r="D698"/>
      <c r="E698"/>
      <c r="F698" s="27" t="s">
        <v>7</v>
      </c>
      <c r="GI698" s="27" t="s">
        <v>8</v>
      </c>
      <c r="GJ698" s="27" t="s">
        <v>7</v>
      </c>
      <c r="GK698" s="27" t="s">
        <v>8</v>
      </c>
      <c r="GL698" s="27" t="s">
        <v>7</v>
      </c>
      <c r="GM698" s="27" t="s">
        <v>8</v>
      </c>
      <c r="GN698" s="27" t="s">
        <v>7</v>
      </c>
      <c r="GW698" s="27" t="s">
        <v>8</v>
      </c>
      <c r="GX698" s="27" t="s">
        <v>7</v>
      </c>
      <c r="GY698" s="27" t="s">
        <v>8</v>
      </c>
      <c r="GZ698" s="27" t="s">
        <v>7</v>
      </c>
      <c r="HU698" s="27" t="s">
        <v>8</v>
      </c>
      <c r="HV698" s="27" t="s">
        <v>7</v>
      </c>
      <c r="HW698" s="27" t="s">
        <v>8</v>
      </c>
    </row>
    <row r="699" spans="1:241" x14ac:dyDescent="0.25">
      <c r="A699" s="7">
        <v>0.10883805264070913</v>
      </c>
      <c r="B699"/>
      <c r="C699"/>
      <c r="D699"/>
      <c r="E699"/>
      <c r="F699" s="27" t="s">
        <v>7</v>
      </c>
      <c r="GI699" s="27" t="s">
        <v>8</v>
      </c>
      <c r="GJ699" s="27" t="s">
        <v>7</v>
      </c>
      <c r="GK699" s="27" t="s">
        <v>8</v>
      </c>
      <c r="GL699" s="27" t="s">
        <v>7</v>
      </c>
      <c r="GM699" s="27" t="s">
        <v>8</v>
      </c>
      <c r="GN699" s="27" t="s">
        <v>7</v>
      </c>
      <c r="GW699" s="27" t="s">
        <v>8</v>
      </c>
      <c r="GX699" s="27" t="s">
        <v>7</v>
      </c>
      <c r="GY699" s="27" t="s">
        <v>8</v>
      </c>
      <c r="GZ699" s="27" t="s">
        <v>7</v>
      </c>
      <c r="HG699" s="27" t="s">
        <v>8</v>
      </c>
      <c r="HU699" s="27" t="s">
        <v>8</v>
      </c>
      <c r="HV699" s="27" t="s">
        <v>7</v>
      </c>
      <c r="HW699" s="27" t="s">
        <v>8</v>
      </c>
    </row>
    <row r="700" spans="1:241" x14ac:dyDescent="0.25">
      <c r="A700" s="7">
        <v>0.10670397317716582</v>
      </c>
      <c r="B700"/>
      <c r="C700"/>
      <c r="D700"/>
      <c r="E700"/>
      <c r="F700" s="27" t="s">
        <v>7</v>
      </c>
      <c r="GI700" s="27" t="s">
        <v>8</v>
      </c>
      <c r="GJ700" s="27" t="s">
        <v>7</v>
      </c>
      <c r="GK700" s="27" t="s">
        <v>8</v>
      </c>
      <c r="GL700" s="27" t="s">
        <v>7</v>
      </c>
      <c r="GM700" s="27" t="s">
        <v>8</v>
      </c>
      <c r="GN700" s="27" t="s">
        <v>7</v>
      </c>
      <c r="GW700" s="27" t="s">
        <v>8</v>
      </c>
      <c r="GX700" s="27" t="s">
        <v>7</v>
      </c>
      <c r="GY700" s="27" t="s">
        <v>8</v>
      </c>
      <c r="GZ700" s="27" t="s">
        <v>7</v>
      </c>
      <c r="HG700" s="27" t="s">
        <v>8</v>
      </c>
      <c r="HH700" s="27" t="s">
        <v>7</v>
      </c>
      <c r="HI700" s="27" t="s">
        <v>8</v>
      </c>
      <c r="HU700" s="27" t="s">
        <v>8</v>
      </c>
      <c r="HV700" s="27" t="s">
        <v>7</v>
      </c>
      <c r="HW700" s="27" t="s">
        <v>8</v>
      </c>
    </row>
    <row r="701" spans="1:241" x14ac:dyDescent="0.25">
      <c r="A701" s="7">
        <v>0.1046117384089861</v>
      </c>
      <c r="B701"/>
      <c r="C701"/>
      <c r="D701"/>
      <c r="E701"/>
      <c r="F701" s="27" t="s">
        <v>7</v>
      </c>
      <c r="GI701" s="27" t="s">
        <v>8</v>
      </c>
      <c r="GJ701" s="27" t="s">
        <v>7</v>
      </c>
      <c r="GK701" s="27" t="s">
        <v>8</v>
      </c>
      <c r="GL701" s="27" t="s">
        <v>7</v>
      </c>
      <c r="GM701" s="27" t="s">
        <v>8</v>
      </c>
      <c r="GN701" s="27" t="s">
        <v>7</v>
      </c>
      <c r="GW701" s="27" t="s">
        <v>8</v>
      </c>
      <c r="GX701" s="27" t="s">
        <v>7</v>
      </c>
      <c r="GY701" s="27" t="s">
        <v>8</v>
      </c>
      <c r="GZ701" s="27" t="s">
        <v>7</v>
      </c>
      <c r="HG701" s="27" t="s">
        <v>8</v>
      </c>
      <c r="HH701" s="27" t="s">
        <v>7</v>
      </c>
      <c r="HI701" s="27" t="s">
        <v>8</v>
      </c>
      <c r="HJ701" s="27" t="s">
        <v>7</v>
      </c>
      <c r="HU701" s="27" t="s">
        <v>8</v>
      </c>
      <c r="HV701" s="27" t="s">
        <v>7</v>
      </c>
      <c r="HW701" s="27" t="s">
        <v>8</v>
      </c>
    </row>
    <row r="702" spans="1:241" x14ac:dyDescent="0.25">
      <c r="A702" s="7">
        <v>0.10256052785194716</v>
      </c>
      <c r="B702"/>
      <c r="C702"/>
      <c r="D702"/>
      <c r="E702"/>
      <c r="F702" s="27" t="s">
        <v>7</v>
      </c>
      <c r="GI702" s="27" t="s">
        <v>8</v>
      </c>
      <c r="GJ702" s="27" t="s">
        <v>7</v>
      </c>
      <c r="GK702" s="27" t="s">
        <v>8</v>
      </c>
      <c r="GL702" s="27" t="s">
        <v>7</v>
      </c>
      <c r="GM702" s="27" t="s">
        <v>8</v>
      </c>
      <c r="GN702" s="27" t="s">
        <v>7</v>
      </c>
      <c r="GW702" s="27" t="s">
        <v>8</v>
      </c>
      <c r="GX702" s="27" t="s">
        <v>7</v>
      </c>
      <c r="GY702" s="27" t="s">
        <v>8</v>
      </c>
      <c r="GZ702" s="27" t="s">
        <v>7</v>
      </c>
      <c r="HC702" s="27" t="s">
        <v>8</v>
      </c>
      <c r="HG702" s="27" t="s">
        <v>8</v>
      </c>
      <c r="HH702" s="27" t="s">
        <v>7</v>
      </c>
      <c r="HI702" s="27" t="s">
        <v>8</v>
      </c>
      <c r="HJ702" s="27" t="s">
        <v>7</v>
      </c>
      <c r="HU702" s="27" t="s">
        <v>8</v>
      </c>
      <c r="HV702" s="27" t="s">
        <v>7</v>
      </c>
      <c r="HW702" s="27" t="s">
        <v>8</v>
      </c>
    </row>
    <row r="703" spans="1:241" x14ac:dyDescent="0.25">
      <c r="A703" s="7">
        <v>0.10054953710975212</v>
      </c>
      <c r="B703"/>
      <c r="C703"/>
      <c r="D703"/>
      <c r="E703"/>
      <c r="F703" s="27" t="s">
        <v>7</v>
      </c>
      <c r="GI703" s="27" t="s">
        <v>8</v>
      </c>
      <c r="GJ703" s="27" t="s">
        <v>7</v>
      </c>
      <c r="GK703" s="27" t="s">
        <v>8</v>
      </c>
      <c r="GL703" s="27" t="s">
        <v>7</v>
      </c>
      <c r="GN703" s="27" t="s">
        <v>7</v>
      </c>
      <c r="GW703" s="27" t="s">
        <v>8</v>
      </c>
      <c r="GX703" s="27" t="s">
        <v>7</v>
      </c>
      <c r="GY703" s="27" t="s">
        <v>8</v>
      </c>
      <c r="GZ703" s="27" t="s">
        <v>7</v>
      </c>
      <c r="HC703" s="27" t="s">
        <v>8</v>
      </c>
      <c r="HD703" s="27" t="s">
        <v>7</v>
      </c>
      <c r="HG703" s="27" t="s">
        <v>8</v>
      </c>
      <c r="HH703" s="27" t="s">
        <v>7</v>
      </c>
      <c r="HI703" s="27" t="s">
        <v>8</v>
      </c>
      <c r="HJ703" s="27" t="s">
        <v>7</v>
      </c>
      <c r="HU703" s="27" t="s">
        <v>8</v>
      </c>
      <c r="HV703" s="27" t="s">
        <v>7</v>
      </c>
    </row>
    <row r="704" spans="1:241" x14ac:dyDescent="0.25">
      <c r="A704" s="7">
        <v>9.8577977558580512E-2</v>
      </c>
      <c r="B704"/>
      <c r="C704"/>
      <c r="D704"/>
      <c r="E704"/>
      <c r="F704" s="27" t="s">
        <v>7</v>
      </c>
      <c r="GI704" s="27" t="s">
        <v>8</v>
      </c>
      <c r="GJ704" s="27" t="s">
        <v>7</v>
      </c>
      <c r="GK704" s="27" t="s">
        <v>8</v>
      </c>
      <c r="GN704" s="27" t="s">
        <v>7</v>
      </c>
      <c r="GW704" s="27" t="s">
        <v>8</v>
      </c>
      <c r="GX704" s="27" t="s">
        <v>7</v>
      </c>
      <c r="GZ704" s="27" t="s">
        <v>7</v>
      </c>
      <c r="HA704" s="27" t="s">
        <v>8</v>
      </c>
      <c r="HC704" s="27" t="s">
        <v>8</v>
      </c>
      <c r="HD704" s="27" t="s">
        <v>7</v>
      </c>
      <c r="HE704" s="27" t="s">
        <v>8</v>
      </c>
      <c r="HG704" s="27" t="s">
        <v>8</v>
      </c>
      <c r="HH704" s="27" t="s">
        <v>7</v>
      </c>
      <c r="HI704" s="27" t="s">
        <v>8</v>
      </c>
      <c r="HJ704" s="27" t="s">
        <v>7</v>
      </c>
      <c r="HU704" s="27" t="s">
        <v>8</v>
      </c>
    </row>
    <row r="705" spans="1:229" x14ac:dyDescent="0.25">
      <c r="A705" s="7">
        <v>9.6645076037824032E-2</v>
      </c>
      <c r="B705"/>
      <c r="C705"/>
      <c r="D705"/>
      <c r="E705"/>
      <c r="F705" s="27" t="s">
        <v>7</v>
      </c>
      <c r="GI705" s="27" t="s">
        <v>8</v>
      </c>
      <c r="GJ705" s="27" t="s">
        <v>7</v>
      </c>
      <c r="GK705" s="27" t="s">
        <v>8</v>
      </c>
      <c r="GN705" s="27" t="s">
        <v>7</v>
      </c>
      <c r="GS705" s="27" t="s">
        <v>8</v>
      </c>
      <c r="GW705" s="27" t="s">
        <v>8</v>
      </c>
      <c r="GZ705" s="27" t="s">
        <v>7</v>
      </c>
      <c r="HA705" s="27" t="s">
        <v>8</v>
      </c>
      <c r="HB705" s="27" t="s">
        <v>7</v>
      </c>
      <c r="HC705" s="27" t="s">
        <v>8</v>
      </c>
      <c r="HD705" s="27" t="s">
        <v>7</v>
      </c>
      <c r="HE705" s="27" t="s">
        <v>8</v>
      </c>
      <c r="HF705" s="27" t="s">
        <v>7</v>
      </c>
      <c r="HG705" s="27" t="s">
        <v>8</v>
      </c>
      <c r="HH705" s="27" t="s">
        <v>7</v>
      </c>
      <c r="HI705" s="27" t="s">
        <v>8</v>
      </c>
      <c r="HJ705" s="27" t="s">
        <v>7</v>
      </c>
      <c r="HS705" s="27" t="s">
        <v>8</v>
      </c>
      <c r="HU705" s="27" t="s">
        <v>8</v>
      </c>
    </row>
    <row r="706" spans="1:229" x14ac:dyDescent="0.25">
      <c r="A706" s="7">
        <v>9.4750074546886304E-2</v>
      </c>
      <c r="B706"/>
      <c r="C706"/>
      <c r="D706"/>
      <c r="E706"/>
      <c r="F706" s="27" t="s">
        <v>7</v>
      </c>
      <c r="GI706" s="27" t="s">
        <v>8</v>
      </c>
      <c r="GJ706" s="27" t="s">
        <v>7</v>
      </c>
      <c r="GK706" s="27" t="s">
        <v>8</v>
      </c>
      <c r="GN706" s="27" t="s">
        <v>7</v>
      </c>
      <c r="GO706" s="27" t="s">
        <v>8</v>
      </c>
      <c r="GQ706" s="27" t="s">
        <v>8</v>
      </c>
      <c r="GS706" s="27" t="s">
        <v>8</v>
      </c>
      <c r="GT706" s="27" t="s">
        <v>7</v>
      </c>
      <c r="GW706" s="27" t="s">
        <v>8</v>
      </c>
      <c r="GZ706" s="27" t="s">
        <v>7</v>
      </c>
      <c r="HA706" s="27" t="s">
        <v>8</v>
      </c>
      <c r="HB706" s="27" t="s">
        <v>7</v>
      </c>
      <c r="HC706" s="27" t="s">
        <v>8</v>
      </c>
      <c r="HD706" s="27" t="s">
        <v>7</v>
      </c>
      <c r="HE706" s="27" t="s">
        <v>8</v>
      </c>
      <c r="HF706" s="27" t="s">
        <v>7</v>
      </c>
      <c r="HG706" s="27" t="s">
        <v>8</v>
      </c>
      <c r="HH706" s="27" t="s">
        <v>7</v>
      </c>
      <c r="HI706" s="27" t="s">
        <v>8</v>
      </c>
      <c r="HJ706" s="27" t="s">
        <v>7</v>
      </c>
      <c r="HK706" s="27" t="s">
        <v>8</v>
      </c>
      <c r="HS706" s="27" t="s">
        <v>8</v>
      </c>
      <c r="HT706" s="27" t="s">
        <v>7</v>
      </c>
      <c r="HU706" s="27" t="s">
        <v>8</v>
      </c>
    </row>
    <row r="707" spans="1:229" x14ac:dyDescent="0.25">
      <c r="A707" s="7">
        <v>9.2892229947927743E-2</v>
      </c>
      <c r="B707"/>
      <c r="C707"/>
      <c r="D707"/>
      <c r="E707"/>
      <c r="F707" s="27" t="s">
        <v>7</v>
      </c>
      <c r="GI707" s="27" t="s">
        <v>8</v>
      </c>
      <c r="GJ707" s="27" t="s">
        <v>7</v>
      </c>
      <c r="GK707" s="27" t="s">
        <v>8</v>
      </c>
      <c r="GN707" s="27" t="s">
        <v>7</v>
      </c>
      <c r="GO707" s="27" t="s">
        <v>8</v>
      </c>
      <c r="GP707" s="27" t="s">
        <v>7</v>
      </c>
      <c r="GQ707" s="27" t="s">
        <v>8</v>
      </c>
      <c r="GR707" s="27" t="s">
        <v>7</v>
      </c>
      <c r="GS707" s="27" t="s">
        <v>8</v>
      </c>
      <c r="GT707" s="27" t="s">
        <v>7</v>
      </c>
      <c r="GW707" s="27" t="s">
        <v>8</v>
      </c>
      <c r="GZ707" s="27" t="s">
        <v>7</v>
      </c>
      <c r="HA707" s="27" t="s">
        <v>8</v>
      </c>
      <c r="HB707" s="27" t="s">
        <v>7</v>
      </c>
      <c r="HC707" s="27" t="s">
        <v>8</v>
      </c>
      <c r="HD707" s="27" t="s">
        <v>7</v>
      </c>
      <c r="HE707" s="27" t="s">
        <v>8</v>
      </c>
      <c r="HF707" s="27" t="s">
        <v>7</v>
      </c>
      <c r="HH707" s="27" t="s">
        <v>7</v>
      </c>
      <c r="HI707" s="27" t="s">
        <v>8</v>
      </c>
      <c r="HJ707" s="27" t="s">
        <v>7</v>
      </c>
      <c r="HK707" s="27" t="s">
        <v>8</v>
      </c>
      <c r="HL707" s="27" t="s">
        <v>7</v>
      </c>
      <c r="HS707" s="27" t="s">
        <v>8</v>
      </c>
      <c r="HT707" s="27" t="s">
        <v>7</v>
      </c>
      <c r="HU707" s="27" t="s">
        <v>8</v>
      </c>
    </row>
    <row r="708" spans="1:229" x14ac:dyDescent="0.25">
      <c r="A708" s="7">
        <v>9.1070813674438963E-2</v>
      </c>
      <c r="B708"/>
      <c r="C708"/>
      <c r="D708"/>
      <c r="E708"/>
      <c r="F708" s="27" t="s">
        <v>7</v>
      </c>
      <c r="GI708" s="27" t="s">
        <v>8</v>
      </c>
      <c r="GJ708" s="27" t="s">
        <v>7</v>
      </c>
      <c r="GK708" s="27" t="s">
        <v>8</v>
      </c>
      <c r="GN708" s="27" t="s">
        <v>7</v>
      </c>
      <c r="GO708" s="27" t="s">
        <v>8</v>
      </c>
      <c r="GP708" s="27" t="s">
        <v>7</v>
      </c>
      <c r="GQ708" s="27" t="s">
        <v>8</v>
      </c>
      <c r="GR708" s="27" t="s">
        <v>7</v>
      </c>
      <c r="GS708" s="27" t="s">
        <v>8</v>
      </c>
      <c r="GT708" s="27" t="s">
        <v>7</v>
      </c>
      <c r="GW708" s="27" t="s">
        <v>8</v>
      </c>
      <c r="GZ708" s="27" t="s">
        <v>7</v>
      </c>
      <c r="HA708" s="27" t="s">
        <v>8</v>
      </c>
      <c r="HB708" s="27" t="s">
        <v>7</v>
      </c>
      <c r="HC708" s="27" t="s">
        <v>8</v>
      </c>
      <c r="HD708" s="27" t="s">
        <v>7</v>
      </c>
      <c r="HH708" s="27" t="s">
        <v>7</v>
      </c>
      <c r="HI708" s="27" t="s">
        <v>8</v>
      </c>
      <c r="HJ708" s="27" t="s">
        <v>7</v>
      </c>
      <c r="HK708" s="27" t="s">
        <v>8</v>
      </c>
      <c r="HL708" s="27" t="s">
        <v>7</v>
      </c>
      <c r="HO708" s="27" t="s">
        <v>8</v>
      </c>
      <c r="HS708" s="27" t="s">
        <v>8</v>
      </c>
      <c r="HT708" s="27" t="s">
        <v>7</v>
      </c>
      <c r="HU708" s="27" t="s">
        <v>8</v>
      </c>
    </row>
    <row r="709" spans="1:229" x14ac:dyDescent="0.25">
      <c r="A709" s="7">
        <v>8.9285111445528392E-2</v>
      </c>
      <c r="B709"/>
      <c r="C709"/>
      <c r="D709"/>
      <c r="E709"/>
      <c r="F709" s="27" t="s">
        <v>7</v>
      </c>
      <c r="GI709" s="27" t="s">
        <v>8</v>
      </c>
      <c r="GJ709" s="27" t="s">
        <v>7</v>
      </c>
      <c r="GK709" s="27" t="s">
        <v>8</v>
      </c>
      <c r="GN709" s="27" t="s">
        <v>7</v>
      </c>
      <c r="GO709" s="27" t="s">
        <v>8</v>
      </c>
      <c r="GP709" s="27" t="s">
        <v>7</v>
      </c>
      <c r="GQ709" s="27" t="s">
        <v>8</v>
      </c>
      <c r="GR709" s="27" t="s">
        <v>7</v>
      </c>
      <c r="GS709" s="27" t="s">
        <v>8</v>
      </c>
      <c r="GT709" s="27" t="s">
        <v>7</v>
      </c>
      <c r="GW709" s="27" t="s">
        <v>8</v>
      </c>
      <c r="GZ709" s="27" t="s">
        <v>7</v>
      </c>
      <c r="HA709" s="27" t="s">
        <v>8</v>
      </c>
      <c r="HB709" s="27" t="s">
        <v>7</v>
      </c>
      <c r="HC709" s="27" t="s">
        <v>8</v>
      </c>
      <c r="HH709" s="27" t="s">
        <v>7</v>
      </c>
      <c r="HI709" s="27" t="s">
        <v>8</v>
      </c>
      <c r="HJ709" s="27" t="s">
        <v>7</v>
      </c>
      <c r="HK709" s="27" t="s">
        <v>8</v>
      </c>
      <c r="HL709" s="27" t="s">
        <v>7</v>
      </c>
      <c r="HM709" s="27" t="s">
        <v>8</v>
      </c>
      <c r="HO709" s="27" t="s">
        <v>8</v>
      </c>
      <c r="HP709" s="27" t="s">
        <v>7</v>
      </c>
      <c r="HQ709" s="27" t="s">
        <v>8</v>
      </c>
      <c r="HS709" s="27" t="s">
        <v>8</v>
      </c>
      <c r="HT709" s="27" t="s">
        <v>7</v>
      </c>
      <c r="HU709" s="27" t="s">
        <v>8</v>
      </c>
    </row>
    <row r="710" spans="1:229" x14ac:dyDescent="0.25">
      <c r="A710" s="7">
        <v>8.7534422985812155E-2</v>
      </c>
      <c r="B710"/>
      <c r="C710"/>
      <c r="D710"/>
      <c r="E710"/>
      <c r="F710" s="27" t="s">
        <v>7</v>
      </c>
      <c r="GI710" s="27" t="s">
        <v>8</v>
      </c>
      <c r="GJ710" s="27" t="s">
        <v>7</v>
      </c>
      <c r="GK710" s="27" t="s">
        <v>8</v>
      </c>
      <c r="GN710" s="27" t="s">
        <v>7</v>
      </c>
      <c r="GO710" s="27" t="s">
        <v>8</v>
      </c>
      <c r="GP710" s="27" t="s">
        <v>7</v>
      </c>
      <c r="GQ710" s="27" t="s">
        <v>8</v>
      </c>
      <c r="GR710" s="27" t="s">
        <v>7</v>
      </c>
      <c r="GS710" s="27" t="s">
        <v>8</v>
      </c>
      <c r="GT710" s="27" t="s">
        <v>7</v>
      </c>
      <c r="GU710" s="27" t="s">
        <v>8</v>
      </c>
      <c r="GW710" s="27" t="s">
        <v>8</v>
      </c>
      <c r="GZ710" s="27" t="s">
        <v>7</v>
      </c>
      <c r="HB710" s="27" t="s">
        <v>7</v>
      </c>
      <c r="HH710" s="27" t="s">
        <v>7</v>
      </c>
      <c r="HJ710" s="27" t="s">
        <v>7</v>
      </c>
      <c r="HK710" s="27" t="s">
        <v>8</v>
      </c>
      <c r="HL710" s="27" t="s">
        <v>7</v>
      </c>
      <c r="HM710" s="27" t="s">
        <v>8</v>
      </c>
      <c r="HN710" s="27" t="s">
        <v>7</v>
      </c>
      <c r="HO710" s="27" t="s">
        <v>8</v>
      </c>
      <c r="HP710" s="27" t="s">
        <v>7</v>
      </c>
      <c r="HQ710" s="27" t="s">
        <v>8</v>
      </c>
      <c r="HR710" s="27" t="s">
        <v>7</v>
      </c>
      <c r="HS710" s="27" t="s">
        <v>8</v>
      </c>
      <c r="HT710" s="27" t="s">
        <v>7</v>
      </c>
      <c r="HU710" s="27" t="s">
        <v>8</v>
      </c>
    </row>
    <row r="711" spans="1:229" x14ac:dyDescent="0.25">
      <c r="A711" s="7">
        <v>8.5818061750796232E-2</v>
      </c>
      <c r="B711"/>
      <c r="C711"/>
      <c r="D711"/>
      <c r="E711"/>
      <c r="F711" s="27" t="s">
        <v>7</v>
      </c>
      <c r="GI711" s="27" t="s">
        <v>8</v>
      </c>
      <c r="GJ711" s="27" t="s">
        <v>7</v>
      </c>
      <c r="GK711" s="27" t="s">
        <v>8</v>
      </c>
      <c r="GN711" s="27" t="s">
        <v>7</v>
      </c>
      <c r="GP711" s="27" t="s">
        <v>7</v>
      </c>
      <c r="GQ711" s="27" t="s">
        <v>8</v>
      </c>
      <c r="GR711" s="27" t="s">
        <v>7</v>
      </c>
      <c r="GS711" s="27" t="s">
        <v>8</v>
      </c>
      <c r="GT711" s="27" t="s">
        <v>7</v>
      </c>
      <c r="GU711" s="27" t="s">
        <v>8</v>
      </c>
      <c r="GV711" s="27" t="s">
        <v>7</v>
      </c>
      <c r="GW711" s="27" t="s">
        <v>8</v>
      </c>
      <c r="HJ711" s="27" t="s">
        <v>7</v>
      </c>
      <c r="HK711" s="27" t="s">
        <v>8</v>
      </c>
      <c r="HL711" s="27" t="s">
        <v>7</v>
      </c>
      <c r="HM711" s="27" t="s">
        <v>8</v>
      </c>
      <c r="HN711" s="27" t="s">
        <v>7</v>
      </c>
      <c r="HO711" s="27" t="s">
        <v>8</v>
      </c>
      <c r="HP711" s="27" t="s">
        <v>7</v>
      </c>
      <c r="HQ711" s="27" t="s">
        <v>8</v>
      </c>
      <c r="HR711" s="27" t="s">
        <v>7</v>
      </c>
      <c r="HS711" s="27" t="s">
        <v>8</v>
      </c>
      <c r="HT711" s="27" t="s">
        <v>7</v>
      </c>
      <c r="HU711" s="27" t="s">
        <v>8</v>
      </c>
    </row>
    <row r="712" spans="1:229" x14ac:dyDescent="0.25">
      <c r="A712" s="7">
        <v>8.4135354657643366E-2</v>
      </c>
      <c r="B712"/>
      <c r="C712"/>
      <c r="D712"/>
      <c r="E712"/>
      <c r="F712" s="27" t="s">
        <v>7</v>
      </c>
      <c r="GI712" s="27" t="s">
        <v>8</v>
      </c>
      <c r="GJ712" s="27" t="s">
        <v>7</v>
      </c>
      <c r="GP712" s="27" t="s">
        <v>7</v>
      </c>
      <c r="GQ712" s="27" t="s">
        <v>8</v>
      </c>
      <c r="GR712" s="27" t="s">
        <v>7</v>
      </c>
      <c r="GS712" s="27" t="s">
        <v>8</v>
      </c>
      <c r="GT712" s="27" t="s">
        <v>7</v>
      </c>
      <c r="GU712" s="27" t="s">
        <v>8</v>
      </c>
      <c r="GV712" s="27" t="s">
        <v>7</v>
      </c>
      <c r="GW712" s="27" t="s">
        <v>8</v>
      </c>
      <c r="HJ712" s="27" t="s">
        <v>7</v>
      </c>
      <c r="HK712" s="27" t="s">
        <v>8</v>
      </c>
      <c r="HL712" s="27" t="s">
        <v>7</v>
      </c>
      <c r="HN712" s="27" t="s">
        <v>7</v>
      </c>
      <c r="HO712" s="27" t="s">
        <v>8</v>
      </c>
      <c r="HP712" s="27" t="s">
        <v>7</v>
      </c>
      <c r="HQ712" s="27" t="s">
        <v>8</v>
      </c>
      <c r="HR712" s="27" t="s">
        <v>7</v>
      </c>
      <c r="HS712" s="27" t="s">
        <v>8</v>
      </c>
      <c r="HT712" s="27" t="s">
        <v>7</v>
      </c>
      <c r="HU712" s="27" t="s">
        <v>8</v>
      </c>
    </row>
    <row r="713" spans="1:229" x14ac:dyDescent="0.25">
      <c r="A713" s="7">
        <v>8.248564182121898E-2</v>
      </c>
      <c r="B713"/>
      <c r="C713"/>
      <c r="D713"/>
      <c r="E713"/>
      <c r="F713" s="27" t="s">
        <v>7</v>
      </c>
      <c r="GI713" s="27" t="s">
        <v>8</v>
      </c>
      <c r="GP713" s="27" t="s">
        <v>7</v>
      </c>
      <c r="GQ713" s="27" t="s">
        <v>8</v>
      </c>
      <c r="GR713" s="27" t="s">
        <v>7</v>
      </c>
      <c r="GT713" s="27" t="s">
        <v>7</v>
      </c>
      <c r="GU713" s="27" t="s">
        <v>8</v>
      </c>
      <c r="GV713" s="27" t="s">
        <v>7</v>
      </c>
      <c r="GW713" s="27" t="s">
        <v>8</v>
      </c>
      <c r="HJ713" s="27" t="s">
        <v>7</v>
      </c>
      <c r="HK713" s="27" t="s">
        <v>8</v>
      </c>
      <c r="HN713" s="27" t="s">
        <v>7</v>
      </c>
      <c r="HP713" s="27" t="s">
        <v>7</v>
      </c>
      <c r="HR713" s="27" t="s">
        <v>7</v>
      </c>
      <c r="HT713" s="27" t="s">
        <v>7</v>
      </c>
    </row>
    <row r="714" spans="1:229" x14ac:dyDescent="0.25">
      <c r="A714" s="7">
        <v>8.0868276295312735E-2</v>
      </c>
      <c r="B714"/>
      <c r="C714"/>
      <c r="D714"/>
      <c r="E714"/>
      <c r="F714" s="27" t="s">
        <v>7</v>
      </c>
      <c r="GI714" s="27" t="s">
        <v>8</v>
      </c>
      <c r="GP714" s="27" t="s">
        <v>7</v>
      </c>
      <c r="GQ714" s="27" t="s">
        <v>8</v>
      </c>
      <c r="GT714" s="27" t="s">
        <v>7</v>
      </c>
      <c r="GU714" s="27" t="s">
        <v>8</v>
      </c>
      <c r="GV714" s="27" t="s">
        <v>7</v>
      </c>
      <c r="GW714" s="27" t="s">
        <v>8</v>
      </c>
      <c r="HJ714" s="27" t="s">
        <v>7</v>
      </c>
      <c r="HK714" s="27" t="s">
        <v>8</v>
      </c>
    </row>
    <row r="715" spans="1:229" x14ac:dyDescent="0.25">
      <c r="A715" s="7">
        <v>7.9282623818934056E-2</v>
      </c>
      <c r="B715"/>
      <c r="C715"/>
      <c r="D715"/>
      <c r="E715"/>
      <c r="F715" s="27" t="s">
        <v>7</v>
      </c>
      <c r="GI715" s="27" t="s">
        <v>8</v>
      </c>
      <c r="GP715" s="27" t="s">
        <v>7</v>
      </c>
      <c r="GQ715" s="27" t="s">
        <v>8</v>
      </c>
      <c r="GT715" s="27" t="s">
        <v>7</v>
      </c>
      <c r="GU715" s="27" t="s">
        <v>8</v>
      </c>
      <c r="GV715" s="27" t="s">
        <v>7</v>
      </c>
      <c r="GW715" s="27" t="s">
        <v>8</v>
      </c>
      <c r="HJ715" s="27" t="s">
        <v>7</v>
      </c>
      <c r="HK715" s="27" t="s">
        <v>8</v>
      </c>
    </row>
    <row r="716" spans="1:229" x14ac:dyDescent="0.25">
      <c r="A716" s="7">
        <v>7.7728062567582412E-2</v>
      </c>
      <c r="B716"/>
      <c r="C716"/>
      <c r="D716"/>
      <c r="E716"/>
      <c r="F716" s="27" t="s">
        <v>7</v>
      </c>
      <c r="GI716" s="27" t="s">
        <v>8</v>
      </c>
      <c r="GP716" s="27" t="s">
        <v>7</v>
      </c>
      <c r="GQ716" s="27" t="s">
        <v>8</v>
      </c>
      <c r="GT716" s="27" t="s">
        <v>7</v>
      </c>
      <c r="GU716" s="27" t="s">
        <v>8</v>
      </c>
      <c r="GV716" s="27" t="s">
        <v>7</v>
      </c>
      <c r="HJ716" s="27" t="s">
        <v>7</v>
      </c>
    </row>
    <row r="717" spans="1:229" x14ac:dyDescent="0.25">
      <c r="A717" s="7">
        <v>7.6203982909394521E-2</v>
      </c>
      <c r="B717"/>
      <c r="C717"/>
      <c r="D717"/>
      <c r="E717"/>
      <c r="F717" s="27" t="s">
        <v>7</v>
      </c>
      <c r="GI717" s="27" t="s">
        <v>8</v>
      </c>
      <c r="GP717" s="27" t="s">
        <v>7</v>
      </c>
      <c r="GQ717" s="27" t="s">
        <v>8</v>
      </c>
      <c r="GT717" s="27" t="s">
        <v>7</v>
      </c>
      <c r="GU717" s="27" t="s">
        <v>8</v>
      </c>
    </row>
    <row r="718" spans="1:229" x14ac:dyDescent="0.25">
      <c r="A718" s="7">
        <v>7.4709787166073058E-2</v>
      </c>
      <c r="B718"/>
      <c r="C718"/>
      <c r="D718"/>
      <c r="E718"/>
      <c r="F718" s="27" t="s">
        <v>7</v>
      </c>
      <c r="GI718" s="27" t="s">
        <v>8</v>
      </c>
      <c r="GP718" s="27" t="s">
        <v>7</v>
      </c>
      <c r="GT718" s="27" t="s">
        <v>7</v>
      </c>
      <c r="GU718" s="27" t="s">
        <v>8</v>
      </c>
    </row>
    <row r="719" spans="1:229" x14ac:dyDescent="0.25">
      <c r="A719" s="7">
        <v>7.3244889378503E-2</v>
      </c>
      <c r="B719"/>
      <c r="C719"/>
      <c r="D719"/>
      <c r="E719"/>
      <c r="F719" s="27" t="s">
        <v>7</v>
      </c>
      <c r="GI719" s="27" t="s">
        <v>8</v>
      </c>
      <c r="GT719" s="27" t="s">
        <v>7</v>
      </c>
      <c r="GU719" s="27" t="s">
        <v>8</v>
      </c>
    </row>
    <row r="720" spans="1:229" x14ac:dyDescent="0.25">
      <c r="A720" s="7">
        <v>7.1808715076963722E-2</v>
      </c>
      <c r="B720"/>
      <c r="C720"/>
      <c r="D720"/>
      <c r="E720"/>
      <c r="F720" s="27" t="s">
        <v>7</v>
      </c>
      <c r="GI720" s="27" t="s">
        <v>8</v>
      </c>
      <c r="GT720" s="27" t="s">
        <v>7</v>
      </c>
      <c r="GU720" s="27" t="s">
        <v>8</v>
      </c>
    </row>
    <row r="721" spans="1:203" x14ac:dyDescent="0.25">
      <c r="A721" s="7">
        <v>7.0400701055846782E-2</v>
      </c>
      <c r="B721"/>
      <c r="C721"/>
      <c r="D721"/>
      <c r="E721"/>
      <c r="F721" s="27" t="s">
        <v>7</v>
      </c>
      <c r="GI721" s="27" t="s">
        <v>8</v>
      </c>
      <c r="GT721" s="27" t="s">
        <v>7</v>
      </c>
      <c r="GU721" s="27" t="s">
        <v>8</v>
      </c>
    </row>
    <row r="722" spans="1:203" x14ac:dyDescent="0.25">
      <c r="A722" s="7">
        <v>6.9020295152790956E-2</v>
      </c>
      <c r="B722"/>
      <c r="C722"/>
      <c r="D722"/>
      <c r="E722"/>
      <c r="F722" s="27" t="s">
        <v>7</v>
      </c>
      <c r="GI722" s="27" t="s">
        <v>8</v>
      </c>
      <c r="GT722" s="27" t="s">
        <v>7</v>
      </c>
      <c r="GU722" s="27" t="s">
        <v>8</v>
      </c>
    </row>
    <row r="723" spans="1:203" x14ac:dyDescent="0.25">
      <c r="A723" s="7">
        <v>6.7666956032147993E-2</v>
      </c>
      <c r="B723"/>
      <c r="C723"/>
      <c r="D723"/>
      <c r="E723"/>
      <c r="F723" s="27" t="s">
        <v>7</v>
      </c>
      <c r="GI723" s="27" t="s">
        <v>8</v>
      </c>
      <c r="GT723" s="27" t="s">
        <v>7</v>
      </c>
    </row>
    <row r="724" spans="1:203" x14ac:dyDescent="0.25">
      <c r="A724" s="7">
        <v>6.6340152972694105E-2</v>
      </c>
      <c r="B724"/>
      <c r="C724"/>
      <c r="D724"/>
      <c r="E724"/>
      <c r="F724" s="27" t="s">
        <v>7</v>
      </c>
      <c r="GI724" s="27" t="s">
        <v>8</v>
      </c>
    </row>
    <row r="725" spans="1:203" x14ac:dyDescent="0.25">
      <c r="A725" s="7">
        <v>6.5039365659504023E-2</v>
      </c>
      <c r="B725"/>
      <c r="C725"/>
      <c r="D725"/>
      <c r="E725"/>
      <c r="F725" s="27" t="s">
        <v>7</v>
      </c>
      <c r="GG725" s="27" t="s">
        <v>8</v>
      </c>
      <c r="GI725" s="27" t="s">
        <v>8</v>
      </c>
    </row>
    <row r="726" spans="1:203" x14ac:dyDescent="0.25">
      <c r="A726" s="7">
        <v>6.3764083979905906E-2</v>
      </c>
      <c r="B726"/>
      <c r="C726"/>
      <c r="D726"/>
      <c r="E726"/>
      <c r="F726" s="27" t="s">
        <v>7</v>
      </c>
      <c r="GG726" s="27" t="s">
        <v>8</v>
      </c>
      <c r="GH726" s="27" t="s">
        <v>7</v>
      </c>
      <c r="GI726" s="27" t="s">
        <v>8</v>
      </c>
    </row>
    <row r="727" spans="1:203" x14ac:dyDescent="0.25">
      <c r="A727" s="7">
        <v>6.251380782343717E-2</v>
      </c>
      <c r="B727"/>
      <c r="C727"/>
      <c r="D727"/>
      <c r="E727"/>
      <c r="F727" s="27" t="s">
        <v>7</v>
      </c>
      <c r="GG727" s="27" t="s">
        <v>8</v>
      </c>
      <c r="GH727" s="27" t="s">
        <v>7</v>
      </c>
      <c r="GI727" s="27" t="s">
        <v>8</v>
      </c>
    </row>
    <row r="728" spans="1:203" x14ac:dyDescent="0.25">
      <c r="A728" s="7">
        <v>6.1288046885722716E-2</v>
      </c>
      <c r="B728"/>
      <c r="C728"/>
      <c r="D728"/>
      <c r="E728"/>
      <c r="F728" s="27" t="s">
        <v>7</v>
      </c>
      <c r="GG728" s="27" t="s">
        <v>8</v>
      </c>
      <c r="GH728" s="27" t="s">
        <v>7</v>
      </c>
      <c r="GI728" s="27" t="s">
        <v>8</v>
      </c>
    </row>
    <row r="729" spans="1:203" x14ac:dyDescent="0.25">
      <c r="A729" s="7">
        <v>6.0086320476198739E-2</v>
      </c>
      <c r="B729"/>
      <c r="C729"/>
      <c r="D729"/>
      <c r="E729"/>
      <c r="F729" s="27" t="s">
        <v>7</v>
      </c>
      <c r="GG729" s="27" t="s">
        <v>8</v>
      </c>
      <c r="GH729" s="27" t="s">
        <v>7</v>
      </c>
      <c r="GI729" s="27" t="s">
        <v>8</v>
      </c>
    </row>
    <row r="730" spans="1:203" x14ac:dyDescent="0.25">
      <c r="A730" s="7">
        <v>5.8908157329606609E-2</v>
      </c>
      <c r="B730"/>
      <c r="C730"/>
      <c r="D730"/>
      <c r="E730"/>
      <c r="F730" s="27" t="s">
        <v>7</v>
      </c>
      <c r="GG730" s="27" t="s">
        <v>8</v>
      </c>
      <c r="GH730" s="27" t="s">
        <v>7</v>
      </c>
      <c r="GI730" s="27" t="s">
        <v>8</v>
      </c>
    </row>
    <row r="731" spans="1:203" x14ac:dyDescent="0.25">
      <c r="A731" s="7">
        <v>5.7753095421182947E-2</v>
      </c>
      <c r="B731"/>
      <c r="C731"/>
      <c r="D731"/>
      <c r="E731"/>
      <c r="F731" s="27" t="s">
        <v>7</v>
      </c>
      <c r="GG731" s="27" t="s">
        <v>8</v>
      </c>
      <c r="GH731" s="27" t="s">
        <v>7</v>
      </c>
      <c r="GI731" s="27" t="s">
        <v>8</v>
      </c>
    </row>
    <row r="732" spans="1:203" x14ac:dyDescent="0.25">
      <c r="A732" s="7">
        <v>5.6620681785473484E-2</v>
      </c>
      <c r="B732"/>
      <c r="C732"/>
      <c r="D732"/>
      <c r="E732"/>
      <c r="F732" s="27" t="s">
        <v>7</v>
      </c>
      <c r="GG732" s="27" t="s">
        <v>8</v>
      </c>
      <c r="GH732" s="27" t="s">
        <v>7</v>
      </c>
      <c r="GI732" s="27" t="s">
        <v>8</v>
      </c>
    </row>
    <row r="733" spans="1:203" x14ac:dyDescent="0.25">
      <c r="A733" s="7">
        <v>5.5510472338699497E-2</v>
      </c>
      <c r="B733"/>
      <c r="C733"/>
      <c r="D733"/>
      <c r="E733"/>
      <c r="F733" s="27" t="s">
        <v>7</v>
      </c>
      <c r="EW733" s="27" t="s">
        <v>8</v>
      </c>
      <c r="GG733" s="27" t="s">
        <v>8</v>
      </c>
      <c r="GH733" s="27" t="s">
        <v>7</v>
      </c>
      <c r="GI733" s="27" t="s">
        <v>8</v>
      </c>
    </row>
    <row r="734" spans="1:203" x14ac:dyDescent="0.25">
      <c r="A734" s="7">
        <v>5.4422031704607354E-2</v>
      </c>
      <c r="B734"/>
      <c r="C734"/>
      <c r="D734"/>
      <c r="E734"/>
      <c r="F734" s="27" t="s">
        <v>7</v>
      </c>
      <c r="EW734" s="27" t="s">
        <v>8</v>
      </c>
      <c r="EX734" s="27" t="s">
        <v>7</v>
      </c>
      <c r="GG734" s="27" t="s">
        <v>8</v>
      </c>
      <c r="GH734" s="27" t="s">
        <v>7</v>
      </c>
      <c r="GI734" s="27" t="s">
        <v>8</v>
      </c>
    </row>
    <row r="735" spans="1:203" x14ac:dyDescent="0.25">
      <c r="A735" s="7">
        <v>5.3354933043732705E-2</v>
      </c>
      <c r="B735"/>
      <c r="C735"/>
      <c r="D735"/>
      <c r="E735"/>
      <c r="F735" s="27" t="s">
        <v>7</v>
      </c>
      <c r="EW735" s="27" t="s">
        <v>8</v>
      </c>
      <c r="EX735" s="27" t="s">
        <v>7</v>
      </c>
      <c r="GG735" s="27" t="s">
        <v>8</v>
      </c>
      <c r="GH735" s="27" t="s">
        <v>7</v>
      </c>
      <c r="GI735" s="27" t="s">
        <v>8</v>
      </c>
    </row>
    <row r="736" spans="1:203" x14ac:dyDescent="0.25">
      <c r="A736" s="7">
        <v>5.2308757886012455E-2</v>
      </c>
      <c r="B736"/>
      <c r="C736"/>
      <c r="D736"/>
      <c r="E736"/>
      <c r="F736" s="27" t="s">
        <v>7</v>
      </c>
      <c r="EW736" s="27" t="s">
        <v>8</v>
      </c>
      <c r="EX736" s="27" t="s">
        <v>7</v>
      </c>
      <c r="GG736" s="27" t="s">
        <v>8</v>
      </c>
      <c r="GH736" s="27" t="s">
        <v>7</v>
      </c>
      <c r="GI736" s="27" t="s">
        <v>8</v>
      </c>
    </row>
    <row r="737" spans="1:191" x14ac:dyDescent="0.25">
      <c r="A737" s="7">
        <v>5.1283095966678877E-2</v>
      </c>
      <c r="B737"/>
      <c r="C737"/>
      <c r="D737"/>
      <c r="E737"/>
      <c r="F737" s="27" t="s">
        <v>7</v>
      </c>
      <c r="EW737" s="27" t="s">
        <v>8</v>
      </c>
      <c r="EX737" s="27" t="s">
        <v>7</v>
      </c>
      <c r="GG737" s="27" t="s">
        <v>8</v>
      </c>
      <c r="GH737" s="27" t="s">
        <v>7</v>
      </c>
      <c r="GI737" s="27" t="s">
        <v>8</v>
      </c>
    </row>
    <row r="738" spans="1:191" x14ac:dyDescent="0.25">
      <c r="A738" s="7">
        <v>5.0277545065371444E-2</v>
      </c>
      <c r="B738"/>
      <c r="C738"/>
      <c r="D738"/>
      <c r="E738"/>
      <c r="F738" s="27" t="s">
        <v>7</v>
      </c>
      <c r="Q738" s="27" t="s">
        <v>8</v>
      </c>
      <c r="EW738" s="27" t="s">
        <v>8</v>
      </c>
      <c r="EX738" s="27" t="s">
        <v>7</v>
      </c>
      <c r="EY738" s="27" t="s">
        <v>8</v>
      </c>
      <c r="GG738" s="27" t="s">
        <v>8</v>
      </c>
      <c r="GH738" s="27" t="s">
        <v>7</v>
      </c>
      <c r="GI738" s="27" t="s">
        <v>8</v>
      </c>
    </row>
    <row r="739" spans="1:191" x14ac:dyDescent="0.25">
      <c r="A739" s="7">
        <v>4.9291710848403378E-2</v>
      </c>
      <c r="B739"/>
      <c r="C739"/>
      <c r="D739"/>
      <c r="E739"/>
      <c r="F739" s="27" t="s">
        <v>7</v>
      </c>
      <c r="K739" s="27" t="s">
        <v>8</v>
      </c>
      <c r="Q739" s="27" t="s">
        <v>8</v>
      </c>
      <c r="R739" s="27" t="s">
        <v>7</v>
      </c>
      <c r="EW739" s="27" t="s">
        <v>8</v>
      </c>
      <c r="EX739" s="27" t="s">
        <v>7</v>
      </c>
      <c r="EY739" s="27" t="s">
        <v>8</v>
      </c>
      <c r="EZ739" s="27" t="s">
        <v>7</v>
      </c>
      <c r="GG739" s="27" t="s">
        <v>8</v>
      </c>
      <c r="GH739" s="27" t="s">
        <v>7</v>
      </c>
      <c r="GI739" s="27" t="s">
        <v>8</v>
      </c>
    </row>
    <row r="740" spans="1:191" x14ac:dyDescent="0.25">
      <c r="A740" s="7">
        <v>4.8325206714120959E-2</v>
      </c>
      <c r="B740"/>
      <c r="C740"/>
      <c r="D740"/>
      <c r="E740"/>
      <c r="F740" s="27" t="s">
        <v>7</v>
      </c>
      <c r="K740" s="27" t="s">
        <v>8</v>
      </c>
      <c r="L740" s="27" t="s">
        <v>7</v>
      </c>
      <c r="Q740" s="27" t="s">
        <v>8</v>
      </c>
      <c r="R740" s="27" t="s">
        <v>7</v>
      </c>
      <c r="EU740" s="27" t="s">
        <v>8</v>
      </c>
      <c r="EW740" s="27" t="s">
        <v>8</v>
      </c>
      <c r="EX740" s="27" t="s">
        <v>7</v>
      </c>
      <c r="EY740" s="27" t="s">
        <v>8</v>
      </c>
      <c r="EZ740" s="27" t="s">
        <v>7</v>
      </c>
      <c r="GG740" s="27" t="s">
        <v>8</v>
      </c>
      <c r="GH740" s="27" t="s">
        <v>7</v>
      </c>
      <c r="GI740" s="27" t="s">
        <v>8</v>
      </c>
    </row>
    <row r="741" spans="1:191" x14ac:dyDescent="0.25">
      <c r="A741" s="7">
        <v>4.7377653641295057E-2</v>
      </c>
      <c r="B741"/>
      <c r="C741"/>
      <c r="D741"/>
      <c r="E741"/>
      <c r="F741" s="27" t="s">
        <v>7</v>
      </c>
      <c r="G741" s="27" t="s">
        <v>8</v>
      </c>
      <c r="I741" s="27" t="s">
        <v>8</v>
      </c>
      <c r="K741" s="27" t="s">
        <v>8</v>
      </c>
      <c r="L741" s="27" t="s">
        <v>7</v>
      </c>
      <c r="Q741" s="27" t="s">
        <v>8</v>
      </c>
      <c r="R741" s="27" t="s">
        <v>7</v>
      </c>
      <c r="S741" s="27" t="s">
        <v>8</v>
      </c>
      <c r="U741" s="27" t="s">
        <v>8</v>
      </c>
      <c r="AM741" s="27" t="s">
        <v>8</v>
      </c>
      <c r="EU741" s="27" t="s">
        <v>8</v>
      </c>
      <c r="EV741" s="27" t="s">
        <v>7</v>
      </c>
      <c r="EW741" s="27" t="s">
        <v>8</v>
      </c>
      <c r="EX741" s="27" t="s">
        <v>7</v>
      </c>
      <c r="EY741" s="27" t="s">
        <v>8</v>
      </c>
      <c r="EZ741" s="27" t="s">
        <v>7</v>
      </c>
      <c r="GG741" s="27" t="s">
        <v>8</v>
      </c>
      <c r="GH741" s="27" t="s">
        <v>7</v>
      </c>
      <c r="GI741" s="27" t="s">
        <v>8</v>
      </c>
    </row>
    <row r="742" spans="1:191" x14ac:dyDescent="0.25">
      <c r="A742" s="7">
        <v>4.644868004048535E-2</v>
      </c>
      <c r="B742"/>
      <c r="C742"/>
      <c r="D742"/>
      <c r="E742"/>
      <c r="F742" s="27" t="s">
        <v>7</v>
      </c>
      <c r="G742" s="27" t="s">
        <v>8</v>
      </c>
      <c r="H742" s="27" t="s">
        <v>7</v>
      </c>
      <c r="I742" s="27" t="s">
        <v>8</v>
      </c>
      <c r="J742" s="27" t="s">
        <v>7</v>
      </c>
      <c r="K742" s="27" t="s">
        <v>8</v>
      </c>
      <c r="L742" s="27" t="s">
        <v>7</v>
      </c>
      <c r="M742" s="27" t="s">
        <v>8</v>
      </c>
      <c r="Q742" s="27" t="s">
        <v>8</v>
      </c>
      <c r="R742" s="27" t="s">
        <v>7</v>
      </c>
      <c r="S742" s="27" t="s">
        <v>8</v>
      </c>
      <c r="T742" s="27" t="s">
        <v>7</v>
      </c>
      <c r="U742" s="27" t="s">
        <v>8</v>
      </c>
      <c r="V742" s="27" t="s">
        <v>7</v>
      </c>
      <c r="AM742" s="27" t="s">
        <v>8</v>
      </c>
      <c r="AN742" s="27" t="s">
        <v>7</v>
      </c>
      <c r="EU742" s="27" t="s">
        <v>8</v>
      </c>
      <c r="EV742" s="27" t="s">
        <v>7</v>
      </c>
      <c r="EW742" s="27" t="s">
        <v>8</v>
      </c>
      <c r="EX742" s="27" t="s">
        <v>7</v>
      </c>
      <c r="EY742" s="27" t="s">
        <v>8</v>
      </c>
      <c r="EZ742" s="27" t="s">
        <v>7</v>
      </c>
      <c r="FC742" s="27" t="s">
        <v>8</v>
      </c>
      <c r="GG742" s="27" t="s">
        <v>8</v>
      </c>
      <c r="GH742" s="27" t="s">
        <v>7</v>
      </c>
      <c r="GI742" s="27" t="s">
        <v>8</v>
      </c>
    </row>
    <row r="743" spans="1:191" x14ac:dyDescent="0.25">
      <c r="A743" s="7">
        <v>4.5537921608318974E-2</v>
      </c>
      <c r="B743"/>
      <c r="C743"/>
      <c r="D743"/>
      <c r="E743"/>
      <c r="F743" s="27" t="s">
        <v>7</v>
      </c>
      <c r="G743" s="27" t="s">
        <v>8</v>
      </c>
      <c r="H743" s="27" t="s">
        <v>7</v>
      </c>
      <c r="I743" s="27" t="s">
        <v>8</v>
      </c>
      <c r="J743" s="27" t="s">
        <v>7</v>
      </c>
      <c r="K743" s="27" t="s">
        <v>8</v>
      </c>
      <c r="L743" s="27" t="s">
        <v>7</v>
      </c>
      <c r="M743" s="27" t="s">
        <v>8</v>
      </c>
      <c r="N743" s="27" t="s">
        <v>7</v>
      </c>
      <c r="O743" s="27" t="s">
        <v>8</v>
      </c>
      <c r="Q743" s="27" t="s">
        <v>8</v>
      </c>
      <c r="R743" s="27" t="s">
        <v>7</v>
      </c>
      <c r="S743" s="27" t="s">
        <v>8</v>
      </c>
      <c r="T743" s="27" t="s">
        <v>7</v>
      </c>
      <c r="U743" s="27" t="s">
        <v>8</v>
      </c>
      <c r="V743" s="27" t="s">
        <v>7</v>
      </c>
      <c r="AC743" s="27" t="s">
        <v>8</v>
      </c>
      <c r="AM743" s="27" t="s">
        <v>8</v>
      </c>
      <c r="AN743" s="27" t="s">
        <v>7</v>
      </c>
      <c r="EU743" s="27" t="s">
        <v>8</v>
      </c>
      <c r="EV743" s="27" t="s">
        <v>7</v>
      </c>
      <c r="EW743" s="27" t="s">
        <v>8</v>
      </c>
      <c r="EX743" s="27" t="s">
        <v>7</v>
      </c>
      <c r="EZ743" s="27" t="s">
        <v>7</v>
      </c>
      <c r="FC743" s="27" t="s">
        <v>8</v>
      </c>
      <c r="FD743" s="27" t="s">
        <v>7</v>
      </c>
      <c r="FE743" s="27" t="s">
        <v>8</v>
      </c>
      <c r="GG743" s="27" t="s">
        <v>8</v>
      </c>
      <c r="GH743" s="27" t="s">
        <v>7</v>
      </c>
      <c r="GI743" s="27" t="s">
        <v>8</v>
      </c>
    </row>
    <row r="744" spans="1:191" x14ac:dyDescent="0.25">
      <c r="A744" s="7">
        <v>4.4645021184626446E-2</v>
      </c>
      <c r="B744"/>
      <c r="C744"/>
      <c r="D744"/>
      <c r="E744"/>
      <c r="F744" s="27" t="s">
        <v>7</v>
      </c>
      <c r="G744" s="27" t="s">
        <v>8</v>
      </c>
      <c r="H744" s="27" t="s">
        <v>7</v>
      </c>
      <c r="I744" s="27" t="s">
        <v>8</v>
      </c>
      <c r="J744" s="27" t="s">
        <v>7</v>
      </c>
      <c r="K744" s="27" t="s">
        <v>8</v>
      </c>
      <c r="L744" s="27" t="s">
        <v>7</v>
      </c>
      <c r="M744" s="27" t="s">
        <v>8</v>
      </c>
      <c r="N744" s="27" t="s">
        <v>7</v>
      </c>
      <c r="O744" s="27" t="s">
        <v>8</v>
      </c>
      <c r="P744" s="27" t="s">
        <v>7</v>
      </c>
      <c r="Q744" s="27" t="s">
        <v>8</v>
      </c>
      <c r="R744" s="27" t="s">
        <v>7</v>
      </c>
      <c r="S744" s="27" t="s">
        <v>8</v>
      </c>
      <c r="T744" s="27" t="s">
        <v>7</v>
      </c>
      <c r="U744" s="27" t="s">
        <v>8</v>
      </c>
      <c r="V744" s="27" t="s">
        <v>7</v>
      </c>
      <c r="AC744" s="27" t="s">
        <v>8</v>
      </c>
      <c r="AD744" s="27" t="s">
        <v>7</v>
      </c>
      <c r="AK744" s="27" t="s">
        <v>8</v>
      </c>
      <c r="AM744" s="27" t="s">
        <v>8</v>
      </c>
      <c r="AN744" s="27" t="s">
        <v>7</v>
      </c>
      <c r="EU744" s="27" t="s">
        <v>8</v>
      </c>
      <c r="EV744" s="27" t="s">
        <v>7</v>
      </c>
      <c r="EW744" s="27" t="s">
        <v>8</v>
      </c>
      <c r="EZ744" s="27" t="s">
        <v>7</v>
      </c>
      <c r="FC744" s="27" t="s">
        <v>8</v>
      </c>
      <c r="FD744" s="27" t="s">
        <v>7</v>
      </c>
      <c r="FE744" s="27" t="s">
        <v>8</v>
      </c>
      <c r="FF744" s="27" t="s">
        <v>7</v>
      </c>
      <c r="GG744" s="27" t="s">
        <v>8</v>
      </c>
      <c r="GH744" s="27" t="s">
        <v>7</v>
      </c>
      <c r="GI744" s="27" t="s">
        <v>8</v>
      </c>
    </row>
    <row r="745" spans="1:191" x14ac:dyDescent="0.25">
      <c r="A745" s="7">
        <v>4.3769628612378868E-2</v>
      </c>
      <c r="B745"/>
      <c r="C745"/>
      <c r="D745"/>
      <c r="E745"/>
      <c r="F745" s="27" t="s">
        <v>7</v>
      </c>
      <c r="G745" s="27" t="s">
        <v>8</v>
      </c>
      <c r="H745" s="27" t="s">
        <v>7</v>
      </c>
      <c r="I745" s="27" t="s">
        <v>8</v>
      </c>
      <c r="J745" s="27" t="s">
        <v>7</v>
      </c>
      <c r="K745" s="27" t="s">
        <v>8</v>
      </c>
      <c r="L745" s="27" t="s">
        <v>7</v>
      </c>
      <c r="M745" s="27" t="s">
        <v>8</v>
      </c>
      <c r="N745" s="27" t="s">
        <v>7</v>
      </c>
      <c r="O745" s="27" t="s">
        <v>8</v>
      </c>
      <c r="P745" s="27" t="s">
        <v>7</v>
      </c>
      <c r="Q745" s="27" t="s">
        <v>8</v>
      </c>
      <c r="R745" s="27" t="s">
        <v>7</v>
      </c>
      <c r="S745" s="27" t="s">
        <v>8</v>
      </c>
      <c r="T745" s="27" t="s">
        <v>7</v>
      </c>
      <c r="V745" s="27" t="s">
        <v>7</v>
      </c>
      <c r="AC745" s="27" t="s">
        <v>8</v>
      </c>
      <c r="AD745" s="27" t="s">
        <v>7</v>
      </c>
      <c r="AK745" s="27" t="s">
        <v>8</v>
      </c>
      <c r="AL745" s="27" t="s">
        <v>7</v>
      </c>
      <c r="AM745" s="27" t="s">
        <v>8</v>
      </c>
      <c r="AN745" s="27" t="s">
        <v>7</v>
      </c>
      <c r="AQ745" s="27" t="s">
        <v>8</v>
      </c>
      <c r="EU745" s="27" t="s">
        <v>8</v>
      </c>
      <c r="EV745" s="27" t="s">
        <v>7</v>
      </c>
      <c r="EW745" s="27" t="s">
        <v>8</v>
      </c>
      <c r="EZ745" s="27" t="s">
        <v>7</v>
      </c>
      <c r="FC745" s="27" t="s">
        <v>8</v>
      </c>
      <c r="FD745" s="27" t="s">
        <v>7</v>
      </c>
      <c r="FE745" s="27" t="s">
        <v>8</v>
      </c>
      <c r="FF745" s="27" t="s">
        <v>7</v>
      </c>
      <c r="GG745" s="27" t="s">
        <v>8</v>
      </c>
      <c r="GH745" s="27" t="s">
        <v>7</v>
      </c>
      <c r="GI745" s="27" t="s">
        <v>8</v>
      </c>
    </row>
    <row r="746" spans="1:191" x14ac:dyDescent="0.25">
      <c r="A746" s="7">
        <v>4.2911400600371442E-2</v>
      </c>
      <c r="B746"/>
      <c r="C746"/>
      <c r="D746"/>
      <c r="E746"/>
      <c r="F746" s="27" t="s">
        <v>7</v>
      </c>
      <c r="G746" s="27" t="s">
        <v>8</v>
      </c>
      <c r="H746" s="27" t="s">
        <v>7</v>
      </c>
      <c r="I746" s="27" t="s">
        <v>8</v>
      </c>
      <c r="J746" s="27" t="s">
        <v>7</v>
      </c>
      <c r="K746" s="27" t="s">
        <v>8</v>
      </c>
      <c r="L746" s="27" t="s">
        <v>7</v>
      </c>
      <c r="M746" s="27" t="s">
        <v>8</v>
      </c>
      <c r="N746" s="27" t="s">
        <v>7</v>
      </c>
      <c r="O746" s="27" t="s">
        <v>8</v>
      </c>
      <c r="P746" s="27" t="s">
        <v>7</v>
      </c>
      <c r="Q746" s="27" t="s">
        <v>8</v>
      </c>
      <c r="R746" s="27" t="s">
        <v>7</v>
      </c>
      <c r="S746" s="27" t="s">
        <v>8</v>
      </c>
      <c r="V746" s="27" t="s">
        <v>7</v>
      </c>
      <c r="AA746" s="27" t="s">
        <v>8</v>
      </c>
      <c r="AC746" s="27" t="s">
        <v>8</v>
      </c>
      <c r="AD746" s="27" t="s">
        <v>7</v>
      </c>
      <c r="AG746" s="27" t="s">
        <v>8</v>
      </c>
      <c r="AK746" s="27" t="s">
        <v>8</v>
      </c>
      <c r="AL746" s="27" t="s">
        <v>7</v>
      </c>
      <c r="AM746" s="27" t="s">
        <v>8</v>
      </c>
      <c r="AN746" s="27" t="s">
        <v>7</v>
      </c>
      <c r="AQ746" s="27" t="s">
        <v>8</v>
      </c>
      <c r="AR746" s="27" t="s">
        <v>7</v>
      </c>
      <c r="CA746" s="27" t="s">
        <v>8</v>
      </c>
      <c r="EU746" s="27" t="s">
        <v>8</v>
      </c>
      <c r="EV746" s="27" t="s">
        <v>7</v>
      </c>
      <c r="EW746" s="27" t="s">
        <v>8</v>
      </c>
      <c r="EZ746" s="27" t="s">
        <v>7</v>
      </c>
      <c r="FA746" s="27" t="s">
        <v>8</v>
      </c>
      <c r="FC746" s="27" t="s">
        <v>8</v>
      </c>
      <c r="FD746" s="27" t="s">
        <v>7</v>
      </c>
      <c r="FF746" s="27" t="s">
        <v>7</v>
      </c>
      <c r="GG746" s="27" t="s">
        <v>8</v>
      </c>
      <c r="GH746" s="27" t="s">
        <v>7</v>
      </c>
      <c r="GI746" s="27" t="s">
        <v>8</v>
      </c>
    </row>
    <row r="747" spans="1:191" x14ac:dyDescent="0.25">
      <c r="A747" s="7">
        <v>4.2070000588599457E-2</v>
      </c>
      <c r="B747"/>
      <c r="C747"/>
      <c r="D747"/>
      <c r="E747"/>
      <c r="F747" s="27" t="s">
        <v>7</v>
      </c>
      <c r="G747" s="27" t="s">
        <v>8</v>
      </c>
      <c r="H747" s="27" t="s">
        <v>7</v>
      </c>
      <c r="I747" s="27" t="s">
        <v>8</v>
      </c>
      <c r="J747" s="27" t="s">
        <v>7</v>
      </c>
      <c r="K747" s="27" t="s">
        <v>8</v>
      </c>
      <c r="L747" s="27" t="s">
        <v>7</v>
      </c>
      <c r="M747" s="27" t="s">
        <v>8</v>
      </c>
      <c r="N747" s="27" t="s">
        <v>7</v>
      </c>
      <c r="O747" s="27" t="s">
        <v>8</v>
      </c>
      <c r="P747" s="27" t="s">
        <v>7</v>
      </c>
      <c r="R747" s="27" t="s">
        <v>7</v>
      </c>
      <c r="V747" s="27" t="s">
        <v>7</v>
      </c>
      <c r="AA747" s="27" t="s">
        <v>8</v>
      </c>
      <c r="AB747" s="27" t="s">
        <v>7</v>
      </c>
      <c r="AC747" s="27" t="s">
        <v>8</v>
      </c>
      <c r="AD747" s="27" t="s">
        <v>7</v>
      </c>
      <c r="AG747" s="27" t="s">
        <v>8</v>
      </c>
      <c r="AH747" s="27" t="s">
        <v>7</v>
      </c>
      <c r="AK747" s="27" t="s">
        <v>8</v>
      </c>
      <c r="AL747" s="27" t="s">
        <v>7</v>
      </c>
      <c r="AM747" s="27" t="s">
        <v>8</v>
      </c>
      <c r="AN747" s="27" t="s">
        <v>7</v>
      </c>
      <c r="AQ747" s="27" t="s">
        <v>8</v>
      </c>
      <c r="AR747" s="27" t="s">
        <v>7</v>
      </c>
      <c r="CA747" s="27" t="s">
        <v>8</v>
      </c>
      <c r="CB747" s="27" t="s">
        <v>7</v>
      </c>
      <c r="EU747" s="27" t="s">
        <v>8</v>
      </c>
      <c r="EV747" s="27" t="s">
        <v>7</v>
      </c>
      <c r="EW747" s="27" t="s">
        <v>8</v>
      </c>
      <c r="EZ747" s="27" t="s">
        <v>7</v>
      </c>
      <c r="FA747" s="27" t="s">
        <v>8</v>
      </c>
      <c r="FB747" s="27" t="s">
        <v>7</v>
      </c>
      <c r="FC747" s="27" t="s">
        <v>8</v>
      </c>
      <c r="FF747" s="27" t="s">
        <v>7</v>
      </c>
      <c r="GG747" s="27" t="s">
        <v>8</v>
      </c>
      <c r="GH747" s="27" t="s">
        <v>7</v>
      </c>
      <c r="GI747" s="27" t="s">
        <v>8</v>
      </c>
    </row>
    <row r="748" spans="1:191" x14ac:dyDescent="0.25">
      <c r="A748" s="7">
        <v>4.1245098616273977E-2</v>
      </c>
      <c r="B748"/>
      <c r="C748"/>
      <c r="D748"/>
      <c r="E748"/>
      <c r="F748" s="27" t="s">
        <v>7</v>
      </c>
      <c r="G748" s="27" t="s">
        <v>8</v>
      </c>
      <c r="H748" s="27" t="s">
        <v>7</v>
      </c>
      <c r="I748" s="27" t="s">
        <v>8</v>
      </c>
      <c r="J748" s="27" t="s">
        <v>7</v>
      </c>
      <c r="K748" s="27" t="s">
        <v>8</v>
      </c>
      <c r="L748" s="27" t="s">
        <v>7</v>
      </c>
      <c r="N748" s="27" t="s">
        <v>7</v>
      </c>
      <c r="V748" s="27" t="s">
        <v>7</v>
      </c>
      <c r="AA748" s="27" t="s">
        <v>8</v>
      </c>
      <c r="AB748" s="27" t="s">
        <v>7</v>
      </c>
      <c r="AC748" s="27" t="s">
        <v>8</v>
      </c>
      <c r="AD748" s="27" t="s">
        <v>7</v>
      </c>
      <c r="AE748" s="27" t="s">
        <v>8</v>
      </c>
      <c r="AG748" s="27" t="s">
        <v>8</v>
      </c>
      <c r="AH748" s="27" t="s">
        <v>7</v>
      </c>
      <c r="AI748" s="27" t="s">
        <v>8</v>
      </c>
      <c r="AK748" s="27" t="s">
        <v>8</v>
      </c>
      <c r="AL748" s="27" t="s">
        <v>7</v>
      </c>
      <c r="AM748" s="27" t="s">
        <v>8</v>
      </c>
      <c r="AN748" s="27" t="s">
        <v>7</v>
      </c>
      <c r="AO748" s="27" t="s">
        <v>8</v>
      </c>
      <c r="AQ748" s="27" t="s">
        <v>8</v>
      </c>
      <c r="AR748" s="27" t="s">
        <v>7</v>
      </c>
      <c r="CA748" s="27" t="s">
        <v>8</v>
      </c>
      <c r="CB748" s="27" t="s">
        <v>7</v>
      </c>
      <c r="EU748" s="27" t="s">
        <v>8</v>
      </c>
      <c r="EV748" s="27" t="s">
        <v>7</v>
      </c>
      <c r="EW748" s="27" t="s">
        <v>8</v>
      </c>
      <c r="EZ748" s="27" t="s">
        <v>7</v>
      </c>
      <c r="FA748" s="27" t="s">
        <v>8</v>
      </c>
      <c r="FB748" s="27" t="s">
        <v>7</v>
      </c>
      <c r="FC748" s="27" t="s">
        <v>8</v>
      </c>
      <c r="FF748" s="27" t="s">
        <v>7</v>
      </c>
      <c r="GG748" s="27" t="s">
        <v>8</v>
      </c>
      <c r="GH748" s="27" t="s">
        <v>7</v>
      </c>
      <c r="GI748" s="27" t="s">
        <v>8</v>
      </c>
    </row>
    <row r="749" spans="1:191" x14ac:dyDescent="0.25">
      <c r="A749" s="7">
        <v>4.043637119242547E-2</v>
      </c>
      <c r="B749"/>
      <c r="C749"/>
      <c r="D749"/>
      <c r="E749"/>
      <c r="F749" s="27" t="s">
        <v>7</v>
      </c>
      <c r="G749" s="27" t="s">
        <v>8</v>
      </c>
      <c r="H749" s="27" t="s">
        <v>7</v>
      </c>
      <c r="I749" s="27" t="s">
        <v>8</v>
      </c>
      <c r="J749" s="27" t="s">
        <v>7</v>
      </c>
      <c r="K749" s="27" t="s">
        <v>8</v>
      </c>
      <c r="V749" s="27" t="s">
        <v>7</v>
      </c>
      <c r="AA749" s="27" t="s">
        <v>8</v>
      </c>
      <c r="AB749" s="27" t="s">
        <v>7</v>
      </c>
      <c r="AC749" s="27" t="s">
        <v>8</v>
      </c>
      <c r="AD749" s="27" t="s">
        <v>7</v>
      </c>
      <c r="AE749" s="27" t="s">
        <v>8</v>
      </c>
      <c r="AF749" s="27" t="s">
        <v>7</v>
      </c>
      <c r="AG749" s="27" t="s">
        <v>8</v>
      </c>
      <c r="AH749" s="27" t="s">
        <v>7</v>
      </c>
      <c r="AI749" s="27" t="s">
        <v>8</v>
      </c>
      <c r="AJ749" s="27" t="s">
        <v>7</v>
      </c>
      <c r="AK749" s="27" t="s">
        <v>8</v>
      </c>
      <c r="AL749" s="27" t="s">
        <v>7</v>
      </c>
      <c r="AN749" s="27" t="s">
        <v>7</v>
      </c>
      <c r="AO749" s="27" t="s">
        <v>8</v>
      </c>
      <c r="AP749" s="27" t="s">
        <v>7</v>
      </c>
      <c r="AQ749" s="27" t="s">
        <v>8</v>
      </c>
      <c r="AR749" s="27" t="s">
        <v>7</v>
      </c>
      <c r="CA749" s="27" t="s">
        <v>8</v>
      </c>
      <c r="CB749" s="27" t="s">
        <v>7</v>
      </c>
      <c r="EU749" s="27" t="s">
        <v>8</v>
      </c>
      <c r="EV749" s="27" t="s">
        <v>7</v>
      </c>
      <c r="EW749" s="27" t="s">
        <v>8</v>
      </c>
      <c r="EZ749" s="27" t="s">
        <v>7</v>
      </c>
      <c r="FB749" s="27" t="s">
        <v>7</v>
      </c>
      <c r="FC749" s="27" t="s">
        <v>8</v>
      </c>
      <c r="FF749" s="27" t="s">
        <v>7</v>
      </c>
      <c r="GG749" s="27" t="s">
        <v>8</v>
      </c>
      <c r="GH749" s="27" t="s">
        <v>7</v>
      </c>
      <c r="GI749" s="27" t="s">
        <v>8</v>
      </c>
    </row>
    <row r="750" spans="1:191" x14ac:dyDescent="0.25">
      <c r="A750" s="7">
        <v>3.9643501169044582E-2</v>
      </c>
      <c r="B750"/>
      <c r="C750"/>
      <c r="D750"/>
      <c r="E750"/>
      <c r="F750" s="27" t="s">
        <v>7</v>
      </c>
      <c r="G750" s="27" t="s">
        <v>8</v>
      </c>
      <c r="H750" s="27" t="s">
        <v>7</v>
      </c>
      <c r="J750" s="27" t="s">
        <v>7</v>
      </c>
      <c r="K750" s="27" t="s">
        <v>8</v>
      </c>
      <c r="V750" s="27" t="s">
        <v>7</v>
      </c>
      <c r="AA750" s="27" t="s">
        <v>8</v>
      </c>
      <c r="AB750" s="27" t="s">
        <v>7</v>
      </c>
      <c r="AC750" s="27" t="s">
        <v>8</v>
      </c>
      <c r="AD750" s="27" t="s">
        <v>7</v>
      </c>
      <c r="AE750" s="27" t="s">
        <v>8</v>
      </c>
      <c r="AF750" s="27" t="s">
        <v>7</v>
      </c>
      <c r="AG750" s="27" t="s">
        <v>8</v>
      </c>
      <c r="AH750" s="27" t="s">
        <v>7</v>
      </c>
      <c r="AI750" s="27" t="s">
        <v>8</v>
      </c>
      <c r="AJ750" s="27" t="s">
        <v>7</v>
      </c>
      <c r="AK750" s="27" t="s">
        <v>8</v>
      </c>
      <c r="AN750" s="27" t="s">
        <v>7</v>
      </c>
      <c r="AO750" s="27" t="s">
        <v>8</v>
      </c>
      <c r="AP750" s="27" t="s">
        <v>7</v>
      </c>
      <c r="AQ750" s="27" t="s">
        <v>8</v>
      </c>
      <c r="AR750" s="27" t="s">
        <v>7</v>
      </c>
      <c r="CA750" s="27" t="s">
        <v>8</v>
      </c>
      <c r="CB750" s="27" t="s">
        <v>7</v>
      </c>
      <c r="EU750" s="27" t="s">
        <v>8</v>
      </c>
      <c r="EV750" s="27" t="s">
        <v>7</v>
      </c>
      <c r="EW750" s="27" t="s">
        <v>8</v>
      </c>
      <c r="FB750" s="27" t="s">
        <v>7</v>
      </c>
      <c r="FC750" s="27" t="s">
        <v>8</v>
      </c>
      <c r="FF750" s="27" t="s">
        <v>7</v>
      </c>
      <c r="GG750" s="27" t="s">
        <v>8</v>
      </c>
      <c r="GH750" s="27" t="s">
        <v>7</v>
      </c>
      <c r="GI750" s="27" t="s">
        <v>8</v>
      </c>
    </row>
    <row r="751" spans="1:191" x14ac:dyDescent="0.25">
      <c r="A751" s="7">
        <v>3.8866177616710372E-2</v>
      </c>
      <c r="B751"/>
      <c r="C751"/>
      <c r="D751"/>
      <c r="E751"/>
      <c r="F751" s="27" t="s">
        <v>7</v>
      </c>
      <c r="G751" s="27" t="s">
        <v>8</v>
      </c>
      <c r="J751" s="27" t="s">
        <v>7</v>
      </c>
      <c r="K751" s="27" t="s">
        <v>8</v>
      </c>
      <c r="V751" s="27" t="s">
        <v>7</v>
      </c>
      <c r="W751" s="27" t="s">
        <v>8</v>
      </c>
      <c r="AA751" s="27" t="s">
        <v>8</v>
      </c>
      <c r="AB751" s="27" t="s">
        <v>7</v>
      </c>
      <c r="AD751" s="27" t="s">
        <v>7</v>
      </c>
      <c r="AF751" s="27" t="s">
        <v>7</v>
      </c>
      <c r="AH751" s="27" t="s">
        <v>7</v>
      </c>
      <c r="AI751" s="27" t="s">
        <v>8</v>
      </c>
      <c r="AJ751" s="27" t="s">
        <v>7</v>
      </c>
      <c r="AK751" s="27" t="s">
        <v>8</v>
      </c>
      <c r="AN751" s="27" t="s">
        <v>7</v>
      </c>
      <c r="AP751" s="27" t="s">
        <v>7</v>
      </c>
      <c r="AR751" s="27" t="s">
        <v>7</v>
      </c>
      <c r="CA751" s="27" t="s">
        <v>8</v>
      </c>
      <c r="CB751" s="27" t="s">
        <v>7</v>
      </c>
      <c r="EU751" s="27" t="s">
        <v>8</v>
      </c>
      <c r="EV751" s="27" t="s">
        <v>7</v>
      </c>
      <c r="FB751" s="27" t="s">
        <v>7</v>
      </c>
      <c r="FF751" s="27" t="s">
        <v>7</v>
      </c>
      <c r="FU751" s="27" t="s">
        <v>8</v>
      </c>
      <c r="GG751" s="27" t="s">
        <v>8</v>
      </c>
      <c r="GH751" s="27" t="s">
        <v>7</v>
      </c>
      <c r="GI751" s="27" t="s">
        <v>8</v>
      </c>
    </row>
    <row r="752" spans="1:191" x14ac:dyDescent="0.25">
      <c r="A752" s="7">
        <v>3.8104095702657229E-2</v>
      </c>
      <c r="B752"/>
      <c r="C752"/>
      <c r="D752"/>
      <c r="E752"/>
      <c r="F752" s="27" t="s">
        <v>7</v>
      </c>
      <c r="J752" s="27" t="s">
        <v>7</v>
      </c>
      <c r="K752" s="27" t="s">
        <v>8</v>
      </c>
      <c r="V752" s="27" t="s">
        <v>7</v>
      </c>
      <c r="W752" s="27" t="s">
        <v>8</v>
      </c>
      <c r="X752" s="27" t="s">
        <v>7</v>
      </c>
      <c r="Y752" s="27" t="s">
        <v>8</v>
      </c>
      <c r="AA752" s="27" t="s">
        <v>8</v>
      </c>
      <c r="AH752" s="27" t="s">
        <v>7</v>
      </c>
      <c r="AI752" s="27" t="s">
        <v>8</v>
      </c>
      <c r="AJ752" s="27" t="s">
        <v>7</v>
      </c>
      <c r="AK752" s="27" t="s">
        <v>8</v>
      </c>
      <c r="AR752" s="27" t="s">
        <v>7</v>
      </c>
      <c r="CA752" s="27" t="s">
        <v>8</v>
      </c>
      <c r="CB752" s="27" t="s">
        <v>7</v>
      </c>
      <c r="ES752" s="27" t="s">
        <v>8</v>
      </c>
      <c r="EU752" s="27" t="s">
        <v>8</v>
      </c>
      <c r="FF752" s="27" t="s">
        <v>7</v>
      </c>
      <c r="FU752" s="27" t="s">
        <v>8</v>
      </c>
      <c r="FV752" s="27" t="s">
        <v>7</v>
      </c>
      <c r="GG752" s="27" t="s">
        <v>8</v>
      </c>
      <c r="GH752" s="27" t="s">
        <v>7</v>
      </c>
      <c r="GI752" s="27" t="s">
        <v>8</v>
      </c>
    </row>
    <row r="753" spans="1:191" x14ac:dyDescent="0.25">
      <c r="A753" s="7">
        <v>3.7356956571232579E-2</v>
      </c>
      <c r="B753"/>
      <c r="C753"/>
      <c r="D753"/>
      <c r="E753"/>
      <c r="J753" s="27" t="s">
        <v>7</v>
      </c>
      <c r="V753" s="27" t="s">
        <v>7</v>
      </c>
      <c r="W753" s="27" t="s">
        <v>8</v>
      </c>
      <c r="X753" s="27" t="s">
        <v>7</v>
      </c>
      <c r="Y753" s="27" t="s">
        <v>8</v>
      </c>
      <c r="Z753" s="27" t="s">
        <v>7</v>
      </c>
      <c r="AA753" s="27" t="s">
        <v>8</v>
      </c>
      <c r="AH753" s="27" t="s">
        <v>7</v>
      </c>
      <c r="AJ753" s="27" t="s">
        <v>7</v>
      </c>
      <c r="AK753" s="27" t="s">
        <v>8</v>
      </c>
      <c r="AR753" s="27" t="s">
        <v>7</v>
      </c>
      <c r="CA753" s="27" t="s">
        <v>8</v>
      </c>
      <c r="CB753" s="27" t="s">
        <v>7</v>
      </c>
      <c r="ES753" s="27" t="s">
        <v>8</v>
      </c>
      <c r="ET753" s="27" t="s">
        <v>7</v>
      </c>
      <c r="EU753" s="27" t="s">
        <v>8</v>
      </c>
      <c r="FF753" s="27" t="s">
        <v>7</v>
      </c>
      <c r="FK753" s="27" t="s">
        <v>8</v>
      </c>
      <c r="FM753" s="27" t="s">
        <v>8</v>
      </c>
      <c r="FU753" s="27" t="s">
        <v>8</v>
      </c>
      <c r="FV753" s="27" t="s">
        <v>7</v>
      </c>
      <c r="GG753" s="27" t="s">
        <v>8</v>
      </c>
      <c r="GH753" s="27" t="s">
        <v>7</v>
      </c>
      <c r="GI753" s="27" t="s">
        <v>8</v>
      </c>
    </row>
    <row r="754" spans="1:191" x14ac:dyDescent="0.25">
      <c r="A754" s="7">
        <v>3.6624467226698605E-2</v>
      </c>
      <c r="B754"/>
      <c r="C754"/>
      <c r="D754"/>
      <c r="E754"/>
      <c r="V754" s="27" t="s">
        <v>7</v>
      </c>
      <c r="W754" s="27" t="s">
        <v>8</v>
      </c>
      <c r="X754" s="27" t="s">
        <v>7</v>
      </c>
      <c r="Y754" s="27" t="s">
        <v>8</v>
      </c>
      <c r="Z754" s="27" t="s">
        <v>7</v>
      </c>
      <c r="AA754" s="27" t="s">
        <v>8</v>
      </c>
      <c r="AJ754" s="27" t="s">
        <v>7</v>
      </c>
      <c r="AR754" s="27" t="s">
        <v>7</v>
      </c>
      <c r="CA754" s="27" t="s">
        <v>8</v>
      </c>
      <c r="CB754" s="27" t="s">
        <v>7</v>
      </c>
      <c r="ES754" s="27" t="s">
        <v>8</v>
      </c>
      <c r="ET754" s="27" t="s">
        <v>7</v>
      </c>
      <c r="EU754" s="27" t="s">
        <v>8</v>
      </c>
      <c r="FF754" s="27" t="s">
        <v>7</v>
      </c>
      <c r="FK754" s="27" t="s">
        <v>8</v>
      </c>
      <c r="FL754" s="27" t="s">
        <v>7</v>
      </c>
      <c r="FM754" s="27" t="s">
        <v>8</v>
      </c>
      <c r="FN754" s="27" t="s">
        <v>7</v>
      </c>
      <c r="FU754" s="27" t="s">
        <v>8</v>
      </c>
      <c r="FV754" s="27" t="s">
        <v>7</v>
      </c>
      <c r="GG754" s="27" t="s">
        <v>8</v>
      </c>
      <c r="GH754" s="27" t="s">
        <v>7</v>
      </c>
      <c r="GI754" s="27" t="s">
        <v>8</v>
      </c>
    </row>
    <row r="755" spans="1:191" x14ac:dyDescent="0.25">
      <c r="A755" s="7">
        <v>3.5906340418331961E-2</v>
      </c>
      <c r="B755"/>
      <c r="C755"/>
      <c r="D755"/>
      <c r="E755"/>
      <c r="V755" s="27" t="s">
        <v>7</v>
      </c>
      <c r="W755" s="27" t="s">
        <v>8</v>
      </c>
      <c r="X755" s="27" t="s">
        <v>7</v>
      </c>
      <c r="Y755" s="27" t="s">
        <v>8</v>
      </c>
      <c r="Z755" s="27" t="s">
        <v>7</v>
      </c>
      <c r="AA755" s="27" t="s">
        <v>8</v>
      </c>
      <c r="AR755" s="27" t="s">
        <v>7</v>
      </c>
      <c r="CA755" s="27" t="s">
        <v>8</v>
      </c>
      <c r="CB755" s="27" t="s">
        <v>7</v>
      </c>
      <c r="CC755" s="27" t="s">
        <v>8</v>
      </c>
      <c r="ES755" s="27" t="s">
        <v>8</v>
      </c>
      <c r="ET755" s="27" t="s">
        <v>7</v>
      </c>
      <c r="EU755" s="27" t="s">
        <v>8</v>
      </c>
      <c r="FF755" s="27" t="s">
        <v>7</v>
      </c>
      <c r="FK755" s="27" t="s">
        <v>8</v>
      </c>
      <c r="FL755" s="27" t="s">
        <v>7</v>
      </c>
      <c r="FM755" s="27" t="s">
        <v>8</v>
      </c>
      <c r="FN755" s="27" t="s">
        <v>7</v>
      </c>
      <c r="FU755" s="27" t="s">
        <v>8</v>
      </c>
      <c r="FV755" s="27" t="s">
        <v>7</v>
      </c>
      <c r="GG755" s="27" t="s">
        <v>8</v>
      </c>
      <c r="GH755" s="27" t="s">
        <v>7</v>
      </c>
      <c r="GI755" s="27" t="s">
        <v>8</v>
      </c>
    </row>
    <row r="756" spans="1:191" x14ac:dyDescent="0.25">
      <c r="A756" s="7">
        <v>3.5202294527776436E-2</v>
      </c>
      <c r="B756"/>
      <c r="C756"/>
      <c r="D756"/>
      <c r="E756"/>
      <c r="V756" s="27" t="s">
        <v>7</v>
      </c>
      <c r="W756" s="27" t="s">
        <v>8</v>
      </c>
      <c r="X756" s="27" t="s">
        <v>7</v>
      </c>
      <c r="Y756" s="27" t="s">
        <v>8</v>
      </c>
      <c r="Z756" s="27" t="s">
        <v>7</v>
      </c>
      <c r="AA756" s="27" t="s">
        <v>8</v>
      </c>
      <c r="AR756" s="27" t="s">
        <v>7</v>
      </c>
      <c r="BY756" s="27" t="s">
        <v>8</v>
      </c>
      <c r="CA756" s="27" t="s">
        <v>8</v>
      </c>
      <c r="CB756" s="27" t="s">
        <v>7</v>
      </c>
      <c r="CC756" s="27" t="s">
        <v>8</v>
      </c>
      <c r="CD756" s="27" t="s">
        <v>7</v>
      </c>
      <c r="ES756" s="27" t="s">
        <v>8</v>
      </c>
      <c r="ET756" s="27" t="s">
        <v>7</v>
      </c>
      <c r="EU756" s="27" t="s">
        <v>8</v>
      </c>
      <c r="FF756" s="27" t="s">
        <v>7</v>
      </c>
      <c r="FK756" s="27" t="s">
        <v>8</v>
      </c>
      <c r="FL756" s="27" t="s">
        <v>7</v>
      </c>
      <c r="FM756" s="27" t="s">
        <v>8</v>
      </c>
      <c r="FN756" s="27" t="s">
        <v>7</v>
      </c>
      <c r="FU756" s="27" t="s">
        <v>8</v>
      </c>
      <c r="FV756" s="27" t="s">
        <v>7</v>
      </c>
      <c r="GG756" s="27" t="s">
        <v>8</v>
      </c>
      <c r="GH756" s="27" t="s">
        <v>7</v>
      </c>
      <c r="GI756" s="27" t="s">
        <v>8</v>
      </c>
    </row>
    <row r="757" spans="1:191" x14ac:dyDescent="0.25">
      <c r="A757" s="7">
        <v>3.451205345860435E-2</v>
      </c>
      <c r="B757"/>
      <c r="C757"/>
      <c r="D757"/>
      <c r="E757"/>
      <c r="V757" s="27" t="s">
        <v>7</v>
      </c>
      <c r="W757" s="27" t="s">
        <v>8</v>
      </c>
      <c r="X757" s="27" t="s">
        <v>7</v>
      </c>
      <c r="Z757" s="27" t="s">
        <v>7</v>
      </c>
      <c r="AR757" s="27" t="s">
        <v>7</v>
      </c>
      <c r="BY757" s="27" t="s">
        <v>8</v>
      </c>
      <c r="BZ757" s="27" t="s">
        <v>7</v>
      </c>
      <c r="CA757" s="27" t="s">
        <v>8</v>
      </c>
      <c r="CB757" s="27" t="s">
        <v>7</v>
      </c>
      <c r="CC757" s="27" t="s">
        <v>8</v>
      </c>
      <c r="CD757" s="27" t="s">
        <v>7</v>
      </c>
      <c r="CK757" s="27" t="s">
        <v>8</v>
      </c>
      <c r="DY757" s="27" t="s">
        <v>8</v>
      </c>
      <c r="ES757" s="27" t="s">
        <v>8</v>
      </c>
      <c r="ET757" s="27" t="s">
        <v>7</v>
      </c>
      <c r="EU757" s="27" t="s">
        <v>8</v>
      </c>
      <c r="FF757" s="27" t="s">
        <v>7</v>
      </c>
      <c r="FK757" s="27" t="s">
        <v>8</v>
      </c>
      <c r="FL757" s="27" t="s">
        <v>7</v>
      </c>
      <c r="FM757" s="27" t="s">
        <v>8</v>
      </c>
      <c r="FN757" s="27" t="s">
        <v>7</v>
      </c>
      <c r="FU757" s="27" t="s">
        <v>8</v>
      </c>
      <c r="FV757" s="27" t="s">
        <v>7</v>
      </c>
      <c r="GG757" s="27" t="s">
        <v>8</v>
      </c>
      <c r="GH757" s="27" t="s">
        <v>7</v>
      </c>
      <c r="GI757" s="27" t="s">
        <v>8</v>
      </c>
    </row>
    <row r="758" spans="1:191" x14ac:dyDescent="0.25">
      <c r="A758" s="7">
        <v>3.3835346528043479E-2</v>
      </c>
      <c r="B758"/>
      <c r="C758"/>
      <c r="D758"/>
      <c r="E758"/>
      <c r="V758" s="27" t="s">
        <v>7</v>
      </c>
      <c r="AR758" s="27" t="s">
        <v>7</v>
      </c>
      <c r="BY758" s="27" t="s">
        <v>8</v>
      </c>
      <c r="BZ758" s="27" t="s">
        <v>7</v>
      </c>
      <c r="CA758" s="27" t="s">
        <v>8</v>
      </c>
      <c r="CB758" s="27" t="s">
        <v>7</v>
      </c>
      <c r="CC758" s="27" t="s">
        <v>8</v>
      </c>
      <c r="CD758" s="27" t="s">
        <v>7</v>
      </c>
      <c r="CK758" s="27" t="s">
        <v>8</v>
      </c>
      <c r="CL758" s="27" t="s">
        <v>7</v>
      </c>
      <c r="DY758" s="27" t="s">
        <v>8</v>
      </c>
      <c r="DZ758" s="27" t="s">
        <v>7</v>
      </c>
      <c r="ES758" s="27" t="s">
        <v>8</v>
      </c>
      <c r="ET758" s="27" t="s">
        <v>7</v>
      </c>
      <c r="EU758" s="27" t="s">
        <v>8</v>
      </c>
      <c r="FF758" s="27" t="s">
        <v>7</v>
      </c>
      <c r="FK758" s="27" t="s">
        <v>8</v>
      </c>
      <c r="FL758" s="27" t="s">
        <v>7</v>
      </c>
      <c r="FM758" s="27" t="s">
        <v>8</v>
      </c>
      <c r="FN758" s="27" t="s">
        <v>7</v>
      </c>
      <c r="FU758" s="27" t="s">
        <v>8</v>
      </c>
      <c r="FV758" s="27" t="s">
        <v>7</v>
      </c>
      <c r="GA758" s="27" t="s">
        <v>8</v>
      </c>
      <c r="GG758" s="27" t="s">
        <v>8</v>
      </c>
      <c r="GH758" s="27" t="s">
        <v>7</v>
      </c>
    </row>
    <row r="759" spans="1:191" x14ac:dyDescent="0.25">
      <c r="A759" s="7">
        <v>3.3171908360826938E-2</v>
      </c>
      <c r="B759"/>
      <c r="C759"/>
      <c r="D759"/>
      <c r="E759"/>
      <c r="AR759" s="27" t="s">
        <v>7</v>
      </c>
      <c r="BW759" s="27" t="s">
        <v>8</v>
      </c>
      <c r="BY759" s="27" t="s">
        <v>8</v>
      </c>
      <c r="BZ759" s="27" t="s">
        <v>7</v>
      </c>
      <c r="CA759" s="27" t="s">
        <v>8</v>
      </c>
      <c r="CB759" s="27" t="s">
        <v>7</v>
      </c>
      <c r="CC759" s="27" t="s">
        <v>8</v>
      </c>
      <c r="CD759" s="27" t="s">
        <v>7</v>
      </c>
      <c r="CE759" s="27" t="s">
        <v>8</v>
      </c>
      <c r="CK759" s="27" t="s">
        <v>8</v>
      </c>
      <c r="CL759" s="27" t="s">
        <v>7</v>
      </c>
      <c r="DY759" s="27" t="s">
        <v>8</v>
      </c>
      <c r="DZ759" s="27" t="s">
        <v>7</v>
      </c>
      <c r="EK759" s="27" t="s">
        <v>8</v>
      </c>
      <c r="EM759" s="27" t="s">
        <v>8</v>
      </c>
      <c r="ES759" s="27" t="s">
        <v>8</v>
      </c>
      <c r="ET759" s="27" t="s">
        <v>7</v>
      </c>
      <c r="EU759" s="27" t="s">
        <v>8</v>
      </c>
      <c r="FF759" s="27" t="s">
        <v>7</v>
      </c>
      <c r="FK759" s="27" t="s">
        <v>8</v>
      </c>
      <c r="FL759" s="27" t="s">
        <v>7</v>
      </c>
      <c r="FM759" s="27" t="s">
        <v>8</v>
      </c>
      <c r="FN759" s="27" t="s">
        <v>7</v>
      </c>
      <c r="FU759" s="27" t="s">
        <v>8</v>
      </c>
      <c r="FV759" s="27" t="s">
        <v>7</v>
      </c>
      <c r="GA759" s="27" t="s">
        <v>8</v>
      </c>
      <c r="GB759" s="27" t="s">
        <v>7</v>
      </c>
      <c r="GG759" s="27" t="s">
        <v>8</v>
      </c>
    </row>
    <row r="760" spans="1:191" x14ac:dyDescent="0.25">
      <c r="A760" s="7">
        <v>3.2521478785124451E-2</v>
      </c>
      <c r="B760"/>
      <c r="C760"/>
      <c r="D760"/>
      <c r="E760"/>
      <c r="AR760" s="27" t="s">
        <v>7</v>
      </c>
      <c r="BW760" s="27" t="s">
        <v>8</v>
      </c>
      <c r="BX760" s="27" t="s">
        <v>7</v>
      </c>
      <c r="BY760" s="27" t="s">
        <v>8</v>
      </c>
      <c r="BZ760" s="27" t="s">
        <v>7</v>
      </c>
      <c r="CA760" s="27" t="s">
        <v>8</v>
      </c>
      <c r="CB760" s="27" t="s">
        <v>7</v>
      </c>
      <c r="CC760" s="27" t="s">
        <v>8</v>
      </c>
      <c r="CD760" s="27" t="s">
        <v>7</v>
      </c>
      <c r="CE760" s="27" t="s">
        <v>8</v>
      </c>
      <c r="CF760" s="27" t="s">
        <v>7</v>
      </c>
      <c r="CK760" s="27" t="s">
        <v>8</v>
      </c>
      <c r="CL760" s="27" t="s">
        <v>7</v>
      </c>
      <c r="CM760" s="27" t="s">
        <v>8</v>
      </c>
      <c r="DY760" s="27" t="s">
        <v>8</v>
      </c>
      <c r="DZ760" s="27" t="s">
        <v>7</v>
      </c>
      <c r="EK760" s="27" t="s">
        <v>8</v>
      </c>
      <c r="EL760" s="27" t="s">
        <v>7</v>
      </c>
      <c r="EM760" s="27" t="s">
        <v>8</v>
      </c>
      <c r="EN760" s="27" t="s">
        <v>7</v>
      </c>
      <c r="EO760" s="27" t="s">
        <v>8</v>
      </c>
      <c r="ES760" s="27" t="s">
        <v>8</v>
      </c>
      <c r="ET760" s="27" t="s">
        <v>7</v>
      </c>
      <c r="FF760" s="27" t="s">
        <v>7</v>
      </c>
      <c r="FK760" s="27" t="s">
        <v>8</v>
      </c>
      <c r="FL760" s="27" t="s">
        <v>7</v>
      </c>
      <c r="FM760" s="27" t="s">
        <v>8</v>
      </c>
      <c r="FN760" s="27" t="s">
        <v>7</v>
      </c>
      <c r="FU760" s="27" t="s">
        <v>8</v>
      </c>
      <c r="FV760" s="27" t="s">
        <v>7</v>
      </c>
      <c r="GA760" s="27" t="s">
        <v>8</v>
      </c>
      <c r="GB760" s="27" t="s">
        <v>7</v>
      </c>
      <c r="GG760" s="27" t="s">
        <v>8</v>
      </c>
    </row>
    <row r="761" spans="1:191" x14ac:dyDescent="0.25">
      <c r="A761" s="7">
        <v>3.1883802730514173E-2</v>
      </c>
      <c r="B761"/>
      <c r="C761"/>
      <c r="D761"/>
      <c r="E761"/>
      <c r="AR761" s="27" t="s">
        <v>7</v>
      </c>
      <c r="AU761" s="27" t="s">
        <v>8</v>
      </c>
      <c r="AW761" s="27" t="s">
        <v>8</v>
      </c>
      <c r="BW761" s="27" t="s">
        <v>8</v>
      </c>
      <c r="BX761" s="27" t="s">
        <v>7</v>
      </c>
      <c r="BY761" s="27" t="s">
        <v>8</v>
      </c>
      <c r="BZ761" s="27" t="s">
        <v>7</v>
      </c>
      <c r="CA761" s="27" t="s">
        <v>8</v>
      </c>
      <c r="CB761" s="27" t="s">
        <v>7</v>
      </c>
      <c r="CC761" s="27" t="s">
        <v>8</v>
      </c>
      <c r="CD761" s="27" t="s">
        <v>7</v>
      </c>
      <c r="CE761" s="27" t="s">
        <v>8</v>
      </c>
      <c r="CF761" s="27" t="s">
        <v>7</v>
      </c>
      <c r="CK761" s="27" t="s">
        <v>8</v>
      </c>
      <c r="CL761" s="27" t="s">
        <v>7</v>
      </c>
      <c r="CM761" s="27" t="s">
        <v>8</v>
      </c>
      <c r="CN761" s="27" t="s">
        <v>7</v>
      </c>
      <c r="DW761" s="27" t="s">
        <v>8</v>
      </c>
      <c r="DY761" s="27" t="s">
        <v>8</v>
      </c>
      <c r="DZ761" s="27" t="s">
        <v>7</v>
      </c>
      <c r="EK761" s="27" t="s">
        <v>8</v>
      </c>
      <c r="EL761" s="27" t="s">
        <v>7</v>
      </c>
      <c r="EM761" s="27" t="s">
        <v>8</v>
      </c>
      <c r="EN761" s="27" t="s">
        <v>7</v>
      </c>
      <c r="EO761" s="27" t="s">
        <v>8</v>
      </c>
      <c r="EP761" s="27" t="s">
        <v>7</v>
      </c>
      <c r="ES761" s="27" t="s">
        <v>8</v>
      </c>
      <c r="FF761" s="27" t="s">
        <v>7</v>
      </c>
      <c r="FG761" s="27" t="s">
        <v>8</v>
      </c>
      <c r="FK761" s="27" t="s">
        <v>8</v>
      </c>
      <c r="FL761" s="27" t="s">
        <v>7</v>
      </c>
      <c r="FM761" s="27" t="s">
        <v>8</v>
      </c>
      <c r="FN761" s="27" t="s">
        <v>7</v>
      </c>
      <c r="FU761" s="27" t="s">
        <v>8</v>
      </c>
      <c r="FV761" s="27" t="s">
        <v>7</v>
      </c>
      <c r="GA761" s="27" t="s">
        <v>8</v>
      </c>
      <c r="GB761" s="27" t="s">
        <v>7</v>
      </c>
      <c r="GG761" s="27" t="s">
        <v>8</v>
      </c>
    </row>
    <row r="762" spans="1:191" x14ac:dyDescent="0.25">
      <c r="A762" s="7">
        <v>3.1258630127955073E-2</v>
      </c>
      <c r="B762"/>
      <c r="C762"/>
      <c r="D762"/>
      <c r="E762"/>
      <c r="AR762" s="27" t="s">
        <v>7</v>
      </c>
      <c r="AU762" s="27" t="s">
        <v>8</v>
      </c>
      <c r="AV762" s="27" t="s">
        <v>7</v>
      </c>
      <c r="AW762" s="27" t="s">
        <v>8</v>
      </c>
      <c r="AX762" s="27" t="s">
        <v>7</v>
      </c>
      <c r="BW762" s="27" t="s">
        <v>8</v>
      </c>
      <c r="BX762" s="27" t="s">
        <v>7</v>
      </c>
      <c r="BY762" s="27" t="s">
        <v>8</v>
      </c>
      <c r="BZ762" s="27" t="s">
        <v>7</v>
      </c>
      <c r="CB762" s="27" t="s">
        <v>7</v>
      </c>
      <c r="CC762" s="27" t="s">
        <v>8</v>
      </c>
      <c r="CD762" s="27" t="s">
        <v>7</v>
      </c>
      <c r="CE762" s="27" t="s">
        <v>8</v>
      </c>
      <c r="CF762" s="27" t="s">
        <v>7</v>
      </c>
      <c r="CG762" s="27" t="s">
        <v>8</v>
      </c>
      <c r="CK762" s="27" t="s">
        <v>8</v>
      </c>
      <c r="CL762" s="27" t="s">
        <v>7</v>
      </c>
      <c r="CM762" s="27" t="s">
        <v>8</v>
      </c>
      <c r="CN762" s="27" t="s">
        <v>7</v>
      </c>
      <c r="DW762" s="27" t="s">
        <v>8</v>
      </c>
      <c r="DX762" s="27" t="s">
        <v>7</v>
      </c>
      <c r="DY762" s="27" t="s">
        <v>8</v>
      </c>
      <c r="DZ762" s="27" t="s">
        <v>7</v>
      </c>
      <c r="EA762" s="27" t="s">
        <v>8</v>
      </c>
      <c r="EK762" s="27" t="s">
        <v>8</v>
      </c>
      <c r="EL762" s="27" t="s">
        <v>7</v>
      </c>
      <c r="EM762" s="27" t="s">
        <v>8</v>
      </c>
      <c r="EN762" s="27" t="s">
        <v>7</v>
      </c>
      <c r="EO762" s="27" t="s">
        <v>8</v>
      </c>
      <c r="EP762" s="27" t="s">
        <v>7</v>
      </c>
      <c r="ES762" s="27" t="s">
        <v>8</v>
      </c>
      <c r="FF762" s="27" t="s">
        <v>7</v>
      </c>
      <c r="FG762" s="27" t="s">
        <v>8</v>
      </c>
      <c r="FH762" s="27" t="s">
        <v>7</v>
      </c>
      <c r="FK762" s="27" t="s">
        <v>8</v>
      </c>
      <c r="FL762" s="27" t="s">
        <v>7</v>
      </c>
      <c r="FN762" s="27" t="s">
        <v>7</v>
      </c>
      <c r="FO762" s="27" t="s">
        <v>8</v>
      </c>
      <c r="FU762" s="27" t="s">
        <v>8</v>
      </c>
      <c r="FV762" s="27" t="s">
        <v>7</v>
      </c>
      <c r="GA762" s="27" t="s">
        <v>8</v>
      </c>
      <c r="GB762" s="27" t="s">
        <v>7</v>
      </c>
      <c r="GG762" s="27" t="s">
        <v>8</v>
      </c>
    </row>
    <row r="763" spans="1:191" x14ac:dyDescent="0.25">
      <c r="A763" s="7">
        <v>3.064571581172066E-2</v>
      </c>
      <c r="B763"/>
      <c r="C763"/>
      <c r="D763"/>
      <c r="E763"/>
      <c r="AR763" s="27" t="s">
        <v>7</v>
      </c>
      <c r="AU763" s="27" t="s">
        <v>8</v>
      </c>
      <c r="AV763" s="27" t="s">
        <v>7</v>
      </c>
      <c r="AW763" s="27" t="s">
        <v>8</v>
      </c>
      <c r="AX763" s="27" t="s">
        <v>7</v>
      </c>
      <c r="BW763" s="27" t="s">
        <v>8</v>
      </c>
      <c r="BX763" s="27" t="s">
        <v>7</v>
      </c>
      <c r="BY763" s="27" t="s">
        <v>8</v>
      </c>
      <c r="CB763" s="27" t="s">
        <v>7</v>
      </c>
      <c r="CD763" s="27" t="s">
        <v>7</v>
      </c>
      <c r="CE763" s="27" t="s">
        <v>8</v>
      </c>
      <c r="CF763" s="27" t="s">
        <v>7</v>
      </c>
      <c r="CG763" s="27" t="s">
        <v>8</v>
      </c>
      <c r="CH763" s="27" t="s">
        <v>7</v>
      </c>
      <c r="CK763" s="27" t="s">
        <v>8</v>
      </c>
      <c r="CL763" s="27" t="s">
        <v>7</v>
      </c>
      <c r="CM763" s="27" t="s">
        <v>8</v>
      </c>
      <c r="CN763" s="27" t="s">
        <v>7</v>
      </c>
      <c r="DU763" s="27" t="s">
        <v>8</v>
      </c>
      <c r="DW763" s="27" t="s">
        <v>8</v>
      </c>
      <c r="DX763" s="27" t="s">
        <v>7</v>
      </c>
      <c r="DY763" s="27" t="s">
        <v>8</v>
      </c>
      <c r="DZ763" s="27" t="s">
        <v>7</v>
      </c>
      <c r="EA763" s="27" t="s">
        <v>8</v>
      </c>
      <c r="EB763" s="27" t="s">
        <v>7</v>
      </c>
      <c r="EG763" s="27" t="s">
        <v>8</v>
      </c>
      <c r="EI763" s="27" t="s">
        <v>8</v>
      </c>
      <c r="EK763" s="27" t="s">
        <v>8</v>
      </c>
      <c r="EL763" s="27" t="s">
        <v>7</v>
      </c>
      <c r="EM763" s="27" t="s">
        <v>8</v>
      </c>
      <c r="EN763" s="27" t="s">
        <v>7</v>
      </c>
      <c r="EP763" s="27" t="s">
        <v>7</v>
      </c>
      <c r="EQ763" s="27" t="s">
        <v>8</v>
      </c>
      <c r="ES763" s="27" t="s">
        <v>8</v>
      </c>
      <c r="FF763" s="27" t="s">
        <v>7</v>
      </c>
      <c r="FG763" s="27" t="s">
        <v>8</v>
      </c>
      <c r="FH763" s="27" t="s">
        <v>7</v>
      </c>
      <c r="FK763" s="27" t="s">
        <v>8</v>
      </c>
      <c r="FN763" s="27" t="s">
        <v>7</v>
      </c>
      <c r="FO763" s="27" t="s">
        <v>8</v>
      </c>
      <c r="FP763" s="27" t="s">
        <v>7</v>
      </c>
      <c r="FU763" s="27" t="s">
        <v>8</v>
      </c>
      <c r="FV763" s="27" t="s">
        <v>7</v>
      </c>
      <c r="GA763" s="27" t="s">
        <v>8</v>
      </c>
      <c r="GB763" s="27" t="s">
        <v>7</v>
      </c>
      <c r="GG763" s="27" t="s">
        <v>8</v>
      </c>
    </row>
    <row r="764" spans="1:191" x14ac:dyDescent="0.25">
      <c r="A764" s="7">
        <v>3.0044819423255549E-2</v>
      </c>
      <c r="B764"/>
      <c r="C764"/>
      <c r="D764"/>
      <c r="E764"/>
      <c r="AR764" s="27" t="s">
        <v>7</v>
      </c>
      <c r="AU764" s="27" t="s">
        <v>8</v>
      </c>
      <c r="AV764" s="27" t="s">
        <v>7</v>
      </c>
      <c r="AW764" s="27" t="s">
        <v>8</v>
      </c>
      <c r="AX764" s="27" t="s">
        <v>7</v>
      </c>
      <c r="BS764" s="27" t="s">
        <v>8</v>
      </c>
      <c r="BW764" s="27" t="s">
        <v>8</v>
      </c>
      <c r="BX764" s="27" t="s">
        <v>7</v>
      </c>
      <c r="BY764" s="27" t="s">
        <v>8</v>
      </c>
      <c r="CD764" s="27" t="s">
        <v>7</v>
      </c>
      <c r="CE764" s="27" t="s">
        <v>8</v>
      </c>
      <c r="CF764" s="27" t="s">
        <v>7</v>
      </c>
      <c r="CG764" s="27" t="s">
        <v>8</v>
      </c>
      <c r="CH764" s="27" t="s">
        <v>7</v>
      </c>
      <c r="CK764" s="27" t="s">
        <v>8</v>
      </c>
      <c r="CL764" s="27" t="s">
        <v>7</v>
      </c>
      <c r="CM764" s="27" t="s">
        <v>8</v>
      </c>
      <c r="CN764" s="27" t="s">
        <v>7</v>
      </c>
      <c r="DU764" s="27" t="s">
        <v>8</v>
      </c>
      <c r="DV764" s="27" t="s">
        <v>7</v>
      </c>
      <c r="DW764" s="27" t="s">
        <v>8</v>
      </c>
      <c r="DX764" s="27" t="s">
        <v>7</v>
      </c>
      <c r="DY764" s="27" t="s">
        <v>8</v>
      </c>
      <c r="DZ764" s="27" t="s">
        <v>7</v>
      </c>
      <c r="EA764" s="27" t="s">
        <v>8</v>
      </c>
      <c r="EB764" s="27" t="s">
        <v>7</v>
      </c>
      <c r="EG764" s="27" t="s">
        <v>8</v>
      </c>
      <c r="EH764" s="27" t="s">
        <v>7</v>
      </c>
      <c r="EI764" s="27" t="s">
        <v>8</v>
      </c>
      <c r="EJ764" s="27" t="s">
        <v>7</v>
      </c>
      <c r="EK764" s="27" t="s">
        <v>8</v>
      </c>
      <c r="EL764" s="27" t="s">
        <v>7</v>
      </c>
      <c r="EP764" s="27" t="s">
        <v>7</v>
      </c>
      <c r="EQ764" s="27" t="s">
        <v>8</v>
      </c>
      <c r="ER764" s="27" t="s">
        <v>7</v>
      </c>
      <c r="ES764" s="27" t="s">
        <v>8</v>
      </c>
      <c r="FF764" s="27" t="s">
        <v>7</v>
      </c>
      <c r="FG764" s="27" t="s">
        <v>8</v>
      </c>
      <c r="FH764" s="27" t="s">
        <v>7</v>
      </c>
      <c r="FI764" s="27" t="s">
        <v>8</v>
      </c>
      <c r="FK764" s="27" t="s">
        <v>8</v>
      </c>
      <c r="FN764" s="27" t="s">
        <v>7</v>
      </c>
      <c r="FO764" s="27" t="s">
        <v>8</v>
      </c>
      <c r="FP764" s="27" t="s">
        <v>7</v>
      </c>
      <c r="FU764" s="27" t="s">
        <v>8</v>
      </c>
      <c r="FV764" s="27" t="s">
        <v>7</v>
      </c>
      <c r="GA764" s="27" t="s">
        <v>8</v>
      </c>
      <c r="GB764" s="27" t="s">
        <v>7</v>
      </c>
      <c r="GG764" s="27" t="s">
        <v>8</v>
      </c>
    </row>
    <row r="765" spans="1:191" x14ac:dyDescent="0.25">
      <c r="A765" s="7">
        <v>2.9455705316917203E-2</v>
      </c>
      <c r="B765"/>
      <c r="C765"/>
      <c r="D765"/>
      <c r="E765"/>
      <c r="AR765" s="27" t="s">
        <v>7</v>
      </c>
      <c r="AU765" s="27" t="s">
        <v>8</v>
      </c>
      <c r="AV765" s="27" t="s">
        <v>7</v>
      </c>
      <c r="AW765" s="27" t="s">
        <v>8</v>
      </c>
      <c r="AX765" s="27" t="s">
        <v>7</v>
      </c>
      <c r="BS765" s="27" t="s">
        <v>8</v>
      </c>
      <c r="BT765" s="27" t="s">
        <v>7</v>
      </c>
      <c r="BU765" s="27" t="s">
        <v>8</v>
      </c>
      <c r="BW765" s="27" t="s">
        <v>8</v>
      </c>
      <c r="BX765" s="27" t="s">
        <v>7</v>
      </c>
      <c r="BY765" s="27" t="s">
        <v>8</v>
      </c>
      <c r="CD765" s="27" t="s">
        <v>7</v>
      </c>
      <c r="CE765" s="27" t="s">
        <v>8</v>
      </c>
      <c r="CF765" s="27" t="s">
        <v>7</v>
      </c>
      <c r="CH765" s="27" t="s">
        <v>7</v>
      </c>
      <c r="CK765" s="27" t="s">
        <v>8</v>
      </c>
      <c r="CL765" s="27" t="s">
        <v>7</v>
      </c>
      <c r="CM765" s="27" t="s">
        <v>8</v>
      </c>
      <c r="CN765" s="27" t="s">
        <v>7</v>
      </c>
      <c r="DU765" s="27" t="s">
        <v>8</v>
      </c>
      <c r="DV765" s="27" t="s">
        <v>7</v>
      </c>
      <c r="DW765" s="27" t="s">
        <v>8</v>
      </c>
      <c r="DX765" s="27" t="s">
        <v>7</v>
      </c>
      <c r="DY765" s="27" t="s">
        <v>8</v>
      </c>
      <c r="DZ765" s="27" t="s">
        <v>7</v>
      </c>
      <c r="EA765" s="27" t="s">
        <v>8</v>
      </c>
      <c r="EB765" s="27" t="s">
        <v>7</v>
      </c>
      <c r="EE765" s="27" t="s">
        <v>8</v>
      </c>
      <c r="EG765" s="27" t="s">
        <v>8</v>
      </c>
      <c r="EH765" s="27" t="s">
        <v>7</v>
      </c>
      <c r="EI765" s="27" t="s">
        <v>8</v>
      </c>
      <c r="EJ765" s="27" t="s">
        <v>7</v>
      </c>
      <c r="EK765" s="27" t="s">
        <v>8</v>
      </c>
      <c r="EP765" s="27" t="s">
        <v>7</v>
      </c>
      <c r="EQ765" s="27" t="s">
        <v>8</v>
      </c>
      <c r="ER765" s="27" t="s">
        <v>7</v>
      </c>
      <c r="ES765" s="27" t="s">
        <v>8</v>
      </c>
      <c r="FF765" s="27" t="s">
        <v>7</v>
      </c>
      <c r="FG765" s="27" t="s">
        <v>8</v>
      </c>
      <c r="FH765" s="27" t="s">
        <v>7</v>
      </c>
      <c r="FI765" s="27" t="s">
        <v>8</v>
      </c>
      <c r="FJ765" s="27" t="s">
        <v>7</v>
      </c>
      <c r="FK765" s="27" t="s">
        <v>8</v>
      </c>
      <c r="FN765" s="27" t="s">
        <v>7</v>
      </c>
      <c r="FO765" s="27" t="s">
        <v>8</v>
      </c>
      <c r="FP765" s="27" t="s">
        <v>7</v>
      </c>
      <c r="FU765" s="27" t="s">
        <v>8</v>
      </c>
      <c r="FV765" s="27" t="s">
        <v>7</v>
      </c>
      <c r="FW765" s="27" t="s">
        <v>8</v>
      </c>
      <c r="GA765" s="27" t="s">
        <v>8</v>
      </c>
      <c r="GB765" s="27" t="s">
        <v>7</v>
      </c>
      <c r="GG765" s="27" t="s">
        <v>8</v>
      </c>
    </row>
    <row r="766" spans="1:191" x14ac:dyDescent="0.25">
      <c r="A766" s="7">
        <v>2.8878142467565884E-2</v>
      </c>
      <c r="B766"/>
      <c r="C766"/>
      <c r="D766"/>
      <c r="E766"/>
      <c r="AR766" s="27" t="s">
        <v>7</v>
      </c>
      <c r="AS766" s="27" t="s">
        <v>8</v>
      </c>
      <c r="AU766" s="27" t="s">
        <v>8</v>
      </c>
      <c r="AV766" s="27" t="s">
        <v>7</v>
      </c>
      <c r="AX766" s="27" t="s">
        <v>7</v>
      </c>
      <c r="BS766" s="27" t="s">
        <v>8</v>
      </c>
      <c r="BT766" s="27" t="s">
        <v>7</v>
      </c>
      <c r="BU766" s="27" t="s">
        <v>8</v>
      </c>
      <c r="BV766" s="27" t="s">
        <v>7</v>
      </c>
      <c r="BW766" s="27" t="s">
        <v>8</v>
      </c>
      <c r="BX766" s="27" t="s">
        <v>7</v>
      </c>
      <c r="CD766" s="27" t="s">
        <v>7</v>
      </c>
      <c r="CH766" s="27" t="s">
        <v>7</v>
      </c>
      <c r="CK766" s="27" t="s">
        <v>8</v>
      </c>
      <c r="CL766" s="27" t="s">
        <v>7</v>
      </c>
      <c r="CN766" s="27" t="s">
        <v>7</v>
      </c>
      <c r="DU766" s="27" t="s">
        <v>8</v>
      </c>
      <c r="DV766" s="27" t="s">
        <v>7</v>
      </c>
      <c r="DW766" s="27" t="s">
        <v>8</v>
      </c>
      <c r="DX766" s="27" t="s">
        <v>7</v>
      </c>
      <c r="DY766" s="27" t="s">
        <v>8</v>
      </c>
      <c r="DZ766" s="27" t="s">
        <v>7</v>
      </c>
      <c r="EB766" s="27" t="s">
        <v>7</v>
      </c>
      <c r="EE766" s="27" t="s">
        <v>8</v>
      </c>
      <c r="EF766" s="27" t="s">
        <v>7</v>
      </c>
      <c r="EG766" s="27" t="s">
        <v>8</v>
      </c>
      <c r="EH766" s="27" t="s">
        <v>7</v>
      </c>
      <c r="EI766" s="27" t="s">
        <v>8</v>
      </c>
      <c r="EJ766" s="27" t="s">
        <v>7</v>
      </c>
      <c r="EK766" s="27" t="s">
        <v>8</v>
      </c>
      <c r="EP766" s="27" t="s">
        <v>7</v>
      </c>
      <c r="EQ766" s="27" t="s">
        <v>8</v>
      </c>
      <c r="ER766" s="27" t="s">
        <v>7</v>
      </c>
      <c r="ES766" s="27" t="s">
        <v>8</v>
      </c>
      <c r="FF766" s="27" t="s">
        <v>7</v>
      </c>
      <c r="FH766" s="27" t="s">
        <v>7</v>
      </c>
      <c r="FI766" s="27" t="s">
        <v>8</v>
      </c>
      <c r="FJ766" s="27" t="s">
        <v>7</v>
      </c>
      <c r="FK766" s="27" t="s">
        <v>8</v>
      </c>
      <c r="FN766" s="27" t="s">
        <v>7</v>
      </c>
      <c r="FP766" s="27" t="s">
        <v>7</v>
      </c>
      <c r="FU766" s="27" t="s">
        <v>8</v>
      </c>
      <c r="FV766" s="27" t="s">
        <v>7</v>
      </c>
      <c r="FW766" s="27" t="s">
        <v>8</v>
      </c>
      <c r="FX766" s="27" t="s">
        <v>7</v>
      </c>
      <c r="GA766" s="27" t="s">
        <v>8</v>
      </c>
      <c r="GB766" s="27" t="s">
        <v>7</v>
      </c>
      <c r="GC766" s="27" t="s">
        <v>8</v>
      </c>
      <c r="GG766" s="27" t="s">
        <v>8</v>
      </c>
    </row>
    <row r="767" spans="1:191" x14ac:dyDescent="0.25">
      <c r="A767" s="7">
        <v>2.8311904379966554E-2</v>
      </c>
      <c r="B767"/>
      <c r="C767"/>
      <c r="D767"/>
      <c r="E767"/>
      <c r="AR767" s="27" t="s">
        <v>7</v>
      </c>
      <c r="AS767" s="27" t="s">
        <v>8</v>
      </c>
      <c r="AT767" s="27" t="s">
        <v>7</v>
      </c>
      <c r="AU767" s="27" t="s">
        <v>8</v>
      </c>
      <c r="AX767" s="27" t="s">
        <v>7</v>
      </c>
      <c r="BS767" s="27" t="s">
        <v>8</v>
      </c>
      <c r="BT767" s="27" t="s">
        <v>7</v>
      </c>
      <c r="BU767" s="27" t="s">
        <v>8</v>
      </c>
      <c r="BV767" s="27" t="s">
        <v>7</v>
      </c>
      <c r="BW767" s="27" t="s">
        <v>8</v>
      </c>
      <c r="CH767" s="27" t="s">
        <v>7</v>
      </c>
      <c r="CK767" s="27" t="s">
        <v>8</v>
      </c>
      <c r="CN767" s="27" t="s">
        <v>7</v>
      </c>
      <c r="DU767" s="27" t="s">
        <v>8</v>
      </c>
      <c r="DV767" s="27" t="s">
        <v>7</v>
      </c>
      <c r="DW767" s="27" t="s">
        <v>8</v>
      </c>
      <c r="DX767" s="27" t="s">
        <v>7</v>
      </c>
      <c r="DY767" s="27" t="s">
        <v>8</v>
      </c>
      <c r="EB767" s="27" t="s">
        <v>7</v>
      </c>
      <c r="EE767" s="27" t="s">
        <v>8</v>
      </c>
      <c r="EF767" s="27" t="s">
        <v>7</v>
      </c>
      <c r="EG767" s="27" t="s">
        <v>8</v>
      </c>
      <c r="EH767" s="27" t="s">
        <v>7</v>
      </c>
      <c r="EI767" s="27" t="s">
        <v>8</v>
      </c>
      <c r="EJ767" s="27" t="s">
        <v>7</v>
      </c>
      <c r="EK767" s="27" t="s">
        <v>8</v>
      </c>
      <c r="EP767" s="27" t="s">
        <v>7</v>
      </c>
      <c r="EQ767" s="27" t="s">
        <v>8</v>
      </c>
      <c r="ER767" s="27" t="s">
        <v>7</v>
      </c>
      <c r="ES767" s="27" t="s">
        <v>8</v>
      </c>
      <c r="FH767" s="27" t="s">
        <v>7</v>
      </c>
      <c r="FI767" s="27" t="s">
        <v>8</v>
      </c>
      <c r="FJ767" s="27" t="s">
        <v>7</v>
      </c>
      <c r="FK767" s="27" t="s">
        <v>8</v>
      </c>
      <c r="FP767" s="27" t="s">
        <v>7</v>
      </c>
      <c r="FU767" s="27" t="s">
        <v>8</v>
      </c>
      <c r="FV767" s="27" t="s">
        <v>7</v>
      </c>
      <c r="FW767" s="27" t="s">
        <v>8</v>
      </c>
      <c r="FX767" s="27" t="s">
        <v>7</v>
      </c>
      <c r="GA767" s="27" t="s">
        <v>8</v>
      </c>
      <c r="GB767" s="27" t="s">
        <v>7</v>
      </c>
      <c r="GC767" s="27" t="s">
        <v>8</v>
      </c>
      <c r="GD767" s="27" t="s">
        <v>7</v>
      </c>
      <c r="GG767" s="27" t="s">
        <v>8</v>
      </c>
    </row>
    <row r="768" spans="1:191" x14ac:dyDescent="0.25">
      <c r="A768" s="7">
        <v>2.7756768999967207E-2</v>
      </c>
      <c r="B768"/>
      <c r="C768"/>
      <c r="D768"/>
      <c r="E768"/>
      <c r="AR768" s="27" t="s">
        <v>7</v>
      </c>
      <c r="AS768" s="27" t="s">
        <v>8</v>
      </c>
      <c r="AT768" s="27" t="s">
        <v>7</v>
      </c>
      <c r="AU768" s="27" t="s">
        <v>8</v>
      </c>
      <c r="AX768" s="27" t="s">
        <v>7</v>
      </c>
      <c r="AY768" s="27" t="s">
        <v>8</v>
      </c>
      <c r="BS768" s="27" t="s">
        <v>8</v>
      </c>
      <c r="BT768" s="27" t="s">
        <v>7</v>
      </c>
      <c r="BU768" s="27" t="s">
        <v>8</v>
      </c>
      <c r="BV768" s="27" t="s">
        <v>7</v>
      </c>
      <c r="CH768" s="27" t="s">
        <v>7</v>
      </c>
      <c r="CI768" s="27" t="s">
        <v>8</v>
      </c>
      <c r="CK768" s="27" t="s">
        <v>8</v>
      </c>
      <c r="CN768" s="27" t="s">
        <v>7</v>
      </c>
      <c r="DU768" s="27" t="s">
        <v>8</v>
      </c>
      <c r="DV768" s="27" t="s">
        <v>7</v>
      </c>
      <c r="DW768" s="27" t="s">
        <v>8</v>
      </c>
      <c r="DX768" s="27" t="s">
        <v>7</v>
      </c>
      <c r="DY768" s="27" t="s">
        <v>8</v>
      </c>
      <c r="EB768" s="27" t="s">
        <v>7</v>
      </c>
      <c r="EE768" s="27" t="s">
        <v>8</v>
      </c>
      <c r="EF768" s="27" t="s">
        <v>7</v>
      </c>
      <c r="EG768" s="27" t="s">
        <v>8</v>
      </c>
      <c r="EH768" s="27" t="s">
        <v>7</v>
      </c>
      <c r="EJ768" s="27" t="s">
        <v>7</v>
      </c>
      <c r="EK768" s="27" t="s">
        <v>8</v>
      </c>
      <c r="EP768" s="27" t="s">
        <v>7</v>
      </c>
      <c r="EQ768" s="27" t="s">
        <v>8</v>
      </c>
      <c r="ER768" s="27" t="s">
        <v>7</v>
      </c>
      <c r="ES768" s="27" t="s">
        <v>8</v>
      </c>
      <c r="FH768" s="27" t="s">
        <v>7</v>
      </c>
      <c r="FI768" s="27" t="s">
        <v>8</v>
      </c>
      <c r="FJ768" s="27" t="s">
        <v>7</v>
      </c>
      <c r="FP768" s="27" t="s">
        <v>7</v>
      </c>
      <c r="FU768" s="27" t="s">
        <v>8</v>
      </c>
      <c r="FV768" s="27" t="s">
        <v>7</v>
      </c>
      <c r="FX768" s="27" t="s">
        <v>7</v>
      </c>
      <c r="FY768" s="27" t="s">
        <v>8</v>
      </c>
      <c r="GA768" s="27" t="s">
        <v>8</v>
      </c>
      <c r="GB768" s="27" t="s">
        <v>7</v>
      </c>
      <c r="GC768" s="27" t="s">
        <v>8</v>
      </c>
      <c r="GD768" s="27" t="s">
        <v>7</v>
      </c>
      <c r="GG768" s="27" t="s">
        <v>8</v>
      </c>
    </row>
    <row r="769" spans="1:189" x14ac:dyDescent="0.25">
      <c r="A769" s="7">
        <v>2.7212518627418834E-2</v>
      </c>
      <c r="B769"/>
      <c r="C769"/>
      <c r="D769"/>
      <c r="E769"/>
      <c r="AR769" s="27" t="s">
        <v>7</v>
      </c>
      <c r="AT769" s="27" t="s">
        <v>7</v>
      </c>
      <c r="AU769" s="27" t="s">
        <v>8</v>
      </c>
      <c r="AX769" s="27" t="s">
        <v>7</v>
      </c>
      <c r="AY769" s="27" t="s">
        <v>8</v>
      </c>
      <c r="AZ769" s="27" t="s">
        <v>7</v>
      </c>
      <c r="BS769" s="27" t="s">
        <v>8</v>
      </c>
      <c r="BT769" s="27" t="s">
        <v>7</v>
      </c>
      <c r="BU769" s="27" t="s">
        <v>8</v>
      </c>
      <c r="CH769" s="27" t="s">
        <v>7</v>
      </c>
      <c r="CI769" s="27" t="s">
        <v>8</v>
      </c>
      <c r="CJ769" s="27" t="s">
        <v>7</v>
      </c>
      <c r="CK769" s="27" t="s">
        <v>8</v>
      </c>
      <c r="CN769" s="27" t="s">
        <v>7</v>
      </c>
      <c r="CO769" s="27" t="s">
        <v>8</v>
      </c>
      <c r="DQ769" s="27" t="s">
        <v>8</v>
      </c>
      <c r="DU769" s="27" t="s">
        <v>8</v>
      </c>
      <c r="DV769" s="27" t="s">
        <v>7</v>
      </c>
      <c r="DW769" s="27" t="s">
        <v>8</v>
      </c>
      <c r="DX769" s="27" t="s">
        <v>7</v>
      </c>
      <c r="DY769" s="27" t="s">
        <v>8</v>
      </c>
      <c r="EB769" s="27" t="s">
        <v>7</v>
      </c>
      <c r="EC769" s="27" t="s">
        <v>8</v>
      </c>
      <c r="EE769" s="27" t="s">
        <v>8</v>
      </c>
      <c r="EF769" s="27" t="s">
        <v>7</v>
      </c>
      <c r="EJ769" s="27" t="s">
        <v>7</v>
      </c>
      <c r="EK769" s="27" t="s">
        <v>8</v>
      </c>
      <c r="EP769" s="27" t="s">
        <v>7</v>
      </c>
      <c r="EQ769" s="27" t="s">
        <v>8</v>
      </c>
      <c r="ER769" s="27" t="s">
        <v>7</v>
      </c>
      <c r="FH769" s="27" t="s">
        <v>7</v>
      </c>
      <c r="FI769" s="27" t="s">
        <v>8</v>
      </c>
      <c r="FP769" s="27" t="s">
        <v>7</v>
      </c>
      <c r="FQ769" s="27" t="s">
        <v>8</v>
      </c>
      <c r="FU769" s="27" t="s">
        <v>8</v>
      </c>
      <c r="FX769" s="27" t="s">
        <v>7</v>
      </c>
      <c r="FY769" s="27" t="s">
        <v>8</v>
      </c>
      <c r="FZ769" s="27" t="s">
        <v>7</v>
      </c>
      <c r="GA769" s="27" t="s">
        <v>8</v>
      </c>
      <c r="GB769" s="27" t="s">
        <v>7</v>
      </c>
      <c r="GC769" s="27" t="s">
        <v>8</v>
      </c>
      <c r="GD769" s="27" t="s">
        <v>7</v>
      </c>
      <c r="GG769" s="27" t="s">
        <v>8</v>
      </c>
    </row>
    <row r="770" spans="1:189" x14ac:dyDescent="0.25">
      <c r="A770" s="7">
        <v>2.6678939830802779E-2</v>
      </c>
      <c r="B770"/>
      <c r="C770"/>
      <c r="D770"/>
      <c r="E770"/>
      <c r="AT770" s="27" t="s">
        <v>7</v>
      </c>
      <c r="AU770" s="27" t="s">
        <v>8</v>
      </c>
      <c r="AX770" s="27" t="s">
        <v>7</v>
      </c>
      <c r="AY770" s="27" t="s">
        <v>8</v>
      </c>
      <c r="AZ770" s="27" t="s">
        <v>7</v>
      </c>
      <c r="BS770" s="27" t="s">
        <v>8</v>
      </c>
      <c r="BT770" s="27" t="s">
        <v>7</v>
      </c>
      <c r="BU770" s="27" t="s">
        <v>8</v>
      </c>
      <c r="CH770" s="27" t="s">
        <v>7</v>
      </c>
      <c r="CI770" s="27" t="s">
        <v>8</v>
      </c>
      <c r="CJ770" s="27" t="s">
        <v>7</v>
      </c>
      <c r="CK770" s="27" t="s">
        <v>8</v>
      </c>
      <c r="CN770" s="27" t="s">
        <v>7</v>
      </c>
      <c r="CO770" s="27" t="s">
        <v>8</v>
      </c>
      <c r="CP770" s="27" t="s">
        <v>7</v>
      </c>
      <c r="DM770" s="27" t="s">
        <v>8</v>
      </c>
      <c r="DQ770" s="27" t="s">
        <v>8</v>
      </c>
      <c r="DR770" s="27" t="s">
        <v>7</v>
      </c>
      <c r="DS770" s="27" t="s">
        <v>8</v>
      </c>
      <c r="DU770" s="27" t="s">
        <v>8</v>
      </c>
      <c r="DV770" s="27" t="s">
        <v>7</v>
      </c>
      <c r="DX770" s="27" t="s">
        <v>7</v>
      </c>
      <c r="DY770" s="27" t="s">
        <v>8</v>
      </c>
      <c r="EB770" s="27" t="s">
        <v>7</v>
      </c>
      <c r="EC770" s="27" t="s">
        <v>8</v>
      </c>
      <c r="ED770" s="27" t="s">
        <v>7</v>
      </c>
      <c r="EE770" s="27" t="s">
        <v>8</v>
      </c>
      <c r="EJ770" s="27" t="s">
        <v>7</v>
      </c>
      <c r="EP770" s="27" t="s">
        <v>7</v>
      </c>
      <c r="FH770" s="27" t="s">
        <v>7</v>
      </c>
      <c r="FP770" s="27" t="s">
        <v>7</v>
      </c>
      <c r="FQ770" s="27" t="s">
        <v>8</v>
      </c>
      <c r="FR770" s="27" t="s">
        <v>7</v>
      </c>
      <c r="FU770" s="27" t="s">
        <v>8</v>
      </c>
      <c r="FX770" s="27" t="s">
        <v>7</v>
      </c>
      <c r="FY770" s="27" t="s">
        <v>8</v>
      </c>
      <c r="FZ770" s="27" t="s">
        <v>7</v>
      </c>
      <c r="GA770" s="27" t="s">
        <v>8</v>
      </c>
      <c r="GB770" s="27" t="s">
        <v>7</v>
      </c>
      <c r="GD770" s="27" t="s">
        <v>7</v>
      </c>
      <c r="GG770" s="27" t="s">
        <v>8</v>
      </c>
    </row>
    <row r="771" spans="1:189" x14ac:dyDescent="0.25">
      <c r="A771" s="7">
        <v>2.615582336353214E-2</v>
      </c>
      <c r="B771"/>
      <c r="C771"/>
      <c r="D771"/>
      <c r="E771"/>
      <c r="AT771" s="27" t="s">
        <v>7</v>
      </c>
      <c r="AU771" s="27" t="s">
        <v>8</v>
      </c>
      <c r="AX771" s="27" t="s">
        <v>7</v>
      </c>
      <c r="AY771" s="27" t="s">
        <v>8</v>
      </c>
      <c r="AZ771" s="27" t="s">
        <v>7</v>
      </c>
      <c r="BS771" s="27" t="s">
        <v>8</v>
      </c>
      <c r="BT771" s="27" t="s">
        <v>7</v>
      </c>
      <c r="CH771" s="27" t="s">
        <v>7</v>
      </c>
      <c r="CI771" s="27" t="s">
        <v>8</v>
      </c>
      <c r="CJ771" s="27" t="s">
        <v>7</v>
      </c>
      <c r="CK771" s="27" t="s">
        <v>8</v>
      </c>
      <c r="CN771" s="27" t="s">
        <v>7</v>
      </c>
      <c r="CO771" s="27" t="s">
        <v>8</v>
      </c>
      <c r="CP771" s="27" t="s">
        <v>7</v>
      </c>
      <c r="DM771" s="27" t="s">
        <v>8</v>
      </c>
      <c r="DN771" s="27" t="s">
        <v>7</v>
      </c>
      <c r="DO771" s="27" t="s">
        <v>8</v>
      </c>
      <c r="DQ771" s="27" t="s">
        <v>8</v>
      </c>
      <c r="DR771" s="27" t="s">
        <v>7</v>
      </c>
      <c r="DS771" s="27" t="s">
        <v>8</v>
      </c>
      <c r="DT771" s="27" t="s">
        <v>7</v>
      </c>
      <c r="DU771" s="27" t="s">
        <v>8</v>
      </c>
      <c r="DX771" s="27" t="s">
        <v>7</v>
      </c>
      <c r="DY771" s="27" t="s">
        <v>8</v>
      </c>
      <c r="EB771" s="27" t="s">
        <v>7</v>
      </c>
      <c r="EC771" s="27" t="s">
        <v>8</v>
      </c>
      <c r="ED771" s="27" t="s">
        <v>7</v>
      </c>
      <c r="EE771" s="27" t="s">
        <v>8</v>
      </c>
      <c r="FP771" s="27" t="s">
        <v>7</v>
      </c>
      <c r="FQ771" s="27" t="s">
        <v>8</v>
      </c>
      <c r="FR771" s="27" t="s">
        <v>7</v>
      </c>
      <c r="FU771" s="27" t="s">
        <v>8</v>
      </c>
      <c r="FX771" s="27" t="s">
        <v>7</v>
      </c>
      <c r="FY771" s="27" t="s">
        <v>8</v>
      </c>
      <c r="FZ771" s="27" t="s">
        <v>7</v>
      </c>
      <c r="GA771" s="27" t="s">
        <v>8</v>
      </c>
      <c r="GD771" s="27" t="s">
        <v>7</v>
      </c>
      <c r="GE771" s="27" t="s">
        <v>8</v>
      </c>
      <c r="GG771" s="27" t="s">
        <v>8</v>
      </c>
    </row>
    <row r="772" spans="1:189" x14ac:dyDescent="0.25">
      <c r="A772" s="7">
        <v>2.5642964081894253E-2</v>
      </c>
      <c r="B772"/>
      <c r="C772"/>
      <c r="D772"/>
      <c r="E772"/>
      <c r="AT772" s="27" t="s">
        <v>7</v>
      </c>
      <c r="AU772" s="27" t="s">
        <v>8</v>
      </c>
      <c r="AX772" s="27" t="s">
        <v>7</v>
      </c>
      <c r="AZ772" s="27" t="s">
        <v>7</v>
      </c>
      <c r="BA772" s="27" t="s">
        <v>8</v>
      </c>
      <c r="BQ772" s="27" t="s">
        <v>8</v>
      </c>
      <c r="BS772" s="27" t="s">
        <v>8</v>
      </c>
      <c r="CH772" s="27" t="s">
        <v>7</v>
      </c>
      <c r="CI772" s="27" t="s">
        <v>8</v>
      </c>
      <c r="CJ772" s="27" t="s">
        <v>7</v>
      </c>
      <c r="CK772" s="27" t="s">
        <v>8</v>
      </c>
      <c r="CN772" s="27" t="s">
        <v>7</v>
      </c>
      <c r="CO772" s="27" t="s">
        <v>8</v>
      </c>
      <c r="CP772" s="27" t="s">
        <v>7</v>
      </c>
      <c r="DM772" s="27" t="s">
        <v>8</v>
      </c>
      <c r="DN772" s="27" t="s">
        <v>7</v>
      </c>
      <c r="DO772" s="27" t="s">
        <v>8</v>
      </c>
      <c r="DP772" s="27" t="s">
        <v>7</v>
      </c>
      <c r="DQ772" s="27" t="s">
        <v>8</v>
      </c>
      <c r="DR772" s="27" t="s">
        <v>7</v>
      </c>
      <c r="DS772" s="27" t="s">
        <v>8</v>
      </c>
      <c r="DT772" s="27" t="s">
        <v>7</v>
      </c>
      <c r="DU772" s="27" t="s">
        <v>8</v>
      </c>
      <c r="DX772" s="27" t="s">
        <v>7</v>
      </c>
      <c r="DY772" s="27" t="s">
        <v>8</v>
      </c>
      <c r="EB772" s="27" t="s">
        <v>7</v>
      </c>
      <c r="EC772" s="27" t="s">
        <v>8</v>
      </c>
      <c r="ED772" s="27" t="s">
        <v>7</v>
      </c>
      <c r="FP772" s="27" t="s">
        <v>7</v>
      </c>
      <c r="FQ772" s="27" t="s">
        <v>8</v>
      </c>
      <c r="FR772" s="27" t="s">
        <v>7</v>
      </c>
      <c r="FS772" s="27" t="s">
        <v>8</v>
      </c>
      <c r="FU772" s="27" t="s">
        <v>8</v>
      </c>
      <c r="FX772" s="27" t="s">
        <v>7</v>
      </c>
      <c r="FY772" s="27" t="s">
        <v>8</v>
      </c>
      <c r="FZ772" s="27" t="s">
        <v>7</v>
      </c>
      <c r="GA772" s="27" t="s">
        <v>8</v>
      </c>
      <c r="GD772" s="27" t="s">
        <v>7</v>
      </c>
      <c r="GE772" s="27" t="s">
        <v>8</v>
      </c>
      <c r="GF772" s="27" t="s">
        <v>7</v>
      </c>
      <c r="GG772" s="27" t="s">
        <v>8</v>
      </c>
    </row>
    <row r="773" spans="1:189" x14ac:dyDescent="0.25">
      <c r="A773" s="7">
        <v>2.5140160864602207E-2</v>
      </c>
      <c r="B773"/>
      <c r="C773"/>
      <c r="D773"/>
      <c r="E773"/>
      <c r="AT773" s="27" t="s">
        <v>7</v>
      </c>
      <c r="AU773" s="27" t="s">
        <v>8</v>
      </c>
      <c r="AZ773" s="27" t="s">
        <v>7</v>
      </c>
      <c r="BA773" s="27" t="s">
        <v>8</v>
      </c>
      <c r="BB773" s="27" t="s">
        <v>7</v>
      </c>
      <c r="BQ773" s="27" t="s">
        <v>8</v>
      </c>
      <c r="BR773" s="27" t="s">
        <v>7</v>
      </c>
      <c r="BS773" s="27" t="s">
        <v>8</v>
      </c>
      <c r="CH773" s="27" t="s">
        <v>7</v>
      </c>
      <c r="CI773" s="27" t="s">
        <v>8</v>
      </c>
      <c r="CJ773" s="27" t="s">
        <v>7</v>
      </c>
      <c r="CK773" s="27" t="s">
        <v>8</v>
      </c>
      <c r="CN773" s="27" t="s">
        <v>7</v>
      </c>
      <c r="CO773" s="27" t="s">
        <v>8</v>
      </c>
      <c r="CP773" s="27" t="s">
        <v>7</v>
      </c>
      <c r="DG773" s="27" t="s">
        <v>8</v>
      </c>
      <c r="DM773" s="27" t="s">
        <v>8</v>
      </c>
      <c r="DN773" s="27" t="s">
        <v>7</v>
      </c>
      <c r="DO773" s="27" t="s">
        <v>8</v>
      </c>
      <c r="DP773" s="27" t="s">
        <v>7</v>
      </c>
      <c r="DQ773" s="27" t="s">
        <v>8</v>
      </c>
      <c r="DR773" s="27" t="s">
        <v>7</v>
      </c>
      <c r="DS773" s="27" t="s">
        <v>8</v>
      </c>
      <c r="DT773" s="27" t="s">
        <v>7</v>
      </c>
      <c r="DU773" s="27" t="s">
        <v>8</v>
      </c>
      <c r="DX773" s="27" t="s">
        <v>7</v>
      </c>
      <c r="EB773" s="27" t="s">
        <v>7</v>
      </c>
      <c r="EC773" s="27" t="s">
        <v>8</v>
      </c>
      <c r="FP773" s="27" t="s">
        <v>7</v>
      </c>
      <c r="FQ773" s="27" t="s">
        <v>8</v>
      </c>
      <c r="FR773" s="27" t="s">
        <v>7</v>
      </c>
      <c r="FS773" s="27" t="s">
        <v>8</v>
      </c>
      <c r="FT773" s="27" t="s">
        <v>7</v>
      </c>
      <c r="FU773" s="27" t="s">
        <v>8</v>
      </c>
      <c r="FX773" s="27" t="s">
        <v>7</v>
      </c>
      <c r="FZ773" s="27" t="s">
        <v>7</v>
      </c>
      <c r="GD773" s="27" t="s">
        <v>7</v>
      </c>
      <c r="GE773" s="27" t="s">
        <v>8</v>
      </c>
      <c r="GF773" s="27" t="s">
        <v>7</v>
      </c>
      <c r="GG773" s="27" t="s">
        <v>8</v>
      </c>
    </row>
    <row r="774" spans="1:189" x14ac:dyDescent="0.25">
      <c r="A774" s="7">
        <v>2.4647216533923735E-2</v>
      </c>
      <c r="B774"/>
      <c r="C774"/>
      <c r="D774"/>
      <c r="E774"/>
      <c r="AT774" s="27" t="s">
        <v>7</v>
      </c>
      <c r="AU774" s="27" t="s">
        <v>8</v>
      </c>
      <c r="AZ774" s="27" t="s">
        <v>7</v>
      </c>
      <c r="BA774" s="27" t="s">
        <v>8</v>
      </c>
      <c r="BB774" s="27" t="s">
        <v>7</v>
      </c>
      <c r="BQ774" s="27" t="s">
        <v>8</v>
      </c>
      <c r="BR774" s="27" t="s">
        <v>7</v>
      </c>
      <c r="BS774" s="27" t="s">
        <v>8</v>
      </c>
      <c r="CH774" s="27" t="s">
        <v>7</v>
      </c>
      <c r="CI774" s="27" t="s">
        <v>8</v>
      </c>
      <c r="CJ774" s="27" t="s">
        <v>7</v>
      </c>
      <c r="CK774" s="27" t="s">
        <v>8</v>
      </c>
      <c r="CN774" s="27" t="s">
        <v>7</v>
      </c>
      <c r="CP774" s="27" t="s">
        <v>7</v>
      </c>
      <c r="DG774" s="27" t="s">
        <v>8</v>
      </c>
      <c r="DH774" s="27" t="s">
        <v>7</v>
      </c>
      <c r="DM774" s="27" t="s">
        <v>8</v>
      </c>
      <c r="DN774" s="27" t="s">
        <v>7</v>
      </c>
      <c r="DO774" s="27" t="s">
        <v>8</v>
      </c>
      <c r="DP774" s="27" t="s">
        <v>7</v>
      </c>
      <c r="DQ774" s="27" t="s">
        <v>8</v>
      </c>
      <c r="DR774" s="27" t="s">
        <v>7</v>
      </c>
      <c r="DS774" s="27" t="s">
        <v>8</v>
      </c>
      <c r="DT774" s="27" t="s">
        <v>7</v>
      </c>
      <c r="EB774" s="27" t="s">
        <v>7</v>
      </c>
      <c r="FP774" s="27" t="s">
        <v>7</v>
      </c>
      <c r="FQ774" s="27" t="s">
        <v>8</v>
      </c>
      <c r="FR774" s="27" t="s">
        <v>7</v>
      </c>
      <c r="FS774" s="27" t="s">
        <v>8</v>
      </c>
      <c r="FT774" s="27" t="s">
        <v>7</v>
      </c>
      <c r="FU774" s="27" t="s">
        <v>8</v>
      </c>
      <c r="GD774" s="27" t="s">
        <v>7</v>
      </c>
      <c r="GF774" s="27" t="s">
        <v>7</v>
      </c>
      <c r="GG774" s="27" t="s">
        <v>8</v>
      </c>
    </row>
    <row r="775" spans="1:189" x14ac:dyDescent="0.25">
      <c r="A775" s="7">
        <v>2.4163937778356601E-2</v>
      </c>
      <c r="B775"/>
      <c r="C775"/>
      <c r="D775"/>
      <c r="E775"/>
      <c r="AT775" s="27" t="s">
        <v>7</v>
      </c>
      <c r="AU775" s="27" t="s">
        <v>8</v>
      </c>
      <c r="AZ775" s="27" t="s">
        <v>7</v>
      </c>
      <c r="BA775" s="27" t="s">
        <v>8</v>
      </c>
      <c r="BB775" s="27" t="s">
        <v>7</v>
      </c>
      <c r="BQ775" s="27" t="s">
        <v>8</v>
      </c>
      <c r="BR775" s="27" t="s">
        <v>7</v>
      </c>
      <c r="BS775" s="27" t="s">
        <v>8</v>
      </c>
      <c r="CH775" s="27" t="s">
        <v>7</v>
      </c>
      <c r="CI775" s="27" t="s">
        <v>8</v>
      </c>
      <c r="CJ775" s="27" t="s">
        <v>7</v>
      </c>
      <c r="CK775" s="27" t="s">
        <v>8</v>
      </c>
      <c r="CP775" s="27" t="s">
        <v>7</v>
      </c>
      <c r="DG775" s="27" t="s">
        <v>8</v>
      </c>
      <c r="DH775" s="27" t="s">
        <v>7</v>
      </c>
      <c r="DM775" s="27" t="s">
        <v>8</v>
      </c>
      <c r="DN775" s="27" t="s">
        <v>7</v>
      </c>
      <c r="DO775" s="27" t="s">
        <v>8</v>
      </c>
      <c r="DP775" s="27" t="s">
        <v>7</v>
      </c>
      <c r="DQ775" s="27" t="s">
        <v>8</v>
      </c>
      <c r="DR775" s="27" t="s">
        <v>7</v>
      </c>
      <c r="FP775" s="27" t="s">
        <v>7</v>
      </c>
      <c r="FQ775" s="27" t="s">
        <v>8</v>
      </c>
      <c r="FR775" s="27" t="s">
        <v>7</v>
      </c>
      <c r="FT775" s="27" t="s">
        <v>7</v>
      </c>
      <c r="FU775" s="27" t="s">
        <v>8</v>
      </c>
      <c r="GF775" s="27" t="s">
        <v>7</v>
      </c>
      <c r="GG775" s="27" t="s">
        <v>8</v>
      </c>
    </row>
    <row r="776" spans="1:189" x14ac:dyDescent="0.25">
      <c r="A776" s="7">
        <v>2.3690135076820197E-2</v>
      </c>
      <c r="B776"/>
      <c r="C776"/>
      <c r="D776"/>
      <c r="E776"/>
      <c r="AT776" s="27" t="s">
        <v>7</v>
      </c>
      <c r="AZ776" s="27" t="s">
        <v>7</v>
      </c>
      <c r="BA776" s="27" t="s">
        <v>8</v>
      </c>
      <c r="BB776" s="27" t="s">
        <v>7</v>
      </c>
      <c r="BQ776" s="27" t="s">
        <v>8</v>
      </c>
      <c r="BR776" s="27" t="s">
        <v>7</v>
      </c>
      <c r="BS776" s="27" t="s">
        <v>8</v>
      </c>
      <c r="CH776" s="27" t="s">
        <v>7</v>
      </c>
      <c r="CI776" s="27" t="s">
        <v>8</v>
      </c>
      <c r="CJ776" s="27" t="s">
        <v>7</v>
      </c>
      <c r="CK776" s="27" t="s">
        <v>8</v>
      </c>
      <c r="CP776" s="27" t="s">
        <v>7</v>
      </c>
      <c r="DG776" s="27" t="s">
        <v>8</v>
      </c>
      <c r="DH776" s="27" t="s">
        <v>7</v>
      </c>
      <c r="DK776" s="27" t="s">
        <v>8</v>
      </c>
      <c r="DM776" s="27" t="s">
        <v>8</v>
      </c>
      <c r="DN776" s="27" t="s">
        <v>7</v>
      </c>
      <c r="DO776" s="27" t="s">
        <v>8</v>
      </c>
      <c r="DP776" s="27" t="s">
        <v>7</v>
      </c>
      <c r="DQ776" s="27" t="s">
        <v>8</v>
      </c>
      <c r="FP776" s="27" t="s">
        <v>7</v>
      </c>
      <c r="FT776" s="27" t="s">
        <v>7</v>
      </c>
      <c r="FU776" s="27" t="s">
        <v>8</v>
      </c>
      <c r="GF776" s="27" t="s">
        <v>7</v>
      </c>
    </row>
    <row r="777" spans="1:189" x14ac:dyDescent="0.25">
      <c r="A777" s="7">
        <v>2.3225622624333527E-2</v>
      </c>
      <c r="B777"/>
      <c r="C777"/>
      <c r="D777"/>
      <c r="E777"/>
      <c r="AZ777" s="27" t="s">
        <v>7</v>
      </c>
      <c r="BB777" s="27" t="s">
        <v>7</v>
      </c>
      <c r="BQ777" s="27" t="s">
        <v>8</v>
      </c>
      <c r="BR777" s="27" t="s">
        <v>7</v>
      </c>
      <c r="BS777" s="27" t="s">
        <v>8</v>
      </c>
      <c r="CH777" s="27" t="s">
        <v>7</v>
      </c>
      <c r="CI777" s="27" t="s">
        <v>8</v>
      </c>
      <c r="CJ777" s="27" t="s">
        <v>7</v>
      </c>
      <c r="CP777" s="27" t="s">
        <v>7</v>
      </c>
      <c r="DG777" s="27" t="s">
        <v>8</v>
      </c>
      <c r="DH777" s="27" t="s">
        <v>7</v>
      </c>
      <c r="DK777" s="27" t="s">
        <v>8</v>
      </c>
      <c r="DL777" s="27" t="s">
        <v>7</v>
      </c>
      <c r="DM777" s="27" t="s">
        <v>8</v>
      </c>
      <c r="DN777" s="27" t="s">
        <v>7</v>
      </c>
      <c r="DP777" s="27" t="s">
        <v>7</v>
      </c>
      <c r="DQ777" s="27" t="s">
        <v>8</v>
      </c>
      <c r="FT777" s="27" t="s">
        <v>7</v>
      </c>
      <c r="FU777" s="27" t="s">
        <v>8</v>
      </c>
    </row>
    <row r="778" spans="1:189" x14ac:dyDescent="0.25">
      <c r="A778" s="7">
        <v>2.2770218259150519E-2</v>
      </c>
      <c r="B778"/>
      <c r="C778"/>
      <c r="D778"/>
      <c r="E778"/>
      <c r="BB778" s="27" t="s">
        <v>7</v>
      </c>
      <c r="BQ778" s="27" t="s">
        <v>8</v>
      </c>
      <c r="BR778" s="27" t="s">
        <v>7</v>
      </c>
      <c r="BS778" s="27" t="s">
        <v>8</v>
      </c>
      <c r="CH778" s="27" t="s">
        <v>7</v>
      </c>
      <c r="CI778" s="27" t="s">
        <v>8</v>
      </c>
      <c r="CP778" s="27" t="s">
        <v>7</v>
      </c>
      <c r="DG778" s="27" t="s">
        <v>8</v>
      </c>
      <c r="DH778" s="27" t="s">
        <v>7</v>
      </c>
      <c r="DI778" s="27" t="s">
        <v>8</v>
      </c>
      <c r="DK778" s="27" t="s">
        <v>8</v>
      </c>
      <c r="DL778" s="27" t="s">
        <v>7</v>
      </c>
      <c r="DM778" s="27" t="s">
        <v>8</v>
      </c>
      <c r="DP778" s="27" t="s">
        <v>7</v>
      </c>
      <c r="FT778" s="27" t="s">
        <v>7</v>
      </c>
      <c r="FU778" s="27" t="s">
        <v>8</v>
      </c>
    </row>
    <row r="779" spans="1:189" x14ac:dyDescent="0.25">
      <c r="A779" s="7">
        <v>2.2323743391324039E-2</v>
      </c>
      <c r="B779"/>
      <c r="C779"/>
      <c r="D779"/>
      <c r="E779"/>
      <c r="BB779" s="27" t="s">
        <v>7</v>
      </c>
      <c r="BO779" s="27" t="s">
        <v>8</v>
      </c>
      <c r="BQ779" s="27" t="s">
        <v>8</v>
      </c>
      <c r="BR779" s="27" t="s">
        <v>7</v>
      </c>
      <c r="BS779" s="27" t="s">
        <v>8</v>
      </c>
      <c r="CH779" s="27" t="s">
        <v>7</v>
      </c>
      <c r="CI779" s="27" t="s">
        <v>8</v>
      </c>
      <c r="CP779" s="27" t="s">
        <v>7</v>
      </c>
      <c r="DG779" s="27" t="s">
        <v>8</v>
      </c>
      <c r="DH779" s="27" t="s">
        <v>7</v>
      </c>
      <c r="DI779" s="27" t="s">
        <v>8</v>
      </c>
      <c r="DJ779" s="27" t="s">
        <v>7</v>
      </c>
      <c r="DK779" s="27" t="s">
        <v>8</v>
      </c>
      <c r="DL779" s="27" t="s">
        <v>7</v>
      </c>
      <c r="DM779" s="27" t="s">
        <v>8</v>
      </c>
      <c r="FT779" s="27" t="s">
        <v>7</v>
      </c>
    </row>
    <row r="780" spans="1:189" x14ac:dyDescent="0.25">
      <c r="A780" s="7">
        <v>2.188602293267063E-2</v>
      </c>
      <c r="B780"/>
      <c r="C780"/>
      <c r="D780"/>
      <c r="E780"/>
      <c r="BB780" s="27" t="s">
        <v>7</v>
      </c>
      <c r="BO780" s="27" t="s">
        <v>8</v>
      </c>
      <c r="BP780" s="27" t="s">
        <v>7</v>
      </c>
      <c r="BQ780" s="27" t="s">
        <v>8</v>
      </c>
      <c r="BR780" s="27" t="s">
        <v>7</v>
      </c>
      <c r="BS780" s="27" t="s">
        <v>8</v>
      </c>
      <c r="CH780" s="27" t="s">
        <v>7</v>
      </c>
      <c r="CI780" s="27" t="s">
        <v>8</v>
      </c>
      <c r="CP780" s="27" t="s">
        <v>7</v>
      </c>
      <c r="DC780" s="27" t="s">
        <v>8</v>
      </c>
      <c r="DG780" s="27" t="s">
        <v>8</v>
      </c>
      <c r="DH780" s="27" t="s">
        <v>7</v>
      </c>
      <c r="DI780" s="27" t="s">
        <v>8</v>
      </c>
      <c r="DJ780" s="27" t="s">
        <v>7</v>
      </c>
      <c r="DK780" s="27" t="s">
        <v>8</v>
      </c>
      <c r="DL780" s="27" t="s">
        <v>7</v>
      </c>
      <c r="DM780" s="27" t="s">
        <v>8</v>
      </c>
    </row>
    <row r="781" spans="1:189" x14ac:dyDescent="0.25">
      <c r="A781" s="7">
        <v>2.1456885228108461E-2</v>
      </c>
      <c r="B781"/>
      <c r="C781"/>
      <c r="D781"/>
      <c r="E781"/>
      <c r="BB781" s="27" t="s">
        <v>7</v>
      </c>
      <c r="BG781" s="27" t="s">
        <v>8</v>
      </c>
      <c r="BM781" s="27" t="s">
        <v>8</v>
      </c>
      <c r="BO781" s="27" t="s">
        <v>8</v>
      </c>
      <c r="BP781" s="27" t="s">
        <v>7</v>
      </c>
      <c r="BQ781" s="27" t="s">
        <v>8</v>
      </c>
      <c r="BR781" s="27" t="s">
        <v>7</v>
      </c>
      <c r="BS781" s="27" t="s">
        <v>8</v>
      </c>
      <c r="CH781" s="27" t="s">
        <v>7</v>
      </c>
      <c r="CP781" s="27" t="s">
        <v>7</v>
      </c>
      <c r="DC781" s="27" t="s">
        <v>8</v>
      </c>
      <c r="DD781" s="27" t="s">
        <v>7</v>
      </c>
      <c r="DG781" s="27" t="s">
        <v>8</v>
      </c>
      <c r="DH781" s="27" t="s">
        <v>7</v>
      </c>
      <c r="DI781" s="27" t="s">
        <v>8</v>
      </c>
      <c r="DJ781" s="27" t="s">
        <v>7</v>
      </c>
      <c r="DK781" s="27" t="s">
        <v>8</v>
      </c>
      <c r="DL781" s="27" t="s">
        <v>7</v>
      </c>
      <c r="DM781" s="27" t="s">
        <v>8</v>
      </c>
    </row>
    <row r="782" spans="1:189" x14ac:dyDescent="0.25">
      <c r="A782" s="7">
        <v>2.1036161988341632E-2</v>
      </c>
      <c r="B782"/>
      <c r="C782"/>
      <c r="D782"/>
      <c r="E782"/>
      <c r="BB782" s="27" t="s">
        <v>7</v>
      </c>
      <c r="BG782" s="27" t="s">
        <v>8</v>
      </c>
      <c r="BH782" s="27" t="s">
        <v>7</v>
      </c>
      <c r="BM782" s="27" t="s">
        <v>8</v>
      </c>
      <c r="BN782" s="27" t="s">
        <v>7</v>
      </c>
      <c r="BO782" s="27" t="s">
        <v>8</v>
      </c>
      <c r="BP782" s="27" t="s">
        <v>7</v>
      </c>
      <c r="BQ782" s="27" t="s">
        <v>8</v>
      </c>
      <c r="BR782" s="27" t="s">
        <v>7</v>
      </c>
      <c r="CP782" s="27" t="s">
        <v>7</v>
      </c>
      <c r="DC782" s="27" t="s">
        <v>8</v>
      </c>
      <c r="DD782" s="27" t="s">
        <v>7</v>
      </c>
      <c r="DG782" s="27" t="s">
        <v>8</v>
      </c>
      <c r="DH782" s="27" t="s">
        <v>7</v>
      </c>
      <c r="DI782" s="27" t="s">
        <v>8</v>
      </c>
      <c r="DJ782" s="27" t="s">
        <v>7</v>
      </c>
      <c r="DL782" s="27" t="s">
        <v>7</v>
      </c>
      <c r="DM782" s="27" t="s">
        <v>8</v>
      </c>
    </row>
    <row r="783" spans="1:189" x14ac:dyDescent="0.25">
      <c r="A783" s="7">
        <v>2.0623688223864345E-2</v>
      </c>
      <c r="B783"/>
      <c r="C783"/>
      <c r="D783"/>
      <c r="E783"/>
      <c r="BB783" s="27" t="s">
        <v>7</v>
      </c>
      <c r="BG783" s="27" t="s">
        <v>8</v>
      </c>
      <c r="BH783" s="27" t="s">
        <v>7</v>
      </c>
      <c r="BI783" s="27" t="s">
        <v>8</v>
      </c>
      <c r="BM783" s="27" t="s">
        <v>8</v>
      </c>
      <c r="BN783" s="27" t="s">
        <v>7</v>
      </c>
      <c r="BO783" s="27" t="s">
        <v>8</v>
      </c>
      <c r="BP783" s="27" t="s">
        <v>7</v>
      </c>
      <c r="BQ783" s="27" t="s">
        <v>8</v>
      </c>
      <c r="CP783" s="27" t="s">
        <v>7</v>
      </c>
      <c r="CU783" s="27" t="s">
        <v>8</v>
      </c>
      <c r="DC783" s="27" t="s">
        <v>8</v>
      </c>
      <c r="DD783" s="27" t="s">
        <v>7</v>
      </c>
      <c r="DG783" s="27" t="s">
        <v>8</v>
      </c>
      <c r="DH783" s="27" t="s">
        <v>7</v>
      </c>
      <c r="DL783" s="27" t="s">
        <v>7</v>
      </c>
      <c r="DM783" s="27" t="s">
        <v>8</v>
      </c>
    </row>
    <row r="784" spans="1:189" x14ac:dyDescent="0.25">
      <c r="A784" s="7">
        <v>2.021930218025916E-2</v>
      </c>
      <c r="B784"/>
      <c r="C784"/>
      <c r="D784"/>
      <c r="E784"/>
      <c r="BB784" s="27" t="s">
        <v>7</v>
      </c>
      <c r="BG784" s="27" t="s">
        <v>8</v>
      </c>
      <c r="BH784" s="27" t="s">
        <v>7</v>
      </c>
      <c r="BI784" s="27" t="s">
        <v>8</v>
      </c>
      <c r="BJ784" s="27" t="s">
        <v>7</v>
      </c>
      <c r="BM784" s="27" t="s">
        <v>8</v>
      </c>
      <c r="BN784" s="27" t="s">
        <v>7</v>
      </c>
      <c r="BO784" s="27" t="s">
        <v>8</v>
      </c>
      <c r="BP784" s="27" t="s">
        <v>7</v>
      </c>
      <c r="BQ784" s="27" t="s">
        <v>8</v>
      </c>
      <c r="CP784" s="27" t="s">
        <v>7</v>
      </c>
      <c r="CU784" s="27" t="s">
        <v>8</v>
      </c>
      <c r="CV784" s="27" t="s">
        <v>7</v>
      </c>
      <c r="DA784" s="27" t="s">
        <v>8</v>
      </c>
      <c r="DC784" s="27" t="s">
        <v>8</v>
      </c>
      <c r="DD784" s="27" t="s">
        <v>7</v>
      </c>
      <c r="DE784" s="27" t="s">
        <v>8</v>
      </c>
      <c r="DG784" s="27" t="s">
        <v>8</v>
      </c>
      <c r="DL784" s="27" t="s">
        <v>7</v>
      </c>
      <c r="DM784" s="27" t="s">
        <v>8</v>
      </c>
    </row>
    <row r="785" spans="1:117" x14ac:dyDescent="0.25">
      <c r="A785" s="7">
        <v>1.9822845274763884E-2</v>
      </c>
      <c r="B785"/>
      <c r="C785"/>
      <c r="D785"/>
      <c r="E785"/>
      <c r="BB785" s="27" t="s">
        <v>7</v>
      </c>
      <c r="BC785" s="27" t="s">
        <v>8</v>
      </c>
      <c r="BG785" s="27" t="s">
        <v>8</v>
      </c>
      <c r="BH785" s="27" t="s">
        <v>7</v>
      </c>
      <c r="BI785" s="27" t="s">
        <v>8</v>
      </c>
      <c r="BJ785" s="27" t="s">
        <v>7</v>
      </c>
      <c r="BK785" s="27" t="s">
        <v>8</v>
      </c>
      <c r="BM785" s="27" t="s">
        <v>8</v>
      </c>
      <c r="BN785" s="27" t="s">
        <v>7</v>
      </c>
      <c r="BO785" s="27" t="s">
        <v>8</v>
      </c>
      <c r="BP785" s="27" t="s">
        <v>7</v>
      </c>
      <c r="CP785" s="27" t="s">
        <v>7</v>
      </c>
      <c r="CU785" s="27" t="s">
        <v>8</v>
      </c>
      <c r="CV785" s="27" t="s">
        <v>7</v>
      </c>
      <c r="CW785" s="27" t="s">
        <v>8</v>
      </c>
      <c r="DA785" s="27" t="s">
        <v>8</v>
      </c>
      <c r="DB785" s="27" t="s">
        <v>7</v>
      </c>
      <c r="DC785" s="27" t="s">
        <v>8</v>
      </c>
      <c r="DD785" s="27" t="s">
        <v>7</v>
      </c>
      <c r="DE785" s="27" t="s">
        <v>8</v>
      </c>
      <c r="DF785" s="27" t="s">
        <v>7</v>
      </c>
      <c r="DG785" s="27" t="s">
        <v>8</v>
      </c>
      <c r="DL785" s="27" t="s">
        <v>7</v>
      </c>
      <c r="DM785" s="27" t="s">
        <v>8</v>
      </c>
    </row>
    <row r="786" spans="1:117" x14ac:dyDescent="0.25">
      <c r="A786" s="7">
        <v>1.9434162034082238E-2</v>
      </c>
      <c r="B786"/>
      <c r="C786"/>
      <c r="D786"/>
      <c r="E786"/>
      <c r="BB786" s="27" t="s">
        <v>7</v>
      </c>
      <c r="BC786" s="27" t="s">
        <v>8</v>
      </c>
      <c r="BD786" s="27" t="s">
        <v>7</v>
      </c>
      <c r="BG786" s="27" t="s">
        <v>8</v>
      </c>
      <c r="BH786" s="27" t="s">
        <v>7</v>
      </c>
      <c r="BI786" s="27" t="s">
        <v>8</v>
      </c>
      <c r="BJ786" s="27" t="s">
        <v>7</v>
      </c>
      <c r="BK786" s="27" t="s">
        <v>8</v>
      </c>
      <c r="BL786" s="27" t="s">
        <v>7</v>
      </c>
      <c r="BM786" s="27" t="s">
        <v>8</v>
      </c>
      <c r="BN786" s="27" t="s">
        <v>7</v>
      </c>
      <c r="BO786" s="27" t="s">
        <v>8</v>
      </c>
      <c r="CP786" s="27" t="s">
        <v>7</v>
      </c>
      <c r="CU786" s="27" t="s">
        <v>8</v>
      </c>
      <c r="CV786" s="27" t="s">
        <v>7</v>
      </c>
      <c r="CW786" s="27" t="s">
        <v>8</v>
      </c>
      <c r="CX786" s="27" t="s">
        <v>7</v>
      </c>
      <c r="CY786" s="27" t="s">
        <v>8</v>
      </c>
      <c r="DA786" s="27" t="s">
        <v>8</v>
      </c>
      <c r="DB786" s="27" t="s">
        <v>7</v>
      </c>
      <c r="DC786" s="27" t="s">
        <v>8</v>
      </c>
      <c r="DD786" s="27" t="s">
        <v>7</v>
      </c>
      <c r="DE786" s="27" t="s">
        <v>8</v>
      </c>
      <c r="DF786" s="27" t="s">
        <v>7</v>
      </c>
      <c r="DG786" s="27" t="s">
        <v>8</v>
      </c>
      <c r="DL786" s="27" t="s">
        <v>7</v>
      </c>
      <c r="DM786" s="27" t="s">
        <v>8</v>
      </c>
    </row>
    <row r="787" spans="1:117" x14ac:dyDescent="0.25">
      <c r="A787" s="7">
        <v>1.9053100033413959E-2</v>
      </c>
      <c r="B787"/>
      <c r="C787"/>
      <c r="D787"/>
      <c r="E787"/>
      <c r="BB787" s="27" t="s">
        <v>7</v>
      </c>
      <c r="BC787" s="27" t="s">
        <v>8</v>
      </c>
      <c r="BD787" s="27" t="s">
        <v>7</v>
      </c>
      <c r="BG787" s="27" t="s">
        <v>8</v>
      </c>
      <c r="BH787" s="27" t="s">
        <v>7</v>
      </c>
      <c r="BI787" s="27" t="s">
        <v>8</v>
      </c>
      <c r="BJ787" s="27" t="s">
        <v>7</v>
      </c>
      <c r="BK787" s="27" t="s">
        <v>8</v>
      </c>
      <c r="BL787" s="27" t="s">
        <v>7</v>
      </c>
      <c r="BM787" s="27" t="s">
        <v>8</v>
      </c>
      <c r="BN787" s="27" t="s">
        <v>7</v>
      </c>
      <c r="BO787" s="27" t="s">
        <v>8</v>
      </c>
      <c r="CP787" s="27" t="s">
        <v>7</v>
      </c>
      <c r="CQ787" s="27" t="s">
        <v>8</v>
      </c>
      <c r="CU787" s="27" t="s">
        <v>8</v>
      </c>
      <c r="CV787" s="27" t="s">
        <v>7</v>
      </c>
      <c r="CW787" s="27" t="s">
        <v>8</v>
      </c>
      <c r="CX787" s="27" t="s">
        <v>7</v>
      </c>
      <c r="CY787" s="27" t="s">
        <v>8</v>
      </c>
      <c r="CZ787" s="27" t="s">
        <v>7</v>
      </c>
      <c r="DA787" s="27" t="s">
        <v>8</v>
      </c>
      <c r="DB787" s="27" t="s">
        <v>7</v>
      </c>
      <c r="DC787" s="27" t="s">
        <v>8</v>
      </c>
      <c r="DD787" s="27" t="s">
        <v>7</v>
      </c>
      <c r="DE787" s="27" t="s">
        <v>8</v>
      </c>
      <c r="DF787" s="27" t="s">
        <v>7</v>
      </c>
      <c r="DG787" s="27" t="s">
        <v>8</v>
      </c>
      <c r="DL787" s="27" t="s">
        <v>7</v>
      </c>
      <c r="DM787" s="27" t="s">
        <v>8</v>
      </c>
    </row>
    <row r="788" spans="1:117" x14ac:dyDescent="0.25">
      <c r="A788" s="7">
        <v>1.867950983668035E-2</v>
      </c>
      <c r="B788"/>
      <c r="C788"/>
      <c r="D788"/>
      <c r="E788"/>
      <c r="BB788" s="27" t="s">
        <v>7</v>
      </c>
      <c r="BC788" s="27" t="s">
        <v>8</v>
      </c>
      <c r="BD788" s="27" t="s">
        <v>7</v>
      </c>
      <c r="BG788" s="27" t="s">
        <v>8</v>
      </c>
      <c r="BH788" s="27" t="s">
        <v>7</v>
      </c>
      <c r="BI788" s="27" t="s">
        <v>8</v>
      </c>
      <c r="BJ788" s="27" t="s">
        <v>7</v>
      </c>
      <c r="BK788" s="27" t="s">
        <v>8</v>
      </c>
      <c r="BL788" s="27" t="s">
        <v>7</v>
      </c>
      <c r="BM788" s="27" t="s">
        <v>8</v>
      </c>
      <c r="BN788" s="27" t="s">
        <v>7</v>
      </c>
      <c r="CP788" s="27" t="s">
        <v>7</v>
      </c>
      <c r="CQ788" s="27" t="s">
        <v>8</v>
      </c>
      <c r="CR788" s="27" t="s">
        <v>7</v>
      </c>
      <c r="CU788" s="27" t="s">
        <v>8</v>
      </c>
      <c r="CV788" s="27" t="s">
        <v>7</v>
      </c>
      <c r="CW788" s="27" t="s">
        <v>8</v>
      </c>
      <c r="CX788" s="27" t="s">
        <v>7</v>
      </c>
      <c r="CY788" s="27" t="s">
        <v>8</v>
      </c>
      <c r="CZ788" s="27" t="s">
        <v>7</v>
      </c>
      <c r="DA788" s="27" t="s">
        <v>8</v>
      </c>
      <c r="DB788" s="27" t="s">
        <v>7</v>
      </c>
      <c r="DC788" s="27" t="s">
        <v>8</v>
      </c>
      <c r="DD788" s="27" t="s">
        <v>7</v>
      </c>
      <c r="DE788" s="27" t="s">
        <v>8</v>
      </c>
      <c r="DF788" s="27" t="s">
        <v>7</v>
      </c>
      <c r="DG788" s="27" t="s">
        <v>8</v>
      </c>
      <c r="DL788" s="27" t="s">
        <v>7</v>
      </c>
      <c r="DM788" s="27" t="s">
        <v>8</v>
      </c>
    </row>
    <row r="789" spans="1:117" x14ac:dyDescent="0.25">
      <c r="A789" s="7">
        <v>1.8313244937921913E-2</v>
      </c>
      <c r="B789"/>
      <c r="C789"/>
      <c r="D789"/>
      <c r="E789"/>
      <c r="BB789" s="27" t="s">
        <v>7</v>
      </c>
      <c r="BC789" s="27" t="s">
        <v>8</v>
      </c>
      <c r="BD789" s="27" t="s">
        <v>7</v>
      </c>
      <c r="BE789" s="27" t="s">
        <v>8</v>
      </c>
      <c r="BG789" s="27" t="s">
        <v>8</v>
      </c>
      <c r="BH789" s="27" t="s">
        <v>7</v>
      </c>
      <c r="BI789" s="27" t="s">
        <v>8</v>
      </c>
      <c r="BJ789" s="27" t="s">
        <v>7</v>
      </c>
      <c r="BL789" s="27" t="s">
        <v>7</v>
      </c>
      <c r="BM789" s="27" t="s">
        <v>8</v>
      </c>
      <c r="CP789" s="27" t="s">
        <v>7</v>
      </c>
      <c r="CQ789" s="27" t="s">
        <v>8</v>
      </c>
      <c r="CR789" s="27" t="s">
        <v>7</v>
      </c>
      <c r="CU789" s="27" t="s">
        <v>8</v>
      </c>
      <c r="CV789" s="27" t="s">
        <v>7</v>
      </c>
      <c r="CW789" s="27" t="s">
        <v>8</v>
      </c>
      <c r="CX789" s="27" t="s">
        <v>7</v>
      </c>
      <c r="CZ789" s="27" t="s">
        <v>7</v>
      </c>
      <c r="DA789" s="27" t="s">
        <v>8</v>
      </c>
      <c r="DB789" s="27" t="s">
        <v>7</v>
      </c>
      <c r="DC789" s="27" t="s">
        <v>8</v>
      </c>
      <c r="DD789" s="27" t="s">
        <v>7</v>
      </c>
      <c r="DE789" s="27" t="s">
        <v>8</v>
      </c>
      <c r="DF789" s="27" t="s">
        <v>7</v>
      </c>
      <c r="DL789" s="27" t="s">
        <v>7</v>
      </c>
    </row>
    <row r="790" spans="1:117" x14ac:dyDescent="0.25">
      <c r="A790" s="7">
        <v>1.7954161703845013E-2</v>
      </c>
      <c r="B790"/>
      <c r="C790"/>
      <c r="D790"/>
      <c r="E790"/>
      <c r="BB790" s="27" t="s">
        <v>7</v>
      </c>
      <c r="BC790" s="27" t="s">
        <v>8</v>
      </c>
      <c r="BD790" s="27" t="s">
        <v>7</v>
      </c>
      <c r="BE790" s="27" t="s">
        <v>8</v>
      </c>
      <c r="BF790" s="27" t="s">
        <v>7</v>
      </c>
      <c r="BG790" s="27" t="s">
        <v>8</v>
      </c>
      <c r="BH790" s="27" t="s">
        <v>7</v>
      </c>
      <c r="BI790" s="27" t="s">
        <v>8</v>
      </c>
      <c r="BL790" s="27" t="s">
        <v>7</v>
      </c>
      <c r="BM790" s="27" t="s">
        <v>8</v>
      </c>
      <c r="CP790" s="27" t="s">
        <v>7</v>
      </c>
      <c r="CQ790" s="27" t="s">
        <v>8</v>
      </c>
      <c r="CR790" s="27" t="s">
        <v>7</v>
      </c>
      <c r="CU790" s="27" t="s">
        <v>8</v>
      </c>
      <c r="CV790" s="27" t="s">
        <v>7</v>
      </c>
      <c r="CW790" s="27" t="s">
        <v>8</v>
      </c>
      <c r="CZ790" s="27" t="s">
        <v>7</v>
      </c>
      <c r="DA790" s="27" t="s">
        <v>8</v>
      </c>
      <c r="DB790" s="27" t="s">
        <v>7</v>
      </c>
      <c r="DC790" s="27" t="s">
        <v>8</v>
      </c>
      <c r="DD790" s="27" t="s">
        <v>7</v>
      </c>
      <c r="DE790" s="27" t="s">
        <v>8</v>
      </c>
    </row>
    <row r="791" spans="1:117" x14ac:dyDescent="0.25">
      <c r="A791" s="7">
        <v>1.7602119317495109E-2</v>
      </c>
      <c r="B791"/>
      <c r="C791"/>
      <c r="D791"/>
      <c r="E791"/>
      <c r="BB791" s="27" t="s">
        <v>7</v>
      </c>
      <c r="BC791" s="27" t="s">
        <v>8</v>
      </c>
      <c r="BD791" s="27" t="s">
        <v>7</v>
      </c>
      <c r="BE791" s="27" t="s">
        <v>8</v>
      </c>
      <c r="BF791" s="27" t="s">
        <v>7</v>
      </c>
      <c r="BG791" s="27" t="s">
        <v>8</v>
      </c>
      <c r="BH791" s="27" t="s">
        <v>7</v>
      </c>
      <c r="BL791" s="27" t="s">
        <v>7</v>
      </c>
      <c r="CP791" s="27" t="s">
        <v>7</v>
      </c>
      <c r="CQ791" s="27" t="s">
        <v>8</v>
      </c>
      <c r="CR791" s="27" t="s">
        <v>7</v>
      </c>
      <c r="CU791" s="27" t="s">
        <v>8</v>
      </c>
      <c r="CV791" s="27" t="s">
        <v>7</v>
      </c>
      <c r="CZ791" s="27" t="s">
        <v>7</v>
      </c>
      <c r="DA791" s="27" t="s">
        <v>8</v>
      </c>
      <c r="DB791" s="27" t="s">
        <v>7</v>
      </c>
      <c r="DD791" s="27" t="s">
        <v>7</v>
      </c>
    </row>
    <row r="792" spans="1:117" x14ac:dyDescent="0.25">
      <c r="A792" s="7">
        <v>1.7256979723034419E-2</v>
      </c>
      <c r="B792"/>
      <c r="C792"/>
      <c r="D792"/>
      <c r="E792"/>
      <c r="BB792" s="27" t="s">
        <v>7</v>
      </c>
      <c r="BC792" s="27" t="s">
        <v>8</v>
      </c>
      <c r="BD792" s="27" t="s">
        <v>7</v>
      </c>
      <c r="BE792" s="27" t="s">
        <v>8</v>
      </c>
      <c r="BF792" s="27" t="s">
        <v>7</v>
      </c>
      <c r="BG792" s="27" t="s">
        <v>8</v>
      </c>
      <c r="CP792" s="27" t="s">
        <v>7</v>
      </c>
      <c r="CQ792" s="27" t="s">
        <v>8</v>
      </c>
      <c r="CR792" s="27" t="s">
        <v>7</v>
      </c>
      <c r="CU792" s="27" t="s">
        <v>8</v>
      </c>
      <c r="CZ792" s="27" t="s">
        <v>7</v>
      </c>
      <c r="DA792" s="27" t="s">
        <v>8</v>
      </c>
    </row>
    <row r="793" spans="1:117" x14ac:dyDescent="0.25">
      <c r="A793" s="7">
        <v>1.6918607571602372E-2</v>
      </c>
      <c r="B793"/>
      <c r="C793"/>
      <c r="D793"/>
      <c r="E793"/>
      <c r="BB793" s="27" t="s">
        <v>7</v>
      </c>
      <c r="BD793" s="27" t="s">
        <v>7</v>
      </c>
      <c r="BF793" s="27" t="s">
        <v>7</v>
      </c>
      <c r="CP793" s="27" t="s">
        <v>7</v>
      </c>
      <c r="CQ793" s="27" t="s">
        <v>8</v>
      </c>
      <c r="CR793" s="27" t="s">
        <v>7</v>
      </c>
      <c r="CS793" s="27" t="s">
        <v>8</v>
      </c>
      <c r="CU793" s="27" t="s">
        <v>8</v>
      </c>
      <c r="CZ793" s="27" t="s">
        <v>7</v>
      </c>
      <c r="DA793" s="27" t="s">
        <v>8</v>
      </c>
    </row>
    <row r="794" spans="1:117" x14ac:dyDescent="0.25">
      <c r="A794" s="7">
        <v>1.6586870168237622E-2</v>
      </c>
      <c r="B794"/>
      <c r="C794"/>
      <c r="D794"/>
      <c r="E794"/>
      <c r="CP794" s="27" t="s">
        <v>7</v>
      </c>
      <c r="CQ794" s="27" t="s">
        <v>8</v>
      </c>
      <c r="CR794" s="27" t="s">
        <v>7</v>
      </c>
      <c r="CS794" s="27" t="s">
        <v>8</v>
      </c>
      <c r="CT794" s="27" t="s">
        <v>7</v>
      </c>
      <c r="CU794" s="27" t="s">
        <v>8</v>
      </c>
      <c r="CZ794" s="27" t="s">
        <v>7</v>
      </c>
    </row>
    <row r="795" spans="1:117" x14ac:dyDescent="0.25">
      <c r="A795" s="7">
        <v>1.6261637419840807E-2</v>
      </c>
      <c r="B795"/>
      <c r="C795"/>
      <c r="D795"/>
      <c r="E795"/>
      <c r="CP795" s="27" t="s">
        <v>7</v>
      </c>
      <c r="CQ795" s="27" t="s">
        <v>8</v>
      </c>
      <c r="CR795" s="27" t="s">
        <v>7</v>
      </c>
      <c r="CS795" s="27" t="s">
        <v>8</v>
      </c>
      <c r="CT795" s="27" t="s">
        <v>7</v>
      </c>
      <c r="CU795" s="27" t="s">
        <v>8</v>
      </c>
    </row>
    <row r="796" spans="1:117" x14ac:dyDescent="0.25">
      <c r="A796" s="7">
        <v>1.5942781784157655E-2</v>
      </c>
      <c r="B796"/>
      <c r="C796"/>
      <c r="D796"/>
      <c r="E796"/>
      <c r="CP796" s="27" t="s">
        <v>7</v>
      </c>
      <c r="CQ796" s="27" t="s">
        <v>8</v>
      </c>
      <c r="CR796" s="27" t="s">
        <v>7</v>
      </c>
      <c r="CS796" s="27" t="s">
        <v>8</v>
      </c>
      <c r="CT796" s="27" t="s">
        <v>7</v>
      </c>
      <c r="CU796" s="27" t="s">
        <v>8</v>
      </c>
    </row>
    <row r="797" spans="1:117" x14ac:dyDescent="0.25">
      <c r="A797" s="7">
        <v>1.5630178219762408E-2</v>
      </c>
      <c r="B797"/>
      <c r="C797"/>
      <c r="D797"/>
      <c r="E797"/>
      <c r="CP797" s="27" t="s">
        <v>7</v>
      </c>
      <c r="CQ797" s="27" t="s">
        <v>8</v>
      </c>
      <c r="CR797" s="27" t="s">
        <v>7</v>
      </c>
      <c r="CS797" s="27" t="s">
        <v>8</v>
      </c>
      <c r="CT797" s="27" t="s">
        <v>7</v>
      </c>
      <c r="CU797" s="27" t="s">
        <v>8</v>
      </c>
    </row>
    <row r="798" spans="1:117" x14ac:dyDescent="0.25">
      <c r="A798" s="7">
        <v>1.5323704137021967E-2</v>
      </c>
      <c r="B798"/>
      <c r="C798"/>
      <c r="D798"/>
      <c r="E798"/>
      <c r="CP798" s="27" t="s">
        <v>7</v>
      </c>
      <c r="CQ798" s="27" t="s">
        <v>8</v>
      </c>
      <c r="CR798" s="27" t="s">
        <v>7</v>
      </c>
      <c r="CS798" s="27" t="s">
        <v>8</v>
      </c>
      <c r="CT798" s="27" t="s">
        <v>7</v>
      </c>
      <c r="CU798" s="27" t="s">
        <v>8</v>
      </c>
    </row>
    <row r="799" spans="1:117" x14ac:dyDescent="0.25">
      <c r="A799" s="7">
        <v>1.5023239350021535E-2</v>
      </c>
      <c r="B799"/>
      <c r="C799"/>
      <c r="D799"/>
      <c r="E799"/>
      <c r="CP799" s="27" t="s">
        <v>7</v>
      </c>
      <c r="CQ799" s="27" t="s">
        <v>8</v>
      </c>
      <c r="CR799" s="27" t="s">
        <v>7</v>
      </c>
      <c r="CS799" s="27" t="s">
        <v>8</v>
      </c>
      <c r="CT799" s="27" t="s">
        <v>7</v>
      </c>
    </row>
    <row r="800" spans="1:117" x14ac:dyDescent="0.25">
      <c r="A800" s="7">
        <v>1.4728666029432878E-2</v>
      </c>
      <c r="B800"/>
      <c r="C800"/>
      <c r="D800"/>
      <c r="E800"/>
      <c r="CP800" s="27" t="s">
        <v>7</v>
      </c>
      <c r="CQ800" s="27" t="s">
        <v>8</v>
      </c>
      <c r="CR800" s="27" t="s">
        <v>7</v>
      </c>
      <c r="CS800" s="27" t="s">
        <v>8</v>
      </c>
    </row>
    <row r="801" spans="1:97" x14ac:dyDescent="0.25">
      <c r="A801" s="7">
        <v>1.4439868656306743E-2</v>
      </c>
      <c r="B801"/>
      <c r="C801"/>
      <c r="D801"/>
      <c r="E801"/>
      <c r="CP801" s="27" t="s">
        <v>7</v>
      </c>
      <c r="CQ801" s="27" t="s">
        <v>8</v>
      </c>
      <c r="CR801" s="27" t="s">
        <v>7</v>
      </c>
      <c r="CS801" s="27" t="s">
        <v>8</v>
      </c>
    </row>
    <row r="802" spans="1:97" x14ac:dyDescent="0.25">
      <c r="A802" s="7">
        <v>1.4156733976771318E-2</v>
      </c>
      <c r="B802"/>
      <c r="C802"/>
      <c r="D802"/>
      <c r="E802"/>
      <c r="CP802" s="27" t="s">
        <v>7</v>
      </c>
      <c r="CQ802" s="27" t="s">
        <v>8</v>
      </c>
      <c r="CR802" s="27" t="s">
        <v>7</v>
      </c>
      <c r="CS802" s="27" t="s">
        <v>8</v>
      </c>
    </row>
    <row r="803" spans="1:97" x14ac:dyDescent="0.25">
      <c r="A803" s="7">
        <v>1.3879150957618939E-2</v>
      </c>
      <c r="B803"/>
      <c r="C803"/>
      <c r="D803"/>
      <c r="E803"/>
      <c r="CP803" s="27" t="s">
        <v>7</v>
      </c>
      <c r="CQ803" s="27" t="s">
        <v>8</v>
      </c>
      <c r="CR803" s="27" t="s">
        <v>7</v>
      </c>
      <c r="CS803" s="27" t="s">
        <v>8</v>
      </c>
    </row>
    <row r="804" spans="1:97" x14ac:dyDescent="0.25">
      <c r="A804" s="7">
        <v>1.3607010742763666E-2</v>
      </c>
      <c r="B804"/>
      <c r="C804"/>
      <c r="D804"/>
      <c r="E804"/>
      <c r="CP804" s="27" t="s">
        <v>7</v>
      </c>
      <c r="CQ804" s="27" t="s">
        <v>8</v>
      </c>
      <c r="CR804" s="27" t="s">
        <v>7</v>
      </c>
    </row>
    <row r="805" spans="1:97" x14ac:dyDescent="0.25">
      <c r="A805" s="7">
        <v>1.3340206610552614E-2</v>
      </c>
      <c r="B805"/>
      <c r="C805"/>
      <c r="D805"/>
      <c r="E805"/>
      <c r="CP805" s="27" t="s">
        <v>7</v>
      </c>
      <c r="CQ805" s="27" t="s">
        <v>8</v>
      </c>
    </row>
    <row r="806" spans="1:97" x14ac:dyDescent="0.25">
      <c r="A806" s="7">
        <v>1.3078633931914328E-2</v>
      </c>
      <c r="B806"/>
      <c r="C806"/>
      <c r="D806"/>
      <c r="E806"/>
      <c r="CP806" s="27" t="s">
        <v>7</v>
      </c>
      <c r="CQ806" s="27" t="s">
        <v>8</v>
      </c>
    </row>
    <row r="807" spans="1:97" x14ac:dyDescent="0.25">
      <c r="A807" s="7">
        <v>1.2822190129327771E-2</v>
      </c>
      <c r="B807"/>
      <c r="C807"/>
      <c r="D807"/>
      <c r="E807"/>
      <c r="CP807" s="27" t="s">
        <v>7</v>
      </c>
      <c r="CQ807" s="27" t="s">
        <v>8</v>
      </c>
    </row>
    <row r="808" spans="1:97" x14ac:dyDescent="0.25">
      <c r="A808" s="7">
        <v>1.2570774636595854E-2</v>
      </c>
      <c r="B808"/>
      <c r="C808"/>
      <c r="D808"/>
      <c r="E808"/>
      <c r="CP808" s="27" t="s">
        <v>7</v>
      </c>
      <c r="CQ808" s="27" t="s">
        <v>8</v>
      </c>
    </row>
    <row r="809" spans="1:97" x14ac:dyDescent="0.25">
      <c r="A809" s="7">
        <v>1.23242888594077E-2</v>
      </c>
      <c r="B809"/>
      <c r="C809"/>
      <c r="D809"/>
      <c r="E809"/>
      <c r="CP809" s="27" t="s">
        <v>7</v>
      </c>
      <c r="CQ809" s="27" t="s">
        <v>8</v>
      </c>
    </row>
    <row r="810" spans="1:97" x14ac:dyDescent="0.25">
      <c r="A810" s="7">
        <v>1.2082636136674216E-2</v>
      </c>
      <c r="B810"/>
      <c r="C810"/>
      <c r="D810"/>
      <c r="E810"/>
      <c r="CP810" s="27" t="s">
        <v>7</v>
      </c>
      <c r="CQ810" s="27" t="s">
        <v>8</v>
      </c>
    </row>
    <row r="811" spans="1:97" x14ac:dyDescent="0.25">
      <c r="A811" s="7">
        <v>1.184572170262178E-2</v>
      </c>
      <c r="B811"/>
      <c r="C811"/>
      <c r="D811"/>
      <c r="E811"/>
      <c r="CP811" s="27" t="s">
        <v>7</v>
      </c>
      <c r="CQ811" s="27" t="s">
        <v>8</v>
      </c>
    </row>
    <row r="812" spans="1:97" x14ac:dyDescent="0.25">
      <c r="A812" s="7">
        <v>1.1613452649629196E-2</v>
      </c>
      <c r="B812"/>
      <c r="C812"/>
      <c r="D812"/>
      <c r="E812"/>
      <c r="CP812" s="27" t="s">
        <v>7</v>
      </c>
      <c r="CQ812" s="27" t="s">
        <v>8</v>
      </c>
    </row>
    <row r="813" spans="1:97" x14ac:dyDescent="0.25">
      <c r="A813" s="7">
        <v>1.138573789179333E-2</v>
      </c>
      <c r="B813"/>
      <c r="C813"/>
      <c r="D813"/>
      <c r="E813"/>
      <c r="CP813" s="27" t="s">
        <v>7</v>
      </c>
      <c r="CQ813" s="27" t="s">
        <v>8</v>
      </c>
    </row>
    <row r="814" spans="1:97" x14ac:dyDescent="0.25">
      <c r="A814" s="7">
        <v>1.1162488129209149E-2</v>
      </c>
      <c r="B814"/>
      <c r="C814"/>
      <c r="D814"/>
      <c r="E814"/>
      <c r="CP814" s="27" t="s">
        <v>7</v>
      </c>
      <c r="CQ814" s="27" t="s">
        <v>8</v>
      </c>
    </row>
    <row r="815" spans="1:97" x14ac:dyDescent="0.25">
      <c r="A815" s="7">
        <v>1.0943615812950145E-2</v>
      </c>
      <c r="B815"/>
      <c r="C815"/>
      <c r="D815"/>
      <c r="E815"/>
      <c r="CP815" s="27" t="s">
        <v>7</v>
      </c>
      <c r="CQ815" s="27" t="s">
        <v>8</v>
      </c>
    </row>
    <row r="816" spans="1:97" x14ac:dyDescent="0.25">
      <c r="A816" s="7">
        <v>1.0729035110735436E-2</v>
      </c>
      <c r="B816"/>
      <c r="C816"/>
      <c r="D816"/>
      <c r="E816"/>
      <c r="CP816" s="27" t="s">
        <v>7</v>
      </c>
      <c r="CQ816" s="27" t="s">
        <v>8</v>
      </c>
    </row>
    <row r="817" spans="1:95" x14ac:dyDescent="0.25">
      <c r="A817" s="7">
        <v>1.0518661873270036E-2</v>
      </c>
      <c r="B817"/>
      <c r="C817"/>
      <c r="D817"/>
      <c r="E817"/>
      <c r="CP817" s="27" t="s">
        <v>7</v>
      </c>
      <c r="CQ817" s="27" t="s">
        <v>8</v>
      </c>
    </row>
    <row r="818" spans="1:95" x14ac:dyDescent="0.25">
      <c r="A818" s="7">
        <v>1.0312413601245135E-2</v>
      </c>
      <c r="B818"/>
      <c r="C818"/>
      <c r="D818"/>
      <c r="E818"/>
      <c r="CP818" s="27" t="s">
        <v>7</v>
      </c>
      <c r="CQ818" s="27" t="s">
        <v>8</v>
      </c>
    </row>
    <row r="819" spans="1:95" x14ac:dyDescent="0.25">
      <c r="A819" s="7">
        <v>1.0110209412985426E-2</v>
      </c>
      <c r="B819"/>
      <c r="C819"/>
      <c r="D819"/>
      <c r="E819"/>
      <c r="CP819" s="27" t="s">
        <v>7</v>
      </c>
      <c r="CQ819" s="27" t="s">
        <v>8</v>
      </c>
    </row>
    <row r="820" spans="1:95" x14ac:dyDescent="0.25">
      <c r="A820" s="7">
        <v>9.9119700127308103E-3</v>
      </c>
      <c r="B820"/>
      <c r="C820"/>
      <c r="D820"/>
      <c r="E820"/>
      <c r="CP820" s="27" t="s">
        <v>7</v>
      </c>
      <c r="CQ820" s="27" t="s">
        <v>8</v>
      </c>
    </row>
    <row r="821" spans="1:95" x14ac:dyDescent="0.25">
      <c r="A821" s="7">
        <v>9.717617659540009E-3</v>
      </c>
      <c r="B821"/>
      <c r="C821"/>
      <c r="D821"/>
      <c r="E821"/>
      <c r="CP821" s="27" t="s">
        <v>7</v>
      </c>
    </row>
    <row r="822" spans="1:95" x14ac:dyDescent="0.25">
      <c r="A822" s="7">
        <v>9.5270761368039299E-3</v>
      </c>
      <c r="B822"/>
      <c r="C822"/>
      <c r="D822"/>
      <c r="E822"/>
    </row>
    <row r="823" spans="1:95" x14ac:dyDescent="0.25">
      <c r="A823" s="7">
        <v>9.3402707223567936E-3</v>
      </c>
      <c r="B823"/>
      <c r="C823"/>
      <c r="D823"/>
      <c r="E823"/>
    </row>
    <row r="824" spans="1:95" x14ac:dyDescent="0.25">
      <c r="A824" s="7">
        <v>9.1571281591733261E-3</v>
      </c>
      <c r="B824"/>
      <c r="C824"/>
      <c r="D824"/>
      <c r="E824"/>
    </row>
    <row r="825" spans="1:95" x14ac:dyDescent="0.25">
      <c r="A825" s="7">
        <v>8.9775766266405148E-3</v>
      </c>
      <c r="B825"/>
      <c r="C825"/>
      <c r="D825"/>
      <c r="E825"/>
    </row>
    <row r="826" spans="1:95" x14ac:dyDescent="0.25">
      <c r="A826" s="7">
        <v>8.8015457123926614E-3</v>
      </c>
      <c r="B826"/>
      <c r="C826"/>
      <c r="D826"/>
      <c r="E826"/>
    </row>
    <row r="827" spans="1:95" x14ac:dyDescent="0.25">
      <c r="A827" s="7">
        <v>8.6289663846986879E-3</v>
      </c>
      <c r="B827"/>
      <c r="C827"/>
      <c r="D827"/>
      <c r="E827"/>
    </row>
    <row r="828" spans="1:95" x14ac:dyDescent="0.25">
      <c r="A828" s="7">
        <v>8.4597709653908715E-3</v>
      </c>
      <c r="B828"/>
      <c r="C828"/>
      <c r="D828"/>
      <c r="E828"/>
    </row>
    <row r="829" spans="1:95" x14ac:dyDescent="0.25">
      <c r="A829" s="7">
        <v>8.2938931033243839E-3</v>
      </c>
      <c r="B829"/>
      <c r="C829"/>
      <c r="D829"/>
      <c r="E829"/>
    </row>
    <row r="830" spans="1:95" x14ac:dyDescent="0.25">
      <c r="A830" s="7">
        <v>8.1312677483572383E-3</v>
      </c>
      <c r="B830"/>
      <c r="C830"/>
      <c r="D830"/>
      <c r="E830"/>
    </row>
    <row r="831" spans="1:95" x14ac:dyDescent="0.25">
      <c r="A831" s="7">
        <v>7.9718311258404305E-3</v>
      </c>
      <c r="B831"/>
      <c r="C831"/>
      <c r="D831"/>
      <c r="E831"/>
    </row>
    <row r="832" spans="1:9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290" operator="equal">
      <formula>$U$1</formula>
    </cfRule>
    <cfRule type="cellIs" dxfId="89" priority="1291" operator="equal">
      <formula>$S$1</formula>
    </cfRule>
  </conditionalFormatting>
  <conditionalFormatting sqref="D27">
    <cfRule type="cellIs" dxfId="88" priority="1288" operator="equal">
      <formula>$S$1</formula>
    </cfRule>
    <cfRule type="cellIs" dxfId="87" priority="1289" operator="equal">
      <formula>$U$1</formula>
    </cfRule>
  </conditionalFormatting>
  <conditionalFormatting sqref="C164">
    <cfRule type="cellIs" dxfId="86" priority="1286" operator="equal">
      <formula>$U$1</formula>
    </cfRule>
    <cfRule type="cellIs" dxfId="85" priority="1287" operator="equal">
      <formula>$S$1</formula>
    </cfRule>
  </conditionalFormatting>
  <conditionalFormatting sqref="D164">
    <cfRule type="cellIs" dxfId="84" priority="1284" operator="equal">
      <formula>$S$1</formula>
    </cfRule>
    <cfRule type="cellIs" dxfId="83" priority="1285" operator="equal">
      <formula>$U$1</formula>
    </cfRule>
  </conditionalFormatting>
  <conditionalFormatting sqref="C55">
    <cfRule type="cellIs" dxfId="82" priority="1282" operator="equal">
      <formula>$U$1</formula>
    </cfRule>
    <cfRule type="cellIs" dxfId="81" priority="1283" operator="equal">
      <formula>$S$1</formula>
    </cfRule>
  </conditionalFormatting>
  <conditionalFormatting sqref="D55">
    <cfRule type="cellIs" dxfId="80" priority="1280" operator="equal">
      <formula>$S$1</formula>
    </cfRule>
    <cfRule type="cellIs" dxfId="79" priority="1281" operator="equal">
      <formula>$U$1</formula>
    </cfRule>
  </conditionalFormatting>
  <conditionalFormatting sqref="C89">
    <cfRule type="cellIs" dxfId="78" priority="1278" operator="equal">
      <formula>$U$1</formula>
    </cfRule>
    <cfRule type="cellIs" dxfId="77" priority="1279" operator="equal">
      <formula>$S$1</formula>
    </cfRule>
  </conditionalFormatting>
  <conditionalFormatting sqref="D89">
    <cfRule type="cellIs" dxfId="76" priority="1276" operator="equal">
      <formula>$S$1</formula>
    </cfRule>
    <cfRule type="cellIs" dxfId="75" priority="1277" operator="equal">
      <formula>$U$1</formula>
    </cfRule>
  </conditionalFormatting>
  <conditionalFormatting sqref="C136">
    <cfRule type="cellIs" dxfId="74" priority="1274" operator="equal">
      <formula>$U$1</formula>
    </cfRule>
    <cfRule type="cellIs" dxfId="73" priority="1275" operator="equal">
      <formula>$S$1</formula>
    </cfRule>
  </conditionalFormatting>
  <conditionalFormatting sqref="D136">
    <cfRule type="cellIs" dxfId="72" priority="1272" operator="equal">
      <formula>$S$1</formula>
    </cfRule>
    <cfRule type="cellIs" dxfId="71" priority="1273" operator="equal">
      <formula>$U$1</formula>
    </cfRule>
  </conditionalFormatting>
  <conditionalFormatting sqref="C1">
    <cfRule type="cellIs" dxfId="70" priority="127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39" zoomScale="90" zoomScaleNormal="90" workbookViewId="0">
      <pane xSplit="4" topLeftCell="DN1" activePane="topRight" state="frozen"/>
      <selection activeCell="A109" sqref="A109"/>
      <selection pane="topRight" activeCell="FY269" sqref="FY26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$A$268</v>
      </c>
      <c r="D111" s="1" t="str">
        <f>ADDRESS(C121-1,D121,1,1)</f>
        <v>$FY$268</v>
      </c>
      <c r="E111"/>
    </row>
    <row r="112" spans="1:5" x14ac:dyDescent="0.25">
      <c r="A112" s="30">
        <v>515.50191262726139</v>
      </c>
      <c r="C112" s="1" t="str">
        <f>ADDRESS(C121,1,1,1)</f>
        <v>$A$269</v>
      </c>
      <c r="D112" s="1" t="str">
        <f>ADDRESS(C121,D121-1,1,1)</f>
        <v>$FX$269</v>
      </c>
      <c r="E112"/>
    </row>
    <row r="113" spans="1:5" x14ac:dyDescent="0.25">
      <c r="A113" s="30">
        <v>490.95420250215363</v>
      </c>
      <c r="C113" s="1" t="str">
        <f>ADDRESS(C121+1,1,1,1)</f>
        <v>$A$270</v>
      </c>
      <c r="D113" s="1" t="str">
        <f>ADDRESS(C121-1,D121+1,1,1)</f>
        <v>$FZ$268</v>
      </c>
    </row>
    <row r="114" spans="1:5" x14ac:dyDescent="0.25">
      <c r="A114" s="30">
        <v>467.57543095443202</v>
      </c>
      <c r="C114" s="1" t="str">
        <f>ADDRESS(C121,D121,1,1)</f>
        <v>$FY$269</v>
      </c>
      <c r="D114" s="1" t="str">
        <f>ADDRESS(C121+1,D121+1,1,1)</f>
        <v>$FZ$270</v>
      </c>
    </row>
    <row r="115" spans="1:5" x14ac:dyDescent="0.25">
      <c r="A115" s="30">
        <v>445.30993424231622</v>
      </c>
      <c r="C115" s="1" t="str">
        <f>ADDRESS(C121+1,D121,1,1)</f>
        <v>$FY$270</v>
      </c>
    </row>
    <row r="116" spans="1:5" x14ac:dyDescent="0.25">
      <c r="A116" s="30">
        <v>424.10469927839637</v>
      </c>
      <c r="C116" s="1">
        <f>C117-1</f>
        <v>268</v>
      </c>
    </row>
    <row r="117" spans="1:5" x14ac:dyDescent="0.25">
      <c r="A117" s="30">
        <v>403.9092374079965</v>
      </c>
      <c r="C117" s="1">
        <f>C121</f>
        <v>269</v>
      </c>
      <c r="D117" s="1">
        <f>D121</f>
        <v>181</v>
      </c>
    </row>
    <row r="118" spans="1:5" x14ac:dyDescent="0.25">
      <c r="A118" s="30">
        <v>384.6754641980919</v>
      </c>
      <c r="C118" s="1">
        <f>C117+1</f>
        <v>270</v>
      </c>
      <c r="D118" s="1">
        <f>D117+1</f>
        <v>182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269</v>
      </c>
      <c r="D121" s="19">
        <v>181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R269</v>
      </c>
      <c r="D123" s="1" t="str">
        <f>"C"&amp;D121</f>
        <v>C181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0.24294632108864825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172" x14ac:dyDescent="0.25">
      <c r="A241" s="30">
        <v>0.952380952380952</v>
      </c>
      <c r="B241"/>
      <c r="C241"/>
      <c r="D241"/>
      <c r="E241"/>
      <c r="F241" s="27" t="s">
        <v>7</v>
      </c>
      <c r="EU241" s="27" t="s">
        <v>8</v>
      </c>
    </row>
    <row r="242" spans="1:172" x14ac:dyDescent="0.25">
      <c r="A242" s="30">
        <v>0.90702947845804915</v>
      </c>
      <c r="B242"/>
      <c r="C242"/>
      <c r="D242"/>
      <c r="E242"/>
      <c r="F242" s="27" t="s">
        <v>7</v>
      </c>
      <c r="EU242" s="27" t="s">
        <v>8</v>
      </c>
      <c r="EV242" s="27" t="s">
        <v>7</v>
      </c>
    </row>
    <row r="243" spans="1:172" x14ac:dyDescent="0.25">
      <c r="A243" s="30">
        <v>0.86383759853147501</v>
      </c>
      <c r="B243"/>
      <c r="C243"/>
      <c r="D243"/>
      <c r="E243"/>
      <c r="F243" s="27" t="s">
        <v>7</v>
      </c>
      <c r="EU243" s="27" t="s">
        <v>8</v>
      </c>
      <c r="EV243" s="27" t="s">
        <v>7</v>
      </c>
    </row>
    <row r="244" spans="1:172" x14ac:dyDescent="0.25">
      <c r="A244" s="30">
        <v>0.82270247479188063</v>
      </c>
      <c r="B244"/>
      <c r="C244"/>
      <c r="D244"/>
      <c r="E244"/>
      <c r="F244" s="27" t="s">
        <v>7</v>
      </c>
      <c r="EU244" s="27" t="s">
        <v>8</v>
      </c>
      <c r="EV244" s="27" t="s">
        <v>7</v>
      </c>
    </row>
    <row r="245" spans="1:172" x14ac:dyDescent="0.25">
      <c r="A245" s="30">
        <v>0.78352616646845741</v>
      </c>
      <c r="B245"/>
      <c r="C245"/>
      <c r="D245"/>
      <c r="E245"/>
      <c r="F245" s="27" t="s">
        <v>7</v>
      </c>
      <c r="EU245" s="27" t="s">
        <v>8</v>
      </c>
      <c r="EV245" s="27" t="s">
        <v>7</v>
      </c>
    </row>
    <row r="246" spans="1:172" x14ac:dyDescent="0.25">
      <c r="A246" s="30">
        <v>0.74621539663662584</v>
      </c>
      <c r="B246"/>
      <c r="C246"/>
      <c r="D246"/>
      <c r="E246"/>
      <c r="F246" s="27" t="s">
        <v>7</v>
      </c>
      <c r="DK246" s="27" t="s">
        <v>8</v>
      </c>
      <c r="EU246" s="27" t="s">
        <v>8</v>
      </c>
      <c r="EV246" s="27" t="s">
        <v>7</v>
      </c>
    </row>
    <row r="247" spans="1:172" x14ac:dyDescent="0.25">
      <c r="A247" s="30">
        <v>0.71068133013011958</v>
      </c>
      <c r="B247"/>
      <c r="C247"/>
      <c r="D247"/>
      <c r="E247"/>
      <c r="F247" s="27" t="s">
        <v>7</v>
      </c>
      <c r="DK247" s="27" t="s">
        <v>8</v>
      </c>
      <c r="DL247" s="27" t="s">
        <v>7</v>
      </c>
      <c r="DM247" s="27" t="s">
        <v>8</v>
      </c>
      <c r="EU247" s="27" t="s">
        <v>8</v>
      </c>
      <c r="EV247" s="27" t="s">
        <v>7</v>
      </c>
    </row>
    <row r="248" spans="1:172" x14ac:dyDescent="0.25">
      <c r="A248" s="30">
        <v>0.676839362028685</v>
      </c>
      <c r="B248"/>
      <c r="C248"/>
      <c r="D248"/>
      <c r="E248"/>
      <c r="F248" s="27" t="s">
        <v>7</v>
      </c>
      <c r="DK248" s="27" t="s">
        <v>8</v>
      </c>
      <c r="DL248" s="27" t="s">
        <v>7</v>
      </c>
      <c r="DM248" s="27" t="s">
        <v>8</v>
      </c>
      <c r="DN248" s="27" t="s">
        <v>7</v>
      </c>
      <c r="DU248" s="31" t="s">
        <v>8</v>
      </c>
      <c r="EU248" s="27" t="s">
        <v>8</v>
      </c>
      <c r="EV248" s="27" t="s">
        <v>7</v>
      </c>
    </row>
    <row r="249" spans="1:172" x14ac:dyDescent="0.25">
      <c r="A249" s="30">
        <v>0.64460891621779492</v>
      </c>
      <c r="B249"/>
      <c r="C249"/>
      <c r="D249"/>
      <c r="E249"/>
      <c r="F249" s="27" t="s">
        <v>7</v>
      </c>
      <c r="DK249" s="27" t="s">
        <v>8</v>
      </c>
      <c r="DL249" s="27" t="s">
        <v>7</v>
      </c>
      <c r="DM249" s="27" t="s">
        <v>8</v>
      </c>
      <c r="DN249" s="27" t="s">
        <v>7</v>
      </c>
      <c r="DS249" s="27" t="s">
        <v>8</v>
      </c>
      <c r="DU249" s="27" t="s">
        <v>8</v>
      </c>
      <c r="DV249" s="31" t="s">
        <v>7</v>
      </c>
      <c r="EU249" s="27" t="s">
        <v>8</v>
      </c>
      <c r="EV249" s="27" t="s">
        <v>7</v>
      </c>
      <c r="EW249" s="27" t="s">
        <v>8</v>
      </c>
      <c r="FG249" s="27" t="s">
        <v>8</v>
      </c>
      <c r="FO249" s="27" t="s">
        <v>8</v>
      </c>
    </row>
    <row r="250" spans="1:172" x14ac:dyDescent="0.25">
      <c r="A250" s="30">
        <v>0.61391325354075688</v>
      </c>
      <c r="B250"/>
      <c r="C250"/>
      <c r="D250"/>
      <c r="E250"/>
      <c r="F250" s="27" t="s">
        <v>7</v>
      </c>
      <c r="DK250" s="27" t="s">
        <v>8</v>
      </c>
      <c r="DL250" s="27" t="s">
        <v>7</v>
      </c>
      <c r="DM250" s="27" t="s">
        <v>8</v>
      </c>
      <c r="DN250" s="27" t="s">
        <v>7</v>
      </c>
      <c r="DO250" s="27" t="s">
        <v>8</v>
      </c>
      <c r="DS250" s="32" t="s">
        <v>8</v>
      </c>
      <c r="DT250" s="27" t="s">
        <v>7</v>
      </c>
      <c r="DU250" s="27" t="s">
        <v>8</v>
      </c>
      <c r="DV250" s="27" t="s">
        <v>7</v>
      </c>
      <c r="DW250" s="31"/>
      <c r="EU250" s="27" t="s">
        <v>8</v>
      </c>
      <c r="EV250" s="27" t="s">
        <v>7</v>
      </c>
      <c r="EW250" s="27" t="s">
        <v>8</v>
      </c>
      <c r="EX250" s="27" t="s">
        <v>7</v>
      </c>
      <c r="FG250" s="27" t="s">
        <v>8</v>
      </c>
      <c r="FH250" s="27" t="s">
        <v>7</v>
      </c>
      <c r="FM250" s="27" t="s">
        <v>8</v>
      </c>
      <c r="FO250" s="27" t="s">
        <v>8</v>
      </c>
      <c r="FP250" s="27" t="s">
        <v>7</v>
      </c>
    </row>
    <row r="251" spans="1:172" x14ac:dyDescent="0.25">
      <c r="A251" s="30">
        <v>0.58467928908643485</v>
      </c>
      <c r="B251"/>
      <c r="C251"/>
      <c r="D251"/>
      <c r="E251"/>
      <c r="F251" s="27" t="s">
        <v>7</v>
      </c>
      <c r="CQ251" s="27" t="s">
        <v>8</v>
      </c>
      <c r="DK251" s="27" t="s">
        <v>8</v>
      </c>
      <c r="DL251" s="27" t="s">
        <v>7</v>
      </c>
      <c r="DM251" s="27" t="s">
        <v>8</v>
      </c>
      <c r="DN251" s="27" t="s">
        <v>7</v>
      </c>
      <c r="DO251" s="27" t="s">
        <v>8</v>
      </c>
      <c r="DP251" s="27" t="s">
        <v>7</v>
      </c>
      <c r="DQ251" s="27" t="s">
        <v>8</v>
      </c>
      <c r="DS251" s="27" t="s">
        <v>8</v>
      </c>
      <c r="DT251" s="27" t="s">
        <v>7</v>
      </c>
      <c r="DU251" s="27" t="s">
        <v>8</v>
      </c>
      <c r="DV251" s="27" t="s">
        <v>7</v>
      </c>
      <c r="DX251" s="31"/>
      <c r="EU251" s="27" t="s">
        <v>8</v>
      </c>
      <c r="EV251" s="27" t="s">
        <v>7</v>
      </c>
      <c r="EW251" s="27" t="s">
        <v>8</v>
      </c>
      <c r="EX251" s="27" t="s">
        <v>7</v>
      </c>
      <c r="EY251" s="27" t="s">
        <v>8</v>
      </c>
      <c r="FC251" s="27" t="s">
        <v>8</v>
      </c>
      <c r="FG251" s="27" t="s">
        <v>8</v>
      </c>
      <c r="FH251" s="27" t="s">
        <v>7</v>
      </c>
      <c r="FM251" s="27" t="s">
        <v>8</v>
      </c>
      <c r="FN251" s="27" t="s">
        <v>7</v>
      </c>
      <c r="FO251" s="27" t="s">
        <v>8</v>
      </c>
      <c r="FP251" s="27" t="s">
        <v>7</v>
      </c>
    </row>
    <row r="252" spans="1:172" x14ac:dyDescent="0.25">
      <c r="A252" s="30">
        <v>0.55683741817755672</v>
      </c>
      <c r="B252"/>
      <c r="C252"/>
      <c r="D252"/>
      <c r="E252"/>
      <c r="F252" s="27" t="s">
        <v>7</v>
      </c>
      <c r="CQ252" s="27" t="s">
        <v>8</v>
      </c>
      <c r="CR252" s="27" t="s">
        <v>7</v>
      </c>
      <c r="DK252" s="27" t="s">
        <v>8</v>
      </c>
      <c r="DL252" s="27" t="s">
        <v>7</v>
      </c>
      <c r="DM252" s="27" t="s">
        <v>8</v>
      </c>
      <c r="DN252" s="27" t="s">
        <v>7</v>
      </c>
      <c r="DO252" s="27" t="s">
        <v>8</v>
      </c>
      <c r="DP252" s="27" t="s">
        <v>7</v>
      </c>
      <c r="DQ252" s="27" t="s">
        <v>8</v>
      </c>
      <c r="DR252" s="27" t="s">
        <v>7</v>
      </c>
      <c r="DS252" s="27" t="s">
        <v>8</v>
      </c>
      <c r="DT252" s="27" t="s">
        <v>7</v>
      </c>
      <c r="DU252" s="27" t="s">
        <v>8</v>
      </c>
      <c r="DV252" s="27" t="s">
        <v>7</v>
      </c>
      <c r="DY252" s="31"/>
      <c r="EU252" s="27" t="s">
        <v>8</v>
      </c>
      <c r="EV252" s="27" t="s">
        <v>7</v>
      </c>
      <c r="EW252" s="27" t="s">
        <v>8</v>
      </c>
      <c r="EX252" s="27" t="s">
        <v>7</v>
      </c>
      <c r="EY252" s="27" t="s">
        <v>8</v>
      </c>
      <c r="EZ252" s="27" t="s">
        <v>7</v>
      </c>
      <c r="FC252" s="27" t="s">
        <v>8</v>
      </c>
      <c r="FD252" s="27" t="s">
        <v>7</v>
      </c>
      <c r="FG252" s="27" t="s">
        <v>8</v>
      </c>
      <c r="FH252" s="27" t="s">
        <v>7</v>
      </c>
      <c r="FM252" s="27" t="s">
        <v>8</v>
      </c>
      <c r="FN252" s="27" t="s">
        <v>7</v>
      </c>
      <c r="FO252" s="27" t="s">
        <v>8</v>
      </c>
      <c r="FP252" s="27" t="s">
        <v>7</v>
      </c>
    </row>
    <row r="253" spans="1:172" x14ac:dyDescent="0.25">
      <c r="A253" s="30">
        <v>0.53032135064529184</v>
      </c>
      <c r="B253"/>
      <c r="C253"/>
      <c r="D253"/>
      <c r="E253"/>
      <c r="F253" s="27" t="s">
        <v>7</v>
      </c>
      <c r="CQ253" s="27" t="s">
        <v>8</v>
      </c>
      <c r="CR253" s="27" t="s">
        <v>7</v>
      </c>
      <c r="CU253" s="27" t="s">
        <v>8</v>
      </c>
      <c r="DI253" s="27" t="s">
        <v>8</v>
      </c>
      <c r="DK253" s="27" t="s">
        <v>8</v>
      </c>
      <c r="DL253" s="27" t="s">
        <v>7</v>
      </c>
      <c r="DM253" s="27" t="s">
        <v>8</v>
      </c>
      <c r="DN253" s="27" t="s">
        <v>7</v>
      </c>
      <c r="DO253" s="27" t="s">
        <v>8</v>
      </c>
      <c r="DP253" s="27" t="s">
        <v>7</v>
      </c>
      <c r="DQ253" s="27" t="s">
        <v>8</v>
      </c>
      <c r="DR253" s="27" t="s">
        <v>7</v>
      </c>
      <c r="DS253" s="27" t="s">
        <v>8</v>
      </c>
      <c r="DT253" s="27" t="s">
        <v>7</v>
      </c>
      <c r="DV253" s="27" t="s">
        <v>7</v>
      </c>
      <c r="DY253" s="32" t="s">
        <v>8</v>
      </c>
      <c r="DZ253" s="31"/>
      <c r="EU253" s="27" t="s">
        <v>8</v>
      </c>
      <c r="EV253" s="27" t="s">
        <v>7</v>
      </c>
      <c r="EW253" s="27" t="s">
        <v>8</v>
      </c>
      <c r="EX253" s="27" t="s">
        <v>7</v>
      </c>
      <c r="EY253" s="27" t="s">
        <v>8</v>
      </c>
      <c r="EZ253" s="27" t="s">
        <v>7</v>
      </c>
      <c r="FA253" s="27" t="s">
        <v>8</v>
      </c>
      <c r="FC253" s="27" t="s">
        <v>8</v>
      </c>
      <c r="FD253" s="27" t="s">
        <v>7</v>
      </c>
      <c r="FE253" s="27" t="s">
        <v>8</v>
      </c>
      <c r="FG253" s="27" t="s">
        <v>8</v>
      </c>
      <c r="FH253" s="27" t="s">
        <v>7</v>
      </c>
      <c r="FI253" s="27" t="s">
        <v>8</v>
      </c>
      <c r="FM253" s="27" t="s">
        <v>8</v>
      </c>
      <c r="FN253" s="27" t="s">
        <v>7</v>
      </c>
      <c r="FO253" s="27" t="s">
        <v>8</v>
      </c>
      <c r="FP253" s="27" t="s">
        <v>7</v>
      </c>
    </row>
    <row r="254" spans="1:172" x14ac:dyDescent="0.25">
      <c r="A254" s="30">
        <v>0.50506795299551588</v>
      </c>
      <c r="B254"/>
      <c r="C254"/>
      <c r="D254"/>
      <c r="E254"/>
      <c r="F254" s="27" t="s">
        <v>7</v>
      </c>
      <c r="CQ254" s="27" t="s">
        <v>8</v>
      </c>
      <c r="CR254" s="27" t="s">
        <v>7</v>
      </c>
      <c r="CU254" s="27" t="s">
        <v>8</v>
      </c>
      <c r="CV254" s="27" t="s">
        <v>7</v>
      </c>
      <c r="DI254" s="27" t="s">
        <v>8</v>
      </c>
      <c r="DJ254" s="27" t="s">
        <v>7</v>
      </c>
      <c r="DK254" s="27" t="s">
        <v>8</v>
      </c>
      <c r="DL254" s="27" t="s">
        <v>7</v>
      </c>
      <c r="DN254" s="27" t="s">
        <v>7</v>
      </c>
      <c r="DO254" s="27" t="s">
        <v>8</v>
      </c>
      <c r="DP254" s="27" t="s">
        <v>7</v>
      </c>
      <c r="DQ254" s="27" t="s">
        <v>8</v>
      </c>
      <c r="DR254" s="27" t="s">
        <v>7</v>
      </c>
      <c r="DS254" s="27" t="s">
        <v>8</v>
      </c>
      <c r="DV254" s="33" t="s">
        <v>7</v>
      </c>
      <c r="DW254" s="27" t="s">
        <v>8</v>
      </c>
      <c r="DY254" s="27" t="s">
        <v>8</v>
      </c>
      <c r="DZ254" s="27" t="s">
        <v>7</v>
      </c>
      <c r="EA254" s="31"/>
      <c r="EU254" s="27" t="s">
        <v>8</v>
      </c>
      <c r="EV254" s="27" t="s">
        <v>7</v>
      </c>
      <c r="EW254" s="27" t="s">
        <v>8</v>
      </c>
      <c r="EX254" s="27" t="s">
        <v>7</v>
      </c>
      <c r="EY254" s="27" t="s">
        <v>8</v>
      </c>
      <c r="EZ254" s="27" t="s">
        <v>7</v>
      </c>
      <c r="FA254" s="27" t="s">
        <v>8</v>
      </c>
      <c r="FB254" s="27" t="s">
        <v>7</v>
      </c>
      <c r="FC254" s="27" t="s">
        <v>8</v>
      </c>
      <c r="FD254" s="27" t="s">
        <v>7</v>
      </c>
      <c r="FE254" s="27" t="s">
        <v>8</v>
      </c>
      <c r="FF254" s="27" t="s">
        <v>7</v>
      </c>
      <c r="FG254" s="27" t="s">
        <v>8</v>
      </c>
      <c r="FH254" s="27" t="s">
        <v>7</v>
      </c>
      <c r="FI254" s="27" t="s">
        <v>8</v>
      </c>
      <c r="FJ254" s="27" t="s">
        <v>7</v>
      </c>
      <c r="FK254" s="27" t="s">
        <v>8</v>
      </c>
      <c r="FM254" s="27" t="s">
        <v>8</v>
      </c>
      <c r="FN254" s="27" t="s">
        <v>7</v>
      </c>
      <c r="FP254" s="27" t="s">
        <v>7</v>
      </c>
    </row>
    <row r="255" spans="1:172" x14ac:dyDescent="0.25">
      <c r="A255" s="30">
        <v>0.48101709809096732</v>
      </c>
      <c r="E255"/>
      <c r="F255" s="27" t="s">
        <v>7</v>
      </c>
      <c r="CQ255" s="27" t="s">
        <v>8</v>
      </c>
      <c r="CR255" s="27" t="s">
        <v>7</v>
      </c>
      <c r="CS255" s="27" t="s">
        <v>8</v>
      </c>
      <c r="CU255" s="27" t="s">
        <v>8</v>
      </c>
      <c r="CV255" s="27" t="s">
        <v>7</v>
      </c>
      <c r="DC255" s="27" t="s">
        <v>8</v>
      </c>
      <c r="DE255" s="27" t="s">
        <v>8</v>
      </c>
      <c r="DG255" s="27" t="s">
        <v>8</v>
      </c>
      <c r="DI255" s="27" t="s">
        <v>8</v>
      </c>
      <c r="DJ255" s="27" t="s">
        <v>7</v>
      </c>
      <c r="DK255" s="27" t="s">
        <v>8</v>
      </c>
      <c r="DN255" s="33" t="s">
        <v>7</v>
      </c>
      <c r="DO255" s="27" t="s">
        <v>8</v>
      </c>
      <c r="DP255" s="27" t="s">
        <v>7</v>
      </c>
      <c r="DR255" s="27" t="s">
        <v>7</v>
      </c>
      <c r="DS255" s="27" t="s">
        <v>8</v>
      </c>
      <c r="DV255" s="27" t="s">
        <v>7</v>
      </c>
      <c r="DW255" s="27" t="s">
        <v>8</v>
      </c>
      <c r="DX255" s="27" t="s">
        <v>7</v>
      </c>
      <c r="DY255" s="27" t="s">
        <v>8</v>
      </c>
      <c r="DZ255" s="27" t="s">
        <v>7</v>
      </c>
      <c r="EB255" s="31"/>
      <c r="EU255" s="27" t="s">
        <v>8</v>
      </c>
      <c r="EV255" s="27" t="s">
        <v>7</v>
      </c>
      <c r="EW255" s="27" t="s">
        <v>8</v>
      </c>
      <c r="EX255" s="27" t="s">
        <v>7</v>
      </c>
      <c r="EY255" s="27" t="s">
        <v>8</v>
      </c>
      <c r="EZ255" s="27" t="s">
        <v>7</v>
      </c>
      <c r="FA255" s="27" t="s">
        <v>8</v>
      </c>
      <c r="FB255" s="27" t="s">
        <v>7</v>
      </c>
      <c r="FC255" s="27" t="s">
        <v>8</v>
      </c>
      <c r="FD255" s="27" t="s">
        <v>7</v>
      </c>
      <c r="FE255" s="27" t="s">
        <v>8</v>
      </c>
      <c r="FF255" s="27" t="s">
        <v>7</v>
      </c>
      <c r="FG255" s="27" t="s">
        <v>8</v>
      </c>
      <c r="FH255" s="27" t="s">
        <v>7</v>
      </c>
      <c r="FI255" s="27" t="s">
        <v>8</v>
      </c>
      <c r="FJ255" s="27" t="s">
        <v>7</v>
      </c>
      <c r="FK255" s="27" t="s">
        <v>8</v>
      </c>
      <c r="FL255" s="27" t="s">
        <v>7</v>
      </c>
      <c r="FM255" s="27" t="s">
        <v>8</v>
      </c>
      <c r="FP255" s="27" t="s">
        <v>7</v>
      </c>
    </row>
    <row r="256" spans="1:172" x14ac:dyDescent="0.25">
      <c r="A256" s="30">
        <v>0.45811152199139726</v>
      </c>
      <c r="E256"/>
      <c r="F256" s="27" t="s">
        <v>7</v>
      </c>
      <c r="CQ256" s="27" t="s">
        <v>8</v>
      </c>
      <c r="CR256" s="27" t="s">
        <v>7</v>
      </c>
      <c r="CS256" s="27" t="s">
        <v>8</v>
      </c>
      <c r="CT256" s="27" t="s">
        <v>7</v>
      </c>
      <c r="CU256" s="27" t="s">
        <v>8</v>
      </c>
      <c r="CV256" s="27" t="s">
        <v>7</v>
      </c>
      <c r="DC256" s="27" t="s">
        <v>8</v>
      </c>
      <c r="DD256" s="27" t="s">
        <v>7</v>
      </c>
      <c r="DE256" s="27" t="s">
        <v>8</v>
      </c>
      <c r="DF256" s="27" t="s">
        <v>7</v>
      </c>
      <c r="DG256" s="27" t="s">
        <v>8</v>
      </c>
      <c r="DH256" s="27" t="s">
        <v>7</v>
      </c>
      <c r="DI256" s="27" t="s">
        <v>8</v>
      </c>
      <c r="DJ256" s="27" t="s">
        <v>7</v>
      </c>
      <c r="DK256" s="27" t="s">
        <v>8</v>
      </c>
      <c r="DN256" s="27" t="s">
        <v>7</v>
      </c>
      <c r="DR256" s="27" t="s">
        <v>7</v>
      </c>
      <c r="DS256" s="27" t="s">
        <v>8</v>
      </c>
      <c r="DV256" s="27" t="s">
        <v>7</v>
      </c>
      <c r="DW256" s="27" t="s">
        <v>8</v>
      </c>
      <c r="DX256" s="27" t="s">
        <v>7</v>
      </c>
      <c r="DY256" s="27" t="s">
        <v>8</v>
      </c>
      <c r="DZ256" s="27" t="s">
        <v>7</v>
      </c>
      <c r="EC256" s="31"/>
      <c r="EU256" s="27" t="s">
        <v>8</v>
      </c>
      <c r="EV256" s="27" t="s">
        <v>7</v>
      </c>
      <c r="EW256" s="27" t="s">
        <v>8</v>
      </c>
      <c r="EX256" s="27" t="s">
        <v>7</v>
      </c>
      <c r="EZ256" s="27" t="s">
        <v>7</v>
      </c>
      <c r="FA256" s="27" t="s">
        <v>8</v>
      </c>
      <c r="FB256" s="27" t="s">
        <v>7</v>
      </c>
      <c r="FC256" s="27" t="s">
        <v>8</v>
      </c>
      <c r="FD256" s="27" t="s">
        <v>7</v>
      </c>
      <c r="FF256" s="27" t="s">
        <v>7</v>
      </c>
      <c r="FG256" s="27" t="s">
        <v>8</v>
      </c>
      <c r="FH256" s="27" t="s">
        <v>7</v>
      </c>
      <c r="FJ256" s="27" t="s">
        <v>7</v>
      </c>
      <c r="FK256" s="27" t="s">
        <v>8</v>
      </c>
      <c r="FL256" s="27" t="s">
        <v>7</v>
      </c>
      <c r="FM256" s="27" t="s">
        <v>8</v>
      </c>
      <c r="FP256" s="27" t="s">
        <v>7</v>
      </c>
    </row>
    <row r="257" spans="1:181" x14ac:dyDescent="0.25">
      <c r="A257" s="30">
        <v>0.43629668761085438</v>
      </c>
      <c r="B257"/>
      <c r="C257"/>
      <c r="D257"/>
      <c r="E257"/>
      <c r="F257" s="27" t="s">
        <v>7</v>
      </c>
      <c r="CQ257" s="27" t="s">
        <v>8</v>
      </c>
      <c r="CR257" s="27" t="s">
        <v>7</v>
      </c>
      <c r="CS257" s="27" t="s">
        <v>8</v>
      </c>
      <c r="CT257" s="27" t="s">
        <v>7</v>
      </c>
      <c r="CU257" s="27" t="s">
        <v>8</v>
      </c>
      <c r="CV257" s="27" t="s">
        <v>7</v>
      </c>
      <c r="DC257" s="27" t="s">
        <v>8</v>
      </c>
      <c r="DD257" s="27" t="s">
        <v>7</v>
      </c>
      <c r="DE257" s="27" t="s">
        <v>8</v>
      </c>
      <c r="DF257" s="27" t="s">
        <v>7</v>
      </c>
      <c r="DG257" s="27" t="s">
        <v>8</v>
      </c>
      <c r="DH257" s="27" t="s">
        <v>7</v>
      </c>
      <c r="DI257" s="27" t="s">
        <v>8</v>
      </c>
      <c r="DJ257" s="27" t="s">
        <v>7</v>
      </c>
      <c r="DK257" s="27" t="s">
        <v>8</v>
      </c>
      <c r="DR257" s="27" t="s">
        <v>7</v>
      </c>
      <c r="DS257" s="27" t="s">
        <v>8</v>
      </c>
      <c r="DV257" s="27" t="s">
        <v>7</v>
      </c>
      <c r="DX257" s="27" t="s">
        <v>7</v>
      </c>
      <c r="DY257" s="27" t="s">
        <v>8</v>
      </c>
      <c r="DZ257" s="27" t="s">
        <v>7</v>
      </c>
      <c r="ED257" s="31"/>
      <c r="EU257" s="27" t="s">
        <v>8</v>
      </c>
      <c r="EV257" s="27" t="s">
        <v>7</v>
      </c>
      <c r="EW257" s="27" t="s">
        <v>8</v>
      </c>
      <c r="EZ257" s="27" t="s">
        <v>7</v>
      </c>
      <c r="FA257" s="27" t="s">
        <v>8</v>
      </c>
      <c r="FB257" s="27" t="s">
        <v>7</v>
      </c>
      <c r="FC257" s="27" t="s">
        <v>8</v>
      </c>
      <c r="FF257" s="27" t="s">
        <v>7</v>
      </c>
      <c r="FG257" s="27" t="s">
        <v>8</v>
      </c>
      <c r="FJ257" s="27" t="s">
        <v>7</v>
      </c>
      <c r="FL257" s="27" t="s">
        <v>7</v>
      </c>
      <c r="FM257" s="27" t="s">
        <v>8</v>
      </c>
      <c r="FP257" s="27" t="s">
        <v>7</v>
      </c>
      <c r="FW257" s="27" t="s">
        <v>8</v>
      </c>
    </row>
    <row r="258" spans="1:181" x14ac:dyDescent="0.25">
      <c r="A258" s="30">
        <v>0.41552065486748019</v>
      </c>
      <c r="B258"/>
      <c r="C258"/>
      <c r="D258"/>
      <c r="E258"/>
      <c r="F258" s="27" t="s">
        <v>7</v>
      </c>
      <c r="CQ258" s="27" t="s">
        <v>8</v>
      </c>
      <c r="CR258" s="27" t="s">
        <v>7</v>
      </c>
      <c r="CS258" s="27" t="s">
        <v>8</v>
      </c>
      <c r="CT258" s="27" t="s">
        <v>7</v>
      </c>
      <c r="CV258" s="27" t="s">
        <v>7</v>
      </c>
      <c r="DA258" s="27" t="s">
        <v>8</v>
      </c>
      <c r="DC258" s="27" t="s">
        <v>8</v>
      </c>
      <c r="DD258" s="27" t="s">
        <v>7</v>
      </c>
      <c r="DF258" s="27" t="s">
        <v>7</v>
      </c>
      <c r="DG258" s="27" t="s">
        <v>8</v>
      </c>
      <c r="DH258" s="27" t="s">
        <v>7</v>
      </c>
      <c r="DJ258" s="27" t="s">
        <v>7</v>
      </c>
      <c r="DR258" s="27" t="s">
        <v>7</v>
      </c>
      <c r="DS258" s="27" t="s">
        <v>8</v>
      </c>
      <c r="DX258" s="27" t="s">
        <v>7</v>
      </c>
      <c r="DY258" s="27" t="s">
        <v>8</v>
      </c>
      <c r="DZ258" s="27" t="s">
        <v>7</v>
      </c>
      <c r="EA258" s="27" t="s">
        <v>8</v>
      </c>
      <c r="EE258" s="31"/>
      <c r="EU258" s="27" t="s">
        <v>8</v>
      </c>
      <c r="EV258" s="27" t="s">
        <v>7</v>
      </c>
      <c r="EZ258" s="27" t="s">
        <v>7</v>
      </c>
      <c r="FA258" s="27" t="s">
        <v>8</v>
      </c>
      <c r="FB258" s="27" t="s">
        <v>7</v>
      </c>
      <c r="FC258" s="27" t="s">
        <v>8</v>
      </c>
      <c r="FF258" s="27" t="s">
        <v>7</v>
      </c>
      <c r="FG258" s="27" t="s">
        <v>8</v>
      </c>
      <c r="FL258" s="27" t="s">
        <v>7</v>
      </c>
      <c r="FP258" s="27" t="s">
        <v>7</v>
      </c>
      <c r="FS258" s="27" t="s">
        <v>8</v>
      </c>
      <c r="FW258" s="27" t="s">
        <v>8</v>
      </c>
      <c r="FX258" s="27" t="s">
        <v>7</v>
      </c>
    </row>
    <row r="259" spans="1:181" x14ac:dyDescent="0.25">
      <c r="A259" s="30">
        <v>0.39573395701664765</v>
      </c>
      <c r="B259"/>
      <c r="C259"/>
      <c r="D259"/>
      <c r="E259"/>
      <c r="F259" s="27" t="s">
        <v>7</v>
      </c>
      <c r="CQ259" s="27" t="s">
        <v>8</v>
      </c>
      <c r="CR259" s="27" t="s">
        <v>7</v>
      </c>
      <c r="CV259" s="27" t="s">
        <v>7</v>
      </c>
      <c r="CW259" s="27" t="s">
        <v>8</v>
      </c>
      <c r="CY259" s="27" t="s">
        <v>8</v>
      </c>
      <c r="DA259" s="27" t="s">
        <v>8</v>
      </c>
      <c r="DB259" s="27" t="s">
        <v>7</v>
      </c>
      <c r="DC259" s="27" t="s">
        <v>8</v>
      </c>
      <c r="DF259" s="27" t="s">
        <v>7</v>
      </c>
      <c r="DR259" s="27" t="s">
        <v>7</v>
      </c>
      <c r="DS259" s="27" t="s">
        <v>8</v>
      </c>
      <c r="DX259" s="27" t="s">
        <v>7</v>
      </c>
      <c r="DY259" s="27" t="s">
        <v>8</v>
      </c>
      <c r="DZ259" s="27" t="s">
        <v>7</v>
      </c>
      <c r="EA259" s="27" t="s">
        <v>8</v>
      </c>
      <c r="EB259" s="27" t="s">
        <v>7</v>
      </c>
      <c r="EF259" s="31"/>
      <c r="EU259" s="27" t="s">
        <v>8</v>
      </c>
      <c r="EZ259" s="27" t="s">
        <v>7</v>
      </c>
      <c r="FA259" s="27" t="s">
        <v>8</v>
      </c>
      <c r="FB259" s="27" t="s">
        <v>7</v>
      </c>
      <c r="FF259" s="27" t="s">
        <v>7</v>
      </c>
      <c r="FP259" s="27" t="s">
        <v>7</v>
      </c>
      <c r="FQ259" s="27" t="s">
        <v>8</v>
      </c>
      <c r="FS259" s="27" t="s">
        <v>8</v>
      </c>
      <c r="FT259" s="27" t="s">
        <v>7</v>
      </c>
      <c r="FW259" s="27" t="s">
        <v>8</v>
      </c>
      <c r="FX259" s="27" t="s">
        <v>7</v>
      </c>
    </row>
    <row r="260" spans="1:181" x14ac:dyDescent="0.25">
      <c r="A260" s="30">
        <v>0.37688948287299762</v>
      </c>
      <c r="B260"/>
      <c r="C260"/>
      <c r="D260"/>
      <c r="E260"/>
      <c r="F260" s="27" t="s">
        <v>7</v>
      </c>
      <c r="CQ260" s="27" t="s">
        <v>8</v>
      </c>
      <c r="CV260" s="27" t="s">
        <v>7</v>
      </c>
      <c r="CW260" s="27" t="s">
        <v>8</v>
      </c>
      <c r="CX260" s="27" t="s">
        <v>7</v>
      </c>
      <c r="CY260" s="27" t="s">
        <v>8</v>
      </c>
      <c r="CZ260" s="27" t="s">
        <v>7</v>
      </c>
      <c r="DA260" s="27" t="s">
        <v>8</v>
      </c>
      <c r="DB260" s="27" t="s">
        <v>7</v>
      </c>
      <c r="DC260" s="27" t="s">
        <v>8</v>
      </c>
      <c r="DR260" s="27" t="s">
        <v>7</v>
      </c>
      <c r="DS260" s="27" t="s">
        <v>8</v>
      </c>
      <c r="DX260" s="27" t="s">
        <v>7</v>
      </c>
      <c r="DY260" s="27" t="s">
        <v>8</v>
      </c>
      <c r="DZ260" s="27" t="s">
        <v>7</v>
      </c>
      <c r="EA260" s="27" t="s">
        <v>8</v>
      </c>
      <c r="EB260" s="27" t="s">
        <v>7</v>
      </c>
      <c r="EC260" s="27" t="s">
        <v>8</v>
      </c>
      <c r="EG260" s="31"/>
      <c r="ES260" s="27" t="s">
        <v>8</v>
      </c>
      <c r="EU260" s="27" t="s">
        <v>8</v>
      </c>
      <c r="EZ260" s="27" t="s">
        <v>7</v>
      </c>
      <c r="FP260" s="27" t="s">
        <v>7</v>
      </c>
      <c r="FQ260" s="27" t="s">
        <v>8</v>
      </c>
      <c r="FR260" s="27" t="s">
        <v>7</v>
      </c>
      <c r="FS260" s="27" t="s">
        <v>8</v>
      </c>
      <c r="FT260" s="27" t="s">
        <v>7</v>
      </c>
      <c r="FU260" s="27" t="s">
        <v>8</v>
      </c>
      <c r="FW260" s="27" t="s">
        <v>8</v>
      </c>
      <c r="FX260" s="27" t="s">
        <v>7</v>
      </c>
    </row>
    <row r="261" spans="1:181" x14ac:dyDescent="0.25">
      <c r="A261" s="30">
        <v>0.35894236464094997</v>
      </c>
      <c r="B261"/>
      <c r="C261"/>
      <c r="D261"/>
      <c r="E261"/>
      <c r="F261" s="27" t="s">
        <v>7</v>
      </c>
      <c r="CQ261" s="27" t="s">
        <v>8</v>
      </c>
      <c r="CV261" s="27" t="s">
        <v>7</v>
      </c>
      <c r="CW261" s="27" t="s">
        <v>8</v>
      </c>
      <c r="CX261" s="27" t="s">
        <v>7</v>
      </c>
      <c r="CY261" s="27" t="s">
        <v>8</v>
      </c>
      <c r="CZ261" s="27" t="s">
        <v>7</v>
      </c>
      <c r="DA261" s="27" t="s">
        <v>8</v>
      </c>
      <c r="DB261" s="27" t="s">
        <v>7</v>
      </c>
      <c r="DR261" s="27" t="s">
        <v>7</v>
      </c>
      <c r="DS261" s="27" t="s">
        <v>8</v>
      </c>
      <c r="DX261" s="27" t="s">
        <v>7</v>
      </c>
      <c r="DY261" s="27" t="s">
        <v>8</v>
      </c>
      <c r="DZ261" s="27" t="s">
        <v>7</v>
      </c>
      <c r="EA261" s="27" t="s">
        <v>8</v>
      </c>
      <c r="EB261" s="27" t="s">
        <v>7</v>
      </c>
      <c r="EC261" s="27" t="s">
        <v>8</v>
      </c>
      <c r="ED261" s="27" t="s">
        <v>7</v>
      </c>
      <c r="EH261" s="31"/>
      <c r="EQ261" s="27" t="s">
        <v>8</v>
      </c>
      <c r="ES261" s="27" t="s">
        <v>8</v>
      </c>
      <c r="ET261" s="27" t="s">
        <v>7</v>
      </c>
      <c r="EU261" s="27" t="s">
        <v>8</v>
      </c>
      <c r="FP261" s="27" t="s">
        <v>7</v>
      </c>
      <c r="FQ261" s="27" t="s">
        <v>8</v>
      </c>
      <c r="FR261" s="27" t="s">
        <v>7</v>
      </c>
      <c r="FS261" s="27" t="s">
        <v>8</v>
      </c>
      <c r="FT261" s="27" t="s">
        <v>7</v>
      </c>
      <c r="FU261" s="27" t="s">
        <v>8</v>
      </c>
      <c r="FV261" s="27" t="s">
        <v>7</v>
      </c>
      <c r="FW261" s="27" t="s">
        <v>8</v>
      </c>
      <c r="FX261" s="27" t="s">
        <v>7</v>
      </c>
    </row>
    <row r="262" spans="1:181" x14ac:dyDescent="0.25">
      <c r="A262" s="30">
        <v>0.34184987108661891</v>
      </c>
      <c r="B262"/>
      <c r="C262"/>
      <c r="D262"/>
      <c r="E262"/>
      <c r="F262" s="27" t="s">
        <v>7</v>
      </c>
      <c r="CQ262" s="27" t="s">
        <v>8</v>
      </c>
      <c r="CV262" s="27" t="s">
        <v>7</v>
      </c>
      <c r="CW262" s="27" t="s">
        <v>8</v>
      </c>
      <c r="CX262" s="27" t="s">
        <v>7</v>
      </c>
      <c r="CY262" s="27" t="s">
        <v>8</v>
      </c>
      <c r="CZ262" s="27" t="s">
        <v>7</v>
      </c>
      <c r="DA262" s="27" t="s">
        <v>8</v>
      </c>
      <c r="DR262" s="27" t="s">
        <v>7</v>
      </c>
      <c r="DS262" s="27" t="s">
        <v>8</v>
      </c>
      <c r="DX262" s="27" t="s">
        <v>7</v>
      </c>
      <c r="DY262" s="27" t="s">
        <v>8</v>
      </c>
      <c r="DZ262" s="27" t="s">
        <v>7</v>
      </c>
      <c r="EA262" s="27" t="s">
        <v>8</v>
      </c>
      <c r="EB262" s="27" t="s">
        <v>7</v>
      </c>
      <c r="EC262" s="27" t="s">
        <v>8</v>
      </c>
      <c r="ED262" s="27" t="s">
        <v>7</v>
      </c>
      <c r="EI262" s="31"/>
      <c r="EQ262" s="27" t="s">
        <v>8</v>
      </c>
      <c r="ER262" s="27" t="s">
        <v>7</v>
      </c>
      <c r="ES262" s="27" t="s">
        <v>8</v>
      </c>
      <c r="ET262" s="27" t="s">
        <v>7</v>
      </c>
      <c r="EU262" s="27" t="s">
        <v>8</v>
      </c>
      <c r="FP262" s="27" t="s">
        <v>7</v>
      </c>
      <c r="FQ262" s="27" t="s">
        <v>8</v>
      </c>
      <c r="FR262" s="27" t="s">
        <v>7</v>
      </c>
      <c r="FS262" s="27" t="s">
        <v>8</v>
      </c>
      <c r="FT262" s="27" t="s">
        <v>7</v>
      </c>
      <c r="FU262" s="27" t="s">
        <v>8</v>
      </c>
      <c r="FV262" s="27" t="s">
        <v>7</v>
      </c>
      <c r="FW262" s="27" t="s">
        <v>8</v>
      </c>
      <c r="FX262" s="27" t="s">
        <v>7</v>
      </c>
    </row>
    <row r="263" spans="1:181" x14ac:dyDescent="0.25">
      <c r="A263" s="30">
        <v>0.32557130579677979</v>
      </c>
      <c r="B263"/>
      <c r="C263"/>
      <c r="D263"/>
      <c r="E263"/>
      <c r="F263" s="27" t="s">
        <v>7</v>
      </c>
      <c r="CQ263" s="27" t="s">
        <v>8</v>
      </c>
      <c r="CV263" s="27" t="s">
        <v>7</v>
      </c>
      <c r="CW263" s="27" t="s">
        <v>8</v>
      </c>
      <c r="CX263" s="27" t="s">
        <v>7</v>
      </c>
      <c r="CZ263" s="27" t="s">
        <v>7</v>
      </c>
      <c r="DA263" s="27" t="s">
        <v>8</v>
      </c>
      <c r="DR263" s="27" t="s">
        <v>7</v>
      </c>
      <c r="DS263" s="27" t="s">
        <v>8</v>
      </c>
      <c r="DX263" s="27" t="s">
        <v>7</v>
      </c>
      <c r="DY263" s="27" t="s">
        <v>8</v>
      </c>
      <c r="DZ263" s="27" t="s">
        <v>7</v>
      </c>
      <c r="EA263" s="27" t="s">
        <v>8</v>
      </c>
      <c r="EB263" s="27" t="s">
        <v>7</v>
      </c>
      <c r="EC263" s="27" t="s">
        <v>8</v>
      </c>
      <c r="ED263" s="27" t="s">
        <v>7</v>
      </c>
      <c r="EJ263" s="31"/>
      <c r="EQ263" s="27" t="s">
        <v>8</v>
      </c>
      <c r="ER263" s="27" t="s">
        <v>7</v>
      </c>
      <c r="ES263" s="27" t="s">
        <v>8</v>
      </c>
      <c r="ET263" s="27" t="s">
        <v>7</v>
      </c>
      <c r="EU263" s="27" t="s">
        <v>8</v>
      </c>
      <c r="EX263" s="31"/>
      <c r="FP263" s="27" t="s">
        <v>7</v>
      </c>
      <c r="FQ263" s="27" t="s">
        <v>8</v>
      </c>
      <c r="FR263" s="27" t="s">
        <v>7</v>
      </c>
      <c r="FT263" s="27" t="s">
        <v>7</v>
      </c>
      <c r="FU263" s="27" t="s">
        <v>8</v>
      </c>
      <c r="FV263" s="27" t="s">
        <v>7</v>
      </c>
      <c r="FX263" s="27" t="s">
        <v>7</v>
      </c>
    </row>
    <row r="264" spans="1:181" x14ac:dyDescent="0.25">
      <c r="A264" s="30">
        <v>0.3100679102826473</v>
      </c>
      <c r="B264"/>
      <c r="C264"/>
      <c r="D264"/>
      <c r="E264"/>
      <c r="F264" s="27" t="s">
        <v>7</v>
      </c>
      <c r="CQ264" s="27" t="s">
        <v>8</v>
      </c>
      <c r="CV264" s="27" t="s">
        <v>7</v>
      </c>
      <c r="CW264" s="27" t="s">
        <v>8</v>
      </c>
      <c r="CZ264" s="27" t="s">
        <v>7</v>
      </c>
      <c r="DR264" s="27" t="s">
        <v>7</v>
      </c>
      <c r="DS264" s="27" t="s">
        <v>8</v>
      </c>
      <c r="DX264" s="27" t="s">
        <v>7</v>
      </c>
      <c r="DY264" s="27" t="s">
        <v>8</v>
      </c>
      <c r="DZ264" s="27" t="s">
        <v>7</v>
      </c>
      <c r="EA264" s="27" t="s">
        <v>8</v>
      </c>
      <c r="EB264" s="27" t="s">
        <v>7</v>
      </c>
      <c r="EC264" s="27" t="s">
        <v>8</v>
      </c>
      <c r="ED264" s="27" t="s">
        <v>7</v>
      </c>
      <c r="EE264" s="27" t="s">
        <v>8</v>
      </c>
      <c r="EK264" s="31"/>
      <c r="EM264" s="32" t="s">
        <v>8</v>
      </c>
      <c r="EQ264" s="27" t="s">
        <v>8</v>
      </c>
      <c r="ER264" s="27" t="s">
        <v>7</v>
      </c>
      <c r="ES264" s="27" t="s">
        <v>8</v>
      </c>
      <c r="ET264" s="27" t="s">
        <v>7</v>
      </c>
      <c r="EW264" s="31"/>
      <c r="FP264" s="27" t="s">
        <v>7</v>
      </c>
      <c r="FT264" s="27" t="s">
        <v>7</v>
      </c>
      <c r="FX264" s="27" t="s">
        <v>7</v>
      </c>
    </row>
    <row r="265" spans="1:181" x14ac:dyDescent="0.25">
      <c r="A265" s="30">
        <v>0.2953027716977592</v>
      </c>
      <c r="B265"/>
      <c r="C265"/>
      <c r="D265"/>
      <c r="E265"/>
      <c r="F265" s="27" t="s">
        <v>7</v>
      </c>
      <c r="CO265" s="27" t="s">
        <v>8</v>
      </c>
      <c r="CQ265" s="27" t="s">
        <v>8</v>
      </c>
      <c r="CV265" s="27" t="s">
        <v>7</v>
      </c>
      <c r="CW265" s="27" t="s">
        <v>8</v>
      </c>
      <c r="DR265" s="27" t="s">
        <v>7</v>
      </c>
      <c r="DS265" s="27" t="s">
        <v>8</v>
      </c>
      <c r="DX265" s="27" t="s">
        <v>7</v>
      </c>
      <c r="DY265" s="27" t="s">
        <v>8</v>
      </c>
      <c r="DZ265" s="27" t="s">
        <v>7</v>
      </c>
      <c r="EA265" s="27" t="s">
        <v>8</v>
      </c>
      <c r="EB265" s="27" t="s">
        <v>7</v>
      </c>
      <c r="ED265" s="27" t="s">
        <v>7</v>
      </c>
      <c r="EE265" s="27" t="s">
        <v>8</v>
      </c>
      <c r="EF265" s="27" t="s">
        <v>7</v>
      </c>
      <c r="EK265" s="27" t="s">
        <v>8</v>
      </c>
      <c r="EL265" s="31"/>
      <c r="EM265" s="27" t="s">
        <v>8</v>
      </c>
      <c r="EN265" s="27" t="s">
        <v>7</v>
      </c>
      <c r="EO265" s="27" t="s">
        <v>8</v>
      </c>
      <c r="EQ265" s="27" t="s">
        <v>8</v>
      </c>
      <c r="ER265" s="27" t="s">
        <v>7</v>
      </c>
      <c r="EV265" s="31"/>
      <c r="FX265" s="27" t="s">
        <v>7</v>
      </c>
    </row>
    <row r="266" spans="1:181" x14ac:dyDescent="0.25">
      <c r="A266" s="30">
        <v>0.28124073495024676</v>
      </c>
      <c r="B266"/>
      <c r="C266"/>
      <c r="D266"/>
      <c r="E266"/>
      <c r="F266" s="27" t="s">
        <v>7</v>
      </c>
      <c r="CO266" s="27" t="s">
        <v>8</v>
      </c>
      <c r="CP266" s="27" t="s">
        <v>7</v>
      </c>
      <c r="CQ266" s="27" t="s">
        <v>8</v>
      </c>
      <c r="CV266" s="27" t="s">
        <v>7</v>
      </c>
      <c r="CW266" s="27" t="s">
        <v>8</v>
      </c>
      <c r="DR266" s="27" t="s">
        <v>7</v>
      </c>
      <c r="DX266" s="27" t="s">
        <v>7</v>
      </c>
      <c r="DY266" s="27" t="s">
        <v>8</v>
      </c>
      <c r="DZ266" s="27" t="s">
        <v>7</v>
      </c>
      <c r="EA266" s="27" t="s">
        <v>8</v>
      </c>
      <c r="ED266" s="33" t="s">
        <v>7</v>
      </c>
      <c r="EE266" s="27" t="s">
        <v>8</v>
      </c>
      <c r="EF266" s="27" t="s">
        <v>7</v>
      </c>
      <c r="EK266" s="27" t="s">
        <v>8</v>
      </c>
      <c r="EL266" s="27" t="s">
        <v>7</v>
      </c>
      <c r="EM266" s="31" t="s">
        <v>8</v>
      </c>
      <c r="EN266" s="27" t="s">
        <v>7</v>
      </c>
      <c r="EO266" s="27" t="s">
        <v>8</v>
      </c>
      <c r="EP266" s="27" t="s">
        <v>7</v>
      </c>
      <c r="EQ266" s="27" t="s">
        <v>8</v>
      </c>
      <c r="EU266" s="31"/>
      <c r="FX266" s="27" t="s">
        <v>7</v>
      </c>
    </row>
    <row r="267" spans="1:181" x14ac:dyDescent="0.25">
      <c r="A267" s="30">
        <v>0.26784831900023492</v>
      </c>
      <c r="B267"/>
      <c r="C267"/>
      <c r="D267"/>
      <c r="E267"/>
      <c r="F267" s="27" t="s">
        <v>7</v>
      </c>
      <c r="CO267" s="27" t="s">
        <v>8</v>
      </c>
      <c r="CP267" s="27" t="s">
        <v>7</v>
      </c>
      <c r="CQ267" s="27" t="s">
        <v>8</v>
      </c>
      <c r="CV267" s="27" t="s">
        <v>7</v>
      </c>
      <c r="DX267" s="27" t="s">
        <v>7</v>
      </c>
      <c r="DY267" s="27" t="s">
        <v>8</v>
      </c>
      <c r="DZ267" s="27" t="s">
        <v>7</v>
      </c>
      <c r="EA267" s="27" t="s">
        <v>8</v>
      </c>
      <c r="ED267" s="27" t="s">
        <v>7</v>
      </c>
      <c r="EF267" s="27" t="s">
        <v>7</v>
      </c>
      <c r="EK267" s="27" t="s">
        <v>8</v>
      </c>
      <c r="EL267" s="27" t="s">
        <v>7</v>
      </c>
      <c r="EM267" s="27" t="s">
        <v>8</v>
      </c>
      <c r="EN267" s="27" t="s">
        <v>7</v>
      </c>
      <c r="EO267" s="27" t="s">
        <v>8</v>
      </c>
      <c r="EP267" s="27" t="s">
        <v>7</v>
      </c>
      <c r="EQ267" s="27" t="s">
        <v>8</v>
      </c>
      <c r="ET267" s="31"/>
      <c r="FX267" s="27" t="s">
        <v>7</v>
      </c>
    </row>
    <row r="268" spans="1:181" x14ac:dyDescent="0.25">
      <c r="A268" s="30">
        <v>0.25509363714308075</v>
      </c>
      <c r="B268"/>
      <c r="C268"/>
      <c r="D268"/>
      <c r="E268"/>
      <c r="F268" s="27" t="s">
        <v>7</v>
      </c>
      <c r="CO268" s="27" t="s">
        <v>8</v>
      </c>
      <c r="CP268" s="27" t="s">
        <v>7</v>
      </c>
      <c r="CQ268" s="27" t="s">
        <v>8</v>
      </c>
      <c r="DX268" s="27" t="s">
        <v>7</v>
      </c>
      <c r="DY268" s="27" t="s">
        <v>8</v>
      </c>
      <c r="DZ268" s="27" t="s">
        <v>7</v>
      </c>
      <c r="EA268" s="27" t="s">
        <v>8</v>
      </c>
      <c r="EF268" s="27" t="s">
        <v>7</v>
      </c>
      <c r="EI268" s="27" t="s">
        <v>8</v>
      </c>
      <c r="EK268" s="27" t="s">
        <v>8</v>
      </c>
      <c r="EL268" s="27" t="s">
        <v>7</v>
      </c>
      <c r="EM268" s="27" t="s">
        <v>8</v>
      </c>
      <c r="EN268" s="34" t="s">
        <v>7</v>
      </c>
      <c r="EP268" s="34" t="s">
        <v>7</v>
      </c>
      <c r="ES268" s="31"/>
      <c r="FX268" s="27" t="s">
        <v>7</v>
      </c>
    </row>
    <row r="269" spans="1:181" x14ac:dyDescent="0.25">
      <c r="A269" s="30">
        <v>0.24294632108864825</v>
      </c>
      <c r="B269"/>
      <c r="C269"/>
      <c r="D269"/>
      <c r="E269"/>
      <c r="F269" s="27" t="s">
        <v>7</v>
      </c>
      <c r="CO269" s="27" t="s">
        <v>8</v>
      </c>
      <c r="CP269" s="27" t="s">
        <v>7</v>
      </c>
      <c r="CQ269" s="27" t="s">
        <v>8</v>
      </c>
      <c r="DX269" s="27" t="s">
        <v>7</v>
      </c>
      <c r="DY269" s="27" t="s">
        <v>8</v>
      </c>
      <c r="DZ269" s="27" t="s">
        <v>7</v>
      </c>
      <c r="EA269" s="27" t="s">
        <v>8</v>
      </c>
      <c r="EF269" s="27" t="s">
        <v>7</v>
      </c>
      <c r="EI269" s="27" t="s">
        <v>8</v>
      </c>
      <c r="EJ269" s="27" t="s">
        <v>7</v>
      </c>
      <c r="EK269" s="27" t="s">
        <v>8</v>
      </c>
      <c r="EL269" s="27" t="s">
        <v>7</v>
      </c>
      <c r="EM269" s="27" t="s">
        <v>8</v>
      </c>
      <c r="ER269" s="31"/>
      <c r="FX269" s="27" t="s">
        <v>7</v>
      </c>
      <c r="FY269" s="27" t="s">
        <v>8</v>
      </c>
    </row>
    <row r="270" spans="1:181" x14ac:dyDescent="0.25">
      <c r="A270" s="30">
        <v>0.23137744865585538</v>
      </c>
      <c r="B270"/>
      <c r="C270"/>
      <c r="D270"/>
      <c r="E270"/>
      <c r="F270" s="27" t="s">
        <v>7</v>
      </c>
      <c r="CO270" s="27" t="s">
        <v>8</v>
      </c>
      <c r="CP270" s="27" t="s">
        <v>7</v>
      </c>
      <c r="CQ270" s="27" t="s">
        <v>8</v>
      </c>
      <c r="DX270" s="27" t="s">
        <v>7</v>
      </c>
      <c r="DY270" s="27" t="s">
        <v>8</v>
      </c>
      <c r="DZ270" s="27" t="s">
        <v>7</v>
      </c>
      <c r="EA270" s="27" t="s">
        <v>8</v>
      </c>
      <c r="EF270" s="27" t="s">
        <v>7</v>
      </c>
      <c r="EI270" s="27" t="s">
        <v>8</v>
      </c>
      <c r="EJ270" s="27" t="s">
        <v>7</v>
      </c>
      <c r="EK270" s="27" t="s">
        <v>8</v>
      </c>
      <c r="EL270" s="27" t="s">
        <v>7</v>
      </c>
      <c r="EM270" s="27" t="s">
        <v>8</v>
      </c>
      <c r="EQ270" s="31"/>
      <c r="FX270" s="27" t="s">
        <v>7</v>
      </c>
      <c r="FY270" s="27" t="s">
        <v>8</v>
      </c>
    </row>
    <row r="271" spans="1:181" x14ac:dyDescent="0.25">
      <c r="A271" s="30">
        <v>0.22035947491033836</v>
      </c>
      <c r="B271"/>
      <c r="C271"/>
      <c r="D271"/>
      <c r="E271"/>
      <c r="F271" s="27" t="s">
        <v>7</v>
      </c>
      <c r="CO271" s="27" t="s">
        <v>8</v>
      </c>
      <c r="CP271" s="27" t="s">
        <v>7</v>
      </c>
      <c r="DX271" s="27" t="s">
        <v>7</v>
      </c>
      <c r="DY271" s="27" t="s">
        <v>8</v>
      </c>
      <c r="DZ271" s="27" t="s">
        <v>7</v>
      </c>
      <c r="EF271" s="27" t="s">
        <v>7</v>
      </c>
      <c r="EI271" s="27" t="s">
        <v>8</v>
      </c>
      <c r="EJ271" s="27" t="s">
        <v>7</v>
      </c>
      <c r="EL271" s="27" t="s">
        <v>7</v>
      </c>
      <c r="EM271" s="27" t="s">
        <v>8</v>
      </c>
      <c r="EP271" s="31"/>
      <c r="FX271" s="27" t="s">
        <v>7</v>
      </c>
      <c r="FY271" s="27" t="s">
        <v>8</v>
      </c>
    </row>
    <row r="272" spans="1:181" x14ac:dyDescent="0.25">
      <c r="A272" s="30">
        <v>0.20986616658127455</v>
      </c>
      <c r="B272"/>
      <c r="C272"/>
      <c r="D272"/>
      <c r="E272"/>
      <c r="F272" s="27" t="s">
        <v>7</v>
      </c>
      <c r="CG272" s="27" t="s">
        <v>8</v>
      </c>
      <c r="CO272" s="27" t="s">
        <v>8</v>
      </c>
      <c r="DX272" s="27" t="s">
        <v>7</v>
      </c>
      <c r="DY272" s="27" t="s">
        <v>8</v>
      </c>
      <c r="EF272" s="27" t="s">
        <v>7</v>
      </c>
      <c r="EI272" s="32" t="s">
        <v>8</v>
      </c>
      <c r="EL272" s="33" t="s">
        <v>7</v>
      </c>
      <c r="EM272" s="27" t="s">
        <v>8</v>
      </c>
      <c r="EO272" s="31"/>
      <c r="FX272" s="27" t="s">
        <v>7</v>
      </c>
      <c r="FY272" s="27" t="s">
        <v>8</v>
      </c>
    </row>
    <row r="273" spans="1:181" x14ac:dyDescent="0.25">
      <c r="A273" s="30">
        <v>0.19987253960121379</v>
      </c>
      <c r="B273"/>
      <c r="C273"/>
      <c r="D273"/>
      <c r="E273"/>
      <c r="F273" s="27" t="s">
        <v>7</v>
      </c>
      <c r="CG273" s="27" t="s">
        <v>8</v>
      </c>
      <c r="CH273" s="27" t="s">
        <v>7</v>
      </c>
      <c r="CO273" s="27" t="s">
        <v>8</v>
      </c>
      <c r="DX273" s="27" t="s">
        <v>7</v>
      </c>
      <c r="EF273" s="27" t="s">
        <v>7</v>
      </c>
      <c r="EG273" s="27" t="s">
        <v>8</v>
      </c>
      <c r="EI273" s="27" t="s">
        <v>8</v>
      </c>
      <c r="EL273" s="31" t="s">
        <v>7</v>
      </c>
      <c r="EM273" s="27" t="s">
        <v>8</v>
      </c>
      <c r="EN273" s="31"/>
      <c r="FX273" s="27" t="s">
        <v>7</v>
      </c>
      <c r="FY273" s="27" t="s">
        <v>8</v>
      </c>
    </row>
    <row r="274" spans="1:181" x14ac:dyDescent="0.25">
      <c r="A274" s="30">
        <v>0.19035479962020352</v>
      </c>
      <c r="B274"/>
      <c r="C274"/>
      <c r="D274"/>
      <c r="E274"/>
      <c r="F274" s="27" t="s">
        <v>7</v>
      </c>
      <c r="CG274" s="27" t="s">
        <v>8</v>
      </c>
      <c r="CH274" s="27" t="s">
        <v>7</v>
      </c>
      <c r="CI274" s="27" t="s">
        <v>8</v>
      </c>
      <c r="CO274" s="27" t="s">
        <v>8</v>
      </c>
      <c r="EF274" s="27" t="s">
        <v>7</v>
      </c>
      <c r="EG274" s="27" t="s">
        <v>8</v>
      </c>
      <c r="EH274" s="27" t="s">
        <v>7</v>
      </c>
      <c r="EI274" s="27" t="s">
        <v>8</v>
      </c>
      <c r="EK274" s="31"/>
      <c r="EL274" s="27" t="s">
        <v>7</v>
      </c>
      <c r="EM274" s="31" t="s">
        <v>8</v>
      </c>
      <c r="FX274" s="27" t="s">
        <v>7</v>
      </c>
    </row>
    <row r="275" spans="1:181" x14ac:dyDescent="0.25">
      <c r="A275" s="30">
        <v>0.18129028535257471</v>
      </c>
      <c r="B275"/>
      <c r="C275"/>
      <c r="D275"/>
      <c r="E275"/>
      <c r="F275" s="27" t="s">
        <v>7</v>
      </c>
      <c r="CG275" s="27" t="s">
        <v>8</v>
      </c>
      <c r="CH275" s="27" t="s">
        <v>7</v>
      </c>
      <c r="CI275" s="27" t="s">
        <v>8</v>
      </c>
      <c r="CJ275" s="27" t="s">
        <v>7</v>
      </c>
      <c r="CO275" s="27" t="s">
        <v>8</v>
      </c>
      <c r="EF275" s="27" t="s">
        <v>7</v>
      </c>
      <c r="EG275" s="27" t="s">
        <v>8</v>
      </c>
      <c r="EH275" s="27" t="s">
        <v>7</v>
      </c>
      <c r="EI275" s="27" t="s">
        <v>8</v>
      </c>
      <c r="EJ275" s="31"/>
      <c r="EL275" s="31" t="s">
        <v>7</v>
      </c>
    </row>
    <row r="276" spans="1:181" x14ac:dyDescent="0.25">
      <c r="A276" s="30">
        <v>0.17265741462149967</v>
      </c>
      <c r="B276"/>
      <c r="C276"/>
      <c r="D276"/>
      <c r="E276"/>
      <c r="F276" s="27" t="s">
        <v>7</v>
      </c>
      <c r="CG276" s="27" t="s">
        <v>8</v>
      </c>
      <c r="CH276" s="27" t="s">
        <v>7</v>
      </c>
      <c r="CI276" s="27" t="s">
        <v>8</v>
      </c>
      <c r="CJ276" s="27" t="s">
        <v>7</v>
      </c>
      <c r="CO276" s="27" t="s">
        <v>8</v>
      </c>
      <c r="EF276" s="27" t="s">
        <v>7</v>
      </c>
      <c r="EG276" s="27" t="s">
        <v>8</v>
      </c>
      <c r="EH276" s="27" t="s">
        <v>7</v>
      </c>
      <c r="EI276" s="31"/>
    </row>
    <row r="277" spans="1:181" x14ac:dyDescent="0.25">
      <c r="A277" s="30">
        <v>0.16443563297285677</v>
      </c>
      <c r="B277"/>
      <c r="C277"/>
      <c r="D277"/>
      <c r="E277"/>
      <c r="F277" s="27" t="s">
        <v>7</v>
      </c>
      <c r="BQ277" s="27" t="s">
        <v>8</v>
      </c>
      <c r="CG277" s="27" t="s">
        <v>8</v>
      </c>
      <c r="CH277" s="27" t="s">
        <v>7</v>
      </c>
      <c r="CI277" s="27" t="s">
        <v>8</v>
      </c>
      <c r="CJ277" s="27" t="s">
        <v>7</v>
      </c>
      <c r="CK277" s="27" t="s">
        <v>8</v>
      </c>
      <c r="CM277" s="27" t="s">
        <v>8</v>
      </c>
      <c r="CO277" s="27" t="s">
        <v>8</v>
      </c>
      <c r="EF277" s="27" t="s">
        <v>7</v>
      </c>
      <c r="EG277" s="27" t="s">
        <v>8</v>
      </c>
      <c r="EH277" s="31"/>
    </row>
    <row r="278" spans="1:181" x14ac:dyDescent="0.25">
      <c r="A278" s="30">
        <v>0.15660536473605399</v>
      </c>
      <c r="B278"/>
      <c r="C278"/>
      <c r="D278"/>
      <c r="E278"/>
      <c r="F278" s="27" t="s">
        <v>7</v>
      </c>
      <c r="BQ278" s="27" t="s">
        <v>8</v>
      </c>
      <c r="BR278" s="27" t="s">
        <v>7</v>
      </c>
      <c r="CG278" s="27" t="s">
        <v>8</v>
      </c>
      <c r="CH278" s="27" t="s">
        <v>7</v>
      </c>
      <c r="CI278" s="27" t="s">
        <v>8</v>
      </c>
      <c r="CJ278" s="27" t="s">
        <v>7</v>
      </c>
      <c r="CK278" s="27" t="s">
        <v>8</v>
      </c>
      <c r="CL278" s="27" t="s">
        <v>7</v>
      </c>
      <c r="CM278" s="27" t="s">
        <v>8</v>
      </c>
      <c r="CN278" s="27" t="s">
        <v>7</v>
      </c>
      <c r="CO278" s="27" t="s">
        <v>8</v>
      </c>
      <c r="EF278" s="27" t="s">
        <v>7</v>
      </c>
      <c r="EG278" s="31" t="s">
        <v>8</v>
      </c>
    </row>
    <row r="279" spans="1:181" x14ac:dyDescent="0.25">
      <c r="A279" s="30">
        <v>0.14914796641528946</v>
      </c>
      <c r="B279"/>
      <c r="C279"/>
      <c r="D279"/>
      <c r="E279"/>
      <c r="F279" s="27" t="s">
        <v>7</v>
      </c>
      <c r="BQ279" s="27" t="s">
        <v>8</v>
      </c>
      <c r="BR279" s="27" t="s">
        <v>7</v>
      </c>
      <c r="CG279" s="27" t="s">
        <v>8</v>
      </c>
      <c r="CH279" s="27" t="s">
        <v>7</v>
      </c>
      <c r="CI279" s="27" t="s">
        <v>8</v>
      </c>
      <c r="CJ279" s="27" t="s">
        <v>7</v>
      </c>
      <c r="CK279" s="27" t="s">
        <v>8</v>
      </c>
      <c r="CL279" s="27" t="s">
        <v>7</v>
      </c>
      <c r="CM279" s="27" t="s">
        <v>8</v>
      </c>
      <c r="CN279" s="27" t="s">
        <v>7</v>
      </c>
      <c r="CO279" s="27" t="s">
        <v>8</v>
      </c>
      <c r="EF279" s="31" t="s">
        <v>7</v>
      </c>
    </row>
    <row r="280" spans="1:181" x14ac:dyDescent="0.25">
      <c r="A280" s="30">
        <v>0.14204568230027562</v>
      </c>
      <c r="B280"/>
      <c r="C280"/>
      <c r="D280"/>
      <c r="E280"/>
      <c r="F280" s="27" t="s">
        <v>7</v>
      </c>
      <c r="BQ280" s="27" t="s">
        <v>8</v>
      </c>
      <c r="BR280" s="27" t="s">
        <v>7</v>
      </c>
      <c r="BY280" s="27" t="s">
        <v>8</v>
      </c>
      <c r="CG280" s="27" t="s">
        <v>8</v>
      </c>
      <c r="CH280" s="27" t="s">
        <v>7</v>
      </c>
      <c r="CI280" s="27" t="s">
        <v>8</v>
      </c>
      <c r="CJ280" s="27" t="s">
        <v>7</v>
      </c>
      <c r="CK280" s="27" t="s">
        <v>8</v>
      </c>
      <c r="CL280" s="27" t="s">
        <v>7</v>
      </c>
      <c r="CM280" s="27" t="s">
        <v>8</v>
      </c>
      <c r="CN280" s="27" t="s">
        <v>7</v>
      </c>
      <c r="CO280" s="27" t="s">
        <v>8</v>
      </c>
    </row>
    <row r="281" spans="1:181" x14ac:dyDescent="0.25">
      <c r="A281" s="30">
        <v>0.13528160219073862</v>
      </c>
      <c r="B281"/>
      <c r="C281"/>
      <c r="D281"/>
      <c r="E281"/>
      <c r="F281" s="27" t="s">
        <v>7</v>
      </c>
      <c r="BQ281" s="27" t="s">
        <v>8</v>
      </c>
      <c r="BR281" s="27" t="s">
        <v>7</v>
      </c>
      <c r="BY281" s="27" t="s">
        <v>8</v>
      </c>
      <c r="BZ281" s="27" t="s">
        <v>7</v>
      </c>
      <c r="CG281" s="27" t="s">
        <v>8</v>
      </c>
      <c r="CH281" s="27" t="s">
        <v>7</v>
      </c>
      <c r="CI281" s="27" t="s">
        <v>8</v>
      </c>
      <c r="CJ281" s="27" t="s">
        <v>7</v>
      </c>
      <c r="CK281" s="27" t="s">
        <v>8</v>
      </c>
      <c r="CL281" s="27" t="s">
        <v>7</v>
      </c>
      <c r="CM281" s="27" t="s">
        <v>8</v>
      </c>
      <c r="CN281" s="27" t="s">
        <v>7</v>
      </c>
    </row>
    <row r="282" spans="1:181" x14ac:dyDescent="0.25">
      <c r="A282" s="30">
        <v>0.12883962113403674</v>
      </c>
      <c r="B282"/>
      <c r="C282"/>
      <c r="D282"/>
      <c r="E282"/>
      <c r="F282" s="27" t="s">
        <v>7</v>
      </c>
      <c r="BQ282" s="27" t="s">
        <v>8</v>
      </c>
      <c r="BR282" s="27" t="s">
        <v>7</v>
      </c>
      <c r="BY282" s="27" t="s">
        <v>8</v>
      </c>
      <c r="BZ282" s="27" t="s">
        <v>7</v>
      </c>
      <c r="CG282" s="27" t="s">
        <v>8</v>
      </c>
      <c r="CH282" s="27" t="s">
        <v>7</v>
      </c>
      <c r="CI282" s="27" t="s">
        <v>8</v>
      </c>
      <c r="CJ282" s="27" t="s">
        <v>7</v>
      </c>
      <c r="CK282" s="27" t="s">
        <v>8</v>
      </c>
      <c r="CL282" s="27" t="s">
        <v>7</v>
      </c>
      <c r="CM282" s="27" t="s">
        <v>8</v>
      </c>
    </row>
    <row r="283" spans="1:181" x14ac:dyDescent="0.25">
      <c r="A283" s="30">
        <v>0.12270440108003494</v>
      </c>
      <c r="B283"/>
      <c r="C283"/>
      <c r="D283"/>
      <c r="E283"/>
      <c r="F283" s="27" t="s">
        <v>7</v>
      </c>
      <c r="BQ283" s="27" t="s">
        <v>8</v>
      </c>
      <c r="BR283" s="27" t="s">
        <v>7</v>
      </c>
      <c r="BS283" s="27" t="s">
        <v>8</v>
      </c>
      <c r="BY283" s="27" t="s">
        <v>8</v>
      </c>
      <c r="BZ283" s="27" t="s">
        <v>7</v>
      </c>
      <c r="CG283" s="27" t="s">
        <v>8</v>
      </c>
      <c r="CH283" s="27" t="s">
        <v>7</v>
      </c>
      <c r="CI283" s="27" t="s">
        <v>8</v>
      </c>
      <c r="CJ283" s="27" t="s">
        <v>7</v>
      </c>
      <c r="CL283" s="27" t="s">
        <v>7</v>
      </c>
      <c r="CM283" s="27" t="s">
        <v>8</v>
      </c>
    </row>
    <row r="284" spans="1:181" x14ac:dyDescent="0.25">
      <c r="A284" s="30">
        <v>0.11686133436193799</v>
      </c>
      <c r="B284"/>
      <c r="C284"/>
      <c r="D284"/>
      <c r="E284"/>
      <c r="F284" s="27" t="s">
        <v>7</v>
      </c>
      <c r="BQ284" s="27" t="s">
        <v>8</v>
      </c>
      <c r="BR284" s="27" t="s">
        <v>7</v>
      </c>
      <c r="BS284" s="27" t="s">
        <v>8</v>
      </c>
      <c r="BT284" s="27" t="s">
        <v>7</v>
      </c>
      <c r="BU284" s="27" t="s">
        <v>8</v>
      </c>
      <c r="BY284" s="27" t="s">
        <v>8</v>
      </c>
      <c r="BZ284" s="27" t="s">
        <v>7</v>
      </c>
      <c r="CA284" s="27" t="s">
        <v>8</v>
      </c>
      <c r="CG284" s="27" t="s">
        <v>8</v>
      </c>
      <c r="CH284" s="27" t="s">
        <v>7</v>
      </c>
      <c r="CI284" s="27" t="s">
        <v>8</v>
      </c>
      <c r="CL284" s="27" t="s">
        <v>7</v>
      </c>
    </row>
    <row r="285" spans="1:181" x14ac:dyDescent="0.25">
      <c r="A285" s="30">
        <v>0.11129650891613138</v>
      </c>
      <c r="B285"/>
      <c r="C285"/>
      <c r="D285"/>
      <c r="E285"/>
      <c r="F285" s="27" t="s">
        <v>7</v>
      </c>
      <c r="BQ285" s="27" t="s">
        <v>8</v>
      </c>
      <c r="BR285" s="27" t="s">
        <v>7</v>
      </c>
      <c r="BS285" s="27" t="s">
        <v>8</v>
      </c>
      <c r="BT285" s="27" t="s">
        <v>7</v>
      </c>
      <c r="BU285" s="27" t="s">
        <v>8</v>
      </c>
      <c r="BV285" s="27" t="s">
        <v>7</v>
      </c>
      <c r="BY285" s="27" t="s">
        <v>8</v>
      </c>
      <c r="BZ285" s="27" t="s">
        <v>7</v>
      </c>
      <c r="CA285" s="27" t="s">
        <v>8</v>
      </c>
      <c r="CB285" s="27" t="s">
        <v>7</v>
      </c>
      <c r="CG285" s="27" t="s">
        <v>8</v>
      </c>
      <c r="CH285" s="27" t="s">
        <v>7</v>
      </c>
      <c r="CI285" s="27" t="s">
        <v>8</v>
      </c>
    </row>
    <row r="286" spans="1:181" x14ac:dyDescent="0.25">
      <c r="A286" s="30">
        <v>0.10599667515822032</v>
      </c>
      <c r="B286"/>
      <c r="C286"/>
      <c r="D286"/>
      <c r="E286"/>
      <c r="F286" s="27" t="s">
        <v>7</v>
      </c>
      <c r="BQ286" s="27" t="s">
        <v>8</v>
      </c>
      <c r="BR286" s="27" t="s">
        <v>7</v>
      </c>
      <c r="BS286" s="27" t="s">
        <v>8</v>
      </c>
      <c r="BT286" s="27" t="s">
        <v>7</v>
      </c>
      <c r="BU286" s="27" t="s">
        <v>8</v>
      </c>
      <c r="BV286" s="27" t="s">
        <v>7</v>
      </c>
      <c r="BY286" s="27" t="s">
        <v>8</v>
      </c>
      <c r="BZ286" s="27" t="s">
        <v>7</v>
      </c>
      <c r="CA286" s="27" t="s">
        <v>8</v>
      </c>
      <c r="CB286" s="27" t="s">
        <v>7</v>
      </c>
      <c r="CC286" s="27" t="s">
        <v>8</v>
      </c>
      <c r="CG286" s="27" t="s">
        <v>8</v>
      </c>
      <c r="CH286" s="27" t="s">
        <v>7</v>
      </c>
      <c r="CI286" s="27" t="s">
        <v>8</v>
      </c>
    </row>
    <row r="287" spans="1:181" x14ac:dyDescent="0.25">
      <c r="A287" s="30">
        <v>0.10094921443640027</v>
      </c>
      <c r="B287"/>
      <c r="C287"/>
      <c r="D287"/>
      <c r="E287"/>
      <c r="F287" s="27" t="s">
        <v>7</v>
      </c>
      <c r="BQ287" s="27" t="s">
        <v>8</v>
      </c>
      <c r="BR287" s="27" t="s">
        <v>7</v>
      </c>
      <c r="BS287" s="27" t="s">
        <v>8</v>
      </c>
      <c r="BT287" s="27" t="s">
        <v>7</v>
      </c>
      <c r="BV287" s="27" t="s">
        <v>7</v>
      </c>
      <c r="BY287" s="27" t="s">
        <v>8</v>
      </c>
      <c r="BZ287" s="27" t="s">
        <v>7</v>
      </c>
      <c r="CB287" s="27" t="s">
        <v>7</v>
      </c>
      <c r="CC287" s="27" t="s">
        <v>8</v>
      </c>
      <c r="CD287" s="27" t="s">
        <v>7</v>
      </c>
      <c r="CG287" s="27" t="s">
        <v>8</v>
      </c>
      <c r="CH287" s="27" t="s">
        <v>7</v>
      </c>
    </row>
    <row r="288" spans="1:181" x14ac:dyDescent="0.25">
      <c r="A288" s="30">
        <v>9.6142108987047836E-2</v>
      </c>
      <c r="B288"/>
      <c r="C288"/>
      <c r="D288"/>
      <c r="E288"/>
      <c r="F288" s="27" t="s">
        <v>7</v>
      </c>
      <c r="BQ288" s="27" t="s">
        <v>8</v>
      </c>
      <c r="BR288" s="27" t="s">
        <v>7</v>
      </c>
      <c r="BS288" s="27" t="s">
        <v>8</v>
      </c>
      <c r="BV288" s="27" t="s">
        <v>7</v>
      </c>
      <c r="BW288" s="27" t="s">
        <v>8</v>
      </c>
      <c r="BY288" s="27" t="s">
        <v>8</v>
      </c>
      <c r="CB288" s="27" t="s">
        <v>7</v>
      </c>
      <c r="CC288" s="27" t="s">
        <v>8</v>
      </c>
      <c r="CD288" s="27" t="s">
        <v>7</v>
      </c>
      <c r="CE288" s="27" t="s">
        <v>8</v>
      </c>
      <c r="CG288" s="27" t="s">
        <v>8</v>
      </c>
    </row>
    <row r="289" spans="1:85" x14ac:dyDescent="0.25">
      <c r="A289" s="30">
        <v>9.1563913320997906E-2</v>
      </c>
      <c r="B289"/>
      <c r="C289"/>
      <c r="D289"/>
      <c r="E289"/>
      <c r="F289" s="27" t="s">
        <v>7</v>
      </c>
      <c r="BQ289" s="27" t="s">
        <v>8</v>
      </c>
      <c r="BR289" s="27" t="s">
        <v>7</v>
      </c>
      <c r="BS289" s="27" t="s">
        <v>8</v>
      </c>
      <c r="BV289" s="27" t="s">
        <v>7</v>
      </c>
      <c r="BW289" s="27" t="s">
        <v>8</v>
      </c>
      <c r="BX289" s="27" t="s">
        <v>7</v>
      </c>
      <c r="BY289" s="27" t="s">
        <v>8</v>
      </c>
      <c r="CB289" s="27" t="s">
        <v>7</v>
      </c>
      <c r="CC289" s="27" t="s">
        <v>8</v>
      </c>
      <c r="CD289" s="27" t="s">
        <v>7</v>
      </c>
      <c r="CE289" s="27" t="s">
        <v>8</v>
      </c>
      <c r="CF289" s="27" t="s">
        <v>7</v>
      </c>
      <c r="CG289" s="27" t="s">
        <v>8</v>
      </c>
    </row>
    <row r="290" spans="1:85" x14ac:dyDescent="0.25">
      <c r="A290" s="30">
        <v>8.7203726972378923E-2</v>
      </c>
      <c r="B290"/>
      <c r="C290"/>
      <c r="D290"/>
      <c r="E290"/>
      <c r="F290" s="27" t="s">
        <v>7</v>
      </c>
      <c r="BQ290" s="27" t="s">
        <v>8</v>
      </c>
      <c r="BR290" s="27" t="s">
        <v>7</v>
      </c>
      <c r="BS290" s="27" t="s">
        <v>8</v>
      </c>
      <c r="BV290" s="27" t="s">
        <v>7</v>
      </c>
      <c r="BW290" s="27" t="s">
        <v>8</v>
      </c>
      <c r="BX290" s="27" t="s">
        <v>7</v>
      </c>
      <c r="BY290" s="27" t="s">
        <v>8</v>
      </c>
      <c r="CB290" s="27" t="s">
        <v>7</v>
      </c>
      <c r="CD290" s="27" t="s">
        <v>7</v>
      </c>
      <c r="CE290" s="27" t="s">
        <v>8</v>
      </c>
      <c r="CF290" s="27" t="s">
        <v>7</v>
      </c>
      <c r="CG290" s="27" t="s">
        <v>8</v>
      </c>
    </row>
    <row r="291" spans="1:85" x14ac:dyDescent="0.25">
      <c r="A291" s="30">
        <v>8.3051168545122747E-2</v>
      </c>
      <c r="B291"/>
      <c r="C291"/>
      <c r="D291"/>
      <c r="E291"/>
      <c r="F291" s="27" t="s">
        <v>7</v>
      </c>
      <c r="BQ291" s="27" t="s">
        <v>8</v>
      </c>
      <c r="BR291" s="27" t="s">
        <v>7</v>
      </c>
      <c r="BV291" s="27" t="s">
        <v>7</v>
      </c>
      <c r="BW291" s="27" t="s">
        <v>8</v>
      </c>
      <c r="BX291" s="27" t="s">
        <v>7</v>
      </c>
      <c r="BY291" s="27" t="s">
        <v>8</v>
      </c>
      <c r="CD291" s="27" t="s">
        <v>7</v>
      </c>
      <c r="CE291" s="27" t="s">
        <v>8</v>
      </c>
      <c r="CF291" s="27" t="s">
        <v>7</v>
      </c>
    </row>
    <row r="292" spans="1:85" x14ac:dyDescent="0.25">
      <c r="A292" s="30">
        <v>7.9096350995354961E-2</v>
      </c>
      <c r="B292"/>
      <c r="C292"/>
      <c r="D292"/>
      <c r="E292"/>
      <c r="F292" s="27" t="s">
        <v>7</v>
      </c>
      <c r="BQ292" s="27" t="s">
        <v>8</v>
      </c>
      <c r="BV292" s="27" t="s">
        <v>7</v>
      </c>
      <c r="BW292" s="27" t="s">
        <v>8</v>
      </c>
      <c r="BX292" s="27" t="s">
        <v>7</v>
      </c>
      <c r="BY292" s="27" t="s">
        <v>8</v>
      </c>
      <c r="CD292" s="27" t="s">
        <v>7</v>
      </c>
      <c r="CE292" s="27" t="s">
        <v>8</v>
      </c>
    </row>
    <row r="293" spans="1:85" x14ac:dyDescent="0.25">
      <c r="A293" s="30">
        <v>7.5329858090814217E-2</v>
      </c>
      <c r="B293"/>
      <c r="C293"/>
      <c r="D293"/>
      <c r="E293"/>
      <c r="F293" s="27" t="s">
        <v>7</v>
      </c>
      <c r="BQ293" s="27" t="s">
        <v>8</v>
      </c>
      <c r="BV293" s="27" t="s">
        <v>7</v>
      </c>
      <c r="BX293" s="27" t="s">
        <v>7</v>
      </c>
      <c r="BY293" s="27" t="s">
        <v>8</v>
      </c>
      <c r="CD293" s="27" t="s">
        <v>7</v>
      </c>
    </row>
    <row r="294" spans="1:85" x14ac:dyDescent="0.25">
      <c r="A294" s="30">
        <v>7.1742721991251604E-2</v>
      </c>
      <c r="B294"/>
      <c r="C294"/>
      <c r="D294"/>
      <c r="E294"/>
      <c r="F294" s="27" t="s">
        <v>7</v>
      </c>
      <c r="BQ294" s="27" t="s">
        <v>8</v>
      </c>
      <c r="BX294" s="27" t="s">
        <v>7</v>
      </c>
      <c r="BY294" s="27" t="s">
        <v>8</v>
      </c>
    </row>
    <row r="295" spans="1:85" x14ac:dyDescent="0.25">
      <c r="A295" s="30">
        <v>6.8326401896430078E-2</v>
      </c>
      <c r="B295"/>
      <c r="C295"/>
      <c r="D295"/>
      <c r="E295"/>
      <c r="F295" s="27" t="s">
        <v>7</v>
      </c>
      <c r="BQ295" s="27" t="s">
        <v>8</v>
      </c>
      <c r="BX295" s="27" t="s">
        <v>7</v>
      </c>
    </row>
    <row r="296" spans="1:85" x14ac:dyDescent="0.25">
      <c r="A296" s="30">
        <v>6.5072763710885759E-2</v>
      </c>
      <c r="B296"/>
      <c r="C296"/>
      <c r="D296"/>
      <c r="E296"/>
      <c r="F296" s="27" t="s">
        <v>7</v>
      </c>
      <c r="BO296" s="27" t="s">
        <v>8</v>
      </c>
      <c r="BQ296" s="27" t="s">
        <v>8</v>
      </c>
    </row>
    <row r="297" spans="1:85" x14ac:dyDescent="0.25">
      <c r="A297" s="30">
        <v>6.197406067703403E-2</v>
      </c>
      <c r="B297"/>
      <c r="C297"/>
      <c r="D297"/>
      <c r="E297"/>
      <c r="F297" s="27" t="s">
        <v>7</v>
      </c>
      <c r="BO297" s="27" t="s">
        <v>8</v>
      </c>
      <c r="BP297" s="27" t="s">
        <v>7</v>
      </c>
      <c r="BQ297" s="27" t="s">
        <v>8</v>
      </c>
    </row>
    <row r="298" spans="1:85" x14ac:dyDescent="0.25">
      <c r="A298" s="30">
        <v>5.9022914930508576E-2</v>
      </c>
      <c r="B298"/>
      <c r="C298"/>
      <c r="D298"/>
      <c r="E298"/>
      <c r="F298" s="27" t="s">
        <v>7</v>
      </c>
      <c r="BO298" s="27" t="s">
        <v>8</v>
      </c>
      <c r="BP298" s="27" t="s">
        <v>7</v>
      </c>
      <c r="BQ298" s="27" t="s">
        <v>8</v>
      </c>
    </row>
    <row r="299" spans="1:85" x14ac:dyDescent="0.25">
      <c r="A299" s="30">
        <v>5.6212299933817669E-2</v>
      </c>
      <c r="B299"/>
      <c r="C299"/>
      <c r="D299"/>
      <c r="E299"/>
      <c r="F299" s="27" t="s">
        <v>7</v>
      </c>
      <c r="BO299" s="27" t="s">
        <v>8</v>
      </c>
      <c r="BP299" s="27" t="s">
        <v>7</v>
      </c>
      <c r="BQ299" s="27" t="s">
        <v>8</v>
      </c>
    </row>
    <row r="300" spans="1:85" x14ac:dyDescent="0.25">
      <c r="A300" s="30">
        <v>5.3535523746492994E-2</v>
      </c>
      <c r="B300"/>
      <c r="C300"/>
      <c r="D300"/>
      <c r="E300"/>
      <c r="F300" s="27" t="s">
        <v>7</v>
      </c>
      <c r="BC300" s="27" t="s">
        <v>8</v>
      </c>
      <c r="BO300" s="27" t="s">
        <v>8</v>
      </c>
      <c r="BP300" s="27" t="s">
        <v>7</v>
      </c>
      <c r="BQ300" s="27" t="s">
        <v>8</v>
      </c>
    </row>
    <row r="301" spans="1:85" x14ac:dyDescent="0.25">
      <c r="A301" s="30">
        <v>5.0986213091898068E-2</v>
      </c>
      <c r="B301"/>
      <c r="C301"/>
      <c r="D301"/>
      <c r="E301"/>
      <c r="F301" s="27" t="s">
        <v>7</v>
      </c>
      <c r="M301" s="27" t="s">
        <v>8</v>
      </c>
      <c r="BC301" s="27" t="s">
        <v>8</v>
      </c>
      <c r="BD301" s="27" t="s">
        <v>7</v>
      </c>
      <c r="BO301" s="27" t="s">
        <v>8</v>
      </c>
      <c r="BP301" s="27" t="s">
        <v>7</v>
      </c>
      <c r="BQ301" s="27" t="s">
        <v>8</v>
      </c>
    </row>
    <row r="302" spans="1:85" x14ac:dyDescent="0.25">
      <c r="A302" s="30">
        <v>4.8558298182760043E-2</v>
      </c>
      <c r="B302"/>
      <c r="C302"/>
      <c r="D302"/>
      <c r="E302"/>
      <c r="F302" s="27" t="s">
        <v>7</v>
      </c>
      <c r="K302" s="27" t="s">
        <v>8</v>
      </c>
      <c r="M302" s="27" t="s">
        <v>8</v>
      </c>
      <c r="N302" s="27" t="s">
        <v>7</v>
      </c>
      <c r="BA302" s="27" t="s">
        <v>8</v>
      </c>
      <c r="BC302" s="27" t="s">
        <v>8</v>
      </c>
      <c r="BD302" s="27" t="s">
        <v>7</v>
      </c>
      <c r="BO302" s="27" t="s">
        <v>8</v>
      </c>
      <c r="BP302" s="27" t="s">
        <v>7</v>
      </c>
      <c r="BQ302" s="27" t="s">
        <v>8</v>
      </c>
    </row>
    <row r="303" spans="1:85" x14ac:dyDescent="0.25">
      <c r="A303" s="30">
        <v>4.6245998269295263E-2</v>
      </c>
      <c r="B303"/>
      <c r="C303"/>
      <c r="D303"/>
      <c r="E303"/>
      <c r="F303" s="27" t="s">
        <v>7</v>
      </c>
      <c r="G303" s="27" t="s">
        <v>8</v>
      </c>
      <c r="I303" s="27" t="s">
        <v>8</v>
      </c>
      <c r="K303" s="27" t="s">
        <v>8</v>
      </c>
      <c r="L303" s="27" t="s">
        <v>7</v>
      </c>
      <c r="M303" s="27" t="s">
        <v>8</v>
      </c>
      <c r="N303" s="27" t="s">
        <v>7</v>
      </c>
      <c r="O303" s="27" t="s">
        <v>8</v>
      </c>
      <c r="Q303" s="27" t="s">
        <v>8</v>
      </c>
      <c r="BA303" s="27" t="s">
        <v>8</v>
      </c>
      <c r="BB303" s="27" t="s">
        <v>7</v>
      </c>
      <c r="BC303" s="27" t="s">
        <v>8</v>
      </c>
      <c r="BD303" s="27" t="s">
        <v>7</v>
      </c>
      <c r="BE303" s="27" t="s">
        <v>8</v>
      </c>
      <c r="BO303" s="27" t="s">
        <v>8</v>
      </c>
      <c r="BP303" s="27" t="s">
        <v>7</v>
      </c>
      <c r="BQ303" s="27" t="s">
        <v>8</v>
      </c>
    </row>
    <row r="304" spans="1:85" x14ac:dyDescent="0.25">
      <c r="A304" s="30">
        <v>4.4043807875519279E-2</v>
      </c>
      <c r="B304"/>
      <c r="C304"/>
      <c r="D304"/>
      <c r="E304"/>
      <c r="F304" s="27" t="s">
        <v>7</v>
      </c>
      <c r="G304" s="27" t="s">
        <v>8</v>
      </c>
      <c r="H304" s="27" t="s">
        <v>7</v>
      </c>
      <c r="I304" s="27" t="s">
        <v>8</v>
      </c>
      <c r="J304" s="27" t="s">
        <v>7</v>
      </c>
      <c r="K304" s="27" t="s">
        <v>8</v>
      </c>
      <c r="L304" s="27" t="s">
        <v>7</v>
      </c>
      <c r="M304" s="27" t="s">
        <v>8</v>
      </c>
      <c r="N304" s="27" t="s">
        <v>7</v>
      </c>
      <c r="O304" s="27" t="s">
        <v>8</v>
      </c>
      <c r="P304" s="27" t="s">
        <v>7</v>
      </c>
      <c r="Q304" s="27" t="s">
        <v>8</v>
      </c>
      <c r="R304" s="27" t="s">
        <v>7</v>
      </c>
      <c r="BA304" s="27" t="s">
        <v>8</v>
      </c>
      <c r="BB304" s="27" t="s">
        <v>7</v>
      </c>
      <c r="BC304" s="27" t="s">
        <v>8</v>
      </c>
      <c r="BD304" s="27" t="s">
        <v>7</v>
      </c>
      <c r="BE304" s="27" t="s">
        <v>8</v>
      </c>
      <c r="BF304" s="27" t="s">
        <v>7</v>
      </c>
      <c r="BO304" s="27" t="s">
        <v>8</v>
      </c>
      <c r="BP304" s="27" t="s">
        <v>7</v>
      </c>
      <c r="BQ304" s="27" t="s">
        <v>8</v>
      </c>
    </row>
    <row r="305" spans="1:69" x14ac:dyDescent="0.25">
      <c r="A305" s="30">
        <v>4.1946483690970725E-2</v>
      </c>
      <c r="B305"/>
      <c r="C305"/>
      <c r="D305"/>
      <c r="E305"/>
      <c r="F305" s="27" t="s">
        <v>7</v>
      </c>
      <c r="G305" s="27" t="s">
        <v>8</v>
      </c>
      <c r="H305" s="27" t="s">
        <v>7</v>
      </c>
      <c r="I305" s="27" t="s">
        <v>8</v>
      </c>
      <c r="J305" s="27" t="s">
        <v>7</v>
      </c>
      <c r="K305" s="27" t="s">
        <v>8</v>
      </c>
      <c r="L305" s="27" t="s">
        <v>7</v>
      </c>
      <c r="N305" s="27" t="s">
        <v>7</v>
      </c>
      <c r="O305" s="27" t="s">
        <v>8</v>
      </c>
      <c r="P305" s="27" t="s">
        <v>7</v>
      </c>
      <c r="Q305" s="27" t="s">
        <v>8</v>
      </c>
      <c r="R305" s="27" t="s">
        <v>7</v>
      </c>
      <c r="AC305" s="27" t="s">
        <v>8</v>
      </c>
      <c r="BA305" s="27" t="s">
        <v>8</v>
      </c>
      <c r="BB305" s="27" t="s">
        <v>7</v>
      </c>
      <c r="BC305" s="27" t="s">
        <v>8</v>
      </c>
      <c r="BD305" s="27" t="s">
        <v>7</v>
      </c>
      <c r="BE305" s="27" t="s">
        <v>8</v>
      </c>
      <c r="BF305" s="27" t="s">
        <v>7</v>
      </c>
      <c r="BO305" s="27" t="s">
        <v>8</v>
      </c>
      <c r="BP305" s="27" t="s">
        <v>7</v>
      </c>
      <c r="BQ305" s="27" t="s">
        <v>8</v>
      </c>
    </row>
    <row r="306" spans="1:69" x14ac:dyDescent="0.25">
      <c r="A306" s="30">
        <v>3.9949032086638768E-2</v>
      </c>
      <c r="B306"/>
      <c r="C306"/>
      <c r="D306"/>
      <c r="E306"/>
      <c r="F306" s="27" t="s">
        <v>7</v>
      </c>
      <c r="G306" s="27" t="s">
        <v>8</v>
      </c>
      <c r="H306" s="27" t="s">
        <v>7</v>
      </c>
      <c r="J306" s="27" t="s">
        <v>7</v>
      </c>
      <c r="K306" s="27" t="s">
        <v>8</v>
      </c>
      <c r="N306" s="27" t="s">
        <v>7</v>
      </c>
      <c r="O306" s="27" t="s">
        <v>8</v>
      </c>
      <c r="P306" s="27" t="s">
        <v>7</v>
      </c>
      <c r="Q306" s="27" t="s">
        <v>8</v>
      </c>
      <c r="R306" s="27" t="s">
        <v>7</v>
      </c>
      <c r="AC306" s="27" t="s">
        <v>8</v>
      </c>
      <c r="AD306" s="27" t="s">
        <v>7</v>
      </c>
      <c r="BA306" s="27" t="s">
        <v>8</v>
      </c>
      <c r="BB306" s="27" t="s">
        <v>7</v>
      </c>
      <c r="BD306" s="27" t="s">
        <v>7</v>
      </c>
      <c r="BF306" s="27" t="s">
        <v>7</v>
      </c>
      <c r="BO306" s="27" t="s">
        <v>8</v>
      </c>
      <c r="BP306" s="27" t="s">
        <v>7</v>
      </c>
      <c r="BQ306" s="27" t="s">
        <v>8</v>
      </c>
    </row>
    <row r="307" spans="1:69" x14ac:dyDescent="0.25">
      <c r="A307" s="30">
        <v>3.8046697225370241E-2</v>
      </c>
      <c r="B307"/>
      <c r="C307"/>
      <c r="D307"/>
      <c r="E307"/>
      <c r="F307" s="27" t="s">
        <v>7</v>
      </c>
      <c r="J307" s="27" t="s">
        <v>7</v>
      </c>
      <c r="N307" s="27" t="s">
        <v>7</v>
      </c>
      <c r="O307" s="27" t="s">
        <v>8</v>
      </c>
      <c r="P307" s="27" t="s">
        <v>7</v>
      </c>
      <c r="Q307" s="27" t="s">
        <v>8</v>
      </c>
      <c r="R307" s="27" t="s">
        <v>7</v>
      </c>
      <c r="AC307" s="27" t="s">
        <v>8</v>
      </c>
      <c r="AD307" s="27" t="s">
        <v>7</v>
      </c>
      <c r="AY307" s="27" t="s">
        <v>8</v>
      </c>
      <c r="BA307" s="27" t="s">
        <v>8</v>
      </c>
      <c r="BF307" s="27" t="s">
        <v>7</v>
      </c>
      <c r="BG307" s="27" t="s">
        <v>8</v>
      </c>
      <c r="BI307" s="27" t="s">
        <v>8</v>
      </c>
      <c r="BK307" s="27" t="s">
        <v>8</v>
      </c>
      <c r="BO307" s="27" t="s">
        <v>8</v>
      </c>
      <c r="BP307" s="27" t="s">
        <v>7</v>
      </c>
      <c r="BQ307" s="27" t="s">
        <v>8</v>
      </c>
    </row>
    <row r="308" spans="1:69" x14ac:dyDescent="0.25">
      <c r="A308" s="30">
        <v>3.6234949738447833E-2</v>
      </c>
      <c r="B308"/>
      <c r="C308"/>
      <c r="D308"/>
      <c r="E308"/>
      <c r="N308" s="27" t="s">
        <v>7</v>
      </c>
      <c r="O308" s="27" t="s">
        <v>8</v>
      </c>
      <c r="P308" s="27" t="s">
        <v>7</v>
      </c>
      <c r="R308" s="27" t="s">
        <v>7</v>
      </c>
      <c r="AC308" s="27" t="s">
        <v>8</v>
      </c>
      <c r="AD308" s="27" t="s">
        <v>7</v>
      </c>
      <c r="AE308" s="27" t="s">
        <v>8</v>
      </c>
      <c r="AY308" s="27" t="s">
        <v>8</v>
      </c>
      <c r="AZ308" s="27" t="s">
        <v>7</v>
      </c>
      <c r="BA308" s="27" t="s">
        <v>8</v>
      </c>
      <c r="BF308" s="27" t="s">
        <v>7</v>
      </c>
      <c r="BG308" s="27" t="s">
        <v>8</v>
      </c>
      <c r="BH308" s="27" t="s">
        <v>7</v>
      </c>
      <c r="BI308" s="27" t="s">
        <v>8</v>
      </c>
      <c r="BJ308" s="27" t="s">
        <v>7</v>
      </c>
      <c r="BK308" s="27" t="s">
        <v>8</v>
      </c>
      <c r="BL308" s="27" t="s">
        <v>7</v>
      </c>
      <c r="BO308" s="27" t="s">
        <v>8</v>
      </c>
      <c r="BP308" s="27" t="s">
        <v>7</v>
      </c>
      <c r="BQ308" s="27" t="s">
        <v>8</v>
      </c>
    </row>
    <row r="309" spans="1:69" x14ac:dyDescent="0.25">
      <c r="A309" s="30">
        <v>3.4509475941378875E-2</v>
      </c>
      <c r="B309"/>
      <c r="C309"/>
      <c r="D309"/>
      <c r="E309"/>
      <c r="N309" s="27" t="s">
        <v>7</v>
      </c>
      <c r="O309" s="27" t="s">
        <v>8</v>
      </c>
      <c r="R309" s="27" t="s">
        <v>7</v>
      </c>
      <c r="AC309" s="27" t="s">
        <v>8</v>
      </c>
      <c r="AD309" s="27" t="s">
        <v>7</v>
      </c>
      <c r="AE309" s="27" t="s">
        <v>8</v>
      </c>
      <c r="AF309" s="27" t="s">
        <v>7</v>
      </c>
      <c r="AI309" s="27" t="s">
        <v>8</v>
      </c>
      <c r="AU309" s="27" t="s">
        <v>8</v>
      </c>
      <c r="AY309" s="27" t="s">
        <v>8</v>
      </c>
      <c r="AZ309" s="27" t="s">
        <v>7</v>
      </c>
      <c r="BA309" s="27" t="s">
        <v>8</v>
      </c>
      <c r="BF309" s="27" t="s">
        <v>7</v>
      </c>
      <c r="BG309" s="27" t="s">
        <v>8</v>
      </c>
      <c r="BH309" s="27" t="s">
        <v>7</v>
      </c>
      <c r="BI309" s="27" t="s">
        <v>8</v>
      </c>
      <c r="BJ309" s="27" t="s">
        <v>7</v>
      </c>
      <c r="BK309" s="27" t="s">
        <v>8</v>
      </c>
      <c r="BL309" s="27" t="s">
        <v>7</v>
      </c>
      <c r="BO309" s="27" t="s">
        <v>8</v>
      </c>
      <c r="BP309" s="27" t="s">
        <v>7</v>
      </c>
    </row>
    <row r="310" spans="1:69" x14ac:dyDescent="0.25">
      <c r="A310" s="30">
        <v>3.286616756321796E-2</v>
      </c>
      <c r="B310"/>
      <c r="C310"/>
      <c r="D310"/>
      <c r="E310"/>
      <c r="N310" s="27" t="s">
        <v>7</v>
      </c>
      <c r="R310" s="27" t="s">
        <v>7</v>
      </c>
      <c r="AC310" s="27" t="s">
        <v>8</v>
      </c>
      <c r="AD310" s="27" t="s">
        <v>7</v>
      </c>
      <c r="AE310" s="27" t="s">
        <v>8</v>
      </c>
      <c r="AF310" s="27" t="s">
        <v>7</v>
      </c>
      <c r="AI310" s="27" t="s">
        <v>8</v>
      </c>
      <c r="AJ310" s="27" t="s">
        <v>7</v>
      </c>
      <c r="AU310" s="27" t="s">
        <v>8</v>
      </c>
      <c r="AV310" s="27" t="s">
        <v>7</v>
      </c>
      <c r="AW310" s="27" t="s">
        <v>8</v>
      </c>
      <c r="AY310" s="27" t="s">
        <v>8</v>
      </c>
      <c r="AZ310" s="27" t="s">
        <v>7</v>
      </c>
      <c r="BF310" s="27" t="s">
        <v>7</v>
      </c>
      <c r="BG310" s="27" t="s">
        <v>8</v>
      </c>
      <c r="BH310" s="27" t="s">
        <v>7</v>
      </c>
      <c r="BI310" s="27" t="s">
        <v>8</v>
      </c>
      <c r="BJ310" s="27" t="s">
        <v>7</v>
      </c>
      <c r="BK310" s="27" t="s">
        <v>8</v>
      </c>
      <c r="BL310" s="27" t="s">
        <v>7</v>
      </c>
      <c r="BM310" s="27" t="s">
        <v>8</v>
      </c>
      <c r="BO310" s="27" t="s">
        <v>8</v>
      </c>
    </row>
    <row r="311" spans="1:69" x14ac:dyDescent="0.25">
      <c r="A311" s="30">
        <v>3.1301111964969472E-2</v>
      </c>
      <c r="B311"/>
      <c r="C311"/>
      <c r="D311"/>
      <c r="E311"/>
      <c r="R311" s="27" t="s">
        <v>7</v>
      </c>
      <c r="S311" s="27" t="s">
        <v>8</v>
      </c>
      <c r="AC311" s="27" t="s">
        <v>8</v>
      </c>
      <c r="AD311" s="27" t="s">
        <v>7</v>
      </c>
      <c r="AF311" s="27" t="s">
        <v>7</v>
      </c>
      <c r="AI311" s="27" t="s">
        <v>8</v>
      </c>
      <c r="AJ311" s="27" t="s">
        <v>7</v>
      </c>
      <c r="AS311" s="27" t="s">
        <v>8</v>
      </c>
      <c r="AU311" s="27" t="s">
        <v>8</v>
      </c>
      <c r="AV311" s="27" t="s">
        <v>7</v>
      </c>
      <c r="AW311" s="27" t="s">
        <v>8</v>
      </c>
      <c r="AX311" s="27" t="s">
        <v>7</v>
      </c>
      <c r="AY311" s="27" t="s">
        <v>8</v>
      </c>
      <c r="BF311" s="27" t="s">
        <v>7</v>
      </c>
      <c r="BG311" s="27" t="s">
        <v>8</v>
      </c>
      <c r="BH311" s="27" t="s">
        <v>7</v>
      </c>
      <c r="BJ311" s="27" t="s">
        <v>7</v>
      </c>
      <c r="BK311" s="27" t="s">
        <v>8</v>
      </c>
      <c r="BL311" s="27" t="s">
        <v>7</v>
      </c>
      <c r="BM311" s="27" t="s">
        <v>8</v>
      </c>
      <c r="BN311" s="27" t="s">
        <v>7</v>
      </c>
      <c r="BO311" s="27" t="s">
        <v>8</v>
      </c>
    </row>
    <row r="312" spans="1:69" x14ac:dyDescent="0.25">
      <c r="A312" s="30">
        <v>2.9810582823780438E-2</v>
      </c>
      <c r="B312"/>
      <c r="C312"/>
      <c r="D312"/>
      <c r="E312"/>
      <c r="R312" s="27" t="s">
        <v>7</v>
      </c>
      <c r="S312" s="27" t="s">
        <v>8</v>
      </c>
      <c r="T312" s="27" t="s">
        <v>7</v>
      </c>
      <c r="AC312" s="27" t="s">
        <v>8</v>
      </c>
      <c r="AF312" s="27" t="s">
        <v>7</v>
      </c>
      <c r="AI312" s="27" t="s">
        <v>8</v>
      </c>
      <c r="AJ312" s="27" t="s">
        <v>7</v>
      </c>
      <c r="AS312" s="27" t="s">
        <v>8</v>
      </c>
      <c r="AT312" s="27" t="s">
        <v>7</v>
      </c>
      <c r="AU312" s="27" t="s">
        <v>8</v>
      </c>
      <c r="AV312" s="27" t="s">
        <v>7</v>
      </c>
      <c r="AW312" s="27" t="s">
        <v>8</v>
      </c>
      <c r="AX312" s="27" t="s">
        <v>7</v>
      </c>
      <c r="AY312" s="27" t="s">
        <v>8</v>
      </c>
      <c r="BF312" s="27" t="s">
        <v>7</v>
      </c>
      <c r="BG312" s="27" t="s">
        <v>8</v>
      </c>
      <c r="BJ312" s="27" t="s">
        <v>7</v>
      </c>
      <c r="BK312" s="27" t="s">
        <v>8</v>
      </c>
      <c r="BL312" s="27" t="s">
        <v>7</v>
      </c>
      <c r="BM312" s="27" t="s">
        <v>8</v>
      </c>
      <c r="BN312" s="27" t="s">
        <v>7</v>
      </c>
      <c r="BO312" s="27" t="s">
        <v>8</v>
      </c>
    </row>
    <row r="313" spans="1:69" x14ac:dyDescent="0.25">
      <c r="A313" s="30">
        <v>2.8391031260743264E-2</v>
      </c>
      <c r="B313"/>
      <c r="C313"/>
      <c r="D313"/>
      <c r="E313"/>
      <c r="R313" s="27" t="s">
        <v>7</v>
      </c>
      <c r="S313" s="27" t="s">
        <v>8</v>
      </c>
      <c r="T313" s="27" t="s">
        <v>7</v>
      </c>
      <c r="AC313" s="27" t="s">
        <v>8</v>
      </c>
      <c r="AF313" s="27" t="s">
        <v>7</v>
      </c>
      <c r="AI313" s="27" t="s">
        <v>8</v>
      </c>
      <c r="AJ313" s="27" t="s">
        <v>7</v>
      </c>
      <c r="AS313" s="27" t="s">
        <v>8</v>
      </c>
      <c r="AT313" s="27" t="s">
        <v>7</v>
      </c>
      <c r="AU313" s="27" t="s">
        <v>8</v>
      </c>
      <c r="AV313" s="27" t="s">
        <v>7</v>
      </c>
      <c r="AW313" s="27" t="s">
        <v>8</v>
      </c>
      <c r="AX313" s="27" t="s">
        <v>7</v>
      </c>
      <c r="AY313" s="27" t="s">
        <v>8</v>
      </c>
      <c r="BF313" s="27" t="s">
        <v>7</v>
      </c>
      <c r="BG313" s="27" t="s">
        <v>8</v>
      </c>
      <c r="BJ313" s="27" t="s">
        <v>7</v>
      </c>
      <c r="BK313" s="27" t="s">
        <v>8</v>
      </c>
      <c r="BL313" s="27" t="s">
        <v>7</v>
      </c>
      <c r="BM313" s="27" t="s">
        <v>8</v>
      </c>
      <c r="BN313" s="27" t="s">
        <v>7</v>
      </c>
      <c r="BO313" s="27" t="s">
        <v>8</v>
      </c>
    </row>
    <row r="314" spans="1:69" x14ac:dyDescent="0.25">
      <c r="A314" s="30">
        <v>2.7039077391184052E-2</v>
      </c>
      <c r="B314"/>
      <c r="C314"/>
      <c r="D314"/>
      <c r="E314"/>
      <c r="R314" s="27" t="s">
        <v>7</v>
      </c>
      <c r="S314" s="27" t="s">
        <v>8</v>
      </c>
      <c r="T314" s="27" t="s">
        <v>7</v>
      </c>
      <c r="AC314" s="27" t="s">
        <v>8</v>
      </c>
      <c r="AF314" s="27" t="s">
        <v>7</v>
      </c>
      <c r="AG314" s="27" t="s">
        <v>8</v>
      </c>
      <c r="AI314" s="27" t="s">
        <v>8</v>
      </c>
      <c r="AJ314" s="27" t="s">
        <v>7</v>
      </c>
      <c r="AS314" s="27" t="s">
        <v>8</v>
      </c>
      <c r="AT314" s="27" t="s">
        <v>7</v>
      </c>
      <c r="AU314" s="27" t="s">
        <v>8</v>
      </c>
      <c r="AV314" s="27" t="s">
        <v>7</v>
      </c>
      <c r="AW314" s="27" t="s">
        <v>8</v>
      </c>
      <c r="AX314" s="27" t="s">
        <v>7</v>
      </c>
      <c r="BF314" s="27" t="s">
        <v>7</v>
      </c>
      <c r="BJ314" s="27" t="s">
        <v>7</v>
      </c>
      <c r="BK314" s="27" t="s">
        <v>8</v>
      </c>
      <c r="BL314" s="27" t="s">
        <v>7</v>
      </c>
      <c r="BM314" s="27" t="s">
        <v>8</v>
      </c>
      <c r="BN314" s="27" t="s">
        <v>7</v>
      </c>
      <c r="BO314" s="27" t="s">
        <v>8</v>
      </c>
    </row>
    <row r="315" spans="1:69" x14ac:dyDescent="0.25">
      <c r="A315" s="30">
        <v>2.5751502277318133E-2</v>
      </c>
      <c r="B315"/>
      <c r="C315"/>
      <c r="D315"/>
      <c r="E315"/>
      <c r="R315" s="27" t="s">
        <v>7</v>
      </c>
      <c r="S315" s="27" t="s">
        <v>8</v>
      </c>
      <c r="T315" s="27" t="s">
        <v>7</v>
      </c>
      <c r="AA315" s="27" t="s">
        <v>8</v>
      </c>
      <c r="AC315" s="27" t="s">
        <v>8</v>
      </c>
      <c r="AF315" s="27" t="s">
        <v>7</v>
      </c>
      <c r="AG315" s="27" t="s">
        <v>8</v>
      </c>
      <c r="AH315" s="27" t="s">
        <v>7</v>
      </c>
      <c r="AI315" s="27" t="s">
        <v>8</v>
      </c>
      <c r="AJ315" s="27" t="s">
        <v>7</v>
      </c>
      <c r="AS315" s="27" t="s">
        <v>8</v>
      </c>
      <c r="AT315" s="27" t="s">
        <v>7</v>
      </c>
      <c r="AV315" s="27" t="s">
        <v>7</v>
      </c>
      <c r="BJ315" s="27" t="s">
        <v>7</v>
      </c>
      <c r="BK315" s="27" t="s">
        <v>8</v>
      </c>
      <c r="BL315" s="27" t="s">
        <v>7</v>
      </c>
      <c r="BN315" s="27" t="s">
        <v>7</v>
      </c>
      <c r="BO315" s="27" t="s">
        <v>8</v>
      </c>
    </row>
    <row r="316" spans="1:69" x14ac:dyDescent="0.25">
      <c r="A316" s="30">
        <v>2.4525240264112496E-2</v>
      </c>
      <c r="B316"/>
      <c r="C316"/>
      <c r="D316"/>
      <c r="E316"/>
      <c r="R316" s="27" t="s">
        <v>7</v>
      </c>
      <c r="T316" s="27" t="s">
        <v>7</v>
      </c>
      <c r="AA316" s="27" t="s">
        <v>8</v>
      </c>
      <c r="AB316" s="27" t="s">
        <v>7</v>
      </c>
      <c r="AC316" s="27" t="s">
        <v>8</v>
      </c>
      <c r="AF316" s="27" t="s">
        <v>7</v>
      </c>
      <c r="AG316" s="27" t="s">
        <v>8</v>
      </c>
      <c r="AH316" s="27" t="s">
        <v>7</v>
      </c>
      <c r="AI316" s="27" t="s">
        <v>8</v>
      </c>
      <c r="AJ316" s="27" t="s">
        <v>7</v>
      </c>
      <c r="AQ316" s="27" t="s">
        <v>8</v>
      </c>
      <c r="AS316" s="27" t="s">
        <v>8</v>
      </c>
      <c r="BJ316" s="27" t="s">
        <v>7</v>
      </c>
      <c r="BK316" s="27" t="s">
        <v>8</v>
      </c>
      <c r="BN316" s="27" t="s">
        <v>7</v>
      </c>
    </row>
    <row r="317" spans="1:69" x14ac:dyDescent="0.25">
      <c r="A317" s="30">
        <v>2.3357371680107129E-2</v>
      </c>
      <c r="B317"/>
      <c r="C317"/>
      <c r="D317"/>
      <c r="E317"/>
      <c r="T317" s="27" t="s">
        <v>7</v>
      </c>
      <c r="AA317" s="27" t="s">
        <v>8</v>
      </c>
      <c r="AB317" s="27" t="s">
        <v>7</v>
      </c>
      <c r="AC317" s="27" t="s">
        <v>8</v>
      </c>
      <c r="AF317" s="27" t="s">
        <v>7</v>
      </c>
      <c r="AG317" s="27" t="s">
        <v>8</v>
      </c>
      <c r="AH317" s="27" t="s">
        <v>7</v>
      </c>
      <c r="AJ317" s="27" t="s">
        <v>7</v>
      </c>
      <c r="AQ317" s="27" t="s">
        <v>8</v>
      </c>
      <c r="AR317" s="27" t="s">
        <v>7</v>
      </c>
      <c r="AS317" s="27" t="s">
        <v>8</v>
      </c>
      <c r="BJ317" s="27" t="s">
        <v>7</v>
      </c>
    </row>
    <row r="318" spans="1:69" x14ac:dyDescent="0.25">
      <c r="A318" s="30">
        <v>2.2245115885816305E-2</v>
      </c>
      <c r="B318"/>
      <c r="C318"/>
      <c r="D318"/>
      <c r="E318"/>
      <c r="T318" s="27" t="s">
        <v>7</v>
      </c>
      <c r="AA318" s="27" t="s">
        <v>8</v>
      </c>
      <c r="AB318" s="27" t="s">
        <v>7</v>
      </c>
      <c r="AC318" s="27" t="s">
        <v>8</v>
      </c>
      <c r="AF318" s="27" t="s">
        <v>7</v>
      </c>
      <c r="AJ318" s="27" t="s">
        <v>7</v>
      </c>
      <c r="AQ318" s="27" t="s">
        <v>8</v>
      </c>
      <c r="AR318" s="27" t="s">
        <v>7</v>
      </c>
      <c r="AS318" s="27" t="s">
        <v>8</v>
      </c>
    </row>
    <row r="319" spans="1:69" x14ac:dyDescent="0.25">
      <c r="A319" s="30">
        <v>2.1185824653158377E-2</v>
      </c>
      <c r="B319"/>
      <c r="C319"/>
      <c r="D319"/>
      <c r="E319"/>
      <c r="T319" s="27" t="s">
        <v>7</v>
      </c>
      <c r="W319" s="27" t="s">
        <v>8</v>
      </c>
      <c r="AA319" s="27" t="s">
        <v>8</v>
      </c>
      <c r="AB319" s="27" t="s">
        <v>7</v>
      </c>
      <c r="AJ319" s="27" t="s">
        <v>7</v>
      </c>
      <c r="AO319" s="27" t="s">
        <v>8</v>
      </c>
      <c r="AQ319" s="27" t="s">
        <v>8</v>
      </c>
      <c r="AR319" s="27" t="s">
        <v>7</v>
      </c>
      <c r="AS319" s="27" t="s">
        <v>8</v>
      </c>
    </row>
    <row r="320" spans="1:69" x14ac:dyDescent="0.25">
      <c r="A320" s="30">
        <v>2.0176975860150829E-2</v>
      </c>
      <c r="B320"/>
      <c r="C320"/>
      <c r="D320"/>
      <c r="E320"/>
      <c r="T320" s="27" t="s">
        <v>7</v>
      </c>
      <c r="U320" s="27" t="s">
        <v>8</v>
      </c>
      <c r="W320" s="27" t="s">
        <v>8</v>
      </c>
      <c r="X320" s="27" t="s">
        <v>7</v>
      </c>
      <c r="Y320" s="27" t="s">
        <v>8</v>
      </c>
      <c r="AA320" s="27" t="s">
        <v>8</v>
      </c>
      <c r="AJ320" s="27" t="s">
        <v>7</v>
      </c>
      <c r="AM320" s="27" t="s">
        <v>8</v>
      </c>
      <c r="AO320" s="27" t="s">
        <v>8</v>
      </c>
      <c r="AP320" s="27" t="s">
        <v>7</v>
      </c>
      <c r="AQ320" s="27" t="s">
        <v>8</v>
      </c>
      <c r="AR320" s="27" t="s">
        <v>7</v>
      </c>
      <c r="AS320" s="27" t="s">
        <v>8</v>
      </c>
    </row>
    <row r="321" spans="1:45" x14ac:dyDescent="0.25">
      <c r="A321" s="30">
        <v>1.9216167485857926E-2</v>
      </c>
      <c r="B321"/>
      <c r="C321"/>
      <c r="D321"/>
      <c r="E321"/>
      <c r="T321" s="27" t="s">
        <v>7</v>
      </c>
      <c r="U321" s="27" t="s">
        <v>8</v>
      </c>
      <c r="V321" s="27" t="s">
        <v>7</v>
      </c>
      <c r="W321" s="27" t="s">
        <v>8</v>
      </c>
      <c r="X321" s="27" t="s">
        <v>7</v>
      </c>
      <c r="Y321" s="27" t="s">
        <v>8</v>
      </c>
      <c r="Z321" s="27" t="s">
        <v>7</v>
      </c>
      <c r="AA321" s="27" t="s">
        <v>8</v>
      </c>
      <c r="AJ321" s="27" t="s">
        <v>7</v>
      </c>
      <c r="AM321" s="27" t="s">
        <v>8</v>
      </c>
      <c r="AN321" s="27" t="s">
        <v>7</v>
      </c>
      <c r="AO321" s="27" t="s">
        <v>8</v>
      </c>
      <c r="AP321" s="27" t="s">
        <v>7</v>
      </c>
      <c r="AQ321" s="27" t="s">
        <v>8</v>
      </c>
      <c r="AR321" s="27" t="s">
        <v>7</v>
      </c>
      <c r="AS321" s="27" t="s">
        <v>8</v>
      </c>
    </row>
    <row r="322" spans="1:45" x14ac:dyDescent="0.25">
      <c r="A322" s="30">
        <v>1.8301111891293256E-2</v>
      </c>
      <c r="B322"/>
      <c r="C322"/>
      <c r="D322"/>
      <c r="E322"/>
      <c r="T322" s="27" t="s">
        <v>7</v>
      </c>
      <c r="U322" s="27" t="s">
        <v>8</v>
      </c>
      <c r="V322" s="27" t="s">
        <v>7</v>
      </c>
      <c r="W322" s="27" t="s">
        <v>8</v>
      </c>
      <c r="X322" s="27" t="s">
        <v>7</v>
      </c>
      <c r="Y322" s="27" t="s">
        <v>8</v>
      </c>
      <c r="Z322" s="27" t="s">
        <v>7</v>
      </c>
      <c r="AA322" s="27" t="s">
        <v>8</v>
      </c>
      <c r="AJ322" s="27" t="s">
        <v>7</v>
      </c>
      <c r="AK322" s="27" t="s">
        <v>8</v>
      </c>
      <c r="AM322" s="27" t="s">
        <v>8</v>
      </c>
      <c r="AN322" s="27" t="s">
        <v>7</v>
      </c>
      <c r="AO322" s="27" t="s">
        <v>8</v>
      </c>
      <c r="AP322" s="27" t="s">
        <v>7</v>
      </c>
      <c r="AR322" s="27" t="s">
        <v>7</v>
      </c>
    </row>
    <row r="323" spans="1:45" x14ac:dyDescent="0.25">
      <c r="A323" s="30">
        <v>1.7429630372660238E-2</v>
      </c>
      <c r="B323"/>
      <c r="C323"/>
      <c r="D323"/>
      <c r="E323"/>
      <c r="T323" s="27" t="s">
        <v>7</v>
      </c>
      <c r="V323" s="27" t="s">
        <v>7</v>
      </c>
      <c r="X323" s="27" t="s">
        <v>7</v>
      </c>
      <c r="Z323" s="27" t="s">
        <v>7</v>
      </c>
      <c r="AJ323" s="27" t="s">
        <v>7</v>
      </c>
      <c r="AK323" s="27" t="s">
        <v>8</v>
      </c>
      <c r="AL323" s="27" t="s">
        <v>7</v>
      </c>
      <c r="AM323" s="27" t="s">
        <v>8</v>
      </c>
      <c r="AN323" s="27" t="s">
        <v>7</v>
      </c>
      <c r="AO323" s="27" t="s">
        <v>8</v>
      </c>
    </row>
    <row r="324" spans="1:45" x14ac:dyDescent="0.25">
      <c r="A324" s="30">
        <v>1.6599647973962125E-2</v>
      </c>
      <c r="B324"/>
      <c r="C324"/>
      <c r="D324"/>
      <c r="E324"/>
      <c r="AJ324" s="27" t="s">
        <v>7</v>
      </c>
      <c r="AK324" s="27" t="s">
        <v>8</v>
      </c>
      <c r="AL324" s="27" t="s">
        <v>7</v>
      </c>
      <c r="AM324" s="27" t="s">
        <v>8</v>
      </c>
      <c r="AN324" s="27" t="s">
        <v>7</v>
      </c>
    </row>
    <row r="325" spans="1:45" x14ac:dyDescent="0.25">
      <c r="A325" s="30">
        <v>1.580918854663059E-2</v>
      </c>
      <c r="B325"/>
      <c r="C325"/>
      <c r="D325"/>
      <c r="E325"/>
      <c r="AJ325" s="27" t="s">
        <v>7</v>
      </c>
      <c r="AK325" s="27" t="s">
        <v>8</v>
      </c>
      <c r="AL325" s="27" t="s">
        <v>7</v>
      </c>
      <c r="AM325" s="27" t="s">
        <v>8</v>
      </c>
    </row>
    <row r="326" spans="1:45" x14ac:dyDescent="0.25">
      <c r="A326" s="30">
        <v>1.5056370044410079E-2</v>
      </c>
      <c r="B326"/>
      <c r="C326"/>
      <c r="D326"/>
      <c r="E326"/>
      <c r="AJ326" s="27" t="s">
        <v>7</v>
      </c>
      <c r="AK326" s="27" t="s">
        <v>8</v>
      </c>
      <c r="AL326" s="27" t="s">
        <v>7</v>
      </c>
      <c r="AM326" s="27" t="s">
        <v>8</v>
      </c>
    </row>
    <row r="327" spans="1:45" x14ac:dyDescent="0.25">
      <c r="A327" s="30">
        <v>1.4339400042295308E-2</v>
      </c>
      <c r="B327"/>
      <c r="C327"/>
      <c r="D327"/>
      <c r="E327"/>
      <c r="AJ327" s="27" t="s">
        <v>7</v>
      </c>
      <c r="AK327" s="27" t="s">
        <v>8</v>
      </c>
      <c r="AL327" s="27" t="s">
        <v>7</v>
      </c>
      <c r="AM327" s="27" t="s">
        <v>8</v>
      </c>
    </row>
    <row r="328" spans="1:45" x14ac:dyDescent="0.25">
      <c r="A328" s="30">
        <v>1.365657146885267E-2</v>
      </c>
      <c r="B328"/>
      <c r="C328"/>
      <c r="D328"/>
      <c r="E328"/>
      <c r="AJ328" s="27" t="s">
        <v>7</v>
      </c>
      <c r="AK328" s="27" t="s">
        <v>8</v>
      </c>
      <c r="AL328" s="27" t="s">
        <v>7</v>
      </c>
    </row>
    <row r="329" spans="1:45" x14ac:dyDescent="0.25">
      <c r="A329" s="30">
        <v>1.3006258541764442E-2</v>
      </c>
      <c r="B329"/>
      <c r="C329"/>
      <c r="D329"/>
      <c r="E329"/>
      <c r="AJ329" s="27" t="s">
        <v>7</v>
      </c>
      <c r="AK329" s="27" t="s">
        <v>8</v>
      </c>
    </row>
    <row r="330" spans="1:45" x14ac:dyDescent="0.25">
      <c r="A330" s="30">
        <v>1.2386912896918512E-2</v>
      </c>
      <c r="B330"/>
      <c r="C330"/>
      <c r="D330"/>
      <c r="E330"/>
      <c r="AJ330" s="27" t="s">
        <v>7</v>
      </c>
      <c r="AK330" s="27" t="s">
        <v>8</v>
      </c>
    </row>
    <row r="331" spans="1:45" x14ac:dyDescent="0.25">
      <c r="A331" s="30">
        <v>1.179705990182715E-2</v>
      </c>
      <c r="B331"/>
      <c r="C331"/>
      <c r="D331"/>
      <c r="E331"/>
      <c r="AJ331" s="27" t="s">
        <v>7</v>
      </c>
      <c r="AK331" s="27" t="s">
        <v>8</v>
      </c>
    </row>
    <row r="332" spans="1:45" x14ac:dyDescent="0.25">
      <c r="A332" s="30">
        <v>1.1235295144597281E-2</v>
      </c>
      <c r="B332"/>
      <c r="C332"/>
      <c r="D332"/>
      <c r="E332"/>
      <c r="AJ332" s="27" t="s">
        <v>7</v>
      </c>
      <c r="AK332" s="27" t="s">
        <v>8</v>
      </c>
    </row>
    <row r="333" spans="1:45" x14ac:dyDescent="0.25">
      <c r="A333" s="30">
        <v>1.0700281090092644E-2</v>
      </c>
      <c r="B333"/>
      <c r="C333"/>
      <c r="D333"/>
      <c r="E333"/>
      <c r="AJ333" s="27" t="s">
        <v>7</v>
      </c>
      <c r="AK333" s="27" t="s">
        <v>8</v>
      </c>
    </row>
    <row r="334" spans="1:45" x14ac:dyDescent="0.25">
      <c r="A334" s="30">
        <v>1.0190743895326324E-2</v>
      </c>
      <c r="B334"/>
      <c r="C334"/>
      <c r="D334"/>
      <c r="E334"/>
      <c r="AJ334" s="27" t="s">
        <v>7</v>
      </c>
      <c r="AK334" s="27" t="s">
        <v>8</v>
      </c>
    </row>
    <row r="335" spans="1:45" x14ac:dyDescent="0.25">
      <c r="A335" s="30">
        <v>9.7054703765012563E-3</v>
      </c>
      <c r="B335"/>
      <c r="C335"/>
      <c r="D335"/>
      <c r="E335"/>
      <c r="AJ335" s="27" t="s">
        <v>7</v>
      </c>
    </row>
    <row r="336" spans="1:4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305" operator="equal">
      <formula>$U$1</formula>
    </cfRule>
    <cfRule type="cellIs" dxfId="67" priority="1306" operator="equal">
      <formula>$S$1</formula>
    </cfRule>
  </conditionalFormatting>
  <conditionalFormatting sqref="D136">
    <cfRule type="cellIs" dxfId="66" priority="1303" operator="equal">
      <formula>$S$1</formula>
    </cfRule>
    <cfRule type="cellIs" dxfId="65" priority="1304" operator="equal">
      <formula>$U$1</formula>
    </cfRule>
  </conditionalFormatting>
  <conditionalFormatting sqref="C162">
    <cfRule type="cellIs" dxfId="64" priority="1301" operator="equal">
      <formula>$U$1</formula>
    </cfRule>
    <cfRule type="cellIs" dxfId="63" priority="1302" operator="equal">
      <formula>$S$1</formula>
    </cfRule>
  </conditionalFormatting>
  <conditionalFormatting sqref="D162">
    <cfRule type="cellIs" dxfId="62" priority="1299" operator="equal">
      <formula>$S$1</formula>
    </cfRule>
    <cfRule type="cellIs" dxfId="61" priority="1300" operator="equal">
      <formula>$U$1</formula>
    </cfRule>
  </conditionalFormatting>
  <conditionalFormatting sqref="C187">
    <cfRule type="cellIs" dxfId="60" priority="1297" operator="equal">
      <formula>$U$1</formula>
    </cfRule>
    <cfRule type="cellIs" dxfId="59" priority="1298" operator="equal">
      <formula>$S$1</formula>
    </cfRule>
  </conditionalFormatting>
  <conditionalFormatting sqref="D187">
    <cfRule type="cellIs" dxfId="58" priority="1295" operator="equal">
      <formula>$S$1</formula>
    </cfRule>
    <cfRule type="cellIs" dxfId="57" priority="1296" operator="equal">
      <formula>$U$1</formula>
    </cfRule>
  </conditionalFormatting>
  <conditionalFormatting sqref="C212">
    <cfRule type="cellIs" dxfId="56" priority="1293" operator="equal">
      <formula>$U$1</formula>
    </cfRule>
    <cfRule type="cellIs" dxfId="55" priority="1294" operator="equal">
      <formula>$S$1</formula>
    </cfRule>
  </conditionalFormatting>
  <conditionalFormatting sqref="D212">
    <cfRule type="cellIs" dxfId="54" priority="1291" operator="equal">
      <formula>$S$1</formula>
    </cfRule>
    <cfRule type="cellIs" dxfId="53" priority="1292" operator="equal">
      <formula>$U$1</formula>
    </cfRule>
  </conditionalFormatting>
  <conditionalFormatting sqref="C237">
    <cfRule type="cellIs" dxfId="52" priority="1289" operator="equal">
      <formula>$U$1</formula>
    </cfRule>
    <cfRule type="cellIs" dxfId="51" priority="1290" operator="equal">
      <formula>$S$1</formula>
    </cfRule>
  </conditionalFormatting>
  <conditionalFormatting sqref="D237">
    <cfRule type="cellIs" dxfId="50" priority="1287" operator="equal">
      <formula>$S$1</formula>
    </cfRule>
    <cfRule type="cellIs" dxfId="49" priority="1288" operator="equal">
      <formula>$U$1</formula>
    </cfRule>
  </conditionalFormatting>
  <conditionalFormatting sqref="C106">
    <cfRule type="cellIs" dxfId="48" priority="1285" operator="equal">
      <formula>$U$1</formula>
    </cfRule>
    <cfRule type="cellIs" dxfId="47" priority="1286" operator="equal">
      <formula>$S$1</formula>
    </cfRule>
  </conditionalFormatting>
  <conditionalFormatting sqref="D106">
    <cfRule type="cellIs" dxfId="46" priority="1283" operator="equal">
      <formula>$S$1</formula>
    </cfRule>
    <cfRule type="cellIs" dxfId="45" priority="1284" operator="equal">
      <formula>$U$1</formula>
    </cfRule>
  </conditionalFormatting>
  <conditionalFormatting sqref="C81">
    <cfRule type="cellIs" dxfId="44" priority="1281" operator="equal">
      <formula>$U$1</formula>
    </cfRule>
    <cfRule type="cellIs" dxfId="43" priority="1282" operator="equal">
      <formula>$S$1</formula>
    </cfRule>
  </conditionalFormatting>
  <conditionalFormatting sqref="D81">
    <cfRule type="cellIs" dxfId="42" priority="1279" operator="equal">
      <formula>$S$1</formula>
    </cfRule>
    <cfRule type="cellIs" dxfId="41" priority="1280" operator="equal">
      <formula>$U$1</formula>
    </cfRule>
  </conditionalFormatting>
  <conditionalFormatting sqref="C56">
    <cfRule type="cellIs" dxfId="40" priority="1277" operator="equal">
      <formula>$U$1</formula>
    </cfRule>
    <cfRule type="cellIs" dxfId="39" priority="1278" operator="equal">
      <formula>$S$1</formula>
    </cfRule>
  </conditionalFormatting>
  <conditionalFormatting sqref="D56">
    <cfRule type="cellIs" dxfId="38" priority="1275" operator="equal">
      <formula>$S$1</formula>
    </cfRule>
    <cfRule type="cellIs" dxfId="37" priority="1276" operator="equal">
      <formula>$U$1</formula>
    </cfRule>
  </conditionalFormatting>
  <conditionalFormatting sqref="C31">
    <cfRule type="cellIs" dxfId="36" priority="1273" operator="equal">
      <formula>$U$1</formula>
    </cfRule>
    <cfRule type="cellIs" dxfId="35" priority="1274" operator="equal">
      <formula>$S$1</formula>
    </cfRule>
  </conditionalFormatting>
  <conditionalFormatting sqref="D31">
    <cfRule type="cellIs" dxfId="34" priority="1271" operator="equal">
      <formula>$S$1</formula>
    </cfRule>
    <cfRule type="cellIs" dxfId="33" priority="127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19" zoomScale="90" zoomScaleNormal="90" workbookViewId="0">
      <pane xSplit="4" topLeftCell="AI1" activePane="topRight" state="frozen"/>
      <selection activeCell="A109" sqref="A109"/>
      <selection pane="topRight" activeCell="BN138" sqref="BN138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$A$137</v>
      </c>
      <c r="D111" s="1" t="str">
        <f>ADDRESS(C121-1,D121,1,1)</f>
        <v>$BN$137</v>
      </c>
      <c r="E111"/>
    </row>
    <row r="112" spans="1:5" x14ac:dyDescent="0.25">
      <c r="A112" s="30">
        <v>2.3579476910000019</v>
      </c>
      <c r="C112" s="1" t="str">
        <f>ADDRESS(C121,1,1,1)</f>
        <v>$A$138</v>
      </c>
      <c r="D112" s="1" t="str">
        <f>ADDRESS(C121,D121-1,1,1)</f>
        <v>$BM$138</v>
      </c>
      <c r="E112"/>
    </row>
    <row r="113" spans="1:64" x14ac:dyDescent="0.25">
      <c r="A113" s="30">
        <v>2.1435888100000016</v>
      </c>
      <c r="C113" s="1" t="str">
        <f>ADDRESS(C121+1,1,1,1)</f>
        <v>$A$139</v>
      </c>
      <c r="D113" s="1" t="str">
        <f>ADDRESS(C121-1,D121+1,1,1)</f>
        <v>$BO$137</v>
      </c>
    </row>
    <row r="114" spans="1:64" x14ac:dyDescent="0.25">
      <c r="A114" s="30">
        <v>1.9487171000000014</v>
      </c>
      <c r="C114" s="1" t="str">
        <f>ADDRESS(C121,D121,1,1)</f>
        <v>$BN$138</v>
      </c>
      <c r="D114" s="1" t="str">
        <f>ADDRESS(C121+1,D121+1,1,1)</f>
        <v>$BO$139</v>
      </c>
    </row>
    <row r="115" spans="1:64" x14ac:dyDescent="0.25">
      <c r="A115" s="30">
        <v>1.7715610000000011</v>
      </c>
      <c r="C115" s="1" t="str">
        <f>ADDRESS(C121+1,D121,1,1)</f>
        <v>$BN$139</v>
      </c>
    </row>
    <row r="116" spans="1:64" x14ac:dyDescent="0.25">
      <c r="A116" s="30">
        <v>1.6105100000000008</v>
      </c>
      <c r="C116" s="1">
        <f>C117-1</f>
        <v>137</v>
      </c>
    </row>
    <row r="117" spans="1:64" x14ac:dyDescent="0.25">
      <c r="A117" s="30">
        <v>1.4641000000000006</v>
      </c>
      <c r="C117" s="1">
        <f>C121</f>
        <v>138</v>
      </c>
      <c r="D117" s="1">
        <f>D121</f>
        <v>66</v>
      </c>
    </row>
    <row r="118" spans="1:64" x14ac:dyDescent="0.25">
      <c r="A118" s="30">
        <v>1.3310000000000004</v>
      </c>
      <c r="C118" s="1">
        <f>C117+1</f>
        <v>139</v>
      </c>
      <c r="D118" s="1">
        <f>D117+1</f>
        <v>67</v>
      </c>
    </row>
    <row r="119" spans="1:64" x14ac:dyDescent="0.25">
      <c r="A119" s="30">
        <v>1.2100000000000002</v>
      </c>
    </row>
    <row r="120" spans="1:64" x14ac:dyDescent="0.25">
      <c r="A120" s="30">
        <v>1.1000000000000001</v>
      </c>
      <c r="C120" s="1" t="s">
        <v>9</v>
      </c>
    </row>
    <row r="121" spans="1:64" x14ac:dyDescent="0.25">
      <c r="A121" s="30">
        <v>1</v>
      </c>
      <c r="C121" s="18">
        <v>138</v>
      </c>
      <c r="D121" s="19">
        <v>66</v>
      </c>
      <c r="E121" s="18" t="s">
        <v>8</v>
      </c>
    </row>
    <row r="122" spans="1:64" x14ac:dyDescent="0.25">
      <c r="A122" s="30">
        <v>0.90909090909090895</v>
      </c>
      <c r="C122" s="1" t="str">
        <f>INDEX(1:1048576,C117,D117)</f>
        <v>O</v>
      </c>
      <c r="F122" s="27" t="s">
        <v>7</v>
      </c>
      <c r="BC122" s="27" t="s">
        <v>8</v>
      </c>
    </row>
    <row r="123" spans="1:64" x14ac:dyDescent="0.25">
      <c r="A123" s="30">
        <v>0.82644628099173523</v>
      </c>
      <c r="C123" s="1" t="str">
        <f>"R"&amp;C121</f>
        <v>R138</v>
      </c>
      <c r="D123" s="1" t="str">
        <f>"C"&amp;D121</f>
        <v>C66</v>
      </c>
      <c r="F123" s="27" t="s">
        <v>7</v>
      </c>
      <c r="BC123" s="27" t="s">
        <v>8</v>
      </c>
      <c r="BD123" s="27" t="s">
        <v>7</v>
      </c>
    </row>
    <row r="124" spans="1:64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AO124" s="27" t="s">
        <v>8</v>
      </c>
      <c r="BC124" s="27" t="s">
        <v>8</v>
      </c>
      <c r="BD124" s="27" t="s">
        <v>7</v>
      </c>
    </row>
    <row r="125" spans="1:64" x14ac:dyDescent="0.25">
      <c r="A125" s="30">
        <v>0.68301345536507019</v>
      </c>
      <c r="F125" s="27" t="s">
        <v>7</v>
      </c>
      <c r="AO125" s="27" t="s">
        <v>8</v>
      </c>
      <c r="AP125" s="27" t="s">
        <v>7</v>
      </c>
      <c r="AQ125" s="27" t="s">
        <v>8</v>
      </c>
      <c r="AU125" s="31" t="s">
        <v>8</v>
      </c>
      <c r="BC125" s="27" t="s">
        <v>8</v>
      </c>
      <c r="BD125" s="27" t="s">
        <v>7</v>
      </c>
    </row>
    <row r="126" spans="1:64" x14ac:dyDescent="0.25">
      <c r="A126" s="30">
        <v>0.6209213230591546</v>
      </c>
      <c r="C126" s="1" t="s">
        <v>10</v>
      </c>
      <c r="F126" s="27" t="s">
        <v>7</v>
      </c>
      <c r="AO126" s="27" t="s">
        <v>8</v>
      </c>
      <c r="AP126" s="27" t="s">
        <v>7</v>
      </c>
      <c r="AQ126" s="27" t="s">
        <v>8</v>
      </c>
      <c r="AR126" s="27" t="s">
        <v>7</v>
      </c>
      <c r="AS126" s="27" t="s">
        <v>8</v>
      </c>
      <c r="AU126" s="27" t="s">
        <v>8</v>
      </c>
      <c r="AV126" s="31" t="s">
        <v>7</v>
      </c>
      <c r="BC126" s="27" t="s">
        <v>8</v>
      </c>
      <c r="BD126" s="27" t="s">
        <v>7</v>
      </c>
      <c r="BE126" s="27" t="s">
        <v>8</v>
      </c>
      <c r="BI126" s="27" t="s">
        <v>8</v>
      </c>
      <c r="BK126" s="27" t="s">
        <v>8</v>
      </c>
    </row>
    <row r="127" spans="1:64" x14ac:dyDescent="0.25">
      <c r="A127" s="30">
        <v>0.56447393005377677</v>
      </c>
      <c r="C127" s="30">
        <v>0.19784466890013469</v>
      </c>
      <c r="D127"/>
      <c r="F127" s="27" t="s">
        <v>7</v>
      </c>
      <c r="AM127" s="27" t="s">
        <v>8</v>
      </c>
      <c r="AO127" s="27" t="s">
        <v>8</v>
      </c>
      <c r="AP127" s="27" t="s">
        <v>7</v>
      </c>
      <c r="AQ127" s="27" t="s">
        <v>8</v>
      </c>
      <c r="AR127" s="27" t="s">
        <v>7</v>
      </c>
      <c r="AS127" s="27" t="s">
        <v>8</v>
      </c>
      <c r="AT127" s="27" t="s">
        <v>7</v>
      </c>
      <c r="AU127" s="27" t="s">
        <v>8</v>
      </c>
      <c r="AV127" s="27" t="s">
        <v>7</v>
      </c>
      <c r="AW127" s="31"/>
      <c r="BC127" s="27" t="s">
        <v>8</v>
      </c>
      <c r="BD127" s="27" t="s">
        <v>7</v>
      </c>
      <c r="BE127" s="27" t="s">
        <v>8</v>
      </c>
      <c r="BF127" s="27" t="s">
        <v>7</v>
      </c>
      <c r="BG127" s="27" t="s">
        <v>8</v>
      </c>
      <c r="BI127" s="27" t="s">
        <v>8</v>
      </c>
      <c r="BJ127" s="27" t="s">
        <v>7</v>
      </c>
      <c r="BK127" s="27" t="s">
        <v>8</v>
      </c>
      <c r="BL127" s="27" t="s">
        <v>7</v>
      </c>
    </row>
    <row r="128" spans="1:64" x14ac:dyDescent="0.25">
      <c r="A128" s="30">
        <v>0.51315811823070612</v>
      </c>
      <c r="F128" s="27" t="s">
        <v>7</v>
      </c>
      <c r="AM128" s="27" t="s">
        <v>8</v>
      </c>
      <c r="AN128" s="27" t="s">
        <v>7</v>
      </c>
      <c r="AO128" s="27" t="s">
        <v>8</v>
      </c>
      <c r="AP128" s="27" t="s">
        <v>7</v>
      </c>
      <c r="AR128" s="27" t="s">
        <v>7</v>
      </c>
      <c r="AS128" s="27" t="s">
        <v>8</v>
      </c>
      <c r="AT128" s="27" t="s">
        <v>7</v>
      </c>
      <c r="AU128" s="27" t="s">
        <v>8</v>
      </c>
      <c r="AV128" s="27" t="s">
        <v>7</v>
      </c>
      <c r="AW128" s="27" t="s">
        <v>8</v>
      </c>
      <c r="AX128" s="31"/>
      <c r="BC128" s="27" t="s">
        <v>8</v>
      </c>
      <c r="BD128" s="27" t="s">
        <v>7</v>
      </c>
      <c r="BE128" s="27" t="s">
        <v>8</v>
      </c>
      <c r="BF128" s="27" t="s">
        <v>7</v>
      </c>
      <c r="BG128" s="27" t="s">
        <v>8</v>
      </c>
      <c r="BH128" s="27" t="s">
        <v>7</v>
      </c>
      <c r="BI128" s="27" t="s">
        <v>8</v>
      </c>
      <c r="BJ128" s="27" t="s">
        <v>7</v>
      </c>
      <c r="BK128" s="27" t="s">
        <v>8</v>
      </c>
      <c r="BL128" s="27" t="s">
        <v>7</v>
      </c>
    </row>
    <row r="129" spans="1:6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AM129" s="27" t="s">
        <v>8</v>
      </c>
      <c r="AN129" s="27" t="s">
        <v>7</v>
      </c>
      <c r="AO129" s="27" t="s">
        <v>8</v>
      </c>
      <c r="AR129" s="27" t="s">
        <v>7</v>
      </c>
      <c r="AT129" s="27" t="s">
        <v>7</v>
      </c>
      <c r="AU129" s="27" t="s">
        <v>8</v>
      </c>
      <c r="AV129" s="27" t="s">
        <v>7</v>
      </c>
      <c r="AW129" s="27" t="s">
        <v>8</v>
      </c>
      <c r="AX129" s="27" t="s">
        <v>7</v>
      </c>
      <c r="AY129" s="31"/>
      <c r="BC129" s="27" t="s">
        <v>8</v>
      </c>
      <c r="BD129" s="27" t="s">
        <v>7</v>
      </c>
      <c r="BE129" s="27" t="s">
        <v>8</v>
      </c>
      <c r="BF129" s="27" t="s">
        <v>7</v>
      </c>
      <c r="BG129" s="27" t="s">
        <v>8</v>
      </c>
      <c r="BH129" s="27" t="s">
        <v>7</v>
      </c>
      <c r="BI129" s="27" t="s">
        <v>8</v>
      </c>
      <c r="BJ129" s="27" t="s">
        <v>7</v>
      </c>
      <c r="BK129" s="27" t="s">
        <v>8</v>
      </c>
      <c r="BL129" s="27" t="s">
        <v>7</v>
      </c>
    </row>
    <row r="130" spans="1:66" x14ac:dyDescent="0.25">
      <c r="A130" s="30">
        <v>0.42409761837248428</v>
      </c>
      <c r="C130" s="6"/>
      <c r="D130" s="6"/>
      <c r="E130"/>
      <c r="F130" s="27" t="s">
        <v>7</v>
      </c>
      <c r="AM130" s="27" t="s">
        <v>8</v>
      </c>
      <c r="AN130" s="27" t="s">
        <v>7</v>
      </c>
      <c r="AO130" s="27" t="s">
        <v>8</v>
      </c>
      <c r="AT130" s="27" t="s">
        <v>7</v>
      </c>
      <c r="AU130" s="27" t="s">
        <v>8</v>
      </c>
      <c r="AV130" s="27" t="s">
        <v>7</v>
      </c>
      <c r="AW130" s="27" t="s">
        <v>8</v>
      </c>
      <c r="AX130" s="27" t="s">
        <v>7</v>
      </c>
      <c r="AY130" s="27" t="s">
        <v>8</v>
      </c>
      <c r="AZ130" s="31"/>
      <c r="BC130" s="27" t="s">
        <v>8</v>
      </c>
      <c r="BD130" s="27" t="s">
        <v>7</v>
      </c>
      <c r="BF130" s="27" t="s">
        <v>7</v>
      </c>
      <c r="BG130" s="27" t="s">
        <v>8</v>
      </c>
      <c r="BH130" s="27" t="s">
        <v>7</v>
      </c>
      <c r="BI130" s="27" t="s">
        <v>8</v>
      </c>
      <c r="BJ130" s="27" t="s">
        <v>7</v>
      </c>
      <c r="BL130" s="27" t="s">
        <v>7</v>
      </c>
      <c r="BM130" s="27" t="s">
        <v>8</v>
      </c>
    </row>
    <row r="131" spans="1:66" x14ac:dyDescent="0.25">
      <c r="A131" s="30">
        <v>0.38554328942953109</v>
      </c>
      <c r="E131"/>
      <c r="F131" s="27" t="s">
        <v>7</v>
      </c>
      <c r="AM131" s="27" t="s">
        <v>8</v>
      </c>
      <c r="AN131" s="27" t="s">
        <v>7</v>
      </c>
      <c r="AO131" s="27" t="s">
        <v>8</v>
      </c>
      <c r="AT131" s="27" t="s">
        <v>7</v>
      </c>
      <c r="AU131" s="27" t="s">
        <v>8</v>
      </c>
      <c r="AV131" s="27" t="s">
        <v>7</v>
      </c>
      <c r="AW131" s="27" t="s">
        <v>8</v>
      </c>
      <c r="AX131" s="27" t="s">
        <v>7</v>
      </c>
      <c r="AY131" s="27" t="s">
        <v>8</v>
      </c>
      <c r="AZ131" s="27" t="s">
        <v>7</v>
      </c>
      <c r="BA131" s="31"/>
      <c r="BC131" s="27" t="s">
        <v>8</v>
      </c>
      <c r="BF131" s="27" t="s">
        <v>7</v>
      </c>
      <c r="BH131" s="27" t="s">
        <v>7</v>
      </c>
      <c r="BL131" s="27" t="s">
        <v>7</v>
      </c>
      <c r="BM131" s="27" t="s">
        <v>8</v>
      </c>
      <c r="BN131" s="27" t="s">
        <v>7</v>
      </c>
    </row>
    <row r="132" spans="1:66" x14ac:dyDescent="0.25">
      <c r="A132" s="30">
        <v>0.35049389948139187</v>
      </c>
      <c r="C132" s="1" t="s">
        <v>13</v>
      </c>
      <c r="E132"/>
      <c r="F132" s="27" t="s">
        <v>7</v>
      </c>
      <c r="AM132" s="27" t="s">
        <v>8</v>
      </c>
      <c r="AN132" s="27" t="s">
        <v>7</v>
      </c>
      <c r="AO132" s="27" t="s">
        <v>8</v>
      </c>
      <c r="AT132" s="27" t="s">
        <v>7</v>
      </c>
      <c r="AU132" s="27" t="s">
        <v>8</v>
      </c>
      <c r="AV132" s="27" t="s">
        <v>7</v>
      </c>
      <c r="AW132" s="27" t="s">
        <v>8</v>
      </c>
      <c r="AX132" s="27" t="s">
        <v>7</v>
      </c>
      <c r="AY132" s="27" t="s">
        <v>8</v>
      </c>
      <c r="AZ132" s="27" t="s">
        <v>7</v>
      </c>
      <c r="BB132" s="31"/>
      <c r="BC132" s="27" t="s">
        <v>8</v>
      </c>
      <c r="BL132" s="27" t="s">
        <v>7</v>
      </c>
      <c r="BM132" s="27" t="s">
        <v>8</v>
      </c>
      <c r="BN132" s="27" t="s">
        <v>7</v>
      </c>
    </row>
    <row r="133" spans="1:66" x14ac:dyDescent="0.25">
      <c r="A133" s="30">
        <v>0.31863081771035617</v>
      </c>
      <c r="C133" s="1" t="str">
        <f>C122</f>
        <v>O</v>
      </c>
      <c r="E133"/>
      <c r="F133" s="27" t="s">
        <v>7</v>
      </c>
      <c r="AM133" s="27" t="s">
        <v>8</v>
      </c>
      <c r="AN133" s="27" t="s">
        <v>7</v>
      </c>
      <c r="AO133" s="27" t="s">
        <v>8</v>
      </c>
      <c r="AT133" s="27" t="s">
        <v>7</v>
      </c>
      <c r="AU133" s="27" t="s">
        <v>8</v>
      </c>
      <c r="AV133" s="27" t="s">
        <v>7</v>
      </c>
      <c r="AW133" s="27" t="s">
        <v>8</v>
      </c>
      <c r="AX133" s="27" t="s">
        <v>7</v>
      </c>
      <c r="AY133" s="27" t="s">
        <v>8</v>
      </c>
      <c r="AZ133" s="27" t="s">
        <v>7</v>
      </c>
      <c r="BC133" s="32" t="s">
        <v>8</v>
      </c>
      <c r="BL133" s="27" t="s">
        <v>7</v>
      </c>
      <c r="BN133" s="27" t="s">
        <v>7</v>
      </c>
    </row>
    <row r="134" spans="1:66" x14ac:dyDescent="0.25">
      <c r="A134" s="30">
        <v>0.28966437973668741</v>
      </c>
      <c r="C134"/>
      <c r="D134"/>
      <c r="E134"/>
      <c r="F134" s="27" t="s">
        <v>7</v>
      </c>
      <c r="AK134" s="27" t="s">
        <v>8</v>
      </c>
      <c r="AM134" s="27" t="s">
        <v>8</v>
      </c>
      <c r="AN134" s="27" t="s">
        <v>7</v>
      </c>
      <c r="AT134" s="27" t="s">
        <v>7</v>
      </c>
      <c r="AV134" s="27" t="s">
        <v>7</v>
      </c>
      <c r="AW134" s="27" t="s">
        <v>8</v>
      </c>
      <c r="AX134" s="27" t="s">
        <v>7</v>
      </c>
      <c r="AY134" s="27" t="s">
        <v>8</v>
      </c>
      <c r="AZ134" s="27" t="s">
        <v>7</v>
      </c>
      <c r="BA134" s="27" t="s">
        <v>8</v>
      </c>
      <c r="BC134" s="27" t="s">
        <v>8</v>
      </c>
      <c r="BD134" s="31"/>
      <c r="BN134" s="27" t="s">
        <v>7</v>
      </c>
    </row>
    <row r="135" spans="1:66" x14ac:dyDescent="0.25">
      <c r="A135" s="30">
        <v>0.2633312543060794</v>
      </c>
      <c r="C135" s="1" t="s">
        <v>14</v>
      </c>
      <c r="E135"/>
      <c r="F135" s="27" t="s">
        <v>7</v>
      </c>
      <c r="AK135" s="27" t="s">
        <v>8</v>
      </c>
      <c r="AL135" s="27" t="s">
        <v>7</v>
      </c>
      <c r="AM135" s="27" t="s">
        <v>8</v>
      </c>
      <c r="AV135" s="31" t="s">
        <v>7</v>
      </c>
      <c r="AW135" s="27" t="s">
        <v>8</v>
      </c>
      <c r="AX135" s="27" t="s">
        <v>7</v>
      </c>
      <c r="AY135" s="27" t="s">
        <v>8</v>
      </c>
      <c r="AZ135" s="27" t="s">
        <v>7</v>
      </c>
      <c r="BA135" s="27" t="s">
        <v>8</v>
      </c>
      <c r="BB135" s="27" t="s">
        <v>7</v>
      </c>
      <c r="BC135" s="27" t="s">
        <v>8</v>
      </c>
      <c r="BE135" s="31"/>
      <c r="BN135" s="27" t="s">
        <v>7</v>
      </c>
    </row>
    <row r="136" spans="1:6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AK136" s="27" t="s">
        <v>8</v>
      </c>
      <c r="AL136" s="27" t="s">
        <v>7</v>
      </c>
      <c r="AM136" s="27" t="s">
        <v>8</v>
      </c>
      <c r="AU136" s="31"/>
      <c r="AV136" s="27" t="s">
        <v>7</v>
      </c>
      <c r="AW136" s="27" t="s">
        <v>8</v>
      </c>
      <c r="AX136" s="27" t="s">
        <v>7</v>
      </c>
      <c r="AY136" s="27" t="s">
        <v>8</v>
      </c>
      <c r="AZ136" s="27" t="s">
        <v>7</v>
      </c>
      <c r="BA136" s="27" t="s">
        <v>8</v>
      </c>
      <c r="BB136" s="27" t="s">
        <v>7</v>
      </c>
      <c r="BC136" s="27" t="s">
        <v>8</v>
      </c>
      <c r="BN136" s="27" t="s">
        <v>7</v>
      </c>
    </row>
    <row r="137" spans="1:66" x14ac:dyDescent="0.25">
      <c r="A137" s="30">
        <v>0.2176291357901482</v>
      </c>
      <c r="E137"/>
      <c r="F137" s="27" t="s">
        <v>7</v>
      </c>
      <c r="AE137" s="27" t="s">
        <v>8</v>
      </c>
      <c r="AK137" s="27" t="s">
        <v>8</v>
      </c>
      <c r="AL137" s="27" t="s">
        <v>7</v>
      </c>
      <c r="AT137" s="31"/>
      <c r="AV137" s="27" t="s">
        <v>7</v>
      </c>
      <c r="AW137" s="27" t="s">
        <v>8</v>
      </c>
      <c r="AX137" s="27" t="s">
        <v>7</v>
      </c>
      <c r="AZ137" s="27" t="s">
        <v>7</v>
      </c>
      <c r="BA137" s="27" t="s">
        <v>8</v>
      </c>
      <c r="BB137" s="27" t="s">
        <v>7</v>
      </c>
      <c r="BC137" s="27" t="s">
        <v>8</v>
      </c>
      <c r="BN137" s="27" t="s">
        <v>7</v>
      </c>
    </row>
    <row r="138" spans="1:6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AE138" s="27" t="s">
        <v>8</v>
      </c>
      <c r="AF138" s="27" t="s">
        <v>7</v>
      </c>
      <c r="AK138" s="27" t="s">
        <v>8</v>
      </c>
      <c r="AS138" s="31"/>
      <c r="AV138" s="27" t="s">
        <v>7</v>
      </c>
      <c r="AZ138" s="27" t="s">
        <v>7</v>
      </c>
      <c r="BA138" s="27" t="s">
        <v>8</v>
      </c>
      <c r="BB138" s="18" t="s">
        <v>7</v>
      </c>
      <c r="BC138" s="27" t="s">
        <v>8</v>
      </c>
      <c r="BN138" s="27" t="s">
        <v>7</v>
      </c>
    </row>
    <row r="139" spans="1:66" x14ac:dyDescent="0.25">
      <c r="A139" s="30">
        <v>0.17985878990921333</v>
      </c>
      <c r="E139"/>
      <c r="F139" s="27" t="s">
        <v>7</v>
      </c>
      <c r="AE139" s="27" t="s">
        <v>8</v>
      </c>
      <c r="AF139" s="27" t="s">
        <v>7</v>
      </c>
      <c r="AG139" s="27" t="s">
        <v>8</v>
      </c>
      <c r="AK139" s="27" t="s">
        <v>8</v>
      </c>
      <c r="AR139" s="31"/>
      <c r="AZ139" s="27" t="s">
        <v>7</v>
      </c>
      <c r="BA139" s="27" t="s">
        <v>8</v>
      </c>
      <c r="BB139" s="27" t="s">
        <v>7</v>
      </c>
    </row>
    <row r="140" spans="1:66" x14ac:dyDescent="0.25">
      <c r="A140" s="30">
        <v>0.16350799082655756</v>
      </c>
      <c r="C140" s="1">
        <v>0</v>
      </c>
      <c r="E140"/>
      <c r="F140" s="27" t="s">
        <v>7</v>
      </c>
      <c r="Y140" s="27" t="s">
        <v>8</v>
      </c>
      <c r="AE140" s="27" t="s">
        <v>8</v>
      </c>
      <c r="AF140" s="27" t="s">
        <v>7</v>
      </c>
      <c r="AG140" s="27" t="s">
        <v>8</v>
      </c>
      <c r="AH140" s="27" t="s">
        <v>7</v>
      </c>
      <c r="AI140" s="27" t="s">
        <v>8</v>
      </c>
      <c r="AK140" s="27" t="s">
        <v>8</v>
      </c>
      <c r="AQ140" s="31"/>
      <c r="AZ140" s="27" t="s">
        <v>7</v>
      </c>
      <c r="BA140" s="27" t="s">
        <v>8</v>
      </c>
    </row>
    <row r="141" spans="1:66" x14ac:dyDescent="0.25">
      <c r="A141" s="30">
        <v>0.14864362802414322</v>
      </c>
      <c r="C141" s="1">
        <v>1</v>
      </c>
      <c r="E141"/>
      <c r="F141" s="27" t="s">
        <v>7</v>
      </c>
      <c r="Y141" s="27" t="s">
        <v>8</v>
      </c>
      <c r="Z141" s="27" t="s">
        <v>7</v>
      </c>
      <c r="AE141" s="27" t="s">
        <v>8</v>
      </c>
      <c r="AF141" s="27" t="s">
        <v>7</v>
      </c>
      <c r="AG141" s="27" t="s">
        <v>8</v>
      </c>
      <c r="AH141" s="27" t="s">
        <v>7</v>
      </c>
      <c r="AI141" s="27" t="s">
        <v>8</v>
      </c>
      <c r="AJ141" s="27" t="s">
        <v>7</v>
      </c>
      <c r="AK141" s="27" t="s">
        <v>8</v>
      </c>
      <c r="AP141" s="31"/>
      <c r="AZ141" s="27" t="s">
        <v>7</v>
      </c>
    </row>
    <row r="142" spans="1:66" x14ac:dyDescent="0.25">
      <c r="A142" s="30">
        <v>0.13513057093103928</v>
      </c>
      <c r="C142" s="1">
        <v>2</v>
      </c>
      <c r="E142"/>
      <c r="F142" s="27" t="s">
        <v>7</v>
      </c>
      <c r="Y142" s="27" t="s">
        <v>8</v>
      </c>
      <c r="Z142" s="27" t="s">
        <v>7</v>
      </c>
      <c r="AC142" s="27" t="s">
        <v>8</v>
      </c>
      <c r="AE142" s="27" t="s">
        <v>8</v>
      </c>
      <c r="AF142" s="27" t="s">
        <v>7</v>
      </c>
      <c r="AG142" s="27" t="s">
        <v>8</v>
      </c>
      <c r="AH142" s="27" t="s">
        <v>7</v>
      </c>
      <c r="AI142" s="27" t="s">
        <v>8</v>
      </c>
      <c r="AJ142" s="27" t="s">
        <v>7</v>
      </c>
      <c r="AK142" s="27" t="s">
        <v>8</v>
      </c>
      <c r="AO142" s="31"/>
    </row>
    <row r="143" spans="1:66" x14ac:dyDescent="0.25">
      <c r="A143" s="30">
        <v>0.12284597357367205</v>
      </c>
      <c r="C143" s="1">
        <v>3</v>
      </c>
      <c r="E143"/>
      <c r="F143" s="27" t="s">
        <v>7</v>
      </c>
      <c r="Y143" s="27" t="s">
        <v>8</v>
      </c>
      <c r="Z143" s="27" t="s">
        <v>7</v>
      </c>
      <c r="AA143" s="27" t="s">
        <v>8</v>
      </c>
      <c r="AC143" s="27" t="s">
        <v>8</v>
      </c>
      <c r="AD143" s="27" t="s">
        <v>7</v>
      </c>
      <c r="AE143" s="27" t="s">
        <v>8</v>
      </c>
      <c r="AF143" s="27" t="s">
        <v>7</v>
      </c>
      <c r="AG143" s="27" t="s">
        <v>8</v>
      </c>
      <c r="AH143" s="27" t="s">
        <v>7</v>
      </c>
      <c r="AJ143" s="27" t="s">
        <v>7</v>
      </c>
      <c r="AN143" s="31"/>
    </row>
    <row r="144" spans="1:66" x14ac:dyDescent="0.25">
      <c r="A144" s="30">
        <v>0.11167815779424731</v>
      </c>
      <c r="C144" s="1">
        <v>4</v>
      </c>
      <c r="E144"/>
      <c r="F144" s="27" t="s">
        <v>7</v>
      </c>
      <c r="Y144" s="27" t="s">
        <v>8</v>
      </c>
      <c r="Z144" s="27" t="s">
        <v>7</v>
      </c>
      <c r="AA144" s="27" t="s">
        <v>8</v>
      </c>
      <c r="AB144" s="27" t="s">
        <v>7</v>
      </c>
      <c r="AC144" s="27" t="s">
        <v>8</v>
      </c>
      <c r="AD144" s="27" t="s">
        <v>7</v>
      </c>
      <c r="AE144" s="27" t="s">
        <v>8</v>
      </c>
      <c r="AF144" s="27" t="s">
        <v>7</v>
      </c>
      <c r="AG144" s="27" t="s">
        <v>8</v>
      </c>
      <c r="AM144" s="31"/>
    </row>
    <row r="145" spans="1:38" x14ac:dyDescent="0.25">
      <c r="A145" s="30">
        <v>0.10152559799477026</v>
      </c>
      <c r="B145"/>
      <c r="C145"/>
      <c r="D145"/>
      <c r="E145"/>
      <c r="F145" s="27" t="s">
        <v>7</v>
      </c>
      <c r="Y145" s="27" t="s">
        <v>8</v>
      </c>
      <c r="Z145" s="27" t="s">
        <v>7</v>
      </c>
      <c r="AA145" s="27" t="s">
        <v>8</v>
      </c>
      <c r="AB145" s="27" t="s">
        <v>7</v>
      </c>
      <c r="AC145" s="27" t="s">
        <v>8</v>
      </c>
      <c r="AD145" s="27" t="s">
        <v>7</v>
      </c>
      <c r="AE145" s="27" t="s">
        <v>8</v>
      </c>
      <c r="AF145" s="27" t="s">
        <v>7</v>
      </c>
      <c r="AL145" s="31"/>
    </row>
    <row r="146" spans="1:38" x14ac:dyDescent="0.25">
      <c r="A146" s="30">
        <v>9.2295998177063854E-2</v>
      </c>
      <c r="B146"/>
      <c r="C146"/>
      <c r="D146"/>
      <c r="E146"/>
      <c r="F146" s="27" t="s">
        <v>7</v>
      </c>
      <c r="Y146" s="27" t="s">
        <v>8</v>
      </c>
      <c r="Z146" s="27" t="s">
        <v>7</v>
      </c>
      <c r="AA146" s="27" t="s">
        <v>8</v>
      </c>
      <c r="AB146" s="27" t="s">
        <v>7</v>
      </c>
      <c r="AC146" s="27" t="s">
        <v>8</v>
      </c>
      <c r="AD146" s="27" t="s">
        <v>7</v>
      </c>
      <c r="AE146" s="27" t="s">
        <v>8</v>
      </c>
      <c r="AK146" s="31"/>
    </row>
    <row r="147" spans="1:38" x14ac:dyDescent="0.25">
      <c r="A147" s="30">
        <v>8.3905452888239848E-2</v>
      </c>
      <c r="B147"/>
      <c r="C147"/>
      <c r="D147"/>
      <c r="E147"/>
      <c r="F147" s="27" t="s">
        <v>7</v>
      </c>
      <c r="Y147" s="27" t="s">
        <v>8</v>
      </c>
      <c r="Z147" s="27" t="s">
        <v>7</v>
      </c>
      <c r="AB147" s="27" t="s">
        <v>7</v>
      </c>
      <c r="AC147" s="27" t="s">
        <v>8</v>
      </c>
      <c r="AD147" s="27" t="s">
        <v>7</v>
      </c>
      <c r="AE147" s="27" t="s">
        <v>8</v>
      </c>
      <c r="AJ147" s="31"/>
    </row>
    <row r="148" spans="1:38" x14ac:dyDescent="0.25">
      <c r="A148" s="30">
        <v>7.6277684443854396E-2</v>
      </c>
      <c r="B148"/>
      <c r="C148"/>
      <c r="D148"/>
      <c r="E148"/>
      <c r="F148" s="27" t="s">
        <v>7</v>
      </c>
      <c r="Y148" s="27" t="s">
        <v>8</v>
      </c>
      <c r="AB148" s="27" t="s">
        <v>7</v>
      </c>
      <c r="AC148" s="27" t="s">
        <v>8</v>
      </c>
      <c r="AD148" s="27" t="s">
        <v>7</v>
      </c>
      <c r="AI148" s="31"/>
    </row>
    <row r="149" spans="1:38" x14ac:dyDescent="0.25">
      <c r="A149" s="30">
        <v>6.9343349494413078E-2</v>
      </c>
      <c r="B149"/>
      <c r="C149"/>
      <c r="D149"/>
      <c r="E149"/>
      <c r="F149" s="27" t="s">
        <v>7</v>
      </c>
      <c r="Y149" s="27" t="s">
        <v>8</v>
      </c>
      <c r="AB149" s="27" t="s">
        <v>7</v>
      </c>
      <c r="AH149" s="31"/>
    </row>
    <row r="150" spans="1:38" x14ac:dyDescent="0.25">
      <c r="A150" s="30">
        <v>6.3039408631284613E-2</v>
      </c>
      <c r="B150"/>
      <c r="C150"/>
      <c r="D150"/>
      <c r="E150"/>
      <c r="F150" s="27" t="s">
        <v>7</v>
      </c>
      <c r="W150" s="27" t="s">
        <v>8</v>
      </c>
      <c r="Y150" s="27" t="s">
        <v>8</v>
      </c>
      <c r="AG150" s="31"/>
    </row>
    <row r="151" spans="1:38" x14ac:dyDescent="0.25">
      <c r="A151" s="30">
        <v>5.7308553301167818E-2</v>
      </c>
      <c r="B151"/>
      <c r="C151"/>
      <c r="D151"/>
      <c r="E151"/>
      <c r="F151" s="27" t="s">
        <v>7</v>
      </c>
      <c r="W151" s="27" t="s">
        <v>8</v>
      </c>
      <c r="X151" s="27" t="s">
        <v>7</v>
      </c>
      <c r="Y151" s="27" t="s">
        <v>8</v>
      </c>
      <c r="AF151" s="31"/>
    </row>
    <row r="152" spans="1:38" x14ac:dyDescent="0.25">
      <c r="A152" s="30">
        <v>5.2098684819243464E-2</v>
      </c>
      <c r="B152"/>
      <c r="C152"/>
      <c r="D152"/>
      <c r="E152"/>
      <c r="F152" s="27" t="s">
        <v>7</v>
      </c>
      <c r="Q152" s="27" t="s">
        <v>8</v>
      </c>
      <c r="W152" s="27" t="s">
        <v>8</v>
      </c>
      <c r="X152" s="27" t="s">
        <v>7</v>
      </c>
      <c r="Y152" s="27" t="s">
        <v>8</v>
      </c>
      <c r="AE152" s="31"/>
    </row>
    <row r="153" spans="1:38" x14ac:dyDescent="0.25">
      <c r="A153" s="30">
        <v>4.7362440744766775E-2</v>
      </c>
      <c r="B153"/>
      <c r="C153"/>
      <c r="D153"/>
      <c r="E153"/>
      <c r="F153" s="27" t="s">
        <v>7</v>
      </c>
      <c r="G153" s="27" t="s">
        <v>8</v>
      </c>
      <c r="I153" s="27" t="s">
        <v>8</v>
      </c>
      <c r="Q153" s="27" t="s">
        <v>8</v>
      </c>
      <c r="R153" s="27" t="s">
        <v>7</v>
      </c>
      <c r="W153" s="27" t="s">
        <v>8</v>
      </c>
      <c r="X153" s="27" t="s">
        <v>7</v>
      </c>
      <c r="Y153" s="27" t="s">
        <v>8</v>
      </c>
      <c r="AD153" s="31"/>
    </row>
    <row r="154" spans="1:38" x14ac:dyDescent="0.25">
      <c r="A154" s="30">
        <v>4.3056764313424332E-2</v>
      </c>
      <c r="B154"/>
      <c r="C154"/>
      <c r="D154"/>
      <c r="E154"/>
      <c r="F154" s="27" t="s">
        <v>7</v>
      </c>
      <c r="G154" s="27" t="s">
        <v>8</v>
      </c>
      <c r="H154" s="27" t="s">
        <v>7</v>
      </c>
      <c r="I154" s="27" t="s">
        <v>8</v>
      </c>
      <c r="J154" s="27" t="s">
        <v>7</v>
      </c>
      <c r="K154" s="27" t="s">
        <v>8</v>
      </c>
      <c r="Q154" s="27" t="s">
        <v>8</v>
      </c>
      <c r="R154" s="27" t="s">
        <v>7</v>
      </c>
      <c r="W154" s="27" t="s">
        <v>8</v>
      </c>
      <c r="X154" s="27" t="s">
        <v>7</v>
      </c>
      <c r="Y154" s="27" t="s">
        <v>8</v>
      </c>
      <c r="AC154" s="31"/>
    </row>
    <row r="155" spans="1:38" x14ac:dyDescent="0.25">
      <c r="A155" s="30">
        <v>3.9142513012203929E-2</v>
      </c>
      <c r="B155"/>
      <c r="C155"/>
      <c r="D155"/>
      <c r="E155"/>
      <c r="F155" s="27" t="s">
        <v>7</v>
      </c>
      <c r="G155" s="27" t="s">
        <v>8</v>
      </c>
      <c r="H155" s="27" t="s">
        <v>7</v>
      </c>
      <c r="I155" s="27" t="s">
        <v>8</v>
      </c>
      <c r="J155" s="27" t="s">
        <v>7</v>
      </c>
      <c r="K155" s="27" t="s">
        <v>8</v>
      </c>
      <c r="L155" s="27" t="s">
        <v>7</v>
      </c>
      <c r="Q155" s="27" t="s">
        <v>8</v>
      </c>
      <c r="R155" s="27" t="s">
        <v>7</v>
      </c>
      <c r="W155" s="27" t="s">
        <v>8</v>
      </c>
      <c r="X155" s="27" t="s">
        <v>7</v>
      </c>
      <c r="Y155" s="27" t="s">
        <v>8</v>
      </c>
      <c r="AB155" s="31"/>
    </row>
    <row r="156" spans="1:38" x14ac:dyDescent="0.25">
      <c r="A156" s="30">
        <v>3.55841027383672E-2</v>
      </c>
      <c r="B156"/>
      <c r="C156"/>
      <c r="D156"/>
      <c r="E156"/>
      <c r="F156" s="27" t="s">
        <v>7</v>
      </c>
      <c r="H156" s="27" t="s">
        <v>7</v>
      </c>
      <c r="J156" s="27" t="s">
        <v>7</v>
      </c>
      <c r="K156" s="27" t="s">
        <v>8</v>
      </c>
      <c r="L156" s="27" t="s">
        <v>7</v>
      </c>
      <c r="Q156" s="27" t="s">
        <v>8</v>
      </c>
      <c r="R156" s="27" t="s">
        <v>7</v>
      </c>
      <c r="S156" s="27" t="s">
        <v>8</v>
      </c>
      <c r="U156" s="27" t="s">
        <v>8</v>
      </c>
      <c r="W156" s="27" t="s">
        <v>8</v>
      </c>
      <c r="X156" s="27" t="s">
        <v>7</v>
      </c>
      <c r="AA156" s="31"/>
    </row>
    <row r="157" spans="1:38" x14ac:dyDescent="0.25">
      <c r="A157" s="30">
        <v>3.2349184307606541E-2</v>
      </c>
      <c r="B157"/>
      <c r="C157"/>
      <c r="D157"/>
      <c r="E157"/>
      <c r="J157" s="27" t="s">
        <v>7</v>
      </c>
      <c r="K157" s="27" t="s">
        <v>8</v>
      </c>
      <c r="L157" s="27" t="s">
        <v>7</v>
      </c>
      <c r="M157" s="27" t="s">
        <v>8</v>
      </c>
      <c r="Q157" s="27" t="s">
        <v>8</v>
      </c>
      <c r="R157" s="27" t="s">
        <v>7</v>
      </c>
      <c r="S157" s="27" t="s">
        <v>8</v>
      </c>
      <c r="T157" s="27" t="s">
        <v>7</v>
      </c>
      <c r="U157" s="27" t="s">
        <v>8</v>
      </c>
      <c r="V157" s="27" t="s">
        <v>7</v>
      </c>
      <c r="W157" s="27" t="s">
        <v>8</v>
      </c>
      <c r="Z157" s="31"/>
    </row>
    <row r="158" spans="1:38" x14ac:dyDescent="0.25">
      <c r="A158" s="30">
        <v>2.9408349370551395E-2</v>
      </c>
      <c r="B158"/>
      <c r="C158"/>
      <c r="D158"/>
      <c r="E158"/>
      <c r="J158" s="27" t="s">
        <v>7</v>
      </c>
      <c r="K158" s="27" t="s">
        <v>8</v>
      </c>
      <c r="L158" s="27" t="s">
        <v>7</v>
      </c>
      <c r="M158" s="27" t="s">
        <v>8</v>
      </c>
      <c r="N158" s="27" t="s">
        <v>7</v>
      </c>
      <c r="Q158" s="27" t="s">
        <v>8</v>
      </c>
      <c r="R158" s="27" t="s">
        <v>7</v>
      </c>
      <c r="S158" s="27" t="s">
        <v>8</v>
      </c>
      <c r="T158" s="27" t="s">
        <v>7</v>
      </c>
      <c r="U158" s="27" t="s">
        <v>8</v>
      </c>
      <c r="V158" s="27" t="s">
        <v>7</v>
      </c>
      <c r="W158" s="27" t="s">
        <v>8</v>
      </c>
      <c r="Y158" s="31"/>
    </row>
    <row r="159" spans="1:38" x14ac:dyDescent="0.25">
      <c r="A159" s="30">
        <v>2.6734863064137627E-2</v>
      </c>
      <c r="B159"/>
      <c r="C159"/>
      <c r="D159"/>
      <c r="E159"/>
      <c r="J159" s="27" t="s">
        <v>7</v>
      </c>
      <c r="K159" s="27" t="s">
        <v>8</v>
      </c>
      <c r="L159" s="27" t="s">
        <v>7</v>
      </c>
      <c r="M159" s="27" t="s">
        <v>8</v>
      </c>
      <c r="N159" s="27" t="s">
        <v>7</v>
      </c>
      <c r="Q159" s="27" t="s">
        <v>8</v>
      </c>
      <c r="R159" s="27" t="s">
        <v>7</v>
      </c>
      <c r="T159" s="27" t="s">
        <v>7</v>
      </c>
      <c r="U159" s="27" t="s">
        <v>8</v>
      </c>
      <c r="V159" s="27" t="s">
        <v>7</v>
      </c>
      <c r="W159" s="27" t="s">
        <v>8</v>
      </c>
      <c r="X159" s="31"/>
    </row>
    <row r="160" spans="1:38" x14ac:dyDescent="0.25">
      <c r="A160" s="30">
        <v>2.4304420967397839E-2</v>
      </c>
      <c r="B160"/>
      <c r="C160"/>
      <c r="D160"/>
      <c r="E160"/>
      <c r="J160" s="27" t="s">
        <v>7</v>
      </c>
      <c r="K160" s="27" t="s">
        <v>8</v>
      </c>
      <c r="L160" s="27" t="s">
        <v>7</v>
      </c>
      <c r="M160" s="27" t="s">
        <v>8</v>
      </c>
      <c r="N160" s="27" t="s">
        <v>7</v>
      </c>
      <c r="Q160" s="27" t="s">
        <v>8</v>
      </c>
      <c r="T160" s="27" t="s">
        <v>7</v>
      </c>
      <c r="V160" s="27" t="s">
        <v>7</v>
      </c>
      <c r="W160" s="31"/>
    </row>
    <row r="161" spans="1:22" x14ac:dyDescent="0.25">
      <c r="A161" s="30">
        <v>2.2094928152179852E-2</v>
      </c>
      <c r="B161"/>
      <c r="C161"/>
      <c r="D161"/>
      <c r="E161"/>
      <c r="J161" s="27" t="s">
        <v>7</v>
      </c>
      <c r="K161" s="27" t="s">
        <v>8</v>
      </c>
      <c r="L161" s="27" t="s">
        <v>7</v>
      </c>
      <c r="N161" s="27" t="s">
        <v>7</v>
      </c>
      <c r="Q161" s="27" t="s">
        <v>8</v>
      </c>
      <c r="V161" s="31"/>
    </row>
    <row r="162" spans="1:22" x14ac:dyDescent="0.25">
      <c r="A162" s="30">
        <v>2.0086298320163499E-2</v>
      </c>
      <c r="B162"/>
      <c r="C162"/>
      <c r="D162"/>
      <c r="E162"/>
      <c r="J162" s="27" t="s">
        <v>7</v>
      </c>
      <c r="K162" s="27" t="s">
        <v>8</v>
      </c>
      <c r="N162" s="27" t="s">
        <v>7</v>
      </c>
      <c r="Q162" s="27" t="s">
        <v>8</v>
      </c>
      <c r="U162" s="31"/>
    </row>
    <row r="163" spans="1:22" x14ac:dyDescent="0.25">
      <c r="A163" s="30">
        <v>1.8260271200148632E-2</v>
      </c>
      <c r="B163"/>
      <c r="C163"/>
      <c r="D163"/>
      <c r="E163"/>
      <c r="J163" s="27" t="s">
        <v>7</v>
      </c>
      <c r="N163" s="27" t="s">
        <v>7</v>
      </c>
      <c r="O163" s="27" t="s">
        <v>8</v>
      </c>
      <c r="Q163" s="27" t="s">
        <v>8</v>
      </c>
      <c r="T163" s="31"/>
    </row>
    <row r="164" spans="1:22" x14ac:dyDescent="0.25">
      <c r="A164" s="30">
        <v>1.6600246545589663E-2</v>
      </c>
      <c r="B164"/>
      <c r="C164"/>
      <c r="D164"/>
      <c r="E164"/>
      <c r="N164" s="27" t="s">
        <v>7</v>
      </c>
      <c r="O164" s="27" t="s">
        <v>8</v>
      </c>
      <c r="P164" s="27" t="s">
        <v>7</v>
      </c>
      <c r="Q164" s="27" t="s">
        <v>8</v>
      </c>
      <c r="S164" s="31"/>
    </row>
    <row r="165" spans="1:22" x14ac:dyDescent="0.25">
      <c r="A165" s="30">
        <v>1.5091133223263328E-2</v>
      </c>
      <c r="B165"/>
      <c r="C165"/>
      <c r="D165"/>
      <c r="E165"/>
      <c r="N165" s="27" t="s">
        <v>7</v>
      </c>
      <c r="O165" s="27" t="s">
        <v>8</v>
      </c>
      <c r="P165" s="27" t="s">
        <v>7</v>
      </c>
      <c r="Q165" s="27" t="s">
        <v>8</v>
      </c>
      <c r="R165" s="31"/>
    </row>
    <row r="166" spans="1:22" x14ac:dyDescent="0.25">
      <c r="A166" s="30">
        <v>1.3719212021148477E-2</v>
      </c>
      <c r="B166"/>
      <c r="C166"/>
      <c r="D166"/>
      <c r="E166"/>
      <c r="N166" s="27" t="s">
        <v>7</v>
      </c>
      <c r="O166" s="27" t="s">
        <v>8</v>
      </c>
      <c r="P166" s="27" t="s">
        <v>7</v>
      </c>
      <c r="Q166" s="31"/>
    </row>
    <row r="167" spans="1:22" x14ac:dyDescent="0.25">
      <c r="A167" s="30">
        <v>1.2472010928316795E-2</v>
      </c>
      <c r="B167"/>
      <c r="C167"/>
      <c r="D167"/>
      <c r="E167"/>
      <c r="N167" s="27" t="s">
        <v>7</v>
      </c>
      <c r="O167" s="27" t="s">
        <v>8</v>
      </c>
      <c r="P167" s="31"/>
    </row>
    <row r="168" spans="1:22" x14ac:dyDescent="0.25">
      <c r="A168" s="30">
        <v>1.1338191753015267E-2</v>
      </c>
      <c r="B168"/>
      <c r="C168"/>
      <c r="D168"/>
      <c r="E168"/>
      <c r="N168" s="27" t="s">
        <v>7</v>
      </c>
      <c r="O168" s="31" t="s">
        <v>8</v>
      </c>
    </row>
    <row r="169" spans="1:22" x14ac:dyDescent="0.25">
      <c r="A169" s="30">
        <v>1.0307447048195697E-2</v>
      </c>
      <c r="B169"/>
      <c r="C169"/>
      <c r="D169"/>
      <c r="E169"/>
      <c r="N169" s="31" t="s">
        <v>7</v>
      </c>
    </row>
    <row r="170" spans="1:22" x14ac:dyDescent="0.25">
      <c r="A170" s="30">
        <v>9.3704064074506318E-3</v>
      </c>
      <c r="B170"/>
      <c r="C170"/>
      <c r="D170"/>
      <c r="E170"/>
    </row>
    <row r="171" spans="1:22" x14ac:dyDescent="0.25">
      <c r="A171" s="30">
        <v>8.5185512795005747E-3</v>
      </c>
    </row>
    <row r="172" spans="1:22" x14ac:dyDescent="0.25">
      <c r="A172" s="30">
        <v>7.744137526818704E-3</v>
      </c>
    </row>
    <row r="173" spans="1:22" x14ac:dyDescent="0.25">
      <c r="A173" s="30">
        <v>7.0401250243806394E-3</v>
      </c>
    </row>
    <row r="174" spans="1:22" x14ac:dyDescent="0.25">
      <c r="A174" s="30">
        <v>6.4001136585278536E-3</v>
      </c>
    </row>
    <row r="175" spans="1:22" x14ac:dyDescent="0.25">
      <c r="A175" s="30">
        <v>5.8182851441162305E-3</v>
      </c>
    </row>
    <row r="176" spans="1:22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289" operator="equal">
      <formula>$U$1</formula>
    </cfRule>
    <cfRule type="cellIs" dxfId="30" priority="1290" operator="equal">
      <formula>$S$1</formula>
    </cfRule>
  </conditionalFormatting>
  <conditionalFormatting sqref="D136">
    <cfRule type="cellIs" dxfId="29" priority="1287" operator="equal">
      <formula>$S$1</formula>
    </cfRule>
    <cfRule type="cellIs" dxfId="28" priority="1288" operator="equal">
      <formula>$U$1</formula>
    </cfRule>
  </conditionalFormatting>
  <conditionalFormatting sqref="C102">
    <cfRule type="cellIs" dxfId="27" priority="1285" operator="equal">
      <formula>$U$1</formula>
    </cfRule>
    <cfRule type="cellIs" dxfId="26" priority="1286" operator="equal">
      <formula>$S$1</formula>
    </cfRule>
  </conditionalFormatting>
  <conditionalFormatting sqref="D102">
    <cfRule type="cellIs" dxfId="25" priority="1283" operator="equal">
      <formula>$S$1</formula>
    </cfRule>
    <cfRule type="cellIs" dxfId="24" priority="1284" operator="equal">
      <formula>$U$1</formula>
    </cfRule>
  </conditionalFormatting>
  <conditionalFormatting sqref="C77">
    <cfRule type="cellIs" dxfId="23" priority="1281" operator="equal">
      <formula>$U$1</formula>
    </cfRule>
    <cfRule type="cellIs" dxfId="22" priority="1282" operator="equal">
      <formula>$S$1</formula>
    </cfRule>
  </conditionalFormatting>
  <conditionalFormatting sqref="D77">
    <cfRule type="cellIs" dxfId="21" priority="1279" operator="equal">
      <formula>$S$1</formula>
    </cfRule>
    <cfRule type="cellIs" dxfId="20" priority="1280" operator="equal">
      <formula>$U$1</formula>
    </cfRule>
  </conditionalFormatting>
  <conditionalFormatting sqref="C52">
    <cfRule type="cellIs" dxfId="19" priority="1277" operator="equal">
      <formula>$U$1</formula>
    </cfRule>
    <cfRule type="cellIs" dxfId="18" priority="1278" operator="equal">
      <formula>$S$1</formula>
    </cfRule>
  </conditionalFormatting>
  <conditionalFormatting sqref="D52">
    <cfRule type="cellIs" dxfId="17" priority="1275" operator="equal">
      <formula>$S$1</formula>
    </cfRule>
    <cfRule type="cellIs" dxfId="16" priority="1276" operator="equal">
      <formula>$U$1</formula>
    </cfRule>
  </conditionalFormatting>
  <conditionalFormatting sqref="C26">
    <cfRule type="cellIs" dxfId="15" priority="1273" operator="equal">
      <formula>$U$1</formula>
    </cfRule>
    <cfRule type="cellIs" dxfId="14" priority="1274" operator="equal">
      <formula>$S$1</formula>
    </cfRule>
  </conditionalFormatting>
  <conditionalFormatting sqref="D26">
    <cfRule type="cellIs" dxfId="13" priority="1271" operator="equal">
      <formula>$S$1</formula>
    </cfRule>
    <cfRule type="cellIs" dxfId="12" priority="127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2022-01-28T01:15:26Z</dcterms:modified>
</cp:coreProperties>
</file>