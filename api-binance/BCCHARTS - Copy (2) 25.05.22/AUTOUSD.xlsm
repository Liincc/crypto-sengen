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1B9256A-AF3B-49C2-BA4B-7254A8F85B2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8" i="4"/>
  <c r="C122" i="3"/>
  <c r="C133" i="3" s="1"/>
  <c r="C136" i="3" s="1"/>
  <c r="C122" i="4"/>
  <c r="C133" i="4" s="1"/>
  <c r="C136" i="4" s="1"/>
  <c r="R765" i="1"/>
  <c r="S766" i="1"/>
  <c r="T766" i="1" s="1"/>
  <c r="C118" i="3"/>
  <c r="D118" i="3"/>
  <c r="C136" i="5" l="1"/>
  <c r="C138" i="5" s="1"/>
  <c r="D136" i="3"/>
  <c r="C138" i="3" s="1"/>
  <c r="D136" i="4"/>
  <c r="C138" i="4" s="1"/>
  <c r="R764" i="1"/>
  <c r="S765" i="1"/>
  <c r="T765" i="1" s="1"/>
  <c r="S764" i="1" l="1"/>
  <c r="T764" i="1" s="1"/>
  <c r="R763" i="1"/>
  <c r="R762" i="1" l="1"/>
  <c r="S763" i="1"/>
  <c r="T763" i="1" s="1"/>
  <c r="S762" i="1" l="1"/>
  <c r="T762" i="1" s="1"/>
  <c r="R761" i="1"/>
  <c r="R760" i="1" l="1"/>
  <c r="S761" i="1"/>
  <c r="T761" i="1" s="1"/>
  <c r="S760" i="1" l="1"/>
  <c r="T760" i="1" s="1"/>
  <c r="R759" i="1"/>
  <c r="R758" i="1" l="1"/>
  <c r="S759" i="1"/>
  <c r="T759" i="1" s="1"/>
  <c r="S758" i="1" l="1"/>
  <c r="T758" i="1" s="1"/>
  <c r="R757" i="1"/>
  <c r="R756" i="1" l="1"/>
  <c r="S757" i="1"/>
  <c r="T757" i="1" s="1"/>
  <c r="S756" i="1" l="1"/>
  <c r="T756" i="1" s="1"/>
  <c r="R755" i="1"/>
  <c r="R754" i="1" l="1"/>
  <c r="S755" i="1"/>
  <c r="T755" i="1" s="1"/>
  <c r="S754" i="1" l="1"/>
  <c r="T754" i="1" s="1"/>
  <c r="R753" i="1"/>
  <c r="R752" i="1" l="1"/>
  <c r="S753" i="1"/>
  <c r="T753" i="1" s="1"/>
  <c r="S752" i="1" l="1"/>
  <c r="T752" i="1" s="1"/>
  <c r="R751" i="1"/>
  <c r="R750" i="1" l="1"/>
  <c r="S751" i="1"/>
  <c r="T751" i="1" s="1"/>
  <c r="S750" i="1" l="1"/>
  <c r="T750" i="1" s="1"/>
  <c r="R749" i="1"/>
  <c r="R748" i="1" l="1"/>
  <c r="S749" i="1"/>
  <c r="T749" i="1" s="1"/>
  <c r="S748" i="1" l="1"/>
  <c r="T748" i="1" s="1"/>
  <c r="R747" i="1"/>
  <c r="R746" i="1" l="1"/>
  <c r="S747" i="1"/>
  <c r="T747" i="1" s="1"/>
  <c r="S746" i="1" l="1"/>
  <c r="T746" i="1" s="1"/>
  <c r="R745" i="1"/>
  <c r="R744" i="1" l="1"/>
  <c r="S745" i="1"/>
  <c r="T745" i="1" s="1"/>
  <c r="S744" i="1" l="1"/>
  <c r="T744" i="1" s="1"/>
  <c r="R743" i="1"/>
  <c r="R742" i="1" l="1"/>
  <c r="S743" i="1"/>
  <c r="T743" i="1" s="1"/>
  <c r="R741" i="1" l="1"/>
  <c r="S742" i="1"/>
  <c r="T742" i="1" s="1"/>
  <c r="S741" i="1" l="1"/>
  <c r="T741" i="1" s="1"/>
  <c r="R740" i="1"/>
  <c r="S740" i="1" l="1"/>
  <c r="T740" i="1" s="1"/>
  <c r="R739" i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R734" i="1" l="1"/>
  <c r="S735" i="1"/>
  <c r="T735" i="1" s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S728" i="1" l="1"/>
  <c r="T728" i="1" s="1"/>
  <c r="R727" i="1"/>
  <c r="S727" i="1" l="1"/>
  <c r="T727" i="1" s="1"/>
  <c r="R726" i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R717" i="1" l="1"/>
  <c r="S718" i="1"/>
  <c r="T718" i="1" s="1"/>
  <c r="R716" i="1" l="1"/>
  <c r="S717" i="1"/>
  <c r="T717" i="1" s="1"/>
  <c r="S716" i="1" l="1"/>
  <c r="T716" i="1" s="1"/>
  <c r="R715" i="1"/>
  <c r="S715" i="1" l="1"/>
  <c r="T715" i="1" s="1"/>
  <c r="R714" i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R702" i="1" l="1"/>
  <c r="S703" i="1"/>
  <c r="T703" i="1" s="1"/>
  <c r="R701" i="1" l="1"/>
  <c r="S702" i="1"/>
  <c r="T702" i="1" s="1"/>
  <c r="S701" i="1" l="1"/>
  <c r="T701" i="1" s="1"/>
  <c r="R700" i="1"/>
  <c r="S700" i="1" l="1"/>
  <c r="T700" i="1" s="1"/>
  <c r="R699" i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S695" i="1" l="1"/>
  <c r="T695" i="1" s="1"/>
  <c r="R694" i="1"/>
  <c r="R693" i="1" l="1"/>
  <c r="S694" i="1"/>
  <c r="T694" i="1" s="1"/>
  <c r="S693" i="1" l="1"/>
  <c r="T693" i="1" s="1"/>
  <c r="R692" i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S688" i="1" l="1"/>
  <c r="T688" i="1" s="1"/>
  <c r="R687" i="1"/>
  <c r="S687" i="1" l="1"/>
  <c r="T687" i="1" s="1"/>
  <c r="R686" i="1"/>
  <c r="R685" i="1" l="1"/>
  <c r="S686" i="1"/>
  <c r="T686" i="1" s="1"/>
  <c r="R684" i="1" l="1"/>
  <c r="S685" i="1"/>
  <c r="T685" i="1" s="1"/>
  <c r="R683" i="1" l="1"/>
  <c r="S684" i="1"/>
  <c r="T684" i="1" s="1"/>
  <c r="S683" i="1" l="1"/>
  <c r="T683" i="1" s="1"/>
  <c r="R682" i="1"/>
  <c r="S682" i="1" l="1"/>
  <c r="T682" i="1" s="1"/>
  <c r="R681" i="1"/>
  <c r="R680" i="1" l="1"/>
  <c r="S681" i="1"/>
  <c r="T681" i="1" s="1"/>
  <c r="S680" i="1" l="1"/>
  <c r="T680" i="1" s="1"/>
  <c r="R679" i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S660" i="1" l="1"/>
  <c r="T660" i="1" s="1"/>
  <c r="R659" i="1"/>
  <c r="R658" i="1" l="1"/>
  <c r="S659" i="1"/>
  <c r="T659" i="1" s="1"/>
  <c r="S658" i="1" l="1"/>
  <c r="T658" i="1" s="1"/>
  <c r="R657" i="1"/>
  <c r="S657" i="1" l="1"/>
  <c r="T657" i="1" s="1"/>
  <c r="R656" i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S639" i="1" l="1"/>
  <c r="T639" i="1" s="1"/>
  <c r="R638" i="1"/>
  <c r="S638" i="1" l="1"/>
  <c r="T638" i="1" s="1"/>
  <c r="R637" i="1"/>
  <c r="R636" i="1" l="1"/>
  <c r="S637" i="1"/>
  <c r="T637" i="1" s="1"/>
  <c r="R635" i="1" l="1"/>
  <c r="S636" i="1"/>
  <c r="T636" i="1" s="1"/>
  <c r="S635" i="1" l="1"/>
  <c r="T635" i="1" s="1"/>
  <c r="R634" i="1"/>
  <c r="S634" i="1" l="1"/>
  <c r="T634" i="1" s="1"/>
  <c r="R633" i="1"/>
  <c r="R632" i="1" l="1"/>
  <c r="S633" i="1"/>
  <c r="T633" i="1" s="1"/>
  <c r="S632" i="1" l="1"/>
  <c r="T632" i="1" s="1"/>
  <c r="R631" i="1"/>
  <c r="S631" i="1" l="1"/>
  <c r="T631" i="1" s="1"/>
  <c r="R630" i="1"/>
  <c r="S630" i="1" l="1"/>
  <c r="T630" i="1" s="1"/>
  <c r="R629" i="1"/>
  <c r="R628" i="1" l="1"/>
  <c r="S629" i="1"/>
  <c r="T629" i="1" s="1"/>
  <c r="R627" i="1" l="1"/>
  <c r="S628" i="1"/>
  <c r="T628" i="1" s="1"/>
  <c r="S627" i="1" l="1"/>
  <c r="T627" i="1" s="1"/>
  <c r="R626" i="1"/>
  <c r="S626" i="1" l="1"/>
  <c r="T626" i="1" s="1"/>
  <c r="R625" i="1"/>
  <c r="R624" i="1" l="1"/>
  <c r="S625" i="1"/>
  <c r="T625" i="1" s="1"/>
  <c r="S624" i="1" l="1"/>
  <c r="T624" i="1" s="1"/>
  <c r="R623" i="1"/>
  <c r="S623" i="1" l="1"/>
  <c r="T623" i="1" s="1"/>
  <c r="R622" i="1"/>
  <c r="S622" i="1" l="1"/>
  <c r="T622" i="1" s="1"/>
  <c r="R621" i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S613" i="1" l="1"/>
  <c r="T613" i="1" s="1"/>
  <c r="R612" i="1"/>
  <c r="S612" i="1" l="1"/>
  <c r="T612" i="1" s="1"/>
  <c r="R611" i="1"/>
  <c r="S611" i="1" l="1"/>
  <c r="T611" i="1" s="1"/>
  <c r="R610" i="1"/>
  <c r="R609" i="1" l="1"/>
  <c r="S610" i="1"/>
  <c r="T610" i="1" s="1"/>
  <c r="S609" i="1" l="1"/>
  <c r="T609" i="1" s="1"/>
  <c r="R608" i="1"/>
  <c r="S608" i="1" l="1"/>
  <c r="T608" i="1" s="1"/>
  <c r="R607" i="1"/>
  <c r="S607" i="1" l="1"/>
  <c r="T607" i="1" s="1"/>
  <c r="R606" i="1"/>
  <c r="R605" i="1" l="1"/>
  <c r="S606" i="1"/>
  <c r="T606" i="1" s="1"/>
  <c r="R604" i="1" l="1"/>
  <c r="S605" i="1"/>
  <c r="T605" i="1" s="1"/>
  <c r="S604" i="1" l="1"/>
  <c r="T604" i="1" s="1"/>
  <c r="R603" i="1"/>
  <c r="R602" i="1" l="1"/>
  <c r="S603" i="1"/>
  <c r="T603" i="1" s="1"/>
  <c r="R601" i="1" l="1"/>
  <c r="S602" i="1"/>
  <c r="T602" i="1" s="1"/>
  <c r="S601" i="1" l="1"/>
  <c r="T601" i="1" s="1"/>
  <c r="R600" i="1"/>
  <c r="S600" i="1" l="1"/>
  <c r="T600" i="1" s="1"/>
  <c r="R599" i="1"/>
  <c r="S599" i="1" l="1"/>
  <c r="T599" i="1" s="1"/>
  <c r="R598" i="1"/>
  <c r="S598" i="1" l="1"/>
  <c r="T598" i="1" s="1"/>
  <c r="R597" i="1"/>
  <c r="S597" i="1" l="1"/>
  <c r="T597" i="1" s="1"/>
  <c r="R596" i="1"/>
  <c r="R595" i="1" l="1"/>
  <c r="S596" i="1"/>
  <c r="T596" i="1" s="1"/>
  <c r="R594" i="1" l="1"/>
  <c r="S595" i="1"/>
  <c r="T595" i="1" s="1"/>
  <c r="S594" i="1" l="1"/>
  <c r="T594" i="1" s="1"/>
  <c r="R593" i="1"/>
  <c r="S593" i="1" l="1"/>
  <c r="T593" i="1" s="1"/>
  <c r="R592" i="1"/>
  <c r="S592" i="1" l="1"/>
  <c r="T592" i="1" s="1"/>
  <c r="R591" i="1"/>
  <c r="S591" i="1" l="1"/>
  <c r="T591" i="1" s="1"/>
  <c r="R590" i="1"/>
  <c r="S590" i="1" l="1"/>
  <c r="T590" i="1" s="1"/>
  <c r="R589" i="1"/>
  <c r="R588" i="1" l="1"/>
  <c r="S589" i="1"/>
  <c r="T589" i="1" s="1"/>
  <c r="S588" i="1" l="1"/>
  <c r="T588" i="1" s="1"/>
  <c r="R587" i="1"/>
  <c r="S587" i="1" l="1"/>
  <c r="T587" i="1" s="1"/>
  <c r="R586" i="1"/>
  <c r="S586" i="1" l="1"/>
  <c r="T586" i="1" s="1"/>
  <c r="R585" i="1"/>
  <c r="R584" i="1" l="1"/>
  <c r="S585" i="1"/>
  <c r="T585" i="1" s="1"/>
  <c r="R583" i="1" l="1"/>
  <c r="S584" i="1"/>
  <c r="T584" i="1" s="1"/>
  <c r="S583" i="1" l="1"/>
  <c r="T583" i="1" s="1"/>
  <c r="R582" i="1"/>
  <c r="S582" i="1" l="1"/>
  <c r="T582" i="1" s="1"/>
  <c r="R581" i="1"/>
  <c r="S581" i="1" l="1"/>
  <c r="T581" i="1" s="1"/>
  <c r="R580" i="1"/>
  <c r="R579" i="1" l="1"/>
  <c r="S580" i="1"/>
  <c r="T580" i="1" s="1"/>
  <c r="S579" i="1" l="1"/>
  <c r="T579" i="1" s="1"/>
  <c r="R578" i="1"/>
  <c r="S578" i="1" l="1"/>
  <c r="T578" i="1" s="1"/>
  <c r="R577" i="1"/>
  <c r="R576" i="1" l="1"/>
  <c r="S577" i="1"/>
  <c r="T577" i="1" s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R556" i="1" l="1"/>
  <c r="S557" i="1"/>
  <c r="T557" i="1" s="1"/>
  <c r="S556" i="1" l="1"/>
  <c r="T556" i="1" s="1"/>
  <c r="R555" i="1"/>
  <c r="S555" i="1" l="1"/>
  <c r="T555" i="1" s="1"/>
  <c r="R554" i="1"/>
  <c r="R553" i="1" l="1"/>
  <c r="S554" i="1"/>
  <c r="T554" i="1" s="1"/>
  <c r="R552" i="1" l="1"/>
  <c r="S553" i="1"/>
  <c r="T553" i="1" s="1"/>
  <c r="R551" i="1" l="1"/>
  <c r="S552" i="1"/>
  <c r="T552" i="1" s="1"/>
  <c r="S551" i="1" l="1"/>
  <c r="T551" i="1" s="1"/>
  <c r="R550" i="1"/>
  <c r="S550" i="1" l="1"/>
  <c r="T550" i="1" s="1"/>
  <c r="R549" i="1"/>
  <c r="R548" i="1" l="1"/>
  <c r="S549" i="1"/>
  <c r="T549" i="1" s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R542" i="1" l="1"/>
  <c r="S543" i="1"/>
  <c r="T543" i="1" s="1"/>
  <c r="S542" i="1" l="1"/>
  <c r="T542" i="1" s="1"/>
  <c r="R541" i="1"/>
  <c r="S541" i="1" l="1"/>
  <c r="T541" i="1" s="1"/>
  <c r="R540" i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S536" i="1" l="1"/>
  <c r="T536" i="1" s="1"/>
  <c r="R535" i="1"/>
  <c r="S535" i="1" l="1"/>
  <c r="T535" i="1" s="1"/>
  <c r="R534" i="1"/>
  <c r="S534" i="1" l="1"/>
  <c r="T534" i="1" s="1"/>
  <c r="R533" i="1"/>
  <c r="R532" i="1" l="1"/>
  <c r="S533" i="1"/>
  <c r="T533" i="1" s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S513" i="1" l="1"/>
  <c r="T513" i="1" s="1"/>
  <c r="R512" i="1"/>
  <c r="S512" i="1" l="1"/>
  <c r="T512" i="1" s="1"/>
  <c r="R511" i="1"/>
  <c r="R510" i="1" l="1"/>
  <c r="S511" i="1"/>
  <c r="T511" i="1" s="1"/>
  <c r="S510" i="1" l="1"/>
  <c r="T510" i="1" s="1"/>
  <c r="R509" i="1"/>
  <c r="S509" i="1" l="1"/>
  <c r="T509" i="1" s="1"/>
  <c r="R508" i="1"/>
  <c r="S508" i="1" l="1"/>
  <c r="T508" i="1" s="1"/>
  <c r="R507" i="1"/>
  <c r="R506" i="1" l="1"/>
  <c r="S507" i="1"/>
  <c r="T507" i="1" s="1"/>
  <c r="S506" i="1" l="1"/>
  <c r="T506" i="1" s="1"/>
  <c r="R505" i="1"/>
  <c r="S505" i="1" l="1"/>
  <c r="T505" i="1" s="1"/>
  <c r="R504" i="1"/>
  <c r="S504" i="1" l="1"/>
  <c r="T504" i="1" s="1"/>
  <c r="R503" i="1"/>
  <c r="R502" i="1" l="1"/>
  <c r="S503" i="1"/>
  <c r="T503" i="1" s="1"/>
  <c r="S502" i="1" l="1"/>
  <c r="T502" i="1" s="1"/>
  <c r="R501" i="1"/>
  <c r="S501" i="1" l="1"/>
  <c r="T501" i="1" s="1"/>
  <c r="R500" i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S495" i="1" l="1"/>
  <c r="T495" i="1" s="1"/>
  <c r="R494" i="1"/>
  <c r="S494" i="1" l="1"/>
  <c r="T494" i="1" s="1"/>
  <c r="R493" i="1"/>
  <c r="R492" i="1" l="1"/>
  <c r="S493" i="1"/>
  <c r="T493" i="1" s="1"/>
  <c r="S492" i="1" l="1"/>
  <c r="T492" i="1" s="1"/>
  <c r="R491" i="1"/>
  <c r="R490" i="1" l="1"/>
  <c r="S491" i="1"/>
  <c r="T491" i="1" s="1"/>
  <c r="S490" i="1" l="1"/>
  <c r="T490" i="1" s="1"/>
  <c r="R489" i="1"/>
  <c r="S489" i="1" l="1"/>
  <c r="T489" i="1" s="1"/>
  <c r="R488" i="1"/>
  <c r="S488" i="1" l="1"/>
  <c r="T488" i="1" s="1"/>
  <c r="R487" i="1"/>
  <c r="R486" i="1" l="1"/>
  <c r="S487" i="1"/>
  <c r="T487" i="1" s="1"/>
  <c r="S486" i="1" l="1"/>
  <c r="T486" i="1" s="1"/>
  <c r="R485" i="1"/>
  <c r="S485" i="1" l="1"/>
  <c r="T485" i="1" s="1"/>
  <c r="R484" i="1"/>
  <c r="R483" i="1" l="1"/>
  <c r="S484" i="1"/>
  <c r="T484" i="1" s="1"/>
  <c r="S483" i="1" l="1"/>
  <c r="T483" i="1" s="1"/>
  <c r="R482" i="1"/>
  <c r="S482" i="1" l="1"/>
  <c r="T482" i="1" s="1"/>
  <c r="R481" i="1"/>
  <c r="R480" i="1" l="1"/>
  <c r="S481" i="1"/>
  <c r="T481" i="1" s="1"/>
  <c r="S480" i="1" l="1"/>
  <c r="T480" i="1" s="1"/>
  <c r="R479" i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S473" i="1" l="1"/>
  <c r="T473" i="1" s="1"/>
  <c r="R472" i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R461" i="1" l="1"/>
  <c r="S462" i="1"/>
  <c r="T462" i="1" s="1"/>
  <c r="R460" i="1" l="1"/>
  <c r="S461" i="1"/>
  <c r="T461" i="1" s="1"/>
  <c r="S460" i="1" l="1"/>
  <c r="T460" i="1" s="1"/>
  <c r="R459" i="1"/>
  <c r="S459" i="1" l="1"/>
  <c r="T459" i="1" s="1"/>
  <c r="R458" i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S449" i="1" l="1"/>
  <c r="T449" i="1" s="1"/>
  <c r="R448" i="1"/>
  <c r="R447" i="1" l="1"/>
  <c r="S448" i="1"/>
  <c r="T448" i="1" s="1"/>
  <c r="R446" i="1" l="1"/>
  <c r="S447" i="1"/>
  <c r="T447" i="1" s="1"/>
  <c r="S446" i="1" l="1"/>
  <c r="T446" i="1" s="1"/>
  <c r="R445" i="1"/>
  <c r="S445" i="1" l="1"/>
  <c r="T445" i="1" s="1"/>
  <c r="R444" i="1"/>
  <c r="R443" i="1" l="1"/>
  <c r="S444" i="1"/>
  <c r="T444" i="1" s="1"/>
  <c r="R442" i="1" l="1"/>
  <c r="S443" i="1"/>
  <c r="T443" i="1" s="1"/>
  <c r="S442" i="1" l="1"/>
  <c r="T442" i="1" s="1"/>
  <c r="R441" i="1"/>
  <c r="S441" i="1" l="1"/>
  <c r="T441" i="1" s="1"/>
  <c r="R440" i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R429" i="1" l="1"/>
  <c r="S430" i="1"/>
  <c r="T430" i="1" s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S425" i="1" l="1"/>
  <c r="T425" i="1" s="1"/>
  <c r="R424" i="1"/>
  <c r="R423" i="1" l="1"/>
  <c r="S424" i="1"/>
  <c r="T424" i="1" s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R410" i="1" l="1"/>
  <c r="S411" i="1"/>
  <c r="T411" i="1" s="1"/>
  <c r="S410" i="1" l="1"/>
  <c r="T410" i="1" s="1"/>
  <c r="R409" i="1"/>
  <c r="S409" i="1" l="1"/>
  <c r="T409" i="1" s="1"/>
  <c r="R408" i="1"/>
  <c r="R407" i="1" l="1"/>
  <c r="S408" i="1"/>
  <c r="T408" i="1" s="1"/>
  <c r="R406" i="1" l="1"/>
  <c r="S407" i="1"/>
  <c r="T407" i="1" s="1"/>
  <c r="S406" i="1" l="1"/>
  <c r="T406" i="1" s="1"/>
  <c r="R405" i="1"/>
  <c r="S405" i="1" l="1"/>
  <c r="T405" i="1" s="1"/>
  <c r="R404" i="1"/>
  <c r="R403" i="1" l="1"/>
  <c r="S404" i="1"/>
  <c r="T404" i="1" s="1"/>
  <c r="S403" i="1" l="1"/>
  <c r="T403" i="1" s="1"/>
  <c r="R402" i="1"/>
  <c r="S402" i="1" l="1"/>
  <c r="T402" i="1" s="1"/>
  <c r="R401" i="1"/>
  <c r="S401" i="1" l="1"/>
  <c r="T401" i="1" s="1"/>
  <c r="R400" i="1"/>
  <c r="S400" i="1" l="1"/>
  <c r="T400" i="1" s="1"/>
  <c r="R399" i="1"/>
  <c r="R398" i="1" l="1"/>
  <c r="S399" i="1"/>
  <c r="T399" i="1" s="1"/>
  <c r="R397" i="1" l="1"/>
  <c r="S398" i="1"/>
  <c r="T398" i="1" s="1"/>
  <c r="S397" i="1" l="1"/>
  <c r="T397" i="1" s="1"/>
  <c r="R396" i="1"/>
  <c r="S396" i="1" l="1"/>
  <c r="T396" i="1" s="1"/>
  <c r="R395" i="1"/>
  <c r="R394" i="1" l="1"/>
  <c r="S395" i="1"/>
  <c r="T395" i="1" s="1"/>
  <c r="S394" i="1" l="1"/>
  <c r="T394" i="1" s="1"/>
  <c r="R393" i="1"/>
  <c r="S393" i="1" l="1"/>
  <c r="T393" i="1" s="1"/>
  <c r="R392" i="1"/>
  <c r="S392" i="1" l="1"/>
  <c r="T392" i="1" s="1"/>
  <c r="R391" i="1"/>
  <c r="S391" i="1" l="1"/>
  <c r="T391" i="1" s="1"/>
  <c r="R390" i="1"/>
  <c r="R389" i="1" l="1"/>
  <c r="S390" i="1"/>
  <c r="T390" i="1" s="1"/>
  <c r="S389" i="1" l="1"/>
  <c r="T389" i="1" s="1"/>
  <c r="R388" i="1"/>
  <c r="R387" i="1" l="1"/>
  <c r="S388" i="1"/>
  <c r="T388" i="1" s="1"/>
  <c r="S387" i="1" l="1"/>
  <c r="T387" i="1" s="1"/>
  <c r="R386" i="1"/>
  <c r="S386" i="1" l="1"/>
  <c r="T386" i="1" s="1"/>
  <c r="R385" i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S378" i="1" l="1"/>
  <c r="T378" i="1" s="1"/>
  <c r="R377" i="1"/>
  <c r="S377" i="1" l="1"/>
  <c r="T377" i="1" s="1"/>
  <c r="R376" i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S372" i="1" l="1"/>
  <c r="T372" i="1" s="1"/>
  <c r="R371" i="1"/>
  <c r="S371" i="1" l="1"/>
  <c r="T371" i="1" s="1"/>
  <c r="R370" i="1"/>
  <c r="R369" i="1" l="1"/>
  <c r="S370" i="1"/>
  <c r="T370" i="1" s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S365" i="1" l="1"/>
  <c r="T365" i="1" s="1"/>
  <c r="R364" i="1"/>
  <c r="R363" i="1" l="1"/>
  <c r="S364" i="1"/>
  <c r="T364" i="1" s="1"/>
  <c r="R362" i="1" l="1"/>
  <c r="S363" i="1"/>
  <c r="T363" i="1" s="1"/>
  <c r="S362" i="1" l="1"/>
  <c r="T362" i="1" s="1"/>
  <c r="R361" i="1"/>
  <c r="S361" i="1" l="1"/>
  <c r="T361" i="1" s="1"/>
  <c r="R360" i="1"/>
  <c r="R359" i="1" l="1"/>
  <c r="S360" i="1"/>
  <c r="T360" i="1" s="1"/>
  <c r="S359" i="1" l="1"/>
  <c r="T359" i="1" s="1"/>
  <c r="R358" i="1"/>
  <c r="S358" i="1" l="1"/>
  <c r="T358" i="1" s="1"/>
  <c r="R357" i="1"/>
  <c r="S357" i="1" l="1"/>
  <c r="T357" i="1" s="1"/>
  <c r="R356" i="1"/>
  <c r="R355" i="1" l="1"/>
  <c r="S356" i="1"/>
  <c r="T356" i="1" s="1"/>
  <c r="S355" i="1" l="1"/>
  <c r="T355" i="1" s="1"/>
  <c r="R354" i="1"/>
  <c r="S354" i="1" l="1"/>
  <c r="T354" i="1" s="1"/>
  <c r="R353" i="1"/>
  <c r="S353" i="1" l="1"/>
  <c r="T353" i="1" s="1"/>
  <c r="R352" i="1"/>
  <c r="R351" i="1" l="1"/>
  <c r="S352" i="1"/>
  <c r="T352" i="1" s="1"/>
  <c r="S351" i="1" l="1"/>
  <c r="T351" i="1" s="1"/>
  <c r="R350" i="1"/>
  <c r="S350" i="1" l="1"/>
  <c r="T350" i="1" s="1"/>
  <c r="R349" i="1"/>
  <c r="R348" i="1" l="1"/>
  <c r="S349" i="1"/>
  <c r="T349" i="1" s="1"/>
  <c r="S348" i="1" l="1"/>
  <c r="T348" i="1" s="1"/>
  <c r="R347" i="1"/>
  <c r="S347" i="1" l="1"/>
  <c r="T347" i="1" s="1"/>
  <c r="R346" i="1"/>
  <c r="R345" i="1" l="1"/>
  <c r="S346" i="1"/>
  <c r="T346" i="1" s="1"/>
  <c r="S345" i="1" l="1"/>
  <c r="T345" i="1" s="1"/>
  <c r="R344" i="1"/>
  <c r="S344" i="1" l="1"/>
  <c r="T344" i="1" s="1"/>
  <c r="R343" i="1"/>
  <c r="S343" i="1" l="1"/>
  <c r="T343" i="1" s="1"/>
  <c r="R342" i="1"/>
  <c r="S342" i="1" l="1"/>
  <c r="T342" i="1" s="1"/>
  <c r="R341" i="1"/>
  <c r="R340" i="1" l="1"/>
  <c r="S341" i="1"/>
  <c r="T341" i="1" s="1"/>
  <c r="S340" i="1" l="1"/>
  <c r="T340" i="1" s="1"/>
  <c r="R339" i="1"/>
  <c r="S339" i="1" l="1"/>
  <c r="T339" i="1" s="1"/>
  <c r="R338" i="1"/>
  <c r="R337" i="1" l="1"/>
  <c r="S338" i="1"/>
  <c r="T338" i="1" s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R328" i="1" l="1"/>
  <c r="S329" i="1"/>
  <c r="T329" i="1" s="1"/>
  <c r="R327" i="1" l="1"/>
  <c r="S328" i="1"/>
  <c r="T328" i="1" s="1"/>
  <c r="R326" i="1" l="1"/>
  <c r="S327" i="1"/>
  <c r="T327" i="1" s="1"/>
  <c r="S326" i="1" l="1"/>
  <c r="T326" i="1" s="1"/>
  <c r="R325" i="1"/>
  <c r="S325" i="1" l="1"/>
  <c r="T325" i="1" s="1"/>
  <c r="R324" i="1"/>
  <c r="R323" i="1" l="1"/>
  <c r="S324" i="1"/>
  <c r="T324" i="1" s="1"/>
  <c r="S323" i="1" l="1"/>
  <c r="T323" i="1" s="1"/>
  <c r="R322" i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S318" i="1" l="1"/>
  <c r="T318" i="1" s="1"/>
  <c r="R317" i="1"/>
  <c r="S317" i="1" l="1"/>
  <c r="T317" i="1" s="1"/>
  <c r="R316" i="1"/>
  <c r="S316" i="1" l="1"/>
  <c r="T316" i="1" s="1"/>
  <c r="R315" i="1"/>
  <c r="R314" i="1" l="1"/>
  <c r="S315" i="1"/>
  <c r="T315" i="1" s="1"/>
  <c r="S314" i="1" l="1"/>
  <c r="T314" i="1" s="1"/>
  <c r="R313" i="1"/>
  <c r="S313" i="1" l="1"/>
  <c r="T313" i="1" s="1"/>
  <c r="R312" i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S296" i="1" l="1"/>
  <c r="T296" i="1" s="1"/>
  <c r="R295" i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S273" i="1" l="1"/>
  <c r="T273" i="1" s="1"/>
  <c r="R272" i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S246" i="1" l="1"/>
  <c r="T246" i="1" s="1"/>
  <c r="R245" i="1"/>
  <c r="R244" i="1" l="1"/>
  <c r="S245" i="1"/>
  <c r="T245" i="1" s="1"/>
  <c r="S244" i="1" l="1"/>
  <c r="T244" i="1" s="1"/>
  <c r="R243" i="1"/>
  <c r="S243" i="1" l="1"/>
  <c r="T243" i="1" s="1"/>
  <c r="R242" i="1"/>
  <c r="S242" i="1" l="1"/>
  <c r="T242" i="1" s="1"/>
  <c r="R241" i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S237" i="1" l="1"/>
  <c r="T237" i="1" s="1"/>
  <c r="R236" i="1"/>
  <c r="R235" i="1" l="1"/>
  <c r="S236" i="1"/>
  <c r="T236" i="1" s="1"/>
  <c r="R234" i="1" l="1"/>
  <c r="S235" i="1"/>
  <c r="T235" i="1" s="1"/>
  <c r="S234" i="1" l="1"/>
  <c r="T234" i="1" s="1"/>
  <c r="R233" i="1"/>
  <c r="S233" i="1" l="1"/>
  <c r="T233" i="1" s="1"/>
  <c r="R232" i="1"/>
  <c r="S232" i="1" l="1"/>
  <c r="T232" i="1" s="1"/>
  <c r="R231" i="1"/>
  <c r="R230" i="1" l="1"/>
  <c r="S231" i="1"/>
  <c r="T231" i="1" s="1"/>
  <c r="R229" i="1" l="1"/>
  <c r="S230" i="1"/>
  <c r="T230" i="1" s="1"/>
  <c r="S229" i="1" l="1"/>
  <c r="T229" i="1" s="1"/>
  <c r="R228" i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S222" i="1" l="1"/>
  <c r="T222" i="1" s="1"/>
  <c r="R221" i="1"/>
  <c r="R220" i="1" l="1"/>
  <c r="S221" i="1"/>
  <c r="T221" i="1" s="1"/>
  <c r="S220" i="1" l="1"/>
  <c r="T220" i="1" s="1"/>
  <c r="R219" i="1"/>
  <c r="S219" i="1" l="1"/>
  <c r="T219" i="1" s="1"/>
  <c r="R218" i="1"/>
  <c r="R217" i="1" l="1"/>
  <c r="S218" i="1"/>
  <c r="T218" i="1" s="1"/>
  <c r="R216" i="1" l="1"/>
  <c r="S217" i="1"/>
  <c r="T217" i="1" s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S209" i="1" l="1"/>
  <c r="T209" i="1" s="1"/>
  <c r="R208" i="1"/>
  <c r="S208" i="1" l="1"/>
  <c r="T208" i="1" s="1"/>
  <c r="R207" i="1"/>
  <c r="R206" i="1" l="1"/>
  <c r="S207" i="1"/>
  <c r="T207" i="1" s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S202" i="1" l="1"/>
  <c r="T202" i="1" s="1"/>
  <c r="R201" i="1"/>
  <c r="S201" i="1" l="1"/>
  <c r="T201" i="1" s="1"/>
  <c r="R200" i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S196" i="1" l="1"/>
  <c r="T196" i="1" s="1"/>
  <c r="R195" i="1"/>
  <c r="R194" i="1" l="1"/>
  <c r="S195" i="1"/>
  <c r="T195" i="1" s="1"/>
  <c r="S194" i="1" l="1"/>
  <c r="T194" i="1" s="1"/>
  <c r="R193" i="1"/>
  <c r="S193" i="1" l="1"/>
  <c r="T193" i="1" s="1"/>
  <c r="R192" i="1"/>
  <c r="R191" i="1" l="1"/>
  <c r="S192" i="1"/>
  <c r="T192" i="1" s="1"/>
  <c r="S191" i="1" l="1"/>
  <c r="T191" i="1" s="1"/>
  <c r="R190" i="1"/>
  <c r="S190" i="1" l="1"/>
  <c r="T190" i="1" s="1"/>
  <c r="R189" i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R164" i="1" l="1"/>
  <c r="S165" i="1"/>
  <c r="T165" i="1" s="1"/>
  <c r="R163" i="1" l="1"/>
  <c r="S164" i="1"/>
  <c r="T164" i="1" s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R155" i="1" l="1"/>
  <c r="S156" i="1"/>
  <c r="T156" i="1" s="1"/>
  <c r="S155" i="1" l="1"/>
  <c r="T155" i="1" s="1"/>
  <c r="R154" i="1"/>
  <c r="S154" i="1" l="1"/>
  <c r="T154" i="1" s="1"/>
  <c r="R153" i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S149" i="1" l="1"/>
  <c r="T149" i="1" s="1"/>
  <c r="R148" i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S142" i="1" l="1"/>
  <c r="T142" i="1" s="1"/>
  <c r="R141" i="1"/>
  <c r="S141" i="1" l="1"/>
  <c r="T141" i="1" s="1"/>
  <c r="R140" i="1"/>
  <c r="R139" i="1" l="1"/>
  <c r="S140" i="1"/>
  <c r="T140" i="1" s="1"/>
  <c r="R138" i="1" l="1"/>
  <c r="S139" i="1"/>
  <c r="T139" i="1" s="1"/>
  <c r="S138" i="1" l="1"/>
  <c r="T138" i="1" s="1"/>
  <c r="R137" i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S117" i="1" l="1"/>
  <c r="T117" i="1" s="1"/>
  <c r="R116" i="1"/>
  <c r="S116" i="1" l="1"/>
  <c r="T116" i="1" s="1"/>
  <c r="R115" i="1"/>
  <c r="R114" i="1" l="1"/>
  <c r="S115" i="1"/>
  <c r="T115" i="1" s="1"/>
  <c r="S114" i="1" l="1"/>
  <c r="T114" i="1" s="1"/>
  <c r="R113" i="1"/>
  <c r="S113" i="1" l="1"/>
  <c r="T113" i="1" s="1"/>
  <c r="R112" i="1"/>
  <c r="S112" i="1" l="1"/>
  <c r="T112" i="1" s="1"/>
  <c r="R111" i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R106" i="1" l="1"/>
  <c r="S107" i="1"/>
  <c r="T107" i="1" s="1"/>
  <c r="R105" i="1" l="1"/>
  <c r="S106" i="1"/>
  <c r="T106" i="1" s="1"/>
  <c r="S105" i="1" l="1"/>
  <c r="T105" i="1" s="1"/>
  <c r="R104" i="1"/>
  <c r="S104" i="1" l="1"/>
  <c r="T104" i="1" s="1"/>
  <c r="R103" i="1"/>
  <c r="R102" i="1" l="1"/>
  <c r="S103" i="1"/>
  <c r="T103" i="1" s="1"/>
  <c r="R101" i="1" l="1"/>
  <c r="S102" i="1"/>
  <c r="T102" i="1" s="1"/>
  <c r="S101" i="1" l="1"/>
  <c r="T101" i="1" s="1"/>
  <c r="R100" i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S96" i="1" l="1"/>
  <c r="T96" i="1" s="1"/>
  <c r="R95" i="1"/>
  <c r="S95" i="1" l="1"/>
  <c r="T95" i="1" s="1"/>
  <c r="R94" i="1"/>
  <c r="S94" i="1" l="1"/>
  <c r="T94" i="1" s="1"/>
  <c r="R93" i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S85" i="1" l="1"/>
  <c r="T85" i="1" s="1"/>
  <c r="R84" i="1"/>
  <c r="R83" i="1" l="1"/>
  <c r="S84" i="1"/>
  <c r="T84" i="1" s="1"/>
  <c r="R82" i="1" l="1"/>
  <c r="S83" i="1"/>
  <c r="T83" i="1" s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S74" i="1" l="1"/>
  <c r="T74" i="1" s="1"/>
  <c r="R73" i="1"/>
  <c r="R72" i="1" l="1"/>
  <c r="S73" i="1"/>
  <c r="T73" i="1" s="1"/>
  <c r="R71" i="1" l="1"/>
  <c r="S72" i="1"/>
  <c r="T72" i="1" s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S52" i="1" l="1"/>
  <c r="T52" i="1" s="1"/>
  <c r="R51" i="1"/>
  <c r="S51" i="1" l="1"/>
  <c r="T51" i="1" s="1"/>
  <c r="R50" i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S43" i="1" l="1"/>
  <c r="T43" i="1" s="1"/>
  <c r="R42" i="1"/>
  <c r="S42" i="1" l="1"/>
  <c r="T42" i="1" s="1"/>
  <c r="R41" i="1"/>
  <c r="R40" i="1" l="1"/>
  <c r="S41" i="1"/>
  <c r="T41" i="1" s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<sst xmlns="http://schemas.openxmlformats.org/spreadsheetml/2006/main" count="3809" uniqueCount="34">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</sst>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406</c:v>
                </c:pt>
                <c:pt idx="1">
                  <c:v>423.3</c:v>
                </c:pt>
                <c:pt idx="2">
                  <c:v>406.7</c:v>
                </c:pt>
                <c:pt idx="3">
                  <c:v>402</c:v>
                </c:pt>
                <c:pt idx="4">
                  <c:v>417.5</c:v>
                </c:pt>
                <c:pt idx="5">
                  <c:v>394.7</c:v>
                </c:pt>
                <c:pt idx="6">
                  <c:v>417.5</c:v>
                </c:pt>
                <c:pt idx="7">
                  <c:v>503.7</c:v>
                </c:pt>
                <c:pt idx="8">
                  <c:v>511.5</c:v>
                </c:pt>
                <c:pt idx="9">
                  <c:v>532</c:v>
                </c:pt>
                <c:pt idx="10">
                  <c:v>529.4</c:v>
                </c:pt>
                <c:pt idx="11">
                  <c:v>554.1</c:v>
                </c:pt>
                <c:pt idx="12">
                  <c:v>559.79999999999995</c:v>
                </c:pt>
                <c:pt idx="13">
                  <c:v>558.5</c:v>
                </c:pt>
                <c:pt idx="14">
                  <c:v>552.4</c:v>
                </c:pt>
                <c:pt idx="15">
                  <c:v>581.9</c:v>
                </c:pt>
                <c:pt idx="16">
                  <c:v>536</c:v>
                </c:pt>
                <c:pt idx="17">
                  <c:v>506.1</c:v>
                </c:pt>
                <c:pt idx="18">
                  <c:v>540.20000000000005</c:v>
                </c:pt>
                <c:pt idx="19">
                  <c:v>533</c:v>
                </c:pt>
                <c:pt idx="20">
                  <c:v>550.9</c:v>
                </c:pt>
                <c:pt idx="21">
                  <c:v>588.1</c:v>
                </c:pt>
                <c:pt idx="22">
                  <c:v>597</c:v>
                </c:pt>
                <c:pt idx="23">
                  <c:v>630</c:v>
                </c:pt>
                <c:pt idx="24">
                  <c:v>621.4</c:v>
                </c:pt>
                <c:pt idx="25">
                  <c:v>645.4</c:v>
                </c:pt>
                <c:pt idx="26">
                  <c:v>646.5</c:v>
                </c:pt>
                <c:pt idx="27">
                  <c:v>597.5</c:v>
                </c:pt>
                <c:pt idx="28">
                  <c:v>619</c:v>
                </c:pt>
                <c:pt idx="29">
                  <c:v>627</c:v>
                </c:pt>
                <c:pt idx="30">
                  <c:v>716.4</c:v>
                </c:pt>
                <c:pt idx="31">
                  <c:v>648</c:v>
                </c:pt>
                <c:pt idx="32">
                  <c:v>650.29999999999995</c:v>
                </c:pt>
                <c:pt idx="33">
                  <c:v>664.2</c:v>
                </c:pt>
                <c:pt idx="34">
                  <c:v>655.1</c:v>
                </c:pt>
                <c:pt idx="35">
                  <c:v>662.3</c:v>
                </c:pt>
                <c:pt idx="36">
                  <c:v>625</c:v>
                </c:pt>
                <c:pt idx="37">
                  <c:v>607</c:v>
                </c:pt>
                <c:pt idx="38">
                  <c:v>584.4</c:v>
                </c:pt>
                <c:pt idx="39">
                  <c:v>612.70000000000005</c:v>
                </c:pt>
                <c:pt idx="40">
                  <c:v>633.20000000000005</c:v>
                </c:pt>
                <c:pt idx="41">
                  <c:v>615</c:v>
                </c:pt>
                <c:pt idx="42">
                  <c:v>608.29999999999995</c:v>
                </c:pt>
                <c:pt idx="43">
                  <c:v>628.5</c:v>
                </c:pt>
                <c:pt idx="44">
                  <c:v>614.29999999999995</c:v>
                </c:pt>
                <c:pt idx="45">
                  <c:v>616.4</c:v>
                </c:pt>
                <c:pt idx="46">
                  <c:v>682</c:v>
                </c:pt>
                <c:pt idx="47">
                  <c:v>656.6</c:v>
                </c:pt>
                <c:pt idx="48">
                  <c:v>648.5</c:v>
                </c:pt>
                <c:pt idx="49">
                  <c:v>692.8</c:v>
                </c:pt>
                <c:pt idx="50">
                  <c:v>757.4</c:v>
                </c:pt>
                <c:pt idx="51">
                  <c:v>761.9</c:v>
                </c:pt>
                <c:pt idx="52">
                  <c:v>771.3</c:v>
                </c:pt>
                <c:pt idx="53">
                  <c:v>810.5</c:v>
                </c:pt>
                <c:pt idx="54">
                  <c:v>756.9</c:v>
                </c:pt>
                <c:pt idx="55">
                  <c:v>909.3</c:v>
                </c:pt>
                <c:pt idx="56">
                  <c:v>931</c:v>
                </c:pt>
                <c:pt idx="57">
                  <c:v>950.6</c:v>
                </c:pt>
                <c:pt idx="58">
                  <c:v>935.1</c:v>
                </c:pt>
                <c:pt idx="59">
                  <c:v>969.2</c:v>
                </c:pt>
                <c:pt idx="60">
                  <c:v>957.3</c:v>
                </c:pt>
                <c:pt idx="61">
                  <c:v>972.8</c:v>
                </c:pt>
                <c:pt idx="62">
                  <c:v>899.7</c:v>
                </c:pt>
                <c:pt idx="63">
                  <c:v>1001.8</c:v>
                </c:pt>
                <c:pt idx="64">
                  <c:v>989.2</c:v>
                </c:pt>
                <c:pt idx="65">
                  <c:v>1002.8</c:v>
                </c:pt>
                <c:pt idx="66">
                  <c:v>1017</c:v>
                </c:pt>
                <c:pt idx="67">
                  <c:v>1012.1</c:v>
                </c:pt>
                <c:pt idx="68">
                  <c:v>1026</c:v>
                </c:pt>
                <c:pt idx="69">
                  <c:v>1018.3</c:v>
                </c:pt>
                <c:pt idx="70">
                  <c:v>955.8</c:v>
                </c:pt>
                <c:pt idx="71">
                  <c:v>1034.9000000000001</c:v>
                </c:pt>
                <c:pt idx="72">
                  <c:v>1051.5</c:v>
                </c:pt>
                <c:pt idx="73">
                  <c:v>1107.9000000000001</c:v>
                </c:pt>
                <c:pt idx="74">
                  <c:v>1180.2</c:v>
                </c:pt>
                <c:pt idx="75">
                  <c:v>1202.4000000000001</c:v>
                </c:pt>
                <c:pt idx="76">
                  <c:v>1107.9000000000001</c:v>
                </c:pt>
                <c:pt idx="77">
                  <c:v>1145.8</c:v>
                </c:pt>
                <c:pt idx="78">
                  <c:v>1062.7</c:v>
                </c:pt>
                <c:pt idx="79">
                  <c:v>1110.8</c:v>
                </c:pt>
                <c:pt idx="80">
                  <c:v>1114.5999999999999</c:v>
                </c:pt>
                <c:pt idx="81">
                  <c:v>1109.5</c:v>
                </c:pt>
                <c:pt idx="82">
                  <c:v>1102.7</c:v>
                </c:pt>
                <c:pt idx="83">
                  <c:v>1067.8</c:v>
                </c:pt>
                <c:pt idx="84">
                  <c:v>1084.9000000000001</c:v>
                </c:pt>
                <c:pt idx="85">
                  <c:v>1126.7</c:v>
                </c:pt>
                <c:pt idx="86">
                  <c:v>1169</c:v>
                </c:pt>
                <c:pt idx="87">
                  <c:v>1026.5999999999999</c:v>
                </c:pt>
                <c:pt idx="88">
                  <c:v>1036</c:v>
                </c:pt>
                <c:pt idx="89">
                  <c:v>1037.2</c:v>
                </c:pt>
                <c:pt idx="90">
                  <c:v>1077.7</c:v>
                </c:pt>
                <c:pt idx="91">
                  <c:v>1043.5999999999999</c:v>
                </c:pt>
                <c:pt idx="92">
                  <c:v>1020.8</c:v>
                </c:pt>
                <c:pt idx="93">
                  <c:v>1081.5</c:v>
                </c:pt>
                <c:pt idx="94">
                  <c:v>1115</c:v>
                </c:pt>
                <c:pt idx="95">
                  <c:v>1095.5999999999999</c:v>
                </c:pt>
                <c:pt idx="96">
                  <c:v>1165</c:v>
                </c:pt>
                <c:pt idx="97">
                  <c:v>1179.0999999999999</c:v>
                </c:pt>
                <c:pt idx="98">
                  <c:v>1227.4000000000001</c:v>
                </c:pt>
                <c:pt idx="99">
                  <c:v>1342.8</c:v>
                </c:pt>
                <c:pt idx="100">
                  <c:v>1263.8</c:v>
                </c:pt>
                <c:pt idx="101">
                  <c:v>1313.3</c:v>
                </c:pt>
                <c:pt idx="102">
                  <c:v>1228.9000000000001</c:v>
                </c:pt>
                <c:pt idx="103">
                  <c:v>1192.5</c:v>
                </c:pt>
                <c:pt idx="104">
                  <c:v>1225.5</c:v>
                </c:pt>
                <c:pt idx="105">
                  <c:v>1188</c:v>
                </c:pt>
                <c:pt idx="106">
                  <c:v>1227.5999999999999</c:v>
                </c:pt>
                <c:pt idx="107">
                  <c:v>1083.0999999999999</c:v>
                </c:pt>
                <c:pt idx="108">
                  <c:v>955.1</c:v>
                </c:pt>
                <c:pt idx="109">
                  <c:v>978.2</c:v>
                </c:pt>
                <c:pt idx="110">
                  <c:v>1009</c:v>
                </c:pt>
                <c:pt idx="111">
                  <c:v>983.6</c:v>
                </c:pt>
                <c:pt idx="112">
                  <c:v>1027.4000000000001</c:v>
                </c:pt>
                <c:pt idx="113">
                  <c:v>940.1</c:v>
                </c:pt>
                <c:pt idx="114">
                  <c:v>943.4</c:v>
                </c:pt>
                <c:pt idx="115">
                  <c:v>928.7</c:v>
                </c:pt>
                <c:pt idx="116">
                  <c:v>965.3</c:v>
                </c:pt>
                <c:pt idx="117">
                  <c:v>950</c:v>
                </c:pt>
                <c:pt idx="118">
                  <c:v>958</c:v>
                </c:pt>
                <c:pt idx="119">
                  <c:v>892.1</c:v>
                </c:pt>
                <c:pt idx="120">
                  <c:v>863.8</c:v>
                </c:pt>
                <c:pt idx="121">
                  <c:v>818.2</c:v>
                </c:pt>
                <c:pt idx="122">
                  <c:v>850.1</c:v>
                </c:pt>
                <c:pt idx="123">
                  <c:v>872</c:v>
                </c:pt>
                <c:pt idx="124">
                  <c:v>895.5</c:v>
                </c:pt>
                <c:pt idx="125">
                  <c:v>913.8</c:v>
                </c:pt>
                <c:pt idx="126">
                  <c:v>1019.5</c:v>
                </c:pt>
                <c:pt idx="127">
                  <c:v>1013.7</c:v>
                </c:pt>
                <c:pt idx="128">
                  <c:v>911.3</c:v>
                </c:pt>
                <c:pt idx="129">
                  <c:v>1035.9000000000001</c:v>
                </c:pt>
                <c:pt idx="130">
                  <c:v>1140.5999999999999</c:v>
                </c:pt>
                <c:pt idx="131">
                  <c:v>1229</c:v>
                </c:pt>
                <c:pt idx="132">
                  <c:v>1143.8</c:v>
                </c:pt>
                <c:pt idx="133">
                  <c:v>1231.2</c:v>
                </c:pt>
                <c:pt idx="134">
                  <c:v>1252.7</c:v>
                </c:pt>
                <c:pt idx="135">
                  <c:v>1245.2</c:v>
                </c:pt>
                <c:pt idx="136">
                  <c:v>1178.7</c:v>
                </c:pt>
                <c:pt idx="137">
                  <c:v>1296.5999999999999</c:v>
                </c:pt>
                <c:pt idx="138">
                  <c:v>1285</c:v>
                </c:pt>
                <c:pt idx="139">
                  <c:v>1281.5</c:v>
                </c:pt>
                <c:pt idx="140">
                  <c:v>1387.5</c:v>
                </c:pt>
                <c:pt idx="141">
                  <c:v>1393</c:v>
                </c:pt>
                <c:pt idx="142">
                  <c:v>1421.5</c:v>
                </c:pt>
                <c:pt idx="143">
                  <c:v>1316.6</c:v>
                </c:pt>
                <c:pt idx="144">
                  <c:v>1264.5</c:v>
                </c:pt>
                <c:pt idx="145">
                  <c:v>1275.9000000000001</c:v>
                </c:pt>
                <c:pt idx="146">
                  <c:v>1270</c:v>
                </c:pt>
                <c:pt idx="147">
                  <c:v>1248</c:v>
                </c:pt>
                <c:pt idx="148">
                  <c:v>1276.3</c:v>
                </c:pt>
                <c:pt idx="149">
                  <c:v>1222.5</c:v>
                </c:pt>
                <c:pt idx="150">
                  <c:v>1213.5999999999999</c:v>
                </c:pt>
                <c:pt idx="151">
                  <c:v>1305.5</c:v>
                </c:pt>
                <c:pt idx="152">
                  <c:v>1333.9</c:v>
                </c:pt>
                <c:pt idx="153">
                  <c:v>1399.3</c:v>
                </c:pt>
                <c:pt idx="154">
                  <c:v>1355.6</c:v>
                </c:pt>
                <c:pt idx="155">
                  <c:v>1479.44</c:v>
                </c:pt>
                <c:pt idx="156">
                  <c:v>1378.86</c:v>
                </c:pt>
                <c:pt idx="157">
                  <c:v>1533.73</c:v>
                </c:pt>
                <c:pt idx="158">
                  <c:v>1406.62</c:v>
                </c:pt>
                <c:pt idx="159">
                  <c:v>1388.45</c:v>
                </c:pt>
                <c:pt idx="160">
                  <c:v>1245.77</c:v>
                </c:pt>
                <c:pt idx="161">
                  <c:v>1189.1300000000001</c:v>
                </c:pt>
                <c:pt idx="162">
                  <c:v>1066.73</c:v>
                </c:pt>
                <c:pt idx="163">
                  <c:v>1070.01</c:v>
                </c:pt>
                <c:pt idx="164">
                  <c:v>1171.6099999999999</c:v>
                </c:pt>
                <c:pt idx="165">
                  <c:v>1226.6099999999999</c:v>
                </c:pt>
                <c:pt idx="166">
                  <c:v>1222.22</c:v>
                </c:pt>
                <c:pt idx="167">
                  <c:v>1270.98</c:v>
                </c:pt>
                <c:pt idx="168">
                  <c:v>1149.8699999999999</c:v>
                </c:pt>
                <c:pt idx="169">
                  <c:v>1073.21</c:v>
                </c:pt>
                <c:pt idx="170">
                  <c:v>1124.48</c:v>
                </c:pt>
                <c:pt idx="171">
                  <c:v>939.98</c:v>
                </c:pt>
                <c:pt idx="172">
                  <c:v>897.98</c:v>
                </c:pt>
                <c:pt idx="173">
                  <c:v>973.5</c:v>
                </c:pt>
                <c:pt idx="174">
                  <c:v>924.93</c:v>
                </c:pt>
                <c:pt idx="175">
                  <c:v>916.4</c:v>
                </c:pt>
                <c:pt idx="176">
                  <c:v>831.96</c:v>
                </c:pt>
                <c:pt idx="177">
                  <c:v>818.01</c:v>
                </c:pt>
                <c:pt idx="178">
                  <c:v>797.71</c:v>
                </c:pt>
                <c:pt idx="179">
                  <c:v>803.16</c:v>
                </c:pt>
                <c:pt idx="180">
                  <c:v>813.62</c:v>
                </c:pt>
                <c:pt idx="181">
                  <c:v>827.99</c:v>
                </c:pt>
                <c:pt idx="182">
                  <c:v>786.7</c:v>
                </c:pt>
                <c:pt idx="183">
                  <c:v>799.21</c:v>
                </c:pt>
                <c:pt idx="184">
                  <c:v>790.07</c:v>
                </c:pt>
                <c:pt idx="185">
                  <c:v>762.5</c:v>
                </c:pt>
                <c:pt idx="186">
                  <c:v>719.18</c:v>
                </c:pt>
                <c:pt idx="187">
                  <c:v>706.72</c:v>
                </c:pt>
                <c:pt idx="188">
                  <c:v>716.04</c:v>
                </c:pt>
                <c:pt idx="189">
                  <c:v>697.94</c:v>
                </c:pt>
                <c:pt idx="190">
                  <c:v>703.13</c:v>
                </c:pt>
                <c:pt idx="191">
                  <c:v>656.43</c:v>
                </c:pt>
                <c:pt idx="192">
                  <c:v>718.04</c:v>
                </c:pt>
                <c:pt idx="193">
                  <c:v>780.57</c:v>
                </c:pt>
                <c:pt idx="194">
                  <c:v>803.08</c:v>
                </c:pt>
                <c:pt idx="195">
                  <c:v>823.68</c:v>
                </c:pt>
                <c:pt idx="196">
                  <c:v>760</c:v>
                </c:pt>
                <c:pt idx="197">
                  <c:v>804.28</c:v>
                </c:pt>
                <c:pt idx="198">
                  <c:v>806.74</c:v>
                </c:pt>
                <c:pt idx="199">
                  <c:v>821.79</c:v>
                </c:pt>
                <c:pt idx="200">
                  <c:v>874.43</c:v>
                </c:pt>
                <c:pt idx="201">
                  <c:v>857.16</c:v>
                </c:pt>
                <c:pt idx="202">
                  <c:v>849.86</c:v>
                </c:pt>
                <c:pt idx="203">
                  <c:v>830.05</c:v>
                </c:pt>
                <c:pt idx="204">
                  <c:v>879.74</c:v>
                </c:pt>
                <c:pt idx="205">
                  <c:v>892.71</c:v>
                </c:pt>
                <c:pt idx="206">
                  <c:v>857.26</c:v>
                </c:pt>
                <c:pt idx="207">
                  <c:v>867.97</c:v>
                </c:pt>
                <c:pt idx="208">
                  <c:v>844.58</c:v>
                </c:pt>
                <c:pt idx="209">
                  <c:v>834.17</c:v>
                </c:pt>
                <c:pt idx="210">
                  <c:v>841.71</c:v>
                </c:pt>
                <c:pt idx="211">
                  <c:v>891.12</c:v>
                </c:pt>
                <c:pt idx="212">
                  <c:v>908.36</c:v>
                </c:pt>
                <c:pt idx="213">
                  <c:v>884.06</c:v>
                </c:pt>
                <c:pt idx="214">
                  <c:v>885.47</c:v>
                </c:pt>
                <c:pt idx="215">
                  <c:v>844.44</c:v>
                </c:pt>
                <c:pt idx="216">
                  <c:v>865.92</c:v>
                </c:pt>
                <c:pt idx="217">
                  <c:v>965.13</c:v>
                </c:pt>
                <c:pt idx="218">
                  <c:v>953</c:v>
                </c:pt>
                <c:pt idx="219">
                  <c:v>895.54</c:v>
                </c:pt>
                <c:pt idx="220">
                  <c:v>959.48</c:v>
                </c:pt>
                <c:pt idx="221">
                  <c:v>1305.3399999999999</c:v>
                </c:pt>
                <c:pt idx="222">
                  <c:v>1348.28</c:v>
                </c:pt>
                <c:pt idx="223">
                  <c:v>1304.54</c:v>
                </c:pt>
                <c:pt idx="224">
                  <c:v>1288.2</c:v>
                </c:pt>
                <c:pt idx="225">
                  <c:v>1236.8699999999999</c:v>
                </c:pt>
                <c:pt idx="226">
                  <c:v>1304.43</c:v>
                </c:pt>
                <c:pt idx="227">
                  <c:v>1138.71</c:v>
                </c:pt>
                <c:pt idx="228">
                  <c:v>1111.19</c:v>
                </c:pt>
                <c:pt idx="229">
                  <c:v>1052.96</c:v>
                </c:pt>
                <c:pt idx="230">
                  <c:v>1065.3800000000001</c:v>
                </c:pt>
                <c:pt idx="231">
                  <c:v>1106.52</c:v>
                </c:pt>
                <c:pt idx="232">
                  <c:v>1170.07</c:v>
                </c:pt>
                <c:pt idx="233">
                  <c:v>1093.77</c:v>
                </c:pt>
                <c:pt idx="234">
                  <c:v>1121.72</c:v>
                </c:pt>
                <c:pt idx="235">
                  <c:v>1280</c:v>
                </c:pt>
                <c:pt idx="236">
                  <c:v>1266.97</c:v>
                </c:pt>
                <c:pt idx="237">
                  <c:v>1276.22</c:v>
                </c:pt>
                <c:pt idx="238">
                  <c:v>1435.69</c:v>
                </c:pt>
                <c:pt idx="239">
                  <c:v>1450.97</c:v>
                </c:pt>
                <c:pt idx="240">
                  <c:v>1373.64</c:v>
                </c:pt>
                <c:pt idx="241">
                  <c:v>1420.33</c:v>
                </c:pt>
                <c:pt idx="242">
                  <c:v>1351.01</c:v>
                </c:pt>
                <c:pt idx="243">
                  <c:v>1307.9000000000001</c:v>
                </c:pt>
                <c:pt idx="244">
                  <c:v>1393.98</c:v>
                </c:pt>
                <c:pt idx="245">
                  <c:v>1528.61</c:v>
                </c:pt>
                <c:pt idx="246">
                  <c:v>1519.45</c:v>
                </c:pt>
                <c:pt idx="247">
                  <c:v>1422.67</c:v>
                </c:pt>
                <c:pt idx="248">
                  <c:v>1456</c:v>
                </c:pt>
                <c:pt idx="249">
                  <c:v>1132.05</c:v>
                </c:pt>
                <c:pt idx="250">
                  <c:v>1374.71</c:v>
                </c:pt>
                <c:pt idx="251">
                  <c:v>1413.35</c:v>
                </c:pt>
                <c:pt idx="252">
                  <c:v>1750.98</c:v>
                </c:pt>
                <c:pt idx="253">
                  <c:v>1584.49</c:v>
                </c:pt>
                <c:pt idx="254">
                  <c:v>2486.1799999999998</c:v>
                </c:pt>
                <c:pt idx="255">
                  <c:v>2339.0700000000002</c:v>
                </c:pt>
                <c:pt idx="256">
                  <c:v>2553.8200000000002</c:v>
                </c:pt>
                <c:pt idx="257">
                  <c:v>2582.63</c:v>
                </c:pt>
                <c:pt idx="258">
                  <c:v>2723.28</c:v>
                </c:pt>
                <c:pt idx="259">
                  <c:v>2602.1999999999998</c:v>
                </c:pt>
                <c:pt idx="260">
                  <c:v>2709.98</c:v>
                </c:pt>
                <c:pt idx="261">
                  <c:v>3219.58</c:v>
                </c:pt>
                <c:pt idx="262">
                  <c:v>2771.52</c:v>
                </c:pt>
                <c:pt idx="263">
                  <c:v>3021.04</c:v>
                </c:pt>
                <c:pt idx="264">
                  <c:v>3036.91</c:v>
                </c:pt>
                <c:pt idx="265">
                  <c:v>2934.02</c:v>
                </c:pt>
                <c:pt idx="266">
                  <c:v>3189.45</c:v>
                </c:pt>
                <c:pt idx="267">
                  <c:v>3499.54</c:v>
                </c:pt>
                <c:pt idx="268">
                  <c:v>3431.49</c:v>
                </c:pt>
                <c:pt idx="269">
                  <c:v>4309.12</c:v>
                </c:pt>
                <c:pt idx="270">
                  <c:v>3594.11</c:v>
                </c:pt>
                <c:pt idx="271">
                  <c:v>3350.07</c:v>
                </c:pt>
                <c:pt idx="272">
                  <c:v>3385.33</c:v>
                </c:pt>
                <c:pt idx="273">
                  <c:v>3574.3</c:v>
                </c:pt>
                <c:pt idx="274">
                  <c:v>2525.48</c:v>
                </c:pt>
                <c:pt idx="275">
                  <c:v>2609.4499999999998</c:v>
                </c:pt>
                <c:pt idx="276">
                  <c:v>2202.84</c:v>
                </c:pt>
                <c:pt idx="277">
                  <c:v>2110</c:v>
                </c:pt>
                <c:pt idx="278">
                  <c:v>2123.59</c:v>
                </c:pt>
                <c:pt idx="279">
                  <c:v>2268.9899999999998</c:v>
                </c:pt>
                <c:pt idx="280">
                  <c:v>2289.09</c:v>
                </c:pt>
                <c:pt idx="281">
                  <c:v>2834.49</c:v>
                </c:pt>
                <c:pt idx="282">
                  <c:v>3167.98</c:v>
                </c:pt>
                <c:pt idx="283">
                  <c:v>3104.06</c:v>
                </c:pt>
                <c:pt idx="284">
                  <c:v>3073.25</c:v>
                </c:pt>
                <c:pt idx="285">
                  <c:v>3390.14</c:v>
                </c:pt>
                <c:pt idx="286">
                  <c:v>3482.39</c:v>
                </c:pt>
                <c:pt idx="287">
                  <c:v>3810.2</c:v>
                </c:pt>
                <c:pt idx="288">
                  <c:v>3903.28</c:v>
                </c:pt>
                <c:pt idx="289">
                  <c:v>3785.11</c:v>
                </c:pt>
                <c:pt idx="290">
                  <c:v>4086.74</c:v>
                </c:pt>
                <c:pt idx="291">
                  <c:v>4050.48</c:v>
                </c:pt>
                <c:pt idx="292">
                  <c:v>3951.31</c:v>
                </c:pt>
                <c:pt idx="293">
                  <c:v>3950</c:v>
                </c:pt>
                <c:pt idx="294">
                  <c:v>3528</c:v>
                </c:pt>
                <c:pt idx="295">
                  <c:v>3403.79</c:v>
                </c:pt>
                <c:pt idx="296">
                  <c:v>3876.19</c:v>
                </c:pt>
                <c:pt idx="297">
                  <c:v>3830.16</c:v>
                </c:pt>
                <c:pt idx="298">
                  <c:v>4170.1000000000004</c:v>
                </c:pt>
                <c:pt idx="299">
                  <c:v>3769.86</c:v>
                </c:pt>
                <c:pt idx="300">
                  <c:v>4595.07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2A-41E3-893D-8683C69BB0D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-1.3559330349043773E-3</c:v>
                </c:pt>
                <c:pt idx="1">
                  <c:v>-1.354335544904377E-3</c:v>
                </c:pt>
                <c:pt idx="2">
                  <c:v>-1.347499199904377E-3</c:v>
                </c:pt>
                <c:pt idx="3">
                  <c:v>-1.3520179535853587E-3</c:v>
                </c:pt>
                <c:pt idx="4">
                  <c:v>-1.3671131124203099E-3</c:v>
                </c:pt>
                <c:pt idx="5">
                  <c:v>-1.3695835745708477E-3</c:v>
                </c:pt>
                <c:pt idx="6">
                  <c:v>-1.3373600403310455E-3</c:v>
                </c:pt>
                <c:pt idx="7">
                  <c:v>-1.309526564095304E-3</c:v>
                </c:pt>
                <c:pt idx="8">
                  <c:v>-1.2969111574195546E-3</c:v>
                </c:pt>
                <c:pt idx="9">
                  <c:v>-1.2872713949315165E-3</c:v>
                </c:pt>
                <c:pt idx="10">
                  <c:v>-1.2955097236494652E-3</c:v>
                </c:pt>
                <c:pt idx="11">
                  <c:v>-1.2918439791875229E-3</c:v>
                </c:pt>
                <c:pt idx="12">
                  <c:v>-1.2940770393314077E-3</c:v>
                </c:pt>
                <c:pt idx="13">
                  <c:v>-1.2893982049677715E-3</c:v>
                </c:pt>
                <c:pt idx="14">
                  <c:v>-1.3049795489677714E-3</c:v>
                </c:pt>
                <c:pt idx="15">
                  <c:v>-1.2873755347197501E-3</c:v>
                </c:pt>
                <c:pt idx="16">
                  <c:v>-1.297984713493335E-3</c:v>
                </c:pt>
                <c:pt idx="17">
                  <c:v>-1.3086966208446867E-3</c:v>
                </c:pt>
                <c:pt idx="18">
                  <c:v>-1.3032390239470961E-3</c:v>
                </c:pt>
                <c:pt idx="19">
                  <c:v>-1.3078212404176845E-3</c:v>
                </c:pt>
                <c:pt idx="20">
                  <c:v>-1.3020921111123298E-3</c:v>
                </c:pt>
                <c:pt idx="21">
                  <c:v>-1.2901336577789966E-3</c:v>
                </c:pt>
                <c:pt idx="22">
                  <c:v>-1.2866674703363159E-3</c:v>
                </c:pt>
                <c:pt idx="23">
                  <c:v>-1.2711493883675285E-3</c:v>
                </c:pt>
                <c:pt idx="24">
                  <c:v>-1.2590965815493466E-3</c:v>
                </c:pt>
                <c:pt idx="25">
                  <c:v>-1.2498772376363029E-3</c:v>
                </c:pt>
                <c:pt idx="26">
                  <c:v>-1.2720992633243765E-3</c:v>
                </c:pt>
                <c:pt idx="27">
                  <c:v>-1.3001470506782224E-3</c:v>
                </c:pt>
                <c:pt idx="28">
                  <c:v>-1.2821875974197954E-3</c:v>
                </c:pt>
                <c:pt idx="29">
                  <c:v>-1.2739304347579247E-3</c:v>
                </c:pt>
                <c:pt idx="30">
                  <c:v>-1.1469226416725856E-3</c:v>
                </c:pt>
                <c:pt idx="31">
                  <c:v>-1.174639797378107E-3</c:v>
                </c:pt>
                <c:pt idx="32">
                  <c:v>-1.1500865368593751E-3</c:v>
                </c:pt>
                <c:pt idx="33">
                  <c:v>-1.1346560316869612E-3</c:v>
                </c:pt>
                <c:pt idx="34">
                  <c:v>-1.1343154802583898E-3</c:v>
                </c:pt>
                <c:pt idx="35">
                  <c:v>-1.0942575075236288E-3</c:v>
                </c:pt>
                <c:pt idx="36">
                  <c:v>-1.1078451397493838E-3</c:v>
                </c:pt>
                <c:pt idx="37">
                  <c:v>-1.0207214916987015E-3</c:v>
                </c:pt>
                <c:pt idx="38">
                  <c:v>-1.0314708799100836E-3</c:v>
                </c:pt>
                <c:pt idx="39">
                  <c:v>-1.0241568127323832E-3</c:v>
                </c:pt>
                <c:pt idx="40">
                  <c:v>-1.0110108126721424E-3</c:v>
                </c:pt>
                <c:pt idx="41">
                  <c:v>-1.009275384382466E-3</c:v>
                </c:pt>
                <c:pt idx="42">
                  <c:v>-1.0061013710491327E-3</c:v>
                </c:pt>
                <c:pt idx="43">
                  <c:v>-9.9388297894386951E-4</c:v>
                </c:pt>
                <c:pt idx="44">
                  <c:v>-1.0010450272113468E-3</c:v>
                </c:pt>
                <c:pt idx="45">
                  <c:v>-1.0030526288640816E-3</c:v>
                </c:pt>
                <c:pt idx="46">
                  <c:v>-9.8970692807366254E-4</c:v>
                </c:pt>
                <c:pt idx="47">
                  <c:v>-9.9007858443729883E-4</c:v>
                </c:pt>
                <c:pt idx="48">
                  <c:v>-9.902819713463898E-4</c:v>
                </c:pt>
                <c:pt idx="49">
                  <c:v>-9.7100281401305639E-4</c:v>
                </c:pt>
                <c:pt idx="50">
                  <c:v>-9.5674435601541218E-4</c:v>
                </c:pt>
                <c:pt idx="51">
                  <c:v>-9.6471973530271721E-4</c:v>
                </c:pt>
                <c:pt idx="52">
                  <c:v>-9.4550468937679133E-4</c:v>
                </c:pt>
                <c:pt idx="53">
                  <c:v>-8.6882882838971716E-4</c:v>
                </c:pt>
                <c:pt idx="54">
                  <c:v>-8.767607105065056E-4</c:v>
                </c:pt>
                <c:pt idx="55">
                  <c:v>-8.7283374146814735E-4</c:v>
                </c:pt>
                <c:pt idx="56">
                  <c:v>-8.4557578487165605E-4</c:v>
                </c:pt>
                <c:pt idx="57">
                  <c:v>-8.4277866867732421E-4</c:v>
                </c:pt>
                <c:pt idx="58">
                  <c:v>-8.341979432554211E-4</c:v>
                </c:pt>
                <c:pt idx="59">
                  <c:v>-8.1074771611012195E-4</c:v>
                </c:pt>
                <c:pt idx="60">
                  <c:v>-8.170758471005374E-4</c:v>
                </c:pt>
                <c:pt idx="61">
                  <c:v>-8.3433588530596825E-4</c:v>
                </c:pt>
                <c:pt idx="62">
                  <c:v>-8.3983518313062225E-4</c:v>
                </c:pt>
                <c:pt idx="63">
                  <c:v>-8.1185329019243429E-4</c:v>
                </c:pt>
                <c:pt idx="64">
                  <c:v>-8.3387890019243429E-4</c:v>
                </c:pt>
                <c:pt idx="65">
                  <c:v>-8.3019175351346742E-4</c:v>
                </c:pt>
                <c:pt idx="66">
                  <c:v>-8.2589586308793532E-4</c:v>
                </c:pt>
                <c:pt idx="67">
                  <c:v>-7.8767631986212882E-4</c:v>
                </c:pt>
                <c:pt idx="68">
                  <c:v>-7.6872083918416289E-4</c:v>
                </c:pt>
                <c:pt idx="69">
                  <c:v>-7.8959513161236123E-4</c:v>
                </c:pt>
                <c:pt idx="70">
                  <c:v>-8.0627488897215419E-4</c:v>
                </c:pt>
                <c:pt idx="71">
                  <c:v>-7.8935386577914381E-4</c:v>
                </c:pt>
                <c:pt idx="72">
                  <c:v>-7.9253965686441516E-4</c:v>
                </c:pt>
                <c:pt idx="73">
                  <c:v>-7.9355239394160513E-4</c:v>
                </c:pt>
                <c:pt idx="74">
                  <c:v>-7.6280523148877495E-4</c:v>
                </c:pt>
                <c:pt idx="75">
                  <c:v>-7.4151164560192493E-4</c:v>
                </c:pt>
                <c:pt idx="76">
                  <c:v>-7.7483827763416048E-4</c:v>
                </c:pt>
                <c:pt idx="77">
                  <c:v>-7.6167611528045443E-4</c:v>
                </c:pt>
                <c:pt idx="78">
                  <c:v>-7.7896540891256142E-4</c:v>
                </c:pt>
                <c:pt idx="79">
                  <c:v>-7.6452261782050885E-4</c:v>
                </c:pt>
                <c:pt idx="80">
                  <c:v>-7.6061984592682124E-4</c:v>
                </c:pt>
                <c:pt idx="81">
                  <c:v>-7.7846546898157612E-4</c:v>
                </c:pt>
                <c:pt idx="82">
                  <c:v>-7.6752464335657614E-4</c:v>
                </c:pt>
                <c:pt idx="83">
                  <c:v>-7.8618355488663076E-4</c:v>
                </c:pt>
                <c:pt idx="84">
                  <c:v>-7.6530884096771173E-4</c:v>
                </c:pt>
                <c:pt idx="85">
                  <c:v>-7.5262233111412483E-4</c:v>
                </c:pt>
                <c:pt idx="86">
                  <c:v>-7.3303031731391892E-4</c:v>
                </c:pt>
                <c:pt idx="87">
                  <c:v>-8.1614583731391883E-4</c:v>
                </c:pt>
                <c:pt idx="88">
                  <c:v>-8.0893343058664605E-4</c:v>
                </c:pt>
                <c:pt idx="89">
                  <c:v>-7.9729690142156062E-4</c:v>
                </c:pt>
                <c:pt idx="90">
                  <c:v>-7.8373154821834601E-4</c:v>
                </c:pt>
                <c:pt idx="91">
                  <c:v>-7.8468627240292264E-4</c:v>
                </c:pt>
                <c:pt idx="92">
                  <c:v>-7.9004404275690484E-4</c:v>
                </c:pt>
                <c:pt idx="93">
                  <c:v>-7.7287357638212365E-4</c:v>
                </c:pt>
                <c:pt idx="94">
                  <c:v>-7.4036156687125397E-4</c:v>
                </c:pt>
                <c:pt idx="95">
                  <c:v>-7.3926641716537162E-4</c:v>
                </c:pt>
                <c:pt idx="96">
                  <c:v>-7.2167309955096072E-4</c:v>
                </c:pt>
                <c:pt idx="97">
                  <c:v>-7.1744246376148711E-4</c:v>
                </c:pt>
                <c:pt idx="98">
                  <c:v>-6.8397020287478761E-4</c:v>
                </c:pt>
                <c:pt idx="99">
                  <c:v>-6.266923179336927E-4</c:v>
                </c:pt>
                <c:pt idx="100">
                  <c:v>-6.4730654248009519E-4</c:v>
                </c:pt>
                <c:pt idx="101">
                  <c:v>-6.3019173032819646E-4</c:v>
                </c:pt>
                <c:pt idx="102">
                  <c:v>-5.4772731085044708E-4</c:v>
                </c:pt>
                <c:pt idx="103">
                  <c:v>-5.8516213465630235E-4</c:v>
                </c:pt>
                <c:pt idx="104">
                  <c:v>-5.3003365124100184E-4</c:v>
                </c:pt>
                <c:pt idx="105">
                  <c:v>-5.6390169537521879E-4</c:v>
                </c:pt>
                <c:pt idx="106">
                  <c:v>-5.1166220130386525E-4</c:v>
                </c:pt>
                <c:pt idx="107">
                  <c:v>-5.3850197742691928E-4</c:v>
                </c:pt>
                <c:pt idx="108">
                  <c:v>-5.6721383701054161E-4</c:v>
                </c:pt>
                <c:pt idx="109">
                  <c:v>-5.5451470064812555E-4</c:v>
                </c:pt>
                <c:pt idx="110">
                  <c:v>-5.2395807495625695E-4</c:v>
                </c:pt>
                <c:pt idx="111">
                  <c:v>-5.2701461758612701E-4</c:v>
                </c:pt>
                <c:pt idx="112">
                  <c:v>-4.7534021701107099E-4</c:v>
                </c:pt>
                <c:pt idx="113">
                  <c:v>-4.9537740172181485E-4</c:v>
                </c:pt>
                <c:pt idx="114">
                  <c:v>-5.1672786604968382E-4</c:v>
                </c:pt>
                <c:pt idx="115">
                  <c:v>-5.2063760669101395E-4</c:v>
                </c:pt>
                <c:pt idx="116">
                  <c:v>-5.1515138052080122E-4</c:v>
                </c:pt>
                <c:pt idx="117">
                  <c:v>-5.2597800511973165E-4</c:v>
                </c:pt>
                <c:pt idx="118">
                  <c:v>-5.187642109354706E-4</c:v>
                </c:pt>
                <c:pt idx="119">
                  <c:v>-5.3857255833635173E-4</c:v>
                </c:pt>
                <c:pt idx="120">
                  <c:v>-5.4805018781003587E-4</c:v>
                </c:pt>
                <c:pt idx="121">
                  <c:v>-5.5150374688155417E-4</c:v>
                </c:pt>
                <c:pt idx="122">
                  <c:v>-5.3085050760882685E-4</c:v>
                </c:pt>
                <c:pt idx="123">
                  <c:v>-5.1284176827165104E-4</c:v>
                </c:pt>
                <c:pt idx="124">
                  <c:v>-5.2145973069442158E-4</c:v>
                </c:pt>
                <c:pt idx="125">
                  <c:v>-4.681887201110883E-4</c:v>
                </c:pt>
                <c:pt idx="126">
                  <c:v>-4.5319037951800954E-4</c:v>
                </c:pt>
                <c:pt idx="127">
                  <c:v>-4.5541620631916232E-4</c:v>
                </c:pt>
                <c:pt idx="128">
                  <c:v>-4.9900076349435095E-4</c:v>
                </c:pt>
                <c:pt idx="129">
                  <c:v>-4.7341521915574345E-4</c:v>
                </c:pt>
                <c:pt idx="130">
                  <c:v>-4.6441317795157063E-4</c:v>
                </c:pt>
                <c:pt idx="131">
                  <c:v>-4.4557762644099652E-4</c:v>
                </c:pt>
                <c:pt idx="132">
                  <c:v>-4.407111324604141E-4</c:v>
                </c:pt>
                <c:pt idx="133">
                  <c:v>-4.2129545551242582E-4</c:v>
                </c:pt>
                <c:pt idx="134">
                  <c:v>-4.1486432401776399E-4</c:v>
                </c:pt>
                <c:pt idx="135">
                  <c:v>-4.1300358422304256E-4</c:v>
                </c:pt>
                <c:pt idx="136">
                  <c:v>-4.2426570037947664E-4</c:v>
                </c:pt>
                <c:pt idx="137">
                  <c:v>-4.044809558724344E-4</c:v>
                </c:pt>
                <c:pt idx="138">
                  <c:v>-4.0573491544324968E-4</c:v>
                </c:pt>
                <c:pt idx="139">
                  <c:v>-3.8410828195570518E-4</c:v>
                </c:pt>
                <c:pt idx="140">
                  <c:v>-3.4111337504883149E-4</c:v>
                </c:pt>
                <c:pt idx="141">
                  <c:v>-2.9262790808824376E-4</c:v>
                </c:pt>
                <c:pt idx="142">
                  <c:v>-1.7786330034176491E-4</c:v>
                </c:pt>
                <c:pt idx="143">
                  <c:v>-2.2515345545656565E-4</c:v>
                </c:pt>
                <c:pt idx="144">
                  <c:v>-2.5051007686310465E-4</c:v>
                </c:pt>
                <c:pt idx="145">
                  <c:v>-2.462975168631047E-4</c:v>
                </c:pt>
                <c:pt idx="146">
                  <c:v>-2.2848003080676673E-4</c:v>
                </c:pt>
                <c:pt idx="147">
                  <c:v>-2.3258823754674084E-4</c:v>
                </c:pt>
                <c:pt idx="148">
                  <c:v>-2.1236367969439194E-4</c:v>
                </c:pt>
                <c:pt idx="149">
                  <c:v>-2.2850077252071341E-4</c:v>
                </c:pt>
                <c:pt idx="150">
                  <c:v>-2.2204721089295749E-4</c:v>
                </c:pt>
                <c:pt idx="151">
                  <c:v>-2.0460237326174583E-4</c:v>
                </c:pt>
                <c:pt idx="152">
                  <c:v>-1.9424908966045966E-4</c:v>
                </c:pt>
                <c:pt idx="153">
                  <c:v>-1.8211301213215777E-4</c:v>
                </c:pt>
                <c:pt idx="154">
                  <c:v>-2.1200192927459081E-4</c:v>
                </c:pt>
                <c:pt idx="155">
                  <c:v>-1.857334909895863E-4</c:v>
                </c:pt>
                <c:pt idx="156">
                  <c:v>-2.0264240536862273E-4</c:v>
                </c:pt>
                <c:pt idx="157">
                  <c:v>-1.8710574332775294E-4</c:v>
                </c:pt>
                <c:pt idx="158">
                  <c:v>-2.4253082851702693E-4</c:v>
                </c:pt>
                <c:pt idx="159">
                  <c:v>-2.3970745574630016E-4</c:v>
                </c:pt>
                <c:pt idx="160">
                  <c:v>-2.7392338696335901E-4</c:v>
                </c:pt>
                <c:pt idx="161">
                  <c:v>-2.908663366294489E-4</c:v>
                </c:pt>
                <c:pt idx="162">
                  <c:v>-3.2571422809946711E-4</c:v>
                </c:pt>
                <c:pt idx="163">
                  <c:v>-3.2321197104704437E-4</c:v>
                </c:pt>
                <c:pt idx="164">
                  <c:v>-2.9003765127807112E-4</c:v>
                </c:pt>
                <c:pt idx="165">
                  <c:v>-2.7017122751710898E-4</c:v>
                </c:pt>
                <c:pt idx="166">
                  <c:v>-2.8736165953319415E-4</c:v>
                </c:pt>
                <c:pt idx="167">
                  <c:v>-2.7869952133901057E-4</c:v>
                </c:pt>
                <c:pt idx="168">
                  <c:v>-2.8777092708421427E-4</c:v>
                </c:pt>
                <c:pt idx="169">
                  <c:v>-3.5293730744964712E-4</c:v>
                </c:pt>
                <c:pt idx="170">
                  <c:v>-2.9185990966876154E-4</c:v>
                </c:pt>
                <c:pt idx="171">
                  <c:v>-3.5322858627263447E-4</c:v>
                </c:pt>
                <c:pt idx="172">
                  <c:v>-3.7216912442260307E-4</c:v>
                </c:pt>
                <c:pt idx="173">
                  <c:v>-3.5583356291195057E-4</c:v>
                </c:pt>
                <c:pt idx="174">
                  <c:v>-3.9778637603958057E-4</c:v>
                </c:pt>
                <c:pt idx="175">
                  <c:v>-4.2415727136483895E-4</c:v>
                </c:pt>
                <c:pt idx="176">
                  <c:v>-4.461153984082295E-4</c:v>
                </c:pt>
                <c:pt idx="177">
                  <c:v>-4.4492664430398658E-4</c:v>
                </c:pt>
                <c:pt idx="178">
                  <c:v>-4.6603508080575511E-4</c:v>
                </c:pt>
                <c:pt idx="179">
                  <c:v>-4.6534468693745437E-4</c:v>
                </c:pt>
                <c:pt idx="180">
                  <c:v>-4.4827388378334122E-4</c:v>
                </c:pt>
                <c:pt idx="181">
                  <c:v>-4.313993999231829E-4</c:v>
                </c:pt>
                <c:pt idx="182">
                  <c:v>-4.4971308095760994E-4</c:v>
                </c:pt>
                <c:pt idx="183">
                  <c:v>-4.4756283367486182E-4</c:v>
                </c:pt>
                <c:pt idx="184">
                  <c:v>-4.6861401804360346E-4</c:v>
                </c:pt>
                <c:pt idx="185">
                  <c:v>-4.7986534814913935E-4</c:v>
                </c:pt>
                <c:pt idx="186">
                  <c:v>-4.2689830274590689E-4</c:v>
                </c:pt>
                <c:pt idx="187">
                  <c:v>-4.415308224900409E-4</c:v>
                </c:pt>
                <c:pt idx="188">
                  <c:v>-4.2895770408840758E-4</c:v>
                </c:pt>
                <c:pt idx="189">
                  <c:v>-4.4267519775810683E-4</c:v>
                </c:pt>
                <c:pt idx="190">
                  <c:v>-4.3823553443914049E-4</c:v>
                </c:pt>
                <c:pt idx="191">
                  <c:v>-4.4449655335467844E-4</c:v>
                </c:pt>
                <c:pt idx="192">
                  <c:v>-4.3592904904020223E-4</c:v>
                </c:pt>
                <c:pt idx="193">
                  <c:v>-4.1953732423753536E-4</c:v>
                </c:pt>
                <c:pt idx="194">
                  <c:v>-4.0765250651123621E-4</c:v>
                </c:pt>
                <c:pt idx="195">
                  <c:v>-3.3607012181184045E-4</c:v>
                </c:pt>
                <c:pt idx="196">
                  <c:v>-2.8782307880014814E-4</c:v>
                </c:pt>
                <c:pt idx="197">
                  <c:v>-2.7964369068511012E-4</c:v>
                </c:pt>
                <c:pt idx="198">
                  <c:v>-2.8690752125400392E-4</c:v>
                </c:pt>
                <c:pt idx="199">
                  <c:v>-2.8201277002405721E-4</c:v>
                </c:pt>
                <c:pt idx="200">
                  <c:v>-2.7758182685810054E-4</c:v>
                </c:pt>
                <c:pt idx="201">
                  <c:v>-2.7962176943271982E-4</c:v>
                </c:pt>
                <c:pt idx="202">
                  <c:v>-2.813851829359504E-4</c:v>
                </c:pt>
                <c:pt idx="203">
                  <c:v>-2.864229326162152E-4</c:v>
                </c:pt>
                <c:pt idx="204">
                  <c:v>-2.8211563989642571E-4</c:v>
                </c:pt>
                <c:pt idx="205">
                  <c:v>-2.6880373436929099E-4</c:v>
                </c:pt>
                <c:pt idx="206">
                  <c:v>-2.7590373260663403E-4</c:v>
                </c:pt>
                <c:pt idx="207">
                  <c:v>-2.7704799147704694E-4</c:v>
                </c:pt>
                <c:pt idx="208">
                  <c:v>-2.7963863476555763E-4</c:v>
                </c:pt>
                <c:pt idx="209">
                  <c:v>-2.8056530899400067E-4</c:v>
                </c:pt>
                <c:pt idx="210">
                  <c:v>-2.8086419258439702E-4</c:v>
                </c:pt>
                <c:pt idx="211">
                  <c:v>-2.7646536891286509E-4</c:v>
                </c:pt>
                <c:pt idx="212">
                  <c:v>-2.7976246021425225E-4</c:v>
                </c:pt>
                <c:pt idx="213">
                  <c:v>-2.782515290387151E-4</c:v>
                </c:pt>
                <c:pt idx="214">
                  <c:v>-2.7595776511805031E-4</c:v>
                </c:pt>
                <c:pt idx="215">
                  <c:v>-2.8458214509806092E-4</c:v>
                </c:pt>
                <c:pt idx="216">
                  <c:v>-2.8439973702594566E-4</c:v>
                </c:pt>
                <c:pt idx="217">
                  <c:v>-2.7895319414059186E-4</c:v>
                </c:pt>
                <c:pt idx="218">
                  <c:v>-2.8300048199123533E-4</c:v>
                </c:pt>
                <c:pt idx="219">
                  <c:v>-2.8263257581754398E-4</c:v>
                </c:pt>
                <c:pt idx="220">
                  <c:v>-2.8158216739745256E-4</c:v>
                </c:pt>
                <c:pt idx="221">
                  <c:v>-2.5609007325268712E-4</c:v>
                </c:pt>
                <c:pt idx="222">
                  <c:v>-2.6082983707470216E-4</c:v>
                </c:pt>
                <c:pt idx="223">
                  <c:v>-2.5727349746055764E-4</c:v>
                </c:pt>
                <c:pt idx="224">
                  <c:v>-2.523745562027164E-4</c:v>
                </c:pt>
                <c:pt idx="225">
                  <c:v>-2.5332533777949442E-4</c:v>
                </c:pt>
                <c:pt idx="226">
                  <c:v>-2.4116253718678632E-4</c:v>
                </c:pt>
                <c:pt idx="227">
                  <c:v>-2.6877983063435537E-4</c:v>
                </c:pt>
                <c:pt idx="228">
                  <c:v>-2.7514362454095394E-4</c:v>
                </c:pt>
                <c:pt idx="229">
                  <c:v>-2.7821089984480488E-4</c:v>
                </c:pt>
                <c:pt idx="230">
                  <c:v>-2.7471249545696125E-4</c:v>
                </c:pt>
                <c:pt idx="231">
                  <c:v>-2.7172124501748395E-4</c:v>
                </c:pt>
                <c:pt idx="232">
                  <c:v>-2.6858649306082439E-4</c:v>
                </c:pt>
                <c:pt idx="233">
                  <c:v>-2.7441759480137775E-4</c:v>
                </c:pt>
                <c:pt idx="234">
                  <c:v>-2.7763456079110883E-4</c:v>
                </c:pt>
                <c:pt idx="235">
                  <c:v>-2.6926585214665134E-4</c:v>
                </c:pt>
                <c:pt idx="236">
                  <c:v>-2.6802795818968385E-4</c:v>
                </c:pt>
                <c:pt idx="237">
                  <c:v>-2.655800098365791E-4</c:v>
                </c:pt>
                <c:pt idx="238">
                  <c:v>-2.5692405604236547E-4</c:v>
                </c:pt>
                <c:pt idx="239">
                  <c:v>-2.5025329265186138E-4</c:v>
                </c:pt>
                <c:pt idx="240">
                  <c:v>-2.4942710912916928E-4</c:v>
                </c:pt>
                <c:pt idx="241">
                  <c:v>-2.4763766289354213E-4</c:v>
                </c:pt>
                <c:pt idx="242">
                  <c:v>-2.5158146541863079E-4</c:v>
                </c:pt>
                <c:pt idx="243">
                  <c:v>-2.538160572144191E-4</c:v>
                </c:pt>
                <c:pt idx="244">
                  <c:v>-2.4929445002218309E-4</c:v>
                </c:pt>
                <c:pt idx="245">
                  <c:v>-2.3852723684303985E-4</c:v>
                </c:pt>
                <c:pt idx="246">
                  <c:v>-2.4169044380267985E-4</c:v>
                </c:pt>
                <c:pt idx="247">
                  <c:v>-2.4075468844224471E-4</c:v>
                </c:pt>
                <c:pt idx="248">
                  <c:v>-2.3998500917552616E-4</c:v>
                </c:pt>
                <c:pt idx="249">
                  <c:v>-2.5286598552292852E-4</c:v>
                </c:pt>
                <c:pt idx="250">
                  <c:v>-2.4741274370555051E-4</c:v>
                </c:pt>
                <c:pt idx="251">
                  <c:v>-2.4664268823243273E-4</c:v>
                </c:pt>
                <c:pt idx="252">
                  <c:v>-2.3659953114611186E-4</c:v>
                </c:pt>
                <c:pt idx="253">
                  <c:v>-2.4782662979205779E-4</c:v>
                </c:pt>
                <c:pt idx="254">
                  <c:v>-2.3272259264966815E-4</c:v>
                </c:pt>
                <c:pt idx="255">
                  <c:v>-2.3634900699791503E-4</c:v>
                </c:pt>
                <c:pt idx="256">
                  <c:v>-2.3121995251725586E-4</c:v>
                </c:pt>
                <c:pt idx="257">
                  <c:v>-2.2206179616702322E-4</c:v>
                </c:pt>
                <c:pt idx="258">
                  <c:v>-2.0743125869523854E-4</c:v>
                </c:pt>
                <c:pt idx="259">
                  <c:v>-2.0340007742997165E-4</c:v>
                </c:pt>
                <c:pt idx="260">
                  <c:v>-1.7895943257706219E-4</c:v>
                </c:pt>
                <c:pt idx="261">
                  <c:v>-1.3549668053753564E-4</c:v>
                </c:pt>
                <c:pt idx="262">
                  <c:v>-1.5888319365063423E-4</c:v>
                </c:pt>
                <c:pt idx="263">
                  <c:v>-1.5277690280127422E-4</c:v>
                </c:pt>
                <c:pt idx="264">
                  <c:v>-1.4889949140739627E-4</c:v>
                </c:pt>
                <c:pt idx="265">
                  <c:v>-1.5010942433906835E-4</c:v>
                </c:pt>
                <c:pt idx="266">
                  <c:v>-1.3392798821229253E-4</c:v>
                </c:pt>
                <c:pt idx="267">
                  <c:v>-1.2153304608742674E-4</c:v>
                </c:pt>
                <c:pt idx="268">
                  <c:v>-1.1834128635794922E-4</c:v>
                </c:pt>
                <c:pt idx="269">
                  <c:v>-7.765649892107503E-5</c:v>
                </c:pt>
                <c:pt idx="270">
                  <c:v>-1.2065131151713382E-4</c:v>
                </c:pt>
                <c:pt idx="271">
                  <c:v>-1.3727821793833246E-4</c:v>
                </c:pt>
                <c:pt idx="272">
                  <c:v>-1.3122583103752046E-4</c:v>
                </c:pt>
                <c:pt idx="273">
                  <c:v>-6.5751558563202839E-5</c:v>
                </c:pt>
                <c:pt idx="274">
                  <c:v>-1.5823914390466904E-4</c:v>
                </c:pt>
                <c:pt idx="275">
                  <c:v>-1.5830285494644275E-4</c:v>
                </c:pt>
                <c:pt idx="276">
                  <c:v>-1.793115242578287E-4</c:v>
                </c:pt>
                <c:pt idx="277">
                  <c:v>-1.7780422957990052E-4</c:v>
                </c:pt>
                <c:pt idx="278">
                  <c:v>-1.7938425784622342E-4</c:v>
                </c:pt>
                <c:pt idx="279">
                  <c:v>-1.7520484196549162E-4</c:v>
                </c:pt>
                <c:pt idx="280">
                  <c:v>-1.7968652472095717E-4</c:v>
                </c:pt>
                <c:pt idx="281">
                  <c:v>-1.6286708975410261E-4</c:v>
                </c:pt>
                <c:pt idx="282">
                  <c:v>-1.528833211882951E-4</c:v>
                </c:pt>
                <c:pt idx="283">
                  <c:v>-1.5057209353169134E-4</c:v>
                </c:pt>
                <c:pt idx="284">
                  <c:v>-1.4292499382637894E-4</c:v>
                </c:pt>
                <c:pt idx="285">
                  <c:v>-1.4226378084533669E-4</c:v>
                </c:pt>
                <c:pt idx="286">
                  <c:v>-1.3255184038264277E-4</c:v>
                </c:pt>
                <c:pt idx="287">
                  <c:v>-1.2508210806092283E-4</c:v>
                </c:pt>
                <c:pt idx="288">
                  <c:v>-1.1694787023292368E-4</c:v>
                </c:pt>
                <c:pt idx="289">
                  <c:v>-1.1704055770354478E-4</c:v>
                </c:pt>
                <c:pt idx="290">
                  <c:v>-1.1068858803571978E-4</c:v>
                </c:pt>
                <c:pt idx="291">
                  <c:v>-9.8118029177255892E-5</c:v>
                </c:pt>
                <c:pt idx="292">
                  <c:v>-1.0479422685398499E-4</c:v>
                </c:pt>
                <c:pt idx="293">
                  <c:v>-8.6123658858630307E-5</c:v>
                </c:pt>
                <c:pt idx="294">
                  <c:v>-9.0108992229828559E-5</c:v>
                </c:pt>
                <c:pt idx="295">
                  <c:v>-8.8413889208424011E-5</c:v>
                </c:pt>
                <c:pt idx="296">
                  <c:v>-8.3096135099779961E-5</c:v>
                </c:pt>
                <c:pt idx="297">
                  <c:v>-8.2628278060585647E-5</c:v>
                </c:pt>
                <c:pt idx="298">
                  <c:v>-7.4431973620048291E-5</c:v>
                </c:pt>
                <c:pt idx="299">
                  <c:v>-8.0124099891704087E-5</c:v>
                </c:pt>
                <c:pt idx="300">
                  <c:v>-6.0938111457996483E-5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A-41E3-893D-8683C69BB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6852239"/>
        <c:axId val="856850991"/>
      </c:lineChart>
      <c:dateAx>
        <c:axId val="8568522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850991"/>
        <c:crosses val="autoZero"/>
        <c:auto val="1"/>
        <c:lblOffset val="100"/>
        <c:baseTimeUnit val="days"/>
      </c:dateAx>
      <c:valAx>
        <c:axId val="85685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852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54F79DF-1319-4585-A69F-250422797B2B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23667F-1F20-47E9-B766-DC78B5A8996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8796</v>
      </c>
      <c r="D2" s="4">
        <f>MIN(D3:D1912)</f>
        <v>366.1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424</v>
      </c>
      <c r="C5">
        <v>425.6</v>
      </c>
      <c r="D5">
        <v>406</v>
      </c>
      <c r="E5">
        <v>406</v>
      </c>
      <c r="F5">
        <v>159.749</v>
      </c>
      <c r="G5">
        <v>406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-159.749</v>
      </c>
      <c r="R5">
        <f t="shared" ref="R5" si="2">R6+Q5</f>
        <v>-135593.30349043771</v>
      </c>
      <c r="S5">
        <f t="shared" ref="S5" si="3">R5/100000</f>
        <v>-1.3559330349043772</v>
      </c>
      <c r="T5">
        <f t="shared" ref="T5" si="4">S5/1000</f>
        <v>-1.3559330349043773E-3</v>
      </c>
    </row>
    <row r="6" spans="1:20" x14ac:dyDescent="0.25">
      <c r="A6" s="5">
        <v>44587</v>
      </c>
      <c r="B6">
        <v>406.6</v>
      </c>
      <c r="C6">
        <v>458</v>
      </c>
      <c r="D6">
        <v>402</v>
      </c>
      <c r="E6">
        <v>423.3</v>
      </c>
      <c r="F6">
        <v>2856.98</v>
      </c>
      <c r="G6">
        <v>423.3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-0.23928571428571388</v>
      </c>
      <c r="Q6">
        <f t="shared" ref="Q6" si="6">F6*P6</f>
        <v>-683.63449999999887</v>
      </c>
      <c r="R6">
        <f t="shared" ref="R6" si="7">R7+Q6</f>
        <v>-135433.5544904377</v>
      </c>
      <c r="S6">
        <f t="shared" ref="S6" si="8">R6/100000</f>
        <v>-1.354335544904377</v>
      </c>
      <c r="T6">
        <f t="shared" ref="T6" si="9">S6/1000</f>
        <v>-1.354335544904377E-3</v>
      </c>
    </row>
    <row r="7" spans="1:20" x14ac:dyDescent="0.25">
      <c r="A7" s="5">
        <v>44586</v>
      </c>
      <c r="B7">
        <v>402.4</v>
      </c>
      <c r="C7">
        <v>418.5</v>
      </c>
      <c r="D7">
        <v>385.9</v>
      </c>
      <c r="E7">
        <v>406.7</v>
      </c>
      <c r="F7">
        <v>1636.7929999999999</v>
      </c>
      <c r="G7">
        <v>406.7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0.27607361963190163</v>
      </c>
      <c r="Q7">
        <f t="shared" ref="Q7" si="11">F7*P7</f>
        <v>451.87536809815913</v>
      </c>
      <c r="R7">
        <f t="shared" ref="R7" si="12">R8+Q7</f>
        <v>-134749.91999043772</v>
      </c>
      <c r="S7">
        <f t="shared" ref="S7" si="13">R7/100000</f>
        <v>-1.3474991999043771</v>
      </c>
      <c r="T7">
        <f t="shared" ref="T7" si="14">S7/1000</f>
        <v>-1.347499199904377E-3</v>
      </c>
    </row>
    <row r="8" spans="1:20" x14ac:dyDescent="0.25">
      <c r="A8" s="5">
        <v>44585</v>
      </c>
      <c r="B8">
        <v>417.2</v>
      </c>
      <c r="C8">
        <v>417.6</v>
      </c>
      <c r="D8">
        <v>366.1</v>
      </c>
      <c r="E8">
        <v>402</v>
      </c>
      <c r="F8">
        <v>3829.56</v>
      </c>
      <c r="G8">
        <v>402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0.39417475728155249</v>
      </c>
      <c r="Q8">
        <f t="shared" ref="Q8" si="16">F8*P8</f>
        <v>1509.5158834951421</v>
      </c>
      <c r="R8">
        <f t="shared" ref="R8" si="17">R9+Q8</f>
        <v>-135201.79535853586</v>
      </c>
      <c r="S8">
        <f t="shared" ref="S8" si="18">R8/100000</f>
        <v>-1.3520179535853587</v>
      </c>
      <c r="T8">
        <f t="shared" ref="T8" si="19">S8/1000</f>
        <v>-1.3520179535853587E-3</v>
      </c>
    </row>
    <row r="9" spans="1:20" x14ac:dyDescent="0.25">
      <c r="A9" s="5">
        <v>44584</v>
      </c>
      <c r="B9">
        <v>393.3</v>
      </c>
      <c r="C9">
        <v>438.9</v>
      </c>
      <c r="D9">
        <v>392.4</v>
      </c>
      <c r="E9">
        <v>417.5</v>
      </c>
      <c r="F9">
        <v>3104.77</v>
      </c>
      <c r="G9">
        <v>417.5</v>
      </c>
      <c r="L9" t="s">
        <v>8</v>
      </c>
      <c r="M9" t="s">
        <v>7</v>
      </c>
      <c r="N9" t="s">
        <v>7</v>
      </c>
      <c r="P9">
        <f t="shared" ref="P9" si="20">IF(C9=D9,0,((E9-D9)-(C9-E9))/(C9-D9))</f>
        <v>7.9569892473119255E-2</v>
      </c>
      <c r="Q9">
        <f t="shared" ref="Q9" si="21">F9*P9</f>
        <v>247.04621505376647</v>
      </c>
      <c r="R9">
        <f t="shared" ref="R9" si="22">R10+Q9</f>
        <v>-136711.31124203099</v>
      </c>
      <c r="S9">
        <f t="shared" ref="S9" si="23">R9/100000</f>
        <v>-1.36711311242031</v>
      </c>
      <c r="T9">
        <f t="shared" ref="T9" si="24">S9/1000</f>
        <v>-1.3671131124203099E-3</v>
      </c>
    </row>
    <row r="10" spans="1:20" x14ac:dyDescent="0.25">
      <c r="A10" s="5">
        <v>44583</v>
      </c>
      <c r="B10">
        <v>417.9</v>
      </c>
      <c r="C10">
        <v>455.9</v>
      </c>
      <c r="D10">
        <v>375</v>
      </c>
      <c r="E10">
        <v>394.7</v>
      </c>
      <c r="F10">
        <v>6281.6480000000001</v>
      </c>
      <c r="G10">
        <v>394.7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-0.5129789864029668</v>
      </c>
      <c r="Q10">
        <f t="shared" ref="Q10" si="26">F10*P10</f>
        <v>-3222.3534239802239</v>
      </c>
      <c r="R10">
        <f t="shared" ref="R10" si="27">R11+Q10</f>
        <v>-136958.35745708476</v>
      </c>
      <c r="S10">
        <f t="shared" ref="S10" si="28">R10/100000</f>
        <v>-1.3695835745708476</v>
      </c>
      <c r="T10">
        <f t="shared" ref="T10" si="29">S10/1000</f>
        <v>-1.3695835745708477E-3</v>
      </c>
    </row>
    <row r="11" spans="1:20" x14ac:dyDescent="0.25">
      <c r="A11" s="5">
        <v>44582</v>
      </c>
      <c r="B11">
        <v>503.5</v>
      </c>
      <c r="C11">
        <v>509.2</v>
      </c>
      <c r="D11">
        <v>404</v>
      </c>
      <c r="E11">
        <v>417.5</v>
      </c>
      <c r="F11">
        <v>3744.35</v>
      </c>
      <c r="G11">
        <v>417.5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-0.74334600760456271</v>
      </c>
      <c r="Q11">
        <f t="shared" ref="Q11" si="31">F11*P11</f>
        <v>-2783.3476235741441</v>
      </c>
      <c r="R11">
        <f t="shared" ref="R11" si="32">R12+Q11</f>
        <v>-133736.00403310455</v>
      </c>
      <c r="S11">
        <f t="shared" ref="S11" si="33">R11/100000</f>
        <v>-1.3373600403310455</v>
      </c>
      <c r="T11">
        <f t="shared" ref="T11" si="34">S11/1000</f>
        <v>-1.3373600403310455E-3</v>
      </c>
    </row>
    <row r="12" spans="1:20" x14ac:dyDescent="0.25">
      <c r="A12" s="5">
        <v>44581</v>
      </c>
      <c r="B12">
        <v>511.8</v>
      </c>
      <c r="C12">
        <v>537.79999999999995</v>
      </c>
      <c r="D12">
        <v>501.1</v>
      </c>
      <c r="E12">
        <v>503.7</v>
      </c>
      <c r="F12">
        <v>1469.7950000000001</v>
      </c>
      <c r="G12">
        <v>503.7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-0.85831062670299885</v>
      </c>
      <c r="Q12">
        <f t="shared" ref="Q12" si="36">F12*P12</f>
        <v>-1261.5406675749343</v>
      </c>
      <c r="R12">
        <f t="shared" ref="R12" si="37">R13+Q12</f>
        <v>-130952.65640953041</v>
      </c>
      <c r="S12">
        <f t="shared" ref="S12" si="38">R12/100000</f>
        <v>-1.309526564095304</v>
      </c>
      <c r="T12">
        <f t="shared" ref="T12" si="39">S12/1000</f>
        <v>-1.309526564095304E-3</v>
      </c>
    </row>
    <row r="13" spans="1:20" x14ac:dyDescent="0.25">
      <c r="A13" s="5">
        <v>44580</v>
      </c>
      <c r="B13">
        <v>533.9</v>
      </c>
      <c r="C13">
        <v>548</v>
      </c>
      <c r="D13">
        <v>506.2</v>
      </c>
      <c r="E13">
        <v>511.5</v>
      </c>
      <c r="F13">
        <v>1291.481</v>
      </c>
      <c r="G13">
        <v>511.5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-0.74641148325358808</v>
      </c>
      <c r="Q13">
        <f t="shared" ref="Q13" si="41">F13*P13</f>
        <v>-963.97624880382716</v>
      </c>
      <c r="R13">
        <f t="shared" ref="R13" si="42">R14+Q13</f>
        <v>-129691.11574195547</v>
      </c>
      <c r="S13">
        <f t="shared" ref="S13" si="43">R13/100000</f>
        <v>-1.2969111574195546</v>
      </c>
      <c r="T13">
        <f t="shared" ref="T13" si="44">S13/1000</f>
        <v>-1.2969111574195546E-3</v>
      </c>
    </row>
    <row r="14" spans="1:20" x14ac:dyDescent="0.25">
      <c r="A14" s="5">
        <v>44579</v>
      </c>
      <c r="B14">
        <v>528.4</v>
      </c>
      <c r="C14">
        <v>538</v>
      </c>
      <c r="D14">
        <v>502.9</v>
      </c>
      <c r="E14">
        <v>532</v>
      </c>
      <c r="F14">
        <v>1251.798</v>
      </c>
      <c r="G14">
        <v>532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0.65811965811965834</v>
      </c>
      <c r="Q14">
        <f t="shared" ref="Q14" si="46">F14*P14</f>
        <v>823.83287179487206</v>
      </c>
      <c r="R14">
        <f t="shared" ref="R14" si="47">R15+Q14</f>
        <v>-128727.13949315164</v>
      </c>
      <c r="S14">
        <f t="shared" ref="S14" si="48">R14/100000</f>
        <v>-1.2872713949315164</v>
      </c>
      <c r="T14">
        <f t="shared" ref="T14" si="49">S14/1000</f>
        <v>-1.2872713949315165E-3</v>
      </c>
    </row>
    <row r="15" spans="1:20" x14ac:dyDescent="0.25">
      <c r="A15" s="5">
        <v>44578</v>
      </c>
      <c r="B15">
        <v>554.1</v>
      </c>
      <c r="C15">
        <v>555</v>
      </c>
      <c r="D15">
        <v>516.9</v>
      </c>
      <c r="E15">
        <v>529.4</v>
      </c>
      <c r="F15">
        <v>1066.144</v>
      </c>
      <c r="G15">
        <v>529.4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-0.3438320209973757</v>
      </c>
      <c r="Q15">
        <f t="shared" ref="Q15" si="51">F15*P15</f>
        <v>-366.57444619422614</v>
      </c>
      <c r="R15">
        <f t="shared" ref="R15" si="52">R16+Q15</f>
        <v>-129550.97236494652</v>
      </c>
      <c r="S15">
        <f t="shared" ref="S15" si="53">R15/100000</f>
        <v>-1.2955097236494653</v>
      </c>
      <c r="T15">
        <f t="shared" ref="T15" si="54">S15/1000</f>
        <v>-1.2955097236494652E-3</v>
      </c>
    </row>
    <row r="16" spans="1:20" x14ac:dyDescent="0.25">
      <c r="A16" s="5">
        <v>44577</v>
      </c>
      <c r="B16">
        <v>559.4</v>
      </c>
      <c r="C16">
        <v>559.4</v>
      </c>
      <c r="D16">
        <v>545.5</v>
      </c>
      <c r="E16">
        <v>554.1</v>
      </c>
      <c r="F16">
        <v>940.59199999999998</v>
      </c>
      <c r="G16">
        <v>554.1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0.23741007194245134</v>
      </c>
      <c r="Q16">
        <f t="shared" ref="Q16" si="56">F16*P16</f>
        <v>223.30601438849419</v>
      </c>
      <c r="R16">
        <f t="shared" ref="R16" si="57">R17+Q16</f>
        <v>-129184.39791875229</v>
      </c>
      <c r="S16">
        <f t="shared" ref="S16" si="58">R16/100000</f>
        <v>-1.2918439791875229</v>
      </c>
      <c r="T16">
        <f t="shared" ref="T16" si="59">S16/1000</f>
        <v>-1.2918439791875229E-3</v>
      </c>
    </row>
    <row r="17" spans="1:20" x14ac:dyDescent="0.25">
      <c r="A17" s="5">
        <v>44576</v>
      </c>
      <c r="B17">
        <v>560.20000000000005</v>
      </c>
      <c r="C17">
        <v>575</v>
      </c>
      <c r="D17">
        <v>553</v>
      </c>
      <c r="E17">
        <v>559.79999999999995</v>
      </c>
      <c r="F17">
        <v>1225.4090000000001</v>
      </c>
      <c r="G17">
        <v>559.79999999999995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-0.38181818181818594</v>
      </c>
      <c r="Q17">
        <f t="shared" ref="Q17" si="61">F17*P17</f>
        <v>-467.88343636364147</v>
      </c>
      <c r="R17">
        <f t="shared" ref="R17" si="62">R18+Q17</f>
        <v>-129407.70393314079</v>
      </c>
      <c r="S17">
        <f t="shared" ref="S17" si="63">R17/100000</f>
        <v>-1.2940770393314078</v>
      </c>
      <c r="T17">
        <f t="shared" ref="T17" si="64">S17/1000</f>
        <v>-1.2940770393314077E-3</v>
      </c>
    </row>
    <row r="18" spans="1:20" x14ac:dyDescent="0.25">
      <c r="A18" s="5">
        <v>44575</v>
      </c>
      <c r="B18">
        <v>551.79999999999995</v>
      </c>
      <c r="C18">
        <v>565</v>
      </c>
      <c r="D18">
        <v>500</v>
      </c>
      <c r="E18">
        <v>558.5</v>
      </c>
      <c r="F18">
        <v>1947.6679999999999</v>
      </c>
      <c r="G18">
        <v>558.5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0.8</v>
      </c>
      <c r="Q18">
        <f t="shared" ref="Q18" si="66">F18*P18</f>
        <v>1558.1343999999999</v>
      </c>
      <c r="R18">
        <f t="shared" ref="R18" si="67">R19+Q18</f>
        <v>-128939.82049677715</v>
      </c>
      <c r="S18">
        <f t="shared" ref="S18" si="68">R18/100000</f>
        <v>-1.2893982049677715</v>
      </c>
      <c r="T18">
        <f t="shared" ref="T18" si="69">S18/1000</f>
        <v>-1.2893982049677715E-3</v>
      </c>
    </row>
    <row r="19" spans="1:20" x14ac:dyDescent="0.25">
      <c r="A19" s="5">
        <v>44574</v>
      </c>
      <c r="B19">
        <v>581.5</v>
      </c>
      <c r="C19">
        <v>588</v>
      </c>
      <c r="D19">
        <v>550.1</v>
      </c>
      <c r="E19">
        <v>552.4</v>
      </c>
      <c r="F19">
        <v>2003.58</v>
      </c>
      <c r="G19">
        <v>552.4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-0.87862796833773316</v>
      </c>
      <c r="Q19">
        <f t="shared" ref="Q19" si="71">F19*P19</f>
        <v>-1760.4014248021153</v>
      </c>
      <c r="R19">
        <f t="shared" ref="R19" si="72">R20+Q19</f>
        <v>-130497.95489677714</v>
      </c>
      <c r="S19">
        <f t="shared" ref="S19" si="73">R19/100000</f>
        <v>-1.3049795489677714</v>
      </c>
      <c r="T19">
        <f t="shared" ref="T19" si="74">S19/1000</f>
        <v>-1.3049795489677714E-3</v>
      </c>
    </row>
    <row r="20" spans="1:20" x14ac:dyDescent="0.25">
      <c r="A20" s="5">
        <v>44573</v>
      </c>
      <c r="B20">
        <v>535.4</v>
      </c>
      <c r="C20">
        <v>609</v>
      </c>
      <c r="D20">
        <v>524.20000000000005</v>
      </c>
      <c r="E20">
        <v>581.9</v>
      </c>
      <c r="F20">
        <v>2940.06</v>
      </c>
      <c r="G20">
        <v>581.9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0.3608490566037727</v>
      </c>
      <c r="Q20">
        <f t="shared" ref="Q20" si="76">F20*P20</f>
        <v>1060.9178773584879</v>
      </c>
      <c r="R20">
        <f t="shared" ref="R20" si="77">R21+Q20</f>
        <v>-128737.55347197503</v>
      </c>
      <c r="S20">
        <f t="shared" ref="S20" si="78">R20/100000</f>
        <v>-1.2873755347197502</v>
      </c>
      <c r="T20">
        <f t="shared" ref="T20" si="79">S20/1000</f>
        <v>-1.2873755347197501E-3</v>
      </c>
    </row>
    <row r="21" spans="1:20" x14ac:dyDescent="0.25">
      <c r="A21" s="5">
        <v>44572</v>
      </c>
      <c r="B21">
        <v>506.2</v>
      </c>
      <c r="C21">
        <v>539.4</v>
      </c>
      <c r="D21">
        <v>502.4</v>
      </c>
      <c r="E21">
        <v>536</v>
      </c>
      <c r="F21">
        <v>1312.386</v>
      </c>
      <c r="G21">
        <v>536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0.81621621621621743</v>
      </c>
      <c r="Q21">
        <f t="shared" ref="Q21" si="81">F21*P21</f>
        <v>1071.1907351351367</v>
      </c>
      <c r="R21">
        <f t="shared" ref="R21" si="82">R22+Q21</f>
        <v>-129798.47134933351</v>
      </c>
      <c r="S21">
        <f t="shared" ref="S21" si="83">R21/100000</f>
        <v>-1.2979847134933351</v>
      </c>
      <c r="T21">
        <f t="shared" ref="T21" si="84">S21/1000</f>
        <v>-1.297984713493335E-3</v>
      </c>
    </row>
    <row r="22" spans="1:20" x14ac:dyDescent="0.25">
      <c r="A22" s="5">
        <v>44571</v>
      </c>
      <c r="B22">
        <v>541.4</v>
      </c>
      <c r="C22">
        <v>549</v>
      </c>
      <c r="D22">
        <v>482.6</v>
      </c>
      <c r="E22">
        <v>506.1</v>
      </c>
      <c r="F22">
        <v>1867.961</v>
      </c>
      <c r="G22">
        <v>506.1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-0.29216867469879493</v>
      </c>
      <c r="Q22">
        <f t="shared" ref="Q22" si="86">F22*P22</f>
        <v>-545.75968975903572</v>
      </c>
      <c r="R22">
        <f t="shared" ref="R22" si="87">R23+Q22</f>
        <v>-130869.66208446865</v>
      </c>
      <c r="S22">
        <f t="shared" ref="S22" si="88">R22/100000</f>
        <v>-1.3086966208446866</v>
      </c>
      <c r="T22">
        <f t="shared" ref="T22" si="89">S22/1000</f>
        <v>-1.3086966208446867E-3</v>
      </c>
    </row>
    <row r="23" spans="1:20" x14ac:dyDescent="0.25">
      <c r="A23" s="5">
        <v>44570</v>
      </c>
      <c r="B23">
        <v>532.1</v>
      </c>
      <c r="C23">
        <v>549</v>
      </c>
      <c r="D23">
        <v>520.1</v>
      </c>
      <c r="E23">
        <v>540.20000000000005</v>
      </c>
      <c r="F23">
        <v>1171.912</v>
      </c>
      <c r="G23">
        <v>540.20000000000005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0.39100346020761512</v>
      </c>
      <c r="Q23">
        <f t="shared" ref="Q23" si="91">F23*P23</f>
        <v>458.22164705882665</v>
      </c>
      <c r="R23">
        <f t="shared" ref="R23" si="92">R24+Q23</f>
        <v>-130323.90239470961</v>
      </c>
      <c r="S23">
        <f t="shared" ref="S23" si="93">R23/100000</f>
        <v>-1.3032390239470961</v>
      </c>
      <c r="T23">
        <f t="shared" ref="T23" si="94">S23/1000</f>
        <v>-1.3032390239470961E-3</v>
      </c>
    </row>
    <row r="24" spans="1:20" x14ac:dyDescent="0.25">
      <c r="A24" s="5">
        <v>44569</v>
      </c>
      <c r="B24">
        <v>551.5</v>
      </c>
      <c r="C24">
        <v>577.1</v>
      </c>
      <c r="D24">
        <v>508</v>
      </c>
      <c r="E24">
        <v>533</v>
      </c>
      <c r="F24">
        <v>2072.6849999999999</v>
      </c>
      <c r="G24">
        <v>533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-0.27641099855282225</v>
      </c>
      <c r="Q24">
        <f t="shared" ref="Q24" si="96">F24*P24</f>
        <v>-572.91293053545633</v>
      </c>
      <c r="R24">
        <f t="shared" ref="R24" si="97">R25+Q24</f>
        <v>-130782.12404176845</v>
      </c>
      <c r="S24">
        <f t="shared" ref="S24" si="98">R24/100000</f>
        <v>-1.3078212404176845</v>
      </c>
      <c r="T24">
        <f t="shared" ref="T24" si="99">S24/1000</f>
        <v>-1.3078212404176845E-3</v>
      </c>
    </row>
    <row r="25" spans="1:20" x14ac:dyDescent="0.25">
      <c r="A25" s="5">
        <v>44568</v>
      </c>
      <c r="B25">
        <v>589.1</v>
      </c>
      <c r="C25">
        <v>589.9</v>
      </c>
      <c r="D25">
        <v>535.9</v>
      </c>
      <c r="E25">
        <v>550.9</v>
      </c>
      <c r="F25">
        <v>2690.652</v>
      </c>
      <c r="G25">
        <v>550.9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-0.44444444444444442</v>
      </c>
      <c r="Q25">
        <f t="shared" ref="Q25" si="101">F25*P25</f>
        <v>-1195.8453333333332</v>
      </c>
      <c r="R25">
        <f t="shared" ref="R25" si="102">R26+Q25</f>
        <v>-130209.21111123299</v>
      </c>
      <c r="S25">
        <f t="shared" ref="S25" si="103">R25/100000</f>
        <v>-1.3020921111123298</v>
      </c>
      <c r="T25">
        <f t="shared" ref="T25" si="104">S25/1000</f>
        <v>-1.3020921111123298E-3</v>
      </c>
    </row>
    <row r="26" spans="1:20" x14ac:dyDescent="0.25">
      <c r="A26" s="5">
        <v>44567</v>
      </c>
      <c r="B26">
        <v>597.20000000000005</v>
      </c>
      <c r="C26">
        <v>620</v>
      </c>
      <c r="D26">
        <v>563.29999999999995</v>
      </c>
      <c r="E26">
        <v>588.1</v>
      </c>
      <c r="F26">
        <v>2768.0680000000002</v>
      </c>
      <c r="G26">
        <v>588.1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-0.12522045855379019</v>
      </c>
      <c r="Q26">
        <f t="shared" ref="Q26" si="106">F26*P26</f>
        <v>-346.61874426807293</v>
      </c>
      <c r="R26">
        <f t="shared" ref="R26" si="107">R27+Q26</f>
        <v>-129013.36577789966</v>
      </c>
      <c r="S26">
        <f t="shared" ref="S26" si="108">R26/100000</f>
        <v>-1.2901336577789966</v>
      </c>
      <c r="T26">
        <f t="shared" ref="T26" si="109">S26/1000</f>
        <v>-1.2901336577789966E-3</v>
      </c>
    </row>
    <row r="27" spans="1:20" x14ac:dyDescent="0.25">
      <c r="A27" s="5">
        <v>44566</v>
      </c>
      <c r="B27">
        <v>630.5</v>
      </c>
      <c r="C27">
        <v>653.29999999999995</v>
      </c>
      <c r="D27">
        <v>570</v>
      </c>
      <c r="E27">
        <v>597</v>
      </c>
      <c r="F27">
        <v>4411.7960000000003</v>
      </c>
      <c r="G27">
        <v>597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-0.35174069627851107</v>
      </c>
      <c r="Q27">
        <f t="shared" ref="Q27" si="111">F27*P27</f>
        <v>-1551.8081968787501</v>
      </c>
      <c r="R27">
        <f t="shared" ref="R27" si="112">R28+Q27</f>
        <v>-128666.74703363159</v>
      </c>
      <c r="S27">
        <f t="shared" ref="S27" si="113">R27/100000</f>
        <v>-1.2866674703363159</v>
      </c>
      <c r="T27">
        <f t="shared" ref="T27" si="114">S27/1000</f>
        <v>-1.2866674703363159E-3</v>
      </c>
    </row>
    <row r="28" spans="1:20" x14ac:dyDescent="0.25">
      <c r="A28" s="5">
        <v>44565</v>
      </c>
      <c r="B28">
        <v>623.20000000000005</v>
      </c>
      <c r="C28">
        <v>659</v>
      </c>
      <c r="D28">
        <v>615</v>
      </c>
      <c r="E28">
        <v>630</v>
      </c>
      <c r="F28">
        <v>3788.0250000000001</v>
      </c>
      <c r="G28">
        <v>630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-0.31818181818181818</v>
      </c>
      <c r="Q28">
        <f t="shared" ref="Q28" si="116">F28*P28</f>
        <v>-1205.2806818181818</v>
      </c>
      <c r="R28">
        <f t="shared" ref="R28" si="117">R29+Q28</f>
        <v>-127114.93883675284</v>
      </c>
      <c r="S28">
        <f t="shared" ref="S28" si="118">R28/100000</f>
        <v>-1.2711493883675284</v>
      </c>
      <c r="T28">
        <f t="shared" ref="T28" si="119">S28/1000</f>
        <v>-1.2711493883675285E-3</v>
      </c>
    </row>
    <row r="29" spans="1:20" x14ac:dyDescent="0.25">
      <c r="A29" s="5">
        <v>44564</v>
      </c>
      <c r="B29">
        <v>647.6</v>
      </c>
      <c r="C29">
        <v>648.4</v>
      </c>
      <c r="D29">
        <v>607</v>
      </c>
      <c r="E29">
        <v>621.4</v>
      </c>
      <c r="F29">
        <v>3029.2130000000002</v>
      </c>
      <c r="G29">
        <v>621.4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-0.30434782608695726</v>
      </c>
      <c r="Q29">
        <f t="shared" ref="Q29" si="121">F29*P29</f>
        <v>-921.93439130435013</v>
      </c>
      <c r="R29">
        <f t="shared" ref="R29" si="122">R30+Q29</f>
        <v>-125909.65815493466</v>
      </c>
      <c r="S29">
        <f t="shared" ref="S29" si="123">R29/100000</f>
        <v>-1.2590965815493467</v>
      </c>
      <c r="T29">
        <f t="shared" ref="T29" si="124">S29/1000</f>
        <v>-1.2590965815493466E-3</v>
      </c>
    </row>
    <row r="30" spans="1:20" x14ac:dyDescent="0.25">
      <c r="A30" s="5">
        <v>44563</v>
      </c>
      <c r="B30">
        <v>646.5</v>
      </c>
      <c r="C30">
        <v>649</v>
      </c>
      <c r="D30">
        <v>616.29999999999995</v>
      </c>
      <c r="E30">
        <v>645.4</v>
      </c>
      <c r="F30">
        <v>2849.6480000000001</v>
      </c>
      <c r="G30">
        <v>645.4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0.77981651376146677</v>
      </c>
      <c r="Q30">
        <f t="shared" ref="Q30" si="126">F30*P30</f>
        <v>2222.2025688073363</v>
      </c>
      <c r="R30">
        <f t="shared" ref="R30" si="127">R31+Q30</f>
        <v>-124987.7237636303</v>
      </c>
      <c r="S30">
        <f t="shared" ref="S30" si="128">R30/100000</f>
        <v>-1.249877237636303</v>
      </c>
      <c r="T30">
        <f t="shared" ref="T30" si="129">S30/1000</f>
        <v>-1.2498772376363029E-3</v>
      </c>
    </row>
    <row r="31" spans="1:20" x14ac:dyDescent="0.25">
      <c r="A31" s="5">
        <v>44562</v>
      </c>
      <c r="B31">
        <v>596.70000000000005</v>
      </c>
      <c r="C31">
        <v>661.7</v>
      </c>
      <c r="D31">
        <v>596.70000000000005</v>
      </c>
      <c r="E31">
        <v>646.5</v>
      </c>
      <c r="F31">
        <v>5269.0929999999998</v>
      </c>
      <c r="G31">
        <v>646.5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0.53230769230769093</v>
      </c>
      <c r="Q31">
        <f t="shared" ref="Q31" si="131">F31*P31</f>
        <v>2804.7787353846079</v>
      </c>
      <c r="R31">
        <f t="shared" ref="R31" si="132">R32+Q31</f>
        <v>-127209.92633243764</v>
      </c>
      <c r="S31">
        <f t="shared" ref="S31" si="133">R31/100000</f>
        <v>-1.2720992633243764</v>
      </c>
      <c r="T31">
        <f t="shared" ref="T31" si="134">S31/1000</f>
        <v>-1.2720992633243765E-3</v>
      </c>
    </row>
    <row r="32" spans="1:20" x14ac:dyDescent="0.25">
      <c r="A32" s="5">
        <v>44561</v>
      </c>
      <c r="B32">
        <v>617.79999999999995</v>
      </c>
      <c r="C32">
        <v>636.1</v>
      </c>
      <c r="D32">
        <v>582.70000000000005</v>
      </c>
      <c r="E32">
        <v>597.5</v>
      </c>
      <c r="F32">
        <v>4029.558</v>
      </c>
      <c r="G32">
        <v>597.5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-0.44569288389513256</v>
      </c>
      <c r="Q32">
        <f t="shared" ref="Q32" si="136">F32*P32</f>
        <v>-1795.9453258427027</v>
      </c>
      <c r="R32">
        <f t="shared" ref="R32" si="137">R33+Q32</f>
        <v>-130014.70506782224</v>
      </c>
      <c r="S32">
        <f t="shared" ref="S32" si="138">R32/100000</f>
        <v>-1.3001470506782224</v>
      </c>
      <c r="T32">
        <f t="shared" ref="T32" si="139">S32/1000</f>
        <v>-1.3001470506782224E-3</v>
      </c>
    </row>
    <row r="33" spans="1:20" x14ac:dyDescent="0.25">
      <c r="A33" s="5">
        <v>44560</v>
      </c>
      <c r="B33">
        <v>627.1</v>
      </c>
      <c r="C33">
        <v>636.20000000000005</v>
      </c>
      <c r="D33">
        <v>608.4</v>
      </c>
      <c r="E33">
        <v>619</v>
      </c>
      <c r="F33">
        <v>3478.0169999999998</v>
      </c>
      <c r="G33">
        <v>619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-0.23741007194244629</v>
      </c>
      <c r="Q33">
        <f t="shared" ref="Q33" si="141">F33*P33</f>
        <v>-825.71626618705113</v>
      </c>
      <c r="R33">
        <f t="shared" ref="R33" si="142">R34+Q33</f>
        <v>-128218.75974197953</v>
      </c>
      <c r="S33">
        <f t="shared" ref="S33" si="143">R33/100000</f>
        <v>-1.2821875974197954</v>
      </c>
      <c r="T33">
        <f t="shared" ref="T33" si="144">S33/1000</f>
        <v>-1.2821875974197954E-3</v>
      </c>
    </row>
    <row r="34" spans="1:20" x14ac:dyDescent="0.25">
      <c r="A34" s="5">
        <v>44559</v>
      </c>
      <c r="B34">
        <v>714.4</v>
      </c>
      <c r="C34">
        <v>800</v>
      </c>
      <c r="D34">
        <v>617.20000000000005</v>
      </c>
      <c r="E34">
        <v>627</v>
      </c>
      <c r="F34">
        <v>14226.118</v>
      </c>
      <c r="G34">
        <v>627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-0.89277899343544909</v>
      </c>
      <c r="Q34">
        <f t="shared" ref="Q34" si="146">F34*P34</f>
        <v>-12700.779308533924</v>
      </c>
      <c r="R34">
        <f t="shared" ref="R34" si="147">R35+Q34</f>
        <v>-127393.04347579248</v>
      </c>
      <c r="S34">
        <f t="shared" ref="S34" si="148">R34/100000</f>
        <v>-1.2739304347579248</v>
      </c>
      <c r="T34">
        <f t="shared" ref="T34" si="149">S34/1000</f>
        <v>-1.2739304347579247E-3</v>
      </c>
    </row>
    <row r="35" spans="1:20" x14ac:dyDescent="0.25">
      <c r="A35" s="5">
        <v>44558</v>
      </c>
      <c r="B35">
        <v>647.5</v>
      </c>
      <c r="C35">
        <v>810</v>
      </c>
      <c r="D35">
        <v>598.1</v>
      </c>
      <c r="E35">
        <v>716.4</v>
      </c>
      <c r="F35">
        <v>23778.401999999998</v>
      </c>
      <c r="G35">
        <v>716.4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0.1165644171779138</v>
      </c>
      <c r="Q35">
        <f t="shared" ref="Q35" si="151">F35*P35</f>
        <v>2771.7155705521395</v>
      </c>
      <c r="R35">
        <f t="shared" ref="R35" si="152">R36+Q35</f>
        <v>-114692.26416725856</v>
      </c>
      <c r="S35">
        <f t="shared" ref="S35" si="153">R35/100000</f>
        <v>-1.1469226416725855</v>
      </c>
      <c r="T35">
        <f t="shared" ref="T35" si="154">S35/1000</f>
        <v>-1.1469226416725856E-3</v>
      </c>
    </row>
    <row r="36" spans="1:20" x14ac:dyDescent="0.25">
      <c r="A36" s="5">
        <v>44557</v>
      </c>
      <c r="B36">
        <v>650.4</v>
      </c>
      <c r="C36">
        <v>681.1</v>
      </c>
      <c r="D36">
        <v>646.4</v>
      </c>
      <c r="E36">
        <v>648</v>
      </c>
      <c r="F36">
        <v>2704.7559999999999</v>
      </c>
      <c r="G36">
        <v>648</v>
      </c>
      <c r="L36" t="s">
        <v>7</v>
      </c>
      <c r="M36" t="s">
        <v>7</v>
      </c>
      <c r="N36" t="s">
        <v>7</v>
      </c>
      <c r="P36">
        <f t="shared" ref="P36" si="155">IF(C36=D36,0,((E36-D36)-(C36-E36))/(C36-D36))</f>
        <v>-0.90778097982708816</v>
      </c>
      <c r="Q36">
        <f t="shared" ref="Q36" si="156">F36*P36</f>
        <v>-2455.3260518731954</v>
      </c>
      <c r="R36">
        <f t="shared" ref="R36" si="157">R37+Q36</f>
        <v>-117463.9797378107</v>
      </c>
      <c r="S36">
        <f t="shared" ref="S36" si="158">R36/100000</f>
        <v>-1.1746397973781071</v>
      </c>
      <c r="T36">
        <f t="shared" ref="T36" si="159">S36/1000</f>
        <v>-1.174639797378107E-3</v>
      </c>
    </row>
    <row r="37" spans="1:20" x14ac:dyDescent="0.25">
      <c r="A37" s="5">
        <v>44556</v>
      </c>
      <c r="B37">
        <v>664.1</v>
      </c>
      <c r="C37">
        <v>676.7</v>
      </c>
      <c r="D37">
        <v>641.9</v>
      </c>
      <c r="E37">
        <v>650.29999999999995</v>
      </c>
      <c r="F37">
        <v>2983.2310000000002</v>
      </c>
      <c r="G37">
        <v>650.29999999999995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-0.51724137931034708</v>
      </c>
      <c r="Q37">
        <f t="shared" ref="Q37" si="161">F37*P37</f>
        <v>-1543.0505172413862</v>
      </c>
      <c r="R37">
        <f t="shared" ref="R37" si="162">R38+Q37</f>
        <v>-115008.6536859375</v>
      </c>
      <c r="S37">
        <f t="shared" ref="S37" si="163">R37/100000</f>
        <v>-1.1500865368593751</v>
      </c>
      <c r="T37">
        <f t="shared" ref="T37" si="164">S37/1000</f>
        <v>-1.1500865368593751E-3</v>
      </c>
    </row>
    <row r="38" spans="1:20" x14ac:dyDescent="0.25">
      <c r="A38" s="5">
        <v>44555</v>
      </c>
      <c r="B38">
        <v>657.1</v>
      </c>
      <c r="C38">
        <v>678.3</v>
      </c>
      <c r="D38">
        <v>651</v>
      </c>
      <c r="E38">
        <v>664.2</v>
      </c>
      <c r="F38">
        <v>1033.0060000000001</v>
      </c>
      <c r="G38">
        <v>664.2</v>
      </c>
      <c r="L38" t="s">
        <v>7</v>
      </c>
      <c r="M38" t="s">
        <v>7</v>
      </c>
      <c r="N38" t="s">
        <v>7</v>
      </c>
      <c r="P38">
        <f t="shared" ref="P38" si="165">IF(C38=D38,0,((E38-D38)-(C38-E38))/(C38-D38))</f>
        <v>-3.2967032967028027E-2</v>
      </c>
      <c r="Q38">
        <f t="shared" ref="Q38" si="166">F38*P38</f>
        <v>-34.05514285713776</v>
      </c>
      <c r="R38">
        <f t="shared" ref="R38" si="167">R39+Q38</f>
        <v>-113465.60316869612</v>
      </c>
      <c r="S38">
        <f t="shared" ref="S38" si="168">R38/100000</f>
        <v>-1.1346560316869612</v>
      </c>
      <c r="T38">
        <f t="shared" ref="T38" si="169">S38/1000</f>
        <v>-1.1346560316869612E-3</v>
      </c>
    </row>
    <row r="39" spans="1:20" x14ac:dyDescent="0.25">
      <c r="A39" s="5">
        <v>44554</v>
      </c>
      <c r="B39">
        <v>662.5</v>
      </c>
      <c r="C39">
        <v>710.7</v>
      </c>
      <c r="D39">
        <v>650</v>
      </c>
      <c r="E39">
        <v>655.1</v>
      </c>
      <c r="F39">
        <v>4814.8890000000001</v>
      </c>
      <c r="G39">
        <v>655.1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-0.83196046128500767</v>
      </c>
      <c r="Q39">
        <f t="shared" ref="Q39" si="171">F39*P39</f>
        <v>-4005.7972734761092</v>
      </c>
      <c r="R39">
        <f t="shared" ref="R39" si="172">R40+Q39</f>
        <v>-113431.54802583899</v>
      </c>
      <c r="S39">
        <f t="shared" ref="S39" si="173">R39/100000</f>
        <v>-1.1343154802583899</v>
      </c>
      <c r="T39">
        <f t="shared" ref="T39" si="174">S39/1000</f>
        <v>-1.1343154802583898E-3</v>
      </c>
    </row>
    <row r="40" spans="1:20" x14ac:dyDescent="0.25">
      <c r="A40" s="5">
        <v>44553</v>
      </c>
      <c r="B40">
        <v>625.6</v>
      </c>
      <c r="C40">
        <v>676.1</v>
      </c>
      <c r="D40">
        <v>613.20000000000005</v>
      </c>
      <c r="E40">
        <v>662.3</v>
      </c>
      <c r="F40">
        <v>2421.1390000000001</v>
      </c>
      <c r="G40">
        <v>662.3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0.56120826709061766</v>
      </c>
      <c r="Q40">
        <f t="shared" ref="Q40" si="176">F40*P40</f>
        <v>1358.763222575511</v>
      </c>
      <c r="R40">
        <f t="shared" ref="R40" si="177">R41+Q40</f>
        <v>-109425.75075236287</v>
      </c>
      <c r="S40">
        <f t="shared" ref="S40" si="178">R40/100000</f>
        <v>-1.0942575075236287</v>
      </c>
      <c r="T40">
        <f t="shared" ref="T40" si="179">S40/1000</f>
        <v>-1.0942575075236288E-3</v>
      </c>
    </row>
    <row r="41" spans="1:20" x14ac:dyDescent="0.25">
      <c r="A41" s="5">
        <v>44552</v>
      </c>
      <c r="B41">
        <v>606.4</v>
      </c>
      <c r="C41">
        <v>756</v>
      </c>
      <c r="D41">
        <v>602.1</v>
      </c>
      <c r="E41">
        <v>625</v>
      </c>
      <c r="F41">
        <v>12403.635</v>
      </c>
      <c r="G41">
        <v>625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-0.70240415854450966</v>
      </c>
      <c r="Q41">
        <f t="shared" ref="Q41" si="181">F41*P41</f>
        <v>-8712.3648050682295</v>
      </c>
      <c r="R41">
        <f t="shared" ref="R41" si="182">R42+Q41</f>
        <v>-110784.51397493838</v>
      </c>
      <c r="S41">
        <f t="shared" ref="S41" si="183">R41/100000</f>
        <v>-1.1078451397493838</v>
      </c>
      <c r="T41">
        <f t="shared" ref="T41" si="184">S41/1000</f>
        <v>-1.1078451397493838E-3</v>
      </c>
    </row>
    <row r="42" spans="1:20" x14ac:dyDescent="0.25">
      <c r="A42" s="5">
        <v>44551</v>
      </c>
      <c r="B42">
        <v>584.6</v>
      </c>
      <c r="C42">
        <v>614.70000000000005</v>
      </c>
      <c r="D42">
        <v>577.79999999999995</v>
      </c>
      <c r="E42">
        <v>607</v>
      </c>
      <c r="F42">
        <v>1844.895</v>
      </c>
      <c r="G42">
        <v>607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0.5826558265582642</v>
      </c>
      <c r="Q42">
        <f t="shared" ref="Q42" si="186">F42*P42</f>
        <v>1074.9388211382088</v>
      </c>
      <c r="R42">
        <f t="shared" ref="R42" si="187">R43+Q42</f>
        <v>-102072.14916987016</v>
      </c>
      <c r="S42">
        <f t="shared" ref="S42" si="188">R42/100000</f>
        <v>-1.0207214916987015</v>
      </c>
      <c r="T42">
        <f t="shared" ref="T42" si="189">S42/1000</f>
        <v>-1.0207214916987015E-3</v>
      </c>
    </row>
    <row r="43" spans="1:20" x14ac:dyDescent="0.25">
      <c r="A43" s="5">
        <v>44550</v>
      </c>
      <c r="B43">
        <v>610</v>
      </c>
      <c r="C43">
        <v>620.5</v>
      </c>
      <c r="D43">
        <v>563.1</v>
      </c>
      <c r="E43">
        <v>584.4</v>
      </c>
      <c r="F43">
        <v>2836.672</v>
      </c>
      <c r="G43">
        <v>584.4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-0.25783972125435667</v>
      </c>
      <c r="Q43">
        <f t="shared" ref="Q43" si="191">F43*P43</f>
        <v>-731.40671777003843</v>
      </c>
      <c r="R43">
        <f t="shared" ref="R43" si="192">R44+Q43</f>
        <v>-103147.08799100836</v>
      </c>
      <c r="S43">
        <f t="shared" ref="S43" si="193">R43/100000</f>
        <v>-1.0314708799100836</v>
      </c>
      <c r="T43">
        <f t="shared" ref="T43" si="194">S43/1000</f>
        <v>-1.0314708799100836E-3</v>
      </c>
    </row>
    <row r="44" spans="1:20" x14ac:dyDescent="0.25">
      <c r="A44" s="5">
        <v>44549</v>
      </c>
      <c r="B44">
        <v>635.1</v>
      </c>
      <c r="C44">
        <v>643</v>
      </c>
      <c r="D44">
        <v>609.79999999999995</v>
      </c>
      <c r="E44">
        <v>612.70000000000005</v>
      </c>
      <c r="F44">
        <v>1592.873</v>
      </c>
      <c r="G44">
        <v>612.70000000000005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-0.82530120481927183</v>
      </c>
      <c r="Q44">
        <f t="shared" ref="Q44" si="196">F44*P44</f>
        <v>-1314.6000060240881</v>
      </c>
      <c r="R44">
        <f t="shared" ref="R44" si="197">R45+Q44</f>
        <v>-102415.68127323833</v>
      </c>
      <c r="S44">
        <f t="shared" ref="S44" si="198">R44/100000</f>
        <v>-1.0241568127323832</v>
      </c>
      <c r="T44">
        <f t="shared" ref="T44" si="199">S44/1000</f>
        <v>-1.0241568127323832E-3</v>
      </c>
    </row>
    <row r="45" spans="1:20" x14ac:dyDescent="0.25">
      <c r="A45" s="5">
        <v>44548</v>
      </c>
      <c r="B45">
        <v>616.6</v>
      </c>
      <c r="C45">
        <v>668</v>
      </c>
      <c r="D45">
        <v>603.1</v>
      </c>
      <c r="E45">
        <v>633.20000000000005</v>
      </c>
      <c r="F45">
        <v>2396.3679999999999</v>
      </c>
      <c r="G45">
        <v>633.20000000000005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-7.2419106317410373E-2</v>
      </c>
      <c r="Q45">
        <f t="shared" ref="Q45" si="201">F45*P45</f>
        <v>-173.54282896764005</v>
      </c>
      <c r="R45">
        <f t="shared" ref="R45" si="202">R46+Q45</f>
        <v>-101101.08126721423</v>
      </c>
      <c r="S45">
        <f t="shared" ref="S45" si="203">R45/100000</f>
        <v>-1.0110108126721424</v>
      </c>
      <c r="T45">
        <f t="shared" ref="T45" si="204">S45/1000</f>
        <v>-1.0110108126721424E-3</v>
      </c>
    </row>
    <row r="46" spans="1:20" x14ac:dyDescent="0.25">
      <c r="A46" s="5">
        <v>44547</v>
      </c>
      <c r="B46">
        <v>608.70000000000005</v>
      </c>
      <c r="C46">
        <v>650</v>
      </c>
      <c r="D46">
        <v>587</v>
      </c>
      <c r="E46">
        <v>615</v>
      </c>
      <c r="F46">
        <v>2856.6120000000001</v>
      </c>
      <c r="G46">
        <v>615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-0.1111111111111111</v>
      </c>
      <c r="Q46">
        <f t="shared" ref="Q46" si="206">F46*P46</f>
        <v>-317.4013333333333</v>
      </c>
      <c r="R46">
        <f t="shared" ref="R46" si="207">R47+Q46</f>
        <v>-100927.5384382466</v>
      </c>
      <c r="S46">
        <f t="shared" ref="S46" si="208">R46/100000</f>
        <v>-1.009275384382466</v>
      </c>
      <c r="T46">
        <f t="shared" ref="T46" si="209">S46/1000</f>
        <v>-1.009275384382466E-3</v>
      </c>
    </row>
    <row r="47" spans="1:20" x14ac:dyDescent="0.25">
      <c r="A47" s="5">
        <v>44546</v>
      </c>
      <c r="B47">
        <v>628.6</v>
      </c>
      <c r="C47">
        <v>649.70000000000005</v>
      </c>
      <c r="D47">
        <v>606</v>
      </c>
      <c r="E47">
        <v>608.29999999999995</v>
      </c>
      <c r="F47">
        <v>1365.585</v>
      </c>
      <c r="G47">
        <v>608.29999999999995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-0.89473684210526538</v>
      </c>
      <c r="Q47">
        <f t="shared" ref="Q47" si="211">F47*P47</f>
        <v>-1221.8392105263188</v>
      </c>
      <c r="R47">
        <f t="shared" ref="R47" si="212">R48+Q47</f>
        <v>-100610.13710491327</v>
      </c>
      <c r="S47">
        <f t="shared" ref="S47" si="213">R47/100000</f>
        <v>-1.0061013710491327</v>
      </c>
      <c r="T47">
        <f t="shared" ref="T47" si="214">S47/1000</f>
        <v>-1.0061013710491327E-3</v>
      </c>
    </row>
    <row r="48" spans="1:20" x14ac:dyDescent="0.25">
      <c r="A48" s="5">
        <v>44545</v>
      </c>
      <c r="B48">
        <v>614.4</v>
      </c>
      <c r="C48">
        <v>650</v>
      </c>
      <c r="D48">
        <v>584.20000000000005</v>
      </c>
      <c r="E48">
        <v>628.5</v>
      </c>
      <c r="F48">
        <v>2066.942</v>
      </c>
      <c r="G48">
        <v>628.5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0.34650455927051627</v>
      </c>
      <c r="Q48">
        <f t="shared" ref="Q48" si="216">F48*P48</f>
        <v>716.20482674771938</v>
      </c>
      <c r="R48">
        <f t="shared" ref="R48" si="217">R49+Q48</f>
        <v>-99388.297894386953</v>
      </c>
      <c r="S48">
        <f t="shared" ref="S48" si="218">R48/100000</f>
        <v>-0.99388297894386957</v>
      </c>
      <c r="T48">
        <f t="shared" ref="T48" si="219">S48/1000</f>
        <v>-9.9388297894386951E-4</v>
      </c>
    </row>
    <row r="49" spans="1:20" x14ac:dyDescent="0.25">
      <c r="A49" s="5">
        <v>44544</v>
      </c>
      <c r="B49">
        <v>616.4</v>
      </c>
      <c r="C49">
        <v>647.9</v>
      </c>
      <c r="D49">
        <v>576.6</v>
      </c>
      <c r="E49">
        <v>614.29999999999995</v>
      </c>
      <c r="F49">
        <v>3491.2682399999999</v>
      </c>
      <c r="G49">
        <v>614.29999999999995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5.7503506311359212E-2</v>
      </c>
      <c r="Q49">
        <f t="shared" ref="Q49" si="221">F49*P49</f>
        <v>200.76016527348796</v>
      </c>
      <c r="R49">
        <f t="shared" ref="R49" si="222">R50+Q49</f>
        <v>-100104.50272113468</v>
      </c>
      <c r="S49">
        <f t="shared" ref="S49" si="223">R49/100000</f>
        <v>-1.0010450272113467</v>
      </c>
      <c r="T49">
        <f t="shared" ref="T49" si="224">S49/1000</f>
        <v>-1.0010450272113468E-3</v>
      </c>
    </row>
    <row r="50" spans="1:20" x14ac:dyDescent="0.25">
      <c r="A50" s="5">
        <v>44543</v>
      </c>
      <c r="B50">
        <v>682</v>
      </c>
      <c r="C50">
        <v>686.6</v>
      </c>
      <c r="D50">
        <v>603.1</v>
      </c>
      <c r="E50">
        <v>616.4</v>
      </c>
      <c r="F50">
        <v>1958.4639999999999</v>
      </c>
      <c r="G50">
        <v>616.4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-0.68143712574850412</v>
      </c>
      <c r="Q50">
        <f t="shared" ref="Q50" si="226">F50*P50</f>
        <v>-1334.5700790419182</v>
      </c>
      <c r="R50">
        <f t="shared" ref="R50" si="227">R51+Q50</f>
        <v>-100305.26288640816</v>
      </c>
      <c r="S50">
        <f t="shared" ref="S50" si="228">R50/100000</f>
        <v>-1.0030526288640815</v>
      </c>
      <c r="T50">
        <f t="shared" ref="T50" si="229">S50/1000</f>
        <v>-1.0030526288640816E-3</v>
      </c>
    </row>
    <row r="51" spans="1:20" x14ac:dyDescent="0.25">
      <c r="A51" s="5">
        <v>44542</v>
      </c>
      <c r="B51">
        <v>683.7</v>
      </c>
      <c r="C51">
        <v>701.4</v>
      </c>
      <c r="D51">
        <v>661.8</v>
      </c>
      <c r="E51">
        <v>682</v>
      </c>
      <c r="F51">
        <v>1839.6990000000001</v>
      </c>
      <c r="G51">
        <v>682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2.0202020202021914E-2</v>
      </c>
      <c r="Q51">
        <f t="shared" ref="Q51" si="231">F51*P51</f>
        <v>37.165636363639514</v>
      </c>
      <c r="R51">
        <f t="shared" ref="R51" si="232">R52+Q51</f>
        <v>-98970.692807366242</v>
      </c>
      <c r="S51">
        <f t="shared" ref="S51" si="233">R51/100000</f>
        <v>-0.98970692807366245</v>
      </c>
      <c r="T51">
        <f t="shared" ref="T51" si="234">S51/1000</f>
        <v>-9.8970692807366254E-4</v>
      </c>
    </row>
    <row r="52" spans="1:20" x14ac:dyDescent="0.25">
      <c r="A52" s="5">
        <v>44541</v>
      </c>
      <c r="B52">
        <v>648.5</v>
      </c>
      <c r="C52">
        <v>662</v>
      </c>
      <c r="D52">
        <v>640</v>
      </c>
      <c r="E52">
        <v>656.6</v>
      </c>
      <c r="F52">
        <v>39.951000000000001</v>
      </c>
      <c r="G52">
        <v>656.6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0.50909090909091115</v>
      </c>
      <c r="Q52">
        <f t="shared" ref="Q52" si="236">F52*P52</f>
        <v>20.338690909090992</v>
      </c>
      <c r="R52">
        <f t="shared" ref="R52" si="237">R53+Q52</f>
        <v>-99007.858443729885</v>
      </c>
      <c r="S52">
        <f t="shared" ref="S52" si="238">R52/100000</f>
        <v>-0.9900785844372989</v>
      </c>
      <c r="T52">
        <f t="shared" ref="T52" si="239">S52/1000</f>
        <v>-9.9007858443729883E-4</v>
      </c>
    </row>
    <row r="53" spans="1:20" x14ac:dyDescent="0.25">
      <c r="A53" s="5">
        <v>44540</v>
      </c>
      <c r="B53">
        <v>693.7</v>
      </c>
      <c r="C53">
        <v>712.3</v>
      </c>
      <c r="D53">
        <v>646.29999999999995</v>
      </c>
      <c r="E53">
        <v>648.5</v>
      </c>
      <c r="F53">
        <v>2065.6239999999998</v>
      </c>
      <c r="G53">
        <v>648.5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-0.9333333333333319</v>
      </c>
      <c r="Q53">
        <f t="shared" ref="Q53" si="241">F53*P53</f>
        <v>-1927.9157333333301</v>
      </c>
      <c r="R53">
        <f t="shared" ref="R53" si="242">R54+Q53</f>
        <v>-99028.197134638976</v>
      </c>
      <c r="S53">
        <f t="shared" ref="S53" si="243">R53/100000</f>
        <v>-0.99028197134638973</v>
      </c>
      <c r="T53">
        <f t="shared" ref="T53" si="244">S53/1000</f>
        <v>-9.902819713463898E-4</v>
      </c>
    </row>
    <row r="54" spans="1:20" x14ac:dyDescent="0.25">
      <c r="A54" s="5">
        <v>44539</v>
      </c>
      <c r="B54">
        <v>757.5</v>
      </c>
      <c r="C54">
        <v>764.9</v>
      </c>
      <c r="D54">
        <v>680</v>
      </c>
      <c r="E54">
        <v>692.8</v>
      </c>
      <c r="F54">
        <v>2041.3879999999999</v>
      </c>
      <c r="G54">
        <v>692.8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-0.69846878680801039</v>
      </c>
      <c r="Q54">
        <f t="shared" ref="Q54" si="246">F54*P54</f>
        <v>-1425.8457997644307</v>
      </c>
      <c r="R54">
        <f t="shared" ref="R54" si="247">R55+Q54</f>
        <v>-97100.281401305649</v>
      </c>
      <c r="S54">
        <f t="shared" ref="S54" si="248">R54/100000</f>
        <v>-0.97100281401305644</v>
      </c>
      <c r="T54">
        <f t="shared" ref="T54" si="249">S54/1000</f>
        <v>-9.7100281401305639E-4</v>
      </c>
    </row>
    <row r="55" spans="1:20" x14ac:dyDescent="0.25">
      <c r="A55" s="5">
        <v>44538</v>
      </c>
      <c r="B55">
        <v>761.9</v>
      </c>
      <c r="C55">
        <v>769.9</v>
      </c>
      <c r="D55">
        <v>725</v>
      </c>
      <c r="E55">
        <v>757.4</v>
      </c>
      <c r="F55">
        <v>1799.47</v>
      </c>
      <c r="G55">
        <v>757.4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0.44320712694877479</v>
      </c>
      <c r="Q55">
        <f t="shared" ref="Q55" si="251">F55*P55</f>
        <v>797.53792873051179</v>
      </c>
      <c r="R55">
        <f t="shared" ref="R55" si="252">R56+Q55</f>
        <v>-95674.43560154122</v>
      </c>
      <c r="S55">
        <f t="shared" ref="S55" si="253">R55/100000</f>
        <v>-0.95674435601541219</v>
      </c>
      <c r="T55">
        <f t="shared" ref="T55" si="254">S55/1000</f>
        <v>-9.5674435601541218E-4</v>
      </c>
    </row>
    <row r="56" spans="1:20" x14ac:dyDescent="0.25">
      <c r="A56" s="5">
        <v>44537</v>
      </c>
      <c r="B56">
        <v>770.8</v>
      </c>
      <c r="C56">
        <v>804.9</v>
      </c>
      <c r="D56">
        <v>750.9</v>
      </c>
      <c r="E56">
        <v>761.9</v>
      </c>
      <c r="F56">
        <v>3242.5390000000002</v>
      </c>
      <c r="G56">
        <v>761.9</v>
      </c>
      <c r="L56" t="s">
        <v>7</v>
      </c>
      <c r="M56" t="s">
        <v>7</v>
      </c>
      <c r="N56" t="s">
        <v>8</v>
      </c>
      <c r="P56">
        <f t="shared" ref="P56" si="255">IF(C56=D56,0,((E56-D56)-(C56-E56))/(C56-D56))</f>
        <v>-0.59259259259259256</v>
      </c>
      <c r="Q56">
        <f t="shared" ref="Q56" si="256">F56*P56</f>
        <v>-1921.5045925925926</v>
      </c>
      <c r="R56">
        <f t="shared" ref="R56" si="257">R57+Q56</f>
        <v>-96471.973530271731</v>
      </c>
      <c r="S56">
        <f t="shared" ref="S56" si="258">R56/100000</f>
        <v>-0.96471973530271726</v>
      </c>
      <c r="T56">
        <f t="shared" ref="T56" si="259">S56/1000</f>
        <v>-9.6471973530271721E-4</v>
      </c>
    </row>
    <row r="57" spans="1:20" x14ac:dyDescent="0.25">
      <c r="A57" s="5">
        <v>44536</v>
      </c>
      <c r="B57">
        <v>813.2</v>
      </c>
      <c r="C57">
        <v>895</v>
      </c>
      <c r="D57">
        <v>724.8</v>
      </c>
      <c r="E57">
        <v>771.3</v>
      </c>
      <c r="F57">
        <v>16904.445</v>
      </c>
      <c r="G57">
        <v>771.3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-0.45358401880141025</v>
      </c>
      <c r="Q57">
        <f t="shared" ref="Q57" si="261">F57*P57</f>
        <v>-7667.5860987074057</v>
      </c>
      <c r="R57">
        <f t="shared" ref="R57" si="262">R58+Q57</f>
        <v>-94550.468937679136</v>
      </c>
      <c r="S57">
        <f t="shared" ref="S57" si="263">R57/100000</f>
        <v>-0.94550468937679133</v>
      </c>
      <c r="T57">
        <f t="shared" ref="T57" si="264">S57/1000</f>
        <v>-9.4550468937679133E-4</v>
      </c>
    </row>
    <row r="58" spans="1:20" x14ac:dyDescent="0.25">
      <c r="A58" s="5">
        <v>44535</v>
      </c>
      <c r="B58">
        <v>752.8</v>
      </c>
      <c r="C58">
        <v>861</v>
      </c>
      <c r="D58">
        <v>737.7</v>
      </c>
      <c r="E58">
        <v>810.5</v>
      </c>
      <c r="F58">
        <v>4385.6549999999997</v>
      </c>
      <c r="G58">
        <v>810.5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0.18085969180859662</v>
      </c>
      <c r="Q58">
        <f t="shared" ref="Q58" si="266">F58*P58</f>
        <v>793.18821167883073</v>
      </c>
      <c r="R58">
        <f t="shared" ref="R58" si="267">R59+Q58</f>
        <v>-86882.882838971724</v>
      </c>
      <c r="S58">
        <f t="shared" ref="S58" si="268">R58/100000</f>
        <v>-0.8688288283897172</v>
      </c>
      <c r="T58">
        <f t="shared" ref="T58" si="269">S58/1000</f>
        <v>-8.6882882838971716E-4</v>
      </c>
    </row>
    <row r="59" spans="1:20" x14ac:dyDescent="0.25">
      <c r="A59" s="5">
        <v>44534</v>
      </c>
      <c r="B59">
        <v>909.2</v>
      </c>
      <c r="C59">
        <v>911.7</v>
      </c>
      <c r="D59">
        <v>624.20000000000005</v>
      </c>
      <c r="E59">
        <v>756.9</v>
      </c>
      <c r="F59">
        <v>5108.6135679999998</v>
      </c>
      <c r="G59">
        <v>756.9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-7.6869565217391772E-2</v>
      </c>
      <c r="Q59">
        <f t="shared" ref="Q59" si="271">F59*P59</f>
        <v>-392.69690383582844</v>
      </c>
      <c r="R59">
        <f t="shared" ref="R59" si="272">R60+Q59</f>
        <v>-87676.071050650557</v>
      </c>
      <c r="S59">
        <f t="shared" ref="S59" si="273">R59/100000</f>
        <v>-0.87676071050650561</v>
      </c>
      <c r="T59">
        <f t="shared" ref="T59" si="274">S59/1000</f>
        <v>-8.767607105065056E-4</v>
      </c>
    </row>
    <row r="60" spans="1:20" x14ac:dyDescent="0.25">
      <c r="A60" s="5">
        <v>44533</v>
      </c>
      <c r="B60">
        <v>931.4</v>
      </c>
      <c r="C60">
        <v>994</v>
      </c>
      <c r="D60">
        <v>880</v>
      </c>
      <c r="E60">
        <v>909.3</v>
      </c>
      <c r="F60">
        <v>5609.0379999999996</v>
      </c>
      <c r="G60">
        <v>909.3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-0.48596491228070254</v>
      </c>
      <c r="Q60">
        <f t="shared" ref="Q60" si="276">F60*P60</f>
        <v>-2725.7956596491272</v>
      </c>
      <c r="R60">
        <f t="shared" ref="R60" si="277">R61+Q60</f>
        <v>-87283.374146814735</v>
      </c>
      <c r="S60">
        <f t="shared" ref="S60" si="278">R60/100000</f>
        <v>-0.87283374146814729</v>
      </c>
      <c r="T60">
        <f t="shared" ref="T60" si="279">S60/1000</f>
        <v>-8.7283374146814735E-4</v>
      </c>
    </row>
    <row r="61" spans="1:20" x14ac:dyDescent="0.25">
      <c r="A61" s="5">
        <v>44532</v>
      </c>
      <c r="B61">
        <v>952.9</v>
      </c>
      <c r="C61">
        <v>958.8</v>
      </c>
      <c r="D61">
        <v>909.4</v>
      </c>
      <c r="E61">
        <v>931</v>
      </c>
      <c r="F61">
        <v>2228.67</v>
      </c>
      <c r="G61">
        <v>931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-0.12550607287449261</v>
      </c>
      <c r="Q61">
        <f t="shared" ref="Q61" si="281">F61*P61</f>
        <v>-279.71161943319544</v>
      </c>
      <c r="R61">
        <f t="shared" ref="R61" si="282">R62+Q61</f>
        <v>-84557.578487165607</v>
      </c>
      <c r="S61">
        <f t="shared" ref="S61" si="283">R61/100000</f>
        <v>-0.84557578487165608</v>
      </c>
      <c r="T61">
        <f t="shared" ref="T61" si="284">S61/1000</f>
        <v>-8.4557578487165605E-4</v>
      </c>
    </row>
    <row r="62" spans="1:20" x14ac:dyDescent="0.25">
      <c r="A62" s="5">
        <v>44531</v>
      </c>
      <c r="B62">
        <v>936.9</v>
      </c>
      <c r="C62">
        <v>989.3</v>
      </c>
      <c r="D62">
        <v>933.6</v>
      </c>
      <c r="E62">
        <v>950.6</v>
      </c>
      <c r="F62">
        <v>2202.518</v>
      </c>
      <c r="G62">
        <v>950.6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-0.38958707360861683</v>
      </c>
      <c r="Q62">
        <f t="shared" ref="Q62" si="286">F62*P62</f>
        <v>-858.07254219030358</v>
      </c>
      <c r="R62">
        <f t="shared" ref="R62" si="287">R63+Q62</f>
        <v>-84277.866867732417</v>
      </c>
      <c r="S62">
        <f t="shared" ref="S62" si="288">R62/100000</f>
        <v>-0.84277866867732421</v>
      </c>
      <c r="T62">
        <f t="shared" ref="T62" si="289">S62/1000</f>
        <v>-8.4277866867732421E-4</v>
      </c>
    </row>
    <row r="63" spans="1:20" x14ac:dyDescent="0.25">
      <c r="A63" s="5">
        <v>44530</v>
      </c>
      <c r="B63">
        <v>969</v>
      </c>
      <c r="C63">
        <v>988.9</v>
      </c>
      <c r="D63">
        <v>930.4</v>
      </c>
      <c r="E63">
        <v>935.1</v>
      </c>
      <c r="F63">
        <v>2793.9679999999998</v>
      </c>
      <c r="G63">
        <v>935.1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-0.83931623931623778</v>
      </c>
      <c r="Q63">
        <f t="shared" ref="Q63" si="291">F63*P63</f>
        <v>-2345.02271452991</v>
      </c>
      <c r="R63">
        <f t="shared" ref="R63" si="292">R64+Q63</f>
        <v>-83419.794325542112</v>
      </c>
      <c r="S63">
        <f t="shared" ref="S63" si="293">R63/100000</f>
        <v>-0.83419794325542107</v>
      </c>
      <c r="T63">
        <f t="shared" ref="T63" si="294">S63/1000</f>
        <v>-8.341979432554211E-4</v>
      </c>
    </row>
    <row r="64" spans="1:20" x14ac:dyDescent="0.25">
      <c r="A64" s="5">
        <v>44529</v>
      </c>
      <c r="B64">
        <v>959.1</v>
      </c>
      <c r="C64">
        <v>993</v>
      </c>
      <c r="D64">
        <v>930.4</v>
      </c>
      <c r="E64">
        <v>969.2</v>
      </c>
      <c r="F64">
        <v>2640.94</v>
      </c>
      <c r="G64">
        <v>969.2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0.23961661341853208</v>
      </c>
      <c r="Q64">
        <f t="shared" ref="Q64" si="296">F64*P64</f>
        <v>632.81309904153807</v>
      </c>
      <c r="R64">
        <f t="shared" ref="R64" si="297">R65+Q64</f>
        <v>-81074.771611012198</v>
      </c>
      <c r="S64">
        <f t="shared" ref="S64" si="298">R64/100000</f>
        <v>-0.81074771611012197</v>
      </c>
      <c r="T64">
        <f t="shared" ref="T64" si="299">S64/1000</f>
        <v>-8.1074771611012195E-4</v>
      </c>
    </row>
    <row r="65" spans="1:20" x14ac:dyDescent="0.25">
      <c r="A65" s="5">
        <v>44528</v>
      </c>
      <c r="B65">
        <v>974.2</v>
      </c>
      <c r="C65">
        <v>974.5</v>
      </c>
      <c r="D65">
        <v>889.8</v>
      </c>
      <c r="E65">
        <v>957.3</v>
      </c>
      <c r="F65">
        <v>2906.4119999999998</v>
      </c>
      <c r="G65">
        <v>957.3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0.59386068476977483</v>
      </c>
      <c r="Q65">
        <f t="shared" ref="Q65" si="301">F65*P65</f>
        <v>1726.0038205430906</v>
      </c>
      <c r="R65">
        <f t="shared" ref="R65" si="302">R66+Q65</f>
        <v>-81707.584710053736</v>
      </c>
      <c r="S65">
        <f t="shared" ref="S65" si="303">R65/100000</f>
        <v>-0.81707584710053738</v>
      </c>
      <c r="T65">
        <f t="shared" ref="T65" si="304">S65/1000</f>
        <v>-8.170758471005374E-4</v>
      </c>
    </row>
    <row r="66" spans="1:20" x14ac:dyDescent="0.25">
      <c r="A66" s="5">
        <v>44527</v>
      </c>
      <c r="B66">
        <v>899.7</v>
      </c>
      <c r="C66">
        <v>1039.8</v>
      </c>
      <c r="D66">
        <v>888.1</v>
      </c>
      <c r="E66">
        <v>972.8</v>
      </c>
      <c r="F66">
        <v>4713.24</v>
      </c>
      <c r="G66">
        <v>972.8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0.11667765326301872</v>
      </c>
      <c r="Q66">
        <f t="shared" ref="Q66" si="306">F66*P66</f>
        <v>549.9297824653903</v>
      </c>
      <c r="R66">
        <f t="shared" ref="R66" si="307">R67+Q66</f>
        <v>-83433.588530596826</v>
      </c>
      <c r="S66">
        <f t="shared" ref="S66" si="308">R66/100000</f>
        <v>-0.83433588530596825</v>
      </c>
      <c r="T66">
        <f t="shared" ref="T66" si="309">S66/1000</f>
        <v>-8.3433588530596825E-4</v>
      </c>
    </row>
    <row r="67" spans="1:20" x14ac:dyDescent="0.25">
      <c r="A67" s="5">
        <v>44526</v>
      </c>
      <c r="B67">
        <v>1002.1</v>
      </c>
      <c r="C67">
        <v>1008.1</v>
      </c>
      <c r="D67">
        <v>890</v>
      </c>
      <c r="E67">
        <v>899.7</v>
      </c>
      <c r="F67">
        <v>3348.1880000000001</v>
      </c>
      <c r="G67">
        <v>899.7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-0.83573243014394505</v>
      </c>
      <c r="Q67">
        <f t="shared" ref="Q67" si="311">F67*P67</f>
        <v>-2798.1892938187952</v>
      </c>
      <c r="R67">
        <f t="shared" ref="R67" si="312">R68+Q67</f>
        <v>-83983.518313062217</v>
      </c>
      <c r="S67">
        <f t="shared" ref="S67" si="313">R67/100000</f>
        <v>-0.83983518313062222</v>
      </c>
      <c r="T67">
        <f t="shared" ref="T67" si="314">S67/1000</f>
        <v>-8.3983518313062225E-4</v>
      </c>
    </row>
    <row r="68" spans="1:20" x14ac:dyDescent="0.25">
      <c r="A68" s="5">
        <v>44525</v>
      </c>
      <c r="B68">
        <v>961.4</v>
      </c>
      <c r="C68">
        <v>1010.5</v>
      </c>
      <c r="D68">
        <v>955</v>
      </c>
      <c r="E68">
        <v>1001.8</v>
      </c>
      <c r="F68">
        <v>3208.4549999999999</v>
      </c>
      <c r="G68">
        <v>1001.8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0.6864864864864848</v>
      </c>
      <c r="Q68">
        <f t="shared" ref="Q68" si="316">F68*P68</f>
        <v>2202.5609999999947</v>
      </c>
      <c r="R68">
        <f t="shared" ref="R68" si="317">R69+Q68</f>
        <v>-81185.329019243421</v>
      </c>
      <c r="S68">
        <f t="shared" ref="S68" si="318">R68/100000</f>
        <v>-0.81185329019243424</v>
      </c>
      <c r="T68">
        <f t="shared" ref="T68" si="319">S68/1000</f>
        <v>-8.1185329019243429E-4</v>
      </c>
    </row>
    <row r="69" spans="1:20" x14ac:dyDescent="0.25">
      <c r="A69" s="5">
        <v>44524</v>
      </c>
      <c r="B69">
        <v>1002.7</v>
      </c>
      <c r="C69">
        <v>1010</v>
      </c>
      <c r="D69">
        <v>982.9</v>
      </c>
      <c r="E69">
        <v>989.2</v>
      </c>
      <c r="F69">
        <v>689.11500000000001</v>
      </c>
      <c r="G69">
        <v>989.2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-0.53505535055350084</v>
      </c>
      <c r="Q69">
        <f t="shared" ref="Q69" si="321">F69*P69</f>
        <v>-368.71466789667573</v>
      </c>
      <c r="R69">
        <f t="shared" ref="R69" si="322">R70+Q69</f>
        <v>-83387.890019243423</v>
      </c>
      <c r="S69">
        <f t="shared" ref="S69" si="323">R69/100000</f>
        <v>-0.83387890019243427</v>
      </c>
      <c r="T69">
        <f t="shared" ref="T69" si="324">S69/1000</f>
        <v>-8.3387890019243429E-4</v>
      </c>
    </row>
    <row r="70" spans="1:20" x14ac:dyDescent="0.25">
      <c r="A70" s="5">
        <v>44523</v>
      </c>
      <c r="B70">
        <v>1016.9</v>
      </c>
      <c r="C70">
        <v>1031.4000000000001</v>
      </c>
      <c r="D70">
        <v>979.7</v>
      </c>
      <c r="E70">
        <v>1002.8</v>
      </c>
      <c r="F70">
        <v>4038.1370000000002</v>
      </c>
      <c r="G70">
        <v>1002.8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-0.10638297872340856</v>
      </c>
      <c r="Q70">
        <f t="shared" ref="Q70" si="326">F70*P70</f>
        <v>-429.58904255320886</v>
      </c>
      <c r="R70">
        <f t="shared" ref="R70" si="327">R71+Q70</f>
        <v>-83019.175351346741</v>
      </c>
      <c r="S70">
        <f t="shared" ref="S70" si="328">R70/100000</f>
        <v>-0.83019175351346741</v>
      </c>
      <c r="T70">
        <f t="shared" ref="T70" si="329">S70/1000</f>
        <v>-8.3019175351346742E-4</v>
      </c>
    </row>
    <row r="71" spans="1:20" x14ac:dyDescent="0.25">
      <c r="A71" s="5">
        <v>44522</v>
      </c>
      <c r="B71">
        <v>1010.9</v>
      </c>
      <c r="C71">
        <v>1072</v>
      </c>
      <c r="D71">
        <v>1010</v>
      </c>
      <c r="E71">
        <v>1017</v>
      </c>
      <c r="F71">
        <v>4936.6909999999998</v>
      </c>
      <c r="G71">
        <v>1017</v>
      </c>
      <c r="L71" t="s">
        <v>8</v>
      </c>
      <c r="M71" t="s">
        <v>8</v>
      </c>
      <c r="N71" t="s">
        <v>7</v>
      </c>
      <c r="P71">
        <f t="shared" ref="P71" si="330">IF(C71=D71,0,((E71-D71)-(C71-E71))/(C71-D71))</f>
        <v>-0.77419354838709675</v>
      </c>
      <c r="Q71">
        <f t="shared" ref="Q71" si="331">F71*P71</f>
        <v>-3821.9543225806451</v>
      </c>
      <c r="R71">
        <f t="shared" ref="R71" si="332">R72+Q71</f>
        <v>-82589.586308793529</v>
      </c>
      <c r="S71">
        <f t="shared" ref="S71" si="333">R71/100000</f>
        <v>-0.82589586308793528</v>
      </c>
      <c r="T71">
        <f t="shared" ref="T71" si="334">S71/1000</f>
        <v>-8.2589586308793532E-4</v>
      </c>
    </row>
    <row r="72" spans="1:20" x14ac:dyDescent="0.25">
      <c r="A72" s="5">
        <v>44521</v>
      </c>
      <c r="B72">
        <v>1027</v>
      </c>
      <c r="C72">
        <v>1052.5999999999999</v>
      </c>
      <c r="D72">
        <v>999.5</v>
      </c>
      <c r="E72">
        <v>1012.1</v>
      </c>
      <c r="F72">
        <v>3607.6559999999999</v>
      </c>
      <c r="G72">
        <v>1012.1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-0.5254237288135577</v>
      </c>
      <c r="Q72">
        <f t="shared" ref="Q72" si="336">F72*P72</f>
        <v>-1895.5480677966043</v>
      </c>
      <c r="R72">
        <f t="shared" ref="R72" si="337">R73+Q72</f>
        <v>-78767.631986212888</v>
      </c>
      <c r="S72">
        <f t="shared" ref="S72" si="338">R72/100000</f>
        <v>-0.78767631986212883</v>
      </c>
      <c r="T72">
        <f t="shared" ref="T72" si="339">S72/1000</f>
        <v>-7.8767631986212882E-4</v>
      </c>
    </row>
    <row r="73" spans="1:20" x14ac:dyDescent="0.25">
      <c r="A73" s="5">
        <v>44520</v>
      </c>
      <c r="B73">
        <v>1016.3</v>
      </c>
      <c r="C73">
        <v>1044.3</v>
      </c>
      <c r="D73">
        <v>967.7</v>
      </c>
      <c r="E73">
        <v>1026</v>
      </c>
      <c r="F73">
        <v>3997.4270000000001</v>
      </c>
      <c r="G73">
        <v>1026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0.52219321148825126</v>
      </c>
      <c r="Q73">
        <f t="shared" ref="Q73" si="341">F73*P73</f>
        <v>2087.429242819846</v>
      </c>
      <c r="R73">
        <f t="shared" ref="R73" si="342">R74+Q73</f>
        <v>-76872.083918416291</v>
      </c>
      <c r="S73">
        <f t="shared" ref="S73" si="343">R73/100000</f>
        <v>-0.7687208391841629</v>
      </c>
      <c r="T73">
        <f t="shared" ref="T73" si="344">S73/1000</f>
        <v>-7.6872083918416289E-4</v>
      </c>
    </row>
    <row r="74" spans="1:20" x14ac:dyDescent="0.25">
      <c r="A74" s="5">
        <v>44519</v>
      </c>
      <c r="B74">
        <v>955.8</v>
      </c>
      <c r="C74">
        <v>1042.8</v>
      </c>
      <c r="D74">
        <v>926.9</v>
      </c>
      <c r="E74">
        <v>1018.3</v>
      </c>
      <c r="F74">
        <v>2889.6619999999998</v>
      </c>
      <c r="G74">
        <v>1018.3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0.57722174288179462</v>
      </c>
      <c r="Q74">
        <f t="shared" ref="Q74" si="346">F74*P74</f>
        <v>1667.9757359792923</v>
      </c>
      <c r="R74">
        <f t="shared" ref="R74" si="347">R75+Q74</f>
        <v>-78959.513161236129</v>
      </c>
      <c r="S74">
        <f t="shared" ref="S74" si="348">R74/100000</f>
        <v>-0.78959513161236128</v>
      </c>
      <c r="T74">
        <f t="shared" ref="T74" si="349">S74/1000</f>
        <v>-7.8959513161236123E-4</v>
      </c>
    </row>
    <row r="75" spans="1:20" x14ac:dyDescent="0.25">
      <c r="A75" s="5">
        <v>44518</v>
      </c>
      <c r="B75">
        <v>1032.3</v>
      </c>
      <c r="C75">
        <v>1044.9000000000001</v>
      </c>
      <c r="D75">
        <v>919</v>
      </c>
      <c r="E75">
        <v>955.8</v>
      </c>
      <c r="F75">
        <v>4073.34</v>
      </c>
      <c r="G75">
        <v>955.8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-0.41540905480540224</v>
      </c>
      <c r="Q75">
        <f t="shared" ref="Q75" si="351">F75*P75</f>
        <v>-1692.1023193010371</v>
      </c>
      <c r="R75">
        <f t="shared" ref="R75" si="352">R76+Q75</f>
        <v>-80627.488897215415</v>
      </c>
      <c r="S75">
        <f t="shared" ref="S75" si="353">R75/100000</f>
        <v>-0.80627488897215416</v>
      </c>
      <c r="T75">
        <f t="shared" ref="T75" si="354">S75/1000</f>
        <v>-8.0627488897215419E-4</v>
      </c>
    </row>
    <row r="76" spans="1:20" x14ac:dyDescent="0.25">
      <c r="A76" s="5">
        <v>44517</v>
      </c>
      <c r="B76">
        <v>1052.0999999999999</v>
      </c>
      <c r="C76">
        <v>1069.7</v>
      </c>
      <c r="D76">
        <v>992.3</v>
      </c>
      <c r="E76">
        <v>1034.9000000000001</v>
      </c>
      <c r="F76">
        <v>3161.2849999999999</v>
      </c>
      <c r="G76">
        <v>1034.9000000000001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0.10077519379845185</v>
      </c>
      <c r="Q76">
        <f t="shared" ref="Q76" si="356">F76*P76</f>
        <v>318.57910852713883</v>
      </c>
      <c r="R76">
        <f t="shared" ref="R76" si="357">R77+Q76</f>
        <v>-78935.386577914382</v>
      </c>
      <c r="S76">
        <f t="shared" ref="S76" si="358">R76/100000</f>
        <v>-0.78935386577914379</v>
      </c>
      <c r="T76">
        <f t="shared" ref="T76" si="359">S76/1000</f>
        <v>-7.8935386577914381E-4</v>
      </c>
    </row>
    <row r="77" spans="1:20" x14ac:dyDescent="0.25">
      <c r="A77" s="5">
        <v>44516</v>
      </c>
      <c r="B77">
        <v>1107.9000000000001</v>
      </c>
      <c r="C77">
        <v>1108</v>
      </c>
      <c r="D77">
        <v>992.7</v>
      </c>
      <c r="E77">
        <v>1051.5</v>
      </c>
      <c r="F77">
        <v>5076.8950000000004</v>
      </c>
      <c r="G77">
        <v>1051.5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1.9947961838681312E-2</v>
      </c>
      <c r="Q77">
        <f t="shared" ref="Q77" si="361">F77*P77</f>
        <v>101.27370771899197</v>
      </c>
      <c r="R77">
        <f t="shared" ref="R77" si="362">R78+Q77</f>
        <v>-79253.965686441516</v>
      </c>
      <c r="S77">
        <f t="shared" ref="S77" si="363">R77/100000</f>
        <v>-0.79253965686441519</v>
      </c>
      <c r="T77">
        <f t="shared" ref="T77" si="364">S77/1000</f>
        <v>-7.9253965686441516E-4</v>
      </c>
    </row>
    <row r="78" spans="1:20" x14ac:dyDescent="0.25">
      <c r="A78" s="5">
        <v>44515</v>
      </c>
      <c r="B78">
        <v>1180.8</v>
      </c>
      <c r="C78">
        <v>1184.8</v>
      </c>
      <c r="D78">
        <v>1105.3</v>
      </c>
      <c r="E78">
        <v>1107.9000000000001</v>
      </c>
      <c r="F78">
        <v>3289.9050000000002</v>
      </c>
      <c r="G78">
        <v>1107.9000000000001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-0.93459119496855003</v>
      </c>
      <c r="Q78">
        <f t="shared" ref="Q78" si="366">F78*P78</f>
        <v>-3074.716245283008</v>
      </c>
      <c r="R78">
        <f t="shared" ref="R78" si="367">R79+Q78</f>
        <v>-79355.239394160511</v>
      </c>
      <c r="S78">
        <f t="shared" ref="S78" si="368">R78/100000</f>
        <v>-0.79355239394160515</v>
      </c>
      <c r="T78">
        <f t="shared" ref="T78" si="369">S78/1000</f>
        <v>-7.9355239394160513E-4</v>
      </c>
    </row>
    <row r="79" spans="1:20" x14ac:dyDescent="0.25">
      <c r="A79" s="5">
        <v>44514</v>
      </c>
      <c r="B79">
        <v>1202.4000000000001</v>
      </c>
      <c r="C79">
        <v>1271.9000000000001</v>
      </c>
      <c r="D79">
        <v>1141.0999999999999</v>
      </c>
      <c r="E79">
        <v>1180.2</v>
      </c>
      <c r="F79">
        <v>5295.0590000000002</v>
      </c>
      <c r="G79">
        <v>1180.2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-0.40214067278287335</v>
      </c>
      <c r="Q79">
        <f t="shared" ref="Q79" si="371">F79*P79</f>
        <v>-2129.3585886850087</v>
      </c>
      <c r="R79">
        <f t="shared" ref="R79" si="372">R80+Q79</f>
        <v>-76280.523148877503</v>
      </c>
      <c r="S79">
        <f t="shared" ref="S79" si="373">R79/100000</f>
        <v>-0.76280523148877499</v>
      </c>
      <c r="T79">
        <f t="shared" ref="T79" si="374">S79/1000</f>
        <v>-7.6280523148877495E-4</v>
      </c>
    </row>
    <row r="80" spans="1:20" x14ac:dyDescent="0.25">
      <c r="A80" s="5">
        <v>44513</v>
      </c>
      <c r="B80">
        <v>1107.9000000000001</v>
      </c>
      <c r="C80">
        <v>1239.9000000000001</v>
      </c>
      <c r="D80">
        <v>1097.2</v>
      </c>
      <c r="E80">
        <v>1202.4000000000001</v>
      </c>
      <c r="F80">
        <v>7024.683</v>
      </c>
      <c r="G80">
        <v>1202.4000000000001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0.47442186405045567</v>
      </c>
      <c r="Q80">
        <f t="shared" ref="Q80" si="376">F80*P80</f>
        <v>3332.663203223547</v>
      </c>
      <c r="R80">
        <f t="shared" ref="R80" si="377">R81+Q80</f>
        <v>-74151.164560192497</v>
      </c>
      <c r="S80">
        <f t="shared" ref="S80" si="378">R80/100000</f>
        <v>-0.74151164560192495</v>
      </c>
      <c r="T80">
        <f t="shared" ref="T80" si="379">S80/1000</f>
        <v>-7.4151164560192493E-4</v>
      </c>
    </row>
    <row r="81" spans="1:20" x14ac:dyDescent="0.25">
      <c r="A81" s="5">
        <v>44512</v>
      </c>
      <c r="B81">
        <v>1143.8</v>
      </c>
      <c r="C81">
        <v>1162.0999999999999</v>
      </c>
      <c r="D81">
        <v>1085.2</v>
      </c>
      <c r="E81">
        <v>1107.9000000000001</v>
      </c>
      <c r="F81">
        <v>3213.239</v>
      </c>
      <c r="G81">
        <v>1107.9000000000001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-0.40962288686605758</v>
      </c>
      <c r="Q81">
        <f t="shared" ref="Q81" si="381">F81*P81</f>
        <v>-1316.216235370604</v>
      </c>
      <c r="R81">
        <f t="shared" ref="R81" si="382">R82+Q81</f>
        <v>-77483.827763416048</v>
      </c>
      <c r="S81">
        <f t="shared" ref="S81" si="383">R81/100000</f>
        <v>-0.77483827763416047</v>
      </c>
      <c r="T81">
        <f t="shared" ref="T81" si="384">S81/1000</f>
        <v>-7.7483827763416048E-4</v>
      </c>
    </row>
    <row r="82" spans="1:20" x14ac:dyDescent="0.25">
      <c r="A82" s="5">
        <v>44511</v>
      </c>
      <c r="B82">
        <v>1062.7</v>
      </c>
      <c r="C82">
        <v>1195</v>
      </c>
      <c r="D82">
        <v>1045.5</v>
      </c>
      <c r="E82">
        <v>1145.8</v>
      </c>
      <c r="F82">
        <v>5058.2179999999998</v>
      </c>
      <c r="G82">
        <v>1145.8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0.34180602006688904</v>
      </c>
      <c r="Q82">
        <f t="shared" ref="Q82" si="386">F82*P82</f>
        <v>1728.9293632106992</v>
      </c>
      <c r="R82">
        <f t="shared" ref="R82" si="387">R83+Q82</f>
        <v>-76167.61152804544</v>
      </c>
      <c r="S82">
        <f t="shared" ref="S82" si="388">R82/100000</f>
        <v>-0.76167611528045442</v>
      </c>
      <c r="T82">
        <f t="shared" ref="T82" si="389">S82/1000</f>
        <v>-7.6167611528045443E-4</v>
      </c>
    </row>
    <row r="83" spans="1:20" x14ac:dyDescent="0.25">
      <c r="A83" s="5">
        <v>44510</v>
      </c>
      <c r="B83">
        <v>1113.7</v>
      </c>
      <c r="C83">
        <v>1170.2</v>
      </c>
      <c r="D83">
        <v>995.3</v>
      </c>
      <c r="E83">
        <v>1062.7</v>
      </c>
      <c r="F83">
        <v>6299.3620000000001</v>
      </c>
      <c r="G83">
        <v>1062.7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-0.22927387078330411</v>
      </c>
      <c r="Q83">
        <f t="shared" ref="Q83" si="391">F83*P83</f>
        <v>-1444.2791092052562</v>
      </c>
      <c r="R83">
        <f t="shared" ref="R83" si="392">R84+Q83</f>
        <v>-77896.54089125614</v>
      </c>
      <c r="S83">
        <f t="shared" ref="S83" si="393">R83/100000</f>
        <v>-0.77896540891256139</v>
      </c>
      <c r="T83">
        <f t="shared" ref="T83" si="394">S83/1000</f>
        <v>-7.7896540891256142E-4</v>
      </c>
    </row>
    <row r="84" spans="1:20" x14ac:dyDescent="0.25">
      <c r="A84" s="5">
        <v>44509</v>
      </c>
      <c r="B84">
        <v>1114.5999999999999</v>
      </c>
      <c r="C84">
        <v>1144.3</v>
      </c>
      <c r="D84">
        <v>1084.0999999999999</v>
      </c>
      <c r="E84">
        <v>1110.8</v>
      </c>
      <c r="F84">
        <v>3455.1010000000001</v>
      </c>
      <c r="G84">
        <v>1110.8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-0.11295681063122839</v>
      </c>
      <c r="Q84">
        <f t="shared" ref="Q84" si="396">F84*P84</f>
        <v>-390.27718936876789</v>
      </c>
      <c r="R84">
        <f t="shared" ref="R84" si="397">R85+Q84</f>
        <v>-76452.261782050889</v>
      </c>
      <c r="S84">
        <f t="shared" ref="S84" si="398">R84/100000</f>
        <v>-0.7645226178205089</v>
      </c>
      <c r="T84">
        <f t="shared" ref="T84" si="399">S84/1000</f>
        <v>-7.6452261782050885E-4</v>
      </c>
    </row>
    <row r="85" spans="1:20" x14ac:dyDescent="0.25">
      <c r="A85" s="5">
        <v>44508</v>
      </c>
      <c r="B85">
        <v>1109.5</v>
      </c>
      <c r="C85">
        <v>1123.3</v>
      </c>
      <c r="D85">
        <v>1088.5999999999999</v>
      </c>
      <c r="E85">
        <v>1114.5999999999999</v>
      </c>
      <c r="F85">
        <v>3579.44</v>
      </c>
      <c r="G85">
        <v>1114.5999999999999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0.4985590778097963</v>
      </c>
      <c r="Q85">
        <f t="shared" ref="Q85" si="401">F85*P85</f>
        <v>1784.5623054754974</v>
      </c>
      <c r="R85">
        <f t="shared" ref="R85" si="402">R86+Q85</f>
        <v>-76061.984592682114</v>
      </c>
      <c r="S85">
        <f t="shared" ref="S85" si="403">R85/100000</f>
        <v>-0.76061984592682119</v>
      </c>
      <c r="T85">
        <f t="shared" ref="T85" si="404">S85/1000</f>
        <v>-7.6061984592682124E-4</v>
      </c>
    </row>
    <row r="86" spans="1:20" x14ac:dyDescent="0.25">
      <c r="A86" s="5">
        <v>44507</v>
      </c>
      <c r="B86">
        <v>1103.9000000000001</v>
      </c>
      <c r="C86">
        <v>1144</v>
      </c>
      <c r="D86">
        <v>1092.8</v>
      </c>
      <c r="E86">
        <v>1109.5</v>
      </c>
      <c r="F86">
        <v>3147.0239999999999</v>
      </c>
      <c r="G86">
        <v>1109.5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-0.34765624999999878</v>
      </c>
      <c r="Q86">
        <f t="shared" ref="Q86" si="406">F86*P86</f>
        <v>-1094.0825624999961</v>
      </c>
      <c r="R86">
        <f t="shared" ref="R86" si="407">R87+Q86</f>
        <v>-77846.546898157612</v>
      </c>
      <c r="S86">
        <f t="shared" ref="S86" si="408">R86/100000</f>
        <v>-0.77846546898157609</v>
      </c>
      <c r="T86">
        <f t="shared" ref="T86" si="409">S86/1000</f>
        <v>-7.7846546898157612E-4</v>
      </c>
    </row>
    <row r="87" spans="1:20" x14ac:dyDescent="0.25">
      <c r="A87" s="5">
        <v>44506</v>
      </c>
      <c r="B87">
        <v>1063.8</v>
      </c>
      <c r="C87">
        <v>1118.7</v>
      </c>
      <c r="D87">
        <v>1045.5</v>
      </c>
      <c r="E87">
        <v>1102.7</v>
      </c>
      <c r="F87">
        <v>3315.127</v>
      </c>
      <c r="G87">
        <v>1102.7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0.5628415300546451</v>
      </c>
      <c r="Q87">
        <f t="shared" ref="Q87" si="411">F87*P87</f>
        <v>1865.8911530054654</v>
      </c>
      <c r="R87">
        <f t="shared" ref="R87" si="412">R88+Q87</f>
        <v>-76752.464335657613</v>
      </c>
      <c r="S87">
        <f t="shared" ref="S87" si="413">R87/100000</f>
        <v>-0.76752464335657611</v>
      </c>
      <c r="T87">
        <f t="shared" ref="T87" si="414">S87/1000</f>
        <v>-7.6752464335657614E-4</v>
      </c>
    </row>
    <row r="88" spans="1:20" x14ac:dyDescent="0.25">
      <c r="A88" s="5">
        <v>44505</v>
      </c>
      <c r="B88">
        <v>1084.2</v>
      </c>
      <c r="C88">
        <v>1107.9000000000001</v>
      </c>
      <c r="D88">
        <v>1063.5</v>
      </c>
      <c r="E88">
        <v>1067.8</v>
      </c>
      <c r="F88">
        <v>2588.931</v>
      </c>
      <c r="G88">
        <v>1067.8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-0.80630630630630873</v>
      </c>
      <c r="Q88">
        <f t="shared" ref="Q88" si="416">F88*P88</f>
        <v>-2087.4713918918983</v>
      </c>
      <c r="R88">
        <f t="shared" ref="R88" si="417">R89+Q88</f>
        <v>-78618.355488663074</v>
      </c>
      <c r="S88">
        <f t="shared" ref="S88" si="418">R88/100000</f>
        <v>-0.78618355488663072</v>
      </c>
      <c r="T88">
        <f t="shared" ref="T88" si="419">S88/1000</f>
        <v>-7.8618355488663076E-4</v>
      </c>
    </row>
    <row r="89" spans="1:20" x14ac:dyDescent="0.25">
      <c r="A89" s="5">
        <v>44504</v>
      </c>
      <c r="B89">
        <v>1126.5999999999999</v>
      </c>
      <c r="C89">
        <v>1130.5999999999999</v>
      </c>
      <c r="D89">
        <v>1062.3</v>
      </c>
      <c r="E89">
        <v>1084.9000000000001</v>
      </c>
      <c r="F89">
        <v>3751.0329999999999</v>
      </c>
      <c r="G89">
        <v>1084.9000000000001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-0.33821376281112292</v>
      </c>
      <c r="Q89">
        <f t="shared" ref="Q89" si="421">F89*P89</f>
        <v>-1268.6509853586947</v>
      </c>
      <c r="R89">
        <f t="shared" ref="R89" si="422">R90+Q89</f>
        <v>-76530.884096771173</v>
      </c>
      <c r="S89">
        <f t="shared" ref="S89" si="423">R89/100000</f>
        <v>-0.76530884096771168</v>
      </c>
      <c r="T89">
        <f t="shared" ref="T89" si="424">S89/1000</f>
        <v>-7.6530884096771173E-4</v>
      </c>
    </row>
    <row r="90" spans="1:20" x14ac:dyDescent="0.25">
      <c r="A90" s="5">
        <v>44503</v>
      </c>
      <c r="B90">
        <v>1169</v>
      </c>
      <c r="C90">
        <v>1189.9000000000001</v>
      </c>
      <c r="D90">
        <v>1092.8</v>
      </c>
      <c r="E90">
        <v>1126.7</v>
      </c>
      <c r="F90">
        <v>6492.78</v>
      </c>
      <c r="G90">
        <v>1126.7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-0.30175077239958714</v>
      </c>
      <c r="Q90">
        <f t="shared" ref="Q90" si="426">F90*P90</f>
        <v>-1959.2013800205914</v>
      </c>
      <c r="R90">
        <f t="shared" ref="R90" si="427">R91+Q90</f>
        <v>-75262.233111412483</v>
      </c>
      <c r="S90">
        <f t="shared" ref="S90" si="428">R90/100000</f>
        <v>-0.7526223311141248</v>
      </c>
      <c r="T90">
        <f t="shared" ref="T90" si="429">S90/1000</f>
        <v>-7.5262233111412483E-4</v>
      </c>
    </row>
    <row r="91" spans="1:20" x14ac:dyDescent="0.25">
      <c r="A91" s="5">
        <v>44502</v>
      </c>
      <c r="B91">
        <v>1025.5</v>
      </c>
      <c r="C91">
        <v>1169</v>
      </c>
      <c r="D91">
        <v>1015.4</v>
      </c>
      <c r="E91">
        <v>1169</v>
      </c>
      <c r="F91">
        <v>8311.5519999999997</v>
      </c>
      <c r="G91">
        <v>1169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1</v>
      </c>
      <c r="Q91">
        <f t="shared" ref="Q91" si="431">F91*P91</f>
        <v>8311.5519999999997</v>
      </c>
      <c r="R91">
        <f t="shared" ref="R91" si="432">R92+Q91</f>
        <v>-73303.031731391893</v>
      </c>
      <c r="S91">
        <f t="shared" ref="S91" si="433">R91/100000</f>
        <v>-0.73303031731391888</v>
      </c>
      <c r="T91">
        <f t="shared" ref="T91" si="434">S91/1000</f>
        <v>-7.3303031731391892E-4</v>
      </c>
    </row>
    <row r="92" spans="1:20" x14ac:dyDescent="0.25">
      <c r="A92" s="5">
        <v>44501</v>
      </c>
      <c r="B92">
        <v>1037.5</v>
      </c>
      <c r="C92">
        <v>1060</v>
      </c>
      <c r="D92">
        <v>1005</v>
      </c>
      <c r="E92">
        <v>1026.5999999999999</v>
      </c>
      <c r="F92">
        <v>3361.7150000000001</v>
      </c>
      <c r="G92">
        <v>1026.5999999999999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-0.21454545454545784</v>
      </c>
      <c r="Q92">
        <f t="shared" ref="Q92" si="436">F92*P92</f>
        <v>-721.24067272728382</v>
      </c>
      <c r="R92">
        <f t="shared" ref="R92" si="437">R93+Q92</f>
        <v>-81614.583731391889</v>
      </c>
      <c r="S92">
        <f t="shared" ref="S92" si="438">R92/100000</f>
        <v>-0.81614583731391888</v>
      </c>
      <c r="T92">
        <f t="shared" ref="T92" si="439">S92/1000</f>
        <v>-8.1614583731391883E-4</v>
      </c>
    </row>
    <row r="93" spans="1:20" x14ac:dyDescent="0.25">
      <c r="A93" s="5">
        <v>44500</v>
      </c>
      <c r="B93">
        <v>1038.9000000000001</v>
      </c>
      <c r="C93">
        <v>1100.4000000000001</v>
      </c>
      <c r="D93">
        <v>995</v>
      </c>
      <c r="E93">
        <v>1036</v>
      </c>
      <c r="F93">
        <v>5241.4110000000001</v>
      </c>
      <c r="G93">
        <v>1036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-0.22201138519924166</v>
      </c>
      <c r="Q93">
        <f t="shared" ref="Q93" si="441">F93*P93</f>
        <v>-1163.6529165085424</v>
      </c>
      <c r="R93">
        <f t="shared" ref="R93" si="442">R94+Q93</f>
        <v>-80893.343058664599</v>
      </c>
      <c r="S93">
        <f t="shared" ref="S93" si="443">R93/100000</f>
        <v>-0.80893343058664602</v>
      </c>
      <c r="T93">
        <f t="shared" ref="T93" si="444">S93/1000</f>
        <v>-8.0893343058664605E-4</v>
      </c>
    </row>
    <row r="94" spans="1:20" x14ac:dyDescent="0.25">
      <c r="A94" s="5">
        <v>44499</v>
      </c>
      <c r="B94">
        <v>1079.0999999999999</v>
      </c>
      <c r="C94">
        <v>1095.0999999999999</v>
      </c>
      <c r="D94">
        <v>1008</v>
      </c>
      <c r="E94">
        <v>1037.2</v>
      </c>
      <c r="F94">
        <v>4116.8720000000003</v>
      </c>
      <c r="G94">
        <v>1037.2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-0.32950631458093971</v>
      </c>
      <c r="Q94">
        <f t="shared" ref="Q94" si="446">F94*P94</f>
        <v>-1356.5353203214625</v>
      </c>
      <c r="R94">
        <f t="shared" ref="R94" si="447">R95+Q94</f>
        <v>-79729.690142156061</v>
      </c>
      <c r="S94">
        <f t="shared" ref="S94" si="448">R94/100000</f>
        <v>-0.79729690142156062</v>
      </c>
      <c r="T94">
        <f t="shared" ref="T94" si="449">S94/1000</f>
        <v>-7.9729690142156062E-4</v>
      </c>
    </row>
    <row r="95" spans="1:20" x14ac:dyDescent="0.25">
      <c r="A95" s="5">
        <v>44498</v>
      </c>
      <c r="B95">
        <v>1044.2</v>
      </c>
      <c r="C95">
        <v>1116.0999999999999</v>
      </c>
      <c r="D95">
        <v>1037</v>
      </c>
      <c r="E95">
        <v>1077.7</v>
      </c>
      <c r="F95">
        <v>3283.4209999999998</v>
      </c>
      <c r="G95">
        <v>1077.7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2.9077117572695127E-2</v>
      </c>
      <c r="Q95">
        <f t="shared" ref="Q95" si="451">F95*P95</f>
        <v>95.472418457656204</v>
      </c>
      <c r="R95">
        <f t="shared" ref="R95" si="452">R96+Q95</f>
        <v>-78373.1548218346</v>
      </c>
      <c r="S95">
        <f t="shared" ref="S95" si="453">R95/100000</f>
        <v>-0.78373154821834601</v>
      </c>
      <c r="T95">
        <f t="shared" ref="T95" si="454">S95/1000</f>
        <v>-7.8373154821834601E-4</v>
      </c>
    </row>
    <row r="96" spans="1:20" x14ac:dyDescent="0.25">
      <c r="A96" s="5">
        <v>44497</v>
      </c>
      <c r="B96">
        <v>1019.4</v>
      </c>
      <c r="C96">
        <v>1087.7</v>
      </c>
      <c r="D96">
        <v>986</v>
      </c>
      <c r="E96">
        <v>1043.5999999999999</v>
      </c>
      <c r="F96">
        <v>4036.1869999999999</v>
      </c>
      <c r="G96">
        <v>1043.5999999999999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0.13274336283185612</v>
      </c>
      <c r="Q96">
        <f t="shared" ref="Q96" si="456">F96*P96</f>
        <v>535.77703539822085</v>
      </c>
      <c r="R96">
        <f t="shared" ref="R96" si="457">R97+Q96</f>
        <v>-78468.627240292262</v>
      </c>
      <c r="S96">
        <f t="shared" ref="S96" si="458">R96/100000</f>
        <v>-0.78468627240292266</v>
      </c>
      <c r="T96">
        <f t="shared" ref="T96" si="459">S96/1000</f>
        <v>-7.8468627240292264E-4</v>
      </c>
    </row>
    <row r="97" spans="1:20" x14ac:dyDescent="0.25">
      <c r="A97" s="5">
        <v>44496</v>
      </c>
      <c r="B97">
        <v>1082.5</v>
      </c>
      <c r="C97">
        <v>1096.9000000000001</v>
      </c>
      <c r="D97">
        <v>982.7</v>
      </c>
      <c r="E97">
        <v>1020.8</v>
      </c>
      <c r="F97">
        <v>5160.1769999999997</v>
      </c>
      <c r="G97">
        <v>1020.8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-0.3327495621716306</v>
      </c>
      <c r="Q97">
        <f t="shared" ref="Q97" si="461">F97*P97</f>
        <v>-1717.0466374781181</v>
      </c>
      <c r="R97">
        <f t="shared" ref="R97" si="462">R98+Q97</f>
        <v>-79004.404275690482</v>
      </c>
      <c r="S97">
        <f t="shared" ref="S97" si="463">R97/100000</f>
        <v>-0.79004404275690487</v>
      </c>
      <c r="T97">
        <f t="shared" ref="T97" si="464">S97/1000</f>
        <v>-7.9004404275690484E-4</v>
      </c>
    </row>
    <row r="98" spans="1:20" x14ac:dyDescent="0.25">
      <c r="A98" s="5">
        <v>44495</v>
      </c>
      <c r="B98">
        <v>1114</v>
      </c>
      <c r="C98">
        <v>1145.8</v>
      </c>
      <c r="D98">
        <v>1072.2</v>
      </c>
      <c r="E98">
        <v>1081.5</v>
      </c>
      <c r="F98">
        <v>4350.6980000000003</v>
      </c>
      <c r="G98">
        <v>1081.5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-0.74728260869565311</v>
      </c>
      <c r="Q98">
        <f t="shared" ref="Q98" si="466">F98*P98</f>
        <v>-3251.2009510869607</v>
      </c>
      <c r="R98">
        <f t="shared" ref="R98" si="467">R99+Q98</f>
        <v>-77287.357638212357</v>
      </c>
      <c r="S98">
        <f t="shared" ref="S98" si="468">R98/100000</f>
        <v>-0.77287357638212362</v>
      </c>
      <c r="T98">
        <f t="shared" ref="T98" si="469">S98/1000</f>
        <v>-7.7287357638212365E-4</v>
      </c>
    </row>
    <row r="99" spans="1:20" x14ac:dyDescent="0.25">
      <c r="A99" s="5">
        <v>44494</v>
      </c>
      <c r="B99">
        <v>1095.0999999999999</v>
      </c>
      <c r="C99">
        <v>1139.5</v>
      </c>
      <c r="D99">
        <v>1091.9000000000001</v>
      </c>
      <c r="E99">
        <v>1115</v>
      </c>
      <c r="F99">
        <v>3723.509</v>
      </c>
      <c r="G99">
        <v>1115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-2.941176470588432E-2</v>
      </c>
      <c r="Q99">
        <f t="shared" ref="Q99" si="471">F99*P99</f>
        <v>-109.51497058824262</v>
      </c>
      <c r="R99">
        <f t="shared" ref="R99" si="472">R100+Q99</f>
        <v>-74036.156687125404</v>
      </c>
      <c r="S99">
        <f t="shared" ref="S99" si="473">R99/100000</f>
        <v>-0.74036156687125398</v>
      </c>
      <c r="T99">
        <f t="shared" ref="T99" si="474">S99/1000</f>
        <v>-7.4036156687125397E-4</v>
      </c>
    </row>
    <row r="100" spans="1:20" x14ac:dyDescent="0.25">
      <c r="A100" s="5">
        <v>44493</v>
      </c>
      <c r="B100">
        <v>1165</v>
      </c>
      <c r="C100">
        <v>1170</v>
      </c>
      <c r="D100">
        <v>1067.3</v>
      </c>
      <c r="E100">
        <v>1095.5999999999999</v>
      </c>
      <c r="F100">
        <v>3919.3789999999999</v>
      </c>
      <c r="G100">
        <v>1095.5999999999999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-0.4488802336903614</v>
      </c>
      <c r="Q100">
        <f t="shared" ref="Q100" si="476">F100*P100</f>
        <v>-1759.3317614410948</v>
      </c>
      <c r="R100">
        <f t="shared" ref="R100" si="477">R101+Q100</f>
        <v>-73926.641716537168</v>
      </c>
      <c r="S100">
        <f t="shared" ref="S100" si="478">R100/100000</f>
        <v>-0.73926641716537167</v>
      </c>
      <c r="T100">
        <f t="shared" ref="T100" si="479">S100/1000</f>
        <v>-7.3926641716537162E-4</v>
      </c>
    </row>
    <row r="101" spans="1:20" x14ac:dyDescent="0.25">
      <c r="A101" s="5">
        <v>44492</v>
      </c>
      <c r="B101">
        <v>1180.4000000000001</v>
      </c>
      <c r="C101">
        <v>1185.3</v>
      </c>
      <c r="D101">
        <v>1151.0999999999999</v>
      </c>
      <c r="E101">
        <v>1165</v>
      </c>
      <c r="F101">
        <v>2260.7460000000001</v>
      </c>
      <c r="G101">
        <v>1165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-0.18713450292397238</v>
      </c>
      <c r="Q101">
        <f t="shared" ref="Q101" si="481">F101*P101</f>
        <v>-423.06357894735891</v>
      </c>
      <c r="R101">
        <f t="shared" ref="R101" si="482">R102+Q101</f>
        <v>-72167.309955096076</v>
      </c>
      <c r="S101">
        <f t="shared" ref="S101" si="483">R101/100000</f>
        <v>-0.72167309955096071</v>
      </c>
      <c r="T101">
        <f t="shared" ref="T101" si="484">S101/1000</f>
        <v>-7.2167309955096072E-4</v>
      </c>
    </row>
    <row r="102" spans="1:20" x14ac:dyDescent="0.25">
      <c r="A102" s="5">
        <v>44491</v>
      </c>
      <c r="B102">
        <v>1227.2</v>
      </c>
      <c r="C102">
        <v>1279.5999999999999</v>
      </c>
      <c r="D102">
        <v>1157.8</v>
      </c>
      <c r="E102">
        <v>1179.0999999999999</v>
      </c>
      <c r="F102">
        <v>5147.6279999999997</v>
      </c>
      <c r="G102">
        <v>1179.0999999999999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-0.65024630541871986</v>
      </c>
      <c r="Q102">
        <f t="shared" ref="Q102" si="486">F102*P102</f>
        <v>-3347.2260886699537</v>
      </c>
      <c r="R102">
        <f t="shared" ref="R102" si="487">R103+Q102</f>
        <v>-71744.246376148716</v>
      </c>
      <c r="S102">
        <f t="shared" ref="S102" si="488">R102/100000</f>
        <v>-0.71744246376148713</v>
      </c>
      <c r="T102">
        <f t="shared" ref="T102" si="489">S102/1000</f>
        <v>-7.1744246376148711E-4</v>
      </c>
    </row>
    <row r="103" spans="1:20" x14ac:dyDescent="0.25">
      <c r="A103" s="5">
        <v>44490</v>
      </c>
      <c r="B103">
        <v>1344.5</v>
      </c>
      <c r="C103">
        <v>1362</v>
      </c>
      <c r="D103">
        <v>1217.7</v>
      </c>
      <c r="E103">
        <v>1227.4000000000001</v>
      </c>
      <c r="F103">
        <v>6617.4530000000004</v>
      </c>
      <c r="G103">
        <v>1227.4000000000001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-0.86555786555786485</v>
      </c>
      <c r="Q103">
        <f t="shared" ref="Q103" si="491">F103*P103</f>
        <v>-5727.7884941094899</v>
      </c>
      <c r="R103">
        <f t="shared" ref="R103" si="492">R104+Q103</f>
        <v>-68397.020287478765</v>
      </c>
      <c r="S103">
        <f t="shared" ref="S103" si="493">R103/100000</f>
        <v>-0.6839702028747876</v>
      </c>
      <c r="T103">
        <f t="shared" ref="T103" si="494">S103/1000</f>
        <v>-6.8397020287478761E-4</v>
      </c>
    </row>
    <row r="104" spans="1:20" x14ac:dyDescent="0.25">
      <c r="A104" s="5">
        <v>44489</v>
      </c>
      <c r="B104">
        <v>1260.5</v>
      </c>
      <c r="C104">
        <v>1411.8</v>
      </c>
      <c r="D104">
        <v>1220</v>
      </c>
      <c r="E104">
        <v>1342.8</v>
      </c>
      <c r="F104">
        <v>7349.0860000000002</v>
      </c>
      <c r="G104">
        <v>1342.8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0.28050052137643361</v>
      </c>
      <c r="Q104">
        <f t="shared" ref="Q104" si="496">F104*P104</f>
        <v>2061.4224546402488</v>
      </c>
      <c r="R104">
        <f t="shared" ref="R104" si="497">R105+Q104</f>
        <v>-62669.231793369276</v>
      </c>
      <c r="S104">
        <f t="shared" ref="S104" si="498">R104/100000</f>
        <v>-0.62669231793369273</v>
      </c>
      <c r="T104">
        <f t="shared" ref="T104" si="499">S104/1000</f>
        <v>-6.266923179336927E-4</v>
      </c>
    </row>
    <row r="105" spans="1:20" x14ac:dyDescent="0.25">
      <c r="A105" s="5">
        <v>44488</v>
      </c>
      <c r="B105">
        <v>1312.4</v>
      </c>
      <c r="C105">
        <v>1349.4</v>
      </c>
      <c r="D105">
        <v>1223</v>
      </c>
      <c r="E105">
        <v>1263.8</v>
      </c>
      <c r="F105">
        <v>4828.8220000000001</v>
      </c>
      <c r="G105">
        <v>1263.8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-0.35443037974683661</v>
      </c>
      <c r="Q105">
        <f t="shared" ref="Q105" si="501">F105*P105</f>
        <v>-1711.4812151898791</v>
      </c>
      <c r="R105">
        <f t="shared" ref="R105" si="502">R106+Q105</f>
        <v>-64730.654248009523</v>
      </c>
      <c r="S105">
        <f t="shared" ref="S105" si="503">R105/100000</f>
        <v>-0.64730654248009523</v>
      </c>
      <c r="T105">
        <f t="shared" ref="T105" si="504">S105/1000</f>
        <v>-6.4730654248009519E-4</v>
      </c>
    </row>
    <row r="106" spans="1:20" x14ac:dyDescent="0.25">
      <c r="A106" s="5">
        <v>44487</v>
      </c>
      <c r="B106">
        <v>1231.3</v>
      </c>
      <c r="C106">
        <v>1497.8</v>
      </c>
      <c r="D106">
        <v>1225.9000000000001</v>
      </c>
      <c r="E106">
        <v>1313.3</v>
      </c>
      <c r="F106">
        <v>23091.736000000001</v>
      </c>
      <c r="G106">
        <v>1313.3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-0.35711658698050824</v>
      </c>
      <c r="Q106">
        <f t="shared" ref="Q106" si="506">F106*P106</f>
        <v>-8246.4419477749343</v>
      </c>
      <c r="R106">
        <f t="shared" ref="R106" si="507">R107+Q106</f>
        <v>-63019.173032819643</v>
      </c>
      <c r="S106">
        <f t="shared" ref="S106" si="508">R106/100000</f>
        <v>-0.63019173032819642</v>
      </c>
      <c r="T106">
        <f t="shared" ref="T106" si="509">S106/1000</f>
        <v>-6.3019173032819646E-4</v>
      </c>
    </row>
    <row r="107" spans="1:20" x14ac:dyDescent="0.25">
      <c r="A107" s="5">
        <v>44486</v>
      </c>
      <c r="B107">
        <v>1192</v>
      </c>
      <c r="C107">
        <v>1235</v>
      </c>
      <c r="D107">
        <v>1170.0999999999999</v>
      </c>
      <c r="E107">
        <v>1228.9000000000001</v>
      </c>
      <c r="F107">
        <v>4610.0950000000003</v>
      </c>
      <c r="G107">
        <v>1228.9000000000001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0.81201848998459469</v>
      </c>
      <c r="Q107">
        <f t="shared" ref="Q107" si="511">F107*P107</f>
        <v>3743.4823805855303</v>
      </c>
      <c r="R107">
        <f t="shared" ref="R107" si="512">R108+Q107</f>
        <v>-54772.73108504471</v>
      </c>
      <c r="S107">
        <f t="shared" ref="S107" si="513">R107/100000</f>
        <v>-0.54772731085044712</v>
      </c>
      <c r="T107">
        <f t="shared" ref="T107" si="514">S107/1000</f>
        <v>-5.4772731085044708E-4</v>
      </c>
    </row>
    <row r="108" spans="1:20" x14ac:dyDescent="0.25">
      <c r="A108" s="5">
        <v>44485</v>
      </c>
      <c r="B108">
        <v>1227.4000000000001</v>
      </c>
      <c r="C108">
        <v>1330</v>
      </c>
      <c r="D108">
        <v>1183.5999999999999</v>
      </c>
      <c r="E108">
        <v>1192.5</v>
      </c>
      <c r="F108">
        <v>6275.902</v>
      </c>
      <c r="G108">
        <v>1192.5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-0.8784153005464469</v>
      </c>
      <c r="Q108">
        <f t="shared" ref="Q108" si="516">F108*P108</f>
        <v>-5512.848341530047</v>
      </c>
      <c r="R108">
        <f t="shared" ref="R108" si="517">R109+Q108</f>
        <v>-58516.213465630237</v>
      </c>
      <c r="S108">
        <f t="shared" ref="S108" si="518">R108/100000</f>
        <v>-0.5851621346563024</v>
      </c>
      <c r="T108">
        <f t="shared" ref="T108" si="519">S108/1000</f>
        <v>-5.8516213465630235E-4</v>
      </c>
    </row>
    <row r="109" spans="1:20" x14ac:dyDescent="0.25">
      <c r="A109" s="5">
        <v>44484</v>
      </c>
      <c r="B109">
        <v>1185.9000000000001</v>
      </c>
      <c r="C109">
        <v>1250.9000000000001</v>
      </c>
      <c r="D109">
        <v>1130.2</v>
      </c>
      <c r="E109">
        <v>1225.5</v>
      </c>
      <c r="F109">
        <v>5848.1729999999998</v>
      </c>
      <c r="G109">
        <v>1225.5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0.57912178956089344</v>
      </c>
      <c r="Q109">
        <f t="shared" ref="Q109" si="521">F109*P109</f>
        <v>3386.8044134216989</v>
      </c>
      <c r="R109">
        <f t="shared" ref="R109" si="522">R110+Q109</f>
        <v>-53003.365124100186</v>
      </c>
      <c r="S109">
        <f t="shared" ref="S109" si="523">R109/100000</f>
        <v>-0.53003365124100188</v>
      </c>
      <c r="T109">
        <f t="shared" ref="T109" si="524">S109/1000</f>
        <v>-5.3003365124100184E-4</v>
      </c>
    </row>
    <row r="110" spans="1:20" x14ac:dyDescent="0.25">
      <c r="A110" s="5">
        <v>44483</v>
      </c>
      <c r="B110">
        <v>1225.4000000000001</v>
      </c>
      <c r="C110">
        <v>1268.4000000000001</v>
      </c>
      <c r="D110">
        <v>1173.0999999999999</v>
      </c>
      <c r="E110">
        <v>1188</v>
      </c>
      <c r="F110">
        <v>7600.6469999999999</v>
      </c>
      <c r="G110">
        <v>1188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-0.687303252885623</v>
      </c>
      <c r="Q110">
        <f t="shared" ref="Q110" si="526">F110*P110</f>
        <v>-5223.949407135352</v>
      </c>
      <c r="R110">
        <f t="shared" ref="R110" si="527">R111+Q110</f>
        <v>-56390.169537521884</v>
      </c>
      <c r="S110">
        <f t="shared" ref="S110" si="528">R110/100000</f>
        <v>-0.56390169537521884</v>
      </c>
      <c r="T110">
        <f t="shared" ref="T110" si="529">S110/1000</f>
        <v>-5.6390169537521879E-4</v>
      </c>
    </row>
    <row r="111" spans="1:20" x14ac:dyDescent="0.25">
      <c r="A111" s="5">
        <v>44482</v>
      </c>
      <c r="B111">
        <v>1083.8</v>
      </c>
      <c r="C111">
        <v>1349.8</v>
      </c>
      <c r="D111">
        <v>1080</v>
      </c>
      <c r="E111">
        <v>1227.5999999999999</v>
      </c>
      <c r="F111">
        <v>28509.337</v>
      </c>
      <c r="G111">
        <v>1227.5999999999999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9.4143810229799368E-2</v>
      </c>
      <c r="Q111">
        <f t="shared" ref="Q111" si="531">F111*P111</f>
        <v>2683.9776123053975</v>
      </c>
      <c r="R111">
        <f t="shared" ref="R111" si="532">R112+Q111</f>
        <v>-51166.220130386529</v>
      </c>
      <c r="S111">
        <f t="shared" ref="S111" si="533">R111/100000</f>
        <v>-0.5116622013038653</v>
      </c>
      <c r="T111">
        <f t="shared" ref="T111" si="534">S111/1000</f>
        <v>-5.1166220130386525E-4</v>
      </c>
    </row>
    <row r="112" spans="1:20" x14ac:dyDescent="0.25">
      <c r="A112" s="5">
        <v>44481</v>
      </c>
      <c r="B112">
        <v>955.1</v>
      </c>
      <c r="C112">
        <v>1189.4000000000001</v>
      </c>
      <c r="D112">
        <v>901.2</v>
      </c>
      <c r="E112">
        <v>1083.0999999999999</v>
      </c>
      <c r="F112">
        <v>10945.447</v>
      </c>
      <c r="G112">
        <v>1083.0999999999999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0.26231783483691767</v>
      </c>
      <c r="Q112">
        <f t="shared" ref="Q112" si="536">F112*P112</f>
        <v>2871.1859583622359</v>
      </c>
      <c r="R112">
        <f t="shared" ref="R112" si="537">R113+Q112</f>
        <v>-53850.197742691926</v>
      </c>
      <c r="S112">
        <f t="shared" ref="S112" si="538">R112/100000</f>
        <v>-0.5385019774269193</v>
      </c>
      <c r="T112">
        <f t="shared" ref="T112" si="539">S112/1000</f>
        <v>-5.3850197742691928E-4</v>
      </c>
    </row>
    <row r="113" spans="1:20" x14ac:dyDescent="0.25">
      <c r="A113" s="5">
        <v>44480</v>
      </c>
      <c r="B113">
        <v>978.5</v>
      </c>
      <c r="C113">
        <v>1013.3</v>
      </c>
      <c r="D113">
        <v>938.8</v>
      </c>
      <c r="E113">
        <v>955.1</v>
      </c>
      <c r="F113">
        <v>2257.9609999999998</v>
      </c>
      <c r="G113">
        <v>955.1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-0.56241610738254855</v>
      </c>
      <c r="Q113">
        <f t="shared" ref="Q113" si="541">F113*P113</f>
        <v>-1269.9136362416066</v>
      </c>
      <c r="R113">
        <f t="shared" ref="R113" si="542">R114+Q113</f>
        <v>-56721.383701054161</v>
      </c>
      <c r="S113">
        <f t="shared" ref="S113" si="543">R113/100000</f>
        <v>-0.56721383701054162</v>
      </c>
      <c r="T113">
        <f t="shared" ref="T113" si="544">S113/1000</f>
        <v>-5.6721383701054161E-4</v>
      </c>
    </row>
    <row r="114" spans="1:20" x14ac:dyDescent="0.25">
      <c r="A114" s="5">
        <v>44479</v>
      </c>
      <c r="B114">
        <v>1013</v>
      </c>
      <c r="C114">
        <v>1044.9000000000001</v>
      </c>
      <c r="D114">
        <v>974.8</v>
      </c>
      <c r="E114">
        <v>978.2</v>
      </c>
      <c r="F114">
        <v>3383.9169999999999</v>
      </c>
      <c r="G114">
        <v>978.2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-0.90299572039942699</v>
      </c>
      <c r="Q114">
        <f t="shared" ref="Q114" si="546">F114*P114</f>
        <v>-3055.6625691868676</v>
      </c>
      <c r="R114">
        <f t="shared" ref="R114" si="547">R115+Q114</f>
        <v>-55451.470064812558</v>
      </c>
      <c r="S114">
        <f t="shared" ref="S114" si="548">R114/100000</f>
        <v>-0.55451470064812558</v>
      </c>
      <c r="T114">
        <f t="shared" ref="T114" si="549">S114/1000</f>
        <v>-5.5451470064812555E-4</v>
      </c>
    </row>
    <row r="115" spans="1:20" x14ac:dyDescent="0.25">
      <c r="A115" s="5">
        <v>44478</v>
      </c>
      <c r="B115">
        <v>985.9</v>
      </c>
      <c r="C115">
        <v>1036.7</v>
      </c>
      <c r="D115">
        <v>975.1</v>
      </c>
      <c r="E115">
        <v>1009</v>
      </c>
      <c r="F115">
        <v>3036.8229999999999</v>
      </c>
      <c r="G115">
        <v>1009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0.1006493506493495</v>
      </c>
      <c r="Q115">
        <f t="shared" ref="Q115" si="551">F115*P115</f>
        <v>305.65426298700947</v>
      </c>
      <c r="R115">
        <f t="shared" ref="R115" si="552">R116+Q115</f>
        <v>-52395.80749562569</v>
      </c>
      <c r="S115">
        <f t="shared" ref="S115" si="553">R115/100000</f>
        <v>-0.5239580749562569</v>
      </c>
      <c r="T115">
        <f t="shared" ref="T115" si="554">S115/1000</f>
        <v>-5.2395807495625695E-4</v>
      </c>
    </row>
    <row r="116" spans="1:20" x14ac:dyDescent="0.25">
      <c r="A116" s="5">
        <v>44477</v>
      </c>
      <c r="B116">
        <v>1028.5</v>
      </c>
      <c r="C116">
        <v>1109.9000000000001</v>
      </c>
      <c r="D116">
        <v>976</v>
      </c>
      <c r="E116">
        <v>983.6</v>
      </c>
      <c r="F116">
        <v>5829.1509999999998</v>
      </c>
      <c r="G116">
        <v>983.6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-0.88648244958924549</v>
      </c>
      <c r="Q116">
        <f t="shared" ref="Q116" si="556">F116*P116</f>
        <v>-5167.4400575055997</v>
      </c>
      <c r="R116">
        <f t="shared" ref="R116" si="557">R117+Q116</f>
        <v>-52701.461758612699</v>
      </c>
      <c r="S116">
        <f t="shared" ref="S116" si="558">R116/100000</f>
        <v>-0.527014617586127</v>
      </c>
      <c r="T116">
        <f t="shared" ref="T116" si="559">S116/1000</f>
        <v>-5.2701461758612701E-4</v>
      </c>
    </row>
    <row r="117" spans="1:20" x14ac:dyDescent="0.25">
      <c r="A117" s="5">
        <v>44476</v>
      </c>
      <c r="B117">
        <v>938.2</v>
      </c>
      <c r="C117">
        <v>1092.8</v>
      </c>
      <c r="D117">
        <v>911.3</v>
      </c>
      <c r="E117">
        <v>1027.4000000000001</v>
      </c>
      <c r="F117">
        <v>7173.0749999999998</v>
      </c>
      <c r="G117">
        <v>1027.4000000000001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0.27933884297520811</v>
      </c>
      <c r="Q117">
        <f t="shared" ref="Q117" si="561">F117*P117</f>
        <v>2003.7184710743909</v>
      </c>
      <c r="R117">
        <f t="shared" ref="R117" si="562">R118+Q117</f>
        <v>-47534.0217011071</v>
      </c>
      <c r="S117">
        <f t="shared" ref="S117" si="563">R117/100000</f>
        <v>-0.47534021701107099</v>
      </c>
      <c r="T117">
        <f t="shared" ref="T117" si="564">S117/1000</f>
        <v>-4.7534021701107099E-4</v>
      </c>
    </row>
    <row r="118" spans="1:20" x14ac:dyDescent="0.25">
      <c r="A118" s="5">
        <v>44475</v>
      </c>
      <c r="B118">
        <v>943.4</v>
      </c>
      <c r="C118">
        <v>952</v>
      </c>
      <c r="D118">
        <v>891</v>
      </c>
      <c r="E118">
        <v>940.1</v>
      </c>
      <c r="F118">
        <v>3501.0169999999998</v>
      </c>
      <c r="G118">
        <v>940.1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0.60983606557377124</v>
      </c>
      <c r="Q118">
        <f t="shared" ref="Q118" si="566">F118*P118</f>
        <v>2135.0464327868876</v>
      </c>
      <c r="R118">
        <f t="shared" ref="R118" si="567">R119+Q118</f>
        <v>-49537.740172181489</v>
      </c>
      <c r="S118">
        <f t="shared" ref="S118" si="568">R118/100000</f>
        <v>-0.49537740172181488</v>
      </c>
      <c r="T118">
        <f t="shared" ref="T118" si="569">S118/1000</f>
        <v>-4.9537740172181485E-4</v>
      </c>
    </row>
    <row r="119" spans="1:20" x14ac:dyDescent="0.25">
      <c r="A119" s="5">
        <v>44474</v>
      </c>
      <c r="B119">
        <v>926.3</v>
      </c>
      <c r="C119">
        <v>960.9</v>
      </c>
      <c r="D119">
        <v>918.8</v>
      </c>
      <c r="E119">
        <v>943.4</v>
      </c>
      <c r="F119">
        <v>2318.3110000000001</v>
      </c>
      <c r="G119">
        <v>943.4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0.16864608076009546</v>
      </c>
      <c r="Q119">
        <f t="shared" ref="Q119" si="571">F119*P119</f>
        <v>390.97406413301769</v>
      </c>
      <c r="R119">
        <f t="shared" ref="R119" si="572">R120+Q119</f>
        <v>-51672.78660496838</v>
      </c>
      <c r="S119">
        <f t="shared" ref="S119" si="573">R119/100000</f>
        <v>-0.51672786604968379</v>
      </c>
      <c r="T119">
        <f t="shared" ref="T119" si="574">S119/1000</f>
        <v>-5.1672786604968382E-4</v>
      </c>
    </row>
    <row r="120" spans="1:20" x14ac:dyDescent="0.25">
      <c r="A120" s="5">
        <v>44473</v>
      </c>
      <c r="B120">
        <v>967.4</v>
      </c>
      <c r="C120">
        <v>980</v>
      </c>
      <c r="D120">
        <v>890.7</v>
      </c>
      <c r="E120">
        <v>928.7</v>
      </c>
      <c r="F120">
        <v>3683.6089999999999</v>
      </c>
      <c r="G120">
        <v>928.7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-0.14893617021276553</v>
      </c>
      <c r="Q120">
        <f t="shared" ref="Q120" si="576">F120*P120</f>
        <v>-548.622617021275</v>
      </c>
      <c r="R120">
        <f t="shared" ref="R120" si="577">R121+Q120</f>
        <v>-52063.760669101401</v>
      </c>
      <c r="S120">
        <f t="shared" ref="S120" si="578">R120/100000</f>
        <v>-0.520637606691014</v>
      </c>
      <c r="T120">
        <f t="shared" ref="T120" si="579">S120/1000</f>
        <v>-5.2063760669101395E-4</v>
      </c>
    </row>
    <row r="121" spans="1:20" x14ac:dyDescent="0.25">
      <c r="A121" s="5">
        <v>44472</v>
      </c>
      <c r="B121">
        <v>947.4</v>
      </c>
      <c r="C121">
        <v>973.4</v>
      </c>
      <c r="D121">
        <v>936</v>
      </c>
      <c r="E121">
        <v>965.3</v>
      </c>
      <c r="F121">
        <v>1909.98</v>
      </c>
      <c r="G121">
        <v>965.3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0.56684491978609475</v>
      </c>
      <c r="Q121">
        <f t="shared" ref="Q121" si="581">F121*P121</f>
        <v>1082.6624598930453</v>
      </c>
      <c r="R121">
        <f t="shared" ref="R121" si="582">R122+Q121</f>
        <v>-51515.138052080125</v>
      </c>
      <c r="S121">
        <f t="shared" ref="S121" si="583">R121/100000</f>
        <v>-0.51515138052080123</v>
      </c>
      <c r="T121">
        <f t="shared" ref="T121" si="584">S121/1000</f>
        <v>-5.1515138052080122E-4</v>
      </c>
    </row>
    <row r="122" spans="1:20" x14ac:dyDescent="0.25">
      <c r="A122" s="5">
        <v>44471</v>
      </c>
      <c r="B122">
        <v>956</v>
      </c>
      <c r="C122">
        <v>984.4</v>
      </c>
      <c r="D122">
        <v>932.3</v>
      </c>
      <c r="E122">
        <v>950</v>
      </c>
      <c r="F122">
        <v>2250.5309999999999</v>
      </c>
      <c r="G122">
        <v>950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-0.3205374280230312</v>
      </c>
      <c r="Q122">
        <f t="shared" ref="Q122" si="586">F122*P122</f>
        <v>-721.37941842610041</v>
      </c>
      <c r="R122">
        <f t="shared" ref="R122" si="587">R123+Q122</f>
        <v>-52597.800511973168</v>
      </c>
      <c r="S122">
        <f t="shared" ref="S122" si="588">R122/100000</f>
        <v>-0.5259780051197317</v>
      </c>
      <c r="T122">
        <f t="shared" ref="T122" si="589">S122/1000</f>
        <v>-5.2597800511973165E-4</v>
      </c>
    </row>
    <row r="123" spans="1:20" x14ac:dyDescent="0.25">
      <c r="A123" s="5">
        <v>44470</v>
      </c>
      <c r="B123">
        <v>895</v>
      </c>
      <c r="C123">
        <v>974.2</v>
      </c>
      <c r="D123">
        <v>883.4</v>
      </c>
      <c r="E123">
        <v>958</v>
      </c>
      <c r="F123">
        <v>3079.7910000000002</v>
      </c>
      <c r="G123">
        <v>958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0.64317180616740011</v>
      </c>
      <c r="Q123">
        <f t="shared" ref="Q123" si="591">F123*P123</f>
        <v>1980.8347400881034</v>
      </c>
      <c r="R123">
        <f t="shared" ref="R123" si="592">R124+Q123</f>
        <v>-51876.421093547069</v>
      </c>
      <c r="S123">
        <f t="shared" ref="S123" si="593">R123/100000</f>
        <v>-0.51876421093547065</v>
      </c>
      <c r="T123">
        <f t="shared" ref="T123" si="594">S123/1000</f>
        <v>-5.187642109354706E-4</v>
      </c>
    </row>
    <row r="124" spans="1:20" x14ac:dyDescent="0.25">
      <c r="A124" s="5">
        <v>44469</v>
      </c>
      <c r="B124">
        <v>863</v>
      </c>
      <c r="C124">
        <v>900.7</v>
      </c>
      <c r="D124">
        <v>862.7</v>
      </c>
      <c r="E124">
        <v>892.1</v>
      </c>
      <c r="F124">
        <v>1731.49</v>
      </c>
      <c r="G124">
        <v>892.1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0.54736842105263039</v>
      </c>
      <c r="Q124">
        <f t="shared" ref="Q124" si="596">F124*P124</f>
        <v>947.76294736841896</v>
      </c>
      <c r="R124">
        <f t="shared" ref="R124" si="597">R125+Q124</f>
        <v>-53857.255833635172</v>
      </c>
      <c r="S124">
        <f t="shared" ref="S124" si="598">R124/100000</f>
        <v>-0.53857255833635176</v>
      </c>
      <c r="T124">
        <f t="shared" ref="T124" si="599">S124/1000</f>
        <v>-5.3857255833635173E-4</v>
      </c>
    </row>
    <row r="125" spans="1:20" x14ac:dyDescent="0.25">
      <c r="A125" s="5">
        <v>44468</v>
      </c>
      <c r="B125">
        <v>818</v>
      </c>
      <c r="C125">
        <v>894.7</v>
      </c>
      <c r="D125">
        <v>815</v>
      </c>
      <c r="E125">
        <v>863.8</v>
      </c>
      <c r="F125">
        <v>1537.702</v>
      </c>
      <c r="G125">
        <v>863.8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0.22459222082810357</v>
      </c>
      <c r="Q125">
        <f t="shared" ref="Q125" si="601">F125*P125</f>
        <v>345.3559071518165</v>
      </c>
      <c r="R125">
        <f t="shared" ref="R125" si="602">R126+Q125</f>
        <v>-54805.018781003593</v>
      </c>
      <c r="S125">
        <f t="shared" ref="S125" si="603">R125/100000</f>
        <v>-0.54805018781003589</v>
      </c>
      <c r="T125">
        <f t="shared" ref="T125" si="604">S125/1000</f>
        <v>-5.4805018781003587E-4</v>
      </c>
    </row>
    <row r="126" spans="1:20" x14ac:dyDescent="0.25">
      <c r="A126" s="5">
        <v>44467</v>
      </c>
      <c r="B126">
        <v>851.6</v>
      </c>
      <c r="C126">
        <v>880</v>
      </c>
      <c r="D126">
        <v>814</v>
      </c>
      <c r="E126">
        <v>818.2</v>
      </c>
      <c r="F126">
        <v>2366.5169999999998</v>
      </c>
      <c r="G126">
        <v>818.2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-0.87272727272727135</v>
      </c>
      <c r="Q126">
        <f t="shared" ref="Q126" si="606">F126*P126</f>
        <v>-2065.3239272727237</v>
      </c>
      <c r="R126">
        <f t="shared" ref="R126" si="607">R127+Q126</f>
        <v>-55150.374688155411</v>
      </c>
      <c r="S126">
        <f t="shared" ref="S126" si="608">R126/100000</f>
        <v>-0.55150374688155412</v>
      </c>
      <c r="T126">
        <f t="shared" ref="T126" si="609">S126/1000</f>
        <v>-5.5150374688155417E-4</v>
      </c>
    </row>
    <row r="127" spans="1:20" x14ac:dyDescent="0.25">
      <c r="A127" s="5">
        <v>44466</v>
      </c>
      <c r="B127">
        <v>873.3</v>
      </c>
      <c r="C127">
        <v>913.3</v>
      </c>
      <c r="D127">
        <v>843.9</v>
      </c>
      <c r="E127">
        <v>850.1</v>
      </c>
      <c r="F127">
        <v>2192.643</v>
      </c>
      <c r="G127">
        <v>850.1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-0.82132564841498423</v>
      </c>
      <c r="Q127">
        <f t="shared" ref="Q127" si="611">F127*P127</f>
        <v>-1800.8739337175764</v>
      </c>
      <c r="R127">
        <f t="shared" ref="R127" si="612">R128+Q127</f>
        <v>-53085.050760882688</v>
      </c>
      <c r="S127">
        <f t="shared" ref="S127" si="613">R127/100000</f>
        <v>-0.5308505076088269</v>
      </c>
      <c r="T127">
        <f t="shared" ref="T127" si="614">S127/1000</f>
        <v>-5.3085050760882685E-4</v>
      </c>
    </row>
    <row r="128" spans="1:20" x14ac:dyDescent="0.25">
      <c r="A128" s="5">
        <v>44465</v>
      </c>
      <c r="B128">
        <v>894.9</v>
      </c>
      <c r="C128">
        <v>895.8</v>
      </c>
      <c r="D128">
        <v>820</v>
      </c>
      <c r="E128">
        <v>872</v>
      </c>
      <c r="F128">
        <v>2316.4594029999998</v>
      </c>
      <c r="G128">
        <v>872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0.37203166226913009</v>
      </c>
      <c r="Q128">
        <f t="shared" ref="Q128" si="616">F128*P128</f>
        <v>861.79624227704664</v>
      </c>
      <c r="R128">
        <f t="shared" ref="R128" si="617">R129+Q128</f>
        <v>-51284.176827165109</v>
      </c>
      <c r="S128">
        <f t="shared" ref="S128" si="618">R128/100000</f>
        <v>-0.51284176827165107</v>
      </c>
      <c r="T128">
        <f t="shared" ref="T128" si="619">S128/1000</f>
        <v>-5.1284176827165104E-4</v>
      </c>
    </row>
    <row r="129" spans="1:20" x14ac:dyDescent="0.25">
      <c r="A129" s="5">
        <v>44464</v>
      </c>
      <c r="B129">
        <v>913.3</v>
      </c>
      <c r="C129">
        <v>936.8</v>
      </c>
      <c r="D129">
        <v>888.8</v>
      </c>
      <c r="E129">
        <v>895.5</v>
      </c>
      <c r="F129">
        <v>7390.1980000000003</v>
      </c>
      <c r="G129">
        <v>895.5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-0.72083333333333144</v>
      </c>
      <c r="Q129">
        <f t="shared" ref="Q129" si="621">F129*P129</f>
        <v>-5327.10105833332</v>
      </c>
      <c r="R129">
        <f t="shared" ref="R129" si="622">R130+Q129</f>
        <v>-52145.973069442152</v>
      </c>
      <c r="S129">
        <f t="shared" ref="S129" si="623">R129/100000</f>
        <v>-0.52145973069442153</v>
      </c>
      <c r="T129">
        <f t="shared" ref="T129" si="624">S129/1000</f>
        <v>-5.2145973069442158E-4</v>
      </c>
    </row>
    <row r="130" spans="1:20" x14ac:dyDescent="0.25">
      <c r="A130" s="5">
        <v>44463</v>
      </c>
      <c r="B130">
        <v>1019.9</v>
      </c>
      <c r="C130">
        <v>1029.8</v>
      </c>
      <c r="D130">
        <v>862.2</v>
      </c>
      <c r="E130">
        <v>913.8</v>
      </c>
      <c r="F130">
        <v>3903.2948500000002</v>
      </c>
      <c r="G130">
        <v>913.8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-0.38424821002386711</v>
      </c>
      <c r="Q130">
        <f t="shared" ref="Q130" si="626">F130*P130</f>
        <v>-1499.834059307879</v>
      </c>
      <c r="R130">
        <f t="shared" ref="R130" si="627">R131+Q130</f>
        <v>-46818.872011108833</v>
      </c>
      <c r="S130">
        <f t="shared" ref="S130" si="628">R130/100000</f>
        <v>-0.46818872011108831</v>
      </c>
      <c r="T130">
        <f t="shared" ref="T130" si="629">S130/1000</f>
        <v>-4.681887201110883E-4</v>
      </c>
    </row>
    <row r="131" spans="1:20" x14ac:dyDescent="0.25">
      <c r="A131" s="5">
        <v>44462</v>
      </c>
      <c r="B131">
        <v>1013.7</v>
      </c>
      <c r="C131">
        <v>1067.9000000000001</v>
      </c>
      <c r="D131">
        <v>963.8</v>
      </c>
      <c r="E131">
        <v>1019.5</v>
      </c>
      <c r="F131">
        <v>3174.09</v>
      </c>
      <c r="G131">
        <v>1019.5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7.0124879923150293E-2</v>
      </c>
      <c r="Q131">
        <f t="shared" ref="Q131" si="631">F131*P131</f>
        <v>222.58268011527213</v>
      </c>
      <c r="R131">
        <f t="shared" ref="R131" si="632">R132+Q131</f>
        <v>-45319.037951800958</v>
      </c>
      <c r="S131">
        <f t="shared" ref="S131" si="633">R131/100000</f>
        <v>-0.45319037951800956</v>
      </c>
      <c r="T131">
        <f t="shared" ref="T131" si="634">S131/1000</f>
        <v>-4.5319037951800954E-4</v>
      </c>
    </row>
    <row r="132" spans="1:20" x14ac:dyDescent="0.25">
      <c r="A132" s="5">
        <v>44461</v>
      </c>
      <c r="B132">
        <v>916.3</v>
      </c>
      <c r="C132">
        <v>1018</v>
      </c>
      <c r="D132">
        <v>898.7</v>
      </c>
      <c r="E132">
        <v>1013.7</v>
      </c>
      <c r="F132">
        <v>4697.0529999999999</v>
      </c>
      <c r="G132">
        <v>1013.7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0.92791282481140058</v>
      </c>
      <c r="Q132">
        <f t="shared" ref="Q132" si="636">F132*P132</f>
        <v>4358.4557175188638</v>
      </c>
      <c r="R132">
        <f t="shared" ref="R132" si="637">R133+Q132</f>
        <v>-45541.62063191623</v>
      </c>
      <c r="S132">
        <f t="shared" ref="S132" si="638">R132/100000</f>
        <v>-0.4554162063191623</v>
      </c>
      <c r="T132">
        <f t="shared" ref="T132" si="639">S132/1000</f>
        <v>-4.5541620631916232E-4</v>
      </c>
    </row>
    <row r="133" spans="1:20" x14ac:dyDescent="0.25">
      <c r="A133" s="5">
        <v>44460</v>
      </c>
      <c r="B133">
        <v>989.8</v>
      </c>
      <c r="C133">
        <v>1037.5</v>
      </c>
      <c r="D133">
        <v>891</v>
      </c>
      <c r="E133">
        <v>911.3</v>
      </c>
      <c r="F133">
        <v>3539.4544340000002</v>
      </c>
      <c r="G133">
        <v>911.3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-0.7228668941979528</v>
      </c>
      <c r="Q133">
        <f t="shared" ref="Q133" si="641">F133*P133</f>
        <v>-2558.5544338607533</v>
      </c>
      <c r="R133">
        <f t="shared" ref="R133" si="642">R134+Q133</f>
        <v>-49900.076349435098</v>
      </c>
      <c r="S133">
        <f t="shared" ref="S133" si="643">R133/100000</f>
        <v>-0.49900076349435096</v>
      </c>
      <c r="T133">
        <f t="shared" ref="T133" si="644">S133/1000</f>
        <v>-4.9900076349435095E-4</v>
      </c>
    </row>
    <row r="134" spans="1:20" x14ac:dyDescent="0.25">
      <c r="A134" s="5">
        <v>44459</v>
      </c>
      <c r="B134">
        <v>1141</v>
      </c>
      <c r="C134">
        <v>1141</v>
      </c>
      <c r="D134">
        <v>1006.8</v>
      </c>
      <c r="E134">
        <v>1035.9000000000001</v>
      </c>
      <c r="F134">
        <v>1589.57096</v>
      </c>
      <c r="G134">
        <v>1035.9000000000001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-0.5663189269746628</v>
      </c>
      <c r="Q134">
        <f t="shared" ref="Q134" si="646">F134*P134</f>
        <v>-900.20412041728468</v>
      </c>
      <c r="R134">
        <f t="shared" ref="R134" si="647">R135+Q134</f>
        <v>-47341.521915574347</v>
      </c>
      <c r="S134">
        <f t="shared" ref="S134" si="648">R134/100000</f>
        <v>-0.47341521915574347</v>
      </c>
      <c r="T134">
        <f t="shared" ref="T134" si="649">S134/1000</f>
        <v>-4.7341521915574345E-4</v>
      </c>
    </row>
    <row r="135" spans="1:20" x14ac:dyDescent="0.25">
      <c r="A135" s="5">
        <v>44458</v>
      </c>
      <c r="B135">
        <v>1228</v>
      </c>
      <c r="C135">
        <v>1230</v>
      </c>
      <c r="D135">
        <v>1130.7</v>
      </c>
      <c r="E135">
        <v>1140.5999999999999</v>
      </c>
      <c r="F135">
        <v>2352.6669999999999</v>
      </c>
      <c r="G135">
        <v>1140.5999999999999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-0.80060422960725341</v>
      </c>
      <c r="Q135">
        <f t="shared" ref="Q135" si="651">F135*P135</f>
        <v>-1883.555151057408</v>
      </c>
      <c r="R135">
        <f t="shared" ref="R135" si="652">R136+Q135</f>
        <v>-46441.317795157061</v>
      </c>
      <c r="S135">
        <f t="shared" ref="S135" si="653">R135/100000</f>
        <v>-0.46441317795157061</v>
      </c>
      <c r="T135">
        <f t="shared" ref="T135" si="654">S135/1000</f>
        <v>-4.6441317795157063E-4</v>
      </c>
    </row>
    <row r="136" spans="1:20" x14ac:dyDescent="0.25">
      <c r="A136" s="5">
        <v>44457</v>
      </c>
      <c r="B136">
        <v>1146.4000000000001</v>
      </c>
      <c r="C136">
        <v>1346.6</v>
      </c>
      <c r="D136">
        <v>1130.3</v>
      </c>
      <c r="E136">
        <v>1229</v>
      </c>
      <c r="F136">
        <v>5569.4319999999998</v>
      </c>
      <c r="G136">
        <v>1229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-8.7378640776698421E-2</v>
      </c>
      <c r="Q136">
        <f t="shared" ref="Q136" si="656">F136*P136</f>
        <v>-486.64939805824901</v>
      </c>
      <c r="R136">
        <f t="shared" ref="R136" si="657">R137+Q136</f>
        <v>-44557.762644099654</v>
      </c>
      <c r="S136">
        <f t="shared" ref="S136" si="658">R136/100000</f>
        <v>-0.44557762644099652</v>
      </c>
      <c r="T136">
        <f t="shared" ref="T136" si="659">S136/1000</f>
        <v>-4.4557762644099652E-4</v>
      </c>
    </row>
    <row r="137" spans="1:20" x14ac:dyDescent="0.25">
      <c r="A137" s="5">
        <v>44456</v>
      </c>
      <c r="B137">
        <v>1228.5999999999999</v>
      </c>
      <c r="C137">
        <v>1235.7</v>
      </c>
      <c r="D137">
        <v>1133.8</v>
      </c>
      <c r="E137">
        <v>1143.8</v>
      </c>
      <c r="F137">
        <v>2415.6990000000001</v>
      </c>
      <c r="G137">
        <v>1143.8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-0.80372914622178626</v>
      </c>
      <c r="Q137">
        <f t="shared" ref="Q137" si="661">F137*P137</f>
        <v>-1941.5676947988229</v>
      </c>
      <c r="R137">
        <f t="shared" ref="R137" si="662">R138+Q137</f>
        <v>-44071.113246041408</v>
      </c>
      <c r="S137">
        <f t="shared" ref="S137" si="663">R137/100000</f>
        <v>-0.4407111324604141</v>
      </c>
      <c r="T137">
        <f t="shared" ref="T137" si="664">S137/1000</f>
        <v>-4.407111324604141E-4</v>
      </c>
    </row>
    <row r="138" spans="1:20" x14ac:dyDescent="0.25">
      <c r="A138" s="5">
        <v>44455</v>
      </c>
      <c r="B138">
        <v>1254.2</v>
      </c>
      <c r="C138">
        <v>1266.2</v>
      </c>
      <c r="D138">
        <v>1210</v>
      </c>
      <c r="E138">
        <v>1231.2</v>
      </c>
      <c r="F138">
        <v>2619.0549999999998</v>
      </c>
      <c r="G138">
        <v>1231.2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-0.24555160142348653</v>
      </c>
      <c r="Q138">
        <f t="shared" ref="Q138" si="666">F138*P138</f>
        <v>-643.1131494661895</v>
      </c>
      <c r="R138">
        <f t="shared" ref="R138" si="667">R139+Q138</f>
        <v>-42129.545551242583</v>
      </c>
      <c r="S138">
        <f t="shared" ref="S138" si="668">R138/100000</f>
        <v>-0.42129545551242581</v>
      </c>
      <c r="T138">
        <f t="shared" ref="T138" si="669">S138/1000</f>
        <v>-4.2129545551242582E-4</v>
      </c>
    </row>
    <row r="139" spans="1:20" x14ac:dyDescent="0.25">
      <c r="A139" s="5">
        <v>44454</v>
      </c>
      <c r="B139">
        <v>1247.0999999999999</v>
      </c>
      <c r="C139">
        <v>1289.0999999999999</v>
      </c>
      <c r="D139">
        <v>1220.9000000000001</v>
      </c>
      <c r="E139">
        <v>1252.7</v>
      </c>
      <c r="F139">
        <v>2758.7489999999998</v>
      </c>
      <c r="G139">
        <v>1252.7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-6.7448680351905002E-2</v>
      </c>
      <c r="Q139">
        <f t="shared" ref="Q139" si="671">F139*P139</f>
        <v>-186.07397947213755</v>
      </c>
      <c r="R139">
        <f t="shared" ref="R139" si="672">R140+Q139</f>
        <v>-41486.432401776394</v>
      </c>
      <c r="S139">
        <f t="shared" ref="S139" si="673">R139/100000</f>
        <v>-0.41486432401776396</v>
      </c>
      <c r="T139">
        <f t="shared" ref="T139" si="674">S139/1000</f>
        <v>-4.1486432401776399E-4</v>
      </c>
    </row>
    <row r="140" spans="1:20" x14ac:dyDescent="0.25">
      <c r="A140" s="5">
        <v>44453</v>
      </c>
      <c r="B140">
        <v>1178.7</v>
      </c>
      <c r="C140">
        <v>1287</v>
      </c>
      <c r="D140">
        <v>1168.0999999999999</v>
      </c>
      <c r="E140">
        <v>1245.2</v>
      </c>
      <c r="F140">
        <v>3793.3870000000002</v>
      </c>
      <c r="G140">
        <v>1245.2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0.29688814129520735</v>
      </c>
      <c r="Q140">
        <f t="shared" ref="Q140" si="676">F140*P140</f>
        <v>1126.2116156434029</v>
      </c>
      <c r="R140">
        <f t="shared" ref="R140" si="677">R141+Q140</f>
        <v>-41300.358422304256</v>
      </c>
      <c r="S140">
        <f t="shared" ref="S140" si="678">R140/100000</f>
        <v>-0.41300358422304256</v>
      </c>
      <c r="T140">
        <f t="shared" ref="T140" si="679">S140/1000</f>
        <v>-4.1300358422304256E-4</v>
      </c>
    </row>
    <row r="141" spans="1:20" x14ac:dyDescent="0.25">
      <c r="A141" s="5">
        <v>44452</v>
      </c>
      <c r="B141">
        <v>1296.5999999999999</v>
      </c>
      <c r="C141">
        <v>1302.2</v>
      </c>
      <c r="D141">
        <v>1146</v>
      </c>
      <c r="E141">
        <v>1178.7</v>
      </c>
      <c r="F141">
        <v>3403.4989999999998</v>
      </c>
      <c r="G141">
        <v>1178.7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-0.58130601792573577</v>
      </c>
      <c r="Q141">
        <f t="shared" ref="Q141" si="681">F141*P141</f>
        <v>-1978.4744507042237</v>
      </c>
      <c r="R141">
        <f t="shared" ref="R141" si="682">R142+Q141</f>
        <v>-42426.570037947662</v>
      </c>
      <c r="S141">
        <f t="shared" ref="S141" si="683">R141/100000</f>
        <v>-0.42426570037947664</v>
      </c>
      <c r="T141">
        <f t="shared" ref="T141" si="684">S141/1000</f>
        <v>-4.2426570037947664E-4</v>
      </c>
    </row>
    <row r="142" spans="1:20" x14ac:dyDescent="0.25">
      <c r="A142" s="5">
        <v>44451</v>
      </c>
      <c r="B142">
        <v>1285.2</v>
      </c>
      <c r="C142">
        <v>1330.2</v>
      </c>
      <c r="D142">
        <v>1260.3</v>
      </c>
      <c r="E142">
        <v>1296.5999999999999</v>
      </c>
      <c r="F142">
        <v>3246.3620000000001</v>
      </c>
      <c r="G142">
        <v>1296.5999999999999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3.8626609442057432E-2</v>
      </c>
      <c r="Q142">
        <f t="shared" ref="Q142" si="686">F142*P142</f>
        <v>125.39595708153645</v>
      </c>
      <c r="R142">
        <f t="shared" ref="R142" si="687">R143+Q142</f>
        <v>-40448.095587243435</v>
      </c>
      <c r="S142">
        <f t="shared" ref="S142" si="688">R142/100000</f>
        <v>-0.40448095587243438</v>
      </c>
      <c r="T142">
        <f t="shared" ref="T142" si="689">S142/1000</f>
        <v>-4.044809558724344E-4</v>
      </c>
    </row>
    <row r="143" spans="1:20" x14ac:dyDescent="0.25">
      <c r="A143" s="5">
        <v>44450</v>
      </c>
      <c r="B143">
        <v>1281.5</v>
      </c>
      <c r="C143">
        <v>1354</v>
      </c>
      <c r="D143">
        <v>1269.7</v>
      </c>
      <c r="E143">
        <v>1285</v>
      </c>
      <c r="F143">
        <v>3395.0189999999998</v>
      </c>
      <c r="G143">
        <v>1285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-0.63701067615658447</v>
      </c>
      <c r="Q143">
        <f t="shared" ref="Q143" si="691">F143*P143</f>
        <v>-2162.6633487544509</v>
      </c>
      <c r="R143">
        <f t="shared" ref="R143" si="692">R144+Q143</f>
        <v>-40573.49154432497</v>
      </c>
      <c r="S143">
        <f t="shared" ref="S143" si="693">R143/100000</f>
        <v>-0.40573491544324969</v>
      </c>
      <c r="T143">
        <f t="shared" ref="T143" si="694">S143/1000</f>
        <v>-4.0573491544324968E-4</v>
      </c>
    </row>
    <row r="144" spans="1:20" x14ac:dyDescent="0.25">
      <c r="A144" s="5">
        <v>44449</v>
      </c>
      <c r="B144">
        <v>1389.4</v>
      </c>
      <c r="C144">
        <v>1432.4</v>
      </c>
      <c r="D144">
        <v>1252</v>
      </c>
      <c r="E144">
        <v>1281.5</v>
      </c>
      <c r="F144">
        <v>6389.0290000000005</v>
      </c>
      <c r="G144">
        <v>1281.5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-0.67294900221729503</v>
      </c>
      <c r="Q144">
        <f t="shared" ref="Q144" si="696">F144*P144</f>
        <v>-4299.490690687363</v>
      </c>
      <c r="R144">
        <f t="shared" ref="R144" si="697">R145+Q144</f>
        <v>-38410.828195570517</v>
      </c>
      <c r="S144">
        <f t="shared" ref="S144" si="698">R144/100000</f>
        <v>-0.38410828195570518</v>
      </c>
      <c r="T144">
        <f t="shared" ref="T144" si="699">S144/1000</f>
        <v>-3.8410828195570518E-4</v>
      </c>
    </row>
    <row r="145" spans="1:20" x14ac:dyDescent="0.25">
      <c r="A145" s="5">
        <v>44448</v>
      </c>
      <c r="B145">
        <v>1393</v>
      </c>
      <c r="C145">
        <v>1498</v>
      </c>
      <c r="D145">
        <v>1348.3</v>
      </c>
      <c r="E145">
        <v>1387.5</v>
      </c>
      <c r="F145">
        <v>10179.907999999999</v>
      </c>
      <c r="G145">
        <v>1387.5</v>
      </c>
      <c r="L145" t="s">
        <v>7</v>
      </c>
      <c r="M145" t="s">
        <v>7</v>
      </c>
      <c r="N145" t="s">
        <v>8</v>
      </c>
      <c r="P145">
        <f t="shared" ref="P145" si="700">IF(C145=D145,0,((E145-D145)-(C145-E145))/(C145-D145))</f>
        <v>-0.47628590514362013</v>
      </c>
      <c r="Q145">
        <f t="shared" ref="Q145" si="701">F145*P145</f>
        <v>-4848.5466960587792</v>
      </c>
      <c r="R145">
        <f t="shared" ref="R145" si="702">R146+Q145</f>
        <v>-34111.337504883151</v>
      </c>
      <c r="S145">
        <f t="shared" ref="S145" si="703">R145/100000</f>
        <v>-0.34111337504883149</v>
      </c>
      <c r="T145">
        <f t="shared" ref="T145" si="704">S145/1000</f>
        <v>-3.4111337504883149E-4</v>
      </c>
    </row>
    <row r="146" spans="1:20" x14ac:dyDescent="0.25">
      <c r="A146" s="5">
        <v>44447</v>
      </c>
      <c r="B146">
        <v>1423.1</v>
      </c>
      <c r="C146">
        <v>1600</v>
      </c>
      <c r="D146">
        <v>1323.1</v>
      </c>
      <c r="E146">
        <v>1393</v>
      </c>
      <c r="F146">
        <v>23178.935000000001</v>
      </c>
      <c r="G146">
        <v>1393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-0.49512459371614254</v>
      </c>
      <c r="Q146">
        <f t="shared" ref="Q146" si="706">F146*P146</f>
        <v>-11476.460774647878</v>
      </c>
      <c r="R146">
        <f t="shared" ref="R146" si="707">R147+Q146</f>
        <v>-29262.790808824371</v>
      </c>
      <c r="S146">
        <f t="shared" ref="S146" si="708">R146/100000</f>
        <v>-0.29262790808824374</v>
      </c>
      <c r="T146">
        <f t="shared" ref="T146" si="709">S146/1000</f>
        <v>-2.9262790808824376E-4</v>
      </c>
    </row>
    <row r="147" spans="1:20" x14ac:dyDescent="0.25">
      <c r="A147" s="5">
        <v>44446</v>
      </c>
      <c r="B147">
        <v>1315.5</v>
      </c>
      <c r="C147">
        <v>1718.7</v>
      </c>
      <c r="D147">
        <v>1023.6</v>
      </c>
      <c r="E147">
        <v>1421.5</v>
      </c>
      <c r="F147">
        <v>32642.886613999999</v>
      </c>
      <c r="G147">
        <v>1421.5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0.14487124154797862</v>
      </c>
      <c r="Q147">
        <f t="shared" ref="Q147" si="711">F147*P147</f>
        <v>4729.0155114800718</v>
      </c>
      <c r="R147">
        <f t="shared" ref="R147" si="712">R148+Q147</f>
        <v>-17786.330034176492</v>
      </c>
      <c r="S147">
        <f t="shared" ref="S147" si="713">R147/100000</f>
        <v>-0.17786330034176492</v>
      </c>
      <c r="T147">
        <f t="shared" ref="T147" si="714">S147/1000</f>
        <v>-1.7786330034176491E-4</v>
      </c>
    </row>
    <row r="148" spans="1:20" x14ac:dyDescent="0.25">
      <c r="A148" s="5">
        <v>44445</v>
      </c>
      <c r="B148">
        <v>1264.5</v>
      </c>
      <c r="C148">
        <v>1369.4</v>
      </c>
      <c r="D148">
        <v>1207.3</v>
      </c>
      <c r="E148">
        <v>1316.6</v>
      </c>
      <c r="F148">
        <v>7274.8819999999996</v>
      </c>
      <c r="G148">
        <v>1316.6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0.34855027760641411</v>
      </c>
      <c r="Q148">
        <f t="shared" ref="Q148" si="716">F148*P148</f>
        <v>2535.6621406539048</v>
      </c>
      <c r="R148">
        <f t="shared" ref="R148" si="717">R149+Q148</f>
        <v>-22515.345545656564</v>
      </c>
      <c r="S148">
        <f t="shared" ref="S148" si="718">R148/100000</f>
        <v>-0.22515345545656565</v>
      </c>
      <c r="T148">
        <f t="shared" ref="T148" si="719">S148/1000</f>
        <v>-2.2515345545656565E-4</v>
      </c>
    </row>
    <row r="149" spans="1:20" x14ac:dyDescent="0.25">
      <c r="A149" s="5">
        <v>44444</v>
      </c>
      <c r="B149">
        <v>1275.2</v>
      </c>
      <c r="C149">
        <v>1296.5999999999999</v>
      </c>
      <c r="D149">
        <v>1241.2</v>
      </c>
      <c r="E149">
        <v>1264.5</v>
      </c>
      <c r="F149">
        <v>2651.998</v>
      </c>
      <c r="G149">
        <v>1264.5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-0.15884476534295985</v>
      </c>
      <c r="Q149">
        <f t="shared" ref="Q149" si="721">F149*P149</f>
        <v>-421.25599999999883</v>
      </c>
      <c r="R149">
        <f t="shared" ref="R149" si="722">R150+Q149</f>
        <v>-25051.00768631047</v>
      </c>
      <c r="S149">
        <f t="shared" ref="S149" si="723">R149/100000</f>
        <v>-0.25051007686310467</v>
      </c>
      <c r="T149">
        <f t="shared" ref="T149" si="724">S149/1000</f>
        <v>-2.5051007686310465E-4</v>
      </c>
    </row>
    <row r="150" spans="1:20" x14ac:dyDescent="0.25">
      <c r="A150" s="5">
        <v>44443</v>
      </c>
      <c r="B150">
        <v>1271.0999999999999</v>
      </c>
      <c r="C150">
        <v>1350</v>
      </c>
      <c r="D150">
        <v>1257.7</v>
      </c>
      <c r="E150">
        <v>1275.9000000000001</v>
      </c>
      <c r="F150">
        <v>2941.9569999999999</v>
      </c>
      <c r="G150">
        <v>1275.9000000000001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-0.60563380281690027</v>
      </c>
      <c r="Q150">
        <f t="shared" ref="Q150" si="726">F150*P150</f>
        <v>-1781.7486056337993</v>
      </c>
      <c r="R150">
        <f t="shared" ref="R150" si="727">R151+Q150</f>
        <v>-24629.751686310472</v>
      </c>
      <c r="S150">
        <f t="shared" ref="S150" si="728">R150/100000</f>
        <v>-0.24629751686310472</v>
      </c>
      <c r="T150">
        <f t="shared" ref="T150" si="729">S150/1000</f>
        <v>-2.462975168631047E-4</v>
      </c>
    </row>
    <row r="151" spans="1:20" x14ac:dyDescent="0.25">
      <c r="A151" s="5">
        <v>44442</v>
      </c>
      <c r="B151">
        <v>1245.8</v>
      </c>
      <c r="C151">
        <v>1305</v>
      </c>
      <c r="D151">
        <v>1227.7</v>
      </c>
      <c r="E151">
        <v>1270</v>
      </c>
      <c r="F151">
        <v>4350.1970000000001</v>
      </c>
      <c r="G151">
        <v>1270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9.4437257438550568E-2</v>
      </c>
      <c r="Q151">
        <f t="shared" ref="Q151" si="731">F151*P151</f>
        <v>410.82067399741038</v>
      </c>
      <c r="R151">
        <f t="shared" ref="R151" si="732">R152+Q151</f>
        <v>-22848.003080676674</v>
      </c>
      <c r="S151">
        <f t="shared" ref="S151" si="733">R151/100000</f>
        <v>-0.22848003080676674</v>
      </c>
      <c r="T151">
        <f t="shared" ref="T151" si="734">S151/1000</f>
        <v>-2.2848003080676673E-4</v>
      </c>
    </row>
    <row r="152" spans="1:20" x14ac:dyDescent="0.25">
      <c r="A152" s="5">
        <v>44441</v>
      </c>
      <c r="B152">
        <v>1276.5999999999999</v>
      </c>
      <c r="C152">
        <v>1313.1</v>
      </c>
      <c r="D152">
        <v>1238.5999999999999</v>
      </c>
      <c r="E152">
        <v>1248</v>
      </c>
      <c r="F152">
        <v>2705.08</v>
      </c>
      <c r="G152">
        <v>1248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-0.74765100671140694</v>
      </c>
      <c r="Q152">
        <f t="shared" ref="Q152" si="736">F152*P152</f>
        <v>-2022.4557852348926</v>
      </c>
      <c r="R152">
        <f t="shared" ref="R152" si="737">R153+Q152</f>
        <v>-23258.823754674086</v>
      </c>
      <c r="S152">
        <f t="shared" ref="S152" si="738">R152/100000</f>
        <v>-0.23258823754674085</v>
      </c>
      <c r="T152">
        <f t="shared" ref="T152" si="739">S152/1000</f>
        <v>-2.3258823754674084E-4</v>
      </c>
    </row>
    <row r="153" spans="1:20" x14ac:dyDescent="0.25">
      <c r="A153" s="5">
        <v>44440</v>
      </c>
      <c r="B153">
        <v>1224.9000000000001</v>
      </c>
      <c r="C153">
        <v>1290.8</v>
      </c>
      <c r="D153">
        <v>1198.0999999999999</v>
      </c>
      <c r="E153">
        <v>1276.3</v>
      </c>
      <c r="F153">
        <v>2348.3649999999998</v>
      </c>
      <c r="G153">
        <v>1276.3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0.68716289104638639</v>
      </c>
      <c r="Q153">
        <f t="shared" ref="Q153" si="741">F153*P153</f>
        <v>1613.7092826321471</v>
      </c>
      <c r="R153">
        <f t="shared" ref="R153" si="742">R154+Q153</f>
        <v>-21236.367969439194</v>
      </c>
      <c r="S153">
        <f t="shared" ref="S153" si="743">R153/100000</f>
        <v>-0.21236367969439193</v>
      </c>
      <c r="T153">
        <f t="shared" ref="T153" si="744">S153/1000</f>
        <v>-2.1236367969439194E-4</v>
      </c>
    </row>
    <row r="154" spans="1:20" x14ac:dyDescent="0.25">
      <c r="A154" s="5">
        <v>44439</v>
      </c>
      <c r="B154">
        <v>1213.5999999999999</v>
      </c>
      <c r="C154">
        <v>1282.8</v>
      </c>
      <c r="D154">
        <v>1186.0999999999999</v>
      </c>
      <c r="E154">
        <v>1222.5</v>
      </c>
      <c r="F154">
        <v>2611.1272359999998</v>
      </c>
      <c r="G154">
        <v>1222.5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-0.24715615305067065</v>
      </c>
      <c r="Q154">
        <f t="shared" ref="Q154" si="746">F154*P154</f>
        <v>-645.35616277559063</v>
      </c>
      <c r="R154">
        <f t="shared" ref="R154" si="747">R155+Q154</f>
        <v>-22850.07725207134</v>
      </c>
      <c r="S154">
        <f t="shared" ref="S154" si="748">R154/100000</f>
        <v>-0.22850077252071341</v>
      </c>
      <c r="T154">
        <f t="shared" ref="T154" si="749">S154/1000</f>
        <v>-2.2850077252071341E-4</v>
      </c>
    </row>
    <row r="155" spans="1:20" x14ac:dyDescent="0.25">
      <c r="A155" s="5">
        <v>44438</v>
      </c>
      <c r="B155">
        <v>1301</v>
      </c>
      <c r="C155">
        <v>1305.5</v>
      </c>
      <c r="D155">
        <v>1194.9000000000001</v>
      </c>
      <c r="E155">
        <v>1213.5999999999999</v>
      </c>
      <c r="F155">
        <v>2635.791041</v>
      </c>
      <c r="G155">
        <v>1213.5999999999999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-0.66184448462929779</v>
      </c>
      <c r="Q155">
        <f t="shared" ref="Q155" si="751">F155*P155</f>
        <v>-1744.4837631211653</v>
      </c>
      <c r="R155">
        <f t="shared" ref="R155" si="752">R156+Q155</f>
        <v>-22204.721089295748</v>
      </c>
      <c r="S155">
        <f t="shared" ref="S155" si="753">R155/100000</f>
        <v>-0.22204721089295748</v>
      </c>
      <c r="T155">
        <f t="shared" ref="T155" si="754">S155/1000</f>
        <v>-2.2204721089295749E-4</v>
      </c>
    </row>
    <row r="156" spans="1:20" x14ac:dyDescent="0.25">
      <c r="A156" s="5">
        <v>44437</v>
      </c>
      <c r="B156">
        <v>1335.5</v>
      </c>
      <c r="C156">
        <v>1395</v>
      </c>
      <c r="D156">
        <v>1270.5999999999999</v>
      </c>
      <c r="E156">
        <v>1305.5</v>
      </c>
      <c r="F156">
        <v>2358.88</v>
      </c>
      <c r="G156">
        <v>1305.5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-0.43890675241157451</v>
      </c>
      <c r="Q156">
        <f t="shared" ref="Q156" si="756">F156*P156</f>
        <v>-1035.328360128615</v>
      </c>
      <c r="R156">
        <f t="shared" ref="R156" si="757">R157+Q156</f>
        <v>-20460.237326174582</v>
      </c>
      <c r="S156">
        <f t="shared" ref="S156" si="758">R156/100000</f>
        <v>-0.20460237326174582</v>
      </c>
      <c r="T156">
        <f t="shared" ref="T156" si="759">S156/1000</f>
        <v>-2.0460237326174583E-4</v>
      </c>
    </row>
    <row r="157" spans="1:20" x14ac:dyDescent="0.25">
      <c r="A157" s="5">
        <v>44436</v>
      </c>
      <c r="B157">
        <v>1404.3</v>
      </c>
      <c r="C157">
        <v>1420</v>
      </c>
      <c r="D157">
        <v>1314</v>
      </c>
      <c r="E157">
        <v>1333.9</v>
      </c>
      <c r="F157">
        <v>1943.239</v>
      </c>
      <c r="G157">
        <v>1333.9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-0.62452830188679076</v>
      </c>
      <c r="Q157">
        <f t="shared" ref="Q157" si="761">F157*P157</f>
        <v>-1213.6077528301855</v>
      </c>
      <c r="R157">
        <f t="shared" ref="R157" si="762">R158+Q157</f>
        <v>-19424.908966045965</v>
      </c>
      <c r="S157">
        <f t="shared" ref="S157" si="763">R157/100000</f>
        <v>-0.19424908966045965</v>
      </c>
      <c r="T157">
        <f t="shared" ref="T157" si="764">S157/1000</f>
        <v>-1.9424908966045966E-4</v>
      </c>
    </row>
    <row r="158" spans="1:20" x14ac:dyDescent="0.25">
      <c r="A158" s="5">
        <v>44435</v>
      </c>
      <c r="B158">
        <v>1355.6</v>
      </c>
      <c r="C158">
        <v>1432.6</v>
      </c>
      <c r="D158">
        <v>1238.5999999999999</v>
      </c>
      <c r="E158">
        <v>1399.3</v>
      </c>
      <c r="F158">
        <v>4551.373568</v>
      </c>
      <c r="G158">
        <v>1399.3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0.65670103092783549</v>
      </c>
      <c r="Q158">
        <f t="shared" ref="Q158" si="766">F158*P158</f>
        <v>2988.8917142433011</v>
      </c>
      <c r="R158">
        <f t="shared" ref="R158" si="767">R159+Q158</f>
        <v>-18211.301213215778</v>
      </c>
      <c r="S158">
        <f t="shared" ref="S158" si="768">R158/100000</f>
        <v>-0.18211301213215778</v>
      </c>
      <c r="T158">
        <f t="shared" ref="T158" si="769">S158/1000</f>
        <v>-1.8211301213215777E-4</v>
      </c>
    </row>
    <row r="159" spans="1:20" x14ac:dyDescent="0.25">
      <c r="A159" s="5">
        <v>44434</v>
      </c>
      <c r="B159">
        <v>1480.79</v>
      </c>
      <c r="C159">
        <v>1508.85</v>
      </c>
      <c r="D159">
        <v>1341</v>
      </c>
      <c r="E159">
        <v>1355.6</v>
      </c>
      <c r="F159">
        <v>3180.0630120000001</v>
      </c>
      <c r="G159">
        <v>1355.6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-0.82603515043193432</v>
      </c>
      <c r="Q159">
        <f t="shared" ref="Q159" si="771">F159*P159</f>
        <v>-2626.8438285004504</v>
      </c>
      <c r="R159">
        <f t="shared" ref="R159" si="772">R160+Q159</f>
        <v>-21200.19292745908</v>
      </c>
      <c r="S159">
        <f t="shared" ref="S159" si="773">R159/100000</f>
        <v>-0.2120019292745908</v>
      </c>
      <c r="T159">
        <f t="shared" ref="T159" si="774">S159/1000</f>
        <v>-2.1200192927459081E-4</v>
      </c>
    </row>
    <row r="160" spans="1:20" x14ac:dyDescent="0.25">
      <c r="A160" s="5">
        <v>44433</v>
      </c>
      <c r="B160">
        <v>1378.37</v>
      </c>
      <c r="C160">
        <v>1529.42</v>
      </c>
      <c r="D160">
        <v>1377.28</v>
      </c>
      <c r="E160">
        <v>1479.44</v>
      </c>
      <c r="F160">
        <v>4930.0924370000002</v>
      </c>
      <c r="G160">
        <v>1479.44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0.34297357696858177</v>
      </c>
      <c r="Q160">
        <f t="shared" ref="Q160" si="776">F160*P160</f>
        <v>1690.8914379036426</v>
      </c>
      <c r="R160">
        <f t="shared" ref="R160" si="777">R161+Q160</f>
        <v>-18573.349098958632</v>
      </c>
      <c r="S160">
        <f t="shared" ref="S160" si="778">R160/100000</f>
        <v>-0.1857334909895863</v>
      </c>
      <c r="T160">
        <f t="shared" ref="T160" si="779">S160/1000</f>
        <v>-1.857334909895863E-4</v>
      </c>
    </row>
    <row r="161" spans="1:20" x14ac:dyDescent="0.25">
      <c r="A161" s="5">
        <v>44432</v>
      </c>
      <c r="B161">
        <v>1530.04</v>
      </c>
      <c r="C161">
        <v>1546</v>
      </c>
      <c r="D161">
        <v>1300.19</v>
      </c>
      <c r="E161">
        <v>1378.86</v>
      </c>
      <c r="F161">
        <v>4316.793146</v>
      </c>
      <c r="G161">
        <v>1378.86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-0.35991212725275729</v>
      </c>
      <c r="Q161">
        <f t="shared" ref="Q161" si="781">F161*P161</f>
        <v>-1553.6662040869824</v>
      </c>
      <c r="R161">
        <f t="shared" ref="R161" si="782">R162+Q161</f>
        <v>-20264.240536862275</v>
      </c>
      <c r="S161">
        <f t="shared" ref="S161" si="783">R161/100000</f>
        <v>-0.20264240536862274</v>
      </c>
      <c r="T161">
        <f t="shared" ref="T161" si="784">S161/1000</f>
        <v>-2.0264240536862273E-4</v>
      </c>
    </row>
    <row r="162" spans="1:20" x14ac:dyDescent="0.25">
      <c r="A162" s="5">
        <v>44431</v>
      </c>
      <c r="B162">
        <v>1295.0999999999999</v>
      </c>
      <c r="C162">
        <v>1588.32</v>
      </c>
      <c r="D162">
        <v>1290</v>
      </c>
      <c r="E162">
        <v>1533.73</v>
      </c>
      <c r="F162">
        <v>8741.8903530000007</v>
      </c>
      <c r="G162">
        <v>1533.73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0.63401716277822517</v>
      </c>
      <c r="Q162">
        <f t="shared" ref="Q162" si="786">F162*P162</f>
        <v>5542.5085189273977</v>
      </c>
      <c r="R162">
        <f t="shared" ref="R162" si="787">R163+Q162</f>
        <v>-18710.574332775293</v>
      </c>
      <c r="S162">
        <f t="shared" ref="S162" si="788">R162/100000</f>
        <v>-0.18710574332775293</v>
      </c>
      <c r="T162">
        <f t="shared" ref="T162" si="789">S162/1000</f>
        <v>-1.8710574332775294E-4</v>
      </c>
    </row>
    <row r="163" spans="1:20" x14ac:dyDescent="0.25">
      <c r="A163" s="5">
        <v>44430</v>
      </c>
      <c r="B163">
        <v>1388.44</v>
      </c>
      <c r="C163">
        <v>1447.04</v>
      </c>
      <c r="D163">
        <v>1378.65</v>
      </c>
      <c r="E163">
        <v>1406.62</v>
      </c>
      <c r="F163">
        <v>1550.92742</v>
      </c>
      <c r="G163">
        <v>1406.62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-0.18204415850270941</v>
      </c>
      <c r="Q163">
        <f t="shared" ref="Q163" si="791">F163*P163</f>
        <v>-282.33727707267815</v>
      </c>
      <c r="R163">
        <f t="shared" ref="R163" si="792">R164+Q163</f>
        <v>-24253.082851702693</v>
      </c>
      <c r="S163">
        <f t="shared" ref="S163" si="793">R163/100000</f>
        <v>-0.24253082851702693</v>
      </c>
      <c r="T163">
        <f t="shared" ref="T163" si="794">S163/1000</f>
        <v>-2.4253082851702693E-4</v>
      </c>
    </row>
    <row r="164" spans="1:20" x14ac:dyDescent="0.25">
      <c r="A164" s="5">
        <v>44429</v>
      </c>
      <c r="B164">
        <v>1246.79</v>
      </c>
      <c r="C164">
        <v>1460</v>
      </c>
      <c r="D164">
        <v>1206.33</v>
      </c>
      <c r="E164">
        <v>1388.45</v>
      </c>
      <c r="F164">
        <v>7849.8284089999997</v>
      </c>
      <c r="G164">
        <v>1388.45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0.4358812630583046</v>
      </c>
      <c r="Q164">
        <f t="shared" ref="Q164" si="796">F164*P164</f>
        <v>3421.5931217058815</v>
      </c>
      <c r="R164">
        <f t="shared" ref="R164" si="797">R165+Q164</f>
        <v>-23970.745574630015</v>
      </c>
      <c r="S164">
        <f t="shared" ref="S164" si="798">R164/100000</f>
        <v>-0.23970745574630015</v>
      </c>
      <c r="T164">
        <f t="shared" ref="T164" si="799">S164/1000</f>
        <v>-2.3970745574630016E-4</v>
      </c>
    </row>
    <row r="165" spans="1:20" x14ac:dyDescent="0.25">
      <c r="A165" s="5">
        <v>44428</v>
      </c>
      <c r="B165">
        <v>1190.76</v>
      </c>
      <c r="C165">
        <v>1276</v>
      </c>
      <c r="D165">
        <v>1147</v>
      </c>
      <c r="E165">
        <v>1245.77</v>
      </c>
      <c r="F165">
        <v>3188.8539639999999</v>
      </c>
      <c r="G165">
        <v>1245.77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0.53131782945736405</v>
      </c>
      <c r="Q165">
        <f t="shared" ref="Q165" si="801">F165*P165</f>
        <v>1694.2949666089912</v>
      </c>
      <c r="R165">
        <f t="shared" ref="R165" si="802">R166+Q165</f>
        <v>-27392.338696335897</v>
      </c>
      <c r="S165">
        <f t="shared" ref="S165" si="803">R165/100000</f>
        <v>-0.27392338696335899</v>
      </c>
      <c r="T165">
        <f t="shared" ref="T165" si="804">S165/1000</f>
        <v>-2.7392338696335901E-4</v>
      </c>
    </row>
    <row r="166" spans="1:20" x14ac:dyDescent="0.25">
      <c r="A166" s="5">
        <v>44427</v>
      </c>
      <c r="B166">
        <v>1065.7</v>
      </c>
      <c r="C166">
        <v>1210</v>
      </c>
      <c r="D166">
        <v>1044.82</v>
      </c>
      <c r="E166">
        <v>1189.1300000000001</v>
      </c>
      <c r="F166">
        <v>4663.1357040000003</v>
      </c>
      <c r="G166">
        <v>1189.1300000000001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0.74730596924567283</v>
      </c>
      <c r="Q166">
        <f t="shared" ref="Q166" si="806">F166*P166</f>
        <v>3484.789147001823</v>
      </c>
      <c r="R166">
        <f t="shared" ref="R166" si="807">R167+Q166</f>
        <v>-29086.633662944889</v>
      </c>
      <c r="S166">
        <f t="shared" ref="S166" si="808">R166/100000</f>
        <v>-0.29086633662944889</v>
      </c>
      <c r="T166">
        <f t="shared" ref="T166" si="809">S166/1000</f>
        <v>-2.908663366294489E-4</v>
      </c>
    </row>
    <row r="167" spans="1:20" x14ac:dyDescent="0.25">
      <c r="A167" s="5">
        <v>44426</v>
      </c>
      <c r="B167">
        <v>1066.8599999999999</v>
      </c>
      <c r="C167">
        <v>1108.8399999999999</v>
      </c>
      <c r="D167">
        <v>1032.07</v>
      </c>
      <c r="E167">
        <v>1066.73</v>
      </c>
      <c r="F167">
        <v>2578.500321</v>
      </c>
      <c r="G167">
        <v>1066.73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-9.7043115800440533E-2</v>
      </c>
      <c r="Q167">
        <f t="shared" ref="Q167" si="811">F167*P167</f>
        <v>-250.22570524227609</v>
      </c>
      <c r="R167">
        <f t="shared" ref="R167" si="812">R168+Q167</f>
        <v>-32571.422809946711</v>
      </c>
      <c r="S167">
        <f t="shared" ref="S167" si="813">R167/100000</f>
        <v>-0.3257142280994671</v>
      </c>
      <c r="T167">
        <f t="shared" ref="T167" si="814">S167/1000</f>
        <v>-3.2571422809946711E-4</v>
      </c>
    </row>
    <row r="168" spans="1:20" x14ac:dyDescent="0.25">
      <c r="A168" s="5">
        <v>44425</v>
      </c>
      <c r="B168">
        <v>1170.98</v>
      </c>
      <c r="C168">
        <v>1220</v>
      </c>
      <c r="D168">
        <v>1059.01</v>
      </c>
      <c r="E168">
        <v>1070.01</v>
      </c>
      <c r="F168">
        <v>3842.5309299999999</v>
      </c>
      <c r="G168">
        <v>1070.01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-0.86334554941300701</v>
      </c>
      <c r="Q168">
        <f t="shared" ref="Q168" si="816">F168*P168</f>
        <v>-3317.4319768973228</v>
      </c>
      <c r="R168">
        <f t="shared" ref="R168" si="817">R169+Q168</f>
        <v>-32321.197104704435</v>
      </c>
      <c r="S168">
        <f t="shared" ref="S168" si="818">R168/100000</f>
        <v>-0.32321197104704436</v>
      </c>
      <c r="T168">
        <f t="shared" ref="T168" si="819">S168/1000</f>
        <v>-3.2321197104704437E-4</v>
      </c>
    </row>
    <row r="169" spans="1:20" x14ac:dyDescent="0.25">
      <c r="A169" s="5">
        <v>44424</v>
      </c>
      <c r="B169">
        <v>1227.43</v>
      </c>
      <c r="C169">
        <v>1255</v>
      </c>
      <c r="D169">
        <v>1160</v>
      </c>
      <c r="E169">
        <v>1171.6099999999999</v>
      </c>
      <c r="F169">
        <v>2629.298213</v>
      </c>
      <c r="G169">
        <v>1171.6099999999999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-0.75557894736842313</v>
      </c>
      <c r="Q169">
        <f t="shared" ref="Q169" si="821">F169*P169</f>
        <v>-1986.6423760962159</v>
      </c>
      <c r="R169">
        <f t="shared" ref="R169" si="822">R170+Q169</f>
        <v>-29003.765127807113</v>
      </c>
      <c r="S169">
        <f t="shared" ref="S169" si="823">R169/100000</f>
        <v>-0.29003765127807113</v>
      </c>
      <c r="T169">
        <f t="shared" ref="T169" si="824">S169/1000</f>
        <v>-2.9003765127807112E-4</v>
      </c>
    </row>
    <row r="170" spans="1:20" x14ac:dyDescent="0.25">
      <c r="A170" s="5">
        <v>44423</v>
      </c>
      <c r="B170">
        <v>1222.7</v>
      </c>
      <c r="C170">
        <v>1249.75</v>
      </c>
      <c r="D170">
        <v>1132.68</v>
      </c>
      <c r="E170">
        <v>1226.6099999999999</v>
      </c>
      <c r="F170">
        <v>2842.8928890000002</v>
      </c>
      <c r="G170">
        <v>1226.6099999999999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0.60468096010933436</v>
      </c>
      <c r="Q170">
        <f t="shared" ref="Q170" si="826">F170*P170</f>
        <v>1719.0432016085194</v>
      </c>
      <c r="R170">
        <f t="shared" ref="R170" si="827">R171+Q170</f>
        <v>-27017.122751710896</v>
      </c>
      <c r="S170">
        <f t="shared" ref="S170" si="828">R170/100000</f>
        <v>-0.27017122751710898</v>
      </c>
      <c r="T170">
        <f t="shared" ref="T170" si="829">S170/1000</f>
        <v>-2.7017122751710898E-4</v>
      </c>
    </row>
    <row r="171" spans="1:20" x14ac:dyDescent="0.25">
      <c r="A171" s="5">
        <v>44422</v>
      </c>
      <c r="B171">
        <v>1270.2</v>
      </c>
      <c r="C171">
        <v>1290</v>
      </c>
      <c r="D171">
        <v>1180.8599999999999</v>
      </c>
      <c r="E171">
        <v>1222.22</v>
      </c>
      <c r="F171">
        <v>3578.295846</v>
      </c>
      <c r="G171">
        <v>1222.22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-0.24207439985339765</v>
      </c>
      <c r="Q171">
        <f t="shared" ref="Q171" si="831">F171*P171</f>
        <v>-866.2138194183558</v>
      </c>
      <c r="R171">
        <f t="shared" ref="R171" si="832">R172+Q171</f>
        <v>-28736.165953319414</v>
      </c>
      <c r="S171">
        <f t="shared" ref="S171" si="833">R171/100000</f>
        <v>-0.28736165953319415</v>
      </c>
      <c r="T171">
        <f t="shared" ref="T171" si="834">S171/1000</f>
        <v>-2.8736165953319415E-4</v>
      </c>
    </row>
    <row r="172" spans="1:20" x14ac:dyDescent="0.25">
      <c r="A172" s="5">
        <v>44421</v>
      </c>
      <c r="B172">
        <v>1150.6300000000001</v>
      </c>
      <c r="C172">
        <v>1379.22</v>
      </c>
      <c r="D172">
        <v>1133.51</v>
      </c>
      <c r="E172">
        <v>1270.98</v>
      </c>
      <c r="F172">
        <v>7625.5049799999997</v>
      </c>
      <c r="G172">
        <v>1270.98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0.1189613772333239</v>
      </c>
      <c r="Q172">
        <f t="shared" ref="Q172" si="836">F172*P172</f>
        <v>907.14057452036991</v>
      </c>
      <c r="R172">
        <f t="shared" ref="R172" si="837">R173+Q172</f>
        <v>-27869.952133901057</v>
      </c>
      <c r="S172">
        <f t="shared" ref="S172" si="838">R172/100000</f>
        <v>-0.27869952133901055</v>
      </c>
      <c r="T172">
        <f t="shared" ref="T172" si="839">S172/1000</f>
        <v>-2.7869952133901057E-4</v>
      </c>
    </row>
    <row r="173" spans="1:20" x14ac:dyDescent="0.25">
      <c r="A173" s="5">
        <v>44420</v>
      </c>
      <c r="B173">
        <v>1073.21</v>
      </c>
      <c r="C173">
        <v>1178.4100000000001</v>
      </c>
      <c r="D173">
        <v>985</v>
      </c>
      <c r="E173">
        <v>1149.8699999999999</v>
      </c>
      <c r="F173">
        <v>9245.0888479999994</v>
      </c>
      <c r="G173">
        <v>1149.8699999999999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0.70487565275838704</v>
      </c>
      <c r="Q173">
        <f t="shared" ref="Q173" si="841">F173*P173</f>
        <v>6516.6380365432842</v>
      </c>
      <c r="R173">
        <f t="shared" ref="R173" si="842">R174+Q173</f>
        <v>-28777.092708421427</v>
      </c>
      <c r="S173">
        <f t="shared" ref="S173" si="843">R173/100000</f>
        <v>-0.28777092708421426</v>
      </c>
      <c r="T173">
        <f t="shared" ref="T173" si="844">S173/1000</f>
        <v>-2.8777092708421427E-4</v>
      </c>
    </row>
    <row r="174" spans="1:20" x14ac:dyDescent="0.25">
      <c r="A174" s="5">
        <v>44419</v>
      </c>
      <c r="B174">
        <v>1117.99</v>
      </c>
      <c r="C174">
        <v>1212.56</v>
      </c>
      <c r="D174">
        <v>1056.75</v>
      </c>
      <c r="E174">
        <v>1073.21</v>
      </c>
      <c r="F174">
        <v>7743.892382</v>
      </c>
      <c r="G174">
        <v>1073.21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-0.78871702714844949</v>
      </c>
      <c r="Q174">
        <f t="shared" ref="Q174" si="846">F174*P174</f>
        <v>-6107.7397780885649</v>
      </c>
      <c r="R174">
        <f t="shared" ref="R174" si="847">R175+Q174</f>
        <v>-35293.730744964712</v>
      </c>
      <c r="S174">
        <f t="shared" ref="S174" si="848">R174/100000</f>
        <v>-0.35293730744964713</v>
      </c>
      <c r="T174">
        <f t="shared" ref="T174" si="849">S174/1000</f>
        <v>-3.5293730744964712E-4</v>
      </c>
    </row>
    <row r="175" spans="1:20" x14ac:dyDescent="0.25">
      <c r="A175" s="5">
        <v>44418</v>
      </c>
      <c r="B175">
        <v>939.12</v>
      </c>
      <c r="C175">
        <v>1200</v>
      </c>
      <c r="D175">
        <v>936.12</v>
      </c>
      <c r="E175">
        <v>1124.48</v>
      </c>
      <c r="F175">
        <v>14351.264074999999</v>
      </c>
      <c r="G175">
        <v>1124.48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0.42761861452175243</v>
      </c>
      <c r="Q175">
        <f t="shared" ref="Q175" si="851">F175*P175</f>
        <v>6136.8676603872982</v>
      </c>
      <c r="R175">
        <f t="shared" ref="R175" si="852">R176+Q175</f>
        <v>-29185.99096687615</v>
      </c>
      <c r="S175">
        <f t="shared" ref="S175" si="853">R175/100000</f>
        <v>-0.29185990966876152</v>
      </c>
      <c r="T175">
        <f t="shared" ref="T175" si="854">S175/1000</f>
        <v>-2.9185990966876154E-4</v>
      </c>
    </row>
    <row r="176" spans="1:20" x14ac:dyDescent="0.25">
      <c r="A176" s="5">
        <v>44417</v>
      </c>
      <c r="B176">
        <v>899.78</v>
      </c>
      <c r="C176">
        <v>960</v>
      </c>
      <c r="D176">
        <v>871</v>
      </c>
      <c r="E176">
        <v>939.98</v>
      </c>
      <c r="F176">
        <v>3443.0308319999999</v>
      </c>
      <c r="G176">
        <v>939.98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0.55011235955056226</v>
      </c>
      <c r="Q176">
        <f t="shared" ref="Q176" si="856">F176*P176</f>
        <v>1894.0538149968554</v>
      </c>
      <c r="R176">
        <f t="shared" ref="R176" si="857">R177+Q176</f>
        <v>-35322.858627263449</v>
      </c>
      <c r="S176">
        <f t="shared" ref="S176" si="858">R176/100000</f>
        <v>-0.35322858627263448</v>
      </c>
      <c r="T176">
        <f t="shared" ref="T176" si="859">S176/1000</f>
        <v>-3.5322858627263447E-4</v>
      </c>
    </row>
    <row r="177" spans="1:20" x14ac:dyDescent="0.25">
      <c r="A177" s="5">
        <v>44416</v>
      </c>
      <c r="B177">
        <v>972.36</v>
      </c>
      <c r="C177">
        <v>972.66</v>
      </c>
      <c r="D177">
        <v>870.9</v>
      </c>
      <c r="E177">
        <v>897.98</v>
      </c>
      <c r="F177">
        <v>3492.2410490000002</v>
      </c>
      <c r="G177">
        <v>897.98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-0.46776729559748342</v>
      </c>
      <c r="Q177">
        <f t="shared" ref="Q177" si="861">F177*P177</f>
        <v>-1633.5561510652487</v>
      </c>
      <c r="R177">
        <f t="shared" ref="R177" si="862">R178+Q177</f>
        <v>-37216.912442260305</v>
      </c>
      <c r="S177">
        <f t="shared" ref="S177" si="863">R177/100000</f>
        <v>-0.37216912442260308</v>
      </c>
      <c r="T177">
        <f t="shared" ref="T177" si="864">S177/1000</f>
        <v>-3.7216912442260307E-4</v>
      </c>
    </row>
    <row r="178" spans="1:20" x14ac:dyDescent="0.25">
      <c r="A178" s="5">
        <v>44415</v>
      </c>
      <c r="B178">
        <v>924.93</v>
      </c>
      <c r="C178">
        <v>981.44</v>
      </c>
      <c r="D178">
        <v>915.15</v>
      </c>
      <c r="E178">
        <v>973.5</v>
      </c>
      <c r="F178">
        <v>5516.8656659999997</v>
      </c>
      <c r="G178">
        <v>973.5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0.7604465228541244</v>
      </c>
      <c r="Q178">
        <f t="shared" ref="Q178" si="866">F178*P178</f>
        <v>4195.2813127630034</v>
      </c>
      <c r="R178">
        <f t="shared" ref="R178" si="867">R179+Q178</f>
        <v>-35583.356291195058</v>
      </c>
      <c r="S178">
        <f t="shared" ref="S178" si="868">R178/100000</f>
        <v>-0.35583356291195056</v>
      </c>
      <c r="T178">
        <f t="shared" ref="T178" si="869">S178/1000</f>
        <v>-3.5583356291195057E-4</v>
      </c>
    </row>
    <row r="179" spans="1:20" x14ac:dyDescent="0.25">
      <c r="A179" s="5">
        <v>44414</v>
      </c>
      <c r="B179">
        <v>916.4</v>
      </c>
      <c r="C179">
        <v>934.57</v>
      </c>
      <c r="D179">
        <v>880.41</v>
      </c>
      <c r="E179">
        <v>924.93</v>
      </c>
      <c r="F179">
        <v>4094.7468199999998</v>
      </c>
      <c r="G179">
        <v>924.93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0.64401772525849021</v>
      </c>
      <c r="Q179">
        <f t="shared" ref="Q179" si="871">F179*P179</f>
        <v>2637.0895325258366</v>
      </c>
      <c r="R179">
        <f t="shared" ref="R179" si="872">R180+Q179</f>
        <v>-39778.637603958057</v>
      </c>
      <c r="S179">
        <f t="shared" ref="S179" si="873">R179/100000</f>
        <v>-0.39778637603958056</v>
      </c>
      <c r="T179">
        <f t="shared" ref="T179" si="874">S179/1000</f>
        <v>-3.9778637603958057E-4</v>
      </c>
    </row>
    <row r="180" spans="1:20" x14ac:dyDescent="0.25">
      <c r="A180" s="5">
        <v>44413</v>
      </c>
      <c r="B180">
        <v>831.96</v>
      </c>
      <c r="C180">
        <v>1002.94</v>
      </c>
      <c r="D180">
        <v>803.07</v>
      </c>
      <c r="E180">
        <v>916.4</v>
      </c>
      <c r="F180">
        <v>16382.123374999999</v>
      </c>
      <c r="G180">
        <v>916.4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0.13403712413068419</v>
      </c>
      <c r="Q180">
        <f t="shared" ref="Q180" si="876">F180*P180</f>
        <v>2195.8127043390577</v>
      </c>
      <c r="R180">
        <f t="shared" ref="R180" si="877">R181+Q180</f>
        <v>-42415.727136483896</v>
      </c>
      <c r="S180">
        <f t="shared" ref="S180" si="878">R180/100000</f>
        <v>-0.42415727136483894</v>
      </c>
      <c r="T180">
        <f t="shared" ref="T180" si="879">S180/1000</f>
        <v>-4.2415727136483895E-4</v>
      </c>
    </row>
    <row r="181" spans="1:20" x14ac:dyDescent="0.25">
      <c r="A181" s="5">
        <v>44412</v>
      </c>
      <c r="B181">
        <v>818.01</v>
      </c>
      <c r="C181">
        <v>855</v>
      </c>
      <c r="D181">
        <v>810.22</v>
      </c>
      <c r="E181">
        <v>831.96</v>
      </c>
      <c r="F181">
        <v>4094.8006759999998</v>
      </c>
      <c r="G181">
        <v>831.96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-2.9030817329163808E-2</v>
      </c>
      <c r="Q181">
        <f t="shared" ref="Q181" si="881">F181*P181</f>
        <v>-118.87541042429247</v>
      </c>
      <c r="R181">
        <f t="shared" ref="R181" si="882">R182+Q181</f>
        <v>-44611.539840822952</v>
      </c>
      <c r="S181">
        <f t="shared" ref="S181" si="883">R181/100000</f>
        <v>-0.4461153984082295</v>
      </c>
      <c r="T181">
        <f t="shared" ref="T181" si="884">S181/1000</f>
        <v>-4.461153984082295E-4</v>
      </c>
    </row>
    <row r="182" spans="1:20" x14ac:dyDescent="0.25">
      <c r="A182" s="5">
        <v>44411</v>
      </c>
      <c r="B182">
        <v>799.89</v>
      </c>
      <c r="C182">
        <v>830</v>
      </c>
      <c r="D182">
        <v>764.86</v>
      </c>
      <c r="E182">
        <v>818.01</v>
      </c>
      <c r="F182">
        <v>3340.6305969999999</v>
      </c>
      <c r="G182">
        <v>818.01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0.63186981885170368</v>
      </c>
      <c r="Q182">
        <f t="shared" ref="Q182" si="886">F182*P182</f>
        <v>2110.8436501768488</v>
      </c>
      <c r="R182">
        <f t="shared" ref="R182" si="887">R183+Q182</f>
        <v>-44492.664430398661</v>
      </c>
      <c r="S182">
        <f t="shared" ref="S182" si="888">R182/100000</f>
        <v>-0.4449266443039866</v>
      </c>
      <c r="T182">
        <f t="shared" ref="T182" si="889">S182/1000</f>
        <v>-4.4492664430398658E-4</v>
      </c>
    </row>
    <row r="183" spans="1:20" x14ac:dyDescent="0.25">
      <c r="A183" s="5">
        <v>44410</v>
      </c>
      <c r="B183">
        <v>801.02</v>
      </c>
      <c r="C183">
        <v>817.43</v>
      </c>
      <c r="D183">
        <v>780</v>
      </c>
      <c r="E183">
        <v>797.71</v>
      </c>
      <c r="F183">
        <v>1285.6439049999999</v>
      </c>
      <c r="G183">
        <v>797.71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-5.3700240448834625E-2</v>
      </c>
      <c r="Q183">
        <f t="shared" ref="Q183" si="891">F183*P183</f>
        <v>-69.039386830078698</v>
      </c>
      <c r="R183">
        <f t="shared" ref="R183" si="892">R184+Q183</f>
        <v>-46603.508080575513</v>
      </c>
      <c r="S183">
        <f t="shared" ref="S183" si="893">R183/100000</f>
        <v>-0.46603508080575512</v>
      </c>
      <c r="T183">
        <f t="shared" ref="T183" si="894">S183/1000</f>
        <v>-4.6603508080575511E-4</v>
      </c>
    </row>
    <row r="184" spans="1:20" x14ac:dyDescent="0.25">
      <c r="A184" s="5">
        <v>44409</v>
      </c>
      <c r="B184">
        <v>813.18</v>
      </c>
      <c r="C184">
        <v>847.31</v>
      </c>
      <c r="D184">
        <v>796.35</v>
      </c>
      <c r="E184">
        <v>803.16</v>
      </c>
      <c r="F184">
        <v>2329.7486039999999</v>
      </c>
      <c r="G184">
        <v>803.16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-0.73273155416012736</v>
      </c>
      <c r="Q184">
        <f t="shared" ref="Q184" si="896">F184*P184</f>
        <v>-1707.0803154113071</v>
      </c>
      <c r="R184">
        <f t="shared" ref="R184" si="897">R185+Q184</f>
        <v>-46534.468693745432</v>
      </c>
      <c r="S184">
        <f t="shared" ref="S184" si="898">R184/100000</f>
        <v>-0.46534468693745434</v>
      </c>
      <c r="T184">
        <f t="shared" ref="T184" si="899">S184/1000</f>
        <v>-4.6534468693745437E-4</v>
      </c>
    </row>
    <row r="185" spans="1:20" x14ac:dyDescent="0.25">
      <c r="A185" s="5">
        <v>44408</v>
      </c>
      <c r="B185">
        <v>827.99</v>
      </c>
      <c r="C185">
        <v>842.45</v>
      </c>
      <c r="D185">
        <v>808.34</v>
      </c>
      <c r="E185">
        <v>813.62</v>
      </c>
      <c r="F185">
        <v>2444.1131399999999</v>
      </c>
      <c r="G185">
        <v>813.62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-0.69041336851363411</v>
      </c>
      <c r="Q185">
        <f t="shared" ref="Q185" si="901">F185*P185</f>
        <v>-1687.4483860158352</v>
      </c>
      <c r="R185">
        <f t="shared" ref="R185" si="902">R186+Q185</f>
        <v>-44827.388378334123</v>
      </c>
      <c r="S185">
        <f t="shared" ref="S185" si="903">R185/100000</f>
        <v>-0.44827388378334121</v>
      </c>
      <c r="T185">
        <f t="shared" ref="T185" si="904">S185/1000</f>
        <v>-4.4827388378334122E-4</v>
      </c>
    </row>
    <row r="186" spans="1:20" x14ac:dyDescent="0.25">
      <c r="A186" s="5">
        <v>44407</v>
      </c>
      <c r="B186">
        <v>786.7</v>
      </c>
      <c r="C186">
        <v>837</v>
      </c>
      <c r="D186">
        <v>756.45</v>
      </c>
      <c r="E186">
        <v>827.99</v>
      </c>
      <c r="F186">
        <v>2359.1348269999999</v>
      </c>
      <c r="G186">
        <v>827.99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0.77628801986343898</v>
      </c>
      <c r="Q186">
        <f t="shared" ref="Q186" si="906">F186*P186</f>
        <v>1831.3681034427066</v>
      </c>
      <c r="R186">
        <f t="shared" ref="R186" si="907">R187+Q186</f>
        <v>-43139.939992318286</v>
      </c>
      <c r="S186">
        <f t="shared" ref="S186" si="908">R186/100000</f>
        <v>-0.43139939992318288</v>
      </c>
      <c r="T186">
        <f t="shared" ref="T186" si="909">S186/1000</f>
        <v>-4.313993999231829E-4</v>
      </c>
    </row>
    <row r="187" spans="1:20" x14ac:dyDescent="0.25">
      <c r="A187" s="5">
        <v>44406</v>
      </c>
      <c r="B187">
        <v>800.26</v>
      </c>
      <c r="C187">
        <v>803.2</v>
      </c>
      <c r="D187">
        <v>774.38</v>
      </c>
      <c r="E187">
        <v>786.7</v>
      </c>
      <c r="F187">
        <v>1482.538916</v>
      </c>
      <c r="G187">
        <v>786.7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-0.14503816793892932</v>
      </c>
      <c r="Q187">
        <f t="shared" ref="Q187" si="911">F187*P187</f>
        <v>-215.02472827480622</v>
      </c>
      <c r="R187">
        <f t="shared" ref="R187" si="912">R188+Q187</f>
        <v>-44971.308095760993</v>
      </c>
      <c r="S187">
        <f t="shared" ref="S187" si="913">R187/100000</f>
        <v>-0.44971308095760992</v>
      </c>
      <c r="T187">
        <f t="shared" ref="T187" si="914">S187/1000</f>
        <v>-4.4971308095760994E-4</v>
      </c>
    </row>
    <row r="188" spans="1:20" x14ac:dyDescent="0.25">
      <c r="A188" s="5">
        <v>44405</v>
      </c>
      <c r="B188">
        <v>790.07</v>
      </c>
      <c r="C188">
        <v>804.58</v>
      </c>
      <c r="D188">
        <v>751.89</v>
      </c>
      <c r="E188">
        <v>799.21</v>
      </c>
      <c r="F188">
        <v>2644.068902</v>
      </c>
      <c r="G188">
        <v>799.21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0.79616625545644337</v>
      </c>
      <c r="Q188">
        <f t="shared" ref="Q188" si="916">F188*P188</f>
        <v>2105.1184368741697</v>
      </c>
      <c r="R188">
        <f t="shared" ref="R188" si="917">R189+Q188</f>
        <v>-44756.283367486183</v>
      </c>
      <c r="S188">
        <f t="shared" ref="S188" si="918">R188/100000</f>
        <v>-0.44756283367486183</v>
      </c>
      <c r="T188">
        <f t="shared" ref="T188" si="919">S188/1000</f>
        <v>-4.4756283367486182E-4</v>
      </c>
    </row>
    <row r="189" spans="1:20" x14ac:dyDescent="0.25">
      <c r="A189" s="5">
        <v>44404</v>
      </c>
      <c r="B189">
        <v>766.74</v>
      </c>
      <c r="C189">
        <v>818.96</v>
      </c>
      <c r="D189">
        <v>733.57</v>
      </c>
      <c r="E189">
        <v>790.07</v>
      </c>
      <c r="F189">
        <v>3479.7213969999998</v>
      </c>
      <c r="G189">
        <v>790.07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0.32333996955146993</v>
      </c>
      <c r="Q189">
        <f t="shared" ref="Q189" si="921">F189*P189</f>
        <v>1125.1330105535783</v>
      </c>
      <c r="R189">
        <f t="shared" ref="R189" si="922">R190+Q189</f>
        <v>-46861.40180436035</v>
      </c>
      <c r="S189">
        <f t="shared" ref="S189" si="923">R189/100000</f>
        <v>-0.46861401804360348</v>
      </c>
      <c r="T189">
        <f t="shared" ref="T189" si="924">S189/1000</f>
        <v>-4.6861401804360346E-4</v>
      </c>
    </row>
    <row r="190" spans="1:20" x14ac:dyDescent="0.25">
      <c r="A190" s="5">
        <v>44403</v>
      </c>
      <c r="B190">
        <v>719.43</v>
      </c>
      <c r="C190">
        <v>894.4</v>
      </c>
      <c r="D190">
        <v>717.38</v>
      </c>
      <c r="E190">
        <v>762.5</v>
      </c>
      <c r="F190">
        <v>10804.593659</v>
      </c>
      <c r="G190">
        <v>762.5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-0.49022709298384354</v>
      </c>
      <c r="Q190">
        <f t="shared" ref="Q190" si="926">F190*P190</f>
        <v>-5296.7045403232396</v>
      </c>
      <c r="R190">
        <f t="shared" ref="R190" si="927">R191+Q190</f>
        <v>-47986.534814913932</v>
      </c>
      <c r="S190">
        <f t="shared" ref="S190" si="928">R190/100000</f>
        <v>-0.47986534814913934</v>
      </c>
      <c r="T190">
        <f t="shared" ref="T190" si="929">S190/1000</f>
        <v>-4.7986534814913935E-4</v>
      </c>
    </row>
    <row r="191" spans="1:20" x14ac:dyDescent="0.25">
      <c r="A191" s="5">
        <v>44402</v>
      </c>
      <c r="B191">
        <v>708</v>
      </c>
      <c r="C191">
        <v>723.33</v>
      </c>
      <c r="D191">
        <v>691.86</v>
      </c>
      <c r="E191">
        <v>719.18</v>
      </c>
      <c r="F191">
        <v>1987.420787</v>
      </c>
      <c r="G191">
        <v>719.18</v>
      </c>
      <c r="L191" t="s">
        <v>8</v>
      </c>
      <c r="M191" t="s">
        <v>7</v>
      </c>
      <c r="N191" t="s">
        <v>7</v>
      </c>
      <c r="P191">
        <f t="shared" ref="P191" si="930">IF(C191=D191,0,((E191-D191)-(C191-E191))/(C191-D191))</f>
        <v>0.73625675246265732</v>
      </c>
      <c r="Q191">
        <f t="shared" ref="Q191" si="931">F191*P191</f>
        <v>1463.2519744133986</v>
      </c>
      <c r="R191">
        <f t="shared" ref="R191" si="932">R192+Q191</f>
        <v>-42689.830274590691</v>
      </c>
      <c r="S191">
        <f t="shared" ref="S191" si="933">R191/100000</f>
        <v>-0.4268983027459069</v>
      </c>
      <c r="T191">
        <f t="shared" ref="T191:T197" si="934">S191/1000</f>
        <v>-4.2689830274590689E-4</v>
      </c>
    </row>
    <row r="192" spans="1:20" x14ac:dyDescent="0.25">
      <c r="A192" s="5">
        <v>44401</v>
      </c>
      <c r="B192">
        <v>715.67</v>
      </c>
      <c r="C192">
        <v>742.85</v>
      </c>
      <c r="D192">
        <v>695.83</v>
      </c>
      <c r="E192">
        <v>706.72</v>
      </c>
      <c r="F192">
        <v>2342.2663520000001</v>
      </c>
      <c r="G192">
        <v>706.72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-0.53679285410463673</v>
      </c>
      <c r="Q192">
        <f t="shared" ref="Q192" si="936">F192*P192</f>
        <v>-1257.3118401633358</v>
      </c>
      <c r="R192">
        <f t="shared" ref="R192" si="937">R193+Q192</f>
        <v>-44153.082249004088</v>
      </c>
      <c r="S192">
        <f t="shared" ref="S192" si="938">R192/100000</f>
        <v>-0.44153082249004089</v>
      </c>
      <c r="T192">
        <f t="shared" si="934"/>
        <v>-4.415308224900409E-4</v>
      </c>
    </row>
    <row r="193" spans="1:20" x14ac:dyDescent="0.25">
      <c r="A193" s="5">
        <v>44400</v>
      </c>
      <c r="B193">
        <v>697.94</v>
      </c>
      <c r="C193">
        <v>721.88</v>
      </c>
      <c r="D193">
        <v>670</v>
      </c>
      <c r="E193">
        <v>716.04</v>
      </c>
      <c r="F193">
        <v>1770.3073919999999</v>
      </c>
      <c r="G193">
        <v>716.04</v>
      </c>
      <c r="L193" t="s">
        <v>7</v>
      </c>
      <c r="M193" t="s">
        <v>7</v>
      </c>
      <c r="N193" t="s">
        <v>7</v>
      </c>
      <c r="P193">
        <f t="shared" ref="P193" si="939">IF(C193=D193,0,((E193-D193)-(C193-E193))/(C193-D193))</f>
        <v>0.774865073245951</v>
      </c>
      <c r="Q193">
        <f t="shared" ref="Q193" si="940">F193*P193</f>
        <v>1371.7493669699284</v>
      </c>
      <c r="R193">
        <f t="shared" ref="R193" si="941">R194+Q193</f>
        <v>-42895.770408840755</v>
      </c>
      <c r="S193">
        <f t="shared" ref="S193" si="942">R193/100000</f>
        <v>-0.42895770408840755</v>
      </c>
      <c r="T193">
        <f t="shared" si="934"/>
        <v>-4.2895770408840758E-4</v>
      </c>
    </row>
    <row r="194" spans="1:20" x14ac:dyDescent="0.25">
      <c r="A194" s="5">
        <v>44399</v>
      </c>
      <c r="B194">
        <v>708.59</v>
      </c>
      <c r="C194">
        <v>720</v>
      </c>
      <c r="D194">
        <v>688.17</v>
      </c>
      <c r="E194">
        <v>697.94</v>
      </c>
      <c r="F194">
        <v>1149.833063</v>
      </c>
      <c r="G194">
        <v>697.94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-0.38611372918629699</v>
      </c>
      <c r="Q194">
        <f t="shared" ref="Q194" si="944">F194*P194</f>
        <v>-443.96633189663237</v>
      </c>
      <c r="R194">
        <f t="shared" ref="R194" si="945">R195+Q194</f>
        <v>-44267.519775810681</v>
      </c>
      <c r="S194">
        <f t="shared" ref="S194" si="946">R194/100000</f>
        <v>-0.44267519775810682</v>
      </c>
      <c r="T194">
        <f t="shared" si="934"/>
        <v>-4.4267519775810683E-4</v>
      </c>
    </row>
    <row r="195" spans="1:20" x14ac:dyDescent="0.25">
      <c r="A195" s="5">
        <v>44398</v>
      </c>
      <c r="B195">
        <v>655.07000000000005</v>
      </c>
      <c r="C195">
        <v>726.99</v>
      </c>
      <c r="D195">
        <v>646.30999999999995</v>
      </c>
      <c r="E195">
        <v>703.13</v>
      </c>
      <c r="F195">
        <v>1532.581936</v>
      </c>
      <c r="G195">
        <v>703.13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0.40852751611303928</v>
      </c>
      <c r="Q195">
        <f t="shared" ref="Q195" si="948">F195*P195</f>
        <v>626.10189155379294</v>
      </c>
      <c r="R195">
        <f t="shared" ref="R195" si="949">R196+Q195</f>
        <v>-43823.553443914047</v>
      </c>
      <c r="S195">
        <f t="shared" ref="S195" si="950">R195/100000</f>
        <v>-0.43823553443914048</v>
      </c>
      <c r="T195">
        <f t="shared" si="934"/>
        <v>-4.3823553443914049E-4</v>
      </c>
    </row>
    <row r="196" spans="1:20" x14ac:dyDescent="0.25">
      <c r="A196" s="5">
        <v>44397</v>
      </c>
      <c r="B196">
        <v>715.9</v>
      </c>
      <c r="C196">
        <v>723.42</v>
      </c>
      <c r="D196">
        <v>640</v>
      </c>
      <c r="E196">
        <v>656.43</v>
      </c>
      <c r="F196">
        <v>1413.5704310000001</v>
      </c>
      <c r="G196">
        <v>656.43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-0.6060896667465846</v>
      </c>
      <c r="Q196">
        <f t="shared" ref="Q196" si="952">F196*P196</f>
        <v>-856.75043144761605</v>
      </c>
      <c r="R196">
        <f t="shared" ref="R196" si="953">R197+Q196</f>
        <v>-44449.65533546784</v>
      </c>
      <c r="S196">
        <f t="shared" ref="S196" si="954">R196/100000</f>
        <v>-0.44449655335467841</v>
      </c>
      <c r="T196">
        <f t="shared" si="934"/>
        <v>-4.4449655335467844E-4</v>
      </c>
    </row>
    <row r="197" spans="1:20" x14ac:dyDescent="0.25">
      <c r="A197" s="5">
        <v>44396</v>
      </c>
      <c r="B197">
        <v>779.72</v>
      </c>
      <c r="C197">
        <v>780.38</v>
      </c>
      <c r="D197">
        <v>711.91</v>
      </c>
      <c r="E197">
        <v>718.04</v>
      </c>
      <c r="F197">
        <v>1996.6934659999999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-0.82094347889586705</v>
      </c>
      <c r="Q197">
        <f t="shared" ref="Q197" si="956">F197*P197</f>
        <v>-1639.1724802666865</v>
      </c>
      <c r="R197">
        <f t="shared" ref="R197" si="957">R198+Q197</f>
        <v>-43592.904904020223</v>
      </c>
      <c r="S197">
        <f t="shared" ref="S197" si="958">R197/100000</f>
        <v>-0.43592904904020224</v>
      </c>
      <c r="T197">
        <f t="shared" si="934"/>
        <v>-4.3592904904020223E-4</v>
      </c>
    </row>
    <row r="198" spans="1:20" x14ac:dyDescent="0.25">
      <c r="A198" s="5">
        <v>44395</v>
      </c>
      <c r="B198">
        <v>805.29</v>
      </c>
      <c r="C198">
        <v>827.1</v>
      </c>
      <c r="D198">
        <v>770.14</v>
      </c>
      <c r="E198">
        <v>780.57</v>
      </c>
      <c r="F198">
        <v>1875.2332899999999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-0.6337780898876384</v>
      </c>
      <c r="Q198">
        <f t="shared" ref="Q198:Q261" si="960">F198*P198</f>
        <v>-1188.4817726299118</v>
      </c>
      <c r="R198">
        <f t="shared" ref="R198:R261" si="961">R199+Q198</f>
        <v>-41953.732423753536</v>
      </c>
      <c r="S198">
        <f t="shared" ref="S198:S261" si="962">R198/100000</f>
        <v>-0.41953732423753537</v>
      </c>
      <c r="T198">
        <f t="shared" ref="T198:T261" si="963">S198/1000</f>
        <v>-4.1953732423753536E-4</v>
      </c>
    </row>
    <row r="199" spans="1:20" x14ac:dyDescent="0.25">
      <c r="A199" s="5">
        <v>44394</v>
      </c>
      <c r="B199">
        <v>817.28</v>
      </c>
      <c r="C199">
        <v>932.02</v>
      </c>
      <c r="D199">
        <v>782.55</v>
      </c>
      <c r="E199">
        <v>803.08</v>
      </c>
      <c r="F199">
        <v>9869.4023070000003</v>
      </c>
      <c r="G199">
        <v>0</v>
      </c>
      <c r="L199" t="s">
        <v>8</v>
      </c>
      <c r="M199" t="s">
        <v>8</v>
      </c>
      <c r="N199" t="s">
        <v>7</v>
      </c>
      <c r="P199">
        <f t="shared" si="959"/>
        <v>-0.72529604602930242</v>
      </c>
      <c r="Q199">
        <f t="shared" si="960"/>
        <v>-7158.2384699395761</v>
      </c>
      <c r="R199">
        <f t="shared" si="961"/>
        <v>-40765.250651123621</v>
      </c>
      <c r="S199">
        <f t="shared" si="962"/>
        <v>-0.40765250651123619</v>
      </c>
      <c r="T199">
        <f t="shared" si="963"/>
        <v>-4.0765250651123621E-4</v>
      </c>
    </row>
    <row r="200" spans="1:20" x14ac:dyDescent="0.25">
      <c r="A200" s="5">
        <v>44393</v>
      </c>
      <c r="B200">
        <v>759.48</v>
      </c>
      <c r="C200">
        <v>1123</v>
      </c>
      <c r="D200">
        <v>721.64</v>
      </c>
      <c r="E200">
        <v>823.68</v>
      </c>
      <c r="F200">
        <v>9815.7102510000004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-0.49152880207295219</v>
      </c>
      <c r="Q200">
        <f t="shared" si="960"/>
        <v>-4824.7043011692267</v>
      </c>
      <c r="R200">
        <f t="shared" si="961"/>
        <v>-33607.012181184044</v>
      </c>
      <c r="S200">
        <f t="shared" si="962"/>
        <v>-0.33607012181184043</v>
      </c>
      <c r="T200">
        <f t="shared" si="963"/>
        <v>-3.3607012181184045E-4</v>
      </c>
    </row>
    <row r="201" spans="1:20" x14ac:dyDescent="0.25">
      <c r="A201" s="5">
        <v>44392</v>
      </c>
      <c r="B201">
        <v>800.77</v>
      </c>
      <c r="C201">
        <v>814.86</v>
      </c>
      <c r="D201">
        <v>741.1</v>
      </c>
      <c r="E201">
        <v>760</v>
      </c>
      <c r="F201">
        <v>1677.729887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-0.48752711496746259</v>
      </c>
      <c r="Q201">
        <f t="shared" si="960"/>
        <v>-817.93881150379696</v>
      </c>
      <c r="R201">
        <f t="shared" si="961"/>
        <v>-28782.307880014814</v>
      </c>
      <c r="S201">
        <f t="shared" si="962"/>
        <v>-0.28782307880014812</v>
      </c>
      <c r="T201">
        <f t="shared" si="963"/>
        <v>-2.8782307880014814E-4</v>
      </c>
    </row>
    <row r="202" spans="1:20" x14ac:dyDescent="0.25">
      <c r="A202" s="5">
        <v>44391</v>
      </c>
      <c r="B202">
        <v>806.97</v>
      </c>
      <c r="C202">
        <v>823.39</v>
      </c>
      <c r="D202">
        <v>750.71</v>
      </c>
      <c r="E202">
        <v>804.28</v>
      </c>
      <c r="F202">
        <v>1532.023232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0.47413318657127057</v>
      </c>
      <c r="Q202">
        <f t="shared" si="960"/>
        <v>726.38305688937692</v>
      </c>
      <c r="R202">
        <f t="shared" si="961"/>
        <v>-27964.369068511016</v>
      </c>
      <c r="S202">
        <f t="shared" si="962"/>
        <v>-0.27964369068511014</v>
      </c>
      <c r="T202">
        <f t="shared" si="963"/>
        <v>-2.7964369068511012E-4</v>
      </c>
    </row>
    <row r="203" spans="1:20" x14ac:dyDescent="0.25">
      <c r="A203" s="5">
        <v>44390</v>
      </c>
      <c r="B203">
        <v>822.48</v>
      </c>
      <c r="C203">
        <v>830</v>
      </c>
      <c r="D203">
        <v>800</v>
      </c>
      <c r="E203">
        <v>806.74</v>
      </c>
      <c r="F203">
        <v>888.877342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-0.55066666666666608</v>
      </c>
      <c r="Q203">
        <f t="shared" si="960"/>
        <v>-489.47512299466615</v>
      </c>
      <c r="R203">
        <f t="shared" si="961"/>
        <v>-28690.752125400391</v>
      </c>
      <c r="S203">
        <f t="shared" si="962"/>
        <v>-0.28690752125400393</v>
      </c>
      <c r="T203">
        <f t="shared" si="963"/>
        <v>-2.8690752125400392E-4</v>
      </c>
    </row>
    <row r="204" spans="1:20" x14ac:dyDescent="0.25">
      <c r="A204" s="5">
        <v>44389</v>
      </c>
      <c r="B204">
        <v>874.43</v>
      </c>
      <c r="C204">
        <v>889.52</v>
      </c>
      <c r="D204">
        <v>805.01</v>
      </c>
      <c r="E204">
        <v>821.79</v>
      </c>
      <c r="F204">
        <v>734.95389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-0.60288723228020413</v>
      </c>
      <c r="Q204">
        <f t="shared" si="960"/>
        <v>-443.09431659566962</v>
      </c>
      <c r="R204">
        <f t="shared" si="961"/>
        <v>-28201.277002405724</v>
      </c>
      <c r="S204">
        <f t="shared" si="962"/>
        <v>-0.28201277002405722</v>
      </c>
      <c r="T204">
        <f t="shared" si="963"/>
        <v>-2.8201277002405721E-4</v>
      </c>
    </row>
    <row r="205" spans="1:20" x14ac:dyDescent="0.25">
      <c r="A205" s="5">
        <v>44388</v>
      </c>
      <c r="B205">
        <v>857.15</v>
      </c>
      <c r="C205">
        <v>886.89</v>
      </c>
      <c r="D205">
        <v>845.52</v>
      </c>
      <c r="E205">
        <v>874.43</v>
      </c>
      <c r="F205">
        <v>513.02385600000002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0.39763113367174113</v>
      </c>
      <c r="Q205">
        <f t="shared" si="960"/>
        <v>203.99425746192807</v>
      </c>
      <c r="R205">
        <f t="shared" si="961"/>
        <v>-27758.182685810054</v>
      </c>
      <c r="S205">
        <f t="shared" si="962"/>
        <v>-0.27758182685810057</v>
      </c>
      <c r="T205">
        <f t="shared" si="963"/>
        <v>-2.7758182685810054E-4</v>
      </c>
    </row>
    <row r="206" spans="1:20" x14ac:dyDescent="0.25">
      <c r="A206" s="5">
        <v>44387</v>
      </c>
      <c r="B206">
        <v>849.85</v>
      </c>
      <c r="C206">
        <v>874.76</v>
      </c>
      <c r="D206">
        <v>828.7</v>
      </c>
      <c r="E206">
        <v>857.16</v>
      </c>
      <c r="F206">
        <v>747.90815799999996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0.23577941815023692</v>
      </c>
      <c r="Q206">
        <f t="shared" si="960"/>
        <v>176.34135032305545</v>
      </c>
      <c r="R206">
        <f t="shared" si="961"/>
        <v>-27962.176943271981</v>
      </c>
      <c r="S206">
        <f t="shared" si="962"/>
        <v>-0.27962176943271982</v>
      </c>
      <c r="T206">
        <f t="shared" si="963"/>
        <v>-2.7962176943271982E-4</v>
      </c>
    </row>
    <row r="207" spans="1:20" x14ac:dyDescent="0.25">
      <c r="A207" s="5">
        <v>44386</v>
      </c>
      <c r="B207">
        <v>822.47</v>
      </c>
      <c r="C207">
        <v>855</v>
      </c>
      <c r="D207">
        <v>797.6</v>
      </c>
      <c r="E207">
        <v>849.86</v>
      </c>
      <c r="F207">
        <v>613.68173100000001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0.82090592334494816</v>
      </c>
      <c r="Q207">
        <f t="shared" si="960"/>
        <v>503.77496802648113</v>
      </c>
      <c r="R207">
        <f t="shared" si="961"/>
        <v>-28138.518293595036</v>
      </c>
      <c r="S207">
        <f t="shared" si="962"/>
        <v>-0.28138518293595038</v>
      </c>
      <c r="T207">
        <f t="shared" si="963"/>
        <v>-2.813851829359504E-4</v>
      </c>
    </row>
    <row r="208" spans="1:20" x14ac:dyDescent="0.25">
      <c r="A208" s="5">
        <v>44385</v>
      </c>
      <c r="B208">
        <v>879.74</v>
      </c>
      <c r="C208">
        <v>887.85</v>
      </c>
      <c r="D208">
        <v>809.97</v>
      </c>
      <c r="E208">
        <v>830.05</v>
      </c>
      <c r="F208">
        <v>889.32120099999997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-0.48433487416538445</v>
      </c>
      <c r="Q208">
        <f t="shared" si="960"/>
        <v>-430.72927197894359</v>
      </c>
      <c r="R208">
        <f t="shared" si="961"/>
        <v>-28642.293261621518</v>
      </c>
      <c r="S208">
        <f t="shared" si="962"/>
        <v>-0.28642293261621521</v>
      </c>
      <c r="T208">
        <f t="shared" si="963"/>
        <v>-2.864229326162152E-4</v>
      </c>
    </row>
    <row r="209" spans="1:20" x14ac:dyDescent="0.25">
      <c r="A209" s="5">
        <v>44384</v>
      </c>
      <c r="B209">
        <v>892</v>
      </c>
      <c r="C209">
        <v>968</v>
      </c>
      <c r="D209">
        <v>879.42</v>
      </c>
      <c r="E209">
        <v>879.74</v>
      </c>
      <c r="F209">
        <v>1340.8785439999999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-0.99277489275231312</v>
      </c>
      <c r="Q209">
        <f t="shared" si="960"/>
        <v>-1331.1905527134777</v>
      </c>
      <c r="R209">
        <f t="shared" si="961"/>
        <v>-28211.563989642575</v>
      </c>
      <c r="S209">
        <f t="shared" si="962"/>
        <v>-0.28211563989642574</v>
      </c>
      <c r="T209">
        <f t="shared" si="963"/>
        <v>-2.8211563989642571E-4</v>
      </c>
    </row>
    <row r="210" spans="1:20" x14ac:dyDescent="0.25">
      <c r="A210" s="5">
        <v>44383</v>
      </c>
      <c r="B210">
        <v>852.43</v>
      </c>
      <c r="C210">
        <v>908.38</v>
      </c>
      <c r="D210">
        <v>847.86</v>
      </c>
      <c r="E210">
        <v>892.71</v>
      </c>
      <c r="F210">
        <v>1472.55618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0.48215465961665682</v>
      </c>
      <c r="Q210">
        <f t="shared" si="960"/>
        <v>709.99982373430441</v>
      </c>
      <c r="R210">
        <f t="shared" si="961"/>
        <v>-26880.373436929098</v>
      </c>
      <c r="S210">
        <f t="shared" si="962"/>
        <v>-0.268803734369291</v>
      </c>
      <c r="T210">
        <f t="shared" si="963"/>
        <v>-2.6880373436929099E-4</v>
      </c>
    </row>
    <row r="211" spans="1:20" x14ac:dyDescent="0.25">
      <c r="A211" s="5">
        <v>44382</v>
      </c>
      <c r="B211">
        <v>861.75</v>
      </c>
      <c r="C211">
        <v>892.99</v>
      </c>
      <c r="D211">
        <v>815</v>
      </c>
      <c r="E211">
        <v>857.26</v>
      </c>
      <c r="F211">
        <v>1366.6270950000001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8.3728683164507905E-2</v>
      </c>
      <c r="Q211">
        <f t="shared" si="960"/>
        <v>114.42588704128686</v>
      </c>
      <c r="R211">
        <f t="shared" si="961"/>
        <v>-27590.373260663404</v>
      </c>
      <c r="S211">
        <f t="shared" si="962"/>
        <v>-0.27590373260663403</v>
      </c>
      <c r="T211">
        <f t="shared" si="963"/>
        <v>-2.7590373260663403E-4</v>
      </c>
    </row>
    <row r="212" spans="1:20" x14ac:dyDescent="0.25">
      <c r="A212" s="5">
        <v>44381</v>
      </c>
      <c r="B212">
        <v>844.58</v>
      </c>
      <c r="C212">
        <v>895.57</v>
      </c>
      <c r="D212">
        <v>826.88</v>
      </c>
      <c r="E212">
        <v>867.97</v>
      </c>
      <c r="F212">
        <v>1319.134822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0.19638957635754839</v>
      </c>
      <c r="Q212">
        <f t="shared" si="960"/>
        <v>259.06432885107</v>
      </c>
      <c r="R212">
        <f t="shared" si="961"/>
        <v>-27704.799147704693</v>
      </c>
      <c r="S212">
        <f t="shared" si="962"/>
        <v>-0.27704799147704695</v>
      </c>
      <c r="T212">
        <f t="shared" si="963"/>
        <v>-2.7704799147704694E-4</v>
      </c>
    </row>
    <row r="213" spans="1:20" x14ac:dyDescent="0.25">
      <c r="A213" s="5">
        <v>44380</v>
      </c>
      <c r="B213">
        <v>834.84</v>
      </c>
      <c r="C213">
        <v>861.28</v>
      </c>
      <c r="D213">
        <v>823</v>
      </c>
      <c r="E213">
        <v>844.58</v>
      </c>
      <c r="F213">
        <v>726.90757099999996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0.12748171368861319</v>
      </c>
      <c r="Q213">
        <f t="shared" si="960"/>
        <v>92.667422844307254</v>
      </c>
      <c r="R213">
        <f t="shared" si="961"/>
        <v>-27963.863476555762</v>
      </c>
      <c r="S213">
        <f t="shared" si="962"/>
        <v>-0.27963863476555761</v>
      </c>
      <c r="T213">
        <f t="shared" si="963"/>
        <v>-2.7963863476555763E-4</v>
      </c>
    </row>
    <row r="214" spans="1:20" x14ac:dyDescent="0.25">
      <c r="A214" s="5">
        <v>44379</v>
      </c>
      <c r="B214">
        <v>839.82</v>
      </c>
      <c r="C214">
        <v>860</v>
      </c>
      <c r="D214">
        <v>805</v>
      </c>
      <c r="E214">
        <v>834.17</v>
      </c>
      <c r="F214">
        <v>492.17357700000002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6.0727272727271242E-2</v>
      </c>
      <c r="Q214">
        <f t="shared" si="960"/>
        <v>29.888359039635635</v>
      </c>
      <c r="R214">
        <f t="shared" si="961"/>
        <v>-28056.53089940007</v>
      </c>
      <c r="S214">
        <f t="shared" si="962"/>
        <v>-0.28056530899400067</v>
      </c>
      <c r="T214">
        <f t="shared" si="963"/>
        <v>-2.8056530899400067E-4</v>
      </c>
    </row>
    <row r="215" spans="1:20" x14ac:dyDescent="0.25">
      <c r="A215" s="5">
        <v>44378</v>
      </c>
      <c r="B215">
        <v>894.87</v>
      </c>
      <c r="C215">
        <v>900</v>
      </c>
      <c r="D215">
        <v>822.06</v>
      </c>
      <c r="E215">
        <v>841.71</v>
      </c>
      <c r="F215">
        <v>887.27825299999995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-0.49576597382601806</v>
      </c>
      <c r="Q215">
        <f t="shared" si="960"/>
        <v>-439.882367153193</v>
      </c>
      <c r="R215">
        <f t="shared" si="961"/>
        <v>-28086.419258439706</v>
      </c>
      <c r="S215">
        <f t="shared" si="962"/>
        <v>-0.28086419258439704</v>
      </c>
      <c r="T215">
        <f t="shared" si="963"/>
        <v>-2.8086419258439702E-4</v>
      </c>
    </row>
    <row r="216" spans="1:20" x14ac:dyDescent="0.25">
      <c r="A216" s="5">
        <v>44377</v>
      </c>
      <c r="B216">
        <v>901.01</v>
      </c>
      <c r="C216">
        <v>912.88</v>
      </c>
      <c r="D216">
        <v>830.77</v>
      </c>
      <c r="E216">
        <v>891.12</v>
      </c>
      <c r="F216">
        <v>701.53969099999995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0.46997929606625288</v>
      </c>
      <c r="Q216">
        <f t="shared" si="960"/>
        <v>329.70913013871655</v>
      </c>
      <c r="R216">
        <f t="shared" si="961"/>
        <v>-27646.536891286512</v>
      </c>
      <c r="S216">
        <f t="shared" si="962"/>
        <v>-0.27646536891286511</v>
      </c>
      <c r="T216">
        <f t="shared" si="963"/>
        <v>-2.7646536891286509E-4</v>
      </c>
    </row>
    <row r="217" spans="1:20" x14ac:dyDescent="0.25">
      <c r="A217" s="5">
        <v>44376</v>
      </c>
      <c r="B217">
        <v>885.05</v>
      </c>
      <c r="C217">
        <v>949</v>
      </c>
      <c r="D217">
        <v>881.24</v>
      </c>
      <c r="E217">
        <v>908.36</v>
      </c>
      <c r="F217">
        <v>757.25367200000005</v>
      </c>
      <c r="G217">
        <v>0</v>
      </c>
      <c r="L217" t="s">
        <v>8</v>
      </c>
      <c r="M217" t="s">
        <v>7</v>
      </c>
      <c r="N217" t="s">
        <v>8</v>
      </c>
      <c r="P217">
        <f t="shared" si="959"/>
        <v>-0.1995277449822902</v>
      </c>
      <c r="Q217">
        <f t="shared" si="960"/>
        <v>-151.09311755371883</v>
      </c>
      <c r="R217">
        <f t="shared" si="961"/>
        <v>-27976.246021425228</v>
      </c>
      <c r="S217">
        <f t="shared" si="962"/>
        <v>-0.27976246021425227</v>
      </c>
      <c r="T217">
        <f t="shared" si="963"/>
        <v>-2.7976246021425225E-4</v>
      </c>
    </row>
    <row r="218" spans="1:20" x14ac:dyDescent="0.25">
      <c r="A218" s="5">
        <v>44375</v>
      </c>
      <c r="B218">
        <v>888.99</v>
      </c>
      <c r="C218">
        <v>919.35</v>
      </c>
      <c r="D218">
        <v>864.74</v>
      </c>
      <c r="E218">
        <v>884.06</v>
      </c>
      <c r="F218">
        <v>784.36097500000005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-0.29243728254898621</v>
      </c>
      <c r="Q218">
        <f t="shared" si="960"/>
        <v>-229.37639206647333</v>
      </c>
      <c r="R218">
        <f t="shared" si="961"/>
        <v>-27825.152903871509</v>
      </c>
      <c r="S218">
        <f t="shared" si="962"/>
        <v>-0.27825152903871508</v>
      </c>
      <c r="T218">
        <f t="shared" si="963"/>
        <v>-2.782515290387151E-4</v>
      </c>
    </row>
    <row r="219" spans="1:20" x14ac:dyDescent="0.25">
      <c r="A219" s="5">
        <v>44374</v>
      </c>
      <c r="B219">
        <v>845.89</v>
      </c>
      <c r="C219">
        <v>894.7</v>
      </c>
      <c r="D219">
        <v>818.93</v>
      </c>
      <c r="E219">
        <v>885.47</v>
      </c>
      <c r="F219">
        <v>1140.236034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0.75636795565527237</v>
      </c>
      <c r="Q219">
        <f t="shared" si="960"/>
        <v>862.43799800105569</v>
      </c>
      <c r="R219">
        <f t="shared" si="961"/>
        <v>-27595.776511805034</v>
      </c>
      <c r="S219">
        <f t="shared" si="962"/>
        <v>-0.27595776511805031</v>
      </c>
      <c r="T219">
        <f t="shared" si="963"/>
        <v>-2.7595776511805031E-4</v>
      </c>
    </row>
    <row r="220" spans="1:20" x14ac:dyDescent="0.25">
      <c r="A220" s="5">
        <v>44373</v>
      </c>
      <c r="B220">
        <v>864.52</v>
      </c>
      <c r="C220">
        <v>885.38</v>
      </c>
      <c r="D220">
        <v>805.91</v>
      </c>
      <c r="E220">
        <v>844.44</v>
      </c>
      <c r="F220">
        <v>601.49251000000004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-3.0325909148104364E-2</v>
      </c>
      <c r="Q220">
        <f t="shared" si="960"/>
        <v>-18.240807211525258</v>
      </c>
      <c r="R220">
        <f t="shared" si="961"/>
        <v>-28458.21450980609</v>
      </c>
      <c r="S220">
        <f t="shared" si="962"/>
        <v>-0.2845821450980609</v>
      </c>
      <c r="T220">
        <f t="shared" si="963"/>
        <v>-2.8458214509806092E-4</v>
      </c>
    </row>
    <row r="221" spans="1:20" x14ac:dyDescent="0.25">
      <c r="A221" s="5">
        <v>44372</v>
      </c>
      <c r="B221">
        <v>964.15</v>
      </c>
      <c r="C221">
        <v>987.49</v>
      </c>
      <c r="D221">
        <v>850.8</v>
      </c>
      <c r="E221">
        <v>865.92</v>
      </c>
      <c r="F221">
        <v>699.378062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-0.77876947838173971</v>
      </c>
      <c r="Q221">
        <f t="shared" si="960"/>
        <v>-544.65428853537196</v>
      </c>
      <c r="R221">
        <f t="shared" si="961"/>
        <v>-28439.973702594565</v>
      </c>
      <c r="S221">
        <f t="shared" si="962"/>
        <v>-0.28439973702594568</v>
      </c>
      <c r="T221">
        <f t="shared" si="963"/>
        <v>-2.8439973702594566E-4</v>
      </c>
    </row>
    <row r="222" spans="1:20" x14ac:dyDescent="0.25">
      <c r="A222" s="5">
        <v>44371</v>
      </c>
      <c r="B222">
        <v>955</v>
      </c>
      <c r="C222">
        <v>983.7</v>
      </c>
      <c r="D222">
        <v>889.52</v>
      </c>
      <c r="E222">
        <v>965.13</v>
      </c>
      <c r="F222">
        <v>668.25660900000003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0.60564875769802429</v>
      </c>
      <c r="Q222">
        <f t="shared" si="960"/>
        <v>404.72878506434438</v>
      </c>
      <c r="R222">
        <f t="shared" si="961"/>
        <v>-27895.319414059191</v>
      </c>
      <c r="S222">
        <f t="shared" si="962"/>
        <v>-0.27895319414059189</v>
      </c>
      <c r="T222">
        <f t="shared" si="963"/>
        <v>-2.7895319414059186E-4</v>
      </c>
    </row>
    <row r="223" spans="1:20" x14ac:dyDescent="0.25">
      <c r="A223" s="5">
        <v>44370</v>
      </c>
      <c r="B223">
        <v>896.02</v>
      </c>
      <c r="C223">
        <v>1054</v>
      </c>
      <c r="D223">
        <v>860.36</v>
      </c>
      <c r="E223">
        <v>953</v>
      </c>
      <c r="F223">
        <v>852.16927599999997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-4.3172898161536945E-2</v>
      </c>
      <c r="Q223">
        <f t="shared" si="960"/>
        <v>-36.790617369138666</v>
      </c>
      <c r="R223">
        <f t="shared" si="961"/>
        <v>-28300.048199123536</v>
      </c>
      <c r="S223">
        <f t="shared" si="962"/>
        <v>-0.28300048199123534</v>
      </c>
      <c r="T223">
        <f t="shared" si="963"/>
        <v>-2.8300048199123533E-4</v>
      </c>
    </row>
    <row r="224" spans="1:20" x14ac:dyDescent="0.25">
      <c r="A224" s="5">
        <v>44369</v>
      </c>
      <c r="B224">
        <v>959.48</v>
      </c>
      <c r="C224">
        <v>1029.06</v>
      </c>
      <c r="D224">
        <v>779.66</v>
      </c>
      <c r="E224">
        <v>895.54</v>
      </c>
      <c r="F224">
        <v>1485.1012470000001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-7.0729751403368041E-2</v>
      </c>
      <c r="Q224">
        <f t="shared" si="960"/>
        <v>-105.04084200914188</v>
      </c>
      <c r="R224">
        <f t="shared" si="961"/>
        <v>-28263.257581754398</v>
      </c>
      <c r="S224">
        <f t="shared" si="962"/>
        <v>-0.28263257581754397</v>
      </c>
      <c r="T224">
        <f t="shared" si="963"/>
        <v>-2.8263257581754398E-4</v>
      </c>
    </row>
    <row r="225" spans="1:20" x14ac:dyDescent="0.25">
      <c r="A225" s="5">
        <v>44368</v>
      </c>
      <c r="B225">
        <v>1301.1300000000001</v>
      </c>
      <c r="C225">
        <v>1307.25</v>
      </c>
      <c r="D225">
        <v>950.01</v>
      </c>
      <c r="E225">
        <v>959.48</v>
      </c>
      <c r="F225">
        <v>2691.9289720000002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-0.94698242078154726</v>
      </c>
      <c r="Q225">
        <f t="shared" si="960"/>
        <v>-2549.209414476542</v>
      </c>
      <c r="R225">
        <f t="shared" si="961"/>
        <v>-28158.216739745258</v>
      </c>
      <c r="S225">
        <f t="shared" si="962"/>
        <v>-0.28158216739745257</v>
      </c>
      <c r="T225">
        <f t="shared" si="963"/>
        <v>-2.8158216739745256E-4</v>
      </c>
    </row>
    <row r="226" spans="1:20" x14ac:dyDescent="0.25">
      <c r="A226" s="5">
        <v>44367</v>
      </c>
      <c r="B226">
        <v>1348.01</v>
      </c>
      <c r="C226">
        <v>1348.01</v>
      </c>
      <c r="D226">
        <v>1212.03</v>
      </c>
      <c r="E226">
        <v>1305.3399999999999</v>
      </c>
      <c r="F226">
        <v>1272.7351590000001</v>
      </c>
      <c r="G226">
        <v>0</v>
      </c>
      <c r="L226" t="s">
        <v>7</v>
      </c>
      <c r="M226" t="s">
        <v>8</v>
      </c>
      <c r="N226" t="s">
        <v>8</v>
      </c>
      <c r="P226">
        <f t="shared" si="959"/>
        <v>0.37240770701573661</v>
      </c>
      <c r="Q226">
        <f t="shared" si="960"/>
        <v>473.97638220149895</v>
      </c>
      <c r="R226">
        <f t="shared" si="961"/>
        <v>-25609.007325268714</v>
      </c>
      <c r="S226">
        <f t="shared" si="962"/>
        <v>-0.25609007325268712</v>
      </c>
      <c r="T226">
        <f t="shared" si="963"/>
        <v>-2.5609007325268712E-4</v>
      </c>
    </row>
    <row r="227" spans="1:20" x14ac:dyDescent="0.25">
      <c r="A227" s="5">
        <v>44366</v>
      </c>
      <c r="B227">
        <v>1304.53</v>
      </c>
      <c r="C227">
        <v>1420</v>
      </c>
      <c r="D227">
        <v>1292.07</v>
      </c>
      <c r="E227">
        <v>1348.28</v>
      </c>
      <c r="F227">
        <v>2933.3496249999998</v>
      </c>
      <c r="G227">
        <v>0</v>
      </c>
      <c r="L227" t="s">
        <v>7</v>
      </c>
      <c r="M227" t="s">
        <v>8</v>
      </c>
      <c r="N227" t="s">
        <v>8</v>
      </c>
      <c r="P227">
        <f t="shared" si="959"/>
        <v>-0.12123817712811681</v>
      </c>
      <c r="Q227">
        <f t="shared" si="960"/>
        <v>-355.63396141444503</v>
      </c>
      <c r="R227">
        <f t="shared" si="961"/>
        <v>-26082.983707470212</v>
      </c>
      <c r="S227">
        <f t="shared" si="962"/>
        <v>-0.26082983707470214</v>
      </c>
      <c r="T227">
        <f t="shared" si="963"/>
        <v>-2.6082983707470216E-4</v>
      </c>
    </row>
    <row r="228" spans="1:20" x14ac:dyDescent="0.25">
      <c r="A228" s="5">
        <v>44365</v>
      </c>
      <c r="B228">
        <v>1293.75</v>
      </c>
      <c r="C228">
        <v>1421.62</v>
      </c>
      <c r="D228">
        <v>1237.72</v>
      </c>
      <c r="E228">
        <v>1304.54</v>
      </c>
      <c r="F228">
        <v>1792.5095449999999</v>
      </c>
      <c r="G228">
        <v>0</v>
      </c>
      <c r="L228" t="s">
        <v>8</v>
      </c>
      <c r="M228" t="s">
        <v>8</v>
      </c>
      <c r="N228" t="s">
        <v>8</v>
      </c>
      <c r="P228">
        <f t="shared" si="959"/>
        <v>-0.27330070690592728</v>
      </c>
      <c r="Q228">
        <f t="shared" si="960"/>
        <v>-489.89412578412202</v>
      </c>
      <c r="R228">
        <f t="shared" si="961"/>
        <v>-25727.349746055766</v>
      </c>
      <c r="S228">
        <f t="shared" si="962"/>
        <v>-0.25727349746055767</v>
      </c>
      <c r="T228">
        <f t="shared" si="963"/>
        <v>-2.5727349746055764E-4</v>
      </c>
    </row>
    <row r="229" spans="1:20" x14ac:dyDescent="0.25">
      <c r="A229" s="5">
        <v>44364</v>
      </c>
      <c r="B229">
        <v>1236.82</v>
      </c>
      <c r="C229">
        <v>1335</v>
      </c>
      <c r="D229">
        <v>1233.17</v>
      </c>
      <c r="E229">
        <v>1288.2</v>
      </c>
      <c r="F229">
        <v>1176.4044710000001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8.0820976136698655E-2</v>
      </c>
      <c r="Q229">
        <f t="shared" si="960"/>
        <v>95.078157677796611</v>
      </c>
      <c r="R229">
        <f t="shared" si="961"/>
        <v>-25237.455620271645</v>
      </c>
      <c r="S229">
        <f t="shared" si="962"/>
        <v>-0.25237455620271643</v>
      </c>
      <c r="T229">
        <f t="shared" si="963"/>
        <v>-2.523745562027164E-4</v>
      </c>
    </row>
    <row r="230" spans="1:20" x14ac:dyDescent="0.25">
      <c r="A230" s="5">
        <v>44363</v>
      </c>
      <c r="B230">
        <v>1302.67</v>
      </c>
      <c r="C230">
        <v>1338</v>
      </c>
      <c r="D230">
        <v>1210.75</v>
      </c>
      <c r="E230">
        <v>1236.8699999999999</v>
      </c>
      <c r="F230">
        <v>2063.3467209999999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-0.58946954813359698</v>
      </c>
      <c r="Q230">
        <f t="shared" si="960"/>
        <v>-1216.280059270809</v>
      </c>
      <c r="R230">
        <f t="shared" si="961"/>
        <v>-25332.53377794944</v>
      </c>
      <c r="S230">
        <f t="shared" si="962"/>
        <v>-0.2533253377794944</v>
      </c>
      <c r="T230">
        <f t="shared" si="963"/>
        <v>-2.5332533777949442E-4</v>
      </c>
    </row>
    <row r="231" spans="1:20" x14ac:dyDescent="0.25">
      <c r="A231" s="5">
        <v>44362</v>
      </c>
      <c r="B231">
        <v>1139.53</v>
      </c>
      <c r="C231">
        <v>1393.59</v>
      </c>
      <c r="D231">
        <v>1128.1400000000001</v>
      </c>
      <c r="E231">
        <v>1304.43</v>
      </c>
      <c r="F231">
        <v>8413.8764439999995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0.3282350725183657</v>
      </c>
      <c r="Q231">
        <f t="shared" si="960"/>
        <v>2761.7293447569086</v>
      </c>
      <c r="R231">
        <f t="shared" si="961"/>
        <v>-24116.253718678632</v>
      </c>
      <c r="S231">
        <f t="shared" si="962"/>
        <v>-0.24116253718678632</v>
      </c>
      <c r="T231">
        <f t="shared" si="963"/>
        <v>-2.4116253718678632E-4</v>
      </c>
    </row>
    <row r="232" spans="1:20" x14ac:dyDescent="0.25">
      <c r="A232" s="5">
        <v>44361</v>
      </c>
      <c r="B232">
        <v>1111.18</v>
      </c>
      <c r="C232">
        <v>1153.0999999999999</v>
      </c>
      <c r="D232">
        <v>1080.81</v>
      </c>
      <c r="E232">
        <v>1138.71</v>
      </c>
      <c r="F232">
        <v>1057.31708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0.6018813113847038</v>
      </c>
      <c r="Q232">
        <f t="shared" si="960"/>
        <v>636.37939065984585</v>
      </c>
      <c r="R232">
        <f t="shared" si="961"/>
        <v>-26877.983063435542</v>
      </c>
      <c r="S232">
        <f t="shared" si="962"/>
        <v>-0.2687798306343554</v>
      </c>
      <c r="T232">
        <f t="shared" si="963"/>
        <v>-2.6877983063435537E-4</v>
      </c>
    </row>
    <row r="233" spans="1:20" x14ac:dyDescent="0.25">
      <c r="A233" s="5">
        <v>44360</v>
      </c>
      <c r="B233">
        <v>1052.95</v>
      </c>
      <c r="C233">
        <v>1160.1099999999999</v>
      </c>
      <c r="D233">
        <v>1010.02</v>
      </c>
      <c r="E233">
        <v>1111.19</v>
      </c>
      <c r="F233">
        <v>881.08583799999997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0.34812445865814018</v>
      </c>
      <c r="Q233">
        <f t="shared" si="960"/>
        <v>306.72753038510376</v>
      </c>
      <c r="R233">
        <f t="shared" si="961"/>
        <v>-27514.36245409539</v>
      </c>
      <c r="S233">
        <f t="shared" si="962"/>
        <v>-0.27514362454095392</v>
      </c>
      <c r="T233">
        <f t="shared" si="963"/>
        <v>-2.7514362454095394E-4</v>
      </c>
    </row>
    <row r="234" spans="1:20" x14ac:dyDescent="0.25">
      <c r="A234" s="5">
        <v>44359</v>
      </c>
      <c r="B234">
        <v>1072.8699999999999</v>
      </c>
      <c r="C234">
        <v>1149.98</v>
      </c>
      <c r="D234">
        <v>1000</v>
      </c>
      <c r="E234">
        <v>1052.96</v>
      </c>
      <c r="F234">
        <v>1190.8549479999999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-0.29377250300039964</v>
      </c>
      <c r="Q234">
        <f t="shared" si="960"/>
        <v>-349.84043878437075</v>
      </c>
      <c r="R234">
        <f t="shared" si="961"/>
        <v>-27821.089984480492</v>
      </c>
      <c r="S234">
        <f t="shared" si="962"/>
        <v>-0.2782108998448049</v>
      </c>
      <c r="T234">
        <f t="shared" si="963"/>
        <v>-2.7821089984480488E-4</v>
      </c>
    </row>
    <row r="235" spans="1:20" x14ac:dyDescent="0.25">
      <c r="A235" s="5">
        <v>44358</v>
      </c>
      <c r="B235">
        <v>1103.3900000000001</v>
      </c>
      <c r="C235">
        <v>1145.04</v>
      </c>
      <c r="D235">
        <v>1039.44</v>
      </c>
      <c r="E235">
        <v>1065.3800000000001</v>
      </c>
      <c r="F235">
        <v>588.00455399999998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-0.50871212121211973</v>
      </c>
      <c r="Q235">
        <f t="shared" si="960"/>
        <v>-299.1250439477264</v>
      </c>
      <c r="R235">
        <f t="shared" si="961"/>
        <v>-27471.249545696122</v>
      </c>
      <c r="S235">
        <f t="shared" si="962"/>
        <v>-0.27471249545696125</v>
      </c>
      <c r="T235">
        <f t="shared" si="963"/>
        <v>-2.7471249545696125E-4</v>
      </c>
    </row>
    <row r="236" spans="1:20" x14ac:dyDescent="0.25">
      <c r="A236" s="5">
        <v>44357</v>
      </c>
      <c r="B236">
        <v>1162.48</v>
      </c>
      <c r="C236">
        <v>1172.82</v>
      </c>
      <c r="D236">
        <v>1079</v>
      </c>
      <c r="E236">
        <v>1106.52</v>
      </c>
      <c r="F236">
        <v>758.38687100000004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-0.4133447026220422</v>
      </c>
      <c r="Q236">
        <f t="shared" si="960"/>
        <v>-313.47519566595611</v>
      </c>
      <c r="R236">
        <f t="shared" si="961"/>
        <v>-27172.124501748396</v>
      </c>
      <c r="S236">
        <f t="shared" si="962"/>
        <v>-0.27172124501748396</v>
      </c>
      <c r="T236">
        <f t="shared" si="963"/>
        <v>-2.7172124501748395E-4</v>
      </c>
    </row>
    <row r="237" spans="1:20" x14ac:dyDescent="0.25">
      <c r="A237" s="5">
        <v>44356</v>
      </c>
      <c r="B237">
        <v>1103.44</v>
      </c>
      <c r="C237">
        <v>1187.06</v>
      </c>
      <c r="D237">
        <v>1048.26</v>
      </c>
      <c r="E237">
        <v>1170.07</v>
      </c>
      <c r="F237">
        <v>772.13978399999996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0.75518731988472598</v>
      </c>
      <c r="Q237">
        <f t="shared" si="960"/>
        <v>583.11017405533119</v>
      </c>
      <c r="R237">
        <f t="shared" si="961"/>
        <v>-26858.64930608244</v>
      </c>
      <c r="S237">
        <f t="shared" si="962"/>
        <v>-0.26858649306082438</v>
      </c>
      <c r="T237">
        <f t="shared" si="963"/>
        <v>-2.6858649306082439E-4</v>
      </c>
    </row>
    <row r="238" spans="1:20" x14ac:dyDescent="0.25">
      <c r="A238" s="5">
        <v>44355</v>
      </c>
      <c r="B238">
        <v>1121.72</v>
      </c>
      <c r="C238">
        <v>1149.51</v>
      </c>
      <c r="D238">
        <v>1000</v>
      </c>
      <c r="E238">
        <v>1093.77</v>
      </c>
      <c r="F238">
        <v>1264.708349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0.25436425657146661</v>
      </c>
      <c r="Q238">
        <f t="shared" si="960"/>
        <v>321.69659897311192</v>
      </c>
      <c r="R238">
        <f t="shared" si="961"/>
        <v>-27441.759480137771</v>
      </c>
      <c r="S238">
        <f t="shared" si="962"/>
        <v>-0.27441759480137773</v>
      </c>
      <c r="T238">
        <f t="shared" si="963"/>
        <v>-2.7441759480137775E-4</v>
      </c>
    </row>
    <row r="239" spans="1:20" x14ac:dyDescent="0.25">
      <c r="A239" s="5">
        <v>44354</v>
      </c>
      <c r="B239">
        <v>1279.99</v>
      </c>
      <c r="C239">
        <v>1315</v>
      </c>
      <c r="D239">
        <v>1120.45</v>
      </c>
      <c r="E239">
        <v>1121.72</v>
      </c>
      <c r="F239">
        <v>847.94139199999995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-0.98694423027499378</v>
      </c>
      <c r="Q239">
        <f t="shared" si="960"/>
        <v>-836.87086444574675</v>
      </c>
      <c r="R239">
        <f t="shared" si="961"/>
        <v>-27763.456079110882</v>
      </c>
      <c r="S239">
        <f t="shared" si="962"/>
        <v>-0.27763456079110882</v>
      </c>
      <c r="T239">
        <f t="shared" si="963"/>
        <v>-2.7763456079110883E-4</v>
      </c>
    </row>
    <row r="240" spans="1:20" x14ac:dyDescent="0.25">
      <c r="A240" s="5">
        <v>44353</v>
      </c>
      <c r="B240">
        <v>1266.96</v>
      </c>
      <c r="C240">
        <v>1358</v>
      </c>
      <c r="D240">
        <v>1225.04</v>
      </c>
      <c r="E240">
        <v>1280</v>
      </c>
      <c r="F240">
        <v>714.36797100000001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-0.17328519855595637</v>
      </c>
      <c r="Q240">
        <f t="shared" si="960"/>
        <v>-123.78939569675067</v>
      </c>
      <c r="R240">
        <f t="shared" si="961"/>
        <v>-26926.585214665134</v>
      </c>
      <c r="S240">
        <f t="shared" si="962"/>
        <v>-0.26926585214665133</v>
      </c>
      <c r="T240">
        <f t="shared" si="963"/>
        <v>-2.6926585214665134E-4</v>
      </c>
    </row>
    <row r="241" spans="1:20" x14ac:dyDescent="0.25">
      <c r="A241" s="5">
        <v>44352</v>
      </c>
      <c r="B241">
        <v>1276.22</v>
      </c>
      <c r="C241">
        <v>1390</v>
      </c>
      <c r="D241">
        <v>1201</v>
      </c>
      <c r="E241">
        <v>1266.97</v>
      </c>
      <c r="F241">
        <v>810.83462799999995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-0.30190476190476162</v>
      </c>
      <c r="Q241">
        <f t="shared" si="960"/>
        <v>-244.79483531047595</v>
      </c>
      <c r="R241">
        <f t="shared" si="961"/>
        <v>-26802.795818968385</v>
      </c>
      <c r="S241">
        <f t="shared" si="962"/>
        <v>-0.26802795818968383</v>
      </c>
      <c r="T241">
        <f t="shared" si="963"/>
        <v>-2.6802795818968385E-4</v>
      </c>
    </row>
    <row r="242" spans="1:20" x14ac:dyDescent="0.25">
      <c r="A242" s="5">
        <v>44351</v>
      </c>
      <c r="B242">
        <v>1442.07</v>
      </c>
      <c r="C242">
        <v>1442.09</v>
      </c>
      <c r="D242">
        <v>1250</v>
      </c>
      <c r="E242">
        <v>1276.22</v>
      </c>
      <c r="F242">
        <v>1190.6352770000001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-0.72700296735905001</v>
      </c>
      <c r="Q242">
        <f t="shared" si="960"/>
        <v>-865.59537942136456</v>
      </c>
      <c r="R242">
        <f t="shared" si="961"/>
        <v>-26558.000983657908</v>
      </c>
      <c r="S242">
        <f t="shared" si="962"/>
        <v>-0.26558000983657909</v>
      </c>
      <c r="T242">
        <f t="shared" si="963"/>
        <v>-2.655800098365791E-4</v>
      </c>
    </row>
    <row r="243" spans="1:20" x14ac:dyDescent="0.25">
      <c r="A243" s="5">
        <v>44350</v>
      </c>
      <c r="B243">
        <v>1450.97</v>
      </c>
      <c r="C243">
        <v>1570</v>
      </c>
      <c r="D243">
        <v>1373.62</v>
      </c>
      <c r="E243">
        <v>1435.69</v>
      </c>
      <c r="F243">
        <v>1813.4060280000001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-0.36785823403605122</v>
      </c>
      <c r="Q243">
        <f t="shared" si="960"/>
        <v>-667.07633905041007</v>
      </c>
      <c r="R243">
        <f t="shared" si="961"/>
        <v>-25692.405604236545</v>
      </c>
      <c r="S243">
        <f t="shared" si="962"/>
        <v>-0.25692405604236546</v>
      </c>
      <c r="T243">
        <f t="shared" si="963"/>
        <v>-2.5692405604236547E-4</v>
      </c>
    </row>
    <row r="244" spans="1:20" x14ac:dyDescent="0.25">
      <c r="A244" s="5">
        <v>44349</v>
      </c>
      <c r="B244">
        <v>1386.34</v>
      </c>
      <c r="C244">
        <v>1586.03</v>
      </c>
      <c r="D244">
        <v>1340.38</v>
      </c>
      <c r="E244">
        <v>1450.97</v>
      </c>
      <c r="F244">
        <v>829.39101900000003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-9.9613270913902055E-2</v>
      </c>
      <c r="Q244">
        <f t="shared" si="960"/>
        <v>-82.618352269204294</v>
      </c>
      <c r="R244">
        <f t="shared" si="961"/>
        <v>-25025.329265186134</v>
      </c>
      <c r="S244">
        <f t="shared" si="962"/>
        <v>-0.25025329265186136</v>
      </c>
      <c r="T244">
        <f t="shared" si="963"/>
        <v>-2.5025329265186138E-4</v>
      </c>
    </row>
    <row r="245" spans="1:20" x14ac:dyDescent="0.25">
      <c r="A245" s="5">
        <v>44348</v>
      </c>
      <c r="B245">
        <v>1433.14</v>
      </c>
      <c r="C245">
        <v>1456.78</v>
      </c>
      <c r="D245">
        <v>1335.76</v>
      </c>
      <c r="E245">
        <v>1373.64</v>
      </c>
      <c r="F245">
        <v>478.47720600000002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-0.37398777061642513</v>
      </c>
      <c r="Q245">
        <f t="shared" si="960"/>
        <v>-178.944623562716</v>
      </c>
      <c r="R245">
        <f t="shared" si="961"/>
        <v>-24942.710912916929</v>
      </c>
      <c r="S245">
        <f t="shared" si="962"/>
        <v>-0.24942710912916929</v>
      </c>
      <c r="T245">
        <f t="shared" si="963"/>
        <v>-2.4942710912916928E-4</v>
      </c>
    </row>
    <row r="246" spans="1:20" x14ac:dyDescent="0.25">
      <c r="A246" s="5">
        <v>44347</v>
      </c>
      <c r="B246">
        <v>1351</v>
      </c>
      <c r="C246">
        <v>1463</v>
      </c>
      <c r="D246">
        <v>1271.24</v>
      </c>
      <c r="E246">
        <v>1420.33</v>
      </c>
      <c r="F246">
        <v>710.64045499999997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0.55496453900709142</v>
      </c>
      <c r="Q246">
        <f t="shared" si="960"/>
        <v>394.38025250886466</v>
      </c>
      <c r="R246">
        <f t="shared" si="961"/>
        <v>-24763.766289354215</v>
      </c>
      <c r="S246">
        <f t="shared" si="962"/>
        <v>-0.24763766289354214</v>
      </c>
      <c r="T246">
        <f t="shared" si="963"/>
        <v>-2.4763766289354213E-4</v>
      </c>
    </row>
    <row r="247" spans="1:20" x14ac:dyDescent="0.25">
      <c r="A247" s="5">
        <v>44346</v>
      </c>
      <c r="B247">
        <v>1307.9000000000001</v>
      </c>
      <c r="C247">
        <v>1412.77</v>
      </c>
      <c r="D247">
        <v>1236.31</v>
      </c>
      <c r="E247">
        <v>1351.01</v>
      </c>
      <c r="F247">
        <v>744.83579199999997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0.30001133401337438</v>
      </c>
      <c r="Q247">
        <f t="shared" si="960"/>
        <v>223.45917957882824</v>
      </c>
      <c r="R247">
        <f t="shared" si="961"/>
        <v>-25158.14654186308</v>
      </c>
      <c r="S247">
        <f t="shared" si="962"/>
        <v>-0.2515814654186308</v>
      </c>
      <c r="T247">
        <f t="shared" si="963"/>
        <v>-2.5158146541863079E-4</v>
      </c>
    </row>
    <row r="248" spans="1:20" x14ac:dyDescent="0.25">
      <c r="A248" s="5">
        <v>44345</v>
      </c>
      <c r="B248">
        <v>1413.06</v>
      </c>
      <c r="C248">
        <v>1480.2</v>
      </c>
      <c r="D248">
        <v>1270</v>
      </c>
      <c r="E248">
        <v>1307.9000000000001</v>
      </c>
      <c r="F248">
        <v>707.17398200000002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-0.63939105613701153</v>
      </c>
      <c r="Q248">
        <f t="shared" si="960"/>
        <v>-452.160719223596</v>
      </c>
      <c r="R248">
        <f t="shared" si="961"/>
        <v>-25381.605721441909</v>
      </c>
      <c r="S248">
        <f t="shared" si="962"/>
        <v>-0.25381605721441908</v>
      </c>
      <c r="T248">
        <f t="shared" si="963"/>
        <v>-2.538160572144191E-4</v>
      </c>
    </row>
    <row r="249" spans="1:20" x14ac:dyDescent="0.25">
      <c r="A249" s="5">
        <v>44344</v>
      </c>
      <c r="B249">
        <v>1528.58</v>
      </c>
      <c r="C249">
        <v>1619.81</v>
      </c>
      <c r="D249">
        <v>1331.62</v>
      </c>
      <c r="E249">
        <v>1393.98</v>
      </c>
      <c r="F249">
        <v>1898.2095589999999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-0.56722995246191665</v>
      </c>
      <c r="Q249">
        <f t="shared" si="960"/>
        <v>-1076.7213179143257</v>
      </c>
      <c r="R249">
        <f t="shared" si="961"/>
        <v>-24929.445002218312</v>
      </c>
      <c r="S249">
        <f t="shared" si="962"/>
        <v>-0.24929445002218312</v>
      </c>
      <c r="T249">
        <f t="shared" si="963"/>
        <v>-2.4929445002218309E-4</v>
      </c>
    </row>
    <row r="250" spans="1:20" x14ac:dyDescent="0.25">
      <c r="A250" s="5">
        <v>44343</v>
      </c>
      <c r="B250">
        <v>1527.05</v>
      </c>
      <c r="C250">
        <v>1600</v>
      </c>
      <c r="D250">
        <v>1380</v>
      </c>
      <c r="E250">
        <v>1528.61</v>
      </c>
      <c r="F250">
        <v>901.19856400000003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0.35099999999999909</v>
      </c>
      <c r="Q250">
        <f t="shared" si="960"/>
        <v>316.32069596399919</v>
      </c>
      <c r="R250">
        <f t="shared" si="961"/>
        <v>-23852.723684303986</v>
      </c>
      <c r="S250">
        <f t="shared" si="962"/>
        <v>-0.23852723684303986</v>
      </c>
      <c r="T250">
        <f t="shared" si="963"/>
        <v>-2.3852723684303985E-4</v>
      </c>
    </row>
    <row r="251" spans="1:20" x14ac:dyDescent="0.25">
      <c r="A251" s="5">
        <v>44342</v>
      </c>
      <c r="B251">
        <v>1421.5</v>
      </c>
      <c r="C251">
        <v>1666.82</v>
      </c>
      <c r="D251">
        <v>1392.65</v>
      </c>
      <c r="E251">
        <v>1519.45</v>
      </c>
      <c r="F251">
        <v>1247.2340650000001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-7.5026443447495886E-2</v>
      </c>
      <c r="Q251">
        <f t="shared" si="960"/>
        <v>-93.575536043512912</v>
      </c>
      <c r="R251">
        <f t="shared" si="961"/>
        <v>-24169.044380267984</v>
      </c>
      <c r="S251">
        <f t="shared" si="962"/>
        <v>-0.24169044380267984</v>
      </c>
      <c r="T251">
        <f t="shared" si="963"/>
        <v>-2.4169044380267985E-4</v>
      </c>
    </row>
    <row r="252" spans="1:20" x14ac:dyDescent="0.25">
      <c r="A252" s="5">
        <v>44341</v>
      </c>
      <c r="B252">
        <v>1441.5</v>
      </c>
      <c r="C252">
        <v>1594.98</v>
      </c>
      <c r="D252">
        <v>1274.3900000000001</v>
      </c>
      <c r="E252">
        <v>1422.67</v>
      </c>
      <c r="F252">
        <v>1026.847591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-7.4955550703390564E-2</v>
      </c>
      <c r="Q252">
        <f t="shared" si="960"/>
        <v>-76.967926671854954</v>
      </c>
      <c r="R252">
        <f t="shared" si="961"/>
        <v>-24075.46884422447</v>
      </c>
      <c r="S252">
        <f t="shared" si="962"/>
        <v>-0.24075468844224471</v>
      </c>
      <c r="T252">
        <f t="shared" si="963"/>
        <v>-2.4075468844224471E-4</v>
      </c>
    </row>
    <row r="253" spans="1:20" x14ac:dyDescent="0.25">
      <c r="A253" s="5">
        <v>44340</v>
      </c>
      <c r="B253">
        <v>1149.99</v>
      </c>
      <c r="C253">
        <v>1468.17</v>
      </c>
      <c r="D253">
        <v>1128.55</v>
      </c>
      <c r="E253">
        <v>1456</v>
      </c>
      <c r="F253">
        <v>1387.5403409999999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0.92833166480183693</v>
      </c>
      <c r="Q253">
        <f t="shared" si="960"/>
        <v>1288.0976347402384</v>
      </c>
      <c r="R253">
        <f t="shared" si="961"/>
        <v>-23998.500917552614</v>
      </c>
      <c r="S253">
        <f t="shared" si="962"/>
        <v>-0.23998500917552615</v>
      </c>
      <c r="T253">
        <f t="shared" si="963"/>
        <v>-2.3998500917552616E-4</v>
      </c>
    </row>
    <row r="254" spans="1:20" x14ac:dyDescent="0.25">
      <c r="A254" s="5">
        <v>44339</v>
      </c>
      <c r="B254">
        <v>1365.48</v>
      </c>
      <c r="C254">
        <v>1425.13</v>
      </c>
      <c r="D254">
        <v>950</v>
      </c>
      <c r="E254">
        <v>1132.05</v>
      </c>
      <c r="F254">
        <v>2333.6024360000001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-0.23368341296066378</v>
      </c>
      <c r="Q254">
        <f t="shared" si="960"/>
        <v>-545.32418173779899</v>
      </c>
      <c r="R254">
        <f t="shared" si="961"/>
        <v>-25286.598552292853</v>
      </c>
      <c r="S254">
        <f t="shared" si="962"/>
        <v>-0.25286598552292855</v>
      </c>
      <c r="T254">
        <f t="shared" si="963"/>
        <v>-2.5286598552292852E-4</v>
      </c>
    </row>
    <row r="255" spans="1:20" x14ac:dyDescent="0.25">
      <c r="A255" s="5">
        <v>44338</v>
      </c>
      <c r="B255">
        <v>1413.27</v>
      </c>
      <c r="C255">
        <v>1523.77</v>
      </c>
      <c r="D255">
        <v>1244.47</v>
      </c>
      <c r="E255">
        <v>1374.71</v>
      </c>
      <c r="F255">
        <v>1142.808149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-6.7382742570712278E-2</v>
      </c>
      <c r="Q255">
        <f t="shared" si="960"/>
        <v>-77.005547311779196</v>
      </c>
      <c r="R255">
        <f t="shared" si="961"/>
        <v>-24741.274370555053</v>
      </c>
      <c r="S255">
        <f t="shared" si="962"/>
        <v>-0.24741274370555053</v>
      </c>
      <c r="T255">
        <f t="shared" si="963"/>
        <v>-2.4741274370555051E-4</v>
      </c>
    </row>
    <row r="256" spans="1:20" x14ac:dyDescent="0.25">
      <c r="A256" s="5">
        <v>44337</v>
      </c>
      <c r="B256">
        <v>1750.99</v>
      </c>
      <c r="C256">
        <v>1951</v>
      </c>
      <c r="D256">
        <v>1186.9100000000001</v>
      </c>
      <c r="E256">
        <v>1413.35</v>
      </c>
      <c r="F256">
        <v>2465.8191889999998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-0.40729495216532124</v>
      </c>
      <c r="Q256">
        <f t="shared" si="960"/>
        <v>-1004.3157086320862</v>
      </c>
      <c r="R256">
        <f t="shared" si="961"/>
        <v>-24664.268823243274</v>
      </c>
      <c r="S256">
        <f t="shared" si="962"/>
        <v>-0.24664268823243274</v>
      </c>
      <c r="T256">
        <f t="shared" si="963"/>
        <v>-2.4664268823243273E-4</v>
      </c>
    </row>
    <row r="257" spans="1:20" x14ac:dyDescent="0.25">
      <c r="A257" s="5">
        <v>44336</v>
      </c>
      <c r="B257">
        <v>1581.37</v>
      </c>
      <c r="C257">
        <v>1909.49</v>
      </c>
      <c r="D257">
        <v>1338.61</v>
      </c>
      <c r="E257">
        <v>1750.98</v>
      </c>
      <c r="F257">
        <v>2524.7483160000002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0.44468189461883423</v>
      </c>
      <c r="Q257">
        <f t="shared" si="960"/>
        <v>1122.7098645945912</v>
      </c>
      <c r="R257">
        <f t="shared" si="961"/>
        <v>-23659.953114611188</v>
      </c>
      <c r="S257">
        <f t="shared" si="962"/>
        <v>-0.23659953114611187</v>
      </c>
      <c r="T257">
        <f t="shared" si="963"/>
        <v>-2.3659953114611186E-4</v>
      </c>
    </row>
    <row r="258" spans="1:20" x14ac:dyDescent="0.25">
      <c r="A258" s="5">
        <v>44335</v>
      </c>
      <c r="B258">
        <v>2487.5700000000002</v>
      </c>
      <c r="C258">
        <v>2545.3000000000002</v>
      </c>
      <c r="D258">
        <v>1200.03</v>
      </c>
      <c r="E258">
        <v>1584.49</v>
      </c>
      <c r="F258">
        <v>3525.4633549999999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-0.42842700721788196</v>
      </c>
      <c r="Q258">
        <f t="shared" si="960"/>
        <v>-1510.4037142389634</v>
      </c>
      <c r="R258">
        <f t="shared" si="961"/>
        <v>-24782.662979205779</v>
      </c>
      <c r="S258">
        <f t="shared" si="962"/>
        <v>-0.2478266297920578</v>
      </c>
      <c r="T258">
        <f t="shared" si="963"/>
        <v>-2.4782662979205779E-4</v>
      </c>
    </row>
    <row r="259" spans="1:20" x14ac:dyDescent="0.25">
      <c r="A259" s="5">
        <v>44334</v>
      </c>
      <c r="B259">
        <v>2343.13</v>
      </c>
      <c r="C259">
        <v>2609.16</v>
      </c>
      <c r="D259">
        <v>2300</v>
      </c>
      <c r="E259">
        <v>2486.1799999999998</v>
      </c>
      <c r="F259">
        <v>1773.9592720000001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0.20442489325915333</v>
      </c>
      <c r="Q259">
        <f t="shared" si="960"/>
        <v>362.64143482468535</v>
      </c>
      <c r="R259">
        <f t="shared" si="961"/>
        <v>-23272.259264966815</v>
      </c>
      <c r="S259">
        <f t="shared" si="962"/>
        <v>-0.23272259264966816</v>
      </c>
      <c r="T259">
        <f t="shared" si="963"/>
        <v>-2.3272259264966815E-4</v>
      </c>
    </row>
    <row r="260" spans="1:20" x14ac:dyDescent="0.25">
      <c r="A260" s="5">
        <v>44333</v>
      </c>
      <c r="B260">
        <v>2553.91</v>
      </c>
      <c r="C260">
        <v>2558.41</v>
      </c>
      <c r="D260">
        <v>2221.9499999999998</v>
      </c>
      <c r="E260">
        <v>2339.0700000000002</v>
      </c>
      <c r="F260">
        <v>1688.2426829999999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-0.30381025976341713</v>
      </c>
      <c r="Q260">
        <f t="shared" si="960"/>
        <v>-512.90544806591822</v>
      </c>
      <c r="R260">
        <f t="shared" si="961"/>
        <v>-23634.900699791502</v>
      </c>
      <c r="S260">
        <f t="shared" si="962"/>
        <v>-0.23634900699791503</v>
      </c>
      <c r="T260">
        <f t="shared" si="963"/>
        <v>-2.3634900699791503E-4</v>
      </c>
    </row>
    <row r="261" spans="1:20" x14ac:dyDescent="0.25">
      <c r="A261" s="5">
        <v>44332</v>
      </c>
      <c r="B261">
        <v>2582.4299999999998</v>
      </c>
      <c r="C261">
        <v>2849</v>
      </c>
      <c r="D261">
        <v>2500</v>
      </c>
      <c r="E261">
        <v>2553.8200000000002</v>
      </c>
      <c r="F261">
        <v>1324.2445170000001</v>
      </c>
      <c r="G261">
        <v>0</v>
      </c>
      <c r="L261" t="s">
        <v>8</v>
      </c>
      <c r="M261" t="s">
        <v>7</v>
      </c>
      <c r="N261" t="s">
        <v>7</v>
      </c>
      <c r="P261">
        <f t="shared" si="959"/>
        <v>-0.69157593123209071</v>
      </c>
      <c r="Q261">
        <f t="shared" si="960"/>
        <v>-915.81563502326526</v>
      </c>
      <c r="R261">
        <f t="shared" si="961"/>
        <v>-23121.995251725584</v>
      </c>
      <c r="S261">
        <f t="shared" si="962"/>
        <v>-0.23121995251725586</v>
      </c>
      <c r="T261">
        <f t="shared" si="963"/>
        <v>-2.3121995251725586E-4</v>
      </c>
    </row>
    <row r="262" spans="1:20" x14ac:dyDescent="0.25">
      <c r="A262" s="5">
        <v>44331</v>
      </c>
      <c r="B262">
        <v>2716.35</v>
      </c>
      <c r="C262">
        <v>2895</v>
      </c>
      <c r="D262">
        <v>2535.38</v>
      </c>
      <c r="E262">
        <v>2582.63</v>
      </c>
      <c r="F262">
        <v>1984.548086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-0.73722262388076298</v>
      </c>
      <c r="Q262">
        <f t="shared" ref="Q262:Q325" si="965">F262*P262</f>
        <v>-1463.053747178466</v>
      </c>
      <c r="R262">
        <f t="shared" ref="R262:R325" si="966">R263+Q262</f>
        <v>-22206.17961670232</v>
      </c>
      <c r="S262">
        <f t="shared" ref="S262:S325" si="967">R262/100000</f>
        <v>-0.22206179616702321</v>
      </c>
      <c r="T262">
        <f t="shared" ref="T262:T325" si="968">S262/1000</f>
        <v>-2.2206179616702322E-4</v>
      </c>
    </row>
    <row r="263" spans="1:20" x14ac:dyDescent="0.25">
      <c r="A263" s="5">
        <v>44330</v>
      </c>
      <c r="B263">
        <v>2599.6</v>
      </c>
      <c r="C263">
        <v>2949.96</v>
      </c>
      <c r="D263">
        <v>2585.25</v>
      </c>
      <c r="E263">
        <v>2723.28</v>
      </c>
      <c r="F263">
        <v>1658.4457070000001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-0.24306983630829873</v>
      </c>
      <c r="Q263">
        <f t="shared" si="965"/>
        <v>-403.11812652669079</v>
      </c>
      <c r="R263">
        <f t="shared" si="966"/>
        <v>-20743.125869523854</v>
      </c>
      <c r="S263">
        <f t="shared" si="967"/>
        <v>-0.20743125869523854</v>
      </c>
      <c r="T263">
        <f t="shared" si="968"/>
        <v>-2.0743125869523854E-4</v>
      </c>
    </row>
    <row r="264" spans="1:20" x14ac:dyDescent="0.25">
      <c r="A264" s="5">
        <v>44329</v>
      </c>
      <c r="B264">
        <v>2709.98</v>
      </c>
      <c r="C264">
        <v>3083.97</v>
      </c>
      <c r="D264">
        <v>2495.61</v>
      </c>
      <c r="E264">
        <v>2602.1999999999998</v>
      </c>
      <c r="F264">
        <v>3832.7996710000002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-0.63767081378747792</v>
      </c>
      <c r="Q264">
        <f t="shared" si="965"/>
        <v>-2444.0644852909477</v>
      </c>
      <c r="R264">
        <f t="shared" si="966"/>
        <v>-20340.007742997164</v>
      </c>
      <c r="S264">
        <f t="shared" si="967"/>
        <v>-0.20340007742997165</v>
      </c>
      <c r="T264">
        <f t="shared" si="968"/>
        <v>-2.0340007742997165E-4</v>
      </c>
    </row>
    <row r="265" spans="1:20" x14ac:dyDescent="0.25">
      <c r="A265" s="5">
        <v>44328</v>
      </c>
      <c r="B265">
        <v>3209.23</v>
      </c>
      <c r="C265">
        <v>3599</v>
      </c>
      <c r="D265">
        <v>2698.01</v>
      </c>
      <c r="E265">
        <v>2709.98</v>
      </c>
      <c r="F265">
        <v>4464.9113459999999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-0.97342922784936614</v>
      </c>
      <c r="Q265">
        <f t="shared" si="965"/>
        <v>-4346.275203952654</v>
      </c>
      <c r="R265">
        <f t="shared" si="966"/>
        <v>-17895.943257706218</v>
      </c>
      <c r="S265">
        <f t="shared" si="967"/>
        <v>-0.17895943257706218</v>
      </c>
      <c r="T265">
        <f t="shared" si="968"/>
        <v>-1.7895943257706219E-4</v>
      </c>
    </row>
    <row r="266" spans="1:20" x14ac:dyDescent="0.25">
      <c r="A266" s="5">
        <v>44327</v>
      </c>
      <c r="B266">
        <v>2771.55</v>
      </c>
      <c r="C266">
        <v>3347</v>
      </c>
      <c r="D266">
        <v>2732.01</v>
      </c>
      <c r="E266">
        <v>3219.58</v>
      </c>
      <c r="F266">
        <v>3993.467083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0.58561927836224936</v>
      </c>
      <c r="Q266">
        <f t="shared" si="965"/>
        <v>2338.6513113098572</v>
      </c>
      <c r="R266">
        <f t="shared" si="966"/>
        <v>-13549.668053753565</v>
      </c>
      <c r="S266">
        <f t="shared" si="967"/>
        <v>-0.13549668053753564</v>
      </c>
      <c r="T266">
        <f t="shared" si="968"/>
        <v>-1.3549668053753564E-4</v>
      </c>
    </row>
    <row r="267" spans="1:20" x14ac:dyDescent="0.25">
      <c r="A267" s="5">
        <v>44326</v>
      </c>
      <c r="B267">
        <v>3022.2</v>
      </c>
      <c r="C267">
        <v>3150</v>
      </c>
      <c r="D267">
        <v>2600</v>
      </c>
      <c r="E267">
        <v>2771.52</v>
      </c>
      <c r="F267">
        <v>1622.7580049999999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-0.37629090909090918</v>
      </c>
      <c r="Q267">
        <f t="shared" si="965"/>
        <v>-610.62908493600014</v>
      </c>
      <c r="R267">
        <f t="shared" si="966"/>
        <v>-15888.319365063422</v>
      </c>
      <c r="S267">
        <f t="shared" si="967"/>
        <v>-0.15888319365063422</v>
      </c>
      <c r="T267">
        <f t="shared" si="968"/>
        <v>-1.5888319365063423E-4</v>
      </c>
    </row>
    <row r="268" spans="1:20" x14ac:dyDescent="0.25">
      <c r="A268" s="5">
        <v>44325</v>
      </c>
      <c r="B268">
        <v>3037.08</v>
      </c>
      <c r="C268">
        <v>3199.99</v>
      </c>
      <c r="D268">
        <v>2925</v>
      </c>
      <c r="E268">
        <v>3021.04</v>
      </c>
      <c r="F268">
        <v>1286.032275</v>
      </c>
      <c r="G268">
        <v>0</v>
      </c>
      <c r="L268" t="s">
        <v>8</v>
      </c>
      <c r="M268" t="s">
        <v>7</v>
      </c>
      <c r="N268" t="s">
        <v>7</v>
      </c>
      <c r="P268">
        <f t="shared" si="964"/>
        <v>-0.3015018727953741</v>
      </c>
      <c r="Q268">
        <f t="shared" si="965"/>
        <v>-387.74113938779556</v>
      </c>
      <c r="R268">
        <f t="shared" si="966"/>
        <v>-15277.690280127423</v>
      </c>
      <c r="S268">
        <f t="shared" si="967"/>
        <v>-0.15277690280127423</v>
      </c>
      <c r="T268">
        <f t="shared" si="968"/>
        <v>-1.5277690280127422E-4</v>
      </c>
    </row>
    <row r="269" spans="1:20" x14ac:dyDescent="0.25">
      <c r="A269" s="5">
        <v>44324</v>
      </c>
      <c r="B269">
        <v>2938.19</v>
      </c>
      <c r="C269">
        <v>3158</v>
      </c>
      <c r="D269">
        <v>2900</v>
      </c>
      <c r="E269">
        <v>3036.91</v>
      </c>
      <c r="F269">
        <v>1973.2155270000001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6.1317829457363214E-2</v>
      </c>
      <c r="Q269">
        <f t="shared" si="965"/>
        <v>120.99329316720709</v>
      </c>
      <c r="R269">
        <f t="shared" si="966"/>
        <v>-14889.949140739627</v>
      </c>
      <c r="S269">
        <f t="shared" si="967"/>
        <v>-0.14889949140739628</v>
      </c>
      <c r="T269">
        <f t="shared" si="968"/>
        <v>-1.4889949140739627E-4</v>
      </c>
    </row>
    <row r="270" spans="1:20" x14ac:dyDescent="0.25">
      <c r="A270" s="5">
        <v>44323</v>
      </c>
      <c r="B270">
        <v>3189.44</v>
      </c>
      <c r="C270">
        <v>3231.15</v>
      </c>
      <c r="D270">
        <v>2900</v>
      </c>
      <c r="E270">
        <v>2934.02</v>
      </c>
      <c r="F270">
        <v>2036.594038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-0.79453419900347289</v>
      </c>
      <c r="Q270">
        <f t="shared" si="965"/>
        <v>-1618.1436126775784</v>
      </c>
      <c r="R270">
        <f t="shared" si="966"/>
        <v>-15010.942433906834</v>
      </c>
      <c r="S270">
        <f t="shared" si="967"/>
        <v>-0.15010942433906835</v>
      </c>
      <c r="T270">
        <f t="shared" si="968"/>
        <v>-1.5010942433906835E-4</v>
      </c>
    </row>
    <row r="271" spans="1:20" x14ac:dyDescent="0.25">
      <c r="A271" s="5">
        <v>44322</v>
      </c>
      <c r="B271">
        <v>3485</v>
      </c>
      <c r="C271">
        <v>3508.99</v>
      </c>
      <c r="D271">
        <v>3088.75</v>
      </c>
      <c r="E271">
        <v>3189.45</v>
      </c>
      <c r="F271">
        <v>2380.2095039999999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-0.52075004759185284</v>
      </c>
      <c r="Q271">
        <f t="shared" si="965"/>
        <v>-1239.4942124865804</v>
      </c>
      <c r="R271">
        <f t="shared" si="966"/>
        <v>-13392.798821229255</v>
      </c>
      <c r="S271">
        <f t="shared" si="967"/>
        <v>-0.13392798821229254</v>
      </c>
      <c r="T271">
        <f t="shared" si="968"/>
        <v>-1.3392798821229253E-4</v>
      </c>
    </row>
    <row r="272" spans="1:20" x14ac:dyDescent="0.25">
      <c r="A272" s="5">
        <v>44321</v>
      </c>
      <c r="B272">
        <v>3431.48</v>
      </c>
      <c r="C272">
        <v>3685.93</v>
      </c>
      <c r="D272">
        <v>3364.96</v>
      </c>
      <c r="E272">
        <v>3499.54</v>
      </c>
      <c r="F272">
        <v>1977.3385840000001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-0.1614169548555939</v>
      </c>
      <c r="Q272">
        <f t="shared" si="965"/>
        <v>-319.17597294775197</v>
      </c>
      <c r="R272">
        <f t="shared" si="966"/>
        <v>-12153.304608742674</v>
      </c>
      <c r="S272">
        <f t="shared" si="967"/>
        <v>-0.12153304608742674</v>
      </c>
      <c r="T272">
        <f t="shared" si="968"/>
        <v>-1.2153304608742674E-4</v>
      </c>
    </row>
    <row r="273" spans="1:20" x14ac:dyDescent="0.25">
      <c r="A273" s="5">
        <v>44320</v>
      </c>
      <c r="B273">
        <v>4313.47</v>
      </c>
      <c r="C273">
        <v>4398.88</v>
      </c>
      <c r="D273">
        <v>3406.73</v>
      </c>
      <c r="E273">
        <v>3431.49</v>
      </c>
      <c r="F273">
        <v>4282.2116690000003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-0.95008819230963104</v>
      </c>
      <c r="Q273">
        <f t="shared" si="965"/>
        <v>-4068.4787436874185</v>
      </c>
      <c r="R273">
        <f t="shared" si="966"/>
        <v>-11834.128635794921</v>
      </c>
      <c r="S273">
        <f t="shared" si="967"/>
        <v>-0.11834128635794922</v>
      </c>
      <c r="T273">
        <f t="shared" si="968"/>
        <v>-1.1834128635794922E-4</v>
      </c>
    </row>
    <row r="274" spans="1:20" x14ac:dyDescent="0.25">
      <c r="A274" s="5">
        <v>44319</v>
      </c>
      <c r="B274">
        <v>3594.11</v>
      </c>
      <c r="C274">
        <v>4400</v>
      </c>
      <c r="D274">
        <v>3578.32</v>
      </c>
      <c r="E274">
        <v>4309.12</v>
      </c>
      <c r="F274">
        <v>5520.6865879999996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0.77879466458962099</v>
      </c>
      <c r="Q274">
        <f t="shared" si="965"/>
        <v>4299.4812596058791</v>
      </c>
      <c r="R274">
        <f t="shared" si="966"/>
        <v>-7765.6498921075026</v>
      </c>
      <c r="S274">
        <f t="shared" si="967"/>
        <v>-7.7656498921075026E-2</v>
      </c>
      <c r="T274">
        <f t="shared" si="968"/>
        <v>-7.765649892107503E-5</v>
      </c>
    </row>
    <row r="275" spans="1:20" x14ac:dyDescent="0.25">
      <c r="A275" s="5">
        <v>44318</v>
      </c>
      <c r="B275">
        <v>3353.99</v>
      </c>
      <c r="C275">
        <v>3753.43</v>
      </c>
      <c r="D275">
        <v>3139.71</v>
      </c>
      <c r="E275">
        <v>3594.11</v>
      </c>
      <c r="F275">
        <v>3458.1350849999999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0.48080557909144311</v>
      </c>
      <c r="Q275">
        <f t="shared" si="965"/>
        <v>1662.6906421198619</v>
      </c>
      <c r="R275">
        <f t="shared" si="966"/>
        <v>-12065.131151713382</v>
      </c>
      <c r="S275">
        <f t="shared" si="967"/>
        <v>-0.12065131151713382</v>
      </c>
      <c r="T275">
        <f t="shared" si="968"/>
        <v>-1.2065131151713382E-4</v>
      </c>
    </row>
    <row r="276" spans="1:20" x14ac:dyDescent="0.25">
      <c r="A276" s="5">
        <v>44317</v>
      </c>
      <c r="B276">
        <v>3399.3</v>
      </c>
      <c r="C276">
        <v>3580</v>
      </c>
      <c r="D276">
        <v>3213</v>
      </c>
      <c r="E276">
        <v>3350.07</v>
      </c>
      <c r="F276">
        <v>2392.01593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-0.25302452316076207</v>
      </c>
      <c r="Q276">
        <f t="shared" si="965"/>
        <v>-605.23869008119686</v>
      </c>
      <c r="R276">
        <f t="shared" si="966"/>
        <v>-13727.821793833244</v>
      </c>
      <c r="S276">
        <f t="shared" si="967"/>
        <v>-0.13727821793833245</v>
      </c>
      <c r="T276">
        <f t="shared" si="968"/>
        <v>-1.3727821793833246E-4</v>
      </c>
    </row>
    <row r="277" spans="1:20" x14ac:dyDescent="0.25">
      <c r="A277" s="5">
        <v>44316</v>
      </c>
      <c r="B277">
        <v>3574.06</v>
      </c>
      <c r="C277">
        <v>3998.01</v>
      </c>
      <c r="D277">
        <v>3355.8</v>
      </c>
      <c r="E277">
        <v>3385.33</v>
      </c>
      <c r="F277">
        <v>7210.5346010000003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-0.90803631210974678</v>
      </c>
      <c r="Q277">
        <f t="shared" si="965"/>
        <v>-6547.427247431765</v>
      </c>
      <c r="R277">
        <f t="shared" si="966"/>
        <v>-13122.583103752047</v>
      </c>
      <c r="S277">
        <f t="shared" si="967"/>
        <v>-0.13122583103752047</v>
      </c>
      <c r="T277">
        <f t="shared" si="968"/>
        <v>-1.3122583103752046E-4</v>
      </c>
    </row>
    <row r="278" spans="1:20" x14ac:dyDescent="0.25">
      <c r="A278" s="5">
        <v>44315</v>
      </c>
      <c r="B278">
        <v>2544.4</v>
      </c>
      <c r="C278">
        <v>3790</v>
      </c>
      <c r="D278">
        <v>2445</v>
      </c>
      <c r="E278">
        <v>3574.3</v>
      </c>
      <c r="F278">
        <v>13616.002877000001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0.67925650557620842</v>
      </c>
      <c r="Q278">
        <f t="shared" si="965"/>
        <v>9248.7585341466201</v>
      </c>
      <c r="R278">
        <f t="shared" si="966"/>
        <v>-6575.1558563202834</v>
      </c>
      <c r="S278">
        <f t="shared" si="967"/>
        <v>-6.5751558563202833E-2</v>
      </c>
      <c r="T278">
        <f t="shared" si="968"/>
        <v>-6.5751558563202839E-5</v>
      </c>
    </row>
    <row r="279" spans="1:20" x14ac:dyDescent="0.25">
      <c r="A279" s="5">
        <v>44314</v>
      </c>
      <c r="B279">
        <v>2608.89</v>
      </c>
      <c r="C279">
        <v>2700</v>
      </c>
      <c r="D279">
        <v>2350</v>
      </c>
      <c r="E279">
        <v>2525.48</v>
      </c>
      <c r="F279">
        <v>2322.7983979999999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2.7428571428572469E-3</v>
      </c>
      <c r="Q279">
        <f t="shared" si="965"/>
        <v>6.3711041773716701</v>
      </c>
      <c r="R279">
        <f t="shared" si="966"/>
        <v>-15823.914390466904</v>
      </c>
      <c r="S279">
        <f t="shared" si="967"/>
        <v>-0.15823914390466903</v>
      </c>
      <c r="T279">
        <f t="shared" si="968"/>
        <v>-1.5823914390466904E-4</v>
      </c>
    </row>
    <row r="280" spans="1:20" x14ac:dyDescent="0.25">
      <c r="A280" s="5">
        <v>44313</v>
      </c>
      <c r="B280">
        <v>2201.94</v>
      </c>
      <c r="C280">
        <v>2650</v>
      </c>
      <c r="D280">
        <v>2113.1999999999998</v>
      </c>
      <c r="E280">
        <v>2609.4499999999998</v>
      </c>
      <c r="F280">
        <v>2474.7539360000001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0.8489195230998503</v>
      </c>
      <c r="Q280">
        <f t="shared" si="965"/>
        <v>2100.8669311385975</v>
      </c>
      <c r="R280">
        <f t="shared" si="966"/>
        <v>-15830.285494644275</v>
      </c>
      <c r="S280">
        <f t="shared" si="967"/>
        <v>-0.15830285494644275</v>
      </c>
      <c r="T280">
        <f t="shared" si="968"/>
        <v>-1.5830285494644275E-4</v>
      </c>
    </row>
    <row r="281" spans="1:20" x14ac:dyDescent="0.25">
      <c r="A281" s="5">
        <v>44312</v>
      </c>
      <c r="B281">
        <v>2110</v>
      </c>
      <c r="C281">
        <v>2344.58</v>
      </c>
      <c r="D281">
        <v>2100.0100000000002</v>
      </c>
      <c r="E281">
        <v>2202.84</v>
      </c>
      <c r="F281">
        <v>947.41469900000004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-0.15909555546469273</v>
      </c>
      <c r="Q281">
        <f t="shared" si="965"/>
        <v>-150.72946779281966</v>
      </c>
      <c r="R281">
        <f t="shared" si="966"/>
        <v>-17931.152425782871</v>
      </c>
      <c r="S281">
        <f t="shared" si="967"/>
        <v>-0.1793115242578287</v>
      </c>
      <c r="T281">
        <f t="shared" si="968"/>
        <v>-1.793115242578287E-4</v>
      </c>
    </row>
    <row r="282" spans="1:20" x14ac:dyDescent="0.25">
      <c r="A282" s="5">
        <v>44311</v>
      </c>
      <c r="B282">
        <v>2100.09</v>
      </c>
      <c r="C282">
        <v>2221.9899999999998</v>
      </c>
      <c r="D282">
        <v>1945.85</v>
      </c>
      <c r="E282">
        <v>2110</v>
      </c>
      <c r="F282">
        <v>836.481989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0.18888969363366528</v>
      </c>
      <c r="Q282">
        <f t="shared" si="965"/>
        <v>158.00282663228899</v>
      </c>
      <c r="R282">
        <f t="shared" si="966"/>
        <v>-17780.422957990053</v>
      </c>
      <c r="S282">
        <f t="shared" si="967"/>
        <v>-0.17780422957990052</v>
      </c>
      <c r="T282">
        <f t="shared" si="968"/>
        <v>-1.7780422957990052E-4</v>
      </c>
    </row>
    <row r="283" spans="1:20" x14ac:dyDescent="0.25">
      <c r="A283" s="5">
        <v>44310</v>
      </c>
      <c r="B283">
        <v>2268.9699999999998</v>
      </c>
      <c r="C283">
        <v>2350.4499999999998</v>
      </c>
      <c r="D283">
        <v>2046.96</v>
      </c>
      <c r="E283">
        <v>2123.59</v>
      </c>
      <c r="F283">
        <v>844.31267100000002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-0.49500807275363168</v>
      </c>
      <c r="Q283">
        <f t="shared" si="965"/>
        <v>-417.94158807318109</v>
      </c>
      <c r="R283">
        <f t="shared" si="966"/>
        <v>-17938.425784622341</v>
      </c>
      <c r="S283">
        <f t="shared" si="967"/>
        <v>-0.17938425784622342</v>
      </c>
      <c r="T283">
        <f t="shared" si="968"/>
        <v>-1.7938425784622342E-4</v>
      </c>
    </row>
    <row r="284" spans="1:20" x14ac:dyDescent="0.25">
      <c r="A284" s="5">
        <v>44309</v>
      </c>
      <c r="B284">
        <v>2327.44</v>
      </c>
      <c r="C284">
        <v>2391.48</v>
      </c>
      <c r="D284">
        <v>2010</v>
      </c>
      <c r="E284">
        <v>2268.9899999999998</v>
      </c>
      <c r="F284">
        <v>1252.5072070000001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0.35781692356086697</v>
      </c>
      <c r="Q284">
        <f t="shared" si="965"/>
        <v>448.16827554655401</v>
      </c>
      <c r="R284">
        <f t="shared" si="966"/>
        <v>-17520.484196549161</v>
      </c>
      <c r="S284">
        <f t="shared" si="967"/>
        <v>-0.1752048419654916</v>
      </c>
      <c r="T284">
        <f t="shared" si="968"/>
        <v>-1.7520484196549162E-4</v>
      </c>
    </row>
    <row r="285" spans="1:20" x14ac:dyDescent="0.25">
      <c r="A285" s="5">
        <v>44308</v>
      </c>
      <c r="B285">
        <v>2845.37</v>
      </c>
      <c r="C285">
        <v>2956.9</v>
      </c>
      <c r="D285">
        <v>2228.0100000000002</v>
      </c>
      <c r="E285">
        <v>2289.09</v>
      </c>
      <c r="F285">
        <v>2020.588722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-0.83240269450808779</v>
      </c>
      <c r="Q285">
        <f t="shared" si="965"/>
        <v>-1681.9434966854535</v>
      </c>
      <c r="R285">
        <f t="shared" si="966"/>
        <v>-17968.652472095717</v>
      </c>
      <c r="S285">
        <f t="shared" si="967"/>
        <v>-0.17968652472095717</v>
      </c>
      <c r="T285">
        <f t="shared" si="968"/>
        <v>-1.7968652472095717E-4</v>
      </c>
    </row>
    <row r="286" spans="1:20" x14ac:dyDescent="0.25">
      <c r="A286" s="5">
        <v>44307</v>
      </c>
      <c r="B286">
        <v>3167.99</v>
      </c>
      <c r="C286">
        <v>3199.89</v>
      </c>
      <c r="D286">
        <v>2682.8</v>
      </c>
      <c r="E286">
        <v>2834.49</v>
      </c>
      <c r="F286">
        <v>2415.6599540000002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-0.4132936239339392</v>
      </c>
      <c r="Q286">
        <f t="shared" si="965"/>
        <v>-998.37685658075293</v>
      </c>
      <c r="R286">
        <f t="shared" si="966"/>
        <v>-16286.708975410262</v>
      </c>
      <c r="S286">
        <f t="shared" si="967"/>
        <v>-0.16286708975410261</v>
      </c>
      <c r="T286">
        <f t="shared" si="968"/>
        <v>-1.6286708975410261E-4</v>
      </c>
    </row>
    <row r="287" spans="1:20" x14ac:dyDescent="0.25">
      <c r="A287" s="5">
        <v>44306</v>
      </c>
      <c r="B287">
        <v>3126.87</v>
      </c>
      <c r="C287">
        <v>3627.31</v>
      </c>
      <c r="D287">
        <v>2900.6</v>
      </c>
      <c r="E287">
        <v>3167.98</v>
      </c>
      <c r="F287">
        <v>875.01549899999998</v>
      </c>
      <c r="G287">
        <v>0</v>
      </c>
      <c r="L287" t="s">
        <v>8</v>
      </c>
      <c r="M287" t="s">
        <v>7</v>
      </c>
      <c r="N287" t="s">
        <v>7</v>
      </c>
      <c r="P287">
        <f t="shared" si="964"/>
        <v>-0.26413562493979692</v>
      </c>
      <c r="Q287">
        <f t="shared" si="965"/>
        <v>-231.12276566037323</v>
      </c>
      <c r="R287">
        <f t="shared" si="966"/>
        <v>-15288.332118829509</v>
      </c>
      <c r="S287">
        <f t="shared" si="967"/>
        <v>-0.15288332118829509</v>
      </c>
      <c r="T287">
        <f t="shared" si="968"/>
        <v>-1.528833211882951E-4</v>
      </c>
    </row>
    <row r="288" spans="1:20" x14ac:dyDescent="0.25">
      <c r="A288" s="5">
        <v>44305</v>
      </c>
      <c r="B288">
        <v>3073.76</v>
      </c>
      <c r="C288">
        <v>3524.56</v>
      </c>
      <c r="D288">
        <v>3002.63</v>
      </c>
      <c r="E288">
        <v>3104.06</v>
      </c>
      <c r="F288">
        <v>1250.9012909999999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-0.61132718946985276</v>
      </c>
      <c r="Q288">
        <f t="shared" si="965"/>
        <v>-764.7099705312404</v>
      </c>
      <c r="R288">
        <f t="shared" si="966"/>
        <v>-15057.209353169135</v>
      </c>
      <c r="S288">
        <f t="shared" si="967"/>
        <v>-0.15057209353169135</v>
      </c>
      <c r="T288">
        <f t="shared" si="968"/>
        <v>-1.5057209353169134E-4</v>
      </c>
    </row>
    <row r="289" spans="1:20" x14ac:dyDescent="0.25">
      <c r="A289" s="5">
        <v>44304</v>
      </c>
      <c r="B289">
        <v>3390.65</v>
      </c>
      <c r="C289">
        <v>3422</v>
      </c>
      <c r="D289">
        <v>2760.73</v>
      </c>
      <c r="E289">
        <v>3073.25</v>
      </c>
      <c r="F289">
        <v>1206.846006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-5.4788513012838963E-2</v>
      </c>
      <c r="Q289">
        <f t="shared" si="965"/>
        <v>-66.121298104223726</v>
      </c>
      <c r="R289">
        <f t="shared" si="966"/>
        <v>-14292.499382637894</v>
      </c>
      <c r="S289">
        <f t="shared" si="967"/>
        <v>-0.14292499382637894</v>
      </c>
      <c r="T289">
        <f t="shared" si="968"/>
        <v>-1.4292499382637894E-4</v>
      </c>
    </row>
    <row r="290" spans="1:20" x14ac:dyDescent="0.25">
      <c r="A290" s="5">
        <v>44303</v>
      </c>
      <c r="B290">
        <v>3500.41</v>
      </c>
      <c r="C290">
        <v>3740.01</v>
      </c>
      <c r="D290">
        <v>3375.41</v>
      </c>
      <c r="E290">
        <v>3390.14</v>
      </c>
      <c r="F290">
        <v>1056.5654629999999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-0.91919912232583656</v>
      </c>
      <c r="Q290">
        <f t="shared" si="965"/>
        <v>-971.19404626939104</v>
      </c>
      <c r="R290">
        <f t="shared" si="966"/>
        <v>-14226.37808453367</v>
      </c>
      <c r="S290">
        <f t="shared" si="967"/>
        <v>-0.1422637808453367</v>
      </c>
      <c r="T290">
        <f t="shared" si="968"/>
        <v>-1.4226378084533669E-4</v>
      </c>
    </row>
    <row r="291" spans="1:20" x14ac:dyDescent="0.25">
      <c r="A291" s="5">
        <v>44302</v>
      </c>
      <c r="B291">
        <v>3820.94</v>
      </c>
      <c r="C291">
        <v>3820.94</v>
      </c>
      <c r="D291">
        <v>3380</v>
      </c>
      <c r="E291">
        <v>3482.39</v>
      </c>
      <c r="F291">
        <v>1394.6916369999999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-0.53558307252687509</v>
      </c>
      <c r="Q291">
        <f t="shared" si="965"/>
        <v>-746.9732321719971</v>
      </c>
      <c r="R291">
        <f t="shared" si="966"/>
        <v>-13255.184038264279</v>
      </c>
      <c r="S291">
        <f t="shared" si="967"/>
        <v>-0.13255184038264278</v>
      </c>
      <c r="T291">
        <f t="shared" si="968"/>
        <v>-1.3255184038264277E-4</v>
      </c>
    </row>
    <row r="292" spans="1:20" x14ac:dyDescent="0.25">
      <c r="A292" s="5">
        <v>44301</v>
      </c>
      <c r="B292">
        <v>3887.46</v>
      </c>
      <c r="C292">
        <v>4090</v>
      </c>
      <c r="D292">
        <v>3767.34</v>
      </c>
      <c r="E292">
        <v>3810.2</v>
      </c>
      <c r="F292">
        <v>1107.7037130000001</v>
      </c>
      <c r="G292">
        <v>0</v>
      </c>
      <c r="L292" t="s">
        <v>7</v>
      </c>
      <c r="M292" t="s">
        <v>7</v>
      </c>
      <c r="N292" t="s">
        <v>8</v>
      </c>
      <c r="P292">
        <f t="shared" si="964"/>
        <v>-0.73433335399491917</v>
      </c>
      <c r="Q292">
        <f t="shared" si="965"/>
        <v>-813.42378279991544</v>
      </c>
      <c r="R292">
        <f t="shared" si="966"/>
        <v>-12508.210806092282</v>
      </c>
      <c r="S292">
        <f t="shared" si="967"/>
        <v>-0.12508210806092282</v>
      </c>
      <c r="T292">
        <f t="shared" si="968"/>
        <v>-1.2508210806092283E-4</v>
      </c>
    </row>
    <row r="293" spans="1:20" x14ac:dyDescent="0.25">
      <c r="A293" s="5">
        <v>44300</v>
      </c>
      <c r="B293">
        <v>3807</v>
      </c>
      <c r="C293">
        <v>4129</v>
      </c>
      <c r="D293">
        <v>3675.6</v>
      </c>
      <c r="E293">
        <v>3903.28</v>
      </c>
      <c r="F293">
        <v>2144.1071010000001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4.3228936921051843E-3</v>
      </c>
      <c r="Q293">
        <f t="shared" si="965"/>
        <v>9.2687470621108332</v>
      </c>
      <c r="R293">
        <f t="shared" si="966"/>
        <v>-11694.787023292367</v>
      </c>
      <c r="S293">
        <f t="shared" si="967"/>
        <v>-0.11694787023292368</v>
      </c>
      <c r="T293">
        <f t="shared" si="968"/>
        <v>-1.1694787023292368E-4</v>
      </c>
    </row>
    <row r="294" spans="1:20" x14ac:dyDescent="0.25">
      <c r="A294" s="5">
        <v>44299</v>
      </c>
      <c r="B294">
        <v>4103.75</v>
      </c>
      <c r="C294">
        <v>4103.75</v>
      </c>
      <c r="D294">
        <v>3650</v>
      </c>
      <c r="E294">
        <v>3785.11</v>
      </c>
      <c r="F294">
        <v>1570.427852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-0.40447382920110136</v>
      </c>
      <c r="Q294">
        <f t="shared" si="965"/>
        <v>-635.19696678250045</v>
      </c>
      <c r="R294">
        <f t="shared" si="966"/>
        <v>-11704.055770354478</v>
      </c>
      <c r="S294">
        <f t="shared" si="967"/>
        <v>-0.11704055770354478</v>
      </c>
      <c r="T294">
        <f t="shared" si="968"/>
        <v>-1.1704055770354478E-4</v>
      </c>
    </row>
    <row r="295" spans="1:20" x14ac:dyDescent="0.25">
      <c r="A295" s="5">
        <v>44298</v>
      </c>
      <c r="B295">
        <v>4058.57</v>
      </c>
      <c r="C295">
        <v>4721.32</v>
      </c>
      <c r="D295">
        <v>3932.32</v>
      </c>
      <c r="E295">
        <v>4086.74</v>
      </c>
      <c r="F295">
        <v>2065.59708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-0.60856780735107807</v>
      </c>
      <c r="Q295">
        <f t="shared" si="965"/>
        <v>-1257.0558858463894</v>
      </c>
      <c r="R295">
        <f t="shared" si="966"/>
        <v>-11068.858803571979</v>
      </c>
      <c r="S295">
        <f t="shared" si="967"/>
        <v>-0.11068858803571978</v>
      </c>
      <c r="T295">
        <f t="shared" si="968"/>
        <v>-1.1068858803571978E-4</v>
      </c>
    </row>
    <row r="296" spans="1:20" x14ac:dyDescent="0.25">
      <c r="A296" s="5">
        <v>44297</v>
      </c>
      <c r="B296">
        <v>3951.28</v>
      </c>
      <c r="C296">
        <v>4110</v>
      </c>
      <c r="D296">
        <v>3678.19</v>
      </c>
      <c r="E296">
        <v>4050.48</v>
      </c>
      <c r="F296">
        <v>921.71529199999998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0.72432319770269338</v>
      </c>
      <c r="Q296">
        <f t="shared" si="965"/>
        <v>667.61976767291173</v>
      </c>
      <c r="R296">
        <f t="shared" si="966"/>
        <v>-9811.8029177255885</v>
      </c>
      <c r="S296">
        <f t="shared" si="967"/>
        <v>-9.8118029177255886E-2</v>
      </c>
      <c r="T296">
        <f t="shared" si="968"/>
        <v>-9.8118029177255892E-5</v>
      </c>
    </row>
    <row r="297" spans="1:20" x14ac:dyDescent="0.25">
      <c r="A297" s="5">
        <v>44296</v>
      </c>
      <c r="B297">
        <v>3952.68</v>
      </c>
      <c r="C297">
        <v>4469.97</v>
      </c>
      <c r="D297">
        <v>3923.74</v>
      </c>
      <c r="E297">
        <v>3951.31</v>
      </c>
      <c r="F297">
        <v>2076.6915140000001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-0.89905351225674113</v>
      </c>
      <c r="Q297">
        <f t="shared" si="965"/>
        <v>-1867.0567995354693</v>
      </c>
      <c r="R297">
        <f t="shared" si="966"/>
        <v>-10479.4226853985</v>
      </c>
      <c r="S297">
        <f t="shared" si="967"/>
        <v>-0.104794226853985</v>
      </c>
      <c r="T297">
        <f t="shared" si="968"/>
        <v>-1.0479422685398499E-4</v>
      </c>
    </row>
    <row r="298" spans="1:20" x14ac:dyDescent="0.25">
      <c r="A298" s="5">
        <v>44295</v>
      </c>
      <c r="B298">
        <v>3509.9</v>
      </c>
      <c r="C298">
        <v>4300</v>
      </c>
      <c r="D298">
        <v>3353.28</v>
      </c>
      <c r="E298">
        <v>3950</v>
      </c>
      <c r="F298">
        <v>1529.261839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0.26060503633598092</v>
      </c>
      <c r="Q298">
        <f t="shared" si="965"/>
        <v>398.53333711982401</v>
      </c>
      <c r="R298">
        <f t="shared" si="966"/>
        <v>-8612.3658858630315</v>
      </c>
      <c r="S298">
        <f t="shared" si="967"/>
        <v>-8.6123658858630311E-2</v>
      </c>
      <c r="T298">
        <f t="shared" si="968"/>
        <v>-8.6123658858630307E-5</v>
      </c>
    </row>
    <row r="299" spans="1:20" x14ac:dyDescent="0.25">
      <c r="A299" s="5">
        <v>44294</v>
      </c>
      <c r="B299">
        <v>3412.79</v>
      </c>
      <c r="C299">
        <v>3793.21</v>
      </c>
      <c r="D299">
        <v>3379.2</v>
      </c>
      <c r="E299">
        <v>3528</v>
      </c>
      <c r="F299">
        <v>602.86023699999998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-0.28117678316948819</v>
      </c>
      <c r="Q299">
        <f t="shared" si="965"/>
        <v>-169.51030214045525</v>
      </c>
      <c r="R299">
        <f t="shared" si="966"/>
        <v>-9010.8992229828564</v>
      </c>
      <c r="S299">
        <f t="shared" si="967"/>
        <v>-9.0108992229828558E-2</v>
      </c>
      <c r="T299">
        <f t="shared" si="968"/>
        <v>-9.0108992229828559E-5</v>
      </c>
    </row>
    <row r="300" spans="1:20" x14ac:dyDescent="0.25">
      <c r="A300" s="5">
        <v>44293</v>
      </c>
      <c r="B300">
        <v>3881.6</v>
      </c>
      <c r="C300">
        <v>3909.28</v>
      </c>
      <c r="D300">
        <v>3263.17</v>
      </c>
      <c r="E300">
        <v>3403.79</v>
      </c>
      <c r="F300">
        <v>941.66528000000005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-0.56471808206033069</v>
      </c>
      <c r="Q300">
        <f t="shared" si="965"/>
        <v>-531.77541086440431</v>
      </c>
      <c r="R300">
        <f t="shared" si="966"/>
        <v>-8841.3889208424007</v>
      </c>
      <c r="S300">
        <f t="shared" si="967"/>
        <v>-8.841388920842401E-2</v>
      </c>
      <c r="T300">
        <f t="shared" si="968"/>
        <v>-8.8413889208424011E-5</v>
      </c>
    </row>
    <row r="301" spans="1:20" x14ac:dyDescent="0.25">
      <c r="A301" s="5">
        <v>44292</v>
      </c>
      <c r="B301">
        <v>3810.15</v>
      </c>
      <c r="C301">
        <v>4038.33</v>
      </c>
      <c r="D301">
        <v>3730.02</v>
      </c>
      <c r="E301">
        <v>3876.19</v>
      </c>
      <c r="F301">
        <v>903.22482000000002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-5.1798514482176393E-2</v>
      </c>
      <c r="Q301">
        <f t="shared" si="965"/>
        <v>-46.785703919431164</v>
      </c>
      <c r="R301">
        <f t="shared" si="966"/>
        <v>-8309.6135099779967</v>
      </c>
      <c r="S301">
        <f t="shared" si="967"/>
        <v>-8.3096135099779964E-2</v>
      </c>
      <c r="T301">
        <f t="shared" si="968"/>
        <v>-8.3096135099779961E-5</v>
      </c>
    </row>
    <row r="302" spans="1:20" x14ac:dyDescent="0.25">
      <c r="A302" s="5">
        <v>44291</v>
      </c>
      <c r="B302">
        <v>4170.1000000000004</v>
      </c>
      <c r="C302">
        <v>4385.5</v>
      </c>
      <c r="D302">
        <v>3790</v>
      </c>
      <c r="E302">
        <v>3830.16</v>
      </c>
      <c r="F302">
        <v>947.41629999999998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-0.86512174643157058</v>
      </c>
      <c r="Q302">
        <f t="shared" si="965"/>
        <v>-819.63044405373682</v>
      </c>
      <c r="R302">
        <f t="shared" si="966"/>
        <v>-8262.8278060585653</v>
      </c>
      <c r="S302">
        <f t="shared" si="967"/>
        <v>-8.2628278060585647E-2</v>
      </c>
      <c r="T302">
        <f t="shared" si="968"/>
        <v>-8.2628278060585647E-5</v>
      </c>
    </row>
    <row r="303" spans="1:20" x14ac:dyDescent="0.25">
      <c r="A303" s="5">
        <v>44290</v>
      </c>
      <c r="B303">
        <v>3780.01</v>
      </c>
      <c r="C303">
        <v>4314.9399999999996</v>
      </c>
      <c r="D303">
        <v>3700</v>
      </c>
      <c r="E303">
        <v>4170.1000000000004</v>
      </c>
      <c r="F303">
        <v>1076.15942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0.52892965167333617</v>
      </c>
      <c r="Q303">
        <f t="shared" si="965"/>
        <v>569.21262716557942</v>
      </c>
      <c r="R303">
        <f t="shared" si="966"/>
        <v>-7443.1973620048293</v>
      </c>
      <c r="S303">
        <f t="shared" si="967"/>
        <v>-7.4431973620048289E-2</v>
      </c>
      <c r="T303">
        <f t="shared" si="968"/>
        <v>-7.4431973620048291E-5</v>
      </c>
    </row>
    <row r="304" spans="1:20" x14ac:dyDescent="0.25">
      <c r="A304" s="5">
        <v>44289</v>
      </c>
      <c r="B304">
        <v>4596</v>
      </c>
      <c r="C304">
        <v>4812</v>
      </c>
      <c r="D304">
        <v>3711.24</v>
      </c>
      <c r="E304">
        <v>3769.86</v>
      </c>
      <c r="F304">
        <v>2147.3044399999999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-0.89349176932301255</v>
      </c>
      <c r="Q304">
        <f t="shared" si="965"/>
        <v>-1918.5988433707605</v>
      </c>
      <c r="R304">
        <f t="shared" si="966"/>
        <v>-8012.4099891704091</v>
      </c>
      <c r="S304">
        <f t="shared" si="967"/>
        <v>-8.012409989170409E-2</v>
      </c>
      <c r="T304">
        <f t="shared" si="968"/>
        <v>-8.0124099891704087E-5</v>
      </c>
    </row>
    <row r="305" spans="1:20" x14ac:dyDescent="0.25">
      <c r="A305" s="5">
        <v>44288</v>
      </c>
      <c r="B305">
        <v>5037.0200000000004</v>
      </c>
      <c r="C305">
        <v>8796</v>
      </c>
      <c r="D305">
        <v>4433.01</v>
      </c>
      <c r="E305">
        <v>4595.07</v>
      </c>
      <c r="F305">
        <v>6582.8405199999997</v>
      </c>
      <c r="G305">
        <v>0</v>
      </c>
      <c r="P305">
        <f t="shared" si="964"/>
        <v>-0.92571149601534752</v>
      </c>
      <c r="Q305">
        <f t="shared" si="965"/>
        <v>-6093.8111457996483</v>
      </c>
      <c r="R305">
        <f t="shared" si="966"/>
        <v>-6093.8111457996483</v>
      </c>
      <c r="S305">
        <f t="shared" si="967"/>
        <v>-6.0938111457996484E-2</v>
      </c>
      <c r="T305">
        <f t="shared" si="968"/>
        <v>-6.0938111457996483E-5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L283" sqref="FL28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$A$282</v>
      </c>
      <c r="D111" s="1" t="str">
        <f>ADDRESS(C121-1,D121,1,1)</f>
        <v>$FL$282</v>
      </c>
      <c r="E111"/>
    </row>
    <row r="112" spans="1:5" x14ac:dyDescent="0.25">
      <c r="A112" s="7">
        <v>12164.144957890772</v>
      </c>
      <c r="C112" s="1" t="str">
        <f>ADDRESS(C121,1,1,1)</f>
        <v>$A$283</v>
      </c>
      <c r="D112" s="1" t="str">
        <f>ADDRESS(C121,D121-1,1,1)</f>
        <v>$FK$283</v>
      </c>
      <c r="E112"/>
    </row>
    <row r="113" spans="1:5" x14ac:dyDescent="0.25">
      <c r="A113" s="7">
        <v>11925.63231165762</v>
      </c>
      <c r="C113" s="1" t="str">
        <f>ADDRESS(C121+1,1,1,1)</f>
        <v>$A$284</v>
      </c>
      <c r="D113" s="1" t="str">
        <f>ADDRESS(C121-1,D121+1,1,1)</f>
        <v>$FM$282</v>
      </c>
    </row>
    <row r="114" spans="1:5" x14ac:dyDescent="0.25">
      <c r="A114" s="7">
        <v>11691.796383978059</v>
      </c>
      <c r="C114" s="1" t="str">
        <f>ADDRESS(C121,D121,1,1)</f>
        <v>$FL$283</v>
      </c>
      <c r="D114" s="1" t="str">
        <f>ADDRESS(C121+1,D121+1,1,1)</f>
        <v>$FM$284</v>
      </c>
    </row>
    <row r="115" spans="1:5" x14ac:dyDescent="0.25">
      <c r="A115" s="7">
        <v>11462.545474488292</v>
      </c>
      <c r="C115" s="1" t="str">
        <f>ADDRESS(C121+1,D121,1,1)</f>
        <v>$FL$284</v>
      </c>
    </row>
    <row r="116" spans="1:5" x14ac:dyDescent="0.25">
      <c r="A116" s="7">
        <v>11237.789680870874</v>
      </c>
      <c r="C116" s="1">
        <f>C117-1</f>
        <v>282</v>
      </c>
    </row>
    <row r="117" spans="1:5" x14ac:dyDescent="0.25">
      <c r="A117" s="7">
        <v>11017.440863598895</v>
      </c>
      <c r="C117" s="1">
        <f>C121</f>
        <v>283</v>
      </c>
      <c r="D117" s="1">
        <f>D121</f>
        <v>168</v>
      </c>
    </row>
    <row r="118" spans="1:5" x14ac:dyDescent="0.25">
      <c r="A118" s="7">
        <v>10801.412611371465</v>
      </c>
      <c r="C118" s="1">
        <f>C117+1</f>
        <v>284</v>
      </c>
      <c r="D118" s="1">
        <f>D117+1</f>
        <v>169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283</v>
      </c>
      <c r="D121" s="19">
        <v>168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R283</v>
      </c>
      <c r="D123" s="1" t="str">
        <f>"C"&amp;D121</f>
        <v>C168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411.57805986758547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11" x14ac:dyDescent="0.25">
      <c r="A145" s="7">
        <v>6328.1376700734136</v>
      </c>
      <c r="E145"/>
    </row>
    <row r="146" spans="1:11" x14ac:dyDescent="0.25">
      <c r="A146" s="7">
        <v>6204.0565392876606</v>
      </c>
      <c r="E146"/>
    </row>
    <row r="147" spans="1:11" x14ac:dyDescent="0.25">
      <c r="A147" s="7">
        <v>6082.4083718506472</v>
      </c>
      <c r="E147"/>
    </row>
    <row r="148" spans="1:11" x14ac:dyDescent="0.25">
      <c r="A148" s="7">
        <v>5963.1454625986735</v>
      </c>
      <c r="E148"/>
    </row>
    <row r="149" spans="1:11" x14ac:dyDescent="0.25">
      <c r="A149" s="7">
        <v>5846.2210417634051</v>
      </c>
      <c r="E149"/>
    </row>
    <row r="150" spans="1:11" x14ac:dyDescent="0.25">
      <c r="A150" s="7">
        <v>5731.5892566307894</v>
      </c>
      <c r="E150"/>
    </row>
    <row r="151" spans="1:11" x14ac:dyDescent="0.25">
      <c r="A151" s="7">
        <v>5619.2051535595974</v>
      </c>
      <c r="E151"/>
    </row>
    <row r="152" spans="1:11" x14ac:dyDescent="0.25">
      <c r="A152" s="7">
        <v>5509.0246603525466</v>
      </c>
      <c r="E152"/>
    </row>
    <row r="153" spans="1:11" x14ac:dyDescent="0.25">
      <c r="A153" s="7">
        <v>5401.004568973085</v>
      </c>
      <c r="E153"/>
    </row>
    <row r="154" spans="1:11" x14ac:dyDescent="0.25">
      <c r="A154" s="7">
        <v>5295.1025186010638</v>
      </c>
      <c r="C154" s="1" t="s">
        <v>15</v>
      </c>
      <c r="E154"/>
    </row>
    <row r="155" spans="1:11" x14ac:dyDescent="0.25">
      <c r="A155" s="7">
        <v>5191.2769790206503</v>
      </c>
      <c r="C155" s="7">
        <v>3.2521478785124451E-2</v>
      </c>
      <c r="D155"/>
      <c r="E155"/>
    </row>
    <row r="156" spans="1:11" x14ac:dyDescent="0.25">
      <c r="A156" s="7">
        <v>5089.4872343339712</v>
      </c>
      <c r="E156"/>
    </row>
    <row r="157" spans="1:11" x14ac:dyDescent="0.25">
      <c r="A157" s="7">
        <v>4989.693366994089</v>
      </c>
      <c r="C157" s="1" t="s">
        <v>11</v>
      </c>
      <c r="D157" s="1" t="s">
        <v>12</v>
      </c>
      <c r="E157"/>
    </row>
    <row r="158" spans="1:11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11" x14ac:dyDescent="0.25">
      <c r="A159" s="7">
        <v>4795.9374923049681</v>
      </c>
      <c r="E159" t="s">
        <v>8</v>
      </c>
    </row>
    <row r="160" spans="1:11" x14ac:dyDescent="0.25">
      <c r="A160" s="7">
        <v>4701.8995022597728</v>
      </c>
      <c r="C160" s="1" t="s">
        <v>13</v>
      </c>
      <c r="E160" t="s">
        <v>8</v>
      </c>
      <c r="F160" s="27" t="s">
        <v>7</v>
      </c>
      <c r="K160" s="27" t="s">
        <v>8</v>
      </c>
    </row>
    <row r="161" spans="1:32" x14ac:dyDescent="0.25">
      <c r="A161" s="7">
        <v>4609.7053943723258</v>
      </c>
      <c r="C161" s="1" t="s">
        <v>8</v>
      </c>
      <c r="E161" t="s">
        <v>8</v>
      </c>
      <c r="F161" s="27" t="s">
        <v>7</v>
      </c>
      <c r="K161" s="27" t="s">
        <v>8</v>
      </c>
      <c r="L161" s="27" t="s">
        <v>7</v>
      </c>
    </row>
    <row r="162" spans="1:32" x14ac:dyDescent="0.25">
      <c r="A162" s="7">
        <v>4519.3190140905153</v>
      </c>
      <c r="E162" t="s">
        <v>8</v>
      </c>
      <c r="F162" s="27" t="s">
        <v>7</v>
      </c>
      <c r="K162" s="27" t="s">
        <v>8</v>
      </c>
      <c r="L162" s="27" t="s">
        <v>7</v>
      </c>
    </row>
    <row r="163" spans="1:32" x14ac:dyDescent="0.25">
      <c r="A163" s="7">
        <v>4430.7049157750153</v>
      </c>
      <c r="C163" s="1" t="s">
        <v>14</v>
      </c>
      <c r="E163" t="s">
        <v>8</v>
      </c>
      <c r="F163" s="27" t="s">
        <v>7</v>
      </c>
      <c r="I163" s="27" t="s">
        <v>8</v>
      </c>
      <c r="K163" s="27" t="s">
        <v>8</v>
      </c>
      <c r="L163" s="27" t="s">
        <v>7</v>
      </c>
    </row>
    <row r="164" spans="1:32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 t="s">
        <v>8</v>
      </c>
      <c r="F164" s="27" t="s">
        <v>7</v>
      </c>
      <c r="G164" s="27" t="s">
        <v>8</v>
      </c>
      <c r="I164" s="27" t="s">
        <v>8</v>
      </c>
      <c r="J164" s="27" t="s">
        <v>7</v>
      </c>
      <c r="K164" s="27" t="s">
        <v>8</v>
      </c>
      <c r="L164" s="27" t="s">
        <v>7</v>
      </c>
      <c r="Y164" s="27" t="s">
        <v>8</v>
      </c>
    </row>
    <row r="165" spans="1:32" x14ac:dyDescent="0.25">
      <c r="A165" s="7">
        <v>4258.6552439206225</v>
      </c>
      <c r="E165" t="s">
        <v>8</v>
      </c>
      <c r="F165" s="27" t="s">
        <v>7</v>
      </c>
      <c r="G165" s="27" t="s">
        <v>8</v>
      </c>
      <c r="H165" s="27" t="s">
        <v>7</v>
      </c>
      <c r="I165" s="27" t="s">
        <v>8</v>
      </c>
      <c r="J165" s="27" t="s">
        <v>7</v>
      </c>
      <c r="K165" s="27" t="s">
        <v>8</v>
      </c>
      <c r="L165" s="27" t="s">
        <v>7</v>
      </c>
      <c r="Y165" s="27" t="s">
        <v>8</v>
      </c>
      <c r="Z165" s="27" t="s">
        <v>7</v>
      </c>
    </row>
    <row r="166" spans="1:32" x14ac:dyDescent="0.25">
      <c r="A166" s="7">
        <v>4175.1521999221786</v>
      </c>
      <c r="E166" t="s">
        <v>8</v>
      </c>
      <c r="F166" s="27" t="s">
        <v>7</v>
      </c>
      <c r="G166" s="27" t="s">
        <v>8</v>
      </c>
      <c r="H166" s="27" t="s">
        <v>7</v>
      </c>
      <c r="I166" s="27" t="s">
        <v>8</v>
      </c>
      <c r="J166" s="27" t="s">
        <v>7</v>
      </c>
      <c r="K166" s="27" t="s">
        <v>8</v>
      </c>
      <c r="L166" s="27" t="s">
        <v>7</v>
      </c>
      <c r="Y166" s="27" t="s">
        <v>8</v>
      </c>
      <c r="Z166" s="27" t="s">
        <v>7</v>
      </c>
    </row>
    <row r="167" spans="1:32" x14ac:dyDescent="0.25">
      <c r="A167" s="7">
        <v>4093.2864705119396</v>
      </c>
      <c r="E167" t="s">
        <v>8</v>
      </c>
      <c r="F167" s="27" t="s">
        <v>7</v>
      </c>
      <c r="G167" s="27" t="s">
        <v>8</v>
      </c>
      <c r="H167" s="27" t="s">
        <v>7</v>
      </c>
      <c r="I167" s="27" t="s">
        <v>8</v>
      </c>
      <c r="J167" s="27" t="s">
        <v>7</v>
      </c>
      <c r="K167" s="27" t="s">
        <v>8</v>
      </c>
      <c r="L167" s="27" t="s">
        <v>7</v>
      </c>
      <c r="M167" s="27" t="s">
        <v>8</v>
      </c>
      <c r="Y167" s="27" t="s">
        <v>8</v>
      </c>
      <c r="Z167" s="27" t="s">
        <v>7</v>
      </c>
    </row>
    <row r="168" spans="1:32" x14ac:dyDescent="0.25">
      <c r="A168" s="7">
        <v>4013.0259514822937</v>
      </c>
      <c r="E168" t="s">
        <v>8</v>
      </c>
      <c r="F168" s="27" t="s">
        <v>7</v>
      </c>
      <c r="G168" s="27" t="s">
        <v>8</v>
      </c>
      <c r="H168" s="27" t="s">
        <v>7</v>
      </c>
      <c r="I168" s="27" t="s">
        <v>8</v>
      </c>
      <c r="J168" s="27" t="s">
        <v>7</v>
      </c>
      <c r="K168" s="27" t="s">
        <v>8</v>
      </c>
      <c r="L168" s="27" t="s">
        <v>7</v>
      </c>
      <c r="M168" s="27" t="s">
        <v>8</v>
      </c>
      <c r="N168" s="27" t="s">
        <v>7</v>
      </c>
      <c r="Y168" s="27" t="s">
        <v>8</v>
      </c>
      <c r="Z168" s="27" t="s">
        <v>7</v>
      </c>
    </row>
    <row r="169" spans="1:32" x14ac:dyDescent="0.25">
      <c r="A169" s="7">
        <v>3934.3391681198959</v>
      </c>
      <c r="E169" t="s">
        <v>8</v>
      </c>
      <c r="F169" s="27" t="s">
        <v>7</v>
      </c>
      <c r="G169" s="27" t="s">
        <v>8</v>
      </c>
      <c r="H169" s="27" t="s">
        <v>7</v>
      </c>
      <c r="I169" s="27" t="s">
        <v>8</v>
      </c>
      <c r="J169" s="27" t="s">
        <v>7</v>
      </c>
      <c r="K169" s="27" t="s">
        <v>8</v>
      </c>
      <c r="L169" s="27" t="s">
        <v>7</v>
      </c>
      <c r="M169" s="27" t="s">
        <v>8</v>
      </c>
      <c r="N169" s="27" t="s">
        <v>7</v>
      </c>
      <c r="W169" s="27" t="s">
        <v>8</v>
      </c>
      <c r="Y169" s="27" t="s">
        <v>8</v>
      </c>
      <c r="Z169" s="27" t="s">
        <v>7</v>
      </c>
    </row>
    <row r="170" spans="1:32" x14ac:dyDescent="0.25">
      <c r="A170" s="7">
        <v>3857.1952628626432</v>
      </c>
      <c r="E170" t="s">
        <v>8</v>
      </c>
      <c r="F170" s="27" t="s">
        <v>7</v>
      </c>
      <c r="G170" s="27" t="s">
        <v>8</v>
      </c>
      <c r="H170" s="27" t="s">
        <v>7</v>
      </c>
      <c r="I170" s="27" t="s">
        <v>8</v>
      </c>
      <c r="J170" s="27" t="s">
        <v>7</v>
      </c>
      <c r="K170" s="27" t="s">
        <v>8</v>
      </c>
      <c r="L170" s="27" t="s">
        <v>7</v>
      </c>
      <c r="M170" s="27" t="s">
        <v>8</v>
      </c>
      <c r="N170" s="27" t="s">
        <v>7</v>
      </c>
      <c r="W170" s="27" t="s">
        <v>8</v>
      </c>
      <c r="X170" s="27" t="s">
        <v>7</v>
      </c>
      <c r="Y170" s="27" t="s">
        <v>8</v>
      </c>
      <c r="Z170" s="27" t="s">
        <v>7</v>
      </c>
    </row>
    <row r="171" spans="1:32" x14ac:dyDescent="0.25">
      <c r="A171" s="7">
        <v>3781.5639831986696</v>
      </c>
      <c r="E171" t="s">
        <v>8</v>
      </c>
      <c r="F171" s="27" t="s">
        <v>7</v>
      </c>
      <c r="G171" s="27" t="s">
        <v>8</v>
      </c>
      <c r="H171" s="27" t="s">
        <v>7</v>
      </c>
      <c r="I171" s="27" t="s">
        <v>8</v>
      </c>
      <c r="J171" s="27" t="s">
        <v>7</v>
      </c>
      <c r="K171" s="27" t="s">
        <v>8</v>
      </c>
      <c r="L171" s="27" t="s">
        <v>7</v>
      </c>
      <c r="M171" s="27" t="s">
        <v>8</v>
      </c>
      <c r="N171" s="27" t="s">
        <v>7</v>
      </c>
      <c r="W171" s="27" t="s">
        <v>8</v>
      </c>
      <c r="X171" s="27" t="s">
        <v>7</v>
      </c>
      <c r="Y171" s="27" t="s">
        <v>8</v>
      </c>
      <c r="Z171" s="27" t="s">
        <v>7</v>
      </c>
    </row>
    <row r="172" spans="1:32" x14ac:dyDescent="0.25">
      <c r="A172" s="7">
        <v>3707.4156698026172</v>
      </c>
      <c r="E172" t="s">
        <v>8</v>
      </c>
      <c r="F172" s="27" t="s">
        <v>7</v>
      </c>
      <c r="H172" s="27" t="s">
        <v>7</v>
      </c>
      <c r="I172" s="27" t="s">
        <v>8</v>
      </c>
      <c r="J172" s="27" t="s">
        <v>7</v>
      </c>
      <c r="L172" s="27" t="s">
        <v>7</v>
      </c>
      <c r="N172" s="27" t="s">
        <v>7</v>
      </c>
      <c r="O172" s="27" t="s">
        <v>8</v>
      </c>
      <c r="W172" s="27" t="s">
        <v>8</v>
      </c>
      <c r="X172" s="27" t="s">
        <v>7</v>
      </c>
      <c r="Y172" s="27" t="s">
        <v>8</v>
      </c>
      <c r="Z172" s="27" t="s">
        <v>7</v>
      </c>
    </row>
    <row r="173" spans="1:32" x14ac:dyDescent="0.25">
      <c r="A173" s="7">
        <v>3634.7212449045264</v>
      </c>
      <c r="E173" t="s">
        <v>8</v>
      </c>
      <c r="H173" s="27" t="s">
        <v>7</v>
      </c>
      <c r="I173" s="27" t="s">
        <v>8</v>
      </c>
      <c r="N173" s="27" t="s">
        <v>7</v>
      </c>
      <c r="O173" s="27" t="s">
        <v>8</v>
      </c>
      <c r="P173" s="27" t="s">
        <v>7</v>
      </c>
      <c r="W173" s="27" t="s">
        <v>8</v>
      </c>
      <c r="X173" s="27" t="s">
        <v>7</v>
      </c>
      <c r="Y173" s="27" t="s">
        <v>8</v>
      </c>
      <c r="Z173" s="27" t="s">
        <v>7</v>
      </c>
      <c r="AA173" s="27" t="s">
        <v>8</v>
      </c>
    </row>
    <row r="174" spans="1:32" x14ac:dyDescent="0.25">
      <c r="A174" s="7">
        <v>3563.4522008867907</v>
      </c>
      <c r="E174" t="s">
        <v>8</v>
      </c>
      <c r="H174" s="27" t="s">
        <v>7</v>
      </c>
      <c r="I174" s="27" t="s">
        <v>8</v>
      </c>
      <c r="N174" s="27" t="s">
        <v>7</v>
      </c>
      <c r="O174" s="27" t="s">
        <v>8</v>
      </c>
      <c r="P174" s="27" t="s">
        <v>7</v>
      </c>
      <c r="Q174" s="27" t="s">
        <v>8</v>
      </c>
      <c r="W174" s="27" t="s">
        <v>8</v>
      </c>
      <c r="X174" s="27" t="s">
        <v>7</v>
      </c>
      <c r="Y174" s="27" t="s">
        <v>8</v>
      </c>
      <c r="Z174" s="27" t="s">
        <v>7</v>
      </c>
      <c r="AA174" s="27" t="s">
        <v>8</v>
      </c>
      <c r="AB174" s="27" t="s">
        <v>7</v>
      </c>
      <c r="AE174" s="27" t="s">
        <v>8</v>
      </c>
    </row>
    <row r="175" spans="1:32" x14ac:dyDescent="0.25">
      <c r="A175" s="7">
        <v>3493.5805891046966</v>
      </c>
      <c r="E175" t="s">
        <v>8</v>
      </c>
      <c r="H175" s="27" t="s">
        <v>7</v>
      </c>
      <c r="I175" s="27" t="s">
        <v>8</v>
      </c>
      <c r="N175" s="27" t="s">
        <v>7</v>
      </c>
      <c r="O175" s="27" t="s">
        <v>8</v>
      </c>
      <c r="P175" s="27" t="s">
        <v>7</v>
      </c>
      <c r="Q175" s="27" t="s">
        <v>8</v>
      </c>
      <c r="R175" s="27" t="s">
        <v>7</v>
      </c>
      <c r="W175" s="27" t="s">
        <v>8</v>
      </c>
      <c r="X175" s="27" t="s">
        <v>7</v>
      </c>
      <c r="Y175" s="27" t="s">
        <v>8</v>
      </c>
      <c r="Z175" s="27" t="s">
        <v>7</v>
      </c>
      <c r="AA175" s="27" t="s">
        <v>8</v>
      </c>
      <c r="AB175" s="27" t="s">
        <v>7</v>
      </c>
      <c r="AE175" s="27" t="s">
        <v>8</v>
      </c>
      <c r="AF175" s="27" t="s">
        <v>7</v>
      </c>
    </row>
    <row r="176" spans="1:32" x14ac:dyDescent="0.25">
      <c r="A176" s="7">
        <v>3425.0790089261732</v>
      </c>
      <c r="E176" t="s">
        <v>8</v>
      </c>
      <c r="H176" s="27" t="s">
        <v>7</v>
      </c>
      <c r="I176" s="27" t="s">
        <v>8</v>
      </c>
      <c r="N176" s="27" t="s">
        <v>7</v>
      </c>
      <c r="P176" s="27" t="s">
        <v>7</v>
      </c>
      <c r="Q176" s="27" t="s">
        <v>8</v>
      </c>
      <c r="R176" s="27" t="s">
        <v>7</v>
      </c>
      <c r="W176" s="27" t="s">
        <v>8</v>
      </c>
      <c r="X176" s="27" t="s">
        <v>7</v>
      </c>
      <c r="Y176" s="27" t="s">
        <v>8</v>
      </c>
      <c r="Z176" s="27" t="s">
        <v>7</v>
      </c>
      <c r="AB176" s="27" t="s">
        <v>7</v>
      </c>
      <c r="AE176" s="27" t="s">
        <v>8</v>
      </c>
      <c r="AF176" s="27" t="s">
        <v>7</v>
      </c>
    </row>
    <row r="177" spans="1:38" x14ac:dyDescent="0.25">
      <c r="A177" s="7">
        <v>3357.9205969864443</v>
      </c>
      <c r="B177"/>
      <c r="C177"/>
      <c r="D177"/>
      <c r="E177" t="s">
        <v>8</v>
      </c>
      <c r="H177" s="27" t="s">
        <v>7</v>
      </c>
      <c r="I177" s="27" t="s">
        <v>8</v>
      </c>
      <c r="P177" s="27" t="s">
        <v>7</v>
      </c>
      <c r="Q177" s="27" t="s">
        <v>8</v>
      </c>
      <c r="R177" s="27" t="s">
        <v>7</v>
      </c>
      <c r="W177" s="27" t="s">
        <v>8</v>
      </c>
      <c r="X177" s="27" t="s">
        <v>7</v>
      </c>
      <c r="Y177" s="27" t="s">
        <v>8</v>
      </c>
      <c r="AB177" s="27" t="s">
        <v>7</v>
      </c>
      <c r="AE177" s="27" t="s">
        <v>8</v>
      </c>
      <c r="AF177" s="27" t="s">
        <v>7</v>
      </c>
    </row>
    <row r="178" spans="1:38" x14ac:dyDescent="0.25">
      <c r="A178" s="7">
        <v>3292.0790166533766</v>
      </c>
      <c r="B178"/>
      <c r="C178"/>
      <c r="D178"/>
      <c r="E178" t="s">
        <v>8</v>
      </c>
      <c r="H178" s="27" t="s">
        <v>7</v>
      </c>
      <c r="P178" s="27" t="s">
        <v>7</v>
      </c>
      <c r="Q178" s="27" t="s">
        <v>8</v>
      </c>
      <c r="R178" s="27" t="s">
        <v>7</v>
      </c>
      <c r="W178" s="27" t="s">
        <v>8</v>
      </c>
      <c r="X178" s="27" t="s">
        <v>7</v>
      </c>
      <c r="Y178" s="27" t="s">
        <v>8</v>
      </c>
      <c r="AB178" s="27" t="s">
        <v>7</v>
      </c>
      <c r="AE178" s="27" t="s">
        <v>8</v>
      </c>
      <c r="AF178" s="27" t="s">
        <v>7</v>
      </c>
    </row>
    <row r="179" spans="1:38" x14ac:dyDescent="0.25">
      <c r="A179" s="7">
        <v>3227.5284476993888</v>
      </c>
      <c r="B179"/>
      <c r="C179"/>
      <c r="D179"/>
      <c r="E179" t="s">
        <v>8</v>
      </c>
      <c r="P179" s="27" t="s">
        <v>7</v>
      </c>
      <c r="Q179" s="27" t="s">
        <v>8</v>
      </c>
      <c r="R179" s="27" t="s">
        <v>7</v>
      </c>
      <c r="W179" s="27" t="s">
        <v>8</v>
      </c>
      <c r="X179" s="27" t="s">
        <v>7</v>
      </c>
      <c r="Y179" s="27" t="s">
        <v>8</v>
      </c>
      <c r="AB179" s="27" t="s">
        <v>7</v>
      </c>
      <c r="AE179" s="27" t="s">
        <v>8</v>
      </c>
      <c r="AF179" s="27" t="s">
        <v>7</v>
      </c>
    </row>
    <row r="180" spans="1:38" x14ac:dyDescent="0.25">
      <c r="A180" s="7">
        <v>3164.2435761758716</v>
      </c>
      <c r="B180"/>
      <c r="C180"/>
      <c r="D180"/>
      <c r="E180" t="s">
        <v>8</v>
      </c>
      <c r="P180" s="27" t="s">
        <v>7</v>
      </c>
      <c r="Q180" s="27" t="s">
        <v>8</v>
      </c>
      <c r="R180" s="27" t="s">
        <v>7</v>
      </c>
      <c r="W180" s="27" t="s">
        <v>8</v>
      </c>
      <c r="X180" s="27" t="s">
        <v>7</v>
      </c>
      <c r="AB180" s="27" t="s">
        <v>7</v>
      </c>
      <c r="AC180" s="27" t="s">
        <v>8</v>
      </c>
      <c r="AE180" s="27" t="s">
        <v>8</v>
      </c>
      <c r="AF180" s="27" t="s">
        <v>7</v>
      </c>
    </row>
    <row r="181" spans="1:38" x14ac:dyDescent="0.25">
      <c r="A181" s="7">
        <v>3102.1995844861485</v>
      </c>
      <c r="B181"/>
      <c r="C181"/>
      <c r="D181"/>
      <c r="E181" t="s">
        <v>8</v>
      </c>
      <c r="P181" s="27" t="s">
        <v>7</v>
      </c>
      <c r="Q181" s="27" t="s">
        <v>8</v>
      </c>
      <c r="R181" s="27" t="s">
        <v>7</v>
      </c>
      <c r="W181" s="27" t="s">
        <v>8</v>
      </c>
      <c r="AB181" s="27" t="s">
        <v>7</v>
      </c>
      <c r="AC181" s="27" t="s">
        <v>8</v>
      </c>
      <c r="AD181" s="27" t="s">
        <v>7</v>
      </c>
      <c r="AE181" s="27" t="s">
        <v>8</v>
      </c>
      <c r="AF181" s="27" t="s">
        <v>7</v>
      </c>
    </row>
    <row r="182" spans="1:38" x14ac:dyDescent="0.25">
      <c r="A182" s="7">
        <v>3041.3721416530866</v>
      </c>
      <c r="B182"/>
      <c r="C182"/>
      <c r="D182"/>
      <c r="E182" t="s">
        <v>8</v>
      </c>
      <c r="P182" s="27" t="s">
        <v>7</v>
      </c>
      <c r="Q182" s="27" t="s">
        <v>8</v>
      </c>
      <c r="R182" s="27" t="s">
        <v>7</v>
      </c>
      <c r="W182" s="27" t="s">
        <v>8</v>
      </c>
      <c r="AB182" s="27" t="s">
        <v>7</v>
      </c>
      <c r="AC182" s="27" t="s">
        <v>8</v>
      </c>
      <c r="AD182" s="27" t="s">
        <v>7</v>
      </c>
      <c r="AE182" s="27" t="s">
        <v>8</v>
      </c>
      <c r="AF182" s="27" t="s">
        <v>7</v>
      </c>
    </row>
    <row r="183" spans="1:38" x14ac:dyDescent="0.25">
      <c r="A183" s="7">
        <v>2981.737393777536</v>
      </c>
      <c r="B183"/>
      <c r="C183"/>
      <c r="D183"/>
      <c r="E183" t="s">
        <v>8</v>
      </c>
      <c r="P183" s="27" t="s">
        <v>7</v>
      </c>
      <c r="Q183" s="27" t="s">
        <v>8</v>
      </c>
      <c r="R183" s="27" t="s">
        <v>7</v>
      </c>
      <c r="W183" s="27" t="s">
        <v>8</v>
      </c>
      <c r="AB183" s="27" t="s">
        <v>7</v>
      </c>
      <c r="AC183" s="27" t="s">
        <v>8</v>
      </c>
      <c r="AD183" s="27" t="s">
        <v>7</v>
      </c>
      <c r="AE183" s="27" t="s">
        <v>8</v>
      </c>
      <c r="AF183" s="27" t="s">
        <v>7</v>
      </c>
    </row>
    <row r="184" spans="1:38" x14ac:dyDescent="0.25">
      <c r="A184" s="7">
        <v>2923.2719546838589</v>
      </c>
      <c r="B184"/>
      <c r="C184"/>
      <c r="D184"/>
      <c r="E184" t="s">
        <v>8</v>
      </c>
      <c r="P184" s="27" t="s">
        <v>7</v>
      </c>
      <c r="Q184" s="27" t="s">
        <v>8</v>
      </c>
      <c r="R184" s="27" t="s">
        <v>7</v>
      </c>
      <c r="W184" s="27" t="s">
        <v>8</v>
      </c>
      <c r="AB184" s="27" t="s">
        <v>7</v>
      </c>
      <c r="AD184" s="27" t="s">
        <v>7</v>
      </c>
      <c r="AE184" s="27" t="s">
        <v>8</v>
      </c>
      <c r="AF184" s="27" t="s">
        <v>7</v>
      </c>
      <c r="AG184" s="27" t="s">
        <v>8</v>
      </c>
    </row>
    <row r="185" spans="1:38" x14ac:dyDescent="0.25">
      <c r="A185" s="7">
        <v>2865.9528967488814</v>
      </c>
      <c r="B185"/>
      <c r="C185"/>
      <c r="D185"/>
      <c r="E185" t="s">
        <v>8</v>
      </c>
      <c r="P185" s="27" t="s">
        <v>7</v>
      </c>
      <c r="Q185" s="27" t="s">
        <v>8</v>
      </c>
      <c r="R185" s="27" t="s">
        <v>7</v>
      </c>
      <c r="W185" s="27" t="s">
        <v>8</v>
      </c>
      <c r="AD185" s="27" t="s">
        <v>7</v>
      </c>
      <c r="AE185" s="27" t="s">
        <v>8</v>
      </c>
      <c r="AF185" s="27" t="s">
        <v>7</v>
      </c>
      <c r="AG185" s="27" t="s">
        <v>8</v>
      </c>
      <c r="AH185" s="27" t="s">
        <v>7</v>
      </c>
    </row>
    <row r="186" spans="1:38" x14ac:dyDescent="0.25">
      <c r="A186" s="7">
        <v>2809.7577419106678</v>
      </c>
      <c r="B186"/>
      <c r="C186"/>
      <c r="D186"/>
      <c r="E186" t="s">
        <v>8</v>
      </c>
      <c r="P186" s="27" t="s">
        <v>7</v>
      </c>
      <c r="R186" s="27" t="s">
        <v>7</v>
      </c>
      <c r="W186" s="27" t="s">
        <v>8</v>
      </c>
      <c r="AD186" s="27" t="s">
        <v>7</v>
      </c>
      <c r="AE186" s="27" t="s">
        <v>8</v>
      </c>
      <c r="AF186" s="27" t="s">
        <v>7</v>
      </c>
      <c r="AG186" s="27" t="s">
        <v>8</v>
      </c>
      <c r="AH186" s="27" t="s">
        <v>7</v>
      </c>
      <c r="AI186" s="27" t="s">
        <v>8</v>
      </c>
    </row>
    <row r="187" spans="1:38" x14ac:dyDescent="0.25">
      <c r="A187" s="7">
        <v>2754.6644528535958</v>
      </c>
      <c r="B187"/>
      <c r="C187"/>
      <c r="D187"/>
      <c r="E187" t="s">
        <v>8</v>
      </c>
      <c r="R187" s="27" t="s">
        <v>7</v>
      </c>
      <c r="W187" s="27" t="s">
        <v>8</v>
      </c>
      <c r="AD187" s="27" t="s">
        <v>7</v>
      </c>
      <c r="AE187" s="27" t="s">
        <v>8</v>
      </c>
      <c r="AF187" s="27" t="s">
        <v>7</v>
      </c>
      <c r="AG187" s="27" t="s">
        <v>8</v>
      </c>
      <c r="AH187" s="27" t="s">
        <v>7</v>
      </c>
      <c r="AI187" s="27" t="s">
        <v>8</v>
      </c>
      <c r="AJ187" s="27" t="s">
        <v>7</v>
      </c>
    </row>
    <row r="188" spans="1:38" x14ac:dyDescent="0.25">
      <c r="A188" s="7">
        <v>2700.6514243662705</v>
      </c>
      <c r="B188"/>
      <c r="C188"/>
      <c r="D188"/>
      <c r="E188" t="s">
        <v>8</v>
      </c>
      <c r="R188" s="27" t="s">
        <v>7</v>
      </c>
      <c r="W188" s="27" t="s">
        <v>8</v>
      </c>
      <c r="AD188" s="27" t="s">
        <v>7</v>
      </c>
      <c r="AE188" s="27" t="s">
        <v>8</v>
      </c>
      <c r="AF188" s="27" t="s">
        <v>7</v>
      </c>
      <c r="AG188" s="27" t="s">
        <v>8</v>
      </c>
      <c r="AH188" s="27" t="s">
        <v>7</v>
      </c>
      <c r="AI188" s="27" t="s">
        <v>8</v>
      </c>
      <c r="AJ188" s="27" t="s">
        <v>7</v>
      </c>
    </row>
    <row r="189" spans="1:38" x14ac:dyDescent="0.25">
      <c r="A189" s="7">
        <v>2647.6974748688926</v>
      </c>
      <c r="B189"/>
      <c r="C189"/>
      <c r="D189"/>
      <c r="E189" t="s">
        <v>8</v>
      </c>
      <c r="R189" s="27" t="s">
        <v>7</v>
      </c>
      <c r="U189" s="27" t="s">
        <v>8</v>
      </c>
      <c r="W189" s="27" t="s">
        <v>8</v>
      </c>
      <c r="AD189" s="27" t="s">
        <v>7</v>
      </c>
      <c r="AF189" s="27" t="s">
        <v>7</v>
      </c>
      <c r="AG189" s="27" t="s">
        <v>8</v>
      </c>
      <c r="AH189" s="27" t="s">
        <v>7</v>
      </c>
      <c r="AI189" s="27" t="s">
        <v>8</v>
      </c>
      <c r="AJ189" s="27" t="s">
        <v>7</v>
      </c>
    </row>
    <row r="190" spans="1:38" x14ac:dyDescent="0.25">
      <c r="A190" s="7">
        <v>2595.7818381067573</v>
      </c>
      <c r="B190"/>
      <c r="C190"/>
      <c r="D190"/>
      <c r="E190" t="s">
        <v>8</v>
      </c>
      <c r="R190" s="27" t="s">
        <v>7</v>
      </c>
      <c r="U190" s="27" t="s">
        <v>8</v>
      </c>
      <c r="V190" s="27" t="s">
        <v>7</v>
      </c>
      <c r="W190" s="27" t="s">
        <v>8</v>
      </c>
      <c r="AF190" s="27" t="s">
        <v>7</v>
      </c>
      <c r="AG190" s="27" t="s">
        <v>8</v>
      </c>
      <c r="AH190" s="27" t="s">
        <v>7</v>
      </c>
      <c r="AI190" s="27" t="s">
        <v>8</v>
      </c>
      <c r="AJ190" s="27" t="s">
        <v>7</v>
      </c>
      <c r="AK190" s="27" t="s">
        <v>8</v>
      </c>
    </row>
    <row r="191" spans="1:38" x14ac:dyDescent="0.25">
      <c r="A191" s="7">
        <v>2544.884155006625</v>
      </c>
      <c r="B191"/>
      <c r="C191"/>
      <c r="D191"/>
      <c r="E191" t="s">
        <v>8</v>
      </c>
      <c r="R191" s="27" t="s">
        <v>7</v>
      </c>
      <c r="U191" s="27" t="s">
        <v>8</v>
      </c>
      <c r="V191" s="27" t="s">
        <v>7</v>
      </c>
      <c r="W191" s="27" t="s">
        <v>8</v>
      </c>
      <c r="AF191" s="27" t="s">
        <v>7</v>
      </c>
      <c r="AH191" s="27" t="s">
        <v>7</v>
      </c>
      <c r="AJ191" s="27" t="s">
        <v>7</v>
      </c>
      <c r="AK191" s="27" t="s">
        <v>8</v>
      </c>
      <c r="AL191" s="27" t="s">
        <v>7</v>
      </c>
    </row>
    <row r="192" spans="1:38" x14ac:dyDescent="0.25">
      <c r="A192" s="7">
        <v>2494.9844656927694</v>
      </c>
      <c r="B192"/>
      <c r="C192"/>
      <c r="D192"/>
      <c r="E192" t="s">
        <v>8</v>
      </c>
      <c r="R192" s="27" t="s">
        <v>7</v>
      </c>
      <c r="U192" s="27" t="s">
        <v>8</v>
      </c>
      <c r="V192" s="27" t="s">
        <v>7</v>
      </c>
      <c r="W192" s="27" t="s">
        <v>8</v>
      </c>
      <c r="AJ192" s="27" t="s">
        <v>7</v>
      </c>
      <c r="AK192" s="27" t="s">
        <v>8</v>
      </c>
      <c r="AL192" s="27" t="s">
        <v>7</v>
      </c>
    </row>
    <row r="193" spans="1:40" x14ac:dyDescent="0.25">
      <c r="A193" s="7">
        <v>2446.0632016595778</v>
      </c>
      <c r="B193"/>
      <c r="C193"/>
      <c r="D193"/>
      <c r="E193" t="s">
        <v>8</v>
      </c>
      <c r="R193" s="27" t="s">
        <v>7</v>
      </c>
      <c r="U193" s="27" t="s">
        <v>8</v>
      </c>
      <c r="V193" s="27" t="s">
        <v>7</v>
      </c>
      <c r="W193" s="27" t="s">
        <v>8</v>
      </c>
      <c r="AJ193" s="27" t="s">
        <v>7</v>
      </c>
      <c r="AK193" s="27" t="s">
        <v>8</v>
      </c>
      <c r="AL193" s="27" t="s">
        <v>7</v>
      </c>
    </row>
    <row r="194" spans="1:40" x14ac:dyDescent="0.25">
      <c r="A194" s="7">
        <v>2398.1011780976251</v>
      </c>
      <c r="B194"/>
      <c r="C194"/>
      <c r="D194"/>
      <c r="E194" t="s">
        <v>8</v>
      </c>
      <c r="R194" s="27" t="s">
        <v>7</v>
      </c>
      <c r="U194" s="27" t="s">
        <v>8</v>
      </c>
      <c r="V194" s="27" t="s">
        <v>7</v>
      </c>
      <c r="W194" s="27" t="s">
        <v>8</v>
      </c>
      <c r="AJ194" s="27" t="s">
        <v>7</v>
      </c>
      <c r="AK194" s="27" t="s">
        <v>8</v>
      </c>
      <c r="AL194" s="27" t="s">
        <v>7</v>
      </c>
    </row>
    <row r="195" spans="1:40" x14ac:dyDescent="0.25">
      <c r="A195" s="7">
        <v>2351.0795863702206</v>
      </c>
      <c r="B195"/>
      <c r="C195"/>
      <c r="D195"/>
      <c r="E195" t="s">
        <v>8</v>
      </c>
      <c r="R195" s="27" t="s">
        <v>7</v>
      </c>
      <c r="U195" s="27" t="s">
        <v>8</v>
      </c>
      <c r="V195" s="27" t="s">
        <v>7</v>
      </c>
      <c r="AJ195" s="27" t="s">
        <v>7</v>
      </c>
      <c r="AK195" s="27" t="s">
        <v>8</v>
      </c>
      <c r="AL195" s="27" t="s">
        <v>7</v>
      </c>
    </row>
    <row r="196" spans="1:40" x14ac:dyDescent="0.25">
      <c r="A196" s="7">
        <v>2304.979986637471</v>
      </c>
      <c r="B196"/>
      <c r="C196"/>
      <c r="D196"/>
      <c r="E196" t="s">
        <v>8</v>
      </c>
      <c r="R196" s="27" t="s">
        <v>7</v>
      </c>
      <c r="S196" s="27" t="s">
        <v>8</v>
      </c>
      <c r="U196" s="27" t="s">
        <v>8</v>
      </c>
      <c r="AJ196" s="27" t="s">
        <v>7</v>
      </c>
      <c r="AK196" s="27" t="s">
        <v>8</v>
      </c>
      <c r="AL196" s="27" t="s">
        <v>7</v>
      </c>
    </row>
    <row r="197" spans="1:40" x14ac:dyDescent="0.25">
      <c r="A197" s="7">
        <v>2259.7843006249714</v>
      </c>
      <c r="B197"/>
      <c r="C197"/>
      <c r="D197"/>
      <c r="E197" t="s">
        <v>8</v>
      </c>
      <c r="R197" s="27" t="s">
        <v>7</v>
      </c>
      <c r="S197" s="27" t="s">
        <v>8</v>
      </c>
      <c r="T197" s="27" t="s">
        <v>7</v>
      </c>
      <c r="U197" s="27" t="s">
        <v>8</v>
      </c>
      <c r="AJ197" s="27" t="s">
        <v>7</v>
      </c>
      <c r="AL197" s="27" t="s">
        <v>7</v>
      </c>
    </row>
    <row r="198" spans="1:40" x14ac:dyDescent="0.25">
      <c r="A198" s="7">
        <v>2215.4748045342858</v>
      </c>
      <c r="B198"/>
      <c r="C198"/>
      <c r="D198"/>
      <c r="E198" t="s">
        <v>8</v>
      </c>
      <c r="R198" s="27" t="s">
        <v>7</v>
      </c>
      <c r="S198" s="27" t="s">
        <v>8</v>
      </c>
      <c r="T198" s="27" t="s">
        <v>7</v>
      </c>
      <c r="U198" s="27" t="s">
        <v>8</v>
      </c>
      <c r="AL198" s="27" t="s">
        <v>7</v>
      </c>
    </row>
    <row r="199" spans="1:40" x14ac:dyDescent="0.25">
      <c r="A199" s="7">
        <v>2172.034122092437</v>
      </c>
      <c r="B199"/>
      <c r="C199"/>
      <c r="D199"/>
      <c r="E199" t="s">
        <v>8</v>
      </c>
      <c r="R199" s="27" t="s">
        <v>7</v>
      </c>
      <c r="S199" s="27" t="s">
        <v>8</v>
      </c>
      <c r="T199" s="27" t="s">
        <v>7</v>
      </c>
      <c r="U199" s="27" t="s">
        <v>8</v>
      </c>
      <c r="AL199" s="27" t="s">
        <v>7</v>
      </c>
    </row>
    <row r="200" spans="1:40" x14ac:dyDescent="0.25">
      <c r="A200" s="7">
        <v>2129.4452177376834</v>
      </c>
      <c r="B200"/>
      <c r="C200"/>
      <c r="D200"/>
      <c r="E200" t="s">
        <v>8</v>
      </c>
      <c r="R200" s="27" t="s">
        <v>7</v>
      </c>
      <c r="S200" s="27" t="s">
        <v>8</v>
      </c>
      <c r="T200" s="27" t="s">
        <v>7</v>
      </c>
      <c r="U200" s="27" t="s">
        <v>8</v>
      </c>
      <c r="AL200" s="27" t="s">
        <v>7</v>
      </c>
    </row>
    <row r="201" spans="1:40" x14ac:dyDescent="0.25">
      <c r="A201" s="7">
        <v>2087.6913899389051</v>
      </c>
      <c r="B201"/>
      <c r="C201"/>
      <c r="D201"/>
      <c r="E201" t="s">
        <v>8</v>
      </c>
      <c r="R201" s="27" t="s">
        <v>7</v>
      </c>
      <c r="S201" s="27" t="s">
        <v>8</v>
      </c>
      <c r="T201" s="27" t="s">
        <v>7</v>
      </c>
      <c r="U201" s="27" t="s">
        <v>8</v>
      </c>
      <c r="AL201" s="27" t="s">
        <v>7</v>
      </c>
    </row>
    <row r="202" spans="1:40" x14ac:dyDescent="0.25">
      <c r="A202" s="7">
        <v>2046.7562646459853</v>
      </c>
      <c r="B202"/>
      <c r="C202"/>
      <c r="D202"/>
      <c r="E202" t="s">
        <v>8</v>
      </c>
      <c r="R202" s="27" t="s">
        <v>7</v>
      </c>
      <c r="T202" s="27" t="s">
        <v>7</v>
      </c>
      <c r="U202" s="27" t="s">
        <v>8</v>
      </c>
      <c r="AL202" s="27" t="s">
        <v>7</v>
      </c>
    </row>
    <row r="203" spans="1:40" x14ac:dyDescent="0.25">
      <c r="A203" s="7">
        <v>2006.623788868613</v>
      </c>
      <c r="B203"/>
      <c r="C203"/>
      <c r="D203"/>
      <c r="E203" t="s">
        <v>8</v>
      </c>
      <c r="T203" s="27" t="s">
        <v>7</v>
      </c>
      <c r="U203" s="27" t="s">
        <v>8</v>
      </c>
      <c r="AL203" s="27" t="s">
        <v>7</v>
      </c>
    </row>
    <row r="204" spans="1:40" x14ac:dyDescent="0.25">
      <c r="A204" s="7">
        <v>1967.2782243809932</v>
      </c>
      <c r="B204"/>
      <c r="C204"/>
      <c r="D204"/>
      <c r="E204" t="s">
        <v>8</v>
      </c>
      <c r="T204" s="27" t="s">
        <v>7</v>
      </c>
      <c r="AL204" s="27" t="s">
        <v>7</v>
      </c>
    </row>
    <row r="205" spans="1:40" x14ac:dyDescent="0.25">
      <c r="A205" s="7">
        <v>1928.7041415499932</v>
      </c>
      <c r="B205"/>
      <c r="C205"/>
      <c r="D205"/>
      <c r="E205" t="s">
        <v>8</v>
      </c>
      <c r="AL205" s="27" t="s">
        <v>7</v>
      </c>
      <c r="AM205" s="27" t="s">
        <v>8</v>
      </c>
    </row>
    <row r="206" spans="1:40" x14ac:dyDescent="0.25">
      <c r="A206" s="7">
        <v>1890.8864132843071</v>
      </c>
      <c r="B206"/>
      <c r="C206"/>
      <c r="D206"/>
      <c r="E206" t="s">
        <v>8</v>
      </c>
      <c r="AL206" s="27" t="s">
        <v>7</v>
      </c>
      <c r="AM206" s="27" t="s">
        <v>8</v>
      </c>
      <c r="AN206" s="27" t="s">
        <v>7</v>
      </c>
    </row>
    <row r="207" spans="1:40" x14ac:dyDescent="0.25">
      <c r="A207" s="7">
        <v>1853.8102091022618</v>
      </c>
      <c r="B207"/>
      <c r="C207"/>
      <c r="D207"/>
      <c r="E207" t="s">
        <v>8</v>
      </c>
      <c r="AL207" s="27" t="s">
        <v>7</v>
      </c>
      <c r="AM207" s="27" t="s">
        <v>8</v>
      </c>
      <c r="AN207" s="27" t="s">
        <v>7</v>
      </c>
    </row>
    <row r="208" spans="1:40" x14ac:dyDescent="0.25">
      <c r="A208" s="7">
        <v>1817.4609893159429</v>
      </c>
      <c r="B208"/>
      <c r="C208"/>
      <c r="D208"/>
      <c r="E208" t="s">
        <v>8</v>
      </c>
      <c r="AL208" s="27" t="s">
        <v>7</v>
      </c>
      <c r="AM208" s="27" t="s">
        <v>8</v>
      </c>
      <c r="AN208" s="27" t="s">
        <v>7</v>
      </c>
    </row>
    <row r="209" spans="1:122" x14ac:dyDescent="0.25">
      <c r="A209" s="7">
        <v>1781.8244993293558</v>
      </c>
      <c r="B209"/>
      <c r="C209"/>
      <c r="D209"/>
      <c r="E209" t="s">
        <v>8</v>
      </c>
      <c r="AL209" s="27" t="s">
        <v>7</v>
      </c>
      <c r="AM209" s="27" t="s">
        <v>8</v>
      </c>
      <c r="AN209" s="27" t="s">
        <v>7</v>
      </c>
    </row>
    <row r="210" spans="1:122" x14ac:dyDescent="0.25">
      <c r="A210" s="7">
        <v>1746.8867640483879</v>
      </c>
      <c r="B210"/>
      <c r="C210"/>
      <c r="D210"/>
      <c r="E210" t="s">
        <v>8</v>
      </c>
      <c r="AL210" s="27" t="s">
        <v>7</v>
      </c>
      <c r="AM210" s="27" t="s">
        <v>8</v>
      </c>
      <c r="AN210" s="27" t="s">
        <v>7</v>
      </c>
    </row>
    <row r="211" spans="1:122" x14ac:dyDescent="0.25">
      <c r="A211" s="7">
        <v>1712.6340824003803</v>
      </c>
      <c r="B211"/>
      <c r="C211"/>
      <c r="D211"/>
      <c r="E211" t="s">
        <v>8</v>
      </c>
      <c r="AL211" s="27" t="s">
        <v>7</v>
      </c>
      <c r="AM211" s="27" t="s">
        <v>8</v>
      </c>
      <c r="AN211" s="27" t="s">
        <v>7</v>
      </c>
    </row>
    <row r="212" spans="1:122" x14ac:dyDescent="0.25">
      <c r="A212" s="7">
        <v>1679.0530219611571</v>
      </c>
      <c r="B212"/>
      <c r="C212"/>
      <c r="D212"/>
      <c r="E212" t="s">
        <v>8</v>
      </c>
      <c r="AL212" s="27" t="s">
        <v>7</v>
      </c>
      <c r="AM212" s="27" t="s">
        <v>8</v>
      </c>
      <c r="AN212" s="27" t="s">
        <v>7</v>
      </c>
    </row>
    <row r="213" spans="1:122" x14ac:dyDescent="0.25">
      <c r="A213" s="7">
        <v>1646.1304136874089</v>
      </c>
      <c r="B213"/>
      <c r="C213"/>
      <c r="D213"/>
      <c r="E213" t="s">
        <v>8</v>
      </c>
      <c r="AL213" s="27" t="s">
        <v>7</v>
      </c>
      <c r="AM213" s="27" t="s">
        <v>8</v>
      </c>
      <c r="AN213" s="27" t="s">
        <v>7</v>
      </c>
      <c r="AO213" s="27" t="s">
        <v>8</v>
      </c>
    </row>
    <row r="214" spans="1:122" x14ac:dyDescent="0.25">
      <c r="A214" s="7">
        <v>1613.8533467523616</v>
      </c>
      <c r="B214"/>
      <c r="C214"/>
      <c r="D214"/>
      <c r="E214" t="s">
        <v>8</v>
      </c>
      <c r="AL214" s="27" t="s">
        <v>7</v>
      </c>
      <c r="AM214" s="27" t="s">
        <v>8</v>
      </c>
      <c r="AN214" s="27" t="s">
        <v>7</v>
      </c>
      <c r="AO214" s="27" t="s">
        <v>8</v>
      </c>
      <c r="AP214" s="27" t="s">
        <v>7</v>
      </c>
    </row>
    <row r="215" spans="1:122" x14ac:dyDescent="0.25">
      <c r="A215" s="7">
        <v>1582.2091634827075</v>
      </c>
      <c r="B215"/>
      <c r="C215"/>
      <c r="D215"/>
      <c r="E215" t="s">
        <v>8</v>
      </c>
      <c r="AL215" s="27" t="s">
        <v>7</v>
      </c>
      <c r="AM215" s="27" t="s">
        <v>8</v>
      </c>
      <c r="AN215" s="27" t="s">
        <v>7</v>
      </c>
      <c r="AO215" s="27" t="s">
        <v>8</v>
      </c>
      <c r="AP215" s="27" t="s">
        <v>7</v>
      </c>
      <c r="AS215" s="27" t="s">
        <v>8</v>
      </c>
      <c r="CG215" s="27" t="s">
        <v>8</v>
      </c>
      <c r="CQ215" s="27" t="s">
        <v>8</v>
      </c>
    </row>
    <row r="216" spans="1:122" x14ac:dyDescent="0.25">
      <c r="A216" s="7">
        <v>1551.1854543948111</v>
      </c>
      <c r="B216"/>
      <c r="C216"/>
      <c r="D216"/>
      <c r="E216" t="s">
        <v>8</v>
      </c>
      <c r="AL216" s="27" t="s">
        <v>7</v>
      </c>
      <c r="AM216" s="27" t="s">
        <v>8</v>
      </c>
      <c r="AN216" s="27" t="s">
        <v>7</v>
      </c>
      <c r="AO216" s="27" t="s">
        <v>8</v>
      </c>
      <c r="AP216" s="27" t="s">
        <v>7</v>
      </c>
      <c r="AS216" s="27" t="s">
        <v>8</v>
      </c>
      <c r="AT216" s="27" t="s">
        <v>7</v>
      </c>
      <c r="CG216" s="27" t="s">
        <v>8</v>
      </c>
      <c r="CH216" s="27" t="s">
        <v>7</v>
      </c>
      <c r="CQ216" s="27" t="s">
        <v>8</v>
      </c>
      <c r="CR216" s="27" t="s">
        <v>7</v>
      </c>
    </row>
    <row r="217" spans="1:122" x14ac:dyDescent="0.25">
      <c r="A217" s="7">
        <v>1520.7700533282461</v>
      </c>
      <c r="B217"/>
      <c r="C217"/>
      <c r="D217"/>
      <c r="E217" t="s">
        <v>8</v>
      </c>
      <c r="AL217" s="27" t="s">
        <v>7</v>
      </c>
      <c r="AM217" s="27" t="s">
        <v>8</v>
      </c>
      <c r="AN217" s="27" t="s">
        <v>7</v>
      </c>
      <c r="AO217" s="27" t="s">
        <v>8</v>
      </c>
      <c r="AP217" s="27" t="s">
        <v>7</v>
      </c>
      <c r="AS217" s="27" t="s">
        <v>8</v>
      </c>
      <c r="AT217" s="27" t="s">
        <v>7</v>
      </c>
      <c r="CG217" s="27" t="s">
        <v>8</v>
      </c>
      <c r="CH217" s="27" t="s">
        <v>7</v>
      </c>
      <c r="CI217" s="27" t="s">
        <v>8</v>
      </c>
      <c r="CQ217" s="27" t="s">
        <v>8</v>
      </c>
      <c r="CR217" s="27" t="s">
        <v>7</v>
      </c>
    </row>
    <row r="218" spans="1:122" x14ac:dyDescent="0.25">
      <c r="A218" s="7">
        <v>1490.9510326747511</v>
      </c>
      <c r="B218"/>
      <c r="C218"/>
      <c r="D218"/>
      <c r="E218" t="s">
        <v>8</v>
      </c>
      <c r="AL218" s="27" t="s">
        <v>7</v>
      </c>
      <c r="AM218" s="27" t="s">
        <v>8</v>
      </c>
      <c r="AN218" s="27" t="s">
        <v>7</v>
      </c>
      <c r="AO218" s="27" t="s">
        <v>8</v>
      </c>
      <c r="AP218" s="27" t="s">
        <v>7</v>
      </c>
      <c r="AS218" s="27" t="s">
        <v>8</v>
      </c>
      <c r="AT218" s="27" t="s">
        <v>7</v>
      </c>
      <c r="CG218" s="27" t="s">
        <v>8</v>
      </c>
      <c r="CH218" s="27" t="s">
        <v>7</v>
      </c>
      <c r="CI218" s="27" t="s">
        <v>8</v>
      </c>
      <c r="CJ218" s="27" t="s">
        <v>7</v>
      </c>
      <c r="CQ218" s="27" t="s">
        <v>8</v>
      </c>
      <c r="CR218" s="27" t="s">
        <v>7</v>
      </c>
      <c r="DO218" s="27" t="s">
        <v>8</v>
      </c>
    </row>
    <row r="219" spans="1:122" x14ac:dyDescent="0.25">
      <c r="A219" s="7">
        <v>1461.7166987007363</v>
      </c>
      <c r="B219"/>
      <c r="C219"/>
      <c r="D219"/>
      <c r="E219" t="s">
        <v>8</v>
      </c>
      <c r="AL219" s="27" t="s">
        <v>7</v>
      </c>
      <c r="AM219" s="27" t="s">
        <v>8</v>
      </c>
      <c r="AN219" s="27" t="s">
        <v>7</v>
      </c>
      <c r="AO219" s="27" t="s">
        <v>8</v>
      </c>
      <c r="AP219" s="27" t="s">
        <v>7</v>
      </c>
      <c r="AQ219" s="27" t="s">
        <v>8</v>
      </c>
      <c r="AS219" s="27" t="s">
        <v>8</v>
      </c>
      <c r="AT219" s="27" t="s">
        <v>7</v>
      </c>
      <c r="CG219" s="27" t="s">
        <v>8</v>
      </c>
      <c r="CH219" s="27" t="s">
        <v>7</v>
      </c>
      <c r="CI219" s="27" t="s">
        <v>8</v>
      </c>
      <c r="CJ219" s="27" t="s">
        <v>7</v>
      </c>
      <c r="CQ219" s="27" t="s">
        <v>8</v>
      </c>
      <c r="CR219" s="27" t="s">
        <v>7</v>
      </c>
      <c r="DO219" s="27" t="s">
        <v>8</v>
      </c>
      <c r="DP219" s="27" t="s">
        <v>7</v>
      </c>
    </row>
    <row r="220" spans="1:122" x14ac:dyDescent="0.25">
      <c r="A220" s="7">
        <v>1433.0555869615062</v>
      </c>
      <c r="B220"/>
      <c r="C220"/>
      <c r="D220"/>
      <c r="E220" t="s">
        <v>8</v>
      </c>
      <c r="AL220" s="27" t="s">
        <v>7</v>
      </c>
      <c r="AM220" s="27" t="s">
        <v>8</v>
      </c>
      <c r="AN220" s="27" t="s">
        <v>7</v>
      </c>
      <c r="AO220" s="27" t="s">
        <v>8</v>
      </c>
      <c r="AP220" s="27" t="s">
        <v>7</v>
      </c>
      <c r="AQ220" s="27" t="s">
        <v>8</v>
      </c>
      <c r="AR220" s="27" t="s">
        <v>7</v>
      </c>
      <c r="AS220" s="27" t="s">
        <v>8</v>
      </c>
      <c r="AT220" s="27" t="s">
        <v>7</v>
      </c>
      <c r="CG220" s="27" t="s">
        <v>8</v>
      </c>
      <c r="CH220" s="27" t="s">
        <v>7</v>
      </c>
      <c r="CI220" s="27" t="s">
        <v>8</v>
      </c>
      <c r="CJ220" s="27" t="s">
        <v>7</v>
      </c>
      <c r="CQ220" s="27" t="s">
        <v>8</v>
      </c>
      <c r="CR220" s="27" t="s">
        <v>7</v>
      </c>
      <c r="DO220" s="27" t="s">
        <v>8</v>
      </c>
      <c r="DP220" s="27" t="s">
        <v>7</v>
      </c>
    </row>
    <row r="221" spans="1:122" x14ac:dyDescent="0.25">
      <c r="A221" s="7">
        <v>1404.9564578053983</v>
      </c>
      <c r="B221"/>
      <c r="C221"/>
      <c r="D221"/>
      <c r="E221" t="s">
        <v>8</v>
      </c>
      <c r="AL221" s="27" t="s">
        <v>7</v>
      </c>
      <c r="AM221" s="27" t="s">
        <v>8</v>
      </c>
      <c r="AN221" s="27" t="s">
        <v>7</v>
      </c>
      <c r="AO221" s="27" t="s">
        <v>8</v>
      </c>
      <c r="AP221" s="27" t="s">
        <v>7</v>
      </c>
      <c r="AQ221" s="27" t="s">
        <v>8</v>
      </c>
      <c r="AR221" s="27" t="s">
        <v>7</v>
      </c>
      <c r="AS221" s="27" t="s">
        <v>8</v>
      </c>
      <c r="AT221" s="27" t="s">
        <v>7</v>
      </c>
      <c r="BC221" s="27" t="s">
        <v>8</v>
      </c>
      <c r="CG221" s="27" t="s">
        <v>8</v>
      </c>
      <c r="CH221" s="27" t="s">
        <v>7</v>
      </c>
      <c r="CI221" s="27" t="s">
        <v>8</v>
      </c>
      <c r="CJ221" s="27" t="s">
        <v>7</v>
      </c>
      <c r="CK221" s="27" t="s">
        <v>8</v>
      </c>
      <c r="CQ221" s="27" t="s">
        <v>8</v>
      </c>
      <c r="CR221" s="27" t="s">
        <v>7</v>
      </c>
      <c r="DO221" s="27" t="s">
        <v>8</v>
      </c>
      <c r="DP221" s="27" t="s">
        <v>7</v>
      </c>
      <c r="DQ221" s="27" t="s">
        <v>8</v>
      </c>
    </row>
    <row r="222" spans="1:122" x14ac:dyDescent="0.25">
      <c r="A222" s="7">
        <v>1377.4082919660766</v>
      </c>
      <c r="B222"/>
      <c r="C222"/>
      <c r="D222"/>
      <c r="E222" t="s">
        <v>8</v>
      </c>
      <c r="AL222" s="27" t="s">
        <v>7</v>
      </c>
      <c r="AM222" s="27" t="s">
        <v>8</v>
      </c>
      <c r="AN222" s="27" t="s">
        <v>7</v>
      </c>
      <c r="AO222" s="27" t="s">
        <v>8</v>
      </c>
      <c r="AP222" s="27" t="s">
        <v>7</v>
      </c>
      <c r="AQ222" s="27" t="s">
        <v>8</v>
      </c>
      <c r="AR222" s="27" t="s">
        <v>7</v>
      </c>
      <c r="AS222" s="27" t="s">
        <v>8</v>
      </c>
      <c r="AT222" s="27" t="s">
        <v>7</v>
      </c>
      <c r="BA222" s="27" t="s">
        <v>8</v>
      </c>
      <c r="BC222" s="27" t="s">
        <v>8</v>
      </c>
      <c r="BD222" s="27" t="s">
        <v>7</v>
      </c>
      <c r="CC222" s="27" t="s">
        <v>8</v>
      </c>
      <c r="CG222" s="27" t="s">
        <v>8</v>
      </c>
      <c r="CH222" s="27" t="s">
        <v>7</v>
      </c>
      <c r="CI222" s="27" t="s">
        <v>8</v>
      </c>
      <c r="CJ222" s="27" t="s">
        <v>7</v>
      </c>
      <c r="CK222" s="27" t="s">
        <v>8</v>
      </c>
      <c r="CL222" s="27" t="s">
        <v>7</v>
      </c>
      <c r="CQ222" s="27" t="s">
        <v>8</v>
      </c>
      <c r="CR222" s="27" t="s">
        <v>7</v>
      </c>
      <c r="DO222" s="27" t="s">
        <v>8</v>
      </c>
      <c r="DP222" s="27" t="s">
        <v>7</v>
      </c>
      <c r="DQ222" s="27" t="s">
        <v>8</v>
      </c>
      <c r="DR222" s="27" t="s">
        <v>7</v>
      </c>
    </row>
    <row r="223" spans="1:122" x14ac:dyDescent="0.25">
      <c r="A223" s="7">
        <v>1350.4002862412515</v>
      </c>
      <c r="B223"/>
      <c r="C223"/>
      <c r="D223"/>
      <c r="E223" t="s">
        <v>8</v>
      </c>
      <c r="AL223" s="27" t="s">
        <v>7</v>
      </c>
      <c r="AM223" s="27" t="s">
        <v>8</v>
      </c>
      <c r="AN223" s="27" t="s">
        <v>7</v>
      </c>
      <c r="AO223" s="27" t="s">
        <v>8</v>
      </c>
      <c r="AP223" s="27" t="s">
        <v>7</v>
      </c>
      <c r="AQ223" s="27" t="s">
        <v>8</v>
      </c>
      <c r="AR223" s="27" t="s">
        <v>7</v>
      </c>
      <c r="AT223" s="27" t="s">
        <v>7</v>
      </c>
      <c r="AU223" s="27" t="s">
        <v>8</v>
      </c>
      <c r="BA223" s="27" t="s">
        <v>8</v>
      </c>
      <c r="BB223" s="27" t="s">
        <v>7</v>
      </c>
      <c r="BC223" s="27" t="s">
        <v>8</v>
      </c>
      <c r="BD223" s="27" t="s">
        <v>7</v>
      </c>
      <c r="CC223" s="27" t="s">
        <v>8</v>
      </c>
      <c r="CD223" s="27" t="s">
        <v>7</v>
      </c>
      <c r="CG223" s="27" t="s">
        <v>8</v>
      </c>
      <c r="CH223" s="27" t="s">
        <v>7</v>
      </c>
      <c r="CI223" s="27" t="s">
        <v>8</v>
      </c>
      <c r="CJ223" s="27" t="s">
        <v>7</v>
      </c>
      <c r="CK223" s="27" t="s">
        <v>8</v>
      </c>
      <c r="CL223" s="27" t="s">
        <v>7</v>
      </c>
      <c r="CQ223" s="27" t="s">
        <v>8</v>
      </c>
      <c r="CR223" s="27" t="s">
        <v>7</v>
      </c>
      <c r="CS223" s="27" t="s">
        <v>8</v>
      </c>
      <c r="DO223" s="27" t="s">
        <v>8</v>
      </c>
      <c r="DP223" s="27" t="s">
        <v>7</v>
      </c>
      <c r="DQ223" s="27" t="s">
        <v>8</v>
      </c>
      <c r="DR223" s="27" t="s">
        <v>7</v>
      </c>
    </row>
    <row r="224" spans="1:122" x14ac:dyDescent="0.25">
      <c r="A224" s="7">
        <v>1323.9218492561288</v>
      </c>
      <c r="B224"/>
      <c r="C224"/>
      <c r="D224"/>
      <c r="E224" t="s">
        <v>8</v>
      </c>
      <c r="AL224" s="27" t="s">
        <v>7</v>
      </c>
      <c r="AM224" s="27" t="s">
        <v>8</v>
      </c>
      <c r="AN224" s="27" t="s">
        <v>7</v>
      </c>
      <c r="AO224" s="27" t="s">
        <v>8</v>
      </c>
      <c r="AP224" s="27" t="s">
        <v>7</v>
      </c>
      <c r="AQ224" s="27" t="s">
        <v>8</v>
      </c>
      <c r="AT224" s="27" t="s">
        <v>7</v>
      </c>
      <c r="AU224" s="27" t="s">
        <v>8</v>
      </c>
      <c r="AV224" s="27" t="s">
        <v>7</v>
      </c>
      <c r="BA224" s="27" t="s">
        <v>8</v>
      </c>
      <c r="BB224" s="27" t="s">
        <v>7</v>
      </c>
      <c r="BC224" s="27" t="s">
        <v>8</v>
      </c>
      <c r="BD224" s="27" t="s">
        <v>7</v>
      </c>
      <c r="CC224" s="27" t="s">
        <v>8</v>
      </c>
      <c r="CD224" s="27" t="s">
        <v>7</v>
      </c>
      <c r="CG224" s="27" t="s">
        <v>8</v>
      </c>
      <c r="CH224" s="27" t="s">
        <v>7</v>
      </c>
      <c r="CJ224" s="27" t="s">
        <v>7</v>
      </c>
      <c r="CK224" s="27" t="s">
        <v>8</v>
      </c>
      <c r="CL224" s="27" t="s">
        <v>7</v>
      </c>
      <c r="CO224" s="27" t="s">
        <v>8</v>
      </c>
      <c r="CQ224" s="27" t="s">
        <v>8</v>
      </c>
      <c r="CR224" s="27" t="s">
        <v>7</v>
      </c>
      <c r="CS224" s="27" t="s">
        <v>8</v>
      </c>
      <c r="CT224" s="27" t="s">
        <v>7</v>
      </c>
      <c r="CW224" s="27" t="s">
        <v>8</v>
      </c>
      <c r="DK224" s="27" t="s">
        <v>8</v>
      </c>
      <c r="DM224" s="27" t="s">
        <v>8</v>
      </c>
      <c r="DO224" s="27" t="s">
        <v>8</v>
      </c>
      <c r="DP224" s="27" t="s">
        <v>7</v>
      </c>
      <c r="DQ224" s="27" t="s">
        <v>8</v>
      </c>
      <c r="DR224" s="27" t="s">
        <v>7</v>
      </c>
    </row>
    <row r="225" spans="1:138" x14ac:dyDescent="0.25">
      <c r="A225" s="7">
        <v>1297.9625973099301</v>
      </c>
      <c r="B225"/>
      <c r="C225"/>
      <c r="D225"/>
      <c r="E225" t="s">
        <v>8</v>
      </c>
      <c r="AL225" s="27" t="s">
        <v>7</v>
      </c>
      <c r="AM225" s="27" t="s">
        <v>8</v>
      </c>
      <c r="AN225" s="27" t="s">
        <v>7</v>
      </c>
      <c r="AO225" s="27" t="s">
        <v>8</v>
      </c>
      <c r="AP225" s="27" t="s">
        <v>7</v>
      </c>
      <c r="AQ225" s="27" t="s">
        <v>8</v>
      </c>
      <c r="AT225" s="27" t="s">
        <v>7</v>
      </c>
      <c r="AU225" s="27" t="s">
        <v>8</v>
      </c>
      <c r="AV225" s="27" t="s">
        <v>7</v>
      </c>
      <c r="BA225" s="27" t="s">
        <v>8</v>
      </c>
      <c r="BB225" s="27" t="s">
        <v>7</v>
      </c>
      <c r="BC225" s="27" t="s">
        <v>8</v>
      </c>
      <c r="BD225" s="27" t="s">
        <v>7</v>
      </c>
      <c r="CC225" s="27" t="s">
        <v>8</v>
      </c>
      <c r="CD225" s="27" t="s">
        <v>7</v>
      </c>
      <c r="CG225" s="27" t="s">
        <v>8</v>
      </c>
      <c r="CJ225" s="27" t="s">
        <v>7</v>
      </c>
      <c r="CK225" s="27" t="s">
        <v>8</v>
      </c>
      <c r="CL225" s="27" t="s">
        <v>7</v>
      </c>
      <c r="CO225" s="27" t="s">
        <v>8</v>
      </c>
      <c r="CP225" s="27" t="s">
        <v>7</v>
      </c>
      <c r="CQ225" s="27" t="s">
        <v>8</v>
      </c>
      <c r="CR225" s="27" t="s">
        <v>7</v>
      </c>
      <c r="CS225" s="27" t="s">
        <v>8</v>
      </c>
      <c r="CT225" s="27" t="s">
        <v>7</v>
      </c>
      <c r="CW225" s="27" t="s">
        <v>8</v>
      </c>
      <c r="CX225" s="27" t="s">
        <v>7</v>
      </c>
      <c r="DK225" s="27" t="s">
        <v>8</v>
      </c>
      <c r="DL225" s="27" t="s">
        <v>7</v>
      </c>
      <c r="DM225" s="27" t="s">
        <v>8</v>
      </c>
      <c r="DN225" s="27" t="s">
        <v>7</v>
      </c>
      <c r="DO225" s="27" t="s">
        <v>8</v>
      </c>
      <c r="DP225" s="27" t="s">
        <v>7</v>
      </c>
      <c r="DQ225" s="27" t="s">
        <v>8</v>
      </c>
      <c r="DR225" s="27" t="s">
        <v>7</v>
      </c>
    </row>
    <row r="226" spans="1:138" x14ac:dyDescent="0.25">
      <c r="A226" s="7">
        <v>1272.5123503038531</v>
      </c>
      <c r="B226"/>
      <c r="C226"/>
      <c r="D226"/>
      <c r="E226" t="s">
        <v>8</v>
      </c>
      <c r="AL226" s="27" t="s">
        <v>7</v>
      </c>
      <c r="AM226" s="27" t="s">
        <v>8</v>
      </c>
      <c r="AN226" s="27" t="s">
        <v>7</v>
      </c>
      <c r="AO226" s="27" t="s">
        <v>8</v>
      </c>
      <c r="AP226" s="27" t="s">
        <v>7</v>
      </c>
      <c r="AQ226" s="27" t="s">
        <v>8</v>
      </c>
      <c r="AT226" s="27" t="s">
        <v>7</v>
      </c>
      <c r="AU226" s="27" t="s">
        <v>8</v>
      </c>
      <c r="AV226" s="27" t="s">
        <v>7</v>
      </c>
      <c r="BA226" s="27" t="s">
        <v>8</v>
      </c>
      <c r="BB226" s="27" t="s">
        <v>7</v>
      </c>
      <c r="BC226" s="27" t="s">
        <v>8</v>
      </c>
      <c r="BD226" s="27" t="s">
        <v>7</v>
      </c>
      <c r="CC226" s="27" t="s">
        <v>8</v>
      </c>
      <c r="CD226" s="27" t="s">
        <v>7</v>
      </c>
      <c r="CG226" s="27" t="s">
        <v>8</v>
      </c>
      <c r="CJ226" s="27" t="s">
        <v>7</v>
      </c>
      <c r="CK226" s="27" t="s">
        <v>8</v>
      </c>
      <c r="CL226" s="27" t="s">
        <v>7</v>
      </c>
      <c r="CM226" s="27" t="s">
        <v>8</v>
      </c>
      <c r="CO226" s="27" t="s">
        <v>8</v>
      </c>
      <c r="CP226" s="27" t="s">
        <v>7</v>
      </c>
      <c r="CQ226" s="27" t="s">
        <v>8</v>
      </c>
      <c r="CR226" s="27" t="s">
        <v>7</v>
      </c>
      <c r="CT226" s="27" t="s">
        <v>7</v>
      </c>
      <c r="CU226" s="27" t="s">
        <v>8</v>
      </c>
      <c r="CW226" s="27" t="s">
        <v>8</v>
      </c>
      <c r="CX226" s="27" t="s">
        <v>7</v>
      </c>
      <c r="DK226" s="27" t="s">
        <v>8</v>
      </c>
      <c r="DL226" s="27" t="s">
        <v>7</v>
      </c>
      <c r="DM226" s="27" t="s">
        <v>8</v>
      </c>
      <c r="DN226" s="27" t="s">
        <v>7</v>
      </c>
      <c r="DO226" s="27" t="s">
        <v>8</v>
      </c>
      <c r="DP226" s="27" t="s">
        <v>7</v>
      </c>
      <c r="DQ226" s="27" t="s">
        <v>8</v>
      </c>
      <c r="DR226" s="27" t="s">
        <v>7</v>
      </c>
    </row>
    <row r="227" spans="1:138" x14ac:dyDescent="0.25">
      <c r="A227" s="7">
        <v>1247.5611277488756</v>
      </c>
      <c r="B227"/>
      <c r="C227"/>
      <c r="D227"/>
      <c r="E227" t="s">
        <v>8</v>
      </c>
      <c r="AL227" s="27" t="s">
        <v>7</v>
      </c>
      <c r="AM227" s="27" t="s">
        <v>8</v>
      </c>
      <c r="AN227" s="27" t="s">
        <v>7</v>
      </c>
      <c r="AO227" s="27" t="s">
        <v>8</v>
      </c>
      <c r="AP227" s="27" t="s">
        <v>7</v>
      </c>
      <c r="AT227" s="27" t="s">
        <v>7</v>
      </c>
      <c r="AU227" s="27" t="s">
        <v>8</v>
      </c>
      <c r="AV227" s="27" t="s">
        <v>7</v>
      </c>
      <c r="BA227" s="27" t="s">
        <v>8</v>
      </c>
      <c r="BB227" s="27" t="s">
        <v>7</v>
      </c>
      <c r="BC227" s="27" t="s">
        <v>8</v>
      </c>
      <c r="BD227" s="27" t="s">
        <v>7</v>
      </c>
      <c r="CC227" s="27" t="s">
        <v>8</v>
      </c>
      <c r="CD227" s="27" t="s">
        <v>7</v>
      </c>
      <c r="CE227" s="27" t="s">
        <v>8</v>
      </c>
      <c r="CG227" s="27" t="s">
        <v>8</v>
      </c>
      <c r="CJ227" s="27" t="s">
        <v>7</v>
      </c>
      <c r="CL227" s="27" t="s">
        <v>7</v>
      </c>
      <c r="CM227" s="27" t="s">
        <v>8</v>
      </c>
      <c r="CN227" s="27" t="s">
        <v>7</v>
      </c>
      <c r="CO227" s="27" t="s">
        <v>8</v>
      </c>
      <c r="CP227" s="27" t="s">
        <v>7</v>
      </c>
      <c r="CQ227" s="27" t="s">
        <v>8</v>
      </c>
      <c r="CT227" s="27" t="s">
        <v>7</v>
      </c>
      <c r="CU227" s="27" t="s">
        <v>8</v>
      </c>
      <c r="CV227" s="27" t="s">
        <v>7</v>
      </c>
      <c r="CW227" s="27" t="s">
        <v>8</v>
      </c>
      <c r="CX227" s="27" t="s">
        <v>7</v>
      </c>
      <c r="DK227" s="27" t="s">
        <v>8</v>
      </c>
      <c r="DL227" s="27" t="s">
        <v>7</v>
      </c>
      <c r="DM227" s="27" t="s">
        <v>8</v>
      </c>
      <c r="DN227" s="27" t="s">
        <v>7</v>
      </c>
      <c r="DO227" s="27" t="s">
        <v>8</v>
      </c>
      <c r="DP227" s="27" t="s">
        <v>7</v>
      </c>
      <c r="DQ227" s="27" t="s">
        <v>8</v>
      </c>
      <c r="DR227" s="27" t="s">
        <v>7</v>
      </c>
      <c r="DY227" s="27" t="s">
        <v>8</v>
      </c>
    </row>
    <row r="228" spans="1:138" x14ac:dyDescent="0.25">
      <c r="A228" s="7">
        <v>1223.0991448518389</v>
      </c>
      <c r="B228"/>
      <c r="C228"/>
      <c r="D228"/>
      <c r="E228" t="s">
        <v>8</v>
      </c>
      <c r="AL228" s="27" t="s">
        <v>7</v>
      </c>
      <c r="AN228" s="27" t="s">
        <v>7</v>
      </c>
      <c r="AO228" s="27" t="s">
        <v>8</v>
      </c>
      <c r="AT228" s="27" t="s">
        <v>7</v>
      </c>
      <c r="AV228" s="27" t="s">
        <v>7</v>
      </c>
      <c r="BA228" s="27" t="s">
        <v>8</v>
      </c>
      <c r="BB228" s="27" t="s">
        <v>7</v>
      </c>
      <c r="BD228" s="27" t="s">
        <v>7</v>
      </c>
      <c r="CC228" s="27" t="s">
        <v>8</v>
      </c>
      <c r="CD228" s="27" t="s">
        <v>7</v>
      </c>
      <c r="CE228" s="27" t="s">
        <v>8</v>
      </c>
      <c r="CF228" s="27" t="s">
        <v>7</v>
      </c>
      <c r="CG228" s="27" t="s">
        <v>8</v>
      </c>
      <c r="CL228" s="27" t="s">
        <v>7</v>
      </c>
      <c r="CM228" s="27" t="s">
        <v>8</v>
      </c>
      <c r="CN228" s="27" t="s">
        <v>7</v>
      </c>
      <c r="CO228" s="27" t="s">
        <v>8</v>
      </c>
      <c r="CP228" s="27" t="s">
        <v>7</v>
      </c>
      <c r="CQ228" s="27" t="s">
        <v>8</v>
      </c>
      <c r="CT228" s="27" t="s">
        <v>7</v>
      </c>
      <c r="CU228" s="27" t="s">
        <v>8</v>
      </c>
      <c r="CV228" s="27" t="s">
        <v>7</v>
      </c>
      <c r="CW228" s="27" t="s">
        <v>8</v>
      </c>
      <c r="CX228" s="27" t="s">
        <v>7</v>
      </c>
      <c r="DK228" s="27" t="s">
        <v>8</v>
      </c>
      <c r="DL228" s="27" t="s">
        <v>7</v>
      </c>
      <c r="DM228" s="27" t="s">
        <v>8</v>
      </c>
      <c r="DN228" s="27" t="s">
        <v>7</v>
      </c>
      <c r="DO228" s="27" t="s">
        <v>8</v>
      </c>
      <c r="DP228" s="27" t="s">
        <v>7</v>
      </c>
      <c r="DR228" s="27" t="s">
        <v>7</v>
      </c>
      <c r="DY228" s="27" t="s">
        <v>8</v>
      </c>
      <c r="DZ228" s="27" t="s">
        <v>7</v>
      </c>
    </row>
    <row r="229" spans="1:138" x14ac:dyDescent="0.25">
      <c r="A229" s="7">
        <v>1199.1168086782734</v>
      </c>
      <c r="B229"/>
      <c r="C229"/>
      <c r="D229"/>
      <c r="E229" t="s">
        <v>8</v>
      </c>
      <c r="AN229" s="27" t="s">
        <v>7</v>
      </c>
      <c r="AO229" s="27" t="s">
        <v>8</v>
      </c>
      <c r="AV229" s="27" t="s">
        <v>7</v>
      </c>
      <c r="BA229" s="27" t="s">
        <v>8</v>
      </c>
      <c r="BD229" s="27" t="s">
        <v>7</v>
      </c>
      <c r="CA229" s="27" t="s">
        <v>8</v>
      </c>
      <c r="CC229" s="27" t="s">
        <v>8</v>
      </c>
      <c r="CD229" s="27" t="s">
        <v>7</v>
      </c>
      <c r="CE229" s="27" t="s">
        <v>8</v>
      </c>
      <c r="CF229" s="27" t="s">
        <v>7</v>
      </c>
      <c r="CG229" s="27" t="s">
        <v>8</v>
      </c>
      <c r="CL229" s="27" t="s">
        <v>7</v>
      </c>
      <c r="CN229" s="27" t="s">
        <v>7</v>
      </c>
      <c r="CP229" s="27" t="s">
        <v>7</v>
      </c>
      <c r="CQ229" s="27" t="s">
        <v>8</v>
      </c>
      <c r="CT229" s="27" t="s">
        <v>7</v>
      </c>
      <c r="CU229" s="27" t="s">
        <v>8</v>
      </c>
      <c r="CV229" s="27" t="s">
        <v>7</v>
      </c>
      <c r="CW229" s="27" t="s">
        <v>8</v>
      </c>
      <c r="CX229" s="27" t="s">
        <v>7</v>
      </c>
      <c r="DK229" s="27" t="s">
        <v>8</v>
      </c>
      <c r="DL229" s="27" t="s">
        <v>7</v>
      </c>
      <c r="DM229" s="27" t="s">
        <v>8</v>
      </c>
      <c r="DN229" s="27" t="s">
        <v>7</v>
      </c>
      <c r="DO229" s="27" t="s">
        <v>8</v>
      </c>
      <c r="DR229" s="27" t="s">
        <v>7</v>
      </c>
      <c r="DY229" s="27" t="s">
        <v>8</v>
      </c>
      <c r="DZ229" s="27" t="s">
        <v>7</v>
      </c>
    </row>
    <row r="230" spans="1:138" x14ac:dyDescent="0.25">
      <c r="A230" s="7">
        <v>1175.6047143904641</v>
      </c>
      <c r="B230"/>
      <c r="C230"/>
      <c r="D230"/>
      <c r="E230" t="s">
        <v>8</v>
      </c>
      <c r="AN230" s="27" t="s">
        <v>7</v>
      </c>
      <c r="AO230" s="27" t="s">
        <v>8</v>
      </c>
      <c r="AV230" s="27" t="s">
        <v>7</v>
      </c>
      <c r="AW230" s="27" t="s">
        <v>8</v>
      </c>
      <c r="BA230" s="27" t="s">
        <v>8</v>
      </c>
      <c r="BD230" s="27" t="s">
        <v>7</v>
      </c>
      <c r="CA230" s="27" t="s">
        <v>8</v>
      </c>
      <c r="CB230" s="27" t="s">
        <v>7</v>
      </c>
      <c r="CC230" s="27" t="s">
        <v>8</v>
      </c>
      <c r="CD230" s="27" t="s">
        <v>7</v>
      </c>
      <c r="CE230" s="27" t="s">
        <v>8</v>
      </c>
      <c r="CF230" s="27" t="s">
        <v>7</v>
      </c>
      <c r="CG230" s="27" t="s">
        <v>8</v>
      </c>
      <c r="CP230" s="27" t="s">
        <v>7</v>
      </c>
      <c r="CQ230" s="27" t="s">
        <v>8</v>
      </c>
      <c r="CT230" s="27" t="s">
        <v>7</v>
      </c>
      <c r="CU230" s="27" t="s">
        <v>8</v>
      </c>
      <c r="CV230" s="27" t="s">
        <v>7</v>
      </c>
      <c r="CW230" s="27" t="s">
        <v>8</v>
      </c>
      <c r="CX230" s="27" t="s">
        <v>7</v>
      </c>
      <c r="DK230" s="27" t="s">
        <v>8</v>
      </c>
      <c r="DL230" s="27" t="s">
        <v>7</v>
      </c>
      <c r="DM230" s="27" t="s">
        <v>8</v>
      </c>
      <c r="DN230" s="27" t="s">
        <v>7</v>
      </c>
      <c r="DR230" s="27" t="s">
        <v>7</v>
      </c>
      <c r="DU230" s="27" t="s">
        <v>8</v>
      </c>
      <c r="DW230" s="27" t="s">
        <v>8</v>
      </c>
      <c r="DY230" s="27" t="s">
        <v>8</v>
      </c>
      <c r="DZ230" s="27" t="s">
        <v>7</v>
      </c>
    </row>
    <row r="231" spans="1:138" x14ac:dyDescent="0.25">
      <c r="A231" s="7">
        <v>1152.5536415592785</v>
      </c>
      <c r="B231"/>
      <c r="C231"/>
      <c r="D231"/>
      <c r="E231" t="s">
        <v>8</v>
      </c>
      <c r="AN231" s="27" t="s">
        <v>7</v>
      </c>
      <c r="AO231" s="27" t="s">
        <v>8</v>
      </c>
      <c r="AV231" s="27" t="s">
        <v>7</v>
      </c>
      <c r="AW231" s="27" t="s">
        <v>8</v>
      </c>
      <c r="AX231" s="27" t="s">
        <v>7</v>
      </c>
      <c r="AY231" s="27" t="s">
        <v>8</v>
      </c>
      <c r="BA231" s="27" t="s">
        <v>8</v>
      </c>
      <c r="BD231" s="27" t="s">
        <v>7</v>
      </c>
      <c r="CA231" s="27" t="s">
        <v>8</v>
      </c>
      <c r="CB231" s="27" t="s">
        <v>7</v>
      </c>
      <c r="CC231" s="27" t="s">
        <v>8</v>
      </c>
      <c r="CD231" s="27" t="s">
        <v>7</v>
      </c>
      <c r="CF231" s="27" t="s">
        <v>7</v>
      </c>
      <c r="CG231" s="27" t="s">
        <v>8</v>
      </c>
      <c r="CP231" s="27" t="s">
        <v>7</v>
      </c>
      <c r="CQ231" s="27" t="s">
        <v>8</v>
      </c>
      <c r="CT231" s="27" t="s">
        <v>7</v>
      </c>
      <c r="CV231" s="27" t="s">
        <v>7</v>
      </c>
      <c r="CX231" s="27" t="s">
        <v>7</v>
      </c>
      <c r="DK231" s="27" t="s">
        <v>8</v>
      </c>
      <c r="DL231" s="27" t="s">
        <v>7</v>
      </c>
      <c r="DR231" s="27" t="s">
        <v>7</v>
      </c>
      <c r="DU231" s="27" t="s">
        <v>8</v>
      </c>
      <c r="DV231" s="27" t="s">
        <v>7</v>
      </c>
      <c r="DW231" s="27" t="s">
        <v>8</v>
      </c>
      <c r="DX231" s="27" t="s">
        <v>7</v>
      </c>
      <c r="DY231" s="27" t="s">
        <v>8</v>
      </c>
      <c r="DZ231" s="27" t="s">
        <v>7</v>
      </c>
    </row>
    <row r="232" spans="1:138" x14ac:dyDescent="0.25">
      <c r="A232" s="7">
        <v>1129.9545505483122</v>
      </c>
      <c r="B232"/>
      <c r="C232"/>
      <c r="D232"/>
      <c r="E232" t="s">
        <v>8</v>
      </c>
      <c r="AN232" s="27" t="s">
        <v>7</v>
      </c>
      <c r="AO232" s="27" t="s">
        <v>8</v>
      </c>
      <c r="AV232" s="27" t="s">
        <v>7</v>
      </c>
      <c r="AW232" s="27" t="s">
        <v>8</v>
      </c>
      <c r="AX232" s="27" t="s">
        <v>7</v>
      </c>
      <c r="AY232" s="27" t="s">
        <v>8</v>
      </c>
      <c r="AZ232" s="27" t="s">
        <v>7</v>
      </c>
      <c r="BA232" s="27" t="s">
        <v>8</v>
      </c>
      <c r="BD232" s="27" t="s">
        <v>7</v>
      </c>
      <c r="CA232" s="27" t="s">
        <v>8</v>
      </c>
      <c r="CB232" s="27" t="s">
        <v>7</v>
      </c>
      <c r="CC232" s="27" t="s">
        <v>8</v>
      </c>
      <c r="CF232" s="27" t="s">
        <v>7</v>
      </c>
      <c r="CG232" s="27" t="s">
        <v>8</v>
      </c>
      <c r="CP232" s="27" t="s">
        <v>7</v>
      </c>
      <c r="CQ232" s="27" t="s">
        <v>8</v>
      </c>
      <c r="CX232" s="27" t="s">
        <v>7</v>
      </c>
      <c r="DK232" s="27" t="s">
        <v>8</v>
      </c>
      <c r="DR232" s="27" t="s">
        <v>7</v>
      </c>
      <c r="DU232" s="27" t="s">
        <v>8</v>
      </c>
      <c r="DV232" s="27" t="s">
        <v>7</v>
      </c>
      <c r="DW232" s="27" t="s">
        <v>8</v>
      </c>
      <c r="DX232" s="27" t="s">
        <v>7</v>
      </c>
      <c r="DY232" s="27" t="s">
        <v>8</v>
      </c>
      <c r="DZ232" s="27" t="s">
        <v>7</v>
      </c>
    </row>
    <row r="233" spans="1:138" x14ac:dyDescent="0.25">
      <c r="A233" s="7">
        <v>1107.7985789689335</v>
      </c>
      <c r="B233"/>
      <c r="C233"/>
      <c r="D233"/>
      <c r="E233" t="s">
        <v>8</v>
      </c>
      <c r="AN233" s="27" t="s">
        <v>7</v>
      </c>
      <c r="AO233" s="27" t="s">
        <v>8</v>
      </c>
      <c r="AV233" s="27" t="s">
        <v>7</v>
      </c>
      <c r="AW233" s="27" t="s">
        <v>8</v>
      </c>
      <c r="AX233" s="27" t="s">
        <v>7</v>
      </c>
      <c r="AY233" s="27" t="s">
        <v>8</v>
      </c>
      <c r="AZ233" s="27" t="s">
        <v>7</v>
      </c>
      <c r="BA233" s="27" t="s">
        <v>8</v>
      </c>
      <c r="BD233" s="27" t="s">
        <v>7</v>
      </c>
      <c r="CA233" s="27" t="s">
        <v>8</v>
      </c>
      <c r="CB233" s="27" t="s">
        <v>7</v>
      </c>
      <c r="CC233" s="27" t="s">
        <v>8</v>
      </c>
      <c r="CF233" s="27" t="s">
        <v>7</v>
      </c>
      <c r="CG233" s="27" t="s">
        <v>8</v>
      </c>
      <c r="CP233" s="27" t="s">
        <v>7</v>
      </c>
      <c r="CQ233" s="27" t="s">
        <v>8</v>
      </c>
      <c r="CX233" s="27" t="s">
        <v>7</v>
      </c>
      <c r="DG233" s="27" t="s">
        <v>8</v>
      </c>
      <c r="DK233" s="27" t="s">
        <v>8</v>
      </c>
      <c r="DR233" s="27" t="s">
        <v>7</v>
      </c>
      <c r="DS233" s="27" t="s">
        <v>8</v>
      </c>
      <c r="DU233" s="27" t="s">
        <v>8</v>
      </c>
      <c r="DV233" s="27" t="s">
        <v>7</v>
      </c>
      <c r="DW233" s="27" t="s">
        <v>8</v>
      </c>
      <c r="DX233" s="27" t="s">
        <v>7</v>
      </c>
      <c r="DY233" s="27" t="s">
        <v>8</v>
      </c>
      <c r="DZ233" s="27" t="s">
        <v>7</v>
      </c>
    </row>
    <row r="234" spans="1:138" x14ac:dyDescent="0.25">
      <c r="A234" s="7">
        <v>1086.0770382048368</v>
      </c>
      <c r="B234"/>
      <c r="C234"/>
      <c r="D234"/>
      <c r="E234" t="s">
        <v>8</v>
      </c>
      <c r="AN234" s="27" t="s">
        <v>7</v>
      </c>
      <c r="AO234" s="27" t="s">
        <v>8</v>
      </c>
      <c r="AV234" s="27" t="s">
        <v>7</v>
      </c>
      <c r="AW234" s="27" t="s">
        <v>8</v>
      </c>
      <c r="AX234" s="27" t="s">
        <v>7</v>
      </c>
      <c r="AY234" s="27" t="s">
        <v>8</v>
      </c>
      <c r="AZ234" s="27" t="s">
        <v>7</v>
      </c>
      <c r="BD234" s="27" t="s">
        <v>7</v>
      </c>
      <c r="CA234" s="27" t="s">
        <v>8</v>
      </c>
      <c r="CB234" s="27" t="s">
        <v>7</v>
      </c>
      <c r="CC234" s="27" t="s">
        <v>8</v>
      </c>
      <c r="CF234" s="27" t="s">
        <v>7</v>
      </c>
      <c r="CG234" s="27" t="s">
        <v>8</v>
      </c>
      <c r="CP234" s="27" t="s">
        <v>7</v>
      </c>
      <c r="CQ234" s="27" t="s">
        <v>8</v>
      </c>
      <c r="CX234" s="27" t="s">
        <v>7</v>
      </c>
      <c r="DG234" s="27" t="s">
        <v>8</v>
      </c>
      <c r="DH234" s="27" t="s">
        <v>7</v>
      </c>
      <c r="DK234" s="27" t="s">
        <v>8</v>
      </c>
      <c r="DR234" s="27" t="s">
        <v>7</v>
      </c>
      <c r="DS234" s="27" t="s">
        <v>8</v>
      </c>
      <c r="DT234" s="27" t="s">
        <v>7</v>
      </c>
      <c r="DU234" s="27" t="s">
        <v>8</v>
      </c>
      <c r="DV234" s="27" t="s">
        <v>7</v>
      </c>
      <c r="DW234" s="27" t="s">
        <v>8</v>
      </c>
      <c r="DX234" s="27" t="s">
        <v>7</v>
      </c>
      <c r="DZ234" s="27" t="s">
        <v>7</v>
      </c>
    </row>
    <row r="235" spans="1:138" x14ac:dyDescent="0.25">
      <c r="A235" s="7">
        <v>1064.7814100047419</v>
      </c>
      <c r="B235"/>
      <c r="C235"/>
      <c r="D235"/>
      <c r="E235" t="s">
        <v>8</v>
      </c>
      <c r="AN235" s="27" t="s">
        <v>7</v>
      </c>
      <c r="AO235" s="27" t="s">
        <v>8</v>
      </c>
      <c r="AV235" s="27" t="s">
        <v>7</v>
      </c>
      <c r="AW235" s="27" t="s">
        <v>8</v>
      </c>
      <c r="AX235" s="27" t="s">
        <v>7</v>
      </c>
      <c r="AY235" s="27" t="s">
        <v>8</v>
      </c>
      <c r="BD235" s="27" t="s">
        <v>7</v>
      </c>
      <c r="CA235" s="27" t="s">
        <v>8</v>
      </c>
      <c r="CB235" s="27" t="s">
        <v>7</v>
      </c>
      <c r="CC235" s="27" t="s">
        <v>8</v>
      </c>
      <c r="CF235" s="27" t="s">
        <v>7</v>
      </c>
      <c r="CG235" s="27" t="s">
        <v>8</v>
      </c>
      <c r="CP235" s="27" t="s">
        <v>7</v>
      </c>
      <c r="CQ235" s="27" t="s">
        <v>8</v>
      </c>
      <c r="CX235" s="27" t="s">
        <v>7</v>
      </c>
      <c r="CY235" s="27" t="s">
        <v>8</v>
      </c>
      <c r="DG235" s="27" t="s">
        <v>8</v>
      </c>
      <c r="DH235" s="27" t="s">
        <v>7</v>
      </c>
      <c r="DK235" s="27" t="s">
        <v>8</v>
      </c>
      <c r="DR235" s="27" t="s">
        <v>7</v>
      </c>
      <c r="DS235" s="27" t="s">
        <v>8</v>
      </c>
      <c r="DT235" s="27" t="s">
        <v>7</v>
      </c>
      <c r="DU235" s="27" t="s">
        <v>8</v>
      </c>
      <c r="DV235" s="27" t="s">
        <v>7</v>
      </c>
      <c r="DZ235" s="27" t="s">
        <v>7</v>
      </c>
      <c r="EA235" s="27" t="s">
        <v>8</v>
      </c>
      <c r="EC235" s="27" t="s">
        <v>8</v>
      </c>
    </row>
    <row r="236" spans="1:138" x14ac:dyDescent="0.25">
      <c r="A236" s="7">
        <v>1043.9033431419039</v>
      </c>
      <c r="B236"/>
      <c r="C236"/>
      <c r="D236"/>
      <c r="E236" t="s">
        <v>8</v>
      </c>
      <c r="AN236" s="27" t="s">
        <v>7</v>
      </c>
      <c r="AO236" s="27" t="s">
        <v>8</v>
      </c>
      <c r="AV236" s="27" t="s">
        <v>7</v>
      </c>
      <c r="AW236" s="27" t="s">
        <v>8</v>
      </c>
      <c r="AX236" s="27" t="s">
        <v>7</v>
      </c>
      <c r="AY236" s="27" t="s">
        <v>8</v>
      </c>
      <c r="BD236" s="27" t="s">
        <v>7</v>
      </c>
      <c r="BE236" s="27" t="s">
        <v>8</v>
      </c>
      <c r="CA236" s="27" t="s">
        <v>8</v>
      </c>
      <c r="CB236" s="27" t="s">
        <v>7</v>
      </c>
      <c r="CC236" s="27" t="s">
        <v>8</v>
      </c>
      <c r="CF236" s="27" t="s">
        <v>7</v>
      </c>
      <c r="CP236" s="27" t="s">
        <v>7</v>
      </c>
      <c r="CX236" s="27" t="s">
        <v>7</v>
      </c>
      <c r="CY236" s="27" t="s">
        <v>8</v>
      </c>
      <c r="CZ236" s="27" t="s">
        <v>7</v>
      </c>
      <c r="DG236" s="27" t="s">
        <v>8</v>
      </c>
      <c r="DH236" s="27" t="s">
        <v>7</v>
      </c>
      <c r="DI236" s="27" t="s">
        <v>8</v>
      </c>
      <c r="DK236" s="27" t="s">
        <v>8</v>
      </c>
      <c r="DR236" s="27" t="s">
        <v>7</v>
      </c>
      <c r="DS236" s="27" t="s">
        <v>8</v>
      </c>
      <c r="DT236" s="27" t="s">
        <v>7</v>
      </c>
      <c r="DU236" s="27" t="s">
        <v>8</v>
      </c>
      <c r="DZ236" s="27" t="s">
        <v>7</v>
      </c>
      <c r="EA236" s="27" t="s">
        <v>8</v>
      </c>
      <c r="EB236" s="27" t="s">
        <v>7</v>
      </c>
      <c r="EC236" s="27" t="s">
        <v>8</v>
      </c>
      <c r="ED236" s="27" t="s">
        <v>7</v>
      </c>
    </row>
    <row r="237" spans="1:138" x14ac:dyDescent="0.25">
      <c r="A237" s="7">
        <v>1023.4346501391215</v>
      </c>
      <c r="B237"/>
      <c r="C237"/>
      <c r="D237"/>
      <c r="E237" t="s">
        <v>8</v>
      </c>
      <c r="AN237" s="27" t="s">
        <v>7</v>
      </c>
      <c r="AO237" s="27" t="s">
        <v>8</v>
      </c>
      <c r="AV237" s="27" t="s">
        <v>7</v>
      </c>
      <c r="AW237" s="27" t="s">
        <v>8</v>
      </c>
      <c r="AX237" s="27" t="s">
        <v>7</v>
      </c>
      <c r="AY237" s="27" t="s">
        <v>8</v>
      </c>
      <c r="BD237" s="27" t="s">
        <v>7</v>
      </c>
      <c r="BE237" s="27" t="s">
        <v>8</v>
      </c>
      <c r="BF237" s="27" t="s">
        <v>7</v>
      </c>
      <c r="CA237" s="27" t="s">
        <v>8</v>
      </c>
      <c r="CB237" s="27" t="s">
        <v>7</v>
      </c>
      <c r="CC237" s="27" t="s">
        <v>8</v>
      </c>
      <c r="CX237" s="27" t="s">
        <v>7</v>
      </c>
      <c r="CY237" s="27" t="s">
        <v>8</v>
      </c>
      <c r="CZ237" s="27" t="s">
        <v>7</v>
      </c>
      <c r="DG237" s="27" t="s">
        <v>8</v>
      </c>
      <c r="DH237" s="27" t="s">
        <v>7</v>
      </c>
      <c r="DI237" s="27" t="s">
        <v>8</v>
      </c>
      <c r="DJ237" s="27" t="s">
        <v>7</v>
      </c>
      <c r="DK237" s="27" t="s">
        <v>8</v>
      </c>
      <c r="DR237" s="27" t="s">
        <v>7</v>
      </c>
      <c r="DS237" s="27" t="s">
        <v>8</v>
      </c>
      <c r="DT237" s="27" t="s">
        <v>7</v>
      </c>
      <c r="DU237" s="27" t="s">
        <v>8</v>
      </c>
      <c r="DZ237" s="27" t="s">
        <v>7</v>
      </c>
      <c r="EA237" s="27" t="s">
        <v>8</v>
      </c>
      <c r="EB237" s="27" t="s">
        <v>7</v>
      </c>
      <c r="EC237" s="27" t="s">
        <v>8</v>
      </c>
      <c r="ED237" s="27" t="s">
        <v>7</v>
      </c>
      <c r="EE237" s="27" t="s">
        <v>8</v>
      </c>
    </row>
    <row r="238" spans="1:138" x14ac:dyDescent="0.25">
      <c r="A238" s="7">
        <v>1003.3673040579622</v>
      </c>
      <c r="B238"/>
      <c r="C238"/>
      <c r="D238"/>
      <c r="E238" t="s">
        <v>8</v>
      </c>
      <c r="AN238" s="27" t="s">
        <v>7</v>
      </c>
      <c r="AO238" s="27" t="s">
        <v>8</v>
      </c>
      <c r="AV238" s="27" t="s">
        <v>7</v>
      </c>
      <c r="AX238" s="27" t="s">
        <v>7</v>
      </c>
      <c r="BD238" s="27" t="s">
        <v>7</v>
      </c>
      <c r="BE238" s="27" t="s">
        <v>8</v>
      </c>
      <c r="BF238" s="27" t="s">
        <v>7</v>
      </c>
      <c r="CA238" s="27" t="s">
        <v>8</v>
      </c>
      <c r="CB238" s="27" t="s">
        <v>7</v>
      </c>
      <c r="CX238" s="27" t="s">
        <v>7</v>
      </c>
      <c r="CY238" s="27" t="s">
        <v>8</v>
      </c>
      <c r="CZ238" s="27" t="s">
        <v>7</v>
      </c>
      <c r="DG238" s="27" t="s">
        <v>8</v>
      </c>
      <c r="DH238" s="27" t="s">
        <v>7</v>
      </c>
      <c r="DI238" s="27" t="s">
        <v>8</v>
      </c>
      <c r="DJ238" s="27" t="s">
        <v>7</v>
      </c>
      <c r="DK238" s="27" t="s">
        <v>8</v>
      </c>
      <c r="DR238" s="27" t="s">
        <v>7</v>
      </c>
      <c r="DS238" s="27" t="s">
        <v>8</v>
      </c>
      <c r="DT238" s="27" t="s">
        <v>7</v>
      </c>
      <c r="DZ238" s="27" t="s">
        <v>7</v>
      </c>
      <c r="EB238" s="27" t="s">
        <v>7</v>
      </c>
      <c r="EC238" s="27" t="s">
        <v>8</v>
      </c>
      <c r="ED238" s="27" t="s">
        <v>7</v>
      </c>
      <c r="EE238" s="27" t="s">
        <v>8</v>
      </c>
      <c r="EF238" s="27" t="s">
        <v>7</v>
      </c>
    </row>
    <row r="239" spans="1:138" x14ac:dyDescent="0.25">
      <c r="A239" s="7">
        <v>983.69343535094333</v>
      </c>
      <c r="B239"/>
      <c r="C239"/>
      <c r="D239"/>
      <c r="E239" t="s">
        <v>8</v>
      </c>
      <c r="AN239" s="27" t="s">
        <v>7</v>
      </c>
      <c r="AO239" s="27" t="s">
        <v>8</v>
      </c>
      <c r="BD239" s="27" t="s">
        <v>7</v>
      </c>
      <c r="BE239" s="27" t="s">
        <v>8</v>
      </c>
      <c r="BF239" s="27" t="s">
        <v>7</v>
      </c>
      <c r="BW239" s="27" t="s">
        <v>8</v>
      </c>
      <c r="CA239" s="27" t="s">
        <v>8</v>
      </c>
      <c r="CX239" s="27" t="s">
        <v>7</v>
      </c>
      <c r="CY239" s="27" t="s">
        <v>8</v>
      </c>
      <c r="CZ239" s="27" t="s">
        <v>7</v>
      </c>
      <c r="DE239" s="27" t="s">
        <v>8</v>
      </c>
      <c r="DG239" s="27" t="s">
        <v>8</v>
      </c>
      <c r="DH239" s="27" t="s">
        <v>7</v>
      </c>
      <c r="DJ239" s="27" t="s">
        <v>7</v>
      </c>
      <c r="DK239" s="27" t="s">
        <v>8</v>
      </c>
      <c r="DR239" s="27" t="s">
        <v>7</v>
      </c>
      <c r="EB239" s="27" t="s">
        <v>7</v>
      </c>
      <c r="EC239" s="27" t="s">
        <v>8</v>
      </c>
      <c r="ED239" s="27" t="s">
        <v>7</v>
      </c>
      <c r="EE239" s="27" t="s">
        <v>8</v>
      </c>
      <c r="EF239" s="27" t="s">
        <v>7</v>
      </c>
      <c r="EG239" s="27" t="s">
        <v>8</v>
      </c>
    </row>
    <row r="240" spans="1:138" x14ac:dyDescent="0.25">
      <c r="A240" s="7">
        <v>964.40532877543467</v>
      </c>
      <c r="B240"/>
      <c r="C240"/>
      <c r="D240"/>
      <c r="E240" t="s">
        <v>8</v>
      </c>
      <c r="AN240" s="27" t="s">
        <v>7</v>
      </c>
      <c r="BD240" s="27" t="s">
        <v>7</v>
      </c>
      <c r="BE240" s="27" t="s">
        <v>8</v>
      </c>
      <c r="BF240" s="27" t="s">
        <v>7</v>
      </c>
      <c r="BK240" s="27" t="s">
        <v>8</v>
      </c>
      <c r="BW240" s="27" t="s">
        <v>8</v>
      </c>
      <c r="BX240" s="27" t="s">
        <v>7</v>
      </c>
      <c r="BY240" s="27" t="s">
        <v>8</v>
      </c>
      <c r="CA240" s="27" t="s">
        <v>8</v>
      </c>
      <c r="CX240" s="27" t="s">
        <v>7</v>
      </c>
      <c r="CY240" s="27" t="s">
        <v>8</v>
      </c>
      <c r="CZ240" s="27" t="s">
        <v>7</v>
      </c>
      <c r="DE240" s="27" t="s">
        <v>8</v>
      </c>
      <c r="DF240" s="27" t="s">
        <v>7</v>
      </c>
      <c r="DG240" s="27" t="s">
        <v>8</v>
      </c>
      <c r="DJ240" s="27" t="s">
        <v>7</v>
      </c>
      <c r="DK240" s="27" t="s">
        <v>8</v>
      </c>
      <c r="EB240" s="27" t="s">
        <v>7</v>
      </c>
      <c r="EC240" s="27" t="s">
        <v>8</v>
      </c>
      <c r="ED240" s="27" t="s">
        <v>7</v>
      </c>
      <c r="EE240" s="27" t="s">
        <v>8</v>
      </c>
      <c r="EF240" s="27" t="s">
        <v>7</v>
      </c>
      <c r="EG240" s="27" t="s">
        <v>8</v>
      </c>
      <c r="EH240" s="27" t="s">
        <v>7</v>
      </c>
    </row>
    <row r="241" spans="1:152" x14ac:dyDescent="0.25">
      <c r="A241" s="7">
        <v>945.49542036807316</v>
      </c>
      <c r="B241"/>
      <c r="C241"/>
      <c r="D241"/>
      <c r="E241" t="s">
        <v>8</v>
      </c>
      <c r="BD241" s="27" t="s">
        <v>7</v>
      </c>
      <c r="BE241" s="27" t="s">
        <v>8</v>
      </c>
      <c r="BF241" s="27" t="s">
        <v>7</v>
      </c>
      <c r="BG241" s="27" t="s">
        <v>8</v>
      </c>
      <c r="BK241" s="27" t="s">
        <v>8</v>
      </c>
      <c r="BL241" s="27" t="s">
        <v>7</v>
      </c>
      <c r="BW241" s="27" t="s">
        <v>8</v>
      </c>
      <c r="BX241" s="27" t="s">
        <v>7</v>
      </c>
      <c r="BY241" s="27" t="s">
        <v>8</v>
      </c>
      <c r="BZ241" s="27" t="s">
        <v>7</v>
      </c>
      <c r="CA241" s="27" t="s">
        <v>8</v>
      </c>
      <c r="CX241" s="27" t="s">
        <v>7</v>
      </c>
      <c r="CY241" s="27" t="s">
        <v>8</v>
      </c>
      <c r="CZ241" s="27" t="s">
        <v>7</v>
      </c>
      <c r="DE241" s="27" t="s">
        <v>8</v>
      </c>
      <c r="DF241" s="27" t="s">
        <v>7</v>
      </c>
      <c r="DG241" s="27" t="s">
        <v>8</v>
      </c>
      <c r="DJ241" s="27" t="s">
        <v>7</v>
      </c>
      <c r="DK241" s="27" t="s">
        <v>8</v>
      </c>
      <c r="EB241" s="27" t="s">
        <v>7</v>
      </c>
      <c r="EC241" s="27" t="s">
        <v>8</v>
      </c>
      <c r="ED241" s="27" t="s">
        <v>7</v>
      </c>
      <c r="EE241" s="27" t="s">
        <v>8</v>
      </c>
      <c r="EF241" s="27" t="s">
        <v>7</v>
      </c>
      <c r="EG241" s="27" t="s">
        <v>8</v>
      </c>
      <c r="EH241" s="27" t="s">
        <v>7</v>
      </c>
    </row>
    <row r="242" spans="1:152" x14ac:dyDescent="0.25">
      <c r="A242" s="7">
        <v>926.95629447850308</v>
      </c>
      <c r="B242"/>
      <c r="C242"/>
      <c r="D242"/>
      <c r="E242" t="s">
        <v>8</v>
      </c>
      <c r="BD242" s="27" t="s">
        <v>7</v>
      </c>
      <c r="BE242" s="27" t="s">
        <v>8</v>
      </c>
      <c r="BF242" s="27" t="s">
        <v>7</v>
      </c>
      <c r="BG242" s="27" t="s">
        <v>8</v>
      </c>
      <c r="BH242" s="27" t="s">
        <v>7</v>
      </c>
      <c r="BK242" s="27" t="s">
        <v>8</v>
      </c>
      <c r="BL242" s="27" t="s">
        <v>7</v>
      </c>
      <c r="BO242" s="27" t="s">
        <v>8</v>
      </c>
      <c r="BW242" s="27" t="s">
        <v>8</v>
      </c>
      <c r="BX242" s="27" t="s">
        <v>7</v>
      </c>
      <c r="BY242" s="27" t="s">
        <v>8</v>
      </c>
      <c r="BZ242" s="27" t="s">
        <v>7</v>
      </c>
      <c r="CA242" s="27" t="s">
        <v>8</v>
      </c>
      <c r="CX242" s="27" t="s">
        <v>7</v>
      </c>
      <c r="CY242" s="27" t="s">
        <v>8</v>
      </c>
      <c r="CZ242" s="27" t="s">
        <v>7</v>
      </c>
      <c r="DA242" s="27" t="s">
        <v>8</v>
      </c>
      <c r="DE242" s="27" t="s">
        <v>8</v>
      </c>
      <c r="DF242" s="27" t="s">
        <v>7</v>
      </c>
      <c r="DG242" s="27" t="s">
        <v>8</v>
      </c>
      <c r="DJ242" s="27" t="s">
        <v>7</v>
      </c>
      <c r="DK242" s="27" t="s">
        <v>8</v>
      </c>
      <c r="EB242" s="27" t="s">
        <v>7</v>
      </c>
      <c r="ED242" s="27" t="s">
        <v>7</v>
      </c>
      <c r="EE242" s="27" t="s">
        <v>8</v>
      </c>
      <c r="EF242" s="27" t="s">
        <v>7</v>
      </c>
      <c r="EG242" s="27" t="s">
        <v>8</v>
      </c>
      <c r="EH242" s="27" t="s">
        <v>7</v>
      </c>
    </row>
    <row r="243" spans="1:152" x14ac:dyDescent="0.25">
      <c r="A243" s="7">
        <v>908.78068086127746</v>
      </c>
      <c r="B243"/>
      <c r="C243"/>
      <c r="D243"/>
      <c r="E243" t="s">
        <v>8</v>
      </c>
      <c r="BD243" s="27" t="s">
        <v>7</v>
      </c>
      <c r="BE243" s="27" t="s">
        <v>8</v>
      </c>
      <c r="BF243" s="27" t="s">
        <v>7</v>
      </c>
      <c r="BG243" s="27" t="s">
        <v>8</v>
      </c>
      <c r="BH243" s="27" t="s">
        <v>7</v>
      </c>
      <c r="BK243" s="27" t="s">
        <v>8</v>
      </c>
      <c r="BL243" s="27" t="s">
        <v>7</v>
      </c>
      <c r="BO243" s="27" t="s">
        <v>8</v>
      </c>
      <c r="BP243" s="27" t="s">
        <v>7</v>
      </c>
      <c r="BW243" s="27" t="s">
        <v>8</v>
      </c>
      <c r="BX243" s="27" t="s">
        <v>7</v>
      </c>
      <c r="BY243" s="27" t="s">
        <v>8</v>
      </c>
      <c r="BZ243" s="27" t="s">
        <v>7</v>
      </c>
      <c r="CA243" s="27" t="s">
        <v>8</v>
      </c>
      <c r="CX243" s="27" t="s">
        <v>7</v>
      </c>
      <c r="CZ243" s="27" t="s">
        <v>7</v>
      </c>
      <c r="DA243" s="27" t="s">
        <v>8</v>
      </c>
      <c r="DB243" s="27" t="s">
        <v>7</v>
      </c>
      <c r="DC243" s="27" t="s">
        <v>8</v>
      </c>
      <c r="DE243" s="27" t="s">
        <v>8</v>
      </c>
      <c r="DF243" s="27" t="s">
        <v>7</v>
      </c>
      <c r="DG243" s="27" t="s">
        <v>8</v>
      </c>
      <c r="DJ243" s="27" t="s">
        <v>7</v>
      </c>
      <c r="ED243" s="27" t="s">
        <v>7</v>
      </c>
      <c r="EE243" s="27" t="s">
        <v>8</v>
      </c>
      <c r="EF243" s="27" t="s">
        <v>7</v>
      </c>
      <c r="EG243" s="27" t="s">
        <v>8</v>
      </c>
      <c r="EH243" s="27" t="s">
        <v>7</v>
      </c>
    </row>
    <row r="244" spans="1:152" x14ac:dyDescent="0.25">
      <c r="A244" s="7">
        <v>890.96145182478176</v>
      </c>
      <c r="B244"/>
      <c r="C244"/>
      <c r="D244"/>
      <c r="E244" t="s">
        <v>8</v>
      </c>
      <c r="BD244" s="27" t="s">
        <v>7</v>
      </c>
      <c r="BE244" s="27" t="s">
        <v>8</v>
      </c>
      <c r="BF244" s="27" t="s">
        <v>7</v>
      </c>
      <c r="BG244" s="27" t="s">
        <v>8</v>
      </c>
      <c r="BH244" s="27" t="s">
        <v>7</v>
      </c>
      <c r="BI244" s="27" t="s">
        <v>8</v>
      </c>
      <c r="BK244" s="27" t="s">
        <v>8</v>
      </c>
      <c r="BL244" s="27" t="s">
        <v>7</v>
      </c>
      <c r="BO244" s="27" t="s">
        <v>8</v>
      </c>
      <c r="BP244" s="27" t="s">
        <v>7</v>
      </c>
      <c r="BS244" s="27" t="s">
        <v>8</v>
      </c>
      <c r="BW244" s="27" t="s">
        <v>8</v>
      </c>
      <c r="BX244" s="27" t="s">
        <v>7</v>
      </c>
      <c r="BZ244" s="27" t="s">
        <v>7</v>
      </c>
      <c r="CA244" s="27" t="s">
        <v>8</v>
      </c>
      <c r="CZ244" s="27" t="s">
        <v>7</v>
      </c>
      <c r="DA244" s="27" t="s">
        <v>8</v>
      </c>
      <c r="DB244" s="27" t="s">
        <v>7</v>
      </c>
      <c r="DC244" s="27" t="s">
        <v>8</v>
      </c>
      <c r="DD244" s="27" t="s">
        <v>7</v>
      </c>
      <c r="DE244" s="27" t="s">
        <v>8</v>
      </c>
      <c r="DF244" s="27" t="s">
        <v>7</v>
      </c>
      <c r="ED244" s="27" t="s">
        <v>7</v>
      </c>
      <c r="EF244" s="27" t="s">
        <v>7</v>
      </c>
      <c r="EH244" s="27" t="s">
        <v>7</v>
      </c>
      <c r="EI244" s="27" t="s">
        <v>8</v>
      </c>
    </row>
    <row r="245" spans="1:152" x14ac:dyDescent="0.25">
      <c r="A245" s="7">
        <v>873.49161943606055</v>
      </c>
      <c r="B245"/>
      <c r="C245"/>
      <c r="D245"/>
      <c r="E245" t="s">
        <v>8</v>
      </c>
      <c r="BD245" s="27" t="s">
        <v>7</v>
      </c>
      <c r="BE245" s="27" t="s">
        <v>8</v>
      </c>
      <c r="BF245" s="27" t="s">
        <v>7</v>
      </c>
      <c r="BG245" s="27" t="s">
        <v>8</v>
      </c>
      <c r="BH245" s="27" t="s">
        <v>7</v>
      </c>
      <c r="BI245" s="27" t="s">
        <v>8</v>
      </c>
      <c r="BJ245" s="27" t="s">
        <v>7</v>
      </c>
      <c r="BK245" s="27" t="s">
        <v>8</v>
      </c>
      <c r="BL245" s="27" t="s">
        <v>7</v>
      </c>
      <c r="BM245" s="27" t="s">
        <v>8</v>
      </c>
      <c r="BO245" s="27" t="s">
        <v>8</v>
      </c>
      <c r="BP245" s="27" t="s">
        <v>7</v>
      </c>
      <c r="BS245" s="27" t="s">
        <v>8</v>
      </c>
      <c r="BT245" s="27" t="s">
        <v>7</v>
      </c>
      <c r="BW245" s="27" t="s">
        <v>8</v>
      </c>
      <c r="BZ245" s="27" t="s">
        <v>7</v>
      </c>
      <c r="CZ245" s="27" t="s">
        <v>7</v>
      </c>
      <c r="DB245" s="27" t="s">
        <v>7</v>
      </c>
      <c r="DC245" s="27" t="s">
        <v>8</v>
      </c>
      <c r="DD245" s="27" t="s">
        <v>7</v>
      </c>
      <c r="DE245" s="27" t="s">
        <v>8</v>
      </c>
      <c r="EH245" s="27" t="s">
        <v>7</v>
      </c>
      <c r="EI245" s="27" t="s">
        <v>8</v>
      </c>
      <c r="EJ245" s="27" t="s">
        <v>7</v>
      </c>
    </row>
    <row r="246" spans="1:152" x14ac:dyDescent="0.25">
      <c r="A246" s="7">
        <v>856.36433278045149</v>
      </c>
      <c r="B246"/>
      <c r="C246"/>
      <c r="D246"/>
      <c r="E246" t="s">
        <v>8</v>
      </c>
      <c r="BD246" s="27" t="s">
        <v>7</v>
      </c>
      <c r="BE246" s="27" t="s">
        <v>8</v>
      </c>
      <c r="BF246" s="27" t="s">
        <v>7</v>
      </c>
      <c r="BG246" s="27" t="s">
        <v>8</v>
      </c>
      <c r="BH246" s="27" t="s">
        <v>7</v>
      </c>
      <c r="BI246" s="27" t="s">
        <v>8</v>
      </c>
      <c r="BJ246" s="27" t="s">
        <v>7</v>
      </c>
      <c r="BK246" s="27" t="s">
        <v>8</v>
      </c>
      <c r="BL246" s="27" t="s">
        <v>7</v>
      </c>
      <c r="BM246" s="27" t="s">
        <v>8</v>
      </c>
      <c r="BN246" s="27" t="s">
        <v>7</v>
      </c>
      <c r="BO246" s="27" t="s">
        <v>8</v>
      </c>
      <c r="BP246" s="27" t="s">
        <v>7</v>
      </c>
      <c r="BS246" s="27" t="s">
        <v>8</v>
      </c>
      <c r="BT246" s="27" t="s">
        <v>7</v>
      </c>
      <c r="BW246" s="27" t="s">
        <v>8</v>
      </c>
      <c r="DB246" s="27" t="s">
        <v>7</v>
      </c>
      <c r="DC246" s="27" t="s">
        <v>8</v>
      </c>
      <c r="DD246" s="27" t="s">
        <v>7</v>
      </c>
      <c r="DE246" s="27" t="s">
        <v>8</v>
      </c>
      <c r="EH246" s="27" t="s">
        <v>7</v>
      </c>
      <c r="EI246" s="27" t="s">
        <v>8</v>
      </c>
      <c r="EJ246" s="27" t="s">
        <v>7</v>
      </c>
    </row>
    <row r="247" spans="1:152" x14ac:dyDescent="0.25">
      <c r="A247" s="7">
        <v>839.57287527495248</v>
      </c>
      <c r="B247"/>
      <c r="C247"/>
      <c r="D247"/>
      <c r="E247" t="s">
        <v>8</v>
      </c>
      <c r="BD247" s="27" t="s">
        <v>7</v>
      </c>
      <c r="BE247" s="27" t="s">
        <v>8</v>
      </c>
      <c r="BF247" s="27" t="s">
        <v>7</v>
      </c>
      <c r="BG247" s="27" t="s">
        <v>8</v>
      </c>
      <c r="BH247" s="27" t="s">
        <v>7</v>
      </c>
      <c r="BI247" s="27" t="s">
        <v>8</v>
      </c>
      <c r="BJ247" s="27" t="s">
        <v>7</v>
      </c>
      <c r="BK247" s="27" t="s">
        <v>8</v>
      </c>
      <c r="BL247" s="27" t="s">
        <v>7</v>
      </c>
      <c r="BM247" s="27" t="s">
        <v>8</v>
      </c>
      <c r="BN247" s="27" t="s">
        <v>7</v>
      </c>
      <c r="BO247" s="27" t="s">
        <v>8</v>
      </c>
      <c r="BP247" s="27" t="s">
        <v>7</v>
      </c>
      <c r="BS247" s="27" t="s">
        <v>8</v>
      </c>
      <c r="BT247" s="27" t="s">
        <v>7</v>
      </c>
      <c r="BU247" s="27" t="s">
        <v>8</v>
      </c>
      <c r="BW247" s="27" t="s">
        <v>8</v>
      </c>
      <c r="DB247" s="27" t="s">
        <v>7</v>
      </c>
      <c r="DC247" s="27" t="s">
        <v>8</v>
      </c>
      <c r="DD247" s="27" t="s">
        <v>7</v>
      </c>
      <c r="DE247" s="27" t="s">
        <v>8</v>
      </c>
      <c r="EH247" s="27" t="s">
        <v>7</v>
      </c>
      <c r="EI247" s="27" t="s">
        <v>8</v>
      </c>
      <c r="EJ247" s="27" t="s">
        <v>7</v>
      </c>
    </row>
    <row r="248" spans="1:152" x14ac:dyDescent="0.25">
      <c r="A248" s="7">
        <v>823.11066203426708</v>
      </c>
      <c r="B248"/>
      <c r="C248"/>
      <c r="D248"/>
      <c r="E248" t="s">
        <v>8</v>
      </c>
      <c r="BD248" s="27" t="s">
        <v>7</v>
      </c>
      <c r="BE248" s="27" t="s">
        <v>8</v>
      </c>
      <c r="BF248" s="27" t="s">
        <v>7</v>
      </c>
      <c r="BG248" s="27" t="s">
        <v>8</v>
      </c>
      <c r="BH248" s="27" t="s">
        <v>7</v>
      </c>
      <c r="BI248" s="27" t="s">
        <v>8</v>
      </c>
      <c r="BJ248" s="27" t="s">
        <v>7</v>
      </c>
      <c r="BL248" s="27" t="s">
        <v>7</v>
      </c>
      <c r="BM248" s="27" t="s">
        <v>8</v>
      </c>
      <c r="BN248" s="27" t="s">
        <v>7</v>
      </c>
      <c r="BO248" s="27" t="s">
        <v>8</v>
      </c>
      <c r="BP248" s="27" t="s">
        <v>7</v>
      </c>
      <c r="BS248" s="27" t="s">
        <v>8</v>
      </c>
      <c r="BT248" s="27" t="s">
        <v>7</v>
      </c>
      <c r="BU248" s="27" t="s">
        <v>8</v>
      </c>
      <c r="BV248" s="27" t="s">
        <v>7</v>
      </c>
      <c r="BW248" s="27" t="s">
        <v>8</v>
      </c>
      <c r="DB248" s="27" t="s">
        <v>7</v>
      </c>
      <c r="DD248" s="27" t="s">
        <v>7</v>
      </c>
      <c r="EH248" s="27" t="s">
        <v>7</v>
      </c>
      <c r="EI248" s="27" t="s">
        <v>8</v>
      </c>
      <c r="EJ248" s="27" t="s">
        <v>7</v>
      </c>
    </row>
    <row r="249" spans="1:152" x14ac:dyDescent="0.25">
      <c r="A249" s="7">
        <v>806.97123728849715</v>
      </c>
      <c r="B249"/>
      <c r="C249"/>
      <c r="D249"/>
      <c r="E249" t="s">
        <v>8</v>
      </c>
      <c r="BD249" s="27" t="s">
        <v>7</v>
      </c>
      <c r="BE249" s="27" t="s">
        <v>8</v>
      </c>
      <c r="BF249" s="27" t="s">
        <v>7</v>
      </c>
      <c r="BH249" s="27" t="s">
        <v>7</v>
      </c>
      <c r="BL249" s="27" t="s">
        <v>7</v>
      </c>
      <c r="BN249" s="27" t="s">
        <v>7</v>
      </c>
      <c r="BO249" s="27" t="s">
        <v>8</v>
      </c>
      <c r="BP249" s="27" t="s">
        <v>7</v>
      </c>
      <c r="BS249" s="27" t="s">
        <v>8</v>
      </c>
      <c r="BT249" s="27" t="s">
        <v>7</v>
      </c>
      <c r="BU249" s="27" t="s">
        <v>8</v>
      </c>
      <c r="BV249" s="27" t="s">
        <v>7</v>
      </c>
      <c r="BW249" s="27" t="s">
        <v>8</v>
      </c>
      <c r="EH249" s="27" t="s">
        <v>7</v>
      </c>
      <c r="EI249" s="27" t="s">
        <v>8</v>
      </c>
      <c r="EJ249" s="27" t="s">
        <v>7</v>
      </c>
    </row>
    <row r="250" spans="1:152" x14ac:dyDescent="0.25">
      <c r="A250" s="7">
        <v>791.14827185146783</v>
      </c>
      <c r="B250"/>
      <c r="C250"/>
      <c r="D250"/>
      <c r="E250" t="s">
        <v>8</v>
      </c>
      <c r="BD250" s="27" t="s">
        <v>7</v>
      </c>
      <c r="BN250" s="27" t="s">
        <v>7</v>
      </c>
      <c r="BO250" s="27" t="s">
        <v>8</v>
      </c>
      <c r="BP250" s="27" t="s">
        <v>7</v>
      </c>
      <c r="BS250" s="27" t="s">
        <v>8</v>
      </c>
      <c r="BT250" s="27" t="s">
        <v>7</v>
      </c>
      <c r="BU250" s="27" t="s">
        <v>8</v>
      </c>
      <c r="BV250" s="27" t="s">
        <v>7</v>
      </c>
      <c r="BW250" s="27" t="s">
        <v>8</v>
      </c>
      <c r="EH250" s="27" t="s">
        <v>7</v>
      </c>
      <c r="EI250" s="27" t="s">
        <v>8</v>
      </c>
      <c r="EJ250" s="27" t="s">
        <v>7</v>
      </c>
      <c r="EU250" s="27" t="s">
        <v>8</v>
      </c>
    </row>
    <row r="251" spans="1:152" x14ac:dyDescent="0.25">
      <c r="A251" s="7">
        <v>775.63556063869396</v>
      </c>
      <c r="B251"/>
      <c r="C251"/>
      <c r="D251"/>
      <c r="E251" t="s">
        <v>8</v>
      </c>
      <c r="BN251" s="27" t="s">
        <v>7</v>
      </c>
      <c r="BO251" s="27" t="s">
        <v>8</v>
      </c>
      <c r="BP251" s="27" t="s">
        <v>7</v>
      </c>
      <c r="BS251" s="27" t="s">
        <v>8</v>
      </c>
      <c r="BT251" s="27" t="s">
        <v>7</v>
      </c>
      <c r="BU251" s="27" t="s">
        <v>8</v>
      </c>
      <c r="BV251" s="27" t="s">
        <v>7</v>
      </c>
      <c r="EH251" s="27" t="s">
        <v>7</v>
      </c>
      <c r="EI251" s="27" t="s">
        <v>8</v>
      </c>
      <c r="EJ251" s="27" t="s">
        <v>7</v>
      </c>
      <c r="EU251" s="27" t="s">
        <v>8</v>
      </c>
      <c r="EV251" s="27" t="s">
        <v>7</v>
      </c>
    </row>
    <row r="252" spans="1:152" x14ac:dyDescent="0.25">
      <c r="A252" s="7">
        <v>760.42702023401364</v>
      </c>
      <c r="B252"/>
      <c r="C252"/>
      <c r="D252"/>
      <c r="E252" t="s">
        <v>8</v>
      </c>
      <c r="BN252" s="27" t="s">
        <v>7</v>
      </c>
      <c r="BO252" s="27" t="s">
        <v>8</v>
      </c>
      <c r="BP252" s="27" t="s">
        <v>7</v>
      </c>
      <c r="BS252" s="27" t="s">
        <v>8</v>
      </c>
      <c r="BT252" s="27" t="s">
        <v>7</v>
      </c>
      <c r="BU252" s="27" t="s">
        <v>8</v>
      </c>
      <c r="EH252" s="27" t="s">
        <v>7</v>
      </c>
      <c r="EI252" s="27" t="s">
        <v>8</v>
      </c>
      <c r="EJ252" s="27" t="s">
        <v>7</v>
      </c>
      <c r="EU252" s="27" t="s">
        <v>8</v>
      </c>
      <c r="EV252" s="27" t="s">
        <v>7</v>
      </c>
    </row>
    <row r="253" spans="1:152" x14ac:dyDescent="0.25">
      <c r="A253" s="7">
        <v>745.51668650393492</v>
      </c>
      <c r="B253"/>
      <c r="C253"/>
      <c r="D253"/>
      <c r="E253" t="s">
        <v>8</v>
      </c>
      <c r="BN253" s="27" t="s">
        <v>7</v>
      </c>
      <c r="BO253" s="27" t="s">
        <v>8</v>
      </c>
      <c r="BP253" s="27" t="s">
        <v>7</v>
      </c>
      <c r="BS253" s="27" t="s">
        <v>8</v>
      </c>
      <c r="BT253" s="27" t="s">
        <v>7</v>
      </c>
      <c r="EH253" s="27" t="s">
        <v>7</v>
      </c>
      <c r="EI253" s="27" t="s">
        <v>8</v>
      </c>
      <c r="EJ253" s="27" t="s">
        <v>7</v>
      </c>
      <c r="EQ253" s="27" t="s">
        <v>8</v>
      </c>
      <c r="EU253" s="27" t="s">
        <v>8</v>
      </c>
      <c r="EV253" s="27" t="s">
        <v>7</v>
      </c>
    </row>
    <row r="254" spans="1:152" x14ac:dyDescent="0.25">
      <c r="A254" s="7">
        <v>730.8987122587597</v>
      </c>
      <c r="B254"/>
      <c r="C254"/>
      <c r="D254"/>
      <c r="E254" t="s">
        <v>8</v>
      </c>
      <c r="BN254" s="27" t="s">
        <v>7</v>
      </c>
      <c r="BP254" s="27" t="s">
        <v>7</v>
      </c>
      <c r="BS254" s="27" t="s">
        <v>8</v>
      </c>
      <c r="EH254" s="27" t="s">
        <v>7</v>
      </c>
      <c r="EI254" s="27" t="s">
        <v>8</v>
      </c>
      <c r="EJ254" s="27" t="s">
        <v>7</v>
      </c>
      <c r="EQ254" s="27" t="s">
        <v>8</v>
      </c>
      <c r="ER254" s="27" t="s">
        <v>7</v>
      </c>
      <c r="EU254" s="27" t="s">
        <v>8</v>
      </c>
      <c r="EV254" s="27" t="s">
        <v>7</v>
      </c>
    </row>
    <row r="255" spans="1:152" x14ac:dyDescent="0.25">
      <c r="A255" s="7">
        <v>716.56736495956829</v>
      </c>
      <c r="B255"/>
      <c r="C255"/>
      <c r="D255"/>
      <c r="E255" t="s">
        <v>8</v>
      </c>
      <c r="BP255" s="18" t="s">
        <v>7</v>
      </c>
      <c r="BQ255" s="27" t="s">
        <v>8</v>
      </c>
      <c r="BS255" s="27" t="s">
        <v>8</v>
      </c>
      <c r="EH255" s="27" t="s">
        <v>7</v>
      </c>
      <c r="EI255" s="27" t="s">
        <v>8</v>
      </c>
      <c r="EJ255" s="27" t="s">
        <v>7</v>
      </c>
      <c r="EQ255" s="27" t="s">
        <v>8</v>
      </c>
      <c r="ER255" s="27" t="s">
        <v>7</v>
      </c>
      <c r="EU255" s="27" t="s">
        <v>8</v>
      </c>
      <c r="EV255" s="27" t="s">
        <v>7</v>
      </c>
    </row>
    <row r="256" spans="1:152" x14ac:dyDescent="0.25">
      <c r="A256" s="7">
        <v>702.51702447016498</v>
      </c>
      <c r="B256"/>
      <c r="C256"/>
      <c r="D256"/>
      <c r="E256" t="s">
        <v>8</v>
      </c>
      <c r="BP256" s="27" t="s">
        <v>7</v>
      </c>
      <c r="BQ256" s="27" t="s">
        <v>8</v>
      </c>
      <c r="BR256" s="27" t="s">
        <v>7</v>
      </c>
      <c r="BS256" s="27" t="s">
        <v>8</v>
      </c>
      <c r="EH256" s="27" t="s">
        <v>7</v>
      </c>
      <c r="EI256" s="27" t="s">
        <v>8</v>
      </c>
      <c r="EJ256" s="27" t="s">
        <v>7</v>
      </c>
      <c r="EQ256" s="27" t="s">
        <v>8</v>
      </c>
      <c r="ER256" s="27" t="s">
        <v>7</v>
      </c>
      <c r="ES256" s="27" t="s">
        <v>8</v>
      </c>
      <c r="EU256" s="27" t="s">
        <v>8</v>
      </c>
      <c r="EV256" s="27" t="s">
        <v>7</v>
      </c>
    </row>
    <row r="257" spans="1:164" x14ac:dyDescent="0.25">
      <c r="A257" s="7">
        <v>688.74218085310292</v>
      </c>
      <c r="B257"/>
      <c r="C257"/>
      <c r="D257"/>
      <c r="E257" t="s">
        <v>8</v>
      </c>
      <c r="BP257" s="27" t="s">
        <v>7</v>
      </c>
      <c r="BQ257" s="27" t="s">
        <v>8</v>
      </c>
      <c r="BR257" s="27" t="s">
        <v>7</v>
      </c>
      <c r="BS257" s="27" t="s">
        <v>8</v>
      </c>
      <c r="EH257" s="27" t="s">
        <v>7</v>
      </c>
      <c r="EI257" s="27" t="s">
        <v>8</v>
      </c>
      <c r="EJ257" s="27" t="s">
        <v>7</v>
      </c>
      <c r="EK257" s="27" t="s">
        <v>8</v>
      </c>
      <c r="EQ257" s="27" t="s">
        <v>8</v>
      </c>
      <c r="ER257" s="27" t="s">
        <v>7</v>
      </c>
      <c r="ES257" s="27" t="s">
        <v>8</v>
      </c>
      <c r="ET257" s="27" t="s">
        <v>7</v>
      </c>
      <c r="EU257" s="27" t="s">
        <v>8</v>
      </c>
      <c r="EV257" s="27" t="s">
        <v>7</v>
      </c>
    </row>
    <row r="258" spans="1:164" x14ac:dyDescent="0.25">
      <c r="A258" s="7">
        <v>675.23743220892447</v>
      </c>
      <c r="B258"/>
      <c r="C258"/>
      <c r="D258"/>
      <c r="E258" t="s">
        <v>8</v>
      </c>
      <c r="BP258" s="27" t="s">
        <v>7</v>
      </c>
      <c r="BQ258" s="27" t="s">
        <v>8</v>
      </c>
      <c r="BR258" s="27" t="s">
        <v>7</v>
      </c>
      <c r="EH258" s="27" t="s">
        <v>7</v>
      </c>
      <c r="EI258" s="27" t="s">
        <v>8</v>
      </c>
      <c r="EJ258" s="27" t="s">
        <v>7</v>
      </c>
      <c r="EK258" s="27" t="s">
        <v>8</v>
      </c>
      <c r="EL258" s="27" t="s">
        <v>7</v>
      </c>
      <c r="EQ258" s="27" t="s">
        <v>8</v>
      </c>
      <c r="ER258" s="27" t="s">
        <v>7</v>
      </c>
      <c r="ES258" s="27" t="s">
        <v>8</v>
      </c>
      <c r="ET258" s="27" t="s">
        <v>7</v>
      </c>
      <c r="EU258" s="27" t="s">
        <v>8</v>
      </c>
      <c r="EV258" s="27" t="s">
        <v>7</v>
      </c>
    </row>
    <row r="259" spans="1:164" x14ac:dyDescent="0.25">
      <c r="A259" s="7">
        <v>661.9974825577691</v>
      </c>
      <c r="B259"/>
      <c r="C259"/>
      <c r="D259"/>
      <c r="E259" t="s">
        <v>8</v>
      </c>
      <c r="BP259" s="27" t="s">
        <v>7</v>
      </c>
      <c r="BQ259" s="27" t="s">
        <v>8</v>
      </c>
      <c r="EH259" s="27" t="s">
        <v>7</v>
      </c>
      <c r="EI259" s="27" t="s">
        <v>8</v>
      </c>
      <c r="EJ259" s="27" t="s">
        <v>7</v>
      </c>
      <c r="EK259" s="27" t="s">
        <v>8</v>
      </c>
      <c r="EL259" s="27" t="s">
        <v>7</v>
      </c>
      <c r="EO259" s="27" t="s">
        <v>8</v>
      </c>
      <c r="EQ259" s="27" t="s">
        <v>8</v>
      </c>
      <c r="ER259" s="27" t="s">
        <v>7</v>
      </c>
      <c r="ES259" s="27" t="s">
        <v>8</v>
      </c>
      <c r="ET259" s="27" t="s">
        <v>7</v>
      </c>
      <c r="EU259" s="27" t="s">
        <v>8</v>
      </c>
      <c r="EV259" s="27" t="s">
        <v>7</v>
      </c>
    </row>
    <row r="260" spans="1:164" x14ac:dyDescent="0.25">
      <c r="A260" s="7">
        <v>649.0171397625187</v>
      </c>
      <c r="B260"/>
      <c r="C260"/>
      <c r="D260"/>
      <c r="E260" t="s">
        <v>8</v>
      </c>
      <c r="BP260" s="27" t="s">
        <v>7</v>
      </c>
      <c r="EH260" s="27" t="s">
        <v>7</v>
      </c>
      <c r="EI260" s="27" t="s">
        <v>8</v>
      </c>
      <c r="EJ260" s="27" t="s">
        <v>7</v>
      </c>
      <c r="EL260" s="27" t="s">
        <v>7</v>
      </c>
      <c r="EM260" s="27" t="s">
        <v>8</v>
      </c>
      <c r="EO260" s="27" t="s">
        <v>8</v>
      </c>
      <c r="EP260" s="27" t="s">
        <v>7</v>
      </c>
      <c r="EQ260" s="27" t="s">
        <v>8</v>
      </c>
      <c r="ER260" s="27" t="s">
        <v>7</v>
      </c>
      <c r="ES260" s="27" t="s">
        <v>8</v>
      </c>
      <c r="ET260" s="27" t="s">
        <v>7</v>
      </c>
      <c r="EU260" s="27" t="s">
        <v>8</v>
      </c>
      <c r="EV260" s="27" t="s">
        <v>7</v>
      </c>
      <c r="EW260" s="27" t="s">
        <v>8</v>
      </c>
      <c r="EY260" s="27" t="s">
        <v>8</v>
      </c>
    </row>
    <row r="261" spans="1:164" x14ac:dyDescent="0.25">
      <c r="A261" s="7">
        <v>636.29131349266538</v>
      </c>
      <c r="B261"/>
      <c r="C261"/>
      <c r="D261"/>
      <c r="E261" t="s">
        <v>8</v>
      </c>
      <c r="EH261" s="27" t="s">
        <v>7</v>
      </c>
      <c r="EL261" s="27" t="s">
        <v>7</v>
      </c>
      <c r="EM261" s="27" t="s">
        <v>8</v>
      </c>
      <c r="EN261" s="27" t="s">
        <v>7</v>
      </c>
      <c r="EO261" s="27" t="s">
        <v>8</v>
      </c>
      <c r="EP261" s="27" t="s">
        <v>7</v>
      </c>
      <c r="EQ261" s="27" t="s">
        <v>8</v>
      </c>
      <c r="ER261" s="27" t="s">
        <v>7</v>
      </c>
      <c r="ES261" s="27" t="s">
        <v>8</v>
      </c>
      <c r="ET261" s="27" t="s">
        <v>7</v>
      </c>
      <c r="EU261" s="27" t="s">
        <v>8</v>
      </c>
      <c r="EV261" s="27" t="s">
        <v>7</v>
      </c>
      <c r="EW261" s="27" t="s">
        <v>8</v>
      </c>
      <c r="EX261" s="27" t="s">
        <v>7</v>
      </c>
      <c r="EY261" s="27" t="s">
        <v>8</v>
      </c>
      <c r="EZ261" s="27" t="s">
        <v>7</v>
      </c>
    </row>
    <row r="262" spans="1:164" x14ac:dyDescent="0.25">
      <c r="A262" s="7">
        <v>623.81501322810334</v>
      </c>
      <c r="B262"/>
      <c r="C262"/>
      <c r="D262"/>
      <c r="E262" t="s">
        <v>8</v>
      </c>
      <c r="EL262" s="27" t="s">
        <v>7</v>
      </c>
      <c r="EM262" s="27" t="s">
        <v>8</v>
      </c>
      <c r="EN262" s="27" t="s">
        <v>7</v>
      </c>
      <c r="EO262" s="27" t="s">
        <v>8</v>
      </c>
      <c r="EP262" s="27" t="s">
        <v>7</v>
      </c>
      <c r="EQ262" s="27" t="s">
        <v>8</v>
      </c>
      <c r="ER262" s="27" t="s">
        <v>7</v>
      </c>
      <c r="ET262" s="27" t="s">
        <v>7</v>
      </c>
      <c r="EU262" s="27" t="s">
        <v>8</v>
      </c>
      <c r="EV262" s="27" t="s">
        <v>7</v>
      </c>
      <c r="EW262" s="27" t="s">
        <v>8</v>
      </c>
      <c r="EX262" s="27" t="s">
        <v>7</v>
      </c>
      <c r="EY262" s="27" t="s">
        <v>8</v>
      </c>
      <c r="EZ262" s="27" t="s">
        <v>7</v>
      </c>
    </row>
    <row r="263" spans="1:164" x14ac:dyDescent="0.25">
      <c r="A263" s="7">
        <v>611.58334630206207</v>
      </c>
      <c r="B263"/>
      <c r="C263"/>
      <c r="D263"/>
      <c r="E263" t="s">
        <v>8</v>
      </c>
      <c r="EL263" s="27" t="s">
        <v>7</v>
      </c>
      <c r="EM263" s="27" t="s">
        <v>8</v>
      </c>
      <c r="EN263" s="27" t="s">
        <v>7</v>
      </c>
      <c r="EO263" s="27" t="s">
        <v>8</v>
      </c>
      <c r="EP263" s="27" t="s">
        <v>7</v>
      </c>
      <c r="EQ263" s="27" t="s">
        <v>8</v>
      </c>
      <c r="ET263" s="27" t="s">
        <v>7</v>
      </c>
      <c r="EU263" s="27" t="s">
        <v>8</v>
      </c>
      <c r="EV263" s="27" t="s">
        <v>7</v>
      </c>
      <c r="EW263" s="27" t="s">
        <v>8</v>
      </c>
      <c r="EX263" s="27" t="s">
        <v>7</v>
      </c>
      <c r="EZ263" s="27" t="s">
        <v>7</v>
      </c>
    </row>
    <row r="264" spans="1:164" x14ac:dyDescent="0.25">
      <c r="A264" s="7">
        <v>599.59151598241374</v>
      </c>
      <c r="B264"/>
      <c r="C264"/>
      <c r="D264"/>
      <c r="E264" t="s">
        <v>8</v>
      </c>
      <c r="EL264" s="27" t="s">
        <v>7</v>
      </c>
      <c r="EM264" s="27" t="s">
        <v>8</v>
      </c>
      <c r="EN264" s="27" t="s">
        <v>7</v>
      </c>
      <c r="EO264" s="27" t="s">
        <v>8</v>
      </c>
      <c r="EP264" s="27" t="s">
        <v>7</v>
      </c>
      <c r="EQ264" s="27" t="s">
        <v>8</v>
      </c>
      <c r="ET264" s="27" t="s">
        <v>7</v>
      </c>
      <c r="EV264" s="27" t="s">
        <v>7</v>
      </c>
      <c r="EW264" s="27" t="s">
        <v>8</v>
      </c>
      <c r="EZ264" s="27" t="s">
        <v>7</v>
      </c>
      <c r="FC264" s="27" t="s">
        <v>8</v>
      </c>
    </row>
    <row r="265" spans="1:164" x14ac:dyDescent="0.25">
      <c r="A265" s="7">
        <v>587.83481959060168</v>
      </c>
      <c r="B265"/>
      <c r="C265"/>
      <c r="D265"/>
      <c r="E265" t="s">
        <v>8</v>
      </c>
      <c r="EL265" s="27" t="s">
        <v>7</v>
      </c>
      <c r="EN265" s="27" t="s">
        <v>7</v>
      </c>
      <c r="EP265" s="27" t="s">
        <v>7</v>
      </c>
      <c r="EQ265" s="27" t="s">
        <v>8</v>
      </c>
      <c r="EV265" s="27" t="s">
        <v>7</v>
      </c>
      <c r="EZ265" s="27" t="s">
        <v>7</v>
      </c>
      <c r="FC265" s="27" t="s">
        <v>8</v>
      </c>
      <c r="FD265" s="27" t="s">
        <v>7</v>
      </c>
    </row>
    <row r="266" spans="1:164" x14ac:dyDescent="0.25">
      <c r="A266" s="7">
        <v>576.30864665745264</v>
      </c>
      <c r="B266"/>
      <c r="C266"/>
      <c r="D266"/>
      <c r="E266" t="s">
        <v>8</v>
      </c>
      <c r="EP266" s="27" t="s">
        <v>7</v>
      </c>
      <c r="EQ266" s="27" t="s">
        <v>8</v>
      </c>
      <c r="EZ266" s="27" t="s">
        <v>7</v>
      </c>
      <c r="FC266" s="27" t="s">
        <v>8</v>
      </c>
      <c r="FD266" s="27" t="s">
        <v>7</v>
      </c>
    </row>
    <row r="267" spans="1:164" x14ac:dyDescent="0.25">
      <c r="A267" s="7">
        <v>565.00847711514962</v>
      </c>
      <c r="B267"/>
      <c r="C267"/>
      <c r="D267"/>
      <c r="E267" t="s">
        <v>8</v>
      </c>
      <c r="EP267" s="27" t="s">
        <v>7</v>
      </c>
      <c r="EZ267" s="27" t="s">
        <v>7</v>
      </c>
      <c r="FC267" s="27" t="s">
        <v>8</v>
      </c>
      <c r="FD267" s="27" t="s">
        <v>7</v>
      </c>
      <c r="FE267" s="27" t="s">
        <v>8</v>
      </c>
    </row>
    <row r="268" spans="1:164" x14ac:dyDescent="0.25">
      <c r="A268" s="7">
        <v>553.92987952465649</v>
      </c>
      <c r="B268"/>
      <c r="C268"/>
      <c r="D268"/>
      <c r="E268" t="s">
        <v>8</v>
      </c>
      <c r="EZ268" s="27" t="s">
        <v>7</v>
      </c>
      <c r="FC268" s="27" t="s">
        <v>8</v>
      </c>
      <c r="FD268" s="27" t="s">
        <v>7</v>
      </c>
      <c r="FE268" s="27" t="s">
        <v>8</v>
      </c>
      <c r="FF268" s="27" t="s">
        <v>7</v>
      </c>
    </row>
    <row r="269" spans="1:164" x14ac:dyDescent="0.25">
      <c r="A269" s="7">
        <v>543.06850933789849</v>
      </c>
      <c r="B269"/>
      <c r="C269"/>
      <c r="D269"/>
      <c r="E269" t="s">
        <v>8</v>
      </c>
      <c r="EZ269" s="27" t="s">
        <v>7</v>
      </c>
      <c r="FA269" s="27" t="s">
        <v>8</v>
      </c>
      <c r="FC269" s="27" t="s">
        <v>8</v>
      </c>
      <c r="FD269" s="27" t="s">
        <v>7</v>
      </c>
      <c r="FE269" s="27" t="s">
        <v>8</v>
      </c>
      <c r="FF269" s="27" t="s">
        <v>7</v>
      </c>
      <c r="FG269" s="27" t="s">
        <v>8</v>
      </c>
    </row>
    <row r="270" spans="1:164" x14ac:dyDescent="0.25">
      <c r="A270" s="7">
        <v>532.4201071940181</v>
      </c>
      <c r="B270"/>
      <c r="C270"/>
      <c r="D270"/>
      <c r="E270" t="s">
        <v>8</v>
      </c>
      <c r="EZ270" s="27" t="s">
        <v>7</v>
      </c>
      <c r="FA270" s="27" t="s">
        <v>8</v>
      </c>
      <c r="FB270" s="27" t="s">
        <v>7</v>
      </c>
      <c r="FC270" s="27" t="s">
        <v>8</v>
      </c>
      <c r="FD270" s="27" t="s">
        <v>7</v>
      </c>
      <c r="FE270" s="27" t="s">
        <v>8</v>
      </c>
      <c r="FF270" s="27" t="s">
        <v>7</v>
      </c>
      <c r="FG270" s="27" t="s">
        <v>8</v>
      </c>
      <c r="FH270" s="27" t="s">
        <v>7</v>
      </c>
    </row>
    <row r="271" spans="1:164" x14ac:dyDescent="0.25">
      <c r="A271" s="7">
        <v>521.9804972490374</v>
      </c>
      <c r="B271"/>
      <c r="C271"/>
      <c r="D271"/>
      <c r="E271" t="s">
        <v>8</v>
      </c>
      <c r="EZ271" s="27" t="s">
        <v>7</v>
      </c>
      <c r="FA271" s="27" t="s">
        <v>8</v>
      </c>
      <c r="FB271" s="27" t="s">
        <v>7</v>
      </c>
      <c r="FC271" s="27" t="s">
        <v>8</v>
      </c>
      <c r="FD271" s="27" t="s">
        <v>7</v>
      </c>
      <c r="FE271" s="27" t="s">
        <v>8</v>
      </c>
      <c r="FF271" s="27" t="s">
        <v>7</v>
      </c>
      <c r="FG271" s="27" t="s">
        <v>8</v>
      </c>
      <c r="FH271" s="27" t="s">
        <v>7</v>
      </c>
    </row>
    <row r="272" spans="1:164" x14ac:dyDescent="0.25">
      <c r="A272" s="7">
        <v>511.74558553827194</v>
      </c>
      <c r="B272"/>
      <c r="C272"/>
      <c r="D272"/>
      <c r="E272" t="s">
        <v>8</v>
      </c>
      <c r="EZ272" s="27" t="s">
        <v>7</v>
      </c>
      <c r="FB272" s="27" t="s">
        <v>7</v>
      </c>
      <c r="FC272" s="27" t="s">
        <v>8</v>
      </c>
      <c r="FD272" s="27" t="s">
        <v>7</v>
      </c>
      <c r="FE272" s="27" t="s">
        <v>8</v>
      </c>
      <c r="FF272" s="27" t="s">
        <v>7</v>
      </c>
      <c r="FH272" s="27" t="s">
        <v>7</v>
      </c>
    </row>
    <row r="273" spans="1:168" x14ac:dyDescent="0.25">
      <c r="A273" s="7">
        <v>501.71135837085484</v>
      </c>
      <c r="B273"/>
      <c r="C273"/>
      <c r="D273"/>
      <c r="E273" t="s">
        <v>8</v>
      </c>
      <c r="FB273" s="27" t="s">
        <v>7</v>
      </c>
      <c r="FC273" s="27" t="s">
        <v>8</v>
      </c>
      <c r="FD273" s="27" t="s">
        <v>7</v>
      </c>
      <c r="FH273" s="27" t="s">
        <v>7</v>
      </c>
    </row>
    <row r="274" spans="1:168" x14ac:dyDescent="0.25">
      <c r="A274" s="7">
        <v>491.87388075574</v>
      </c>
      <c r="B274"/>
      <c r="C274"/>
      <c r="D274"/>
      <c r="E274" t="s">
        <v>8</v>
      </c>
      <c r="FB274" s="27" t="s">
        <v>7</v>
      </c>
      <c r="FH274" s="27" t="s">
        <v>7</v>
      </c>
    </row>
    <row r="275" spans="1:168" x14ac:dyDescent="0.25">
      <c r="A275" s="7">
        <v>482.22929485856861</v>
      </c>
      <c r="B275"/>
      <c r="C275"/>
      <c r="D275"/>
      <c r="E275" t="s">
        <v>8</v>
      </c>
      <c r="FH275" s="27" t="s">
        <v>7</v>
      </c>
    </row>
    <row r="276" spans="1:168" x14ac:dyDescent="0.25">
      <c r="A276" s="7">
        <v>472.77381848879276</v>
      </c>
      <c r="B276"/>
      <c r="C276"/>
      <c r="D276"/>
      <c r="E276" t="s">
        <v>8</v>
      </c>
      <c r="FH276" s="27" t="s">
        <v>7</v>
      </c>
    </row>
    <row r="277" spans="1:168" x14ac:dyDescent="0.25">
      <c r="A277" s="7">
        <v>463.50374361646345</v>
      </c>
      <c r="B277"/>
      <c r="C277"/>
      <c r="D277"/>
      <c r="E277" t="s">
        <v>8</v>
      </c>
      <c r="FH277" s="27" t="s">
        <v>7</v>
      </c>
    </row>
    <row r="278" spans="1:168" x14ac:dyDescent="0.25">
      <c r="A278" s="7">
        <v>454.41543491810143</v>
      </c>
      <c r="B278"/>
      <c r="C278"/>
      <c r="D278"/>
      <c r="E278" t="s">
        <v>8</v>
      </c>
      <c r="FH278" s="27" t="s">
        <v>7</v>
      </c>
      <c r="FK278" s="27" t="s">
        <v>8</v>
      </c>
    </row>
    <row r="279" spans="1:168" x14ac:dyDescent="0.25">
      <c r="A279" s="7">
        <v>445.50532835107981</v>
      </c>
      <c r="B279"/>
      <c r="C279"/>
      <c r="D279"/>
      <c r="E279" t="s">
        <v>8</v>
      </c>
      <c r="FH279" s="27" t="s">
        <v>7</v>
      </c>
      <c r="FK279" s="27" t="s">
        <v>8</v>
      </c>
      <c r="FL279" s="27" t="s">
        <v>7</v>
      </c>
    </row>
    <row r="280" spans="1:168" x14ac:dyDescent="0.25">
      <c r="A280" s="7">
        <v>436.76992975596062</v>
      </c>
      <c r="B280"/>
      <c r="C280"/>
      <c r="D280"/>
      <c r="E280" t="s">
        <v>8</v>
      </c>
      <c r="FH280" s="27" t="s">
        <v>7</v>
      </c>
      <c r="FI280" s="27" t="s">
        <v>8</v>
      </c>
      <c r="FK280" s="27" t="s">
        <v>8</v>
      </c>
      <c r="FL280" s="27" t="s">
        <v>7</v>
      </c>
    </row>
    <row r="281" spans="1:168" x14ac:dyDescent="0.25">
      <c r="A281" s="7">
        <v>428.20581348623591</v>
      </c>
      <c r="B281"/>
      <c r="C281"/>
      <c r="D281"/>
      <c r="E281" t="s">
        <v>8</v>
      </c>
      <c r="FH281" s="27" t="s">
        <v>7</v>
      </c>
      <c r="FI281" s="27" t="s">
        <v>8</v>
      </c>
      <c r="FJ281" s="27" t="s">
        <v>7</v>
      </c>
      <c r="FK281" s="27" t="s">
        <v>8</v>
      </c>
      <c r="FL281" s="27" t="s">
        <v>7</v>
      </c>
    </row>
    <row r="282" spans="1:168" x14ac:dyDescent="0.25">
      <c r="A282" s="7">
        <v>419.80962106493718</v>
      </c>
      <c r="B282"/>
      <c r="C282"/>
      <c r="D282"/>
      <c r="E282" t="s">
        <v>8</v>
      </c>
      <c r="FH282" s="27" t="s">
        <v>7</v>
      </c>
      <c r="FI282" s="27" t="s">
        <v>8</v>
      </c>
      <c r="FJ282" s="27" t="s">
        <v>7</v>
      </c>
      <c r="FK282" s="27" t="s">
        <v>8</v>
      </c>
      <c r="FL282" s="27" t="s">
        <v>7</v>
      </c>
    </row>
    <row r="283" spans="1:168" x14ac:dyDescent="0.25">
      <c r="A283" s="7">
        <v>411.57805986758547</v>
      </c>
      <c r="B283"/>
      <c r="C283"/>
      <c r="D283"/>
      <c r="E283" t="s">
        <v>8</v>
      </c>
      <c r="FH283" s="27" t="s">
        <v>7</v>
      </c>
      <c r="FI283" s="27" t="s">
        <v>8</v>
      </c>
      <c r="FJ283" s="27" t="s">
        <v>7</v>
      </c>
      <c r="FK283" s="27" t="s">
        <v>8</v>
      </c>
      <c r="FL283" s="27" t="s">
        <v>7</v>
      </c>
    </row>
    <row r="284" spans="1:168" x14ac:dyDescent="0.25">
      <c r="A284" s="7">
        <v>403.50790183096615</v>
      </c>
      <c r="B284"/>
      <c r="C284"/>
      <c r="D284"/>
      <c r="E284" t="s">
        <v>8</v>
      </c>
      <c r="FH284" s="27" t="s">
        <v>7</v>
      </c>
      <c r="FI284" s="27" t="s">
        <v>8</v>
      </c>
      <c r="FJ284" s="27" t="s">
        <v>7</v>
      </c>
      <c r="FK284" s="27" t="s">
        <v>8</v>
      </c>
    </row>
    <row r="285" spans="1:168" x14ac:dyDescent="0.25">
      <c r="A285" s="7">
        <v>395.59598218722169</v>
      </c>
      <c r="B285"/>
      <c r="C285"/>
      <c r="D285"/>
      <c r="E285" t="s">
        <v>8</v>
      </c>
      <c r="FH285" s="27" t="s">
        <v>7</v>
      </c>
      <c r="FI285" s="27" t="s">
        <v>8</v>
      </c>
      <c r="FJ285" s="27" t="s">
        <v>7</v>
      </c>
      <c r="FK285" s="27" t="s">
        <v>8</v>
      </c>
    </row>
    <row r="286" spans="1:168" x14ac:dyDescent="0.25">
      <c r="A286" s="7">
        <v>387.83919822276636</v>
      </c>
      <c r="B286"/>
      <c r="C286"/>
      <c r="D286"/>
      <c r="E286" t="s">
        <v>8</v>
      </c>
      <c r="FH286" s="27" t="s">
        <v>7</v>
      </c>
      <c r="FI286" s="27" t="s">
        <v>8</v>
      </c>
      <c r="FJ286" s="27" t="s">
        <v>7</v>
      </c>
      <c r="FK286" s="27" t="s">
        <v>8</v>
      </c>
    </row>
    <row r="287" spans="1:168" x14ac:dyDescent="0.25">
      <c r="A287" s="7">
        <v>380.23450806153562</v>
      </c>
      <c r="B287"/>
      <c r="C287"/>
      <c r="D287"/>
      <c r="E287" t="s">
        <v>8</v>
      </c>
      <c r="FH287" s="27" t="s">
        <v>7</v>
      </c>
      <c r="FJ287" s="27" t="s">
        <v>7</v>
      </c>
      <c r="FK287" s="27" t="s">
        <v>8</v>
      </c>
    </row>
    <row r="288" spans="1:168" x14ac:dyDescent="0.25">
      <c r="A288" s="7">
        <v>372.77892947209375</v>
      </c>
      <c r="B288"/>
      <c r="C288"/>
      <c r="D288"/>
      <c r="E288" t="s">
        <v>8</v>
      </c>
      <c r="FJ288" s="27" t="s">
        <v>7</v>
      </c>
    </row>
    <row r="289" spans="1:5" x14ac:dyDescent="0.25">
      <c r="A289" s="7">
        <v>365.46953869813115</v>
      </c>
      <c r="B289"/>
      <c r="C289"/>
      <c r="D289"/>
      <c r="E289" t="s">
        <v>8</v>
      </c>
    </row>
    <row r="290" spans="1:5" x14ac:dyDescent="0.25">
      <c r="A290" s="7">
        <v>358.30346931189325</v>
      </c>
      <c r="B290"/>
      <c r="C290"/>
      <c r="D290"/>
      <c r="E290" t="s">
        <v>8</v>
      </c>
    </row>
    <row r="291" spans="1:5" x14ac:dyDescent="0.25">
      <c r="A291" s="7">
        <v>351.27791109009144</v>
      </c>
      <c r="B291"/>
      <c r="C291"/>
      <c r="D291"/>
      <c r="E291" t="s">
        <v>8</v>
      </c>
    </row>
    <row r="292" spans="1:5" x14ac:dyDescent="0.25">
      <c r="A292" s="7">
        <v>344.39010891185433</v>
      </c>
      <c r="B292"/>
      <c r="C292"/>
      <c r="D292"/>
      <c r="E292" t="s">
        <v>8</v>
      </c>
    </row>
    <row r="293" spans="1:5" x14ac:dyDescent="0.25">
      <c r="A293" s="7">
        <v>337.63736167828853</v>
      </c>
      <c r="B293"/>
      <c r="C293"/>
      <c r="D293"/>
      <c r="E293" t="s">
        <v>8</v>
      </c>
    </row>
    <row r="294" spans="1:5" x14ac:dyDescent="0.25">
      <c r="A294" s="7">
        <v>331.01702125322402</v>
      </c>
      <c r="B294"/>
      <c r="C294"/>
      <c r="D294"/>
      <c r="E294" t="s">
        <v>8</v>
      </c>
    </row>
    <row r="295" spans="1:5" x14ac:dyDescent="0.25">
      <c r="A295" s="7">
        <v>324.52649142472944</v>
      </c>
      <c r="B295"/>
      <c r="C295"/>
      <c r="D295"/>
      <c r="E295" t="s">
        <v>8</v>
      </c>
    </row>
    <row r="296" spans="1:5" x14ac:dyDescent="0.25">
      <c r="A296" s="7">
        <v>318.16322688698966</v>
      </c>
      <c r="B296"/>
      <c r="C296"/>
      <c r="D296"/>
      <c r="E296" t="s">
        <v>8</v>
      </c>
    </row>
    <row r="297" spans="1:5" x14ac:dyDescent="0.25">
      <c r="A297" s="7">
        <v>311.92473224214672</v>
      </c>
      <c r="B297"/>
      <c r="C297"/>
      <c r="D297"/>
      <c r="E297" t="s">
        <v>8</v>
      </c>
    </row>
    <row r="298" spans="1:5" x14ac:dyDescent="0.25">
      <c r="A298" s="7">
        <v>305.80856102171248</v>
      </c>
      <c r="B298"/>
      <c r="C298"/>
      <c r="D298"/>
      <c r="E298" t="s">
        <v>8</v>
      </c>
    </row>
    <row r="299" spans="1:5" x14ac:dyDescent="0.25">
      <c r="A299" s="7">
        <v>299.81231472716911</v>
      </c>
      <c r="B299"/>
      <c r="C299"/>
      <c r="D299"/>
      <c r="E299" t="s">
        <v>8</v>
      </c>
    </row>
    <row r="300" spans="1:5" x14ac:dyDescent="0.25">
      <c r="A300" s="7">
        <v>293.93364188938148</v>
      </c>
      <c r="B300"/>
      <c r="C300"/>
      <c r="D300"/>
      <c r="E300" t="s">
        <v>8</v>
      </c>
    </row>
    <row r="301" spans="1:5" x14ac:dyDescent="0.25">
      <c r="A301" s="7">
        <v>288.17023714645245</v>
      </c>
      <c r="B301"/>
      <c r="C301"/>
      <c r="D301"/>
      <c r="E301" t="s">
        <v>8</v>
      </c>
    </row>
    <row r="302" spans="1:5" x14ac:dyDescent="0.25">
      <c r="A302" s="7">
        <v>282.51984033965925</v>
      </c>
      <c r="B302"/>
      <c r="C302"/>
      <c r="D302"/>
      <c r="E302" t="s">
        <v>8</v>
      </c>
    </row>
    <row r="303" spans="1:5" x14ac:dyDescent="0.25">
      <c r="A303" s="7">
        <v>276.98023562711688</v>
      </c>
      <c r="B303"/>
      <c r="C303"/>
      <c r="D303"/>
      <c r="E303" t="s">
        <v>8</v>
      </c>
    </row>
    <row r="304" spans="1:5" x14ac:dyDescent="0.25">
      <c r="A304" s="7">
        <v>271.54925061482049</v>
      </c>
      <c r="B304"/>
      <c r="C304"/>
      <c r="D304"/>
      <c r="E304" t="s">
        <v>8</v>
      </c>
    </row>
    <row r="305" spans="1:5" x14ac:dyDescent="0.25">
      <c r="A305" s="7">
        <v>266.22475550472598</v>
      </c>
      <c r="B305"/>
      <c r="C305"/>
      <c r="D305"/>
      <c r="E305" t="s">
        <v>8</v>
      </c>
    </row>
    <row r="306" spans="1:5" x14ac:dyDescent="0.25">
      <c r="A306" s="7">
        <v>261.00466225953528</v>
      </c>
      <c r="B306"/>
      <c r="C306"/>
      <c r="D306"/>
      <c r="E306" t="s">
        <v>8</v>
      </c>
    </row>
    <row r="307" spans="1:5" x14ac:dyDescent="0.25">
      <c r="A307" s="7">
        <v>255.88692378385809</v>
      </c>
      <c r="B307"/>
      <c r="C307"/>
      <c r="D307"/>
      <c r="E307" t="s">
        <v>8</v>
      </c>
    </row>
    <row r="308" spans="1:5" x14ac:dyDescent="0.25">
      <c r="A308" s="7">
        <v>250.8695331214295</v>
      </c>
      <c r="B308"/>
      <c r="C308"/>
      <c r="D308"/>
      <c r="E308" t="s">
        <v>8</v>
      </c>
    </row>
    <row r="309" spans="1:5" x14ac:dyDescent="0.25">
      <c r="A309" s="7">
        <v>245.95052266806812</v>
      </c>
      <c r="B309"/>
      <c r="C309"/>
      <c r="D309"/>
      <c r="E309" t="s">
        <v>8</v>
      </c>
    </row>
    <row r="310" spans="1:5" x14ac:dyDescent="0.25">
      <c r="A310" s="7">
        <v>241.12796340006679</v>
      </c>
      <c r="B310"/>
      <c r="C310"/>
      <c r="D310"/>
      <c r="E310" t="s">
        <v>8</v>
      </c>
    </row>
    <row r="311" spans="1:5" x14ac:dyDescent="0.25">
      <c r="A311" s="7">
        <v>236.39996411771253</v>
      </c>
      <c r="B311"/>
      <c r="C311"/>
      <c r="D311"/>
      <c r="E311" t="s">
        <v>8</v>
      </c>
    </row>
    <row r="312" spans="1:5" x14ac:dyDescent="0.25">
      <c r="A312" s="7">
        <v>231.76467070363972</v>
      </c>
      <c r="B312"/>
      <c r="C312"/>
      <c r="D312"/>
      <c r="E312" t="s">
        <v>8</v>
      </c>
    </row>
    <row r="313" spans="1:5" x14ac:dyDescent="0.25">
      <c r="A313" s="7">
        <v>227.22026539572522</v>
      </c>
      <c r="B313"/>
      <c r="C313"/>
      <c r="D313"/>
      <c r="E313" t="s">
        <v>8</v>
      </c>
    </row>
    <row r="314" spans="1:5" x14ac:dyDescent="0.25">
      <c r="A314" s="7">
        <v>222.76496607424042</v>
      </c>
      <c r="B314"/>
      <c r="C314"/>
      <c r="D314"/>
      <c r="E314" t="s">
        <v>8</v>
      </c>
    </row>
    <row r="315" spans="1:5" x14ac:dyDescent="0.25">
      <c r="A315" s="7">
        <v>218.39702556298079</v>
      </c>
      <c r="B315"/>
      <c r="C315"/>
      <c r="D315"/>
      <c r="E315" t="s">
        <v>8</v>
      </c>
    </row>
    <row r="316" spans="1:5" x14ac:dyDescent="0.25">
      <c r="A316" s="7">
        <v>214.1147309440988</v>
      </c>
      <c r="B316"/>
      <c r="C316"/>
      <c r="D316"/>
      <c r="E316" t="s">
        <v>8</v>
      </c>
    </row>
    <row r="317" spans="1:5" x14ac:dyDescent="0.25">
      <c r="A317" s="7">
        <v>209.91640288637137</v>
      </c>
      <c r="B317"/>
      <c r="C317"/>
      <c r="D317"/>
      <c r="E317" t="s">
        <v>8</v>
      </c>
    </row>
    <row r="318" spans="1:5" x14ac:dyDescent="0.25">
      <c r="A318" s="7">
        <v>205.80039498663859</v>
      </c>
      <c r="B318"/>
      <c r="C318"/>
      <c r="D318"/>
      <c r="E318" t="s">
        <v>8</v>
      </c>
    </row>
    <row r="319" spans="1:5" x14ac:dyDescent="0.25">
      <c r="A319" s="7">
        <v>201.76509312415547</v>
      </c>
      <c r="B319"/>
      <c r="C319"/>
      <c r="D319"/>
      <c r="E319" t="s">
        <v>8</v>
      </c>
    </row>
    <row r="320" spans="1:5" x14ac:dyDescent="0.25">
      <c r="A320" s="7">
        <v>197.80891482760339</v>
      </c>
      <c r="B320"/>
      <c r="C320"/>
      <c r="D320"/>
      <c r="E320" t="s">
        <v>8</v>
      </c>
    </row>
    <row r="321" spans="1:5" x14ac:dyDescent="0.25">
      <c r="A321" s="7">
        <v>193.93030865451311</v>
      </c>
      <c r="B321"/>
      <c r="C321"/>
      <c r="D321"/>
      <c r="E321" t="s">
        <v>8</v>
      </c>
    </row>
    <row r="322" spans="1:5" x14ac:dyDescent="0.25">
      <c r="A322" s="7">
        <v>190.127753582856</v>
      </c>
      <c r="B322"/>
      <c r="C322"/>
      <c r="D322"/>
      <c r="E322" t="s">
        <v>8</v>
      </c>
    </row>
    <row r="323" spans="1:5" x14ac:dyDescent="0.25">
      <c r="A323" s="7">
        <v>186.3997584145647</v>
      </c>
      <c r="B323"/>
      <c r="C323"/>
      <c r="D323"/>
      <c r="E323" t="s">
        <v>8</v>
      </c>
    </row>
    <row r="324" spans="1:5" x14ac:dyDescent="0.25">
      <c r="A324" s="7">
        <v>182.7448611907497</v>
      </c>
      <c r="B324"/>
      <c r="C324"/>
      <c r="D324"/>
      <c r="E324" t="s">
        <v>8</v>
      </c>
    </row>
    <row r="325" spans="1:5" x14ac:dyDescent="0.25">
      <c r="A325" s="7">
        <v>179.16162861838205</v>
      </c>
      <c r="B325"/>
      <c r="C325"/>
      <c r="D325"/>
      <c r="E325" t="s">
        <v>8</v>
      </c>
    </row>
    <row r="326" spans="1:5" x14ac:dyDescent="0.25">
      <c r="A326" s="7">
        <v>175.6486555082177</v>
      </c>
      <c r="B326"/>
      <c r="C326"/>
      <c r="D326"/>
      <c r="E326" t="s">
        <v>8</v>
      </c>
    </row>
    <row r="327" spans="1:5" x14ac:dyDescent="0.25">
      <c r="A327" s="7">
        <v>172.20456422374284</v>
      </c>
      <c r="B327"/>
      <c r="C327"/>
      <c r="D327"/>
      <c r="E327" t="s">
        <v>8</v>
      </c>
    </row>
    <row r="328" spans="1:5" x14ac:dyDescent="0.25">
      <c r="A328" s="7">
        <v>168.82800414092435</v>
      </c>
      <c r="B328"/>
      <c r="C328"/>
      <c r="D328"/>
      <c r="E328" t="s">
        <v>8</v>
      </c>
    </row>
    <row r="329" spans="1:5" x14ac:dyDescent="0.25">
      <c r="A329" s="7">
        <v>165.51765111855329</v>
      </c>
      <c r="B329"/>
      <c r="C329"/>
      <c r="D329"/>
      <c r="E329" t="s">
        <v>8</v>
      </c>
    </row>
    <row r="330" spans="1:5" x14ac:dyDescent="0.25">
      <c r="A330" s="7">
        <v>162.2722069789738</v>
      </c>
      <c r="B330"/>
      <c r="C330"/>
      <c r="D330"/>
      <c r="E330" t="s">
        <v>8</v>
      </c>
    </row>
    <row r="331" spans="1:5" x14ac:dyDescent="0.25">
      <c r="A331" s="7">
        <v>159.09039899899392</v>
      </c>
      <c r="B331"/>
      <c r="C331"/>
      <c r="D331"/>
      <c r="E331" t="s">
        <v>8</v>
      </c>
    </row>
    <row r="332" spans="1:5" x14ac:dyDescent="0.25">
      <c r="A332" s="7">
        <v>155.97097941077834</v>
      </c>
      <c r="B332"/>
      <c r="C332"/>
      <c r="D332"/>
      <c r="E332" t="s">
        <v>8</v>
      </c>
    </row>
    <row r="333" spans="1:5" x14ac:dyDescent="0.25">
      <c r="A333" s="7">
        <v>152.91272491252778</v>
      </c>
      <c r="B333"/>
      <c r="C333"/>
      <c r="D333"/>
      <c r="E333" t="s">
        <v>8</v>
      </c>
    </row>
    <row r="334" spans="1:5" x14ac:dyDescent="0.25">
      <c r="A334" s="7">
        <v>149.91443618875272</v>
      </c>
      <c r="B334"/>
      <c r="C334"/>
      <c r="D334"/>
      <c r="E334" t="s">
        <v>8</v>
      </c>
    </row>
    <row r="335" spans="1:5" x14ac:dyDescent="0.25">
      <c r="A335" s="7">
        <v>146.97493743995364</v>
      </c>
      <c r="B335"/>
      <c r="C335"/>
      <c r="D335"/>
      <c r="E335" t="s">
        <v>8</v>
      </c>
    </row>
    <row r="336" spans="1:5" x14ac:dyDescent="0.25">
      <c r="A336" s="7">
        <v>144.09307592152317</v>
      </c>
      <c r="B336"/>
      <c r="C336"/>
      <c r="D336"/>
      <c r="E336" t="s">
        <v>8</v>
      </c>
    </row>
    <row r="337" spans="1:5" x14ac:dyDescent="0.25">
      <c r="A337" s="7">
        <v>141.26772149168937</v>
      </c>
      <c r="B337"/>
      <c r="C337"/>
      <c r="D337"/>
      <c r="E337" t="s">
        <v>8</v>
      </c>
    </row>
    <row r="338" spans="1:5" x14ac:dyDescent="0.25">
      <c r="A338" s="7">
        <v>138.4977661683229</v>
      </c>
      <c r="B338"/>
      <c r="C338"/>
      <c r="D338"/>
      <c r="E338" t="s">
        <v>8</v>
      </c>
    </row>
    <row r="339" spans="1:5" x14ac:dyDescent="0.25">
      <c r="A339" s="7">
        <v>135.7821236944342</v>
      </c>
      <c r="B339"/>
      <c r="C339"/>
      <c r="D339"/>
      <c r="E339" t="s">
        <v>8</v>
      </c>
    </row>
    <row r="340" spans="1:5" x14ac:dyDescent="0.25">
      <c r="A340" s="7">
        <v>133.11972911219038</v>
      </c>
      <c r="B340"/>
      <c r="C340"/>
      <c r="D340"/>
      <c r="E340" t="s">
        <v>8</v>
      </c>
    </row>
    <row r="341" spans="1:5" x14ac:dyDescent="0.25">
      <c r="A341" s="7">
        <v>130.50953834528468</v>
      </c>
      <c r="B341"/>
      <c r="C341"/>
      <c r="D341"/>
      <c r="E341" t="s">
        <v>8</v>
      </c>
    </row>
    <row r="342" spans="1:5" x14ac:dyDescent="0.25">
      <c r="A342" s="7">
        <v>127.95052778949477</v>
      </c>
      <c r="B342"/>
      <c r="C342"/>
      <c r="D342"/>
      <c r="E342" t="s">
        <v>8</v>
      </c>
    </row>
    <row r="343" spans="1:5" x14ac:dyDescent="0.25">
      <c r="A343" s="7">
        <v>125.44169391126938</v>
      </c>
      <c r="B343"/>
      <c r="C343"/>
      <c r="D343"/>
      <c r="E343" t="s">
        <v>8</v>
      </c>
    </row>
    <row r="344" spans="1:5" x14ac:dyDescent="0.25">
      <c r="A344" s="7">
        <v>122.98205285418567</v>
      </c>
      <c r="B344"/>
      <c r="C344"/>
      <c r="D344"/>
      <c r="E344" t="s">
        <v>8</v>
      </c>
    </row>
    <row r="345" spans="1:5" x14ac:dyDescent="0.25">
      <c r="A345" s="7">
        <v>120.5706400531232</v>
      </c>
      <c r="B345"/>
      <c r="C345"/>
      <c r="D345"/>
      <c r="E345" t="s">
        <v>8</v>
      </c>
    </row>
    <row r="346" spans="1:5" x14ac:dyDescent="0.25">
      <c r="A346" s="7">
        <v>118.20650985600314</v>
      </c>
      <c r="B346"/>
      <c r="C346"/>
      <c r="D346"/>
      <c r="E346" t="s">
        <v>8</v>
      </c>
    </row>
    <row r="347" spans="1:5" x14ac:dyDescent="0.25">
      <c r="A347" s="7">
        <v>115.88873515294425</v>
      </c>
      <c r="B347"/>
      <c r="C347"/>
      <c r="D347"/>
      <c r="E347" t="s">
        <v>8</v>
      </c>
    </row>
    <row r="348" spans="1:5" x14ac:dyDescent="0.25">
      <c r="A348" s="7">
        <v>113.61640701269044</v>
      </c>
      <c r="B348"/>
      <c r="C348"/>
      <c r="D348"/>
      <c r="E348" t="s">
        <v>8</v>
      </c>
    </row>
    <row r="349" spans="1:5" x14ac:dyDescent="0.25">
      <c r="A349" s="7">
        <v>111.38863432616711</v>
      </c>
      <c r="B349"/>
      <c r="C349"/>
      <c r="D349"/>
      <c r="E349" t="s">
        <v>8</v>
      </c>
    </row>
    <row r="350" spans="1:5" x14ac:dyDescent="0.25">
      <c r="A350" s="7">
        <v>109.20454345702657</v>
      </c>
      <c r="B350"/>
      <c r="C350"/>
      <c r="D350"/>
      <c r="E350" t="s">
        <v>8</v>
      </c>
    </row>
    <row r="351" spans="1:5" x14ac:dyDescent="0.25">
      <c r="A351" s="7">
        <v>107.06327789904566</v>
      </c>
      <c r="B351"/>
      <c r="C351"/>
      <c r="D351"/>
      <c r="E351" t="s">
        <v>8</v>
      </c>
    </row>
    <row r="352" spans="1:5" x14ac:dyDescent="0.25">
      <c r="A352" s="7">
        <v>104.96399794024084</v>
      </c>
      <c r="B352"/>
      <c r="C352"/>
      <c r="D352"/>
      <c r="E352" t="s">
        <v>8</v>
      </c>
    </row>
    <row r="353" spans="1:5" x14ac:dyDescent="0.25">
      <c r="A353" s="7">
        <v>102.90588033356946</v>
      </c>
      <c r="B353"/>
      <c r="C353"/>
      <c r="D353"/>
      <c r="E353" t="s">
        <v>8</v>
      </c>
    </row>
    <row r="354" spans="1:5" x14ac:dyDescent="0.25">
      <c r="A354" s="7">
        <v>100.88811797408771</v>
      </c>
      <c r="B354"/>
      <c r="C354"/>
      <c r="D354"/>
      <c r="E354" t="s">
        <v>8</v>
      </c>
    </row>
    <row r="355" spans="1:5" x14ac:dyDescent="0.25">
      <c r="A355" s="7">
        <v>98.909919582438931</v>
      </c>
      <c r="B355"/>
      <c r="C355"/>
      <c r="D355"/>
      <c r="E355" t="s">
        <v>8</v>
      </c>
    </row>
    <row r="356" spans="1:5" x14ac:dyDescent="0.25">
      <c r="A356" s="7">
        <v>96.970509394547975</v>
      </c>
      <c r="B356"/>
      <c r="C356"/>
      <c r="D356"/>
      <c r="E356" t="s">
        <v>8</v>
      </c>
    </row>
    <row r="357" spans="1:5" x14ac:dyDescent="0.25">
      <c r="A357" s="7">
        <v>95.069126857399979</v>
      </c>
      <c r="B357"/>
      <c r="C357"/>
      <c r="D357"/>
      <c r="E357" t="s">
        <v>8</v>
      </c>
    </row>
    <row r="358" spans="1:5" x14ac:dyDescent="0.25">
      <c r="A358" s="7">
        <v>93.205026330784293</v>
      </c>
      <c r="B358"/>
      <c r="C358"/>
      <c r="D358"/>
      <c r="E358" t="s">
        <v>8</v>
      </c>
    </row>
    <row r="359" spans="1:5" x14ac:dyDescent="0.25">
      <c r="A359" s="7">
        <v>91.377476794886562</v>
      </c>
      <c r="B359"/>
      <c r="C359"/>
      <c r="D359"/>
      <c r="E359" t="s">
        <v>8</v>
      </c>
    </row>
    <row r="360" spans="1:5" x14ac:dyDescent="0.25">
      <c r="A360" s="7">
        <v>89.58576156361427</v>
      </c>
      <c r="B360"/>
      <c r="C360"/>
      <c r="D360"/>
      <c r="E360" t="s">
        <v>8</v>
      </c>
    </row>
    <row r="361" spans="1:5" x14ac:dyDescent="0.25">
      <c r="A361" s="7">
        <v>87.829178003543404</v>
      </c>
      <c r="B361"/>
      <c r="C361"/>
      <c r="D361"/>
      <c r="E361" t="s">
        <v>8</v>
      </c>
    </row>
    <row r="362" spans="1:5" x14ac:dyDescent="0.25">
      <c r="A362" s="7">
        <v>86.107037258375883</v>
      </c>
      <c r="B362"/>
      <c r="C362"/>
      <c r="D362"/>
      <c r="E362" t="s">
        <v>8</v>
      </c>
    </row>
    <row r="363" spans="1:5" x14ac:dyDescent="0.25">
      <c r="A363" s="7">
        <v>84.418663978799884</v>
      </c>
      <c r="B363"/>
      <c r="C363"/>
      <c r="D363"/>
      <c r="E363" t="s">
        <v>8</v>
      </c>
    </row>
    <row r="364" spans="1:5" x14ac:dyDescent="0.25">
      <c r="A364" s="7">
        <v>82.763396057646943</v>
      </c>
      <c r="B364"/>
      <c r="C364"/>
      <c r="D364"/>
      <c r="E364" t="s">
        <v>8</v>
      </c>
    </row>
    <row r="365" spans="1:5" x14ac:dyDescent="0.25">
      <c r="A365" s="7">
        <v>81.140584370242095</v>
      </c>
      <c r="B365"/>
      <c r="C365"/>
      <c r="D365"/>
      <c r="E365" t="s">
        <v>8</v>
      </c>
    </row>
    <row r="366" spans="1:5" x14ac:dyDescent="0.25">
      <c r="A366" s="7">
        <v>79.549592519845191</v>
      </c>
      <c r="B366"/>
      <c r="C366"/>
      <c r="D366"/>
      <c r="E366" t="s">
        <v>8</v>
      </c>
    </row>
    <row r="367" spans="1:5" x14ac:dyDescent="0.25">
      <c r="A367" s="7">
        <v>77.989796588083522</v>
      </c>
      <c r="B367"/>
      <c r="C367"/>
      <c r="D367"/>
      <c r="E367" t="s">
        <v>8</v>
      </c>
    </row>
    <row r="368" spans="1:5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06" operator="equal">
      <formula>$U$1</formula>
    </cfRule>
    <cfRule type="cellIs" dxfId="89" priority="707" operator="equal">
      <formula>$S$1</formula>
    </cfRule>
  </conditionalFormatting>
  <conditionalFormatting sqref="D27">
    <cfRule type="cellIs" dxfId="88" priority="704" operator="equal">
      <formula>$S$1</formula>
    </cfRule>
    <cfRule type="cellIs" dxfId="87" priority="705" operator="equal">
      <formula>$U$1</formula>
    </cfRule>
  </conditionalFormatting>
  <conditionalFormatting sqref="C164">
    <cfRule type="cellIs" dxfId="86" priority="702" operator="equal">
      <formula>$U$1</formula>
    </cfRule>
    <cfRule type="cellIs" dxfId="85" priority="703" operator="equal">
      <formula>$S$1</formula>
    </cfRule>
  </conditionalFormatting>
  <conditionalFormatting sqref="D164">
    <cfRule type="cellIs" dxfId="84" priority="700" operator="equal">
      <formula>$S$1</formula>
    </cfRule>
    <cfRule type="cellIs" dxfId="83" priority="701" operator="equal">
      <formula>$U$1</formula>
    </cfRule>
  </conditionalFormatting>
  <conditionalFormatting sqref="C55">
    <cfRule type="cellIs" dxfId="82" priority="698" operator="equal">
      <formula>$U$1</formula>
    </cfRule>
    <cfRule type="cellIs" dxfId="81" priority="699" operator="equal">
      <formula>$S$1</formula>
    </cfRule>
  </conditionalFormatting>
  <conditionalFormatting sqref="D55">
    <cfRule type="cellIs" dxfId="80" priority="696" operator="equal">
      <formula>$S$1</formula>
    </cfRule>
    <cfRule type="cellIs" dxfId="79" priority="697" operator="equal">
      <formula>$U$1</formula>
    </cfRule>
  </conditionalFormatting>
  <conditionalFormatting sqref="C89">
    <cfRule type="cellIs" dxfId="78" priority="694" operator="equal">
      <formula>$U$1</formula>
    </cfRule>
    <cfRule type="cellIs" dxfId="77" priority="695" operator="equal">
      <formula>$S$1</formula>
    </cfRule>
  </conditionalFormatting>
  <conditionalFormatting sqref="D89">
    <cfRule type="cellIs" dxfId="76" priority="692" operator="equal">
      <formula>$S$1</formula>
    </cfRule>
    <cfRule type="cellIs" dxfId="75" priority="693" operator="equal">
      <formula>$U$1</formula>
    </cfRule>
  </conditionalFormatting>
  <conditionalFormatting sqref="C136">
    <cfRule type="cellIs" dxfId="74" priority="690" operator="equal">
      <formula>$U$1</formula>
    </cfRule>
    <cfRule type="cellIs" dxfId="73" priority="691" operator="equal">
      <formula>$S$1</formula>
    </cfRule>
  </conditionalFormatting>
  <conditionalFormatting sqref="D136">
    <cfRule type="cellIs" dxfId="72" priority="688" operator="equal">
      <formula>$S$1</formula>
    </cfRule>
    <cfRule type="cellIs" dxfId="71" priority="689" operator="equal">
      <formula>$U$1</formula>
    </cfRule>
  </conditionalFormatting>
  <conditionalFormatting sqref="C1">
    <cfRule type="cellIs" dxfId="70" priority="68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77" zoomScale="90" zoomScaleNormal="90" workbookViewId="0">
      <pane xSplit="4" topLeftCell="G1" activePane="topRight" state="frozen"/>
      <selection activeCell="A109" sqref="A109"/>
      <selection pane="topRight" activeCell="BM115" sqref="BM11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22" x14ac:dyDescent="0.25">
      <c r="A65" s="30">
        <v>5106.5470445243318</v>
      </c>
      <c r="E65"/>
    </row>
    <row r="66" spans="1:22" x14ac:dyDescent="0.25">
      <c r="A66" s="30">
        <v>4863.3781376422203</v>
      </c>
      <c r="E66"/>
    </row>
    <row r="67" spans="1:22" x14ac:dyDescent="0.25">
      <c r="A67" s="30">
        <v>4631.7887025164</v>
      </c>
      <c r="E67" t="s">
        <v>8</v>
      </c>
      <c r="I67" s="27" t="s">
        <v>8</v>
      </c>
    </row>
    <row r="68" spans="1:22" x14ac:dyDescent="0.25">
      <c r="A68" s="30">
        <v>4411.2273357299046</v>
      </c>
      <c r="E68" t="s">
        <v>8</v>
      </c>
      <c r="F68" s="27" t="s">
        <v>7</v>
      </c>
      <c r="G68" s="27" t="s">
        <v>8</v>
      </c>
      <c r="I68" s="27" t="s">
        <v>8</v>
      </c>
      <c r="J68" s="27" t="s">
        <v>7</v>
      </c>
    </row>
    <row r="69" spans="1:22" x14ac:dyDescent="0.25">
      <c r="A69" s="30">
        <v>4201.1688911713372</v>
      </c>
      <c r="E69" t="s">
        <v>8</v>
      </c>
      <c r="F69" s="27" t="s">
        <v>7</v>
      </c>
      <c r="G69" s="27" t="s">
        <v>8</v>
      </c>
      <c r="H69" s="27" t="s">
        <v>7</v>
      </c>
      <c r="I69" s="27" t="s">
        <v>8</v>
      </c>
      <c r="J69" s="27" t="s">
        <v>7</v>
      </c>
      <c r="Q69" s="27" t="s">
        <v>8</v>
      </c>
    </row>
    <row r="70" spans="1:22" x14ac:dyDescent="0.25">
      <c r="A70" s="30">
        <v>4001.1132296869878</v>
      </c>
      <c r="E70" t="s">
        <v>8</v>
      </c>
      <c r="F70" s="27" t="s">
        <v>7</v>
      </c>
      <c r="G70" s="27" t="s">
        <v>8</v>
      </c>
      <c r="H70" s="27" t="s">
        <v>7</v>
      </c>
      <c r="I70" s="27" t="s">
        <v>8</v>
      </c>
      <c r="J70" s="27" t="s">
        <v>7</v>
      </c>
      <c r="Q70" s="27" t="s">
        <v>8</v>
      </c>
      <c r="R70" s="27" t="s">
        <v>7</v>
      </c>
    </row>
    <row r="71" spans="1:22" x14ac:dyDescent="0.25">
      <c r="A71" s="30">
        <v>3810.5840282733216</v>
      </c>
      <c r="C71" s="1" t="s">
        <v>15</v>
      </c>
      <c r="E71" t="s">
        <v>8</v>
      </c>
      <c r="F71" s="27" t="s">
        <v>7</v>
      </c>
      <c r="G71" s="27" t="s">
        <v>8</v>
      </c>
      <c r="H71" s="27" t="s">
        <v>7</v>
      </c>
      <c r="J71" s="27" t="s">
        <v>7</v>
      </c>
      <c r="O71" s="27" t="s">
        <v>8</v>
      </c>
      <c r="Q71" s="27" t="s">
        <v>8</v>
      </c>
      <c r="R71" s="27" t="s">
        <v>7</v>
      </c>
    </row>
    <row r="72" spans="1:22" x14ac:dyDescent="0.25">
      <c r="A72" s="30">
        <v>3629.1276459745918</v>
      </c>
      <c r="C72" s="7">
        <v>0.11686133436193799</v>
      </c>
      <c r="D72"/>
      <c r="E72" t="s">
        <v>8</v>
      </c>
      <c r="F72" s="27" t="s">
        <v>7</v>
      </c>
      <c r="G72" s="27" t="s">
        <v>8</v>
      </c>
      <c r="J72" s="27" t="s">
        <v>7</v>
      </c>
      <c r="O72" s="27" t="s">
        <v>8</v>
      </c>
      <c r="P72" s="27" t="s">
        <v>7</v>
      </c>
      <c r="Q72" s="27" t="s">
        <v>8</v>
      </c>
      <c r="R72" s="27" t="s">
        <v>7</v>
      </c>
    </row>
    <row r="73" spans="1:22" x14ac:dyDescent="0.25">
      <c r="A73" s="30">
        <v>3456.3120437853254</v>
      </c>
      <c r="E73" t="s">
        <v>8</v>
      </c>
      <c r="F73" s="27" t="s">
        <v>7</v>
      </c>
      <c r="G73" s="27" t="s">
        <v>8</v>
      </c>
      <c r="J73" s="27" t="s">
        <v>7</v>
      </c>
      <c r="K73" s="27" t="s">
        <v>8</v>
      </c>
      <c r="O73" s="27" t="s">
        <v>8</v>
      </c>
      <c r="P73" s="27" t="s">
        <v>7</v>
      </c>
      <c r="Q73" s="27" t="s">
        <v>8</v>
      </c>
      <c r="R73" s="27" t="s">
        <v>7</v>
      </c>
      <c r="S73" s="27" t="s">
        <v>8</v>
      </c>
    </row>
    <row r="74" spans="1:22" x14ac:dyDescent="0.25">
      <c r="A74" s="30">
        <v>3291.7257559860241</v>
      </c>
      <c r="C74" s="1" t="s">
        <v>11</v>
      </c>
      <c r="D74" s="1" t="s">
        <v>12</v>
      </c>
      <c r="E74" t="s">
        <v>8</v>
      </c>
      <c r="F74" s="27" t="s">
        <v>7</v>
      </c>
      <c r="J74" s="27" t="s">
        <v>7</v>
      </c>
      <c r="K74" s="27" t="s">
        <v>8</v>
      </c>
      <c r="L74" s="27" t="s">
        <v>7</v>
      </c>
      <c r="O74" s="27" t="s">
        <v>8</v>
      </c>
      <c r="P74" s="27" t="s">
        <v>7</v>
      </c>
      <c r="R74" s="27" t="s">
        <v>7</v>
      </c>
      <c r="S74" s="27" t="s">
        <v>8</v>
      </c>
      <c r="T74" s="27" t="s">
        <v>7</v>
      </c>
    </row>
    <row r="75" spans="1:22" x14ac:dyDescent="0.25">
      <c r="A75" s="30">
        <v>3134.9769104628799</v>
      </c>
      <c r="C75"/>
      <c r="D75"/>
      <c r="E75" t="s">
        <v>8</v>
      </c>
      <c r="J75" s="27" t="s">
        <v>7</v>
      </c>
      <c r="K75" s="27" t="s">
        <v>8</v>
      </c>
      <c r="L75" s="27" t="s">
        <v>7</v>
      </c>
      <c r="O75" s="27" t="s">
        <v>8</v>
      </c>
      <c r="R75" s="27" t="s">
        <v>7</v>
      </c>
      <c r="S75" s="27" t="s">
        <v>8</v>
      </c>
      <c r="T75" s="27" t="s">
        <v>7</v>
      </c>
    </row>
    <row r="76" spans="1:22" x14ac:dyDescent="0.25">
      <c r="A76" s="30">
        <v>2985.6922956789331</v>
      </c>
      <c r="E76" t="s">
        <v>8</v>
      </c>
      <c r="J76" s="27" t="s">
        <v>7</v>
      </c>
      <c r="K76" s="27" t="s">
        <v>8</v>
      </c>
      <c r="L76" s="27" t="s">
        <v>7</v>
      </c>
      <c r="O76" s="27" t="s">
        <v>8</v>
      </c>
      <c r="R76" s="27" t="s">
        <v>7</v>
      </c>
      <c r="S76" s="27" t="s">
        <v>8</v>
      </c>
      <c r="T76" s="27" t="s">
        <v>7</v>
      </c>
    </row>
    <row r="77" spans="1:22" x14ac:dyDescent="0.25">
      <c r="A77" s="30">
        <v>2843.5164720751741</v>
      </c>
      <c r="C77" s="1" t="s">
        <v>13</v>
      </c>
      <c r="E77" t="s">
        <v>8</v>
      </c>
      <c r="J77" s="27" t="s">
        <v>7</v>
      </c>
      <c r="L77" s="27" t="s">
        <v>7</v>
      </c>
      <c r="O77" s="27" t="s">
        <v>8</v>
      </c>
      <c r="R77" s="27" t="s">
        <v>7</v>
      </c>
      <c r="S77" s="27" t="s">
        <v>8</v>
      </c>
      <c r="T77" s="27" t="s">
        <v>7</v>
      </c>
    </row>
    <row r="78" spans="1:22" x14ac:dyDescent="0.25">
      <c r="A78" s="30">
        <v>2708.1109257858798</v>
      </c>
      <c r="C78" s="1">
        <f>C67</f>
        <v>0</v>
      </c>
      <c r="E78" t="s">
        <v>8</v>
      </c>
      <c r="L78" s="27" t="s">
        <v>7</v>
      </c>
      <c r="O78" s="27" t="s">
        <v>8</v>
      </c>
      <c r="R78" s="27" t="s">
        <v>7</v>
      </c>
      <c r="T78" s="27" t="s">
        <v>7</v>
      </c>
    </row>
    <row r="79" spans="1:22" x14ac:dyDescent="0.25">
      <c r="A79" s="30">
        <v>2579.1532626532189</v>
      </c>
      <c r="C79"/>
      <c r="E79" t="s">
        <v>8</v>
      </c>
      <c r="L79" s="27" t="s">
        <v>7</v>
      </c>
      <c r="O79" s="27" t="s">
        <v>8</v>
      </c>
      <c r="T79" s="27" t="s">
        <v>7</v>
      </c>
      <c r="U79" s="27" t="s">
        <v>8</v>
      </c>
    </row>
    <row r="80" spans="1:22" x14ac:dyDescent="0.25">
      <c r="A80" s="30">
        <v>2456.3364406221131</v>
      </c>
      <c r="C80" s="1" t="s">
        <v>14</v>
      </c>
      <c r="E80" t="s">
        <v>8</v>
      </c>
      <c r="L80" s="27" t="s">
        <v>7</v>
      </c>
      <c r="O80" s="27" t="s">
        <v>8</v>
      </c>
      <c r="T80" s="27" t="s">
        <v>7</v>
      </c>
      <c r="U80" s="27" t="s">
        <v>8</v>
      </c>
      <c r="V80" s="27" t="s">
        <v>7</v>
      </c>
    </row>
    <row r="81" spans="1:54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 t="s">
        <v>8</v>
      </c>
      <c r="L81" s="27" t="s">
        <v>7</v>
      </c>
      <c r="M81" s="27" t="s">
        <v>8</v>
      </c>
      <c r="O81" s="27" t="s">
        <v>8</v>
      </c>
      <c r="T81" s="27" t="s">
        <v>7</v>
      </c>
      <c r="U81" s="27" t="s">
        <v>8</v>
      </c>
      <c r="V81" s="27" t="s">
        <v>7</v>
      </c>
    </row>
    <row r="82" spans="1:54" x14ac:dyDescent="0.25">
      <c r="A82" s="30">
        <v>2227.9695606549776</v>
      </c>
      <c r="E82" t="s">
        <v>8</v>
      </c>
      <c r="L82" s="27" t="s">
        <v>7</v>
      </c>
      <c r="M82" s="27" t="s">
        <v>8</v>
      </c>
      <c r="N82" s="27" t="s">
        <v>7</v>
      </c>
      <c r="O82" s="27" t="s">
        <v>8</v>
      </c>
      <c r="T82" s="27" t="s">
        <v>7</v>
      </c>
      <c r="V82" s="27" t="s">
        <v>7</v>
      </c>
    </row>
    <row r="83" spans="1:54" x14ac:dyDescent="0.25">
      <c r="A83" s="30">
        <v>2121.8757720523595</v>
      </c>
      <c r="E83" t="s">
        <v>8</v>
      </c>
      <c r="L83" s="27" t="s">
        <v>7</v>
      </c>
      <c r="M83" s="27" t="s">
        <v>8</v>
      </c>
      <c r="N83" s="27" t="s">
        <v>7</v>
      </c>
      <c r="O83" s="27" t="s">
        <v>8</v>
      </c>
      <c r="V83" s="27" t="s">
        <v>7</v>
      </c>
    </row>
    <row r="84" spans="1:54" x14ac:dyDescent="0.25">
      <c r="A84" s="30">
        <v>2020.8340686212948</v>
      </c>
      <c r="E84" t="s">
        <v>8</v>
      </c>
      <c r="L84" s="27" t="s">
        <v>7</v>
      </c>
      <c r="N84" s="27" t="s">
        <v>7</v>
      </c>
      <c r="V84" s="27" t="s">
        <v>7</v>
      </c>
    </row>
    <row r="85" spans="1:54" x14ac:dyDescent="0.25">
      <c r="A85" s="30">
        <v>1924.6038748774236</v>
      </c>
      <c r="E85" t="s">
        <v>8</v>
      </c>
      <c r="V85" s="27" t="s">
        <v>7</v>
      </c>
      <c r="W85" s="27" t="s">
        <v>8</v>
      </c>
    </row>
    <row r="86" spans="1:54" x14ac:dyDescent="0.25">
      <c r="A86" s="30">
        <v>1832.9560713118319</v>
      </c>
      <c r="E86" t="s">
        <v>8</v>
      </c>
      <c r="V86" s="27" t="s">
        <v>7</v>
      </c>
      <c r="W86" s="27" t="s">
        <v>8</v>
      </c>
      <c r="X86" s="27" t="s">
        <v>7</v>
      </c>
    </row>
    <row r="87" spans="1:54" x14ac:dyDescent="0.25">
      <c r="A87" s="30">
        <v>1745.6724488684113</v>
      </c>
      <c r="E87" t="s">
        <v>8</v>
      </c>
      <c r="V87" s="27" t="s">
        <v>7</v>
      </c>
      <c r="W87" s="27" t="s">
        <v>8</v>
      </c>
      <c r="X87" s="27" t="s">
        <v>7</v>
      </c>
    </row>
    <row r="88" spans="1:54" x14ac:dyDescent="0.25">
      <c r="A88" s="30">
        <v>1662.5451893984869</v>
      </c>
      <c r="E88" t="s">
        <v>8</v>
      </c>
      <c r="V88" s="27" t="s">
        <v>7</v>
      </c>
      <c r="W88" s="27" t="s">
        <v>8</v>
      </c>
      <c r="X88" s="27" t="s">
        <v>7</v>
      </c>
      <c r="Y88" s="27" t="s">
        <v>8</v>
      </c>
    </row>
    <row r="89" spans="1:54" x14ac:dyDescent="0.25">
      <c r="A89" s="30">
        <v>1583.3763708557017</v>
      </c>
      <c r="E89" t="s">
        <v>8</v>
      </c>
      <c r="V89" s="27" t="s">
        <v>7</v>
      </c>
      <c r="W89" s="27" t="s">
        <v>8</v>
      </c>
      <c r="X89" s="27" t="s">
        <v>7</v>
      </c>
      <c r="Y89" s="27" t="s">
        <v>8</v>
      </c>
      <c r="Z89" s="27" t="s">
        <v>7</v>
      </c>
      <c r="AA89" s="27" t="s">
        <v>8</v>
      </c>
      <c r="AQ89" s="27" t="s">
        <v>8</v>
      </c>
      <c r="AU89" s="27" t="s">
        <v>8</v>
      </c>
    </row>
    <row r="90" spans="1:54" x14ac:dyDescent="0.25">
      <c r="A90" s="30">
        <v>1507.9774960530492</v>
      </c>
      <c r="E90" t="s">
        <v>8</v>
      </c>
      <c r="V90" s="27" t="s">
        <v>7</v>
      </c>
      <c r="W90" s="27" t="s">
        <v>8</v>
      </c>
      <c r="X90" s="27" t="s">
        <v>7</v>
      </c>
      <c r="Y90" s="27" t="s">
        <v>8</v>
      </c>
      <c r="Z90" s="27" t="s">
        <v>7</v>
      </c>
      <c r="AA90" s="27" t="s">
        <v>8</v>
      </c>
      <c r="AB90" s="27" t="s">
        <v>7</v>
      </c>
      <c r="AQ90" s="27" t="s">
        <v>8</v>
      </c>
      <c r="AR90" s="27" t="s">
        <v>7</v>
      </c>
      <c r="AS90" s="27" t="s">
        <v>8</v>
      </c>
      <c r="AU90" s="27" t="s">
        <v>8</v>
      </c>
      <c r="AV90" s="27" t="s">
        <v>7</v>
      </c>
    </row>
    <row r="91" spans="1:54" x14ac:dyDescent="0.25">
      <c r="A91" s="30">
        <v>1436.1690438600467</v>
      </c>
      <c r="E91" t="s">
        <v>8</v>
      </c>
      <c r="V91" s="27" t="s">
        <v>7</v>
      </c>
      <c r="W91" s="27" t="s">
        <v>8</v>
      </c>
      <c r="X91" s="27" t="s">
        <v>7</v>
      </c>
      <c r="Y91" s="27" t="s">
        <v>8</v>
      </c>
      <c r="Z91" s="27" t="s">
        <v>7</v>
      </c>
      <c r="AA91" s="27" t="s">
        <v>8</v>
      </c>
      <c r="AB91" s="27" t="s">
        <v>7</v>
      </c>
      <c r="AQ91" s="27" t="s">
        <v>8</v>
      </c>
      <c r="AR91" s="27" t="s">
        <v>7</v>
      </c>
      <c r="AS91" s="27" t="s">
        <v>8</v>
      </c>
      <c r="AT91" s="27" t="s">
        <v>7</v>
      </c>
      <c r="AU91" s="27" t="s">
        <v>8</v>
      </c>
      <c r="AV91" s="27" t="s">
        <v>7</v>
      </c>
      <c r="AW91" s="27" t="s">
        <v>8</v>
      </c>
    </row>
    <row r="92" spans="1:54" x14ac:dyDescent="0.25">
      <c r="A92" s="30">
        <v>1367.780041771473</v>
      </c>
      <c r="E92" t="s">
        <v>8</v>
      </c>
      <c r="V92" s="27" t="s">
        <v>7</v>
      </c>
      <c r="W92" s="27" t="s">
        <v>8</v>
      </c>
      <c r="X92" s="27" t="s">
        <v>7</v>
      </c>
      <c r="Y92" s="27" t="s">
        <v>8</v>
      </c>
      <c r="Z92" s="27" t="s">
        <v>7</v>
      </c>
      <c r="AA92" s="27" t="s">
        <v>8</v>
      </c>
      <c r="AB92" s="27" t="s">
        <v>7</v>
      </c>
      <c r="AE92" s="27" t="s">
        <v>8</v>
      </c>
      <c r="AO92" s="27" t="s">
        <v>8</v>
      </c>
      <c r="AQ92" s="27" t="s">
        <v>8</v>
      </c>
      <c r="AR92" s="27" t="s">
        <v>7</v>
      </c>
      <c r="AS92" s="27" t="s">
        <v>8</v>
      </c>
      <c r="AT92" s="27" t="s">
        <v>7</v>
      </c>
      <c r="AU92" s="27" t="s">
        <v>8</v>
      </c>
      <c r="AV92" s="27" t="s">
        <v>7</v>
      </c>
      <c r="AW92" s="27" t="s">
        <v>8</v>
      </c>
      <c r="AX92" s="27" t="s">
        <v>7</v>
      </c>
    </row>
    <row r="93" spans="1:54" x14ac:dyDescent="0.25">
      <c r="A93" s="30">
        <v>1302.6476588299743</v>
      </c>
      <c r="E93" t="s">
        <v>8</v>
      </c>
      <c r="V93" s="27" t="s">
        <v>7</v>
      </c>
      <c r="W93" s="27" t="s">
        <v>8</v>
      </c>
      <c r="X93" s="27" t="s">
        <v>7</v>
      </c>
      <c r="Y93" s="27" t="s">
        <v>8</v>
      </c>
      <c r="Z93" s="27" t="s">
        <v>7</v>
      </c>
      <c r="AA93" s="27" t="s">
        <v>8</v>
      </c>
      <c r="AB93" s="27" t="s">
        <v>7</v>
      </c>
      <c r="AE93" s="27" t="s">
        <v>8</v>
      </c>
      <c r="AF93" s="27" t="s">
        <v>7</v>
      </c>
      <c r="AO93" s="27" t="s">
        <v>8</v>
      </c>
      <c r="AP93" s="27" t="s">
        <v>7</v>
      </c>
      <c r="AQ93" s="27" t="s">
        <v>8</v>
      </c>
      <c r="AR93" s="27" t="s">
        <v>7</v>
      </c>
      <c r="AT93" s="27" t="s">
        <v>7</v>
      </c>
      <c r="AU93" s="27" t="s">
        <v>8</v>
      </c>
      <c r="AV93" s="27" t="s">
        <v>7</v>
      </c>
      <c r="AW93" s="27" t="s">
        <v>8</v>
      </c>
      <c r="AX93" s="27" t="s">
        <v>7</v>
      </c>
    </row>
    <row r="94" spans="1:54" x14ac:dyDescent="0.25">
      <c r="A94" s="30">
        <v>1240.6168179333088</v>
      </c>
      <c r="E94" t="s">
        <v>8</v>
      </c>
      <c r="V94" s="27" t="s">
        <v>7</v>
      </c>
      <c r="X94" s="27" t="s">
        <v>7</v>
      </c>
      <c r="Y94" s="27" t="s">
        <v>8</v>
      </c>
      <c r="Z94" s="27" t="s">
        <v>7</v>
      </c>
      <c r="AB94" s="27" t="s">
        <v>7</v>
      </c>
      <c r="AE94" s="27" t="s">
        <v>8</v>
      </c>
      <c r="AF94" s="27" t="s">
        <v>7</v>
      </c>
      <c r="AO94" s="27" t="s">
        <v>8</v>
      </c>
      <c r="AP94" s="27" t="s">
        <v>7</v>
      </c>
      <c r="AQ94" s="27" t="s">
        <v>8</v>
      </c>
      <c r="AT94" s="27" t="s">
        <v>7</v>
      </c>
      <c r="AU94" s="27" t="s">
        <v>8</v>
      </c>
      <c r="AV94" s="27" t="s">
        <v>7</v>
      </c>
      <c r="AW94" s="27" t="s">
        <v>8</v>
      </c>
      <c r="AX94" s="27" t="s">
        <v>7</v>
      </c>
      <c r="BA94" s="27" t="s">
        <v>8</v>
      </c>
    </row>
    <row r="95" spans="1:54" x14ac:dyDescent="0.25">
      <c r="A95" s="30">
        <v>1181.5398266031511</v>
      </c>
      <c r="E95" t="s">
        <v>8</v>
      </c>
      <c r="X95" s="27" t="s">
        <v>7</v>
      </c>
      <c r="Y95" s="27" t="s">
        <v>8</v>
      </c>
      <c r="AB95" s="27" t="s">
        <v>7</v>
      </c>
      <c r="AC95" s="27" t="s">
        <v>8</v>
      </c>
      <c r="AE95" s="27" t="s">
        <v>8</v>
      </c>
      <c r="AF95" s="27" t="s">
        <v>7</v>
      </c>
      <c r="AM95" s="27" t="s">
        <v>8</v>
      </c>
      <c r="AO95" s="27" t="s">
        <v>8</v>
      </c>
      <c r="AP95" s="27" t="s">
        <v>7</v>
      </c>
      <c r="AQ95" s="27" t="s">
        <v>8</v>
      </c>
      <c r="AT95" s="27" t="s">
        <v>7</v>
      </c>
      <c r="AU95" s="27" t="s">
        <v>8</v>
      </c>
      <c r="AV95" s="27" t="s">
        <v>7</v>
      </c>
      <c r="AW95" s="27" t="s">
        <v>8</v>
      </c>
      <c r="AX95" s="27" t="s">
        <v>7</v>
      </c>
      <c r="AY95" s="27" t="s">
        <v>8</v>
      </c>
      <c r="BA95" s="27" t="s">
        <v>8</v>
      </c>
      <c r="BB95" s="27" t="s">
        <v>7</v>
      </c>
    </row>
    <row r="96" spans="1:54" x14ac:dyDescent="0.25">
      <c r="A96" s="30">
        <v>1125.2760253363344</v>
      </c>
      <c r="C96" s="1" t="s">
        <v>15</v>
      </c>
      <c r="E96" t="s">
        <v>8</v>
      </c>
      <c r="X96" s="27" t="s">
        <v>7</v>
      </c>
      <c r="Y96" s="27" t="s">
        <v>8</v>
      </c>
      <c r="AB96" s="27" t="s">
        <v>7</v>
      </c>
      <c r="AC96" s="27" t="s">
        <v>8</v>
      </c>
      <c r="AD96" s="27" t="s">
        <v>7</v>
      </c>
      <c r="AE96" s="27" t="s">
        <v>8</v>
      </c>
      <c r="AF96" s="27" t="s">
        <v>7</v>
      </c>
      <c r="AM96" s="27" t="s">
        <v>8</v>
      </c>
      <c r="AN96" s="27" t="s">
        <v>7</v>
      </c>
      <c r="AO96" s="27" t="s">
        <v>8</v>
      </c>
      <c r="AP96" s="27" t="s">
        <v>7</v>
      </c>
      <c r="AQ96" s="27" t="s">
        <v>8</v>
      </c>
      <c r="AT96" s="27" t="s">
        <v>7</v>
      </c>
      <c r="AU96" s="31" t="s">
        <v>8</v>
      </c>
      <c r="AV96" s="27" t="s">
        <v>7</v>
      </c>
      <c r="AW96" s="27" t="s">
        <v>8</v>
      </c>
      <c r="AX96" s="27" t="s">
        <v>7</v>
      </c>
      <c r="AY96" s="27" t="s">
        <v>8</v>
      </c>
      <c r="AZ96" s="27" t="s">
        <v>7</v>
      </c>
      <c r="BA96" s="27" t="s">
        <v>8</v>
      </c>
      <c r="BB96" s="27" t="s">
        <v>7</v>
      </c>
    </row>
    <row r="97" spans="1:64" x14ac:dyDescent="0.25">
      <c r="A97" s="30">
        <v>1071.6914527012709</v>
      </c>
      <c r="C97" s="7">
        <v>0.11686133436193799</v>
      </c>
      <c r="D97"/>
      <c r="E97" t="s">
        <v>8</v>
      </c>
      <c r="X97" s="27" t="s">
        <v>7</v>
      </c>
      <c r="Y97" s="27" t="s">
        <v>8</v>
      </c>
      <c r="AB97" s="27" t="s">
        <v>7</v>
      </c>
      <c r="AC97" s="27" t="s">
        <v>8</v>
      </c>
      <c r="AD97" s="27" t="s">
        <v>7</v>
      </c>
      <c r="AE97" s="27" t="s">
        <v>8</v>
      </c>
      <c r="AF97" s="27" t="s">
        <v>7</v>
      </c>
      <c r="AM97" s="27" t="s">
        <v>8</v>
      </c>
      <c r="AN97" s="27" t="s">
        <v>7</v>
      </c>
      <c r="AO97" s="27" t="s">
        <v>8</v>
      </c>
      <c r="AP97" s="27" t="s">
        <v>7</v>
      </c>
      <c r="AT97" s="31" t="s">
        <v>7</v>
      </c>
      <c r="AV97" s="27" t="s">
        <v>7</v>
      </c>
      <c r="AW97" s="27" t="s">
        <v>8</v>
      </c>
      <c r="AX97" s="27" t="s">
        <v>7</v>
      </c>
      <c r="AY97" s="27" t="s">
        <v>8</v>
      </c>
      <c r="AZ97" s="27" t="s">
        <v>7</v>
      </c>
      <c r="BA97" s="27" t="s">
        <v>8</v>
      </c>
      <c r="BB97" s="27" t="s">
        <v>7</v>
      </c>
      <c r="BC97" s="27" t="s">
        <v>8</v>
      </c>
    </row>
    <row r="98" spans="1:64" x14ac:dyDescent="0.25">
      <c r="A98" s="30">
        <v>1020.6585263821628</v>
      </c>
      <c r="E98" t="s">
        <v>8</v>
      </c>
      <c r="X98" s="27" t="s">
        <v>7</v>
      </c>
      <c r="Y98" s="27" t="s">
        <v>8</v>
      </c>
      <c r="AB98" s="27" t="s">
        <v>7</v>
      </c>
      <c r="AD98" s="27" t="s">
        <v>7</v>
      </c>
      <c r="AF98" s="27" t="s">
        <v>7</v>
      </c>
      <c r="AG98" s="27" t="s">
        <v>8</v>
      </c>
      <c r="AM98" s="27" t="s">
        <v>8</v>
      </c>
      <c r="AN98" s="27" t="s">
        <v>7</v>
      </c>
      <c r="AS98" s="31"/>
      <c r="AV98" s="27" t="s">
        <v>7</v>
      </c>
      <c r="AW98" s="27" t="s">
        <v>8</v>
      </c>
      <c r="AX98" s="27" t="s">
        <v>7</v>
      </c>
      <c r="AZ98" s="27" t="s">
        <v>7</v>
      </c>
      <c r="BB98" s="27" t="s">
        <v>7</v>
      </c>
      <c r="BC98" s="27" t="s">
        <v>8</v>
      </c>
      <c r="BD98" s="27" t="s">
        <v>7</v>
      </c>
    </row>
    <row r="99" spans="1:64" x14ac:dyDescent="0.25">
      <c r="A99" s="30">
        <v>972.05573941158355</v>
      </c>
      <c r="C99" s="1" t="s">
        <v>11</v>
      </c>
      <c r="D99" s="1" t="s">
        <v>12</v>
      </c>
      <c r="E99" t="s">
        <v>8</v>
      </c>
      <c r="X99" s="27" t="s">
        <v>7</v>
      </c>
      <c r="AF99" s="27" t="s">
        <v>7</v>
      </c>
      <c r="AG99" s="27" t="s">
        <v>8</v>
      </c>
      <c r="AH99" s="27" t="s">
        <v>7</v>
      </c>
      <c r="AM99" s="27" t="s">
        <v>8</v>
      </c>
      <c r="AR99" s="31"/>
      <c r="AV99" s="27" t="s">
        <v>7</v>
      </c>
      <c r="AW99" s="27" t="s">
        <v>8</v>
      </c>
      <c r="BB99" s="27" t="s">
        <v>7</v>
      </c>
      <c r="BC99" s="27" t="s">
        <v>8</v>
      </c>
      <c r="BD99" s="27" t="s">
        <v>7</v>
      </c>
    </row>
    <row r="100" spans="1:64" x14ac:dyDescent="0.25">
      <c r="A100" s="30">
        <v>925.76737086817479</v>
      </c>
      <c r="C100"/>
      <c r="D100"/>
      <c r="E100" t="s">
        <v>8</v>
      </c>
      <c r="AF100" s="27" t="s">
        <v>7</v>
      </c>
      <c r="AG100" s="27" t="s">
        <v>8</v>
      </c>
      <c r="AH100" s="27" t="s">
        <v>7</v>
      </c>
      <c r="AI100" s="27" t="s">
        <v>8</v>
      </c>
      <c r="AM100" s="27" t="s">
        <v>8</v>
      </c>
      <c r="AQ100" s="31"/>
      <c r="AV100" s="27" t="s">
        <v>7</v>
      </c>
      <c r="AW100" s="27" t="s">
        <v>8</v>
      </c>
      <c r="BB100" s="27" t="s">
        <v>7</v>
      </c>
      <c r="BD100" s="27" t="s">
        <v>7</v>
      </c>
    </row>
    <row r="101" spans="1:64" x14ac:dyDescent="0.25">
      <c r="A101" s="30">
        <v>881.68321035064264</v>
      </c>
      <c r="E101" t="s">
        <v>8</v>
      </c>
      <c r="AF101" s="27" t="s">
        <v>7</v>
      </c>
      <c r="AG101" s="27" t="s">
        <v>8</v>
      </c>
      <c r="AH101" s="27" t="s">
        <v>7</v>
      </c>
      <c r="AI101" s="27" t="s">
        <v>8</v>
      </c>
      <c r="AJ101" s="27" t="s">
        <v>7</v>
      </c>
      <c r="AK101" s="27" t="s">
        <v>8</v>
      </c>
      <c r="AM101" s="27" t="s">
        <v>8</v>
      </c>
      <c r="AP101" s="31"/>
      <c r="AV101" s="27" t="s">
        <v>7</v>
      </c>
      <c r="AW101" s="27" t="s">
        <v>8</v>
      </c>
      <c r="BD101" s="27" t="s">
        <v>7</v>
      </c>
      <c r="BE101" s="27" t="s">
        <v>8</v>
      </c>
    </row>
    <row r="102" spans="1:64" x14ac:dyDescent="0.25">
      <c r="A102" s="30">
        <v>839.69829557204059</v>
      </c>
      <c r="C102" s="1" t="s">
        <v>13</v>
      </c>
      <c r="E102" t="s">
        <v>8</v>
      </c>
      <c r="AF102" s="27" t="s">
        <v>7</v>
      </c>
      <c r="AG102" s="27" t="s">
        <v>8</v>
      </c>
      <c r="AH102" s="27" t="s">
        <v>7</v>
      </c>
      <c r="AI102" s="27" t="s">
        <v>8</v>
      </c>
      <c r="AJ102" s="27" t="s">
        <v>7</v>
      </c>
      <c r="AK102" s="27" t="s">
        <v>8</v>
      </c>
      <c r="AL102" s="27" t="s">
        <v>7</v>
      </c>
      <c r="AM102" s="27" t="s">
        <v>8</v>
      </c>
      <c r="AO102" s="31"/>
      <c r="AV102" s="27" t="s">
        <v>7</v>
      </c>
      <c r="BD102" s="27" t="s">
        <v>7</v>
      </c>
      <c r="BE102" s="27" t="s">
        <v>8</v>
      </c>
      <c r="BF102" s="27" t="s">
        <v>7</v>
      </c>
    </row>
    <row r="103" spans="1:64" x14ac:dyDescent="0.25">
      <c r="A103" s="30">
        <v>799.71266244956246</v>
      </c>
      <c r="C103" s="1">
        <f>C92</f>
        <v>0</v>
      </c>
      <c r="E103" t="s">
        <v>8</v>
      </c>
      <c r="AF103" s="27" t="s">
        <v>7</v>
      </c>
      <c r="AH103" s="27" t="s">
        <v>7</v>
      </c>
      <c r="AI103" s="27" t="s">
        <v>8</v>
      </c>
      <c r="AJ103" s="27" t="s">
        <v>7</v>
      </c>
      <c r="AK103" s="27" t="s">
        <v>8</v>
      </c>
      <c r="AL103" s="27" t="s">
        <v>7</v>
      </c>
      <c r="AM103" s="27" t="s">
        <v>8</v>
      </c>
      <c r="AN103" s="31"/>
      <c r="BD103" s="27" t="s">
        <v>7</v>
      </c>
      <c r="BE103" s="27" t="s">
        <v>8</v>
      </c>
      <c r="BF103" s="27" t="s">
        <v>7</v>
      </c>
      <c r="BI103" s="27" t="s">
        <v>8</v>
      </c>
    </row>
    <row r="104" spans="1:64" x14ac:dyDescent="0.25">
      <c r="A104" s="30">
        <v>761.63110709482135</v>
      </c>
      <c r="C104"/>
      <c r="E104" t="s">
        <v>8</v>
      </c>
      <c r="AH104" s="27" t="s">
        <v>7</v>
      </c>
      <c r="AI104" s="27" t="s">
        <v>8</v>
      </c>
      <c r="AJ104" s="27" t="s">
        <v>7</v>
      </c>
      <c r="AK104" s="27" t="s">
        <v>8</v>
      </c>
      <c r="AL104" s="27" t="s">
        <v>7</v>
      </c>
      <c r="AM104" s="31"/>
      <c r="BD104" s="27" t="s">
        <v>7</v>
      </c>
      <c r="BE104" s="27" t="s">
        <v>8</v>
      </c>
      <c r="BF104" s="27" t="s">
        <v>7</v>
      </c>
      <c r="BI104" s="27" t="s">
        <v>8</v>
      </c>
      <c r="BJ104" s="27" t="s">
        <v>7</v>
      </c>
    </row>
    <row r="105" spans="1:64" x14ac:dyDescent="0.25">
      <c r="A105" s="30">
        <v>725.36295913792503</v>
      </c>
      <c r="C105" s="1" t="s">
        <v>14</v>
      </c>
      <c r="E105" t="s">
        <v>8</v>
      </c>
      <c r="AH105" s="27" t="s">
        <v>7</v>
      </c>
      <c r="AJ105" s="18" t="s">
        <v>7</v>
      </c>
      <c r="AK105" s="27" t="s">
        <v>8</v>
      </c>
      <c r="AL105" s="31"/>
      <c r="BD105" s="27" t="s">
        <v>7</v>
      </c>
      <c r="BE105" s="27" t="s">
        <v>8</v>
      </c>
      <c r="BF105" s="27" t="s">
        <v>7</v>
      </c>
      <c r="BG105" s="27" t="s">
        <v>8</v>
      </c>
      <c r="BI105" s="27" t="s">
        <v>8</v>
      </c>
      <c r="BJ105" s="27" t="s">
        <v>7</v>
      </c>
    </row>
    <row r="106" spans="1:64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 t="s">
        <v>8</v>
      </c>
      <c r="AJ106" s="27" t="s">
        <v>7</v>
      </c>
      <c r="AK106" s="31" t="s">
        <v>8</v>
      </c>
      <c r="BD106" s="27" t="s">
        <v>7</v>
      </c>
      <c r="BE106" s="27" t="s">
        <v>8</v>
      </c>
      <c r="BF106" s="27" t="s">
        <v>7</v>
      </c>
      <c r="BG106" s="27" t="s">
        <v>8</v>
      </c>
      <c r="BH106" s="27" t="s">
        <v>7</v>
      </c>
      <c r="BI106" s="27" t="s">
        <v>8</v>
      </c>
      <c r="BJ106" s="27" t="s">
        <v>7</v>
      </c>
    </row>
    <row r="107" spans="1:64" x14ac:dyDescent="0.25">
      <c r="A107" s="30">
        <v>657.92558651965976</v>
      </c>
      <c r="E107" t="s">
        <v>8</v>
      </c>
      <c r="AJ107" s="31" t="s">
        <v>7</v>
      </c>
      <c r="BD107" s="27" t="s">
        <v>7</v>
      </c>
      <c r="BE107" s="27" t="s">
        <v>8</v>
      </c>
      <c r="BF107" s="27" t="s">
        <v>7</v>
      </c>
      <c r="BG107" s="27" t="s">
        <v>8</v>
      </c>
      <c r="BH107" s="27" t="s">
        <v>7</v>
      </c>
      <c r="BI107" s="27" t="s">
        <v>8</v>
      </c>
      <c r="BJ107" s="27" t="s">
        <v>7</v>
      </c>
    </row>
    <row r="108" spans="1:64" x14ac:dyDescent="0.25">
      <c r="A108" s="30">
        <v>626.59579668539027</v>
      </c>
      <c r="E108" t="s">
        <v>8</v>
      </c>
      <c r="BD108" s="27" t="s">
        <v>7</v>
      </c>
      <c r="BF108" s="27" t="s">
        <v>7</v>
      </c>
      <c r="BG108" s="27" t="s">
        <v>8</v>
      </c>
      <c r="BH108" s="27" t="s">
        <v>7</v>
      </c>
      <c r="BJ108" s="27" t="s">
        <v>7</v>
      </c>
    </row>
    <row r="109" spans="1:64" x14ac:dyDescent="0.25">
      <c r="A109" s="30">
        <v>596.75790160513361</v>
      </c>
      <c r="E109" t="s">
        <v>8</v>
      </c>
      <c r="BF109" s="27" t="s">
        <v>7</v>
      </c>
      <c r="BG109" s="27" t="s">
        <v>8</v>
      </c>
      <c r="BJ109" s="27" t="s">
        <v>7</v>
      </c>
      <c r="BK109" s="27" t="s">
        <v>8</v>
      </c>
    </row>
    <row r="110" spans="1:64" x14ac:dyDescent="0.25">
      <c r="A110" s="30">
        <v>568.34085867155579</v>
      </c>
      <c r="E110" t="s">
        <v>8</v>
      </c>
      <c r="BF110" s="27" t="s">
        <v>7</v>
      </c>
      <c r="BJ110" s="27" t="s">
        <v>7</v>
      </c>
      <c r="BK110" s="27" t="s">
        <v>8</v>
      </c>
      <c r="BL110" s="27" t="s">
        <v>7</v>
      </c>
    </row>
    <row r="111" spans="1:64" x14ac:dyDescent="0.25">
      <c r="A111" s="30">
        <v>541.27700825862451</v>
      </c>
      <c r="C111" s="1" t="str">
        <f>ADDRESS(C121-1,1,1,1)</f>
        <v>$A$114</v>
      </c>
      <c r="D111" s="1" t="str">
        <f>ADDRESS(C121-1,D121,1,1)</f>
        <v>$BM$114</v>
      </c>
      <c r="E111" t="s">
        <v>8</v>
      </c>
      <c r="BJ111" s="27" t="s">
        <v>7</v>
      </c>
      <c r="BK111" s="27" t="s">
        <v>8</v>
      </c>
      <c r="BL111" s="27" t="s">
        <v>7</v>
      </c>
    </row>
    <row r="112" spans="1:64" x14ac:dyDescent="0.25">
      <c r="A112" s="30">
        <v>515.50191262726139</v>
      </c>
      <c r="C112" s="1" t="str">
        <f>ADDRESS(C121,1,1,1)</f>
        <v>$A$115</v>
      </c>
      <c r="D112" s="1" t="str">
        <f>ADDRESS(C121,D121-1,1,1)</f>
        <v>$BL$115</v>
      </c>
      <c r="E112" t="s">
        <v>8</v>
      </c>
      <c r="BJ112" s="27" t="s">
        <v>7</v>
      </c>
      <c r="BK112" s="27" t="s">
        <v>8</v>
      </c>
      <c r="BL112" s="27" t="s">
        <v>7</v>
      </c>
    </row>
    <row r="113" spans="1:65" x14ac:dyDescent="0.25">
      <c r="A113" s="30">
        <v>490.95420250215363</v>
      </c>
      <c r="C113" s="1" t="str">
        <f>ADDRESS(C121+1,1,1,1)</f>
        <v>$A$116</v>
      </c>
      <c r="D113" s="1" t="str">
        <f>ADDRESS(C121-1,D121+1,1,1)</f>
        <v>$BN$114</v>
      </c>
      <c r="E113" s="1" t="s">
        <v>8</v>
      </c>
      <c r="BJ113" s="27" t="s">
        <v>7</v>
      </c>
      <c r="BL113" s="27" t="s">
        <v>7</v>
      </c>
    </row>
    <row r="114" spans="1:65" x14ac:dyDescent="0.25">
      <c r="A114" s="30">
        <v>467.57543095443202</v>
      </c>
      <c r="C114" s="1" t="str">
        <f>ADDRESS(C121,D121,1,1)</f>
        <v>$BM$115</v>
      </c>
      <c r="D114" s="1" t="str">
        <f>ADDRESS(C121+1,D121+1,1,1)</f>
        <v>$BN$116</v>
      </c>
      <c r="E114" s="1" t="s">
        <v>8</v>
      </c>
      <c r="BL114" s="27" t="s">
        <v>7</v>
      </c>
    </row>
    <row r="115" spans="1:65" x14ac:dyDescent="0.25">
      <c r="A115" s="30">
        <v>445.30993424231622</v>
      </c>
      <c r="C115" s="1" t="str">
        <f>ADDRESS(C121+1,D121,1,1)</f>
        <v>$BM$116</v>
      </c>
      <c r="E115" s="1" t="s">
        <v>8</v>
      </c>
      <c r="BL115" s="27" t="s">
        <v>7</v>
      </c>
      <c r="BM115" s="27" t="s">
        <v>8</v>
      </c>
    </row>
    <row r="116" spans="1:65" x14ac:dyDescent="0.25">
      <c r="A116" s="30">
        <v>424.10469927839637</v>
      </c>
      <c r="C116" s="1">
        <f>C117-1</f>
        <v>114</v>
      </c>
      <c r="E116" s="1" t="s">
        <v>8</v>
      </c>
      <c r="BL116" s="27" t="s">
        <v>7</v>
      </c>
      <c r="BM116" s="27" t="s">
        <v>8</v>
      </c>
    </row>
    <row r="117" spans="1:65" x14ac:dyDescent="0.25">
      <c r="A117" s="30">
        <v>403.9092374079965</v>
      </c>
      <c r="C117" s="1">
        <f>C121</f>
        <v>115</v>
      </c>
      <c r="D117" s="1">
        <f>D121</f>
        <v>65</v>
      </c>
      <c r="E117" s="1" t="s">
        <v>8</v>
      </c>
      <c r="BL117" s="27" t="s">
        <v>7</v>
      </c>
      <c r="BM117" s="27" t="s">
        <v>8</v>
      </c>
    </row>
    <row r="118" spans="1:65" x14ac:dyDescent="0.25">
      <c r="A118" s="30">
        <v>384.6754641980919</v>
      </c>
      <c r="C118" s="1">
        <f>C117+1</f>
        <v>116</v>
      </c>
      <c r="D118" s="1">
        <f>D117+1</f>
        <v>66</v>
      </c>
      <c r="E118" s="1" t="s">
        <v>8</v>
      </c>
      <c r="BL118" s="27" t="s">
        <v>7</v>
      </c>
      <c r="BM118" s="27" t="s">
        <v>8</v>
      </c>
    </row>
    <row r="119" spans="1:65" x14ac:dyDescent="0.25">
      <c r="A119" s="30">
        <v>366.35758495056371</v>
      </c>
      <c r="E119" s="1" t="s">
        <v>8</v>
      </c>
      <c r="BL119" s="27" t="s">
        <v>7</v>
      </c>
    </row>
    <row r="120" spans="1:65" x14ac:dyDescent="0.25">
      <c r="A120" s="30">
        <v>348.91198566720351</v>
      </c>
      <c r="C120" s="1" t="s">
        <v>9</v>
      </c>
      <c r="E120" s="1" t="s">
        <v>8</v>
      </c>
    </row>
    <row r="121" spans="1:65" x14ac:dyDescent="0.25">
      <c r="A121" s="30">
        <v>332.29712920686046</v>
      </c>
      <c r="C121" s="18">
        <v>115</v>
      </c>
      <c r="D121" s="19">
        <v>65</v>
      </c>
      <c r="E121" s="19" t="s">
        <v>8</v>
      </c>
    </row>
    <row r="122" spans="1:65" x14ac:dyDescent="0.25">
      <c r="A122" s="30">
        <v>316.47345638748612</v>
      </c>
      <c r="C122" s="1" t="str">
        <f>INDEX(1:1048576,C117,D117)</f>
        <v>X</v>
      </c>
      <c r="E122" s="1" t="s">
        <v>8</v>
      </c>
    </row>
    <row r="123" spans="1:65" x14ac:dyDescent="0.25">
      <c r="A123" s="30">
        <v>301.40329179760585</v>
      </c>
      <c r="C123" s="1" t="str">
        <f>"R"&amp;C121</f>
        <v>R115</v>
      </c>
      <c r="D123" s="1" t="str">
        <f>"C"&amp;D121</f>
        <v>C65</v>
      </c>
      <c r="E123" s="1" t="s">
        <v>8</v>
      </c>
    </row>
    <row r="124" spans="1:65" x14ac:dyDescent="0.25">
      <c r="A124" s="30">
        <v>287.05075409295796</v>
      </c>
      <c r="C124" s="1">
        <f>SUM(C130:D130)</f>
        <v>0</v>
      </c>
      <c r="D124" s="1">
        <f>IF(C124=0,0,1)</f>
        <v>0</v>
      </c>
      <c r="E124" s="1" t="s">
        <v>8</v>
      </c>
    </row>
    <row r="125" spans="1:65" x14ac:dyDescent="0.25">
      <c r="A125" s="30">
        <v>273.38167056472184</v>
      </c>
      <c r="E125" s="1" t="s">
        <v>8</v>
      </c>
    </row>
    <row r="126" spans="1:65" x14ac:dyDescent="0.25">
      <c r="A126" s="30">
        <v>260.36349577592557</v>
      </c>
      <c r="C126" s="1" t="s">
        <v>10</v>
      </c>
      <c r="E126" s="1" t="s">
        <v>8</v>
      </c>
    </row>
    <row r="127" spans="1:65" x14ac:dyDescent="0.25">
      <c r="A127" s="30">
        <v>247.96523407231004</v>
      </c>
      <c r="C127" s="30">
        <v>445.30993424231622</v>
      </c>
      <c r="D127"/>
      <c r="E127" s="1" t="s">
        <v>8</v>
      </c>
    </row>
    <row r="128" spans="1:65" x14ac:dyDescent="0.25">
      <c r="A128" s="30">
        <v>236.15736578315241</v>
      </c>
      <c r="E128" s="1" t="s">
        <v>8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214.20169232031964</v>
      </c>
      <c r="C130" s="6"/>
      <c r="D130" s="6"/>
      <c r="E130" t="s">
        <v>8</v>
      </c>
    </row>
    <row r="131" spans="1:5" x14ac:dyDescent="0.25">
      <c r="A131" s="30">
        <v>204.00161173363773</v>
      </c>
      <c r="E131" t="s">
        <v>8</v>
      </c>
    </row>
    <row r="132" spans="1:5" x14ac:dyDescent="0.25">
      <c r="A132" s="30">
        <v>194.28724927013116</v>
      </c>
      <c r="C132" s="1" t="s">
        <v>13</v>
      </c>
      <c r="E132" t="s">
        <v>8</v>
      </c>
    </row>
    <row r="133" spans="1:5" x14ac:dyDescent="0.25">
      <c r="A133" s="30">
        <v>185.03547549536299</v>
      </c>
      <c r="C133" s="1" t="str">
        <f>C122</f>
        <v>X</v>
      </c>
      <c r="E133" t="s">
        <v>8</v>
      </c>
    </row>
    <row r="134" spans="1:5" x14ac:dyDescent="0.25">
      <c r="A134" s="30">
        <v>176.22426237653616</v>
      </c>
      <c r="C134"/>
      <c r="E134" t="s">
        <v>8</v>
      </c>
    </row>
    <row r="135" spans="1:5" x14ac:dyDescent="0.25">
      <c r="A135" s="30">
        <v>167.83263083479633</v>
      </c>
      <c r="C135" s="1" t="s">
        <v>14</v>
      </c>
      <c r="E135" t="s">
        <v>8</v>
      </c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 t="s">
        <v>8</v>
      </c>
    </row>
    <row r="137" spans="1:5" x14ac:dyDescent="0.25">
      <c r="A137" s="30">
        <v>152.22914361432771</v>
      </c>
      <c r="E137" t="s">
        <v>8</v>
      </c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 t="s">
        <v>8</v>
      </c>
    </row>
    <row r="139" spans="1:5" x14ac:dyDescent="0.25">
      <c r="A139" s="30">
        <v>138.07632073861922</v>
      </c>
      <c r="E139" t="s">
        <v>8</v>
      </c>
    </row>
    <row r="140" spans="1:5" x14ac:dyDescent="0.25">
      <c r="A140" s="30">
        <v>131.50125784630401</v>
      </c>
      <c r="C140" s="1">
        <v>0</v>
      </c>
      <c r="E140" t="s">
        <v>8</v>
      </c>
    </row>
    <row r="141" spans="1:5" x14ac:dyDescent="0.25">
      <c r="A141" s="30">
        <v>125.23929318695619</v>
      </c>
      <c r="C141" s="1">
        <v>1</v>
      </c>
      <c r="E141" t="s">
        <v>8</v>
      </c>
    </row>
    <row r="142" spans="1:5" x14ac:dyDescent="0.25">
      <c r="A142" s="30">
        <v>119.27551732091065</v>
      </c>
      <c r="C142" s="1">
        <v>2</v>
      </c>
      <c r="E142" t="s">
        <v>8</v>
      </c>
    </row>
    <row r="143" spans="1:5" x14ac:dyDescent="0.25">
      <c r="A143" s="30">
        <v>113.59573078181967</v>
      </c>
      <c r="C143" s="1">
        <v>3</v>
      </c>
      <c r="E143" t="s">
        <v>8</v>
      </c>
    </row>
    <row r="144" spans="1:5" x14ac:dyDescent="0.25">
      <c r="A144" s="30">
        <v>108.18641026839968</v>
      </c>
      <c r="C144" s="1">
        <v>4</v>
      </c>
      <c r="E144" t="s">
        <v>8</v>
      </c>
    </row>
    <row r="145" spans="1:5" x14ac:dyDescent="0.25">
      <c r="A145" s="30">
        <v>103.03467644609493</v>
      </c>
      <c r="E145" t="s">
        <v>8</v>
      </c>
    </row>
    <row r="146" spans="1:5" x14ac:dyDescent="0.25">
      <c r="A146" s="30">
        <v>98.128263281995174</v>
      </c>
      <c r="E146" t="s">
        <v>8</v>
      </c>
    </row>
    <row r="147" spans="1:5" x14ac:dyDescent="0.25">
      <c r="A147" s="30">
        <v>93.455488839995397</v>
      </c>
      <c r="E147" t="s">
        <v>8</v>
      </c>
    </row>
    <row r="148" spans="1:5" x14ac:dyDescent="0.25">
      <c r="A148" s="30">
        <v>89.005227466662276</v>
      </c>
      <c r="E148" t="s">
        <v>8</v>
      </c>
    </row>
    <row r="149" spans="1:5" x14ac:dyDescent="0.25">
      <c r="A149" s="30">
        <v>84.766883301583121</v>
      </c>
      <c r="E149" t="s">
        <v>8</v>
      </c>
    </row>
    <row r="150" spans="1:5" x14ac:dyDescent="0.25">
      <c r="A150" s="30">
        <v>80.730365049126775</v>
      </c>
      <c r="E150" t="s">
        <v>8</v>
      </c>
    </row>
    <row r="151" spans="1:5" x14ac:dyDescent="0.25">
      <c r="A151" s="30">
        <v>76.886061951549308</v>
      </c>
      <c r="E151" t="s">
        <v>8</v>
      </c>
    </row>
    <row r="152" spans="1:5" x14ac:dyDescent="0.25">
      <c r="A152" s="30">
        <v>73.22482090623744</v>
      </c>
      <c r="E152" t="s">
        <v>8</v>
      </c>
    </row>
    <row r="153" spans="1:5" x14ac:dyDescent="0.25">
      <c r="A153" s="30">
        <v>69.737924672607079</v>
      </c>
      <c r="C153" s="7"/>
      <c r="D153"/>
      <c r="E153" t="s">
        <v>8</v>
      </c>
    </row>
    <row r="154" spans="1:5" x14ac:dyDescent="0.25">
      <c r="A154" s="30">
        <v>66.417071116768639</v>
      </c>
      <c r="E154" t="s">
        <v>8</v>
      </c>
    </row>
    <row r="155" spans="1:5" x14ac:dyDescent="0.25">
      <c r="A155" s="30">
        <v>63.254353444541557</v>
      </c>
      <c r="E155" t="s">
        <v>8</v>
      </c>
    </row>
    <row r="156" spans="1:5" x14ac:dyDescent="0.25">
      <c r="A156" s="30">
        <v>60.242241375753864</v>
      </c>
      <c r="C156"/>
      <c r="D156"/>
      <c r="E156" t="s">
        <v>8</v>
      </c>
    </row>
    <row r="157" spans="1:5" x14ac:dyDescent="0.25">
      <c r="A157" s="30">
        <v>57.373563215003678</v>
      </c>
      <c r="E157" t="s">
        <v>8</v>
      </c>
    </row>
    <row r="158" spans="1:5" x14ac:dyDescent="0.25">
      <c r="A158" s="30">
        <v>54.641488776193974</v>
      </c>
      <c r="E158" t="s">
        <v>8</v>
      </c>
    </row>
    <row r="159" spans="1:5" x14ac:dyDescent="0.25">
      <c r="A159" s="30">
        <v>52.039513120184736</v>
      </c>
      <c r="E159" t="s">
        <v>8</v>
      </c>
    </row>
    <row r="160" spans="1:5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21" operator="equal">
      <formula>$U$1</formula>
    </cfRule>
    <cfRule type="cellIs" dxfId="67" priority="722" operator="equal">
      <formula>$S$1</formula>
    </cfRule>
  </conditionalFormatting>
  <conditionalFormatting sqref="D136">
    <cfRule type="cellIs" dxfId="66" priority="719" operator="equal">
      <formula>$S$1</formula>
    </cfRule>
    <cfRule type="cellIs" dxfId="65" priority="720" operator="equal">
      <formula>$U$1</formula>
    </cfRule>
  </conditionalFormatting>
  <conditionalFormatting sqref="C162">
    <cfRule type="cellIs" dxfId="64" priority="717" operator="equal">
      <formula>$U$1</formula>
    </cfRule>
    <cfRule type="cellIs" dxfId="63" priority="718" operator="equal">
      <formula>$S$1</formula>
    </cfRule>
  </conditionalFormatting>
  <conditionalFormatting sqref="D162">
    <cfRule type="cellIs" dxfId="62" priority="715" operator="equal">
      <formula>$S$1</formula>
    </cfRule>
    <cfRule type="cellIs" dxfId="61" priority="716" operator="equal">
      <formula>$U$1</formula>
    </cfRule>
  </conditionalFormatting>
  <conditionalFormatting sqref="C187">
    <cfRule type="cellIs" dxfId="60" priority="713" operator="equal">
      <formula>$U$1</formula>
    </cfRule>
    <cfRule type="cellIs" dxfId="59" priority="714" operator="equal">
      <formula>$S$1</formula>
    </cfRule>
  </conditionalFormatting>
  <conditionalFormatting sqref="D187">
    <cfRule type="cellIs" dxfId="58" priority="711" operator="equal">
      <formula>$S$1</formula>
    </cfRule>
    <cfRule type="cellIs" dxfId="57" priority="712" operator="equal">
      <formula>$U$1</formula>
    </cfRule>
  </conditionalFormatting>
  <conditionalFormatting sqref="C212">
    <cfRule type="cellIs" dxfId="56" priority="709" operator="equal">
      <formula>$U$1</formula>
    </cfRule>
    <cfRule type="cellIs" dxfId="55" priority="710" operator="equal">
      <formula>$S$1</formula>
    </cfRule>
  </conditionalFormatting>
  <conditionalFormatting sqref="D212">
    <cfRule type="cellIs" dxfId="54" priority="707" operator="equal">
      <formula>$S$1</formula>
    </cfRule>
    <cfRule type="cellIs" dxfId="53" priority="708" operator="equal">
      <formula>$U$1</formula>
    </cfRule>
  </conditionalFormatting>
  <conditionalFormatting sqref="C237">
    <cfRule type="cellIs" dxfId="52" priority="705" operator="equal">
      <formula>$U$1</formula>
    </cfRule>
    <cfRule type="cellIs" dxfId="51" priority="706" operator="equal">
      <formula>$S$1</formula>
    </cfRule>
  </conditionalFormatting>
  <conditionalFormatting sqref="D237">
    <cfRule type="cellIs" dxfId="50" priority="703" operator="equal">
      <formula>$S$1</formula>
    </cfRule>
    <cfRule type="cellIs" dxfId="49" priority="704" operator="equal">
      <formula>$U$1</formula>
    </cfRule>
  </conditionalFormatting>
  <conditionalFormatting sqref="C106">
    <cfRule type="cellIs" dxfId="48" priority="701" operator="equal">
      <formula>$U$1</formula>
    </cfRule>
    <cfRule type="cellIs" dxfId="47" priority="702" operator="equal">
      <formula>$S$1</formula>
    </cfRule>
  </conditionalFormatting>
  <conditionalFormatting sqref="D106">
    <cfRule type="cellIs" dxfId="46" priority="699" operator="equal">
      <formula>$S$1</formula>
    </cfRule>
    <cfRule type="cellIs" dxfId="45" priority="700" operator="equal">
      <formula>$U$1</formula>
    </cfRule>
  </conditionalFormatting>
  <conditionalFormatting sqref="C81">
    <cfRule type="cellIs" dxfId="44" priority="697" operator="equal">
      <formula>$U$1</formula>
    </cfRule>
    <cfRule type="cellIs" dxfId="43" priority="698" operator="equal">
      <formula>$S$1</formula>
    </cfRule>
  </conditionalFormatting>
  <conditionalFormatting sqref="D81">
    <cfRule type="cellIs" dxfId="42" priority="695" operator="equal">
      <formula>$S$1</formula>
    </cfRule>
    <cfRule type="cellIs" dxfId="41" priority="696" operator="equal">
      <formula>$U$1</formula>
    </cfRule>
  </conditionalFormatting>
  <conditionalFormatting sqref="C56">
    <cfRule type="cellIs" dxfId="40" priority="693" operator="equal">
      <formula>$U$1</formula>
    </cfRule>
    <cfRule type="cellIs" dxfId="39" priority="694" operator="equal">
      <formula>$S$1</formula>
    </cfRule>
  </conditionalFormatting>
  <conditionalFormatting sqref="D56">
    <cfRule type="cellIs" dxfId="38" priority="691" operator="equal">
      <formula>$S$1</formula>
    </cfRule>
    <cfRule type="cellIs" dxfId="37" priority="692" operator="equal">
      <formula>$U$1</formula>
    </cfRule>
  </conditionalFormatting>
  <conditionalFormatting sqref="C31">
    <cfRule type="cellIs" dxfId="36" priority="689" operator="equal">
      <formula>$U$1</formula>
    </cfRule>
    <cfRule type="cellIs" dxfId="35" priority="690" operator="equal">
      <formula>$S$1</formula>
    </cfRule>
  </conditionalFormatting>
  <conditionalFormatting sqref="D31">
    <cfRule type="cellIs" dxfId="34" priority="687" operator="equal">
      <formula>$S$1</formula>
    </cfRule>
    <cfRule type="cellIs" dxfId="33" priority="68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28" zoomScale="90" zoomScaleNormal="90" workbookViewId="0">
      <pane xSplit="4" topLeftCell="G1" activePane="topRight" state="frozen"/>
      <selection activeCell="A109" sqref="A109"/>
      <selection pane="topRight" activeCell="AB59" sqref="AB5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24" x14ac:dyDescent="0.25">
      <c r="A33" s="30">
        <v>4390.927778387033</v>
      </c>
      <c r="E33" t="s">
        <v>8</v>
      </c>
      <c r="G33" s="27" t="s">
        <v>8</v>
      </c>
      <c r="I33" s="31" t="s">
        <v>8</v>
      </c>
    </row>
    <row r="34" spans="1:24" x14ac:dyDescent="0.25">
      <c r="A34" s="30">
        <v>3991.7525258063934</v>
      </c>
      <c r="E34" t="s">
        <v>8</v>
      </c>
      <c r="F34" s="27" t="s">
        <v>7</v>
      </c>
      <c r="G34" s="27" t="s">
        <v>8</v>
      </c>
      <c r="H34" s="27" t="s">
        <v>7</v>
      </c>
      <c r="I34" s="27" t="s">
        <v>8</v>
      </c>
      <c r="J34" s="31" t="s">
        <v>7</v>
      </c>
    </row>
    <row r="35" spans="1:24" x14ac:dyDescent="0.25">
      <c r="A35" s="30">
        <v>3628.8659325512663</v>
      </c>
      <c r="E35" t="s">
        <v>8</v>
      </c>
      <c r="F35" s="27" t="s">
        <v>7</v>
      </c>
      <c r="G35" s="27" t="s">
        <v>8</v>
      </c>
      <c r="H35" s="27" t="s">
        <v>7</v>
      </c>
      <c r="I35" s="27" t="s">
        <v>8</v>
      </c>
      <c r="J35" s="27" t="s">
        <v>7</v>
      </c>
      <c r="K35" s="31"/>
    </row>
    <row r="36" spans="1:24" x14ac:dyDescent="0.25">
      <c r="A36" s="30">
        <v>3298.96902959206</v>
      </c>
      <c r="E36" t="s">
        <v>8</v>
      </c>
      <c r="F36" s="27" t="s">
        <v>7</v>
      </c>
      <c r="H36" s="27" t="s">
        <v>7</v>
      </c>
      <c r="I36" s="27" t="s">
        <v>8</v>
      </c>
      <c r="J36" s="27" t="s">
        <v>7</v>
      </c>
      <c r="L36" s="31"/>
    </row>
    <row r="37" spans="1:24" x14ac:dyDescent="0.25">
      <c r="A37" s="30">
        <v>2999.0627541745998</v>
      </c>
      <c r="E37" t="s">
        <v>8</v>
      </c>
      <c r="H37" s="27" t="s">
        <v>7</v>
      </c>
      <c r="I37" s="27" t="s">
        <v>8</v>
      </c>
      <c r="J37" s="27" t="s">
        <v>7</v>
      </c>
      <c r="M37" s="31"/>
    </row>
    <row r="38" spans="1:24" x14ac:dyDescent="0.25">
      <c r="A38" s="30">
        <v>2726.4206856132723</v>
      </c>
      <c r="E38" t="s">
        <v>8</v>
      </c>
      <c r="H38" s="27" t="s">
        <v>7</v>
      </c>
      <c r="I38" s="27" t="s">
        <v>8</v>
      </c>
      <c r="J38" s="27" t="s">
        <v>7</v>
      </c>
      <c r="N38" s="31"/>
    </row>
    <row r="39" spans="1:24" x14ac:dyDescent="0.25">
      <c r="A39" s="30">
        <v>2478.564259648429</v>
      </c>
      <c r="E39" t="s">
        <v>8</v>
      </c>
      <c r="H39" s="27" t="s">
        <v>7</v>
      </c>
      <c r="I39" s="27" t="s">
        <v>8</v>
      </c>
      <c r="J39" s="27" t="s">
        <v>7</v>
      </c>
      <c r="O39" s="31"/>
    </row>
    <row r="40" spans="1:24" x14ac:dyDescent="0.25">
      <c r="A40" s="30">
        <v>2253.240236044026</v>
      </c>
      <c r="E40" t="s">
        <v>8</v>
      </c>
      <c r="H40" s="27" t="s">
        <v>7</v>
      </c>
      <c r="I40" s="27" t="s">
        <v>8</v>
      </c>
      <c r="J40" s="27" t="s">
        <v>7</v>
      </c>
      <c r="P40" s="31"/>
    </row>
    <row r="41" spans="1:24" x14ac:dyDescent="0.25">
      <c r="A41" s="30">
        <v>2048.4002145854779</v>
      </c>
      <c r="E41" t="s">
        <v>8</v>
      </c>
      <c r="H41" s="27" t="s">
        <v>7</v>
      </c>
      <c r="J41" s="27" t="s">
        <v>7</v>
      </c>
      <c r="Q41" s="31"/>
    </row>
    <row r="42" spans="1:24" x14ac:dyDescent="0.25">
      <c r="A42" s="30">
        <v>1862.1820132595253</v>
      </c>
      <c r="C42" s="1" t="s">
        <v>15</v>
      </c>
      <c r="E42" t="s">
        <v>8</v>
      </c>
      <c r="J42" s="27" t="s">
        <v>7</v>
      </c>
      <c r="K42" s="27" t="s">
        <v>8</v>
      </c>
      <c r="R42" s="31"/>
    </row>
    <row r="43" spans="1:24" x14ac:dyDescent="0.25">
      <c r="A43" s="30">
        <v>1692.8927393268411</v>
      </c>
      <c r="C43" s="7">
        <v>0.11167815779424731</v>
      </c>
      <c r="D43"/>
      <c r="E43" t="s">
        <v>8</v>
      </c>
      <c r="J43" s="27" t="s">
        <v>7</v>
      </c>
      <c r="K43" s="27" t="s">
        <v>8</v>
      </c>
      <c r="L43" s="27" t="s">
        <v>7</v>
      </c>
      <c r="S43" s="31"/>
      <c r="U43" s="27" t="s">
        <v>8</v>
      </c>
    </row>
    <row r="44" spans="1:24" x14ac:dyDescent="0.25">
      <c r="A44" s="30">
        <v>1538.9933993880372</v>
      </c>
      <c r="E44" t="s">
        <v>8</v>
      </c>
      <c r="J44" s="27" t="s">
        <v>7</v>
      </c>
      <c r="K44" s="27" t="s">
        <v>8</v>
      </c>
      <c r="L44" s="27" t="s">
        <v>7</v>
      </c>
      <c r="M44" s="27" t="s">
        <v>8</v>
      </c>
      <c r="T44" s="31"/>
      <c r="U44" s="27" t="s">
        <v>8</v>
      </c>
      <c r="V44" s="27" t="s">
        <v>7</v>
      </c>
    </row>
    <row r="45" spans="1:24" x14ac:dyDescent="0.25">
      <c r="A45" s="30">
        <v>1399.0849085345792</v>
      </c>
      <c r="C45" s="1" t="s">
        <v>11</v>
      </c>
      <c r="D45" s="1" t="s">
        <v>12</v>
      </c>
      <c r="E45" t="s">
        <v>8</v>
      </c>
      <c r="J45" s="27" t="s">
        <v>7</v>
      </c>
      <c r="K45" s="27" t="s">
        <v>8</v>
      </c>
      <c r="L45" s="27" t="s">
        <v>7</v>
      </c>
      <c r="M45" s="27" t="s">
        <v>8</v>
      </c>
      <c r="N45" s="27" t="s">
        <v>7</v>
      </c>
      <c r="O45" s="27" t="s">
        <v>8</v>
      </c>
      <c r="U45" s="31" t="s">
        <v>8</v>
      </c>
      <c r="V45" s="27" t="s">
        <v>7</v>
      </c>
      <c r="W45" s="27" t="s">
        <v>8</v>
      </c>
    </row>
    <row r="46" spans="1:24" x14ac:dyDescent="0.25">
      <c r="A46" s="30">
        <v>1271.8953713950718</v>
      </c>
      <c r="C46"/>
      <c r="D46"/>
      <c r="E46" t="s">
        <v>8</v>
      </c>
      <c r="J46" s="27" t="s">
        <v>7</v>
      </c>
      <c r="L46" s="27" t="s">
        <v>7</v>
      </c>
      <c r="M46" s="27" t="s">
        <v>8</v>
      </c>
      <c r="N46" s="27" t="s">
        <v>7</v>
      </c>
      <c r="O46" s="27" t="s">
        <v>8</v>
      </c>
      <c r="P46" s="27" t="s">
        <v>7</v>
      </c>
      <c r="U46" s="27" t="s">
        <v>8</v>
      </c>
      <c r="V46" s="27" t="s">
        <v>7</v>
      </c>
      <c r="W46" s="27" t="s">
        <v>8</v>
      </c>
      <c r="X46" s="27" t="s">
        <v>7</v>
      </c>
    </row>
    <row r="47" spans="1:24" x14ac:dyDescent="0.25">
      <c r="A47" s="30">
        <v>1156.2685194500652</v>
      </c>
      <c r="E47" t="s">
        <v>8</v>
      </c>
      <c r="L47" s="27" t="s">
        <v>7</v>
      </c>
      <c r="M47" s="27" t="s">
        <v>8</v>
      </c>
      <c r="N47" s="27" t="s">
        <v>7</v>
      </c>
      <c r="O47" s="27" t="s">
        <v>8</v>
      </c>
      <c r="P47" s="27" t="s">
        <v>7</v>
      </c>
      <c r="U47" s="27" t="s">
        <v>8</v>
      </c>
      <c r="V47" s="27" t="s">
        <v>7</v>
      </c>
      <c r="W47" s="27" t="s">
        <v>8</v>
      </c>
      <c r="X47" s="27" t="s">
        <v>7</v>
      </c>
    </row>
    <row r="48" spans="1:24" x14ac:dyDescent="0.25">
      <c r="A48" s="30">
        <v>1051.1531995000591</v>
      </c>
      <c r="C48" s="1" t="s">
        <v>13</v>
      </c>
      <c r="E48" t="s">
        <v>8</v>
      </c>
      <c r="L48" s="27" t="s">
        <v>7</v>
      </c>
      <c r="M48" s="27" t="s">
        <v>8</v>
      </c>
      <c r="N48" s="27" t="s">
        <v>7</v>
      </c>
      <c r="P48" s="27" t="s">
        <v>7</v>
      </c>
      <c r="Q48" s="27" t="s">
        <v>8</v>
      </c>
      <c r="S48" s="27" t="s">
        <v>8</v>
      </c>
      <c r="U48" s="27" t="s">
        <v>8</v>
      </c>
      <c r="V48" s="27" t="s">
        <v>7</v>
      </c>
      <c r="W48" s="27" t="s">
        <v>8</v>
      </c>
      <c r="X48" s="27" t="s">
        <v>7</v>
      </c>
    </row>
    <row r="49" spans="1:28" x14ac:dyDescent="0.25">
      <c r="A49" s="30">
        <v>955.59381772732638</v>
      </c>
      <c r="C49" s="1">
        <f>C38</f>
        <v>0</v>
      </c>
      <c r="E49" t="s">
        <v>8</v>
      </c>
      <c r="L49" s="27" t="s">
        <v>7</v>
      </c>
      <c r="P49" s="27" t="s">
        <v>7</v>
      </c>
      <c r="Q49" s="27" t="s">
        <v>8</v>
      </c>
      <c r="R49" s="27" t="s">
        <v>7</v>
      </c>
      <c r="S49" s="27" t="s">
        <v>8</v>
      </c>
      <c r="T49" s="27" t="s">
        <v>7</v>
      </c>
      <c r="U49" s="27" t="s">
        <v>8</v>
      </c>
      <c r="V49" s="27" t="s">
        <v>7</v>
      </c>
      <c r="W49" s="27" t="s">
        <v>8</v>
      </c>
      <c r="X49" s="27" t="s">
        <v>7</v>
      </c>
    </row>
    <row r="50" spans="1:28" x14ac:dyDescent="0.25">
      <c r="A50" s="30">
        <v>868.72165247938756</v>
      </c>
      <c r="C50"/>
      <c r="D50"/>
      <c r="E50" t="s">
        <v>8</v>
      </c>
      <c r="P50" s="27" t="s">
        <v>7</v>
      </c>
      <c r="Q50" s="27" t="s">
        <v>8</v>
      </c>
      <c r="R50" s="27" t="s">
        <v>7</v>
      </c>
      <c r="S50" s="27" t="s">
        <v>8</v>
      </c>
      <c r="T50" s="27" t="s">
        <v>7</v>
      </c>
      <c r="U50" s="27" t="s">
        <v>8</v>
      </c>
      <c r="V50" s="27" t="s">
        <v>7</v>
      </c>
      <c r="W50" s="31"/>
      <c r="X50" s="27" t="s">
        <v>7</v>
      </c>
      <c r="Y50" s="27" t="s">
        <v>8</v>
      </c>
    </row>
    <row r="51" spans="1:28" x14ac:dyDescent="0.25">
      <c r="A51" s="30">
        <v>789.74695679944318</v>
      </c>
      <c r="C51" s="1" t="s">
        <v>14</v>
      </c>
      <c r="E51" t="s">
        <v>8</v>
      </c>
      <c r="P51" s="27" t="s">
        <v>7</v>
      </c>
      <c r="R51" s="27" t="s">
        <v>7</v>
      </c>
      <c r="T51" s="27" t="s">
        <v>7</v>
      </c>
      <c r="U51" s="27" t="s">
        <v>8</v>
      </c>
      <c r="V51" s="31"/>
      <c r="X51" s="27" t="s">
        <v>7</v>
      </c>
      <c r="Y51" s="27" t="s">
        <v>8</v>
      </c>
      <c r="Z51" s="27" t="s">
        <v>7</v>
      </c>
      <c r="AA51" s="27" t="s">
        <v>8</v>
      </c>
    </row>
    <row r="52" spans="1:28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 t="s">
        <v>8</v>
      </c>
      <c r="T52" s="18" t="s">
        <v>7</v>
      </c>
      <c r="U52" s="31" t="s">
        <v>8</v>
      </c>
      <c r="X52" s="27" t="s">
        <v>7</v>
      </c>
      <c r="Y52" s="27" t="s">
        <v>8</v>
      </c>
      <c r="Z52" s="27" t="s">
        <v>7</v>
      </c>
      <c r="AA52" s="27" t="s">
        <v>8</v>
      </c>
      <c r="AB52" s="27" t="s">
        <v>7</v>
      </c>
    </row>
    <row r="53" spans="1:28" x14ac:dyDescent="0.25">
      <c r="A53" s="30">
        <v>652.68343537144051</v>
      </c>
      <c r="E53" t="s">
        <v>8</v>
      </c>
      <c r="T53" s="31" t="s">
        <v>7</v>
      </c>
      <c r="X53" s="27" t="s">
        <v>7</v>
      </c>
      <c r="Z53" s="27" t="s">
        <v>7</v>
      </c>
      <c r="AA53" s="27" t="s">
        <v>8</v>
      </c>
      <c r="AB53" s="27" t="s">
        <v>7</v>
      </c>
    </row>
    <row r="54" spans="1:28" x14ac:dyDescent="0.25">
      <c r="A54" s="30">
        <v>593.34857761040041</v>
      </c>
      <c r="E54" t="s">
        <v>8</v>
      </c>
      <c r="Z54" s="27" t="s">
        <v>7</v>
      </c>
      <c r="AB54" s="27" t="s">
        <v>7</v>
      </c>
    </row>
    <row r="55" spans="1:28" x14ac:dyDescent="0.25">
      <c r="A55" s="30">
        <v>539.40779782763673</v>
      </c>
      <c r="E55" t="s">
        <v>8</v>
      </c>
      <c r="AB55" s="27" t="s">
        <v>7</v>
      </c>
    </row>
    <row r="56" spans="1:28" x14ac:dyDescent="0.25">
      <c r="A56" s="30">
        <v>490.37072529785149</v>
      </c>
      <c r="E56" t="s">
        <v>8</v>
      </c>
      <c r="AB56" s="27" t="s">
        <v>7</v>
      </c>
    </row>
    <row r="57" spans="1:28" x14ac:dyDescent="0.25">
      <c r="A57" s="30">
        <v>445.79156845259223</v>
      </c>
      <c r="E57" t="s">
        <v>8</v>
      </c>
      <c r="AB57" s="27" t="s">
        <v>7</v>
      </c>
    </row>
    <row r="58" spans="1:28" x14ac:dyDescent="0.25">
      <c r="A58" s="30">
        <v>405.26506222962928</v>
      </c>
      <c r="E58" t="s">
        <v>8</v>
      </c>
      <c r="AB58" s="27" t="s">
        <v>7</v>
      </c>
    </row>
    <row r="59" spans="1:28" x14ac:dyDescent="0.25">
      <c r="A59" s="30">
        <v>368.42278384511752</v>
      </c>
      <c r="E59" t="s">
        <v>8</v>
      </c>
      <c r="AB59" s="27" t="s">
        <v>7</v>
      </c>
    </row>
    <row r="60" spans="1:28" x14ac:dyDescent="0.25">
      <c r="A60" s="30">
        <v>334.92980349556137</v>
      </c>
      <c r="E60" t="s">
        <v>8</v>
      </c>
    </row>
    <row r="61" spans="1:28" x14ac:dyDescent="0.25">
      <c r="A61" s="30">
        <v>304.48163954141938</v>
      </c>
      <c r="E61" t="s">
        <v>8</v>
      </c>
    </row>
    <row r="62" spans="1:28" x14ac:dyDescent="0.25">
      <c r="A62" s="30">
        <v>276.80149049219943</v>
      </c>
      <c r="E62" t="s">
        <v>8</v>
      </c>
    </row>
    <row r="63" spans="1:28" x14ac:dyDescent="0.25">
      <c r="A63" s="30">
        <v>251.63771862927217</v>
      </c>
      <c r="E63" t="s">
        <v>8</v>
      </c>
    </row>
    <row r="64" spans="1:28" x14ac:dyDescent="0.25">
      <c r="A64" s="30">
        <v>228.76156239024741</v>
      </c>
      <c r="E64" t="s">
        <v>8</v>
      </c>
    </row>
    <row r="65" spans="1:5" x14ac:dyDescent="0.25">
      <c r="A65" s="30">
        <v>207.96505671840671</v>
      </c>
      <c r="E65" t="s">
        <v>8</v>
      </c>
    </row>
    <row r="66" spans="1:5" x14ac:dyDescent="0.25">
      <c r="A66" s="30">
        <v>189.05914247127882</v>
      </c>
      <c r="E66" t="s">
        <v>8</v>
      </c>
    </row>
    <row r="67" spans="1:5" x14ac:dyDescent="0.25">
      <c r="A67" s="30">
        <v>171.87194770116255</v>
      </c>
      <c r="C67" s="1" t="s">
        <v>15</v>
      </c>
      <c r="E67" t="s">
        <v>8</v>
      </c>
    </row>
    <row r="68" spans="1:5" x14ac:dyDescent="0.25">
      <c r="A68" s="30">
        <v>156.24722518287504</v>
      </c>
      <c r="C68" s="7">
        <v>0.11167815779424731</v>
      </c>
      <c r="D68"/>
      <c r="E68" t="s">
        <v>8</v>
      </c>
    </row>
    <row r="69" spans="1:5" x14ac:dyDescent="0.25">
      <c r="A69" s="30">
        <v>142.04293198443185</v>
      </c>
      <c r="E69" t="s">
        <v>8</v>
      </c>
    </row>
    <row r="70" spans="1:5" x14ac:dyDescent="0.25">
      <c r="A70" s="30">
        <v>129.1299381676653</v>
      </c>
      <c r="C70" s="1" t="s">
        <v>11</v>
      </c>
      <c r="D70" s="1" t="s">
        <v>12</v>
      </c>
      <c r="E70" t="s">
        <v>8</v>
      </c>
    </row>
    <row r="71" spans="1:5" x14ac:dyDescent="0.25">
      <c r="A71" s="30">
        <v>117.39085287969573</v>
      </c>
      <c r="C71"/>
      <c r="D71"/>
      <c r="E71" t="s">
        <v>8</v>
      </c>
    </row>
    <row r="72" spans="1:5" x14ac:dyDescent="0.25">
      <c r="A72" s="30">
        <v>106.71895716335975</v>
      </c>
      <c r="E72" t="s">
        <v>8</v>
      </c>
    </row>
    <row r="73" spans="1:5" x14ac:dyDescent="0.25">
      <c r="A73" s="30">
        <v>97.017233784872488</v>
      </c>
      <c r="C73" s="1" t="s">
        <v>13</v>
      </c>
      <c r="E73" t="s">
        <v>8</v>
      </c>
    </row>
    <row r="74" spans="1:5" x14ac:dyDescent="0.25">
      <c r="A74" s="30">
        <v>88.197485258974979</v>
      </c>
      <c r="C74" s="1">
        <f>C63</f>
        <v>0</v>
      </c>
      <c r="E74" t="s">
        <v>8</v>
      </c>
    </row>
    <row r="75" spans="1:5" x14ac:dyDescent="0.25">
      <c r="A75" s="30">
        <v>80.179532053613613</v>
      </c>
      <c r="C75"/>
      <c r="D75"/>
      <c r="E75" t="s">
        <v>8</v>
      </c>
    </row>
    <row r="76" spans="1:5" x14ac:dyDescent="0.25">
      <c r="A76" s="30">
        <v>72.890483685103277</v>
      </c>
      <c r="C76" s="1" t="s">
        <v>14</v>
      </c>
      <c r="E76" t="s">
        <v>8</v>
      </c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5" x14ac:dyDescent="0.25">
      <c r="A78" s="30">
        <v>60.240069161242367</v>
      </c>
      <c r="E78" t="s">
        <v>8</v>
      </c>
    </row>
    <row r="79" spans="1:5" x14ac:dyDescent="0.25">
      <c r="A79" s="30">
        <v>54.763699237493057</v>
      </c>
      <c r="E79" t="s">
        <v>8</v>
      </c>
    </row>
    <row r="80" spans="1:5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$A$58</v>
      </c>
      <c r="D111" s="1" t="str">
        <f>ADDRESS(C121-1,D121,1,1)</f>
        <v>$AB$58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$A$59</v>
      </c>
      <c r="D112" s="1" t="str">
        <f>ADDRESS(C121,D121-1,1,1)</f>
        <v>$AA$59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$A$60</v>
      </c>
      <c r="D113" s="1" t="str">
        <f>ADDRESS(C121-1,D121+1,1,1)</f>
        <v>$AC$58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$AB$59</v>
      </c>
      <c r="D114" s="1" t="str">
        <f>ADDRESS(C121+1,D121+1,1,1)</f>
        <v>$AC$60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$AB$60</v>
      </c>
      <c r="E115" s="1" t="s">
        <v>8</v>
      </c>
    </row>
    <row r="116" spans="1:5" x14ac:dyDescent="0.25">
      <c r="A116" s="30">
        <v>1.6105100000000008</v>
      </c>
      <c r="C116" s="1">
        <f>C117-1</f>
        <v>58</v>
      </c>
      <c r="E116" s="1" t="s">
        <v>8</v>
      </c>
    </row>
    <row r="117" spans="1:5" x14ac:dyDescent="0.25">
      <c r="A117" s="30">
        <v>1.4641000000000006</v>
      </c>
      <c r="C117" s="1">
        <f>C121</f>
        <v>59</v>
      </c>
      <c r="D117" s="1">
        <f>D121</f>
        <v>28</v>
      </c>
      <c r="E117" s="1" t="s">
        <v>8</v>
      </c>
    </row>
    <row r="118" spans="1:5" x14ac:dyDescent="0.25">
      <c r="A118" s="30">
        <v>1.3310000000000004</v>
      </c>
      <c r="C118" s="1">
        <f>C117+1</f>
        <v>60</v>
      </c>
      <c r="D118" s="1">
        <f>D117+1</f>
        <v>29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59</v>
      </c>
      <c r="D121" s="19">
        <v>28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R59</v>
      </c>
      <c r="D123" s="1" t="str">
        <f>"C"&amp;D121</f>
        <v>C28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368.42278384511752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05" operator="equal">
      <formula>$U$1</formula>
    </cfRule>
    <cfRule type="cellIs" dxfId="30" priority="706" operator="equal">
      <formula>$S$1</formula>
    </cfRule>
  </conditionalFormatting>
  <conditionalFormatting sqref="D136">
    <cfRule type="cellIs" dxfId="29" priority="703" operator="equal">
      <formula>$S$1</formula>
    </cfRule>
    <cfRule type="cellIs" dxfId="28" priority="704" operator="equal">
      <formula>$U$1</formula>
    </cfRule>
  </conditionalFormatting>
  <conditionalFormatting sqref="C102">
    <cfRule type="cellIs" dxfId="27" priority="701" operator="equal">
      <formula>$U$1</formula>
    </cfRule>
    <cfRule type="cellIs" dxfId="26" priority="702" operator="equal">
      <formula>$S$1</formula>
    </cfRule>
  </conditionalFormatting>
  <conditionalFormatting sqref="D102">
    <cfRule type="cellIs" dxfId="25" priority="699" operator="equal">
      <formula>$S$1</formula>
    </cfRule>
    <cfRule type="cellIs" dxfId="24" priority="700" operator="equal">
      <formula>$U$1</formula>
    </cfRule>
  </conditionalFormatting>
  <conditionalFormatting sqref="C77">
    <cfRule type="cellIs" dxfId="23" priority="697" operator="equal">
      <formula>$U$1</formula>
    </cfRule>
    <cfRule type="cellIs" dxfId="22" priority="698" operator="equal">
      <formula>$S$1</formula>
    </cfRule>
  </conditionalFormatting>
  <conditionalFormatting sqref="D77">
    <cfRule type="cellIs" dxfId="21" priority="695" operator="equal">
      <formula>$S$1</formula>
    </cfRule>
    <cfRule type="cellIs" dxfId="20" priority="696" operator="equal">
      <formula>$U$1</formula>
    </cfRule>
  </conditionalFormatting>
  <conditionalFormatting sqref="C52">
    <cfRule type="cellIs" dxfId="19" priority="693" operator="equal">
      <formula>$U$1</formula>
    </cfRule>
    <cfRule type="cellIs" dxfId="18" priority="694" operator="equal">
      <formula>$S$1</formula>
    </cfRule>
  </conditionalFormatting>
  <conditionalFormatting sqref="D52">
    <cfRule type="cellIs" dxfId="17" priority="691" operator="equal">
      <formula>$S$1</formula>
    </cfRule>
    <cfRule type="cellIs" dxfId="16" priority="692" operator="equal">
      <formula>$U$1</formula>
    </cfRule>
  </conditionalFormatting>
  <conditionalFormatting sqref="C26">
    <cfRule type="cellIs" dxfId="15" priority="689" operator="equal">
      <formula>$U$1</formula>
    </cfRule>
    <cfRule type="cellIs" dxfId="14" priority="690" operator="equal">
      <formula>$S$1</formula>
    </cfRule>
  </conditionalFormatting>
  <conditionalFormatting sqref="D26">
    <cfRule type="cellIs" dxfId="13" priority="687" operator="equal">
      <formula>$S$1</formula>
    </cfRule>
    <cfRule type="cellIs" dxfId="12" priority="68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2022-01-28T01:13:55Z</dcterms:modified>
</cp:coreProperties>
</file>