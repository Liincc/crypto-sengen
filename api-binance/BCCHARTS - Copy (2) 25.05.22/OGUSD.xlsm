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215845C-9B18-4940-B210-8ED872755E0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16" i="5"/>
  <c r="C118" i="4"/>
  <c r="C116" i="4"/>
  <c r="C136" i="5"/>
  <c r="D136" i="5"/>
  <c r="C136" i="4"/>
  <c r="D136" i="4"/>
  <c r="C122" i="3"/>
  <c r="C133" i="3" s="1"/>
  <c r="C136" i="3" s="1"/>
  <c r="C118" i="3"/>
  <c r="R765" i="1"/>
  <c r="C138" i="5" l="1"/>
  <c r="C138" i="4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<sst xmlns="http://schemas.openxmlformats.org/spreadsheetml/2006/main" count="5064" uniqueCount="34">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</sst>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2.9950000000000001</c:v>
                </c:pt>
                <c:pt idx="1">
                  <c:v>3.0379999999999998</c:v>
                </c:pt>
                <c:pt idx="2">
                  <c:v>3.073</c:v>
                </c:pt>
                <c:pt idx="3">
                  <c:v>3.081</c:v>
                </c:pt>
                <c:pt idx="4">
                  <c:v>3.1379999999999999</c:v>
                </c:pt>
                <c:pt idx="5">
                  <c:v>3.0590000000000002</c:v>
                </c:pt>
                <c:pt idx="6">
                  <c:v>3.3919999999999999</c:v>
                </c:pt>
                <c:pt idx="7">
                  <c:v>3.8610000000000002</c:v>
                </c:pt>
                <c:pt idx="8">
                  <c:v>3.956</c:v>
                </c:pt>
                <c:pt idx="9">
                  <c:v>4.117</c:v>
                </c:pt>
                <c:pt idx="10">
                  <c:v>4.1879999999999997</c:v>
                </c:pt>
                <c:pt idx="11">
                  <c:v>4.1609999999999996</c:v>
                </c:pt>
                <c:pt idx="12">
                  <c:v>4.2220000000000004</c:v>
                </c:pt>
                <c:pt idx="13">
                  <c:v>4.2690000000000001</c:v>
                </c:pt>
                <c:pt idx="14">
                  <c:v>4.18</c:v>
                </c:pt>
                <c:pt idx="15">
                  <c:v>4.4160000000000004</c:v>
                </c:pt>
                <c:pt idx="16">
                  <c:v>4.3819999999999997</c:v>
                </c:pt>
                <c:pt idx="17">
                  <c:v>4.2030000000000003</c:v>
                </c:pt>
                <c:pt idx="18">
                  <c:v>4.282</c:v>
                </c:pt>
                <c:pt idx="19">
                  <c:v>4.3029999999999999</c:v>
                </c:pt>
                <c:pt idx="20">
                  <c:v>4.1269999999999998</c:v>
                </c:pt>
                <c:pt idx="21">
                  <c:v>4.3380000000000001</c:v>
                </c:pt>
                <c:pt idx="22">
                  <c:v>4.3949999999999996</c:v>
                </c:pt>
                <c:pt idx="23">
                  <c:v>4.673</c:v>
                </c:pt>
                <c:pt idx="24">
                  <c:v>4.7770000000000001</c:v>
                </c:pt>
                <c:pt idx="25">
                  <c:v>5.0119999999999996</c:v>
                </c:pt>
                <c:pt idx="26">
                  <c:v>5.069</c:v>
                </c:pt>
                <c:pt idx="27">
                  <c:v>4.508</c:v>
                </c:pt>
                <c:pt idx="28">
                  <c:v>4.6970000000000001</c:v>
                </c:pt>
                <c:pt idx="29">
                  <c:v>4.7960000000000003</c:v>
                </c:pt>
                <c:pt idx="30">
                  <c:v>5.3490000000000002</c:v>
                </c:pt>
                <c:pt idx="31">
                  <c:v>4.7439999999999998</c:v>
                </c:pt>
                <c:pt idx="32">
                  <c:v>4.37</c:v>
                </c:pt>
                <c:pt idx="33">
                  <c:v>4.28</c:v>
                </c:pt>
                <c:pt idx="34">
                  <c:v>4.157</c:v>
                </c:pt>
                <c:pt idx="35">
                  <c:v>4.3310000000000004</c:v>
                </c:pt>
                <c:pt idx="36">
                  <c:v>4.024</c:v>
                </c:pt>
                <c:pt idx="37">
                  <c:v>3.9460000000000002</c:v>
                </c:pt>
                <c:pt idx="38">
                  <c:v>3.9390000000000001</c:v>
                </c:pt>
                <c:pt idx="39">
                  <c:v>3.8889999999999998</c:v>
                </c:pt>
                <c:pt idx="40">
                  <c:v>3.9550000000000001</c:v>
                </c:pt>
                <c:pt idx="41">
                  <c:v>3.931</c:v>
                </c:pt>
                <c:pt idx="42">
                  <c:v>3.9489999999999998</c:v>
                </c:pt>
                <c:pt idx="43">
                  <c:v>4.1180000000000003</c:v>
                </c:pt>
                <c:pt idx="44">
                  <c:v>4.0759999999999996</c:v>
                </c:pt>
                <c:pt idx="45">
                  <c:v>4.0369999999999999</c:v>
                </c:pt>
                <c:pt idx="46">
                  <c:v>4.4029999999999996</c:v>
                </c:pt>
                <c:pt idx="47">
                  <c:v>4.2130000000000001</c:v>
                </c:pt>
                <c:pt idx="48">
                  <c:v>4.2</c:v>
                </c:pt>
                <c:pt idx="49">
                  <c:v>4.3140000000000001</c:v>
                </c:pt>
                <c:pt idx="50">
                  <c:v>4.6689999999999996</c:v>
                </c:pt>
                <c:pt idx="51">
                  <c:v>4.4349999999999996</c:v>
                </c:pt>
                <c:pt idx="52">
                  <c:v>4.6859999999999999</c:v>
                </c:pt>
                <c:pt idx="53">
                  <c:v>4.8769999999999998</c:v>
                </c:pt>
                <c:pt idx="54">
                  <c:v>4.5010000000000003</c:v>
                </c:pt>
                <c:pt idx="55">
                  <c:v>5.0490000000000004</c:v>
                </c:pt>
                <c:pt idx="56">
                  <c:v>5.133</c:v>
                </c:pt>
                <c:pt idx="57">
                  <c:v>5.8390000000000004</c:v>
                </c:pt>
                <c:pt idx="58">
                  <c:v>4.976</c:v>
                </c:pt>
                <c:pt idx="59">
                  <c:v>5.1870000000000003</c:v>
                </c:pt>
                <c:pt idx="60">
                  <c:v>5.2119999999999997</c:v>
                </c:pt>
                <c:pt idx="61">
                  <c:v>5.2859999999999996</c:v>
                </c:pt>
                <c:pt idx="62">
                  <c:v>5.1310000000000002</c:v>
                </c:pt>
                <c:pt idx="63">
                  <c:v>5.5679999999999996</c:v>
                </c:pt>
                <c:pt idx="64">
                  <c:v>5.5179999999999998</c:v>
                </c:pt>
                <c:pt idx="65">
                  <c:v>5.6150000000000002</c:v>
                </c:pt>
                <c:pt idx="66">
                  <c:v>5.8310000000000004</c:v>
                </c:pt>
                <c:pt idx="67">
                  <c:v>5.8529999999999998</c:v>
                </c:pt>
                <c:pt idx="68">
                  <c:v>5.915</c:v>
                </c:pt>
                <c:pt idx="69">
                  <c:v>5.8049999999999997</c:v>
                </c:pt>
                <c:pt idx="70">
                  <c:v>5.58</c:v>
                </c:pt>
                <c:pt idx="71">
                  <c:v>5.843</c:v>
                </c:pt>
                <c:pt idx="72">
                  <c:v>5.8959999999999999</c:v>
                </c:pt>
                <c:pt idx="73">
                  <c:v>6.59</c:v>
                </c:pt>
                <c:pt idx="74">
                  <c:v>6.6890000000000001</c:v>
                </c:pt>
                <c:pt idx="75">
                  <c:v>6.742</c:v>
                </c:pt>
                <c:pt idx="76">
                  <c:v>6.984</c:v>
                </c:pt>
                <c:pt idx="77">
                  <c:v>7.6509999999999998</c:v>
                </c:pt>
                <c:pt idx="78">
                  <c:v>7.024</c:v>
                </c:pt>
                <c:pt idx="79">
                  <c:v>6.8380000000000001</c:v>
                </c:pt>
                <c:pt idx="80">
                  <c:v>7.01</c:v>
                </c:pt>
                <c:pt idx="81">
                  <c:v>7.3970000000000002</c:v>
                </c:pt>
                <c:pt idx="82">
                  <c:v>6.5750000000000002</c:v>
                </c:pt>
                <c:pt idx="83">
                  <c:v>6.7709999999999999</c:v>
                </c:pt>
                <c:pt idx="84">
                  <c:v>6.6760000000000002</c:v>
                </c:pt>
                <c:pt idx="85">
                  <c:v>6.56</c:v>
                </c:pt>
                <c:pt idx="86">
                  <c:v>6.6980000000000004</c:v>
                </c:pt>
                <c:pt idx="87">
                  <c:v>6.2450000000000001</c:v>
                </c:pt>
                <c:pt idx="88">
                  <c:v>6.3010000000000002</c:v>
                </c:pt>
                <c:pt idx="89">
                  <c:v>6.444</c:v>
                </c:pt>
                <c:pt idx="90">
                  <c:v>6.5519999999999996</c:v>
                </c:pt>
                <c:pt idx="91">
                  <c:v>6.2119999999999997</c:v>
                </c:pt>
                <c:pt idx="92">
                  <c:v>6.2220000000000004</c:v>
                </c:pt>
                <c:pt idx="93">
                  <c:v>6.8310000000000004</c:v>
                </c:pt>
                <c:pt idx="94">
                  <c:v>7.1109999999999998</c:v>
                </c:pt>
                <c:pt idx="95">
                  <c:v>7.0369999999999999</c:v>
                </c:pt>
                <c:pt idx="96">
                  <c:v>7.077</c:v>
                </c:pt>
                <c:pt idx="97">
                  <c:v>7.0979999999999999</c:v>
                </c:pt>
                <c:pt idx="98">
                  <c:v>7.1180000000000003</c:v>
                </c:pt>
                <c:pt idx="99">
                  <c:v>7.3209999999999997</c:v>
                </c:pt>
                <c:pt idx="100">
                  <c:v>7.1710000000000003</c:v>
                </c:pt>
                <c:pt idx="101">
                  <c:v>7.11</c:v>
                </c:pt>
                <c:pt idx="102">
                  <c:v>7.4359999999999999</c:v>
                </c:pt>
                <c:pt idx="103">
                  <c:v>7.415</c:v>
                </c:pt>
                <c:pt idx="104">
                  <c:v>7.4189999999999996</c:v>
                </c:pt>
                <c:pt idx="105">
                  <c:v>7.9740000000000002</c:v>
                </c:pt>
                <c:pt idx="106">
                  <c:v>7.4989999999999997</c:v>
                </c:pt>
                <c:pt idx="107">
                  <c:v>7.5670000000000002</c:v>
                </c:pt>
                <c:pt idx="108">
                  <c:v>7.899</c:v>
                </c:pt>
                <c:pt idx="109">
                  <c:v>7.69</c:v>
                </c:pt>
                <c:pt idx="110">
                  <c:v>8.14</c:v>
                </c:pt>
                <c:pt idx="111">
                  <c:v>8.3710000000000004</c:v>
                </c:pt>
                <c:pt idx="112">
                  <c:v>8.7430000000000003</c:v>
                </c:pt>
                <c:pt idx="113">
                  <c:v>8.9239999999999995</c:v>
                </c:pt>
                <c:pt idx="114">
                  <c:v>9.3580000000000005</c:v>
                </c:pt>
                <c:pt idx="115">
                  <c:v>8.7750000000000004</c:v>
                </c:pt>
                <c:pt idx="116">
                  <c:v>8.8840000000000003</c:v>
                </c:pt>
                <c:pt idx="117">
                  <c:v>8.3230000000000004</c:v>
                </c:pt>
                <c:pt idx="118">
                  <c:v>8.1310000000000002</c:v>
                </c:pt>
                <c:pt idx="119">
                  <c:v>7.383</c:v>
                </c:pt>
                <c:pt idx="120">
                  <c:v>7.2640000000000002</c:v>
                </c:pt>
                <c:pt idx="121">
                  <c:v>7.1529999999999996</c:v>
                </c:pt>
                <c:pt idx="122">
                  <c:v>7.4749999999999996</c:v>
                </c:pt>
                <c:pt idx="123">
                  <c:v>8.1519999999999992</c:v>
                </c:pt>
                <c:pt idx="124">
                  <c:v>8.1839999999999993</c:v>
                </c:pt>
                <c:pt idx="125">
                  <c:v>8.6319999999999997</c:v>
                </c:pt>
                <c:pt idx="126">
                  <c:v>8.6509999999999998</c:v>
                </c:pt>
                <c:pt idx="127">
                  <c:v>8.516</c:v>
                </c:pt>
                <c:pt idx="128">
                  <c:v>7.851</c:v>
                </c:pt>
                <c:pt idx="129">
                  <c:v>8.6999999999999993</c:v>
                </c:pt>
                <c:pt idx="130">
                  <c:v>9.3759999999999994</c:v>
                </c:pt>
                <c:pt idx="131">
                  <c:v>10.488</c:v>
                </c:pt>
                <c:pt idx="132">
                  <c:v>10.816000000000001</c:v>
                </c:pt>
                <c:pt idx="133">
                  <c:v>9.0939999999999994</c:v>
                </c:pt>
                <c:pt idx="134">
                  <c:v>9.6590000000000007</c:v>
                </c:pt>
                <c:pt idx="135">
                  <c:v>7.4640000000000004</c:v>
                </c:pt>
                <c:pt idx="136">
                  <c:v>7.085</c:v>
                </c:pt>
                <c:pt idx="137">
                  <c:v>6.9240000000000004</c:v>
                </c:pt>
                <c:pt idx="138">
                  <c:v>6.77</c:v>
                </c:pt>
                <c:pt idx="139">
                  <c:v>7.1989999999999998</c:v>
                </c:pt>
                <c:pt idx="140">
                  <c:v>6.431</c:v>
                </c:pt>
                <c:pt idx="141">
                  <c:v>6.4050000000000002</c:v>
                </c:pt>
                <c:pt idx="142">
                  <c:v>6.5209999999999999</c:v>
                </c:pt>
                <c:pt idx="143">
                  <c:v>7.7039999999999997</c:v>
                </c:pt>
                <c:pt idx="144">
                  <c:v>8.2859999999999996</c:v>
                </c:pt>
                <c:pt idx="145">
                  <c:v>6.266</c:v>
                </c:pt>
                <c:pt idx="146">
                  <c:v>6.0039999999999996</c:v>
                </c:pt>
                <c:pt idx="147">
                  <c:v>5.835</c:v>
                </c:pt>
                <c:pt idx="148">
                  <c:v>5.8940000000000001</c:v>
                </c:pt>
                <c:pt idx="149">
                  <c:v>5.6269999999999998</c:v>
                </c:pt>
                <c:pt idx="150">
                  <c:v>5.7060000000000004</c:v>
                </c:pt>
                <c:pt idx="151">
                  <c:v>5.9870000000000001</c:v>
                </c:pt>
                <c:pt idx="152">
                  <c:v>5.9509999999999996</c:v>
                </c:pt>
                <c:pt idx="153">
                  <c:v>6.1710000000000003</c:v>
                </c:pt>
                <c:pt idx="154">
                  <c:v>5.8940000000000001</c:v>
                </c:pt>
                <c:pt idx="155">
                  <c:v>6.0460000000000003</c:v>
                </c:pt>
                <c:pt idx="156">
                  <c:v>5.9249999999999998</c:v>
                </c:pt>
                <c:pt idx="157">
                  <c:v>6.3479999999999999</c:v>
                </c:pt>
                <c:pt idx="158">
                  <c:v>5.8460000000000001</c:v>
                </c:pt>
                <c:pt idx="159">
                  <c:v>5.8659999999999997</c:v>
                </c:pt>
                <c:pt idx="160">
                  <c:v>6.0460000000000003</c:v>
                </c:pt>
                <c:pt idx="161">
                  <c:v>6.0110000000000001</c:v>
                </c:pt>
                <c:pt idx="162">
                  <c:v>5.8280000000000003</c:v>
                </c:pt>
                <c:pt idx="163">
                  <c:v>5.6740000000000004</c:v>
                </c:pt>
                <c:pt idx="164">
                  <c:v>6.04</c:v>
                </c:pt>
                <c:pt idx="165">
                  <c:v>6.5410000000000004</c:v>
                </c:pt>
                <c:pt idx="166">
                  <c:v>6.1470000000000002</c:v>
                </c:pt>
                <c:pt idx="167">
                  <c:v>6.2779999999999996</c:v>
                </c:pt>
                <c:pt idx="168">
                  <c:v>5.8010000000000002</c:v>
                </c:pt>
                <c:pt idx="169">
                  <c:v>5.9390000000000001</c:v>
                </c:pt>
                <c:pt idx="170">
                  <c:v>6.1219999999999999</c:v>
                </c:pt>
                <c:pt idx="171">
                  <c:v>6.57</c:v>
                </c:pt>
                <c:pt idx="172">
                  <c:v>4.9770000000000003</c:v>
                </c:pt>
                <c:pt idx="173">
                  <c:v>5.0990000000000002</c:v>
                </c:pt>
                <c:pt idx="174">
                  <c:v>5.2549999999999999</c:v>
                </c:pt>
                <c:pt idx="175">
                  <c:v>5.0540000000000003</c:v>
                </c:pt>
                <c:pt idx="176">
                  <c:v>4.5049999999999999</c:v>
                </c:pt>
                <c:pt idx="177">
                  <c:v>4.4610000000000003</c:v>
                </c:pt>
                <c:pt idx="178">
                  <c:v>4.4429999999999996</c:v>
                </c:pt>
                <c:pt idx="179">
                  <c:v>4.2380000000000004</c:v>
                </c:pt>
                <c:pt idx="180">
                  <c:v>4.3620000000000001</c:v>
                </c:pt>
                <c:pt idx="181">
                  <c:v>4.2389999999999999</c:v>
                </c:pt>
                <c:pt idx="182">
                  <c:v>4.1980000000000004</c:v>
                </c:pt>
                <c:pt idx="183">
                  <c:v>4.2220000000000004</c:v>
                </c:pt>
                <c:pt idx="184">
                  <c:v>4.2</c:v>
                </c:pt>
                <c:pt idx="185">
                  <c:v>4.2</c:v>
                </c:pt>
                <c:pt idx="186">
                  <c:v>4.45</c:v>
                </c:pt>
                <c:pt idx="187">
                  <c:v>4.4160000000000004</c:v>
                </c:pt>
                <c:pt idx="188">
                  <c:v>4.3230000000000004</c:v>
                </c:pt>
                <c:pt idx="189">
                  <c:v>4.29</c:v>
                </c:pt>
                <c:pt idx="190">
                  <c:v>3.84</c:v>
                </c:pt>
                <c:pt idx="191">
                  <c:v>3.48</c:v>
                </c:pt>
                <c:pt idx="192">
                  <c:v>3.83</c:v>
                </c:pt>
                <c:pt idx="193">
                  <c:v>3.915</c:v>
                </c:pt>
                <c:pt idx="194">
                  <c:v>3.9089999999999998</c:v>
                </c:pt>
                <c:pt idx="195">
                  <c:v>3.911</c:v>
                </c:pt>
                <c:pt idx="196">
                  <c:v>4.1139999999999999</c:v>
                </c:pt>
                <c:pt idx="197">
                  <c:v>4.359</c:v>
                </c:pt>
                <c:pt idx="198">
                  <c:v>4.0599999999999996</c:v>
                </c:pt>
                <c:pt idx="199">
                  <c:v>3.9460000000000002</c:v>
                </c:pt>
                <c:pt idx="200">
                  <c:v>3.9489999999999998</c:v>
                </c:pt>
                <c:pt idx="201">
                  <c:v>3.98</c:v>
                </c:pt>
                <c:pt idx="202">
                  <c:v>3.7930000000000001</c:v>
                </c:pt>
                <c:pt idx="203">
                  <c:v>3.8149999999999999</c:v>
                </c:pt>
                <c:pt idx="204">
                  <c:v>4.0579999999999998</c:v>
                </c:pt>
                <c:pt idx="205">
                  <c:v>3.9119999999999999</c:v>
                </c:pt>
                <c:pt idx="206">
                  <c:v>3.859</c:v>
                </c:pt>
                <c:pt idx="207">
                  <c:v>4.0069999999999997</c:v>
                </c:pt>
                <c:pt idx="208">
                  <c:v>3.8460000000000001</c:v>
                </c:pt>
                <c:pt idx="209">
                  <c:v>3.7890000000000001</c:v>
                </c:pt>
                <c:pt idx="210">
                  <c:v>3.891</c:v>
                </c:pt>
                <c:pt idx="211">
                  <c:v>3.9350000000000001</c:v>
                </c:pt>
                <c:pt idx="212">
                  <c:v>3.9740000000000002</c:v>
                </c:pt>
                <c:pt idx="213">
                  <c:v>3.915</c:v>
                </c:pt>
                <c:pt idx="214">
                  <c:v>3.9249999999999998</c:v>
                </c:pt>
                <c:pt idx="215">
                  <c:v>3.7770000000000001</c:v>
                </c:pt>
                <c:pt idx="216">
                  <c:v>3.6760000000000002</c:v>
                </c:pt>
                <c:pt idx="217">
                  <c:v>3.9140000000000001</c:v>
                </c:pt>
                <c:pt idx="218">
                  <c:v>4.0839999999999996</c:v>
                </c:pt>
                <c:pt idx="219">
                  <c:v>3.7519999999999998</c:v>
                </c:pt>
                <c:pt idx="220">
                  <c:v>4.016</c:v>
                </c:pt>
                <c:pt idx="221">
                  <c:v>5.1429999999999998</c:v>
                </c:pt>
                <c:pt idx="222">
                  <c:v>5.3239999999999998</c:v>
                </c:pt>
                <c:pt idx="223">
                  <c:v>5.2119999999999997</c:v>
                </c:pt>
                <c:pt idx="224">
                  <c:v>5.7480000000000002</c:v>
                </c:pt>
                <c:pt idx="225">
                  <c:v>5.3529999999999998</c:v>
                </c:pt>
                <c:pt idx="226">
                  <c:v>5.7939999999999996</c:v>
                </c:pt>
                <c:pt idx="227">
                  <c:v>5.7140000000000004</c:v>
                </c:pt>
                <c:pt idx="228">
                  <c:v>5.532</c:v>
                </c:pt>
                <c:pt idx="229">
                  <c:v>5.5709999999999997</c:v>
                </c:pt>
                <c:pt idx="230">
                  <c:v>5.734</c:v>
                </c:pt>
                <c:pt idx="231">
                  <c:v>6.0540000000000003</c:v>
                </c:pt>
                <c:pt idx="232">
                  <c:v>5.2359999999999998</c:v>
                </c:pt>
                <c:pt idx="233">
                  <c:v>5.0010000000000003</c:v>
                </c:pt>
                <c:pt idx="234">
                  <c:v>5.31</c:v>
                </c:pt>
                <c:pt idx="235">
                  <c:v>5.649</c:v>
                </c:pt>
                <c:pt idx="236">
                  <c:v>5.7489999999999997</c:v>
                </c:pt>
                <c:pt idx="237">
                  <c:v>5.7460000000000004</c:v>
                </c:pt>
                <c:pt idx="238">
                  <c:v>6.2969999999999997</c:v>
                </c:pt>
                <c:pt idx="239">
                  <c:v>6.0640000000000001</c:v>
                </c:pt>
                <c:pt idx="240">
                  <c:v>5.8789999999999996</c:v>
                </c:pt>
                <c:pt idx="241">
                  <c:v>6.1189999999999998</c:v>
                </c:pt>
                <c:pt idx="242">
                  <c:v>5.8810000000000002</c:v>
                </c:pt>
                <c:pt idx="243">
                  <c:v>5.9560000000000004</c:v>
                </c:pt>
                <c:pt idx="244">
                  <c:v>5.92</c:v>
                </c:pt>
                <c:pt idx="245">
                  <c:v>6.9160000000000004</c:v>
                </c:pt>
                <c:pt idx="246">
                  <c:v>6.2380000000000004</c:v>
                </c:pt>
                <c:pt idx="247">
                  <c:v>5.7050000000000001</c:v>
                </c:pt>
                <c:pt idx="248">
                  <c:v>6.1509999999999998</c:v>
                </c:pt>
                <c:pt idx="249">
                  <c:v>5.4290000000000003</c:v>
                </c:pt>
                <c:pt idx="250">
                  <c:v>7.55</c:v>
                </c:pt>
                <c:pt idx="251">
                  <c:v>9.0389999999999997</c:v>
                </c:pt>
                <c:pt idx="252">
                  <c:v>8.5909999999999993</c:v>
                </c:pt>
                <c:pt idx="253">
                  <c:v>7.7009999999999996</c:v>
                </c:pt>
                <c:pt idx="254">
                  <c:v>12.882999999999999</c:v>
                </c:pt>
                <c:pt idx="255">
                  <c:v>10.106</c:v>
                </c:pt>
                <c:pt idx="256">
                  <c:v>12.116</c:v>
                </c:pt>
                <c:pt idx="257">
                  <c:v>11.646000000000001</c:v>
                </c:pt>
                <c:pt idx="258">
                  <c:v>8.7249999999999996</c:v>
                </c:pt>
                <c:pt idx="259">
                  <c:v>8.282</c:v>
                </c:pt>
                <c:pt idx="260">
                  <c:v>8.3979999999999997</c:v>
                </c:pt>
                <c:pt idx="261">
                  <c:v>7.9320000000000004</c:v>
                </c:pt>
                <c:pt idx="262">
                  <c:v>7.84</c:v>
                </c:pt>
                <c:pt idx="263">
                  <c:v>8.5950000000000006</c:v>
                </c:pt>
                <c:pt idx="264">
                  <c:v>9.3339999999999996</c:v>
                </c:pt>
                <c:pt idx="265">
                  <c:v>8.8439999999999994</c:v>
                </c:pt>
                <c:pt idx="266">
                  <c:v>8.9</c:v>
                </c:pt>
                <c:pt idx="267">
                  <c:v>9.109</c:v>
                </c:pt>
                <c:pt idx="268">
                  <c:v>8.6300000000000008</c:v>
                </c:pt>
                <c:pt idx="269">
                  <c:v>9.9450000000000003</c:v>
                </c:pt>
                <c:pt idx="270">
                  <c:v>9.85</c:v>
                </c:pt>
                <c:pt idx="271">
                  <c:v>10.113</c:v>
                </c:pt>
                <c:pt idx="272">
                  <c:v>10.462999999999999</c:v>
                </c:pt>
                <c:pt idx="273">
                  <c:v>9.4</c:v>
                </c:pt>
                <c:pt idx="274">
                  <c:v>9.218</c:v>
                </c:pt>
                <c:pt idx="275">
                  <c:v>9.7469999999999999</c:v>
                </c:pt>
                <c:pt idx="276">
                  <c:v>9.0269999999999992</c:v>
                </c:pt>
                <c:pt idx="277">
                  <c:v>7.8739999999999997</c:v>
                </c:pt>
                <c:pt idx="278">
                  <c:v>7.9580000000000002</c:v>
                </c:pt>
                <c:pt idx="279">
                  <c:v>8.3840000000000003</c:v>
                </c:pt>
                <c:pt idx="280">
                  <c:v>8.9610000000000003</c:v>
                </c:pt>
                <c:pt idx="281">
                  <c:v>9.5229999999999997</c:v>
                </c:pt>
                <c:pt idx="282">
                  <c:v>9.923</c:v>
                </c:pt>
                <c:pt idx="283">
                  <c:v>9.7309999999999999</c:v>
                </c:pt>
                <c:pt idx="284">
                  <c:v>10.055</c:v>
                </c:pt>
                <c:pt idx="285">
                  <c:v>11.847</c:v>
                </c:pt>
                <c:pt idx="286">
                  <c:v>11.993</c:v>
                </c:pt>
                <c:pt idx="287">
                  <c:v>12.94</c:v>
                </c:pt>
                <c:pt idx="288">
                  <c:v>13.279</c:v>
                </c:pt>
                <c:pt idx="289">
                  <c:v>12.567</c:v>
                </c:pt>
                <c:pt idx="290">
                  <c:v>13.063000000000001</c:v>
                </c:pt>
                <c:pt idx="291">
                  <c:v>12.336</c:v>
                </c:pt>
                <c:pt idx="292">
                  <c:v>12.893000000000001</c:v>
                </c:pt>
                <c:pt idx="293">
                  <c:v>16.048999999999999</c:v>
                </c:pt>
                <c:pt idx="294">
                  <c:v>13.143000000000001</c:v>
                </c:pt>
                <c:pt idx="295">
                  <c:v>11.676</c:v>
                </c:pt>
                <c:pt idx="296">
                  <c:v>11.157999999999999</c:v>
                </c:pt>
                <c:pt idx="297">
                  <c:v>10.352</c:v>
                </c:pt>
                <c:pt idx="298">
                  <c:v>10.4</c:v>
                </c:pt>
                <c:pt idx="299">
                  <c:v>9.9809999999999999</c:v>
                </c:pt>
                <c:pt idx="300">
                  <c:v>10.217000000000001</c:v>
                </c:pt>
                <c:pt idx="301">
                  <c:v>10.429</c:v>
                </c:pt>
                <c:pt idx="302">
                  <c:v>10.94</c:v>
                </c:pt>
                <c:pt idx="303">
                  <c:v>11.298999999999999</c:v>
                </c:pt>
                <c:pt idx="304">
                  <c:v>10.327</c:v>
                </c:pt>
                <c:pt idx="305">
                  <c:v>9.9090000000000007</c:v>
                </c:pt>
                <c:pt idx="306">
                  <c:v>9.891</c:v>
                </c:pt>
                <c:pt idx="307">
                  <c:v>10.11</c:v>
                </c:pt>
                <c:pt idx="308">
                  <c:v>11.177</c:v>
                </c:pt>
                <c:pt idx="309">
                  <c:v>7.9329999999999998</c:v>
                </c:pt>
                <c:pt idx="310">
                  <c:v>8.0719999999999992</c:v>
                </c:pt>
                <c:pt idx="311">
                  <c:v>8.2249999999999996</c:v>
                </c:pt>
                <c:pt idx="312">
                  <c:v>8.2949999999999999</c:v>
                </c:pt>
                <c:pt idx="313">
                  <c:v>8.4760000000000009</c:v>
                </c:pt>
                <c:pt idx="314">
                  <c:v>9.0050000000000008</c:v>
                </c:pt>
                <c:pt idx="315">
                  <c:v>9.4209999999999994</c:v>
                </c:pt>
                <c:pt idx="316">
                  <c:v>10.026</c:v>
                </c:pt>
                <c:pt idx="317">
                  <c:v>9.9290000000000003</c:v>
                </c:pt>
                <c:pt idx="318">
                  <c:v>9.66</c:v>
                </c:pt>
                <c:pt idx="319">
                  <c:v>10.662000000000001</c:v>
                </c:pt>
                <c:pt idx="320">
                  <c:v>10.766</c:v>
                </c:pt>
                <c:pt idx="321">
                  <c:v>9.2729999999999997</c:v>
                </c:pt>
                <c:pt idx="322">
                  <c:v>8.8179999999999996</c:v>
                </c:pt>
                <c:pt idx="323">
                  <c:v>6.9909999999999997</c:v>
                </c:pt>
                <c:pt idx="324">
                  <c:v>6.4050000000000002</c:v>
                </c:pt>
                <c:pt idx="325">
                  <c:v>6.28</c:v>
                </c:pt>
                <c:pt idx="326">
                  <c:v>6.3780000000000001</c:v>
                </c:pt>
                <c:pt idx="327">
                  <c:v>5.8470000000000004</c:v>
                </c:pt>
                <c:pt idx="328">
                  <c:v>4.6870000000000003</c:v>
                </c:pt>
                <c:pt idx="329">
                  <c:v>4.6379999999999999</c:v>
                </c:pt>
                <c:pt idx="330">
                  <c:v>5.0999999999999996</c:v>
                </c:pt>
                <c:pt idx="331">
                  <c:v>4.665</c:v>
                </c:pt>
                <c:pt idx="332">
                  <c:v>5.0890000000000004</c:v>
                </c:pt>
                <c:pt idx="333">
                  <c:v>4.6159999999999997</c:v>
                </c:pt>
                <c:pt idx="334">
                  <c:v>4.6100000000000003</c:v>
                </c:pt>
                <c:pt idx="335">
                  <c:v>4.2990000000000004</c:v>
                </c:pt>
                <c:pt idx="336">
                  <c:v>4.6210000000000004</c:v>
                </c:pt>
                <c:pt idx="337">
                  <c:v>4.8840000000000003</c:v>
                </c:pt>
                <c:pt idx="338">
                  <c:v>4.843</c:v>
                </c:pt>
                <c:pt idx="339">
                  <c:v>5.9820000000000002</c:v>
                </c:pt>
                <c:pt idx="340">
                  <c:v>6.9630000000000001</c:v>
                </c:pt>
                <c:pt idx="341">
                  <c:v>6.8869999999999996</c:v>
                </c:pt>
                <c:pt idx="342">
                  <c:v>7.9610000000000003</c:v>
                </c:pt>
                <c:pt idx="343">
                  <c:v>8.1449999999999996</c:v>
                </c:pt>
                <c:pt idx="344">
                  <c:v>7.601</c:v>
                </c:pt>
                <c:pt idx="345">
                  <c:v>6.6429999999999998</c:v>
                </c:pt>
                <c:pt idx="346">
                  <c:v>6.2270000000000003</c:v>
                </c:pt>
                <c:pt idx="347">
                  <c:v>6.7619999999999996</c:v>
                </c:pt>
                <c:pt idx="348">
                  <c:v>7.1349999999999998</c:v>
                </c:pt>
                <c:pt idx="349">
                  <c:v>6.85</c:v>
                </c:pt>
                <c:pt idx="350">
                  <c:v>5.7430000000000003</c:v>
                </c:pt>
                <c:pt idx="351">
                  <c:v>5.3840000000000003</c:v>
                </c:pt>
                <c:pt idx="352">
                  <c:v>4.8929999999999998</c:v>
                </c:pt>
                <c:pt idx="353">
                  <c:v>4.5599999999999996</c:v>
                </c:pt>
                <c:pt idx="354">
                  <c:v>4.1079999999999997</c:v>
                </c:pt>
                <c:pt idx="355">
                  <c:v>4.3209999999999997</c:v>
                </c:pt>
                <c:pt idx="356">
                  <c:v>4.3170000000000002</c:v>
                </c:pt>
                <c:pt idx="357">
                  <c:v>4.0759999999999996</c:v>
                </c:pt>
                <c:pt idx="358">
                  <c:v>4.16</c:v>
                </c:pt>
                <c:pt idx="359">
                  <c:v>3.8889999999999998</c:v>
                </c:pt>
                <c:pt idx="360">
                  <c:v>3.637</c:v>
                </c:pt>
                <c:pt idx="361">
                  <c:v>3.4790000000000001</c:v>
                </c:pt>
                <c:pt idx="362">
                  <c:v>3.448</c:v>
                </c:pt>
                <c:pt idx="363">
                  <c:v>3.3210000000000002</c:v>
                </c:pt>
                <c:pt idx="364">
                  <c:v>3.581</c:v>
                </c:pt>
                <c:pt idx="365">
                  <c:v>3.3180000000000001</c:v>
                </c:pt>
                <c:pt idx="366">
                  <c:v>3.6909999999999998</c:v>
                </c:pt>
                <c:pt idx="367">
                  <c:v>3.5870000000000002</c:v>
                </c:pt>
                <c:pt idx="368">
                  <c:v>3.78</c:v>
                </c:pt>
                <c:pt idx="369">
                  <c:v>3.895</c:v>
                </c:pt>
                <c:pt idx="370">
                  <c:v>3.9180000000000001</c:v>
                </c:pt>
                <c:pt idx="371">
                  <c:v>3.91</c:v>
                </c:pt>
                <c:pt idx="372">
                  <c:v>4.2489999999999997</c:v>
                </c:pt>
                <c:pt idx="373">
                  <c:v>4.0819999999999999</c:v>
                </c:pt>
                <c:pt idx="374">
                  <c:v>4.1040000000000001</c:v>
                </c:pt>
                <c:pt idx="375">
                  <c:v>4.2089999999999996</c:v>
                </c:pt>
                <c:pt idx="376">
                  <c:v>4.3949999999999996</c:v>
                </c:pt>
                <c:pt idx="377">
                  <c:v>4.33</c:v>
                </c:pt>
                <c:pt idx="378">
                  <c:v>4.57</c:v>
                </c:pt>
                <c:pt idx="379">
                  <c:v>5.34</c:v>
                </c:pt>
                <c:pt idx="380">
                  <c:v>2.5910000000000002</c:v>
                </c:pt>
                <c:pt idx="381">
                  <c:v>2.806</c:v>
                </c:pt>
                <c:pt idx="382">
                  <c:v>3.4159999999999999</c:v>
                </c:pt>
                <c:pt idx="383">
                  <c:v>3.4540000000000002</c:v>
                </c:pt>
                <c:pt idx="384">
                  <c:v>3.5409999999999999</c:v>
                </c:pt>
                <c:pt idx="385">
                  <c:v>3.62</c:v>
                </c:pt>
                <c:pt idx="386">
                  <c:v>3.9</c:v>
                </c:pt>
                <c:pt idx="387">
                  <c:v>4</c:v>
                </c:pt>
                <c:pt idx="388">
                  <c:v>4.4509999999999996</c:v>
                </c:pt>
                <c:pt idx="389">
                  <c:v>4.7</c:v>
                </c:pt>
                <c:pt idx="390">
                  <c:v>5.6280000000000001</c:v>
                </c:pt>
                <c:pt idx="391">
                  <c:v>6.27</c:v>
                </c:pt>
                <c:pt idx="392">
                  <c:v>6.274</c:v>
                </c:pt>
                <c:pt idx="393">
                  <c:v>8.9260000000000002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5D-4611-A033-6662D46CC6A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-0.41217557369212882</c:v>
                </c:pt>
                <c:pt idx="1">
                  <c:v>-0.4121625289524028</c:v>
                </c:pt>
                <c:pt idx="2">
                  <c:v>-0.41145615871430757</c:v>
                </c:pt>
                <c:pt idx="3">
                  <c:v>-0.41174153829479537</c:v>
                </c:pt>
                <c:pt idx="4">
                  <c:v>-0.4134053622715696</c:v>
                </c:pt>
                <c:pt idx="5">
                  <c:v>-0.41377283049190855</c:v>
                </c:pt>
                <c:pt idx="6">
                  <c:v>-0.41200141796877132</c:v>
                </c:pt>
                <c:pt idx="7">
                  <c:v>-0.40938329011583019</c:v>
                </c:pt>
                <c:pt idx="8">
                  <c:v>-0.40852974082352245</c:v>
                </c:pt>
                <c:pt idx="9">
                  <c:v>-0.40806014651917455</c:v>
                </c:pt>
                <c:pt idx="10">
                  <c:v>-0.40833799733891701</c:v>
                </c:pt>
                <c:pt idx="11">
                  <c:v>-0.40865499420914603</c:v>
                </c:pt>
                <c:pt idx="12">
                  <c:v>-0.40804402877164603</c:v>
                </c:pt>
                <c:pt idx="13">
                  <c:v>-0.4079281851352824</c:v>
                </c:pt>
                <c:pt idx="14">
                  <c:v>-0.40851523490947589</c:v>
                </c:pt>
                <c:pt idx="15">
                  <c:v>-0.40713699763255284</c:v>
                </c:pt>
                <c:pt idx="16">
                  <c:v>-0.4073021645799213</c:v>
                </c:pt>
                <c:pt idx="17">
                  <c:v>-0.4076740473907321</c:v>
                </c:pt>
                <c:pt idx="18">
                  <c:v>-0.40803731448089597</c:v>
                </c:pt>
                <c:pt idx="19">
                  <c:v>-0.40731815073197203</c:v>
                </c:pt>
                <c:pt idx="20">
                  <c:v>-0.40662972039298895</c:v>
                </c:pt>
                <c:pt idx="21">
                  <c:v>-0.40606186222535889</c:v>
                </c:pt>
                <c:pt idx="22">
                  <c:v>-0.40394545521193603</c:v>
                </c:pt>
                <c:pt idx="23">
                  <c:v>-0.40250435615614194</c:v>
                </c:pt>
                <c:pt idx="24">
                  <c:v>-0.40024349415614191</c:v>
                </c:pt>
                <c:pt idx="25">
                  <c:v>-0.39917280605936778</c:v>
                </c:pt>
                <c:pt idx="26">
                  <c:v>-0.3886296723330519</c:v>
                </c:pt>
                <c:pt idx="27">
                  <c:v>-0.39015502513101108</c:v>
                </c:pt>
                <c:pt idx="28">
                  <c:v>-0.38823480115049158</c:v>
                </c:pt>
                <c:pt idx="29">
                  <c:v>-0.3852961254139477</c:v>
                </c:pt>
                <c:pt idx="30">
                  <c:v>-0.37570789569335944</c:v>
                </c:pt>
                <c:pt idx="31">
                  <c:v>-0.32840080506167824</c:v>
                </c:pt>
                <c:pt idx="32">
                  <c:v>-0.31124699121891963</c:v>
                </c:pt>
                <c:pt idx="33">
                  <c:v>-0.30969776907353402</c:v>
                </c:pt>
                <c:pt idx="34">
                  <c:v>-0.30966173311669953</c:v>
                </c:pt>
                <c:pt idx="35">
                  <c:v>-0.30830781833022264</c:v>
                </c:pt>
                <c:pt idx="36">
                  <c:v>-0.30606666466289389</c:v>
                </c:pt>
                <c:pt idx="37">
                  <c:v>-0.30615857075681663</c:v>
                </c:pt>
                <c:pt idx="38">
                  <c:v>-0.30511835235475471</c:v>
                </c:pt>
                <c:pt idx="39">
                  <c:v>-0.30417499460769593</c:v>
                </c:pt>
                <c:pt idx="40">
                  <c:v>-0.30391944912428359</c:v>
                </c:pt>
                <c:pt idx="41">
                  <c:v>-0.30355777055285499</c:v>
                </c:pt>
                <c:pt idx="42">
                  <c:v>-0.30254948012342553</c:v>
                </c:pt>
                <c:pt idx="43">
                  <c:v>-0.30151502646921996</c:v>
                </c:pt>
                <c:pt idx="44">
                  <c:v>-0.3011782797344133</c:v>
                </c:pt>
                <c:pt idx="45">
                  <c:v>-0.30116593390107999</c:v>
                </c:pt>
                <c:pt idx="46">
                  <c:v>-0.30073019455618594</c:v>
                </c:pt>
                <c:pt idx="47">
                  <c:v>-0.30103113078976262</c:v>
                </c:pt>
                <c:pt idx="48">
                  <c:v>-0.30110336550715394</c:v>
                </c:pt>
                <c:pt idx="49">
                  <c:v>-0.30020051850715396</c:v>
                </c:pt>
                <c:pt idx="50">
                  <c:v>-0.29775880477382061</c:v>
                </c:pt>
                <c:pt idx="51">
                  <c:v>-0.30142375086077716</c:v>
                </c:pt>
                <c:pt idx="52">
                  <c:v>-0.29912043591532256</c:v>
                </c:pt>
                <c:pt idx="53">
                  <c:v>-0.30023927278381568</c:v>
                </c:pt>
                <c:pt idx="54">
                  <c:v>-0.29027405845001875</c:v>
                </c:pt>
                <c:pt idx="55">
                  <c:v>-0.28961828783118154</c:v>
                </c:pt>
                <c:pt idx="56">
                  <c:v>-0.28787415087679558</c:v>
                </c:pt>
                <c:pt idx="57">
                  <c:v>-0.28395186365031477</c:v>
                </c:pt>
                <c:pt idx="58">
                  <c:v>-0.28196290061737</c:v>
                </c:pt>
                <c:pt idx="59">
                  <c:v>-0.28106003697153664</c:v>
                </c:pt>
                <c:pt idx="60">
                  <c:v>-0.28117958619820332</c:v>
                </c:pt>
                <c:pt idx="61">
                  <c:v>-0.28176428601990872</c:v>
                </c:pt>
                <c:pt idx="62">
                  <c:v>-0.28159642932042689</c:v>
                </c:pt>
                <c:pt idx="63">
                  <c:v>-0.28089284367858469</c:v>
                </c:pt>
                <c:pt idx="64">
                  <c:v>-0.28041600903707531</c:v>
                </c:pt>
                <c:pt idx="65">
                  <c:v>-0.28041080661377255</c:v>
                </c:pt>
                <c:pt idx="66">
                  <c:v>-0.27971983209377255</c:v>
                </c:pt>
                <c:pt idx="67">
                  <c:v>-0.2801774941491742</c:v>
                </c:pt>
                <c:pt idx="68">
                  <c:v>-0.27782268863060822</c:v>
                </c:pt>
                <c:pt idx="69">
                  <c:v>-0.27952292534412176</c:v>
                </c:pt>
                <c:pt idx="70">
                  <c:v>-0.28024953130422148</c:v>
                </c:pt>
                <c:pt idx="71">
                  <c:v>-0.27350916333182235</c:v>
                </c:pt>
                <c:pt idx="72">
                  <c:v>-0.27409607902772876</c:v>
                </c:pt>
                <c:pt idx="73">
                  <c:v>-0.27215281896530841</c:v>
                </c:pt>
                <c:pt idx="74">
                  <c:v>-0.27174897258069303</c:v>
                </c:pt>
                <c:pt idx="75">
                  <c:v>-0.27198122603863689</c:v>
                </c:pt>
                <c:pt idx="76">
                  <c:v>-0.27053549086539502</c:v>
                </c:pt>
                <c:pt idx="77">
                  <c:v>-0.26829744192087551</c:v>
                </c:pt>
                <c:pt idx="78">
                  <c:v>-0.26919244834692835</c:v>
                </c:pt>
                <c:pt idx="79">
                  <c:v>-0.26511801878265229</c:v>
                </c:pt>
                <c:pt idx="80">
                  <c:v>-0.26339379576721494</c:v>
                </c:pt>
                <c:pt idx="81">
                  <c:v>-0.26166302175146694</c:v>
                </c:pt>
                <c:pt idx="82">
                  <c:v>-0.26367966942269982</c:v>
                </c:pt>
                <c:pt idx="83">
                  <c:v>-0.2622530835734605</c:v>
                </c:pt>
                <c:pt idx="84">
                  <c:v>-0.26022085019786251</c:v>
                </c:pt>
                <c:pt idx="85">
                  <c:v>-0.26070488977894352</c:v>
                </c:pt>
                <c:pt idx="86">
                  <c:v>-0.26121800061745282</c:v>
                </c:pt>
                <c:pt idx="87">
                  <c:v>-0.26235889149787334</c:v>
                </c:pt>
                <c:pt idx="88">
                  <c:v>-0.26278584196432708</c:v>
                </c:pt>
                <c:pt idx="89">
                  <c:v>-0.2621381401035382</c:v>
                </c:pt>
                <c:pt idx="90">
                  <c:v>-0.26169695094667544</c:v>
                </c:pt>
                <c:pt idx="91">
                  <c:v>-0.26260315719667543</c:v>
                </c:pt>
                <c:pt idx="92">
                  <c:v>-0.26253420443303904</c:v>
                </c:pt>
                <c:pt idx="93">
                  <c:v>-0.26144593004036887</c:v>
                </c:pt>
                <c:pt idx="94">
                  <c:v>-0.26002624041226974</c:v>
                </c:pt>
                <c:pt idx="95">
                  <c:v>-0.25983352710291724</c:v>
                </c:pt>
                <c:pt idx="96">
                  <c:v>-0.25642585955300795</c:v>
                </c:pt>
                <c:pt idx="97">
                  <c:v>-0.25595263486899311</c:v>
                </c:pt>
                <c:pt idx="98">
                  <c:v>-0.25322753986049451</c:v>
                </c:pt>
                <c:pt idx="99">
                  <c:v>-0.24674520797737762</c:v>
                </c:pt>
                <c:pt idx="100">
                  <c:v>-0.24435296708031878</c:v>
                </c:pt>
                <c:pt idx="101">
                  <c:v>-0.24401922241365212</c:v>
                </c:pt>
                <c:pt idx="102">
                  <c:v>-0.24308652194490213</c:v>
                </c:pt>
                <c:pt idx="103">
                  <c:v>-0.24247415461156879</c:v>
                </c:pt>
                <c:pt idx="104">
                  <c:v>-0.24185206381044835</c:v>
                </c:pt>
                <c:pt idx="105">
                  <c:v>-0.24077501455138098</c:v>
                </c:pt>
                <c:pt idx="106">
                  <c:v>-0.24225534540820176</c:v>
                </c:pt>
                <c:pt idx="107">
                  <c:v>-0.24180738552902845</c:v>
                </c:pt>
                <c:pt idx="108">
                  <c:v>-0.24132134477950282</c:v>
                </c:pt>
                <c:pt idx="109">
                  <c:v>-0.24078553471422864</c:v>
                </c:pt>
                <c:pt idx="110">
                  <c:v>-0.23975894837225975</c:v>
                </c:pt>
                <c:pt idx="111">
                  <c:v>-0.23866723052247432</c:v>
                </c:pt>
                <c:pt idx="112">
                  <c:v>-0.23711515956247431</c:v>
                </c:pt>
                <c:pt idx="113">
                  <c:v>-0.23551601840140049</c:v>
                </c:pt>
                <c:pt idx="114">
                  <c:v>-0.22797004075434169</c:v>
                </c:pt>
                <c:pt idx="115">
                  <c:v>-0.23260048571407321</c:v>
                </c:pt>
                <c:pt idx="116">
                  <c:v>-0.22980618301896136</c:v>
                </c:pt>
                <c:pt idx="117">
                  <c:v>-0.22799593518989644</c:v>
                </c:pt>
                <c:pt idx="118">
                  <c:v>-0.22866117318047058</c:v>
                </c:pt>
                <c:pt idx="119">
                  <c:v>-0.2299055287251805</c:v>
                </c:pt>
                <c:pt idx="120">
                  <c:v>-0.22886139931119445</c:v>
                </c:pt>
                <c:pt idx="121">
                  <c:v>-0.22804539940210353</c:v>
                </c:pt>
                <c:pt idx="122">
                  <c:v>-0.22757397389210354</c:v>
                </c:pt>
                <c:pt idx="123">
                  <c:v>-0.22470364152219757</c:v>
                </c:pt>
                <c:pt idx="124">
                  <c:v>-0.22545979059176277</c:v>
                </c:pt>
                <c:pt idx="125">
                  <c:v>-0.22370097284602636</c:v>
                </c:pt>
                <c:pt idx="126">
                  <c:v>-0.22467652632602636</c:v>
                </c:pt>
                <c:pt idx="127">
                  <c:v>-0.22462318507409434</c:v>
                </c:pt>
                <c:pt idx="128">
                  <c:v>-0.22855554027378594</c:v>
                </c:pt>
                <c:pt idx="129">
                  <c:v>-0.22727701718669882</c:v>
                </c:pt>
                <c:pt idx="130">
                  <c:v>-0.22685429207971788</c:v>
                </c:pt>
                <c:pt idx="131">
                  <c:v>-0.22462818284260447</c:v>
                </c:pt>
                <c:pt idx="132">
                  <c:v>-0.22216343386716483</c:v>
                </c:pt>
                <c:pt idx="133">
                  <c:v>-0.22718155126800987</c:v>
                </c:pt>
                <c:pt idx="134">
                  <c:v>-0.22347263587737345</c:v>
                </c:pt>
                <c:pt idx="135">
                  <c:v>-0.23481285615133213</c:v>
                </c:pt>
                <c:pt idx="136">
                  <c:v>-0.22606629245326265</c:v>
                </c:pt>
                <c:pt idx="137">
                  <c:v>-0.22384610851480111</c:v>
                </c:pt>
                <c:pt idx="138">
                  <c:v>-0.22236792573257891</c:v>
                </c:pt>
                <c:pt idx="139">
                  <c:v>-0.22039485232209852</c:v>
                </c:pt>
                <c:pt idx="140">
                  <c:v>-0.22146006220026218</c:v>
                </c:pt>
                <c:pt idx="141">
                  <c:v>-0.21465933472143867</c:v>
                </c:pt>
                <c:pt idx="142">
                  <c:v>-0.21586094884708765</c:v>
                </c:pt>
                <c:pt idx="143">
                  <c:v>-0.21335004429431723</c:v>
                </c:pt>
                <c:pt idx="144">
                  <c:v>-0.21049169770938372</c:v>
                </c:pt>
                <c:pt idx="145">
                  <c:v>-0.20538358073153407</c:v>
                </c:pt>
                <c:pt idx="146">
                  <c:v>-0.20493174529346067</c:v>
                </c:pt>
                <c:pt idx="147">
                  <c:v>-0.20527523381639645</c:v>
                </c:pt>
                <c:pt idx="148">
                  <c:v>-0.20512592789576156</c:v>
                </c:pt>
                <c:pt idx="149">
                  <c:v>-0.20590941000547253</c:v>
                </c:pt>
                <c:pt idx="150">
                  <c:v>-0.20501992861869833</c:v>
                </c:pt>
                <c:pt idx="151">
                  <c:v>-0.2035914336808993</c:v>
                </c:pt>
                <c:pt idx="152">
                  <c:v>-0.20332422536839928</c:v>
                </c:pt>
                <c:pt idx="153">
                  <c:v>-0.20258573851854092</c:v>
                </c:pt>
                <c:pt idx="154">
                  <c:v>-0.20426949116157941</c:v>
                </c:pt>
                <c:pt idx="155">
                  <c:v>-0.20338131652544922</c:v>
                </c:pt>
                <c:pt idx="156">
                  <c:v>-0.20464837386234316</c:v>
                </c:pt>
                <c:pt idx="157">
                  <c:v>-0.19977605721723835</c:v>
                </c:pt>
                <c:pt idx="158">
                  <c:v>-0.20220114980639961</c:v>
                </c:pt>
                <c:pt idx="159">
                  <c:v>-0.20217106103315119</c:v>
                </c:pt>
                <c:pt idx="160">
                  <c:v>-0.20008756055120963</c:v>
                </c:pt>
                <c:pt idx="161">
                  <c:v>-0.20038596663250965</c:v>
                </c:pt>
                <c:pt idx="162">
                  <c:v>-0.2014290460837917</c:v>
                </c:pt>
                <c:pt idx="163">
                  <c:v>-0.2018942424937917</c:v>
                </c:pt>
                <c:pt idx="164">
                  <c:v>-0.19974226377331883</c:v>
                </c:pt>
                <c:pt idx="165">
                  <c:v>-0.1972802395965616</c:v>
                </c:pt>
                <c:pt idx="166">
                  <c:v>-0.19936046903961874</c:v>
                </c:pt>
                <c:pt idx="167">
                  <c:v>-0.2000835991764684</c:v>
                </c:pt>
                <c:pt idx="168">
                  <c:v>-0.20153924127034881</c:v>
                </c:pt>
                <c:pt idx="169">
                  <c:v>-0.19957866211479325</c:v>
                </c:pt>
                <c:pt idx="170">
                  <c:v>-0.19563756731268286</c:v>
                </c:pt>
                <c:pt idx="171">
                  <c:v>-0.19002480926486912</c:v>
                </c:pt>
                <c:pt idx="172">
                  <c:v>-0.19441164842427971</c:v>
                </c:pt>
                <c:pt idx="173">
                  <c:v>-0.19265869513160239</c:v>
                </c:pt>
                <c:pt idx="174">
                  <c:v>-0.18553630964214296</c:v>
                </c:pt>
                <c:pt idx="175">
                  <c:v>-0.18936207503956831</c:v>
                </c:pt>
                <c:pt idx="176">
                  <c:v>-0.1923844318300594</c:v>
                </c:pt>
                <c:pt idx="177">
                  <c:v>-0.19351520853221885</c:v>
                </c:pt>
                <c:pt idx="178">
                  <c:v>-0.19260941846733512</c:v>
                </c:pt>
                <c:pt idx="179">
                  <c:v>-0.19391083437822401</c:v>
                </c:pt>
                <c:pt idx="180">
                  <c:v>-0.19230500561403482</c:v>
                </c:pt>
                <c:pt idx="181">
                  <c:v>-0.19259529922673754</c:v>
                </c:pt>
                <c:pt idx="182">
                  <c:v>-0.19349279291102328</c:v>
                </c:pt>
                <c:pt idx="183">
                  <c:v>-0.19363925336962201</c:v>
                </c:pt>
                <c:pt idx="184">
                  <c:v>-0.19409734717120794</c:v>
                </c:pt>
                <c:pt idx="185">
                  <c:v>-0.19536472040932387</c:v>
                </c:pt>
                <c:pt idx="186">
                  <c:v>-0.1924863173511269</c:v>
                </c:pt>
                <c:pt idx="187">
                  <c:v>-0.19688821794855732</c:v>
                </c:pt>
                <c:pt idx="188">
                  <c:v>-0.19647082675257743</c:v>
                </c:pt>
                <c:pt idx="189">
                  <c:v>-0.19880553066839474</c:v>
                </c:pt>
                <c:pt idx="190">
                  <c:v>-0.20277676024668045</c:v>
                </c:pt>
                <c:pt idx="191">
                  <c:v>-0.20427927890775738</c:v>
                </c:pt>
                <c:pt idx="192">
                  <c:v>-0.20232929023874327</c:v>
                </c:pt>
                <c:pt idx="193">
                  <c:v>-0.20077028734671509</c:v>
                </c:pt>
                <c:pt idx="194">
                  <c:v>-0.20030831357303092</c:v>
                </c:pt>
                <c:pt idx="195">
                  <c:v>-0.1997616266411697</c:v>
                </c:pt>
                <c:pt idx="196">
                  <c:v>-0.19669338237373851</c:v>
                </c:pt>
                <c:pt idx="197">
                  <c:v>-0.19083400890322572</c:v>
                </c:pt>
                <c:pt idx="198">
                  <c:v>-0.1922824259395492</c:v>
                </c:pt>
                <c:pt idx="199">
                  <c:v>-0.19233633298899125</c:v>
                </c:pt>
                <c:pt idx="200">
                  <c:v>-0.19166358810700135</c:v>
                </c:pt>
                <c:pt idx="201">
                  <c:v>-0.18730077381924803</c:v>
                </c:pt>
                <c:pt idx="202">
                  <c:v>-0.1887545578345749</c:v>
                </c:pt>
                <c:pt idx="203">
                  <c:v>-0.18944500018265037</c:v>
                </c:pt>
                <c:pt idx="204">
                  <c:v>-0.18833903658589363</c:v>
                </c:pt>
                <c:pt idx="205">
                  <c:v>-0.18820770436804798</c:v>
                </c:pt>
                <c:pt idx="206">
                  <c:v>-0.18659330149385928</c:v>
                </c:pt>
                <c:pt idx="207">
                  <c:v>-0.18543991973927737</c:v>
                </c:pt>
                <c:pt idx="208">
                  <c:v>-0.18563159122734019</c:v>
                </c:pt>
                <c:pt idx="209">
                  <c:v>-0.18466451180337895</c:v>
                </c:pt>
                <c:pt idx="210">
                  <c:v>-0.18380054337017143</c:v>
                </c:pt>
                <c:pt idx="211">
                  <c:v>-0.18076772754854514</c:v>
                </c:pt>
                <c:pt idx="212">
                  <c:v>-0.18160231165127244</c:v>
                </c:pt>
                <c:pt idx="213">
                  <c:v>-0.17912815874424978</c:v>
                </c:pt>
                <c:pt idx="214">
                  <c:v>-0.1789236149269525</c:v>
                </c:pt>
                <c:pt idx="215">
                  <c:v>-0.18007279838235044</c:v>
                </c:pt>
                <c:pt idx="216">
                  <c:v>-0.17814070518041997</c:v>
                </c:pt>
                <c:pt idx="217">
                  <c:v>-0.1778510878086885</c:v>
                </c:pt>
                <c:pt idx="218">
                  <c:v>-0.17737953106786281</c:v>
                </c:pt>
                <c:pt idx="219">
                  <c:v>-0.17863461128479041</c:v>
                </c:pt>
                <c:pt idx="220">
                  <c:v>-0.17948726504847462</c:v>
                </c:pt>
                <c:pt idx="221">
                  <c:v>-0.17700702261601087</c:v>
                </c:pt>
                <c:pt idx="222">
                  <c:v>-0.17681953186973781</c:v>
                </c:pt>
                <c:pt idx="223">
                  <c:v>-0.17644358055273779</c:v>
                </c:pt>
                <c:pt idx="224">
                  <c:v>-0.17447411706318552</c:v>
                </c:pt>
                <c:pt idx="225">
                  <c:v>-0.17393360492299934</c:v>
                </c:pt>
                <c:pt idx="226">
                  <c:v>-0.1719756989842923</c:v>
                </c:pt>
                <c:pt idx="227">
                  <c:v>-0.1706863246559846</c:v>
                </c:pt>
                <c:pt idx="228">
                  <c:v>-0.17077233001356562</c:v>
                </c:pt>
                <c:pt idx="229">
                  <c:v>-0.17194324711924386</c:v>
                </c:pt>
                <c:pt idx="230">
                  <c:v>-0.17060553087541003</c:v>
                </c:pt>
                <c:pt idx="231">
                  <c:v>-0.15730314557853831</c:v>
                </c:pt>
                <c:pt idx="232">
                  <c:v>-0.16049618268575033</c:v>
                </c:pt>
                <c:pt idx="233">
                  <c:v>-0.16248655523597658</c:v>
                </c:pt>
                <c:pt idx="234">
                  <c:v>-0.16283960397683311</c:v>
                </c:pt>
                <c:pt idx="235">
                  <c:v>-0.16005886406312053</c:v>
                </c:pt>
                <c:pt idx="236">
                  <c:v>-0.15961015228131639</c:v>
                </c:pt>
                <c:pt idx="237">
                  <c:v>-0.15967704968468005</c:v>
                </c:pt>
                <c:pt idx="238">
                  <c:v>-0.15799744868624563</c:v>
                </c:pt>
                <c:pt idx="239">
                  <c:v>-0.15880004046396493</c:v>
                </c:pt>
                <c:pt idx="240">
                  <c:v>-0.15880955785324952</c:v>
                </c:pt>
                <c:pt idx="241">
                  <c:v>-0.15822349285218407</c:v>
                </c:pt>
                <c:pt idx="242">
                  <c:v>-0.15922237711415274</c:v>
                </c:pt>
                <c:pt idx="243">
                  <c:v>-0.15863567083225752</c:v>
                </c:pt>
                <c:pt idx="244">
                  <c:v>-0.16419746746404487</c:v>
                </c:pt>
                <c:pt idx="245">
                  <c:v>-0.16081900347847086</c:v>
                </c:pt>
                <c:pt idx="246">
                  <c:v>-0.16566171503428215</c:v>
                </c:pt>
                <c:pt idx="247">
                  <c:v>-0.1682668679760799</c:v>
                </c:pt>
                <c:pt idx="248">
                  <c:v>-0.16771602315716919</c:v>
                </c:pt>
                <c:pt idx="249">
                  <c:v>-0.17321181468743194</c:v>
                </c:pt>
                <c:pt idx="250">
                  <c:v>-0.16968054295997748</c:v>
                </c:pt>
                <c:pt idx="251">
                  <c:v>-0.16524715961630404</c:v>
                </c:pt>
                <c:pt idx="252">
                  <c:v>-0.16471433896576909</c:v>
                </c:pt>
                <c:pt idx="253">
                  <c:v>-0.16767478433079727</c:v>
                </c:pt>
                <c:pt idx="254">
                  <c:v>-0.15868709536416892</c:v>
                </c:pt>
                <c:pt idx="255">
                  <c:v>-0.16446525424125322</c:v>
                </c:pt>
                <c:pt idx="256">
                  <c:v>-0.14786771503925319</c:v>
                </c:pt>
                <c:pt idx="257">
                  <c:v>-0.11962269065165321</c:v>
                </c:pt>
                <c:pt idx="258">
                  <c:v>-0.12970950386864527</c:v>
                </c:pt>
                <c:pt idx="259">
                  <c:v>-0.13030590468991798</c:v>
                </c:pt>
                <c:pt idx="260">
                  <c:v>-0.11874714339553645</c:v>
                </c:pt>
                <c:pt idx="261">
                  <c:v>-0.11333134873759131</c:v>
                </c:pt>
                <c:pt idx="262">
                  <c:v>-0.11470076050995386</c:v>
                </c:pt>
                <c:pt idx="263">
                  <c:v>-0.11321363672039431</c:v>
                </c:pt>
                <c:pt idx="264">
                  <c:v>-0.11203955964246959</c:v>
                </c:pt>
                <c:pt idx="265">
                  <c:v>-0.11186214574992963</c:v>
                </c:pt>
                <c:pt idx="266">
                  <c:v>-0.11211063799908456</c:v>
                </c:pt>
                <c:pt idx="267">
                  <c:v>-0.1120382916264375</c:v>
                </c:pt>
                <c:pt idx="268">
                  <c:v>-0.11347630436009602</c:v>
                </c:pt>
                <c:pt idx="269">
                  <c:v>-0.110576810118967</c:v>
                </c:pt>
                <c:pt idx="270">
                  <c:v>-0.10876113540230034</c:v>
                </c:pt>
                <c:pt idx="271">
                  <c:v>-0.10971701992929149</c:v>
                </c:pt>
                <c:pt idx="272">
                  <c:v>-0.10944891352563435</c:v>
                </c:pt>
                <c:pt idx="273">
                  <c:v>-0.11075169535517138</c:v>
                </c:pt>
                <c:pt idx="274">
                  <c:v>-0.11017885324801423</c:v>
                </c:pt>
                <c:pt idx="275">
                  <c:v>-0.10956073148996587</c:v>
                </c:pt>
                <c:pt idx="276">
                  <c:v>-0.11121235431454365</c:v>
                </c:pt>
                <c:pt idx="277">
                  <c:v>-0.11328935059355294</c:v>
                </c:pt>
                <c:pt idx="278">
                  <c:v>-0.11234082423806907</c:v>
                </c:pt>
                <c:pt idx="279">
                  <c:v>-0.11177644633438943</c:v>
                </c:pt>
                <c:pt idx="280">
                  <c:v>-0.11226079389822152</c:v>
                </c:pt>
                <c:pt idx="281">
                  <c:v>-0.11091277197969265</c:v>
                </c:pt>
                <c:pt idx="282">
                  <c:v>-0.10945101161332628</c:v>
                </c:pt>
                <c:pt idx="283">
                  <c:v>-0.11115978631745577</c:v>
                </c:pt>
                <c:pt idx="284">
                  <c:v>-0.10920895124292025</c:v>
                </c:pt>
                <c:pt idx="285">
                  <c:v>-0.10601281730664024</c:v>
                </c:pt>
                <c:pt idx="286">
                  <c:v>-9.870590842458743E-2</c:v>
                </c:pt>
                <c:pt idx="287">
                  <c:v>-9.7725677451762749E-2</c:v>
                </c:pt>
                <c:pt idx="288">
                  <c:v>-9.8191223512625173E-2</c:v>
                </c:pt>
                <c:pt idx="289">
                  <c:v>-9.9619549775765107E-2</c:v>
                </c:pt>
                <c:pt idx="290">
                  <c:v>-9.7881984794982987E-2</c:v>
                </c:pt>
                <c:pt idx="291">
                  <c:v>-9.6945886612802665E-2</c:v>
                </c:pt>
                <c:pt idx="292">
                  <c:v>-9.6201753876130239E-2</c:v>
                </c:pt>
                <c:pt idx="293">
                  <c:v>-9.0351578945868066E-2</c:v>
                </c:pt>
                <c:pt idx="294">
                  <c:v>-9.5328158815289041E-2</c:v>
                </c:pt>
                <c:pt idx="295">
                  <c:v>-9.4297244817930753E-2</c:v>
                </c:pt>
                <c:pt idx="296">
                  <c:v>-9.2351577132108537E-2</c:v>
                </c:pt>
                <c:pt idx="297">
                  <c:v>-9.4006009078997407E-2</c:v>
                </c:pt>
                <c:pt idx="298">
                  <c:v>-9.3291602376736713E-2</c:v>
                </c:pt>
                <c:pt idx="299">
                  <c:v>-9.3385465766364112E-2</c:v>
                </c:pt>
                <c:pt idx="300">
                  <c:v>-9.1321367230478956E-2</c:v>
                </c:pt>
                <c:pt idx="301">
                  <c:v>-9.0073615512252916E-2</c:v>
                </c:pt>
                <c:pt idx="302">
                  <c:v>-8.8411917198392281E-2</c:v>
                </c:pt>
                <c:pt idx="303">
                  <c:v>-8.2634735641837972E-2</c:v>
                </c:pt>
                <c:pt idx="304">
                  <c:v>-8.3975244881418734E-2</c:v>
                </c:pt>
                <c:pt idx="305">
                  <c:v>-8.3623848434307632E-2</c:v>
                </c:pt>
                <c:pt idx="306">
                  <c:v>-8.363401522777944E-2</c:v>
                </c:pt>
                <c:pt idx="307">
                  <c:v>-7.9641360172556311E-2</c:v>
                </c:pt>
                <c:pt idx="308">
                  <c:v>-6.7505551144379755E-2</c:v>
                </c:pt>
                <c:pt idx="309">
                  <c:v>-9.0417237431225109E-2</c:v>
                </c:pt>
                <c:pt idx="310">
                  <c:v>-8.9398689716999866E-2</c:v>
                </c:pt>
                <c:pt idx="311">
                  <c:v>-8.9489250180985871E-2</c:v>
                </c:pt>
                <c:pt idx="312">
                  <c:v>-8.8022081342539263E-2</c:v>
                </c:pt>
                <c:pt idx="313">
                  <c:v>-8.686148706753051E-2</c:v>
                </c:pt>
                <c:pt idx="314">
                  <c:v>-8.4755785269340467E-2</c:v>
                </c:pt>
                <c:pt idx="315">
                  <c:v>-8.3328177501402617E-2</c:v>
                </c:pt>
                <c:pt idx="316">
                  <c:v>-8.1527832686928661E-2</c:v>
                </c:pt>
                <c:pt idx="317">
                  <c:v>-8.1452843928340499E-2</c:v>
                </c:pt>
                <c:pt idx="318">
                  <c:v>-8.5575913727760772E-2</c:v>
                </c:pt>
                <c:pt idx="319">
                  <c:v>-8.1698666973006678E-2</c:v>
                </c:pt>
                <c:pt idx="320">
                  <c:v>-7.9980841571060002E-2</c:v>
                </c:pt>
                <c:pt idx="321">
                  <c:v>-8.0252724910993362E-2</c:v>
                </c:pt>
                <c:pt idx="322">
                  <c:v>-7.751545309384221E-2</c:v>
                </c:pt>
                <c:pt idx="323">
                  <c:v>-7.311968700869198E-2</c:v>
                </c:pt>
                <c:pt idx="324">
                  <c:v>-7.2060351412973955E-2</c:v>
                </c:pt>
                <c:pt idx="325">
                  <c:v>-7.2598982906790746E-2</c:v>
                </c:pt>
                <c:pt idx="326">
                  <c:v>-7.0297072323659449E-2</c:v>
                </c:pt>
                <c:pt idx="327">
                  <c:v>-4.7987258217906018E-2</c:v>
                </c:pt>
                <c:pt idx="328">
                  <c:v>-4.7068828628044436E-2</c:v>
                </c:pt>
                <c:pt idx="329">
                  <c:v>-4.7712035216654604E-2</c:v>
                </c:pt>
                <c:pt idx="330">
                  <c:v>-4.6166386669557365E-2</c:v>
                </c:pt>
                <c:pt idx="331">
                  <c:v>-4.7460878753459793E-2</c:v>
                </c:pt>
                <c:pt idx="332">
                  <c:v>-4.6493940892448564E-2</c:v>
                </c:pt>
                <c:pt idx="333">
                  <c:v>-4.8633643737349977E-2</c:v>
                </c:pt>
                <c:pt idx="334">
                  <c:v>-4.8137587909367646E-2</c:v>
                </c:pt>
                <c:pt idx="335">
                  <c:v>-4.8205581068101265E-2</c:v>
                </c:pt>
                <c:pt idx="336">
                  <c:v>-4.7980391571601999E-2</c:v>
                </c:pt>
                <c:pt idx="337">
                  <c:v>-4.5819713831602001E-2</c:v>
                </c:pt>
                <c:pt idx="338">
                  <c:v>-4.462233984605378E-2</c:v>
                </c:pt>
                <c:pt idx="339">
                  <c:v>-4.4042229366258463E-2</c:v>
                </c:pt>
                <c:pt idx="340">
                  <c:v>-4.324071271695909E-2</c:v>
                </c:pt>
                <c:pt idx="341">
                  <c:v>-4.3961931373105875E-2</c:v>
                </c:pt>
                <c:pt idx="342">
                  <c:v>-4.1714055810530455E-2</c:v>
                </c:pt>
                <c:pt idx="343">
                  <c:v>-4.0479764183969418E-2</c:v>
                </c:pt>
                <c:pt idx="344">
                  <c:v>-4.0228733675469405E-2</c:v>
                </c:pt>
                <c:pt idx="345">
                  <c:v>-4.2445536670228032E-2</c:v>
                </c:pt>
                <c:pt idx="346">
                  <c:v>-4.2993678934527754E-2</c:v>
                </c:pt>
                <c:pt idx="347">
                  <c:v>-4.3551892059030151E-2</c:v>
                </c:pt>
                <c:pt idx="348">
                  <c:v>-4.2820367224912503E-2</c:v>
                </c:pt>
                <c:pt idx="349">
                  <c:v>-4.1902184341146266E-2</c:v>
                </c:pt>
                <c:pt idx="350">
                  <c:v>-3.9937581945650051E-2</c:v>
                </c:pt>
                <c:pt idx="351">
                  <c:v>-3.7634128019897746E-2</c:v>
                </c:pt>
                <c:pt idx="352">
                  <c:v>-4.2074283421363538E-2</c:v>
                </c:pt>
                <c:pt idx="353">
                  <c:v>-4.4551395332474653E-2</c:v>
                </c:pt>
                <c:pt idx="354">
                  <c:v>-4.5136034140592453E-2</c:v>
                </c:pt>
                <c:pt idx="355">
                  <c:v>-4.2946177202052307E-2</c:v>
                </c:pt>
                <c:pt idx="356">
                  <c:v>-4.3169814549532823E-2</c:v>
                </c:pt>
                <c:pt idx="357">
                  <c:v>-4.3608845865615968E-2</c:v>
                </c:pt>
                <c:pt idx="358">
                  <c:v>-4.3572477098535227E-2</c:v>
                </c:pt>
                <c:pt idx="359">
                  <c:v>-4.3310848926151592E-2</c:v>
                </c:pt>
                <c:pt idx="360">
                  <c:v>-4.471739991146409E-2</c:v>
                </c:pt>
                <c:pt idx="361">
                  <c:v>-4.4521146758781154E-2</c:v>
                </c:pt>
                <c:pt idx="362">
                  <c:v>-4.3466392505167921E-2</c:v>
                </c:pt>
                <c:pt idx="363">
                  <c:v>-4.4199205190839572E-2</c:v>
                </c:pt>
                <c:pt idx="364">
                  <c:v>-4.3268288193582714E-2</c:v>
                </c:pt>
                <c:pt idx="365">
                  <c:v>-4.2574277202147785E-2</c:v>
                </c:pt>
                <c:pt idx="366">
                  <c:v>-4.1474068532597948E-2</c:v>
                </c:pt>
                <c:pt idx="367">
                  <c:v>-4.2381253100066615E-2</c:v>
                </c:pt>
                <c:pt idx="368">
                  <c:v>-4.1643326889845796E-2</c:v>
                </c:pt>
                <c:pt idx="369">
                  <c:v>-4.1415921194607706E-2</c:v>
                </c:pt>
                <c:pt idx="370">
                  <c:v>-4.1906644604350188E-2</c:v>
                </c:pt>
                <c:pt idx="371">
                  <c:v>-4.215545677642657E-2</c:v>
                </c:pt>
                <c:pt idx="372">
                  <c:v>-4.1099179445474178E-2</c:v>
                </c:pt>
                <c:pt idx="373">
                  <c:v>-3.9674518963217865E-2</c:v>
                </c:pt>
                <c:pt idx="374">
                  <c:v>-4.0216247909884532E-2</c:v>
                </c:pt>
                <c:pt idx="375">
                  <c:v>-3.8639274016119829E-2</c:v>
                </c:pt>
                <c:pt idx="376">
                  <c:v>-3.919279746365889E-2</c:v>
                </c:pt>
                <c:pt idx="377">
                  <c:v>-3.6388868377046468E-2</c:v>
                </c:pt>
                <c:pt idx="378">
                  <c:v>-3.3266663509210107E-2</c:v>
                </c:pt>
                <c:pt idx="379">
                  <c:v>-2.1910783613541013E-2</c:v>
                </c:pt>
                <c:pt idx="380">
                  <c:v>-2.6107296099403085E-2</c:v>
                </c:pt>
                <c:pt idx="381">
                  <c:v>-2.5836019839964888E-2</c:v>
                </c:pt>
                <c:pt idx="382">
                  <c:v>-2.5634427867988144E-2</c:v>
                </c:pt>
                <c:pt idx="383">
                  <c:v>-2.5716521265515414E-2</c:v>
                </c:pt>
                <c:pt idx="384">
                  <c:v>-2.5341207439304889E-2</c:v>
                </c:pt>
                <c:pt idx="385">
                  <c:v>-2.3865744029270285E-2</c:v>
                </c:pt>
                <c:pt idx="386">
                  <c:v>-2.2546747629270281E-2</c:v>
                </c:pt>
                <c:pt idx="387">
                  <c:v>-2.1239780575781912E-2</c:v>
                </c:pt>
                <c:pt idx="388">
                  <c:v>-2.000948131578191E-2</c:v>
                </c:pt>
                <c:pt idx="389">
                  <c:v>-1.9550873679880273E-2</c:v>
                </c:pt>
                <c:pt idx="390">
                  <c:v>-1.8113372403775956E-2</c:v>
                </c:pt>
                <c:pt idx="391">
                  <c:v>-1.5533302557528298E-2</c:v>
                </c:pt>
                <c:pt idx="392">
                  <c:v>-1.6626168617367869E-2</c:v>
                </c:pt>
                <c:pt idx="393">
                  <c:v>-1.3249545744743197E-2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5D-4611-A033-6662D46CC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286496"/>
        <c:axId val="505287328"/>
      </c:lineChart>
      <c:dateAx>
        <c:axId val="505286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87328"/>
        <c:crosses val="autoZero"/>
        <c:auto val="1"/>
        <c:lblOffset val="100"/>
        <c:baseTimeUnit val="days"/>
      </c:dateAx>
      <c:valAx>
        <c:axId val="50528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8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F2E1F5D-C8FA-4EE9-B54A-D9C75C8F6044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72B0FA-916B-4844-A223-3202052EA26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31.414999999999999</v>
      </c>
      <c r="D2" s="4">
        <f>MIN(D3:D1912)</f>
        <v>2.3679999999999999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3.0470000000000002</v>
      </c>
      <c r="C5">
        <v>3.056</v>
      </c>
      <c r="D5">
        <v>2.9830000000000001</v>
      </c>
      <c r="E5">
        <v>2.9950000000000001</v>
      </c>
      <c r="F5">
        <v>1943.4</v>
      </c>
      <c r="G5">
        <v>2.9950000000000001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-0.67123287671232823</v>
      </c>
      <c r="Q5">
        <f t="shared" ref="Q5" si="1">F5*P5</f>
        <v>-1304.4739726027387</v>
      </c>
      <c r="R5">
        <f t="shared" ref="R5" si="2">R6+Q5</f>
        <v>-41217557.369212881</v>
      </c>
      <c r="S5">
        <f t="shared" ref="S5" si="3">R5/100000</f>
        <v>-412.17557369212881</v>
      </c>
      <c r="T5">
        <f t="shared" ref="T5" si="4">S5/1000</f>
        <v>-0.41217557369212882</v>
      </c>
    </row>
    <row r="6" spans="1:20" x14ac:dyDescent="0.25">
      <c r="A6" s="5">
        <v>44587</v>
      </c>
      <c r="B6">
        <v>3.048</v>
      </c>
      <c r="C6">
        <v>3.3</v>
      </c>
      <c r="D6">
        <v>2.9849999999999999</v>
      </c>
      <c r="E6">
        <v>3.0379999999999998</v>
      </c>
      <c r="F6">
        <v>106462.5</v>
      </c>
      <c r="G6">
        <v>3.0379999999999998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-0.6634920634920638</v>
      </c>
      <c r="Q6">
        <f t="shared" ref="Q6" si="6">F6*P6</f>
        <v>-70637.023809523846</v>
      </c>
      <c r="R6">
        <f t="shared" ref="R6" si="7">R7+Q6</f>
        <v>-41216252.895240277</v>
      </c>
      <c r="S6">
        <f t="shared" ref="S6" si="8">R6/100000</f>
        <v>-412.16252895240279</v>
      </c>
      <c r="T6">
        <f t="shared" ref="T6" si="9">S6/1000</f>
        <v>-0.4121625289524028</v>
      </c>
    </row>
    <row r="7" spans="1:20" x14ac:dyDescent="0.25">
      <c r="A7" s="5">
        <v>44586</v>
      </c>
      <c r="B7">
        <v>3.048</v>
      </c>
      <c r="C7">
        <v>3.15</v>
      </c>
      <c r="D7">
        <v>2.9449999999999998</v>
      </c>
      <c r="E7">
        <v>3.073</v>
      </c>
      <c r="F7">
        <v>114711.4</v>
      </c>
      <c r="G7">
        <v>3.073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0.24878048780487871</v>
      </c>
      <c r="Q7">
        <f t="shared" ref="Q7" si="11">F7*P7</f>
        <v>28537.958048780562</v>
      </c>
      <c r="R7">
        <f t="shared" ref="R7" si="12">R8+Q7</f>
        <v>-41145615.871430755</v>
      </c>
      <c r="S7">
        <f t="shared" ref="S7" si="13">R7/100000</f>
        <v>-411.45615871430755</v>
      </c>
      <c r="T7">
        <f t="shared" ref="T7" si="14">S7/1000</f>
        <v>-0.41145615871430757</v>
      </c>
    </row>
    <row r="8" spans="1:20" x14ac:dyDescent="0.25">
      <c r="A8" s="5">
        <v>44585</v>
      </c>
      <c r="B8">
        <v>3.1389999999999998</v>
      </c>
      <c r="C8">
        <v>3.1440000000000001</v>
      </c>
      <c r="D8">
        <v>2.71</v>
      </c>
      <c r="E8">
        <v>3.081</v>
      </c>
      <c r="F8">
        <v>234447.924</v>
      </c>
      <c r="G8">
        <v>3.081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0.70967741935483808</v>
      </c>
      <c r="Q8">
        <f t="shared" ref="Q8" si="16">F8*P8</f>
        <v>166382.39767741921</v>
      </c>
      <c r="R8">
        <f t="shared" ref="R8" si="17">R9+Q8</f>
        <v>-41174153.829479538</v>
      </c>
      <c r="S8">
        <f t="shared" ref="S8" si="18">R8/100000</f>
        <v>-411.74153829479536</v>
      </c>
      <c r="T8">
        <f t="shared" ref="T8" si="19">S8/1000</f>
        <v>-0.41174153829479537</v>
      </c>
    </row>
    <row r="9" spans="1:20" x14ac:dyDescent="0.25">
      <c r="A9" s="5">
        <v>44584</v>
      </c>
      <c r="B9">
        <v>3.0790000000000002</v>
      </c>
      <c r="C9">
        <v>3.226</v>
      </c>
      <c r="D9">
        <v>2.99</v>
      </c>
      <c r="E9">
        <v>3.1379999999999999</v>
      </c>
      <c r="F9">
        <v>144537.5</v>
      </c>
      <c r="G9">
        <v>3.1379999999999999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0.25423728813559182</v>
      </c>
      <c r="Q9">
        <f t="shared" ref="Q9" si="21">F9*P9</f>
        <v>36746.822033898105</v>
      </c>
      <c r="R9">
        <f t="shared" ref="R9" si="22">R10+Q9</f>
        <v>-41340536.227156959</v>
      </c>
      <c r="S9">
        <f t="shared" ref="S9" si="23">R9/100000</f>
        <v>-413.40536227156957</v>
      </c>
      <c r="T9">
        <f t="shared" ref="T9" si="24">S9/1000</f>
        <v>-0.4134053622715696</v>
      </c>
    </row>
    <row r="10" spans="1:20" x14ac:dyDescent="0.25">
      <c r="A10" s="5">
        <v>44583</v>
      </c>
      <c r="B10">
        <v>3.3940000000000001</v>
      </c>
      <c r="C10">
        <v>3.456</v>
      </c>
      <c r="D10">
        <v>2.9460000000000002</v>
      </c>
      <c r="E10">
        <v>3.0590000000000002</v>
      </c>
      <c r="F10">
        <v>318105.77</v>
      </c>
      <c r="G10">
        <v>3.0590000000000002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-0.55686274509803912</v>
      </c>
      <c r="Q10">
        <f t="shared" ref="Q10" si="26">F10*P10</f>
        <v>-177141.25231372548</v>
      </c>
      <c r="R10">
        <f t="shared" ref="R10" si="27">R11+Q10</f>
        <v>-41377283.049190857</v>
      </c>
      <c r="S10">
        <f t="shared" ref="S10" si="28">R10/100000</f>
        <v>-413.77283049190856</v>
      </c>
      <c r="T10">
        <f t="shared" ref="T10" si="29">S10/1000</f>
        <v>-0.41377283049190855</v>
      </c>
    </row>
    <row r="11" spans="1:20" x14ac:dyDescent="0.25">
      <c r="A11" s="5">
        <v>44582</v>
      </c>
      <c r="B11">
        <v>3.86</v>
      </c>
      <c r="C11">
        <v>3.9809999999999999</v>
      </c>
      <c r="D11">
        <v>3.335</v>
      </c>
      <c r="E11">
        <v>3.3919999999999999</v>
      </c>
      <c r="F11">
        <v>317915.52500000002</v>
      </c>
      <c r="G11">
        <v>3.3919999999999999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-0.82352941176470607</v>
      </c>
      <c r="Q11">
        <f t="shared" ref="Q11" si="31">F11*P11</f>
        <v>-261812.78529411773</v>
      </c>
      <c r="R11">
        <f t="shared" ref="R11" si="32">R12+Q11</f>
        <v>-41200141.796877131</v>
      </c>
      <c r="S11">
        <f t="shared" ref="S11" si="33">R11/100000</f>
        <v>-412.00141796877131</v>
      </c>
      <c r="T11">
        <f t="shared" ref="T11" si="34">S11/1000</f>
        <v>-0.41200141796877132</v>
      </c>
    </row>
    <row r="12" spans="1:20" x14ac:dyDescent="0.25">
      <c r="A12" s="5">
        <v>44581</v>
      </c>
      <c r="B12">
        <v>3.9489999999999998</v>
      </c>
      <c r="C12">
        <v>4.2</v>
      </c>
      <c r="D12">
        <v>3.81</v>
      </c>
      <c r="E12">
        <v>3.8610000000000002</v>
      </c>
      <c r="F12">
        <v>115584.8</v>
      </c>
      <c r="G12">
        <v>3.8610000000000002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-0.73846153846153773</v>
      </c>
      <c r="Q12">
        <f t="shared" ref="Q12" si="36">F12*P12</f>
        <v>-85354.92923076915</v>
      </c>
      <c r="R12">
        <f t="shared" ref="R12" si="37">R13+Q12</f>
        <v>-40938329.011583015</v>
      </c>
      <c r="S12">
        <f t="shared" ref="S12" si="38">R12/100000</f>
        <v>-409.38329011583016</v>
      </c>
      <c r="T12">
        <f t="shared" ref="T12" si="39">S12/1000</f>
        <v>-0.40938329011583019</v>
      </c>
    </row>
    <row r="13" spans="1:20" x14ac:dyDescent="0.25">
      <c r="A13" s="5">
        <v>44580</v>
      </c>
      <c r="B13">
        <v>4.1100000000000003</v>
      </c>
      <c r="C13">
        <v>4.1280000000000001</v>
      </c>
      <c r="D13">
        <v>3.9209999999999998</v>
      </c>
      <c r="E13">
        <v>3.956</v>
      </c>
      <c r="F13">
        <v>70953.3</v>
      </c>
      <c r="G13">
        <v>3.956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-0.66183574879226958</v>
      </c>
      <c r="Q13">
        <f t="shared" ref="Q13" si="41">F13*P13</f>
        <v>-46959.430434782545</v>
      </c>
      <c r="R13">
        <f t="shared" ref="R13" si="42">R14+Q13</f>
        <v>-40852974.082352243</v>
      </c>
      <c r="S13">
        <f t="shared" ref="S13" si="43">R13/100000</f>
        <v>-408.52974082352245</v>
      </c>
      <c r="T13">
        <f t="shared" ref="T13" si="44">S13/1000</f>
        <v>-0.40852974082352245</v>
      </c>
    </row>
    <row r="14" spans="1:20" x14ac:dyDescent="0.25">
      <c r="A14" s="5">
        <v>44579</v>
      </c>
      <c r="B14">
        <v>4.1719999999999997</v>
      </c>
      <c r="C14">
        <v>4.202</v>
      </c>
      <c r="D14">
        <v>3.9689999999999999</v>
      </c>
      <c r="E14">
        <v>4.117</v>
      </c>
      <c r="F14">
        <v>102760.7</v>
      </c>
      <c r="G14">
        <v>4.117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0.27038626609442118</v>
      </c>
      <c r="Q14">
        <f t="shared" ref="Q14" si="46">F14*P14</f>
        <v>27785.081974248984</v>
      </c>
      <c r="R14">
        <f t="shared" ref="R14" si="47">R15+Q14</f>
        <v>-40806014.651917458</v>
      </c>
      <c r="S14">
        <f t="shared" ref="S14" si="48">R14/100000</f>
        <v>-408.06014651917457</v>
      </c>
      <c r="T14">
        <f t="shared" ref="T14" si="49">S14/1000</f>
        <v>-0.40806014651917455</v>
      </c>
    </row>
    <row r="15" spans="1:20" x14ac:dyDescent="0.25">
      <c r="A15" s="5">
        <v>44578</v>
      </c>
      <c r="B15">
        <v>4.1760000000000002</v>
      </c>
      <c r="C15">
        <v>4.3</v>
      </c>
      <c r="D15">
        <v>4.0380000000000003</v>
      </c>
      <c r="E15">
        <v>4.1879999999999997</v>
      </c>
      <c r="F15">
        <v>218561</v>
      </c>
      <c r="G15">
        <v>4.1879999999999997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0.14503816793892912</v>
      </c>
      <c r="Q15">
        <f t="shared" ref="Q15" si="51">F15*P15</f>
        <v>31699.687022900289</v>
      </c>
      <c r="R15">
        <f t="shared" ref="R15" si="52">R16+Q15</f>
        <v>-40833799.733891703</v>
      </c>
      <c r="S15">
        <f t="shared" ref="S15" si="53">R15/100000</f>
        <v>-408.33799733891703</v>
      </c>
      <c r="T15">
        <f t="shared" ref="T15" si="54">S15/1000</f>
        <v>-0.40833799733891701</v>
      </c>
    </row>
    <row r="16" spans="1:20" x14ac:dyDescent="0.25">
      <c r="A16" s="5">
        <v>44577</v>
      </c>
      <c r="B16">
        <v>4.2229999999999999</v>
      </c>
      <c r="C16">
        <v>4.2690000000000001</v>
      </c>
      <c r="D16">
        <v>4.141</v>
      </c>
      <c r="E16">
        <v>4.1609999999999996</v>
      </c>
      <c r="F16">
        <v>88867.7</v>
      </c>
      <c r="G16">
        <v>4.1609999999999996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-0.68750000000000688</v>
      </c>
      <c r="Q16">
        <f t="shared" ref="Q16" si="56">F16*P16</f>
        <v>-61096.543750000608</v>
      </c>
      <c r="R16">
        <f t="shared" ref="R16" si="57">R17+Q16</f>
        <v>-40865499.420914605</v>
      </c>
      <c r="S16">
        <f t="shared" ref="S16" si="58">R16/100000</f>
        <v>-408.65499420914603</v>
      </c>
      <c r="T16">
        <f t="shared" ref="T16" si="59">S16/1000</f>
        <v>-0.40865499420914603</v>
      </c>
    </row>
    <row r="17" spans="1:20" x14ac:dyDescent="0.25">
      <c r="A17" s="5">
        <v>44576</v>
      </c>
      <c r="B17">
        <v>4.2720000000000002</v>
      </c>
      <c r="C17">
        <v>4.3010000000000002</v>
      </c>
      <c r="D17">
        <v>4.1580000000000004</v>
      </c>
      <c r="E17">
        <v>4.2220000000000004</v>
      </c>
      <c r="F17">
        <v>110437.6</v>
      </c>
      <c r="G17">
        <v>4.2220000000000004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-0.10489510489510281</v>
      </c>
      <c r="Q17">
        <f t="shared" ref="Q17" si="61">F17*P17</f>
        <v>-11584.363636363407</v>
      </c>
      <c r="R17">
        <f t="shared" ref="R17" si="62">R18+Q17</f>
        <v>-40804402.877164602</v>
      </c>
      <c r="S17">
        <f t="shared" ref="S17" si="63">R17/100000</f>
        <v>-408.04402877164603</v>
      </c>
      <c r="T17">
        <f t="shared" ref="T17" si="64">S17/1000</f>
        <v>-0.40804402877164603</v>
      </c>
    </row>
    <row r="18" spans="1:20" x14ac:dyDescent="0.25">
      <c r="A18" s="5">
        <v>44575</v>
      </c>
      <c r="B18">
        <v>4.1959999999999997</v>
      </c>
      <c r="C18">
        <v>4.4089999999999998</v>
      </c>
      <c r="D18">
        <v>4.0369999999999999</v>
      </c>
      <c r="E18">
        <v>4.2690000000000001</v>
      </c>
      <c r="F18">
        <v>237372.3</v>
      </c>
      <c r="G18">
        <v>4.2690000000000001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0.24731182795699075</v>
      </c>
      <c r="Q18">
        <f t="shared" ref="Q18" si="66">F18*P18</f>
        <v>58704.977419355193</v>
      </c>
      <c r="R18">
        <f t="shared" ref="R18" si="67">R19+Q18</f>
        <v>-40792818.513528235</v>
      </c>
      <c r="S18">
        <f t="shared" ref="S18" si="68">R18/100000</f>
        <v>-407.92818513528238</v>
      </c>
      <c r="T18">
        <f t="shared" ref="T18" si="69">S18/1000</f>
        <v>-0.4079281851352824</v>
      </c>
    </row>
    <row r="19" spans="1:20" x14ac:dyDescent="0.25">
      <c r="A19" s="5">
        <v>44574</v>
      </c>
      <c r="B19">
        <v>4.4160000000000004</v>
      </c>
      <c r="C19">
        <v>4.49</v>
      </c>
      <c r="D19">
        <v>4.165</v>
      </c>
      <c r="E19">
        <v>4.18</v>
      </c>
      <c r="F19">
        <v>151839.70000000001</v>
      </c>
      <c r="G19">
        <v>4.18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-0.90769230769230969</v>
      </c>
      <c r="Q19">
        <f t="shared" ref="Q19" si="71">F19*P19</f>
        <v>-137823.72769230799</v>
      </c>
      <c r="R19">
        <f t="shared" ref="R19" si="72">R20+Q19</f>
        <v>-40851523.490947589</v>
      </c>
      <c r="S19">
        <f t="shared" ref="S19" si="73">R19/100000</f>
        <v>-408.51523490947591</v>
      </c>
      <c r="T19">
        <f t="shared" ref="T19" si="74">S19/1000</f>
        <v>-0.40851523490947589</v>
      </c>
    </row>
    <row r="20" spans="1:20" x14ac:dyDescent="0.25">
      <c r="A20" s="5">
        <v>44573</v>
      </c>
      <c r="B20">
        <v>4.3819999999999997</v>
      </c>
      <c r="C20">
        <v>4.5010000000000003</v>
      </c>
      <c r="D20">
        <v>4.3109999999999999</v>
      </c>
      <c r="E20">
        <v>4.4160000000000004</v>
      </c>
      <c r="F20">
        <v>156908.6</v>
      </c>
      <c r="G20">
        <v>4.4160000000000004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0.10526315789473906</v>
      </c>
      <c r="Q20">
        <f t="shared" ref="Q20" si="76">F20*P20</f>
        <v>16516.694736842452</v>
      </c>
      <c r="R20">
        <f t="shared" ref="R20" si="77">R21+Q20</f>
        <v>-40713699.763255283</v>
      </c>
      <c r="S20">
        <f t="shared" ref="S20" si="78">R20/100000</f>
        <v>-407.13699763255283</v>
      </c>
      <c r="T20">
        <f t="shared" ref="T20" si="79">S20/1000</f>
        <v>-0.40713699763255284</v>
      </c>
    </row>
    <row r="21" spans="1:20" x14ac:dyDescent="0.25">
      <c r="A21" s="5">
        <v>44572</v>
      </c>
      <c r="B21">
        <v>4.21</v>
      </c>
      <c r="C21">
        <v>4.58</v>
      </c>
      <c r="D21">
        <v>4.1360000000000001</v>
      </c>
      <c r="E21">
        <v>4.3819999999999997</v>
      </c>
      <c r="F21">
        <v>343991.6</v>
      </c>
      <c r="G21">
        <v>4.3819999999999997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0.10810810810810621</v>
      </c>
      <c r="Q21">
        <f t="shared" ref="Q21" si="81">F21*P21</f>
        <v>37188.281081080429</v>
      </c>
      <c r="R21">
        <f t="shared" ref="R21" si="82">R22+Q21</f>
        <v>-40730216.457992129</v>
      </c>
      <c r="S21">
        <f t="shared" ref="S21" si="83">R21/100000</f>
        <v>-407.30216457992128</v>
      </c>
      <c r="T21">
        <f t="shared" ref="T21" si="84">S21/1000</f>
        <v>-0.4073021645799213</v>
      </c>
    </row>
    <row r="22" spans="1:20" x14ac:dyDescent="0.25">
      <c r="A22" s="5">
        <v>44571</v>
      </c>
      <c r="B22">
        <v>4.2789999999999999</v>
      </c>
      <c r="C22">
        <v>4.4009999999999998</v>
      </c>
      <c r="D22">
        <v>3.9129999999999998</v>
      </c>
      <c r="E22">
        <v>4.2030000000000003</v>
      </c>
      <c r="F22">
        <v>192689.5</v>
      </c>
      <c r="G22">
        <v>4.2030000000000003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0.18852459016393641</v>
      </c>
      <c r="Q22">
        <f t="shared" ref="Q22" si="86">F22*P22</f>
        <v>36326.709016393826</v>
      </c>
      <c r="R22">
        <f t="shared" ref="R22" si="87">R23+Q22</f>
        <v>-40767404.739073209</v>
      </c>
      <c r="S22">
        <f t="shared" ref="S22" si="88">R22/100000</f>
        <v>-407.67404739073208</v>
      </c>
      <c r="T22">
        <f t="shared" ref="T22" si="89">S22/1000</f>
        <v>-0.4076740473907321</v>
      </c>
    </row>
    <row r="23" spans="1:20" x14ac:dyDescent="0.25">
      <c r="A23" s="5">
        <v>44570</v>
      </c>
      <c r="B23">
        <v>4.3029999999999999</v>
      </c>
      <c r="C23">
        <v>4.67</v>
      </c>
      <c r="D23">
        <v>3.9729999999999999</v>
      </c>
      <c r="E23">
        <v>4.282</v>
      </c>
      <c r="F23">
        <v>634502.69999999995</v>
      </c>
      <c r="G23">
        <v>4.282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-0.11334289813486331</v>
      </c>
      <c r="Q23">
        <f t="shared" ref="Q23" si="91">F23*P23</f>
        <v>-71916.374892395732</v>
      </c>
      <c r="R23">
        <f t="shared" ref="R23" si="92">R24+Q23</f>
        <v>-40803731.4480896</v>
      </c>
      <c r="S23">
        <f t="shared" ref="S23" si="93">R23/100000</f>
        <v>-408.03731448089599</v>
      </c>
      <c r="T23">
        <f t="shared" ref="T23" si="94">S23/1000</f>
        <v>-0.40803731448089597</v>
      </c>
    </row>
    <row r="24" spans="1:20" x14ac:dyDescent="0.25">
      <c r="A24" s="5">
        <v>44569</v>
      </c>
      <c r="B24">
        <v>4.117</v>
      </c>
      <c r="C24">
        <v>4.8550000000000004</v>
      </c>
      <c r="D24">
        <v>3.911</v>
      </c>
      <c r="E24">
        <v>4.3029999999999999</v>
      </c>
      <c r="F24">
        <v>406173.9</v>
      </c>
      <c r="G24">
        <v>4.3029999999999999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-0.16949152542372936</v>
      </c>
      <c r="Q24">
        <f t="shared" ref="Q24" si="96">F24*P24</f>
        <v>-68843.033898305308</v>
      </c>
      <c r="R24">
        <f t="shared" ref="R24" si="97">R25+Q24</f>
        <v>-40731815.073197201</v>
      </c>
      <c r="S24">
        <f t="shared" ref="S24" si="98">R24/100000</f>
        <v>-407.31815073197203</v>
      </c>
      <c r="T24">
        <f t="shared" ref="T24" si="99">S24/1000</f>
        <v>-0.40731815073197203</v>
      </c>
    </row>
    <row r="25" spans="1:20" x14ac:dyDescent="0.25">
      <c r="A25" s="5">
        <v>44568</v>
      </c>
      <c r="B25">
        <v>4.3380000000000001</v>
      </c>
      <c r="C25">
        <v>4.3490000000000002</v>
      </c>
      <c r="D25">
        <v>4.0030000000000001</v>
      </c>
      <c r="E25">
        <v>4.1269999999999998</v>
      </c>
      <c r="F25">
        <v>200488.7</v>
      </c>
      <c r="G25">
        <v>4.1269999999999998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-0.28323699421965531</v>
      </c>
      <c r="Q25">
        <f t="shared" ref="Q25" si="101">F25*P25</f>
        <v>-56785.816763006209</v>
      </c>
      <c r="R25">
        <f t="shared" ref="R25" si="102">R26+Q25</f>
        <v>-40662972.039298892</v>
      </c>
      <c r="S25">
        <f t="shared" ref="S25" si="103">R25/100000</f>
        <v>-406.62972039298893</v>
      </c>
      <c r="T25">
        <f t="shared" ref="T25" si="104">S25/1000</f>
        <v>-0.40662972039298895</v>
      </c>
    </row>
    <row r="26" spans="1:20" x14ac:dyDescent="0.25">
      <c r="A26" s="5">
        <v>44567</v>
      </c>
      <c r="B26">
        <v>4.3869999999999996</v>
      </c>
      <c r="C26">
        <v>4.79</v>
      </c>
      <c r="D26">
        <v>4.194</v>
      </c>
      <c r="E26">
        <v>4.3380000000000001</v>
      </c>
      <c r="F26">
        <v>409538.5</v>
      </c>
      <c r="G26">
        <v>4.3380000000000001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-0.51677852348993247</v>
      </c>
      <c r="Q26">
        <f t="shared" ref="Q26" si="106">F26*P26</f>
        <v>-211640.70134228171</v>
      </c>
      <c r="R26">
        <f t="shared" ref="R26" si="107">R27+Q26</f>
        <v>-40606186.222535886</v>
      </c>
      <c r="S26">
        <f t="shared" ref="S26" si="108">R26/100000</f>
        <v>-406.06186222535888</v>
      </c>
      <c r="T26">
        <f t="shared" ref="T26" si="109">S26/1000</f>
        <v>-0.40606186222535889</v>
      </c>
    </row>
    <row r="27" spans="1:20" x14ac:dyDescent="0.25">
      <c r="A27" s="5">
        <v>44566</v>
      </c>
      <c r="B27">
        <v>4.6779999999999999</v>
      </c>
      <c r="C27">
        <v>4.766</v>
      </c>
      <c r="D27">
        <v>4.3</v>
      </c>
      <c r="E27">
        <v>4.3949999999999996</v>
      </c>
      <c r="F27">
        <v>243316</v>
      </c>
      <c r="G27">
        <v>4.3949999999999996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-0.59227467811158918</v>
      </c>
      <c r="Q27">
        <f t="shared" ref="Q27" si="111">F27*P27</f>
        <v>-144109.90557939943</v>
      </c>
      <c r="R27">
        <f t="shared" ref="R27" si="112">R28+Q27</f>
        <v>-40394545.521193601</v>
      </c>
      <c r="S27">
        <f t="shared" ref="S27" si="113">R27/100000</f>
        <v>-403.94545521193601</v>
      </c>
      <c r="T27">
        <f t="shared" ref="T27" si="114">S27/1000</f>
        <v>-0.40394545521193603</v>
      </c>
    </row>
    <row r="28" spans="1:20" x14ac:dyDescent="0.25">
      <c r="A28" s="5">
        <v>44565</v>
      </c>
      <c r="B28">
        <v>4.7770000000000001</v>
      </c>
      <c r="C28">
        <v>4.9870000000000001</v>
      </c>
      <c r="D28">
        <v>4.673</v>
      </c>
      <c r="E28">
        <v>4.673</v>
      </c>
      <c r="F28">
        <v>226086.2</v>
      </c>
      <c r="G28">
        <v>4.673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-1</v>
      </c>
      <c r="Q28">
        <f t="shared" ref="Q28" si="116">F28*P28</f>
        <v>-226086.2</v>
      </c>
      <c r="R28">
        <f t="shared" ref="R28" si="117">R29+Q28</f>
        <v>-40250435.615614198</v>
      </c>
      <c r="S28">
        <f t="shared" ref="S28" si="118">R28/100000</f>
        <v>-402.50435615614197</v>
      </c>
      <c r="T28">
        <f t="shared" ref="T28" si="119">S28/1000</f>
        <v>-0.40250435615614194</v>
      </c>
    </row>
    <row r="29" spans="1:20" x14ac:dyDescent="0.25">
      <c r="A29" s="5">
        <v>44564</v>
      </c>
      <c r="B29">
        <v>5.0110000000000001</v>
      </c>
      <c r="C29">
        <v>5.0990000000000002</v>
      </c>
      <c r="D29">
        <v>4.6029999999999998</v>
      </c>
      <c r="E29">
        <v>4.7770000000000001</v>
      </c>
      <c r="F29">
        <v>358825.2</v>
      </c>
      <c r="G29">
        <v>4.7770000000000001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-0.29838709677419267</v>
      </c>
      <c r="Q29">
        <f t="shared" ref="Q29" si="121">F29*P29</f>
        <v>-107068.80967741905</v>
      </c>
      <c r="R29">
        <f t="shared" ref="R29" si="122">R30+Q29</f>
        <v>-40024349.415614195</v>
      </c>
      <c r="S29">
        <f t="shared" ref="S29" si="123">R29/100000</f>
        <v>-400.24349415614194</v>
      </c>
      <c r="T29">
        <f t="shared" ref="T29" si="124">S29/1000</f>
        <v>-0.40024349415614191</v>
      </c>
    </row>
    <row r="30" spans="1:20" x14ac:dyDescent="0.25">
      <c r="A30" s="5">
        <v>44563</v>
      </c>
      <c r="B30">
        <v>5.0709999999999997</v>
      </c>
      <c r="C30">
        <v>5.99</v>
      </c>
      <c r="D30">
        <v>4.8499999999999996</v>
      </c>
      <c r="E30">
        <v>5.0119999999999996</v>
      </c>
      <c r="F30">
        <v>1472937.8</v>
      </c>
      <c r="G30">
        <v>5.0119999999999996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-0.71578947368421075</v>
      </c>
      <c r="Q30">
        <f t="shared" ref="Q30" si="126">F30*P30</f>
        <v>-1054313.3726315794</v>
      </c>
      <c r="R30">
        <f t="shared" ref="R30" si="127">R31+Q30</f>
        <v>-39917280.605936773</v>
      </c>
      <c r="S30">
        <f t="shared" ref="S30" si="128">R30/100000</f>
        <v>-399.17280605936776</v>
      </c>
      <c r="T30">
        <f t="shared" ref="T30" si="129">S30/1000</f>
        <v>-0.39917280605936778</v>
      </c>
    </row>
    <row r="31" spans="1:20" x14ac:dyDescent="0.25">
      <c r="A31" s="5">
        <v>44562</v>
      </c>
      <c r="B31">
        <v>4.5060000000000002</v>
      </c>
      <c r="C31">
        <v>5.48</v>
      </c>
      <c r="D31">
        <v>4.5</v>
      </c>
      <c r="E31">
        <v>5.069</v>
      </c>
      <c r="F31">
        <v>946104.9</v>
      </c>
      <c r="G31">
        <v>5.069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0.16122448979591775</v>
      </c>
      <c r="Q31">
        <f t="shared" ref="Q31" si="131">F31*P31</f>
        <v>152535.27979591777</v>
      </c>
      <c r="R31">
        <f t="shared" ref="R31" si="132">R32+Q31</f>
        <v>-38862967.233305193</v>
      </c>
      <c r="S31">
        <f t="shared" ref="S31" si="133">R31/100000</f>
        <v>-388.62967233305193</v>
      </c>
      <c r="T31">
        <f t="shared" ref="T31" si="134">S31/1000</f>
        <v>-0.3886296723330519</v>
      </c>
    </row>
    <row r="32" spans="1:20" x14ac:dyDescent="0.25">
      <c r="A32" s="5">
        <v>44561</v>
      </c>
      <c r="B32">
        <v>4.7050000000000001</v>
      </c>
      <c r="C32">
        <v>4.7709999999999999</v>
      </c>
      <c r="D32">
        <v>4.4630000000000001</v>
      </c>
      <c r="E32">
        <v>4.508</v>
      </c>
      <c r="F32">
        <v>271297.7</v>
      </c>
      <c r="G32">
        <v>4.508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-0.70779220779220808</v>
      </c>
      <c r="Q32">
        <f t="shared" ref="Q32" si="136">F32*P32</f>
        <v>-192022.39805194814</v>
      </c>
      <c r="R32">
        <f t="shared" ref="R32" si="137">R33+Q32</f>
        <v>-39015502.513101108</v>
      </c>
      <c r="S32">
        <f t="shared" ref="S32" si="138">R32/100000</f>
        <v>-390.15502513101109</v>
      </c>
      <c r="T32">
        <f t="shared" ref="T32" si="139">S32/1000</f>
        <v>-0.39015502513101108</v>
      </c>
    </row>
    <row r="33" spans="1:20" x14ac:dyDescent="0.25">
      <c r="A33" s="5">
        <v>44560</v>
      </c>
      <c r="B33">
        <v>4.7960000000000003</v>
      </c>
      <c r="C33">
        <v>5.0119999999999996</v>
      </c>
      <c r="D33">
        <v>4.6589999999999998</v>
      </c>
      <c r="E33">
        <v>4.6970000000000001</v>
      </c>
      <c r="F33">
        <v>374495.5</v>
      </c>
      <c r="G33">
        <v>4.6970000000000001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-0.78470254957506924</v>
      </c>
      <c r="Q33">
        <f t="shared" ref="Q33" si="141">F33*P33</f>
        <v>-293867.57365439035</v>
      </c>
      <c r="R33">
        <f t="shared" ref="R33" si="142">R34+Q33</f>
        <v>-38823480.115049161</v>
      </c>
      <c r="S33">
        <f t="shared" ref="S33" si="143">R33/100000</f>
        <v>-388.23480115049159</v>
      </c>
      <c r="T33">
        <f t="shared" ref="T33" si="144">S33/1000</f>
        <v>-0.38823480115049158</v>
      </c>
    </row>
    <row r="34" spans="1:20" x14ac:dyDescent="0.25">
      <c r="A34" s="5">
        <v>44559</v>
      </c>
      <c r="B34">
        <v>5.3490000000000002</v>
      </c>
      <c r="C34">
        <v>5.4089999999999998</v>
      </c>
      <c r="D34">
        <v>4.7290000000000001</v>
      </c>
      <c r="E34">
        <v>4.7960000000000003</v>
      </c>
      <c r="F34">
        <v>1194138.5</v>
      </c>
      <c r="G34">
        <v>4.7960000000000003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-0.8029411764705876</v>
      </c>
      <c r="Q34">
        <f t="shared" ref="Q34" si="146">F34*P34</f>
        <v>-958822.97205882275</v>
      </c>
      <c r="R34">
        <f t="shared" ref="R34" si="147">R35+Q34</f>
        <v>-38529612.54139477</v>
      </c>
      <c r="S34">
        <f t="shared" ref="S34" si="148">R34/100000</f>
        <v>-385.29612541394772</v>
      </c>
      <c r="T34">
        <f t="shared" ref="T34" si="149">S34/1000</f>
        <v>-0.3852961254139477</v>
      </c>
    </row>
    <row r="35" spans="1:20" x14ac:dyDescent="0.25">
      <c r="A35" s="5">
        <v>44558</v>
      </c>
      <c r="B35">
        <v>4.7279999999999998</v>
      </c>
      <c r="C35">
        <v>7.65</v>
      </c>
      <c r="D35">
        <v>4.5629999999999997</v>
      </c>
      <c r="E35">
        <v>5.3490000000000002</v>
      </c>
      <c r="F35">
        <v>9639405.1999999993</v>
      </c>
      <c r="G35">
        <v>5.3490000000000002</v>
      </c>
      <c r="L35" t="s">
        <v>8</v>
      </c>
      <c r="M35" t="s">
        <v>8</v>
      </c>
      <c r="N35" t="s">
        <v>8</v>
      </c>
      <c r="P35">
        <f t="shared" ref="P35" si="150">IF(C35=D35,0,((E35-D35)-(C35-E35))/(C35-D35))</f>
        <v>-0.49076773566569465</v>
      </c>
      <c r="Q35">
        <f t="shared" ref="Q35" si="151">F35*P35</f>
        <v>-4730709.0631681224</v>
      </c>
      <c r="R35">
        <f t="shared" ref="R35" si="152">R36+Q35</f>
        <v>-37570789.569335945</v>
      </c>
      <c r="S35">
        <f t="shared" ref="S35" si="153">R35/100000</f>
        <v>-375.70789569335943</v>
      </c>
      <c r="T35">
        <f t="shared" ref="T35" si="154">S35/1000</f>
        <v>-0.37570789569335944</v>
      </c>
    </row>
    <row r="36" spans="1:20" x14ac:dyDescent="0.25">
      <c r="A36" s="5">
        <v>44557</v>
      </c>
      <c r="B36">
        <v>4.3689999999999998</v>
      </c>
      <c r="C36">
        <v>7.1929999999999996</v>
      </c>
      <c r="D36">
        <v>4.2930000000000001</v>
      </c>
      <c r="E36">
        <v>4.7439999999999998</v>
      </c>
      <c r="F36">
        <v>2489792.7999999998</v>
      </c>
      <c r="G36">
        <v>4.7439999999999998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-0.68896551724137955</v>
      </c>
      <c r="Q36">
        <f t="shared" ref="Q36" si="156">F36*P36</f>
        <v>-1715381.3842758625</v>
      </c>
      <c r="R36">
        <f t="shared" ref="R36" si="157">R37+Q36</f>
        <v>-32840080.506167822</v>
      </c>
      <c r="S36">
        <f t="shared" ref="S36" si="158">R36/100000</f>
        <v>-328.40080506167823</v>
      </c>
      <c r="T36">
        <f t="shared" ref="T36" si="159">S36/1000</f>
        <v>-0.32840080506167824</v>
      </c>
    </row>
    <row r="37" spans="1:20" x14ac:dyDescent="0.25">
      <c r="A37" s="5">
        <v>44556</v>
      </c>
      <c r="B37">
        <v>4.28</v>
      </c>
      <c r="C37">
        <v>4.9409999999999998</v>
      </c>
      <c r="D37">
        <v>4.1500000000000004</v>
      </c>
      <c r="E37">
        <v>4.37</v>
      </c>
      <c r="F37">
        <v>349126.7</v>
      </c>
      <c r="G37">
        <v>4.37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-0.44374209860935548</v>
      </c>
      <c r="Q37">
        <f t="shared" ref="Q37" si="161">F37*P37</f>
        <v>-154922.21453855888</v>
      </c>
      <c r="R37">
        <f t="shared" ref="R37" si="162">R38+Q37</f>
        <v>-31124699.121891961</v>
      </c>
      <c r="S37">
        <f t="shared" ref="S37" si="163">R37/100000</f>
        <v>-311.24699121891962</v>
      </c>
      <c r="T37">
        <f t="shared" ref="T37" si="164">S37/1000</f>
        <v>-0.31124699121891963</v>
      </c>
    </row>
    <row r="38" spans="1:20" x14ac:dyDescent="0.25">
      <c r="A38" s="5">
        <v>44555</v>
      </c>
      <c r="B38">
        <v>4.1559999999999997</v>
      </c>
      <c r="C38">
        <v>4.4219999999999997</v>
      </c>
      <c r="D38">
        <v>4.1440000000000001</v>
      </c>
      <c r="E38">
        <v>4.28</v>
      </c>
      <c r="F38">
        <v>166966.6</v>
      </c>
      <c r="G38">
        <v>4.28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-2.1582733812947296E-2</v>
      </c>
      <c r="Q38">
        <f t="shared" ref="Q38" si="166">F38*P38</f>
        <v>-3603.5956834528461</v>
      </c>
      <c r="R38">
        <f t="shared" ref="R38" si="167">R39+Q38</f>
        <v>-30969776.907353401</v>
      </c>
      <c r="S38">
        <f t="shared" ref="S38" si="168">R38/100000</f>
        <v>-309.697769073534</v>
      </c>
      <c r="T38">
        <f t="shared" ref="T38" si="169">S38/1000</f>
        <v>-0.30969776907353402</v>
      </c>
    </row>
    <row r="39" spans="1:20" x14ac:dyDescent="0.25">
      <c r="A39" s="5">
        <v>44554</v>
      </c>
      <c r="B39">
        <v>4.3319999999999999</v>
      </c>
      <c r="C39">
        <v>4.4249999999999998</v>
      </c>
      <c r="D39">
        <v>4.1440000000000001</v>
      </c>
      <c r="E39">
        <v>4.157</v>
      </c>
      <c r="F39">
        <v>149196.1</v>
      </c>
      <c r="G39">
        <v>4.157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-0.90747330960854156</v>
      </c>
      <c r="Q39">
        <f t="shared" ref="Q39" si="171">F39*P39</f>
        <v>-135391.47864768692</v>
      </c>
      <c r="R39">
        <f t="shared" ref="R39" si="172">R40+Q39</f>
        <v>-30966173.311669949</v>
      </c>
      <c r="S39">
        <f t="shared" ref="S39" si="173">R39/100000</f>
        <v>-309.66173311669951</v>
      </c>
      <c r="T39">
        <f t="shared" ref="T39" si="174">S39/1000</f>
        <v>-0.30966173311669953</v>
      </c>
    </row>
    <row r="40" spans="1:20" x14ac:dyDescent="0.25">
      <c r="A40" s="5">
        <v>44553</v>
      </c>
      <c r="B40">
        <v>4.0270000000000001</v>
      </c>
      <c r="C40">
        <v>5</v>
      </c>
      <c r="D40">
        <v>3.9929999999999999</v>
      </c>
      <c r="E40">
        <v>4.3310000000000004</v>
      </c>
      <c r="F40">
        <v>681825.3</v>
      </c>
      <c r="G40">
        <v>4.3310000000000004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-0.32869910625620558</v>
      </c>
      <c r="Q40">
        <f t="shared" ref="Q40" si="176">F40*P40</f>
        <v>-224115.36673286927</v>
      </c>
      <c r="R40">
        <f t="shared" ref="R40" si="177">R41+Q40</f>
        <v>-30830781.833022263</v>
      </c>
      <c r="S40">
        <f t="shared" ref="S40" si="178">R40/100000</f>
        <v>-308.30781833022263</v>
      </c>
      <c r="T40">
        <f t="shared" ref="T40" si="179">S40/1000</f>
        <v>-0.30830781833022264</v>
      </c>
    </row>
    <row r="41" spans="1:20" x14ac:dyDescent="0.25">
      <c r="A41" s="5">
        <v>44552</v>
      </c>
      <c r="B41">
        <v>3.9460000000000002</v>
      </c>
      <c r="C41">
        <v>4.1029999999999998</v>
      </c>
      <c r="D41">
        <v>3.9220000000000002</v>
      </c>
      <c r="E41">
        <v>4.024</v>
      </c>
      <c r="F41">
        <v>72326.100000000006</v>
      </c>
      <c r="G41">
        <v>4.024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0.1270718232044209</v>
      </c>
      <c r="Q41">
        <f t="shared" ref="Q41" si="181">F41*P41</f>
        <v>9190.6093922652672</v>
      </c>
      <c r="R41">
        <f t="shared" ref="R41" si="182">R42+Q41</f>
        <v>-30606666.466289394</v>
      </c>
      <c r="S41">
        <f t="shared" ref="S41" si="183">R41/100000</f>
        <v>-306.06666466289391</v>
      </c>
      <c r="T41">
        <f t="shared" ref="T41" si="184">S41/1000</f>
        <v>-0.30606666466289389</v>
      </c>
    </row>
    <row r="42" spans="1:20" x14ac:dyDescent="0.25">
      <c r="A42" s="5">
        <v>44551</v>
      </c>
      <c r="B42">
        <v>3.94</v>
      </c>
      <c r="C42">
        <v>4.1740000000000004</v>
      </c>
      <c r="D42">
        <v>3.883</v>
      </c>
      <c r="E42">
        <v>3.9460000000000002</v>
      </c>
      <c r="F42">
        <v>183456.7</v>
      </c>
      <c r="G42">
        <v>3.9460000000000002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-0.56701030927834994</v>
      </c>
      <c r="Q42">
        <f t="shared" ref="Q42" si="186">F42*P42</f>
        <v>-104021.84020618547</v>
      </c>
      <c r="R42">
        <f t="shared" ref="R42" si="187">R43+Q42</f>
        <v>-30615857.07568166</v>
      </c>
      <c r="S42">
        <f t="shared" ref="S42" si="188">R42/100000</f>
        <v>-306.15857075681663</v>
      </c>
      <c r="T42">
        <f t="shared" ref="T42" si="189">S42/1000</f>
        <v>-0.30615857075681663</v>
      </c>
    </row>
    <row r="43" spans="1:20" x14ac:dyDescent="0.25">
      <c r="A43" s="5">
        <v>44550</v>
      </c>
      <c r="B43">
        <v>3.87</v>
      </c>
      <c r="C43">
        <v>4.4669999999999996</v>
      </c>
      <c r="D43">
        <v>3.6509999999999998</v>
      </c>
      <c r="E43">
        <v>3.9390000000000001</v>
      </c>
      <c r="F43">
        <v>320741.63400000002</v>
      </c>
      <c r="G43">
        <v>3.9390000000000001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-0.29411764705882276</v>
      </c>
      <c r="Q43">
        <f t="shared" ref="Q43" si="191">F43*P43</f>
        <v>-94335.774705882111</v>
      </c>
      <c r="R43">
        <f t="shared" ref="R43" si="192">R44+Q43</f>
        <v>-30511835.235475473</v>
      </c>
      <c r="S43">
        <f t="shared" ref="S43" si="193">R43/100000</f>
        <v>-305.11835235475473</v>
      </c>
      <c r="T43">
        <f t="shared" ref="T43" si="194">S43/1000</f>
        <v>-0.30511835235475471</v>
      </c>
    </row>
    <row r="44" spans="1:20" x14ac:dyDescent="0.25">
      <c r="A44" s="5">
        <v>44549</v>
      </c>
      <c r="B44">
        <v>3.9670000000000001</v>
      </c>
      <c r="C44">
        <v>4.0330000000000004</v>
      </c>
      <c r="D44">
        <v>3.8220000000000001</v>
      </c>
      <c r="E44">
        <v>3.8889999999999998</v>
      </c>
      <c r="F44">
        <v>70026.100000000006</v>
      </c>
      <c r="G44">
        <v>3.8889999999999998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-0.36492890995261013</v>
      </c>
      <c r="Q44">
        <f t="shared" ref="Q44" si="196">F44*P44</f>
        <v>-25554.548341232476</v>
      </c>
      <c r="R44">
        <f t="shared" ref="R44" si="197">R45+Q44</f>
        <v>-30417499.46076959</v>
      </c>
      <c r="S44">
        <f t="shared" ref="S44" si="198">R44/100000</f>
        <v>-304.17499460769591</v>
      </c>
      <c r="T44">
        <f t="shared" ref="T44" si="199">S44/1000</f>
        <v>-0.30417499460769593</v>
      </c>
    </row>
    <row r="45" spans="1:20" x14ac:dyDescent="0.25">
      <c r="A45" s="5">
        <v>44548</v>
      </c>
      <c r="B45">
        <v>3.931</v>
      </c>
      <c r="C45">
        <v>4.0990000000000002</v>
      </c>
      <c r="D45">
        <v>3.8889999999999998</v>
      </c>
      <c r="E45">
        <v>3.9550000000000001</v>
      </c>
      <c r="F45">
        <v>97375</v>
      </c>
      <c r="G45">
        <v>3.9550000000000001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-0.37142857142857</v>
      </c>
      <c r="Q45">
        <f t="shared" ref="Q45" si="201">F45*P45</f>
        <v>-36167.857142857007</v>
      </c>
      <c r="R45">
        <f t="shared" ref="R45" si="202">R46+Q45</f>
        <v>-30391944.912428357</v>
      </c>
      <c r="S45">
        <f t="shared" ref="S45" si="203">R45/100000</f>
        <v>-303.91944912428357</v>
      </c>
      <c r="T45">
        <f t="shared" ref="T45" si="204">S45/1000</f>
        <v>-0.30391944912428359</v>
      </c>
    </row>
    <row r="46" spans="1:20" x14ac:dyDescent="0.25">
      <c r="A46" s="5">
        <v>44547</v>
      </c>
      <c r="B46">
        <v>3.9319999999999999</v>
      </c>
      <c r="C46">
        <v>4.2030000000000003</v>
      </c>
      <c r="D46">
        <v>3.87</v>
      </c>
      <c r="E46">
        <v>3.931</v>
      </c>
      <c r="F46">
        <v>159128.29999999999</v>
      </c>
      <c r="G46">
        <v>3.931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-0.63363363363363423</v>
      </c>
      <c r="Q46">
        <f t="shared" ref="Q46" si="206">F46*P46</f>
        <v>-100829.04294294304</v>
      </c>
      <c r="R46">
        <f t="shared" ref="R46" si="207">R47+Q46</f>
        <v>-30355777.055285498</v>
      </c>
      <c r="S46">
        <f t="shared" ref="S46" si="208">R46/100000</f>
        <v>-303.557770552855</v>
      </c>
      <c r="T46">
        <f t="shared" ref="T46" si="209">S46/1000</f>
        <v>-0.30355777055285499</v>
      </c>
    </row>
    <row r="47" spans="1:20" x14ac:dyDescent="0.25">
      <c r="A47" s="5">
        <v>44546</v>
      </c>
      <c r="B47">
        <v>4.1189999999999998</v>
      </c>
      <c r="C47">
        <v>4.1449999999999996</v>
      </c>
      <c r="D47">
        <v>3.931</v>
      </c>
      <c r="E47">
        <v>3.9489999999999998</v>
      </c>
      <c r="F47">
        <v>124366.9</v>
      </c>
      <c r="G47">
        <v>3.9489999999999998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-0.83177570093458097</v>
      </c>
      <c r="Q47">
        <f t="shared" ref="Q47" si="211">F47*P47</f>
        <v>-103445.36542056093</v>
      </c>
      <c r="R47">
        <f t="shared" ref="R47" si="212">R48+Q47</f>
        <v>-30254948.012342557</v>
      </c>
      <c r="S47">
        <f t="shared" ref="S47" si="213">R47/100000</f>
        <v>-302.54948012342555</v>
      </c>
      <c r="T47">
        <f t="shared" ref="T47" si="214">S47/1000</f>
        <v>-0.30254948012342553</v>
      </c>
    </row>
    <row r="48" spans="1:20" x14ac:dyDescent="0.25">
      <c r="A48" s="5">
        <v>44545</v>
      </c>
      <c r="B48">
        <v>4.1120000000000001</v>
      </c>
      <c r="C48">
        <v>4.4429999999999996</v>
      </c>
      <c r="D48">
        <v>3.9</v>
      </c>
      <c r="E48">
        <v>4.1180000000000003</v>
      </c>
      <c r="F48">
        <v>170891.1</v>
      </c>
      <c r="G48">
        <v>4.1180000000000003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-0.19705340699815641</v>
      </c>
      <c r="Q48">
        <f t="shared" ref="Q48" si="216">F48*P48</f>
        <v>-33674.673480662648</v>
      </c>
      <c r="R48">
        <f t="shared" ref="R48" si="217">R49+Q48</f>
        <v>-30151502.646921996</v>
      </c>
      <c r="S48">
        <f t="shared" ref="S48" si="218">R48/100000</f>
        <v>-301.51502646921995</v>
      </c>
      <c r="T48">
        <f t="shared" ref="T48" si="219">S48/1000</f>
        <v>-0.30151502646921996</v>
      </c>
    </row>
    <row r="49" spans="1:20" x14ac:dyDescent="0.25">
      <c r="A49" s="5">
        <v>44544</v>
      </c>
      <c r="B49">
        <v>4.0359999999999996</v>
      </c>
      <c r="C49">
        <v>4.1619999999999999</v>
      </c>
      <c r="D49">
        <v>3.9940000000000002</v>
      </c>
      <c r="E49">
        <v>4.0759999999999996</v>
      </c>
      <c r="F49">
        <v>51852.5</v>
      </c>
      <c r="G49">
        <v>4.0759999999999996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-2.3809523809529158E-2</v>
      </c>
      <c r="Q49">
        <f t="shared" ref="Q49" si="221">F49*P49</f>
        <v>-1234.5833333336107</v>
      </c>
      <c r="R49">
        <f t="shared" ref="R49" si="222">R50+Q49</f>
        <v>-30117827.973441333</v>
      </c>
      <c r="S49">
        <f t="shared" ref="S49" si="223">R49/100000</f>
        <v>-301.17827973441331</v>
      </c>
      <c r="T49">
        <f t="shared" ref="T49" si="224">S49/1000</f>
        <v>-0.3011782797344133</v>
      </c>
    </row>
    <row r="50" spans="1:20" x14ac:dyDescent="0.25">
      <c r="A50" s="5">
        <v>44543</v>
      </c>
      <c r="B50">
        <v>4.4029999999999996</v>
      </c>
      <c r="C50">
        <v>4.4189999999999996</v>
      </c>
      <c r="D50">
        <v>3.9</v>
      </c>
      <c r="E50">
        <v>4.0369999999999999</v>
      </c>
      <c r="F50">
        <v>92305.600000000006</v>
      </c>
      <c r="G50">
        <v>4.0369999999999999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-0.47206165703275493</v>
      </c>
      <c r="Q50">
        <f t="shared" ref="Q50" si="226">F50*P50</f>
        <v>-43573.934489402665</v>
      </c>
      <c r="R50">
        <f t="shared" ref="R50" si="227">R51+Q50</f>
        <v>-30116593.390108</v>
      </c>
      <c r="S50">
        <f t="shared" ref="S50" si="228">R50/100000</f>
        <v>-301.16593390108</v>
      </c>
      <c r="T50">
        <f t="shared" ref="T50" si="229">S50/1000</f>
        <v>-0.30116593390107999</v>
      </c>
    </row>
    <row r="51" spans="1:20" x14ac:dyDescent="0.25">
      <c r="A51" s="5">
        <v>44542</v>
      </c>
      <c r="B51">
        <v>4.3600000000000003</v>
      </c>
      <c r="C51">
        <v>4.484</v>
      </c>
      <c r="D51">
        <v>4.21</v>
      </c>
      <c r="E51">
        <v>4.4029999999999996</v>
      </c>
      <c r="F51">
        <v>73621.899999999994</v>
      </c>
      <c r="G51">
        <v>4.4029999999999996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0.40875912408758835</v>
      </c>
      <c r="Q51">
        <f t="shared" ref="Q51" si="231">F51*P51</f>
        <v>30093.623357664019</v>
      </c>
      <c r="R51">
        <f t="shared" ref="R51" si="232">R52+Q51</f>
        <v>-30073019.455618598</v>
      </c>
      <c r="S51">
        <f t="shared" ref="S51" si="233">R51/100000</f>
        <v>-300.73019455618595</v>
      </c>
      <c r="T51">
        <f t="shared" ref="T51" si="234">S51/1000</f>
        <v>-0.30073019455618594</v>
      </c>
    </row>
    <row r="52" spans="1:20" x14ac:dyDescent="0.25">
      <c r="A52" s="5">
        <v>44541</v>
      </c>
      <c r="B52">
        <v>4.2009999999999996</v>
      </c>
      <c r="C52">
        <v>4.2279999999999998</v>
      </c>
      <c r="D52">
        <v>4.1360000000000001</v>
      </c>
      <c r="E52">
        <v>4.2130000000000001</v>
      </c>
      <c r="F52">
        <v>10718.7</v>
      </c>
      <c r="G52">
        <v>4.2130000000000001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0.67391304347826653</v>
      </c>
      <c r="Q52">
        <f t="shared" ref="Q52" si="236">F52*P52</f>
        <v>7223.4717391304957</v>
      </c>
      <c r="R52">
        <f t="shared" ref="R52" si="237">R53+Q52</f>
        <v>-30103113.078976262</v>
      </c>
      <c r="S52">
        <f t="shared" ref="S52" si="238">R52/100000</f>
        <v>-301.03113078976264</v>
      </c>
      <c r="T52">
        <f t="shared" ref="T52" si="239">S52/1000</f>
        <v>-0.30103113078976262</v>
      </c>
    </row>
    <row r="53" spans="1:20" x14ac:dyDescent="0.25">
      <c r="A53" s="5">
        <v>44540</v>
      </c>
      <c r="B53">
        <v>4.3230000000000004</v>
      </c>
      <c r="C53">
        <v>4.45</v>
      </c>
      <c r="D53">
        <v>4.2</v>
      </c>
      <c r="E53">
        <v>4.2</v>
      </c>
      <c r="F53">
        <v>90284.7</v>
      </c>
      <c r="G53">
        <v>4.2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-1</v>
      </c>
      <c r="Q53">
        <f t="shared" ref="Q53" si="241">F53*P53</f>
        <v>-90284.7</v>
      </c>
      <c r="R53">
        <f t="shared" ref="R53" si="242">R54+Q53</f>
        <v>-30110336.550715394</v>
      </c>
      <c r="S53">
        <f t="shared" ref="S53" si="243">R53/100000</f>
        <v>-301.10336550715397</v>
      </c>
      <c r="T53">
        <f t="shared" ref="T53" si="244">S53/1000</f>
        <v>-0.30110336550715394</v>
      </c>
    </row>
    <row r="54" spans="1:20" x14ac:dyDescent="0.25">
      <c r="A54" s="5">
        <v>44539</v>
      </c>
      <c r="B54">
        <v>4.6660000000000004</v>
      </c>
      <c r="C54">
        <v>4.9800000000000004</v>
      </c>
      <c r="D54">
        <v>4.3049999999999997</v>
      </c>
      <c r="E54">
        <v>4.3140000000000001</v>
      </c>
      <c r="F54">
        <v>250861</v>
      </c>
      <c r="G54">
        <v>4.3140000000000001</v>
      </c>
      <c r="L54" t="s">
        <v>8</v>
      </c>
      <c r="M54" t="s">
        <v>7</v>
      </c>
      <c r="N54" t="s">
        <v>7</v>
      </c>
      <c r="P54">
        <f t="shared" ref="P54" si="245">IF(C54=D54,0,((E54-D54)-(C54-E54))/(C54-D54))</f>
        <v>-0.97333333333333238</v>
      </c>
      <c r="Q54">
        <f t="shared" ref="Q54" si="246">F54*P54</f>
        <v>-244171.37333333309</v>
      </c>
      <c r="R54">
        <f t="shared" ref="R54" si="247">R55+Q54</f>
        <v>-30020051.850715395</v>
      </c>
      <c r="S54">
        <f t="shared" ref="S54" si="248">R54/100000</f>
        <v>-300.20051850715396</v>
      </c>
      <c r="T54">
        <f t="shared" ref="T54" si="249">S54/1000</f>
        <v>-0.30020051850715396</v>
      </c>
    </row>
    <row r="55" spans="1:20" x14ac:dyDescent="0.25">
      <c r="A55" s="5">
        <v>44538</v>
      </c>
      <c r="B55">
        <v>4.423</v>
      </c>
      <c r="C55">
        <v>4.7320000000000002</v>
      </c>
      <c r="D55">
        <v>4.3179999999999996</v>
      </c>
      <c r="E55">
        <v>4.6689999999999996</v>
      </c>
      <c r="F55">
        <v>526836</v>
      </c>
      <c r="G55">
        <v>4.6689999999999996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0.69565217391304091</v>
      </c>
      <c r="Q55">
        <f t="shared" ref="Q55" si="251">F55*P55</f>
        <v>366494.60869565082</v>
      </c>
      <c r="R55">
        <f t="shared" ref="R55" si="252">R56+Q55</f>
        <v>-29775880.47738206</v>
      </c>
      <c r="S55">
        <f t="shared" ref="S55" si="253">R55/100000</f>
        <v>-297.7588047738206</v>
      </c>
      <c r="T55">
        <f t="shared" ref="T55" si="254">S55/1000</f>
        <v>-0.29775880477382061</v>
      </c>
    </row>
    <row r="56" spans="1:20" x14ac:dyDescent="0.25">
      <c r="A56" s="5">
        <v>44537</v>
      </c>
      <c r="B56">
        <v>4.6859999999999999</v>
      </c>
      <c r="C56">
        <v>4.7619999999999996</v>
      </c>
      <c r="D56">
        <v>4.3769999999999998</v>
      </c>
      <c r="E56">
        <v>4.4349999999999996</v>
      </c>
      <c r="F56">
        <v>329656.59999999998</v>
      </c>
      <c r="G56">
        <v>4.4349999999999996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-0.69870129870129938</v>
      </c>
      <c r="Q56">
        <f t="shared" ref="Q56" si="256">F56*P56</f>
        <v>-230331.49454545474</v>
      </c>
      <c r="R56">
        <f t="shared" ref="R56" si="257">R57+Q56</f>
        <v>-30142375.086077712</v>
      </c>
      <c r="S56">
        <f t="shared" ref="S56" si="258">R56/100000</f>
        <v>-301.42375086077715</v>
      </c>
      <c r="T56">
        <f t="shared" ref="T56" si="259">S56/1000</f>
        <v>-0.30142375086077716</v>
      </c>
    </row>
    <row r="57" spans="1:20" x14ac:dyDescent="0.25">
      <c r="A57" s="5">
        <v>44536</v>
      </c>
      <c r="B57">
        <v>4.8879999999999999</v>
      </c>
      <c r="C57">
        <v>4.9800000000000004</v>
      </c>
      <c r="D57">
        <v>4.25</v>
      </c>
      <c r="E57">
        <v>4.6859999999999999</v>
      </c>
      <c r="F57">
        <v>575176.69999999995</v>
      </c>
      <c r="G57">
        <v>4.6859999999999999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0.19452054794520462</v>
      </c>
      <c r="Q57">
        <f t="shared" ref="Q57" si="261">F57*P57</f>
        <v>111883.68684931457</v>
      </c>
      <c r="R57">
        <f t="shared" ref="R57" si="262">R58+Q57</f>
        <v>-29912043.591532256</v>
      </c>
      <c r="S57">
        <f t="shared" ref="S57" si="263">R57/100000</f>
        <v>-299.12043591532256</v>
      </c>
      <c r="T57">
        <f t="shared" ref="T57" si="264">S57/1000</f>
        <v>-0.29912043591532256</v>
      </c>
    </row>
    <row r="58" spans="1:20" x14ac:dyDescent="0.25">
      <c r="A58" s="5">
        <v>44535</v>
      </c>
      <c r="B58">
        <v>4.5090000000000003</v>
      </c>
      <c r="C58">
        <v>6.5</v>
      </c>
      <c r="D58">
        <v>4.343</v>
      </c>
      <c r="E58">
        <v>4.8769999999999998</v>
      </c>
      <c r="F58">
        <v>1973826.2</v>
      </c>
      <c r="G58">
        <v>4.8769999999999998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-0.50486787204450645</v>
      </c>
      <c r="Q58">
        <f t="shared" ref="Q58" si="266">F58*P58</f>
        <v>-996521.43337969435</v>
      </c>
      <c r="R58">
        <f t="shared" ref="R58" si="267">R59+Q58</f>
        <v>-30023927.278381571</v>
      </c>
      <c r="S58">
        <f t="shared" ref="S58" si="268">R58/100000</f>
        <v>-300.23927278381569</v>
      </c>
      <c r="T58">
        <f t="shared" ref="T58" si="269">S58/1000</f>
        <v>-0.30023927278381568</v>
      </c>
    </row>
    <row r="59" spans="1:20" x14ac:dyDescent="0.25">
      <c r="A59" s="5">
        <v>44534</v>
      </c>
      <c r="B59">
        <v>5.0650000000000004</v>
      </c>
      <c r="C59">
        <v>5.0659999999999998</v>
      </c>
      <c r="D59">
        <v>4.2060000000000004</v>
      </c>
      <c r="E59">
        <v>4.5010000000000003</v>
      </c>
      <c r="F59">
        <v>208875.08600000001</v>
      </c>
      <c r="G59">
        <v>4.5010000000000003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-0.31395348837209275</v>
      </c>
      <c r="Q59">
        <f t="shared" ref="Q59" si="271">F59*P59</f>
        <v>-65577.061883720875</v>
      </c>
      <c r="R59">
        <f t="shared" ref="R59" si="272">R60+Q59</f>
        <v>-29027405.845001876</v>
      </c>
      <c r="S59">
        <f t="shared" ref="S59" si="273">R59/100000</f>
        <v>-290.27405845001874</v>
      </c>
      <c r="T59">
        <f t="shared" ref="T59" si="274">S59/1000</f>
        <v>-0.29027405845001875</v>
      </c>
    </row>
    <row r="60" spans="1:20" x14ac:dyDescent="0.25">
      <c r="A60" s="5">
        <v>44533</v>
      </c>
      <c r="B60">
        <v>5.1230000000000002</v>
      </c>
      <c r="C60">
        <v>5.5</v>
      </c>
      <c r="D60">
        <v>4.93</v>
      </c>
      <c r="E60">
        <v>5.0490000000000004</v>
      </c>
      <c r="F60">
        <v>299445.2</v>
      </c>
      <c r="G60">
        <v>5.0490000000000004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-0.58245614035087512</v>
      </c>
      <c r="Q60">
        <f t="shared" ref="Q60" si="276">F60*P60</f>
        <v>-174413.69543859587</v>
      </c>
      <c r="R60">
        <f t="shared" ref="R60" si="277">R61+Q60</f>
        <v>-28961828.783118155</v>
      </c>
      <c r="S60">
        <f t="shared" ref="S60" si="278">R60/100000</f>
        <v>-289.61828783118153</v>
      </c>
      <c r="T60">
        <f t="shared" ref="T60" si="279">S60/1000</f>
        <v>-0.28961828783118154</v>
      </c>
    </row>
    <row r="61" spans="1:20" x14ac:dyDescent="0.25">
      <c r="A61" s="5">
        <v>44532</v>
      </c>
      <c r="B61">
        <v>5.8390000000000004</v>
      </c>
      <c r="C61">
        <v>5.8620000000000001</v>
      </c>
      <c r="D61">
        <v>5.0010000000000003</v>
      </c>
      <c r="E61">
        <v>5.133</v>
      </c>
      <c r="F61">
        <v>565676.6</v>
      </c>
      <c r="G61">
        <v>5.133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-0.69337979094076718</v>
      </c>
      <c r="Q61">
        <f t="shared" ref="Q61" si="281">F61*P61</f>
        <v>-392228.72264808399</v>
      </c>
      <c r="R61">
        <f t="shared" ref="R61" si="282">R62+Q61</f>
        <v>-28787415.087679558</v>
      </c>
      <c r="S61">
        <f t="shared" ref="S61" si="283">R61/100000</f>
        <v>-287.87415087679557</v>
      </c>
      <c r="T61">
        <f t="shared" ref="T61" si="284">S61/1000</f>
        <v>-0.28787415087679558</v>
      </c>
    </row>
    <row r="62" spans="1:20" x14ac:dyDescent="0.25">
      <c r="A62" s="5">
        <v>44531</v>
      </c>
      <c r="B62">
        <v>4.9930000000000003</v>
      </c>
      <c r="C62">
        <v>6.95</v>
      </c>
      <c r="D62">
        <v>4.9770000000000003</v>
      </c>
      <c r="E62">
        <v>5.8390000000000004</v>
      </c>
      <c r="F62">
        <v>1575993.6</v>
      </c>
      <c r="G62">
        <v>5.8390000000000004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-0.1262037506335528</v>
      </c>
      <c r="Q62">
        <f t="shared" ref="Q62" si="286">F62*P62</f>
        <v>-198896.30329447516</v>
      </c>
      <c r="R62">
        <f t="shared" ref="R62" si="287">R63+Q62</f>
        <v>-28395186.365031473</v>
      </c>
      <c r="S62">
        <f t="shared" ref="S62" si="288">R62/100000</f>
        <v>-283.95186365031475</v>
      </c>
      <c r="T62">
        <f t="shared" ref="T62" si="289">S62/1000</f>
        <v>-0.28395186365031477</v>
      </c>
    </row>
    <row r="63" spans="1:20" x14ac:dyDescent="0.25">
      <c r="A63" s="5">
        <v>44530</v>
      </c>
      <c r="B63">
        <v>5.1849999999999996</v>
      </c>
      <c r="C63">
        <v>5.2839999999999998</v>
      </c>
      <c r="D63">
        <v>4.9000000000000004</v>
      </c>
      <c r="E63">
        <v>4.976</v>
      </c>
      <c r="F63">
        <v>149439.5</v>
      </c>
      <c r="G63">
        <v>4.976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-0.60416666666666807</v>
      </c>
      <c r="Q63">
        <f t="shared" ref="Q63" si="291">F63*P63</f>
        <v>-90286.364583333547</v>
      </c>
      <c r="R63">
        <f t="shared" ref="R63" si="292">R64+Q63</f>
        <v>-28196290.061736997</v>
      </c>
      <c r="S63">
        <f t="shared" ref="S63" si="293">R63/100000</f>
        <v>-281.96290061737</v>
      </c>
      <c r="T63">
        <f t="shared" ref="T63" si="294">S63/1000</f>
        <v>-0.28196290061737</v>
      </c>
    </row>
    <row r="64" spans="1:20" x14ac:dyDescent="0.25">
      <c r="A64" s="5">
        <v>44529</v>
      </c>
      <c r="B64">
        <v>5.2149999999999999</v>
      </c>
      <c r="C64">
        <v>5.2839999999999998</v>
      </c>
      <c r="D64">
        <v>5.0590000000000002</v>
      </c>
      <c r="E64">
        <v>5.1870000000000003</v>
      </c>
      <c r="F64">
        <v>86769.600000000006</v>
      </c>
      <c r="G64">
        <v>5.1870000000000003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0.13777777777778058</v>
      </c>
      <c r="Q64">
        <f t="shared" ref="Q64" si="296">F64*P64</f>
        <v>11954.922666666911</v>
      </c>
      <c r="R64">
        <f t="shared" ref="R64" si="297">R65+Q64</f>
        <v>-28106003.697153665</v>
      </c>
      <c r="S64">
        <f t="shared" ref="S64" si="298">R64/100000</f>
        <v>-281.06003697153665</v>
      </c>
      <c r="T64">
        <f t="shared" ref="T64" si="299">S64/1000</f>
        <v>-0.28106003697153664</v>
      </c>
    </row>
    <row r="65" spans="1:20" x14ac:dyDescent="0.25">
      <c r="A65" s="5">
        <v>44528</v>
      </c>
      <c r="B65">
        <v>5.2830000000000004</v>
      </c>
      <c r="C65">
        <v>5.2869999999999999</v>
      </c>
      <c r="D65">
        <v>4.9000000000000004</v>
      </c>
      <c r="E65">
        <v>5.2119999999999997</v>
      </c>
      <c r="F65">
        <v>95476.3</v>
      </c>
      <c r="G65">
        <v>5.2119999999999997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0.61240310077519244</v>
      </c>
      <c r="Q65">
        <f t="shared" ref="Q65" si="301">F65*P65</f>
        <v>58469.982170542506</v>
      </c>
      <c r="R65">
        <f t="shared" ref="R65" si="302">R66+Q65</f>
        <v>-28117958.61982033</v>
      </c>
      <c r="S65">
        <f t="shared" ref="S65" si="303">R65/100000</f>
        <v>-281.17958619820331</v>
      </c>
      <c r="T65">
        <f t="shared" ref="T65" si="304">S65/1000</f>
        <v>-0.28117958619820332</v>
      </c>
    </row>
    <row r="66" spans="1:20" x14ac:dyDescent="0.25">
      <c r="A66" s="5">
        <v>44527</v>
      </c>
      <c r="B66">
        <v>5.1139999999999999</v>
      </c>
      <c r="C66">
        <v>5.5</v>
      </c>
      <c r="D66">
        <v>5.1139999999999999</v>
      </c>
      <c r="E66">
        <v>5.2859999999999996</v>
      </c>
      <c r="F66">
        <v>154268.29999999999</v>
      </c>
      <c r="G66">
        <v>5.2859999999999996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-0.1088082901554422</v>
      </c>
      <c r="Q66">
        <f t="shared" ref="Q66" si="306">F66*P66</f>
        <v>-16785.669948186802</v>
      </c>
      <c r="R66">
        <f t="shared" ref="R66" si="307">R67+Q66</f>
        <v>-28176428.601990871</v>
      </c>
      <c r="S66">
        <f t="shared" ref="S66" si="308">R66/100000</f>
        <v>-281.7642860199087</v>
      </c>
      <c r="T66">
        <f t="shared" ref="T66" si="309">S66/1000</f>
        <v>-0.28176428601990872</v>
      </c>
    </row>
    <row r="67" spans="1:20" x14ac:dyDescent="0.25">
      <c r="A67" s="5">
        <v>44526</v>
      </c>
      <c r="B67">
        <v>5.5679999999999996</v>
      </c>
      <c r="C67">
        <v>5.5839999999999996</v>
      </c>
      <c r="D67">
        <v>4.9000000000000004</v>
      </c>
      <c r="E67">
        <v>5.1310000000000002</v>
      </c>
      <c r="F67">
        <v>216780.44099999999</v>
      </c>
      <c r="G67">
        <v>5.1310000000000002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-0.32456140350877161</v>
      </c>
      <c r="Q67">
        <f t="shared" ref="Q67" si="311">F67*P67</f>
        <v>-70358.564184210452</v>
      </c>
      <c r="R67">
        <f t="shared" ref="R67" si="312">R68+Q67</f>
        <v>-28159642.932042684</v>
      </c>
      <c r="S67">
        <f t="shared" ref="S67" si="313">R67/100000</f>
        <v>-281.59642932042686</v>
      </c>
      <c r="T67">
        <f t="shared" ref="T67" si="314">S67/1000</f>
        <v>-0.28159642932042689</v>
      </c>
    </row>
    <row r="68" spans="1:20" x14ac:dyDescent="0.25">
      <c r="A68" s="5">
        <v>44525</v>
      </c>
      <c r="B68">
        <v>5.5330000000000004</v>
      </c>
      <c r="C68">
        <v>5.718</v>
      </c>
      <c r="D68">
        <v>5.5060000000000002</v>
      </c>
      <c r="E68">
        <v>5.5679999999999996</v>
      </c>
      <c r="F68">
        <v>114873.8</v>
      </c>
      <c r="G68">
        <v>5.5679999999999996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-0.41509433962264658</v>
      </c>
      <c r="Q68">
        <f t="shared" ref="Q68" si="316">F68*P68</f>
        <v>-47683.464150943983</v>
      </c>
      <c r="R68">
        <f t="shared" ref="R68" si="317">R69+Q68</f>
        <v>-28089284.367858473</v>
      </c>
      <c r="S68">
        <f t="shared" ref="S68" si="318">R68/100000</f>
        <v>-280.89284367858471</v>
      </c>
      <c r="T68">
        <f t="shared" ref="T68" si="319">S68/1000</f>
        <v>-0.28089284367858469</v>
      </c>
    </row>
    <row r="69" spans="1:20" x14ac:dyDescent="0.25">
      <c r="A69" s="5">
        <v>44524</v>
      </c>
      <c r="B69">
        <v>5.6150000000000002</v>
      </c>
      <c r="C69">
        <v>5.6280000000000001</v>
      </c>
      <c r="D69">
        <v>5.41</v>
      </c>
      <c r="E69">
        <v>5.5179999999999998</v>
      </c>
      <c r="F69">
        <v>56706.413999999997</v>
      </c>
      <c r="G69">
        <v>5.5179999999999998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-9.1743119266085704E-3</v>
      </c>
      <c r="Q69">
        <f t="shared" ref="Q69" si="321">F69*P69</f>
        <v>-520.24233027540322</v>
      </c>
      <c r="R69">
        <f t="shared" ref="R69" si="322">R70+Q69</f>
        <v>-28041600.90370753</v>
      </c>
      <c r="S69">
        <f t="shared" ref="S69" si="323">R69/100000</f>
        <v>-280.4160090370753</v>
      </c>
      <c r="T69">
        <f t="shared" ref="T69" si="324">S69/1000</f>
        <v>-0.28041600903707531</v>
      </c>
    </row>
    <row r="70" spans="1:20" x14ac:dyDescent="0.25">
      <c r="A70" s="5">
        <v>44523</v>
      </c>
      <c r="B70">
        <v>5.8150000000000004</v>
      </c>
      <c r="C70">
        <v>5.8789999999999996</v>
      </c>
      <c r="D70">
        <v>5.5039999999999996</v>
      </c>
      <c r="E70">
        <v>5.6150000000000002</v>
      </c>
      <c r="F70">
        <v>169356.5</v>
      </c>
      <c r="G70">
        <v>5.6150000000000002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-0.40799999999999653</v>
      </c>
      <c r="Q70">
        <f t="shared" ref="Q70" si="326">F70*P70</f>
        <v>-69097.451999999408</v>
      </c>
      <c r="R70">
        <f t="shared" ref="R70" si="327">R71+Q70</f>
        <v>-28041080.661377255</v>
      </c>
      <c r="S70">
        <f t="shared" ref="S70" si="328">R70/100000</f>
        <v>-280.41080661377254</v>
      </c>
      <c r="T70">
        <f t="shared" ref="T70" si="329">S70/1000</f>
        <v>-0.28041080661377255</v>
      </c>
    </row>
    <row r="71" spans="1:20" x14ac:dyDescent="0.25">
      <c r="A71" s="5">
        <v>44522</v>
      </c>
      <c r="B71">
        <v>5.8529999999999998</v>
      </c>
      <c r="C71">
        <v>5.9610000000000003</v>
      </c>
      <c r="D71">
        <v>5.6</v>
      </c>
      <c r="E71">
        <v>5.8310000000000004</v>
      </c>
      <c r="F71">
        <v>163580.20000000001</v>
      </c>
      <c r="G71">
        <v>5.8310000000000004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0.27977839335180243</v>
      </c>
      <c r="Q71">
        <f t="shared" ref="Q71" si="331">F71*P71</f>
        <v>45766.205540166513</v>
      </c>
      <c r="R71">
        <f t="shared" ref="R71" si="332">R72+Q71</f>
        <v>-27971983.209377255</v>
      </c>
      <c r="S71">
        <f t="shared" ref="S71" si="333">R71/100000</f>
        <v>-279.71983209377254</v>
      </c>
      <c r="T71">
        <f t="shared" ref="T71" si="334">S71/1000</f>
        <v>-0.27971983209377255</v>
      </c>
    </row>
    <row r="72" spans="1:20" x14ac:dyDescent="0.25">
      <c r="A72" s="5">
        <v>44521</v>
      </c>
      <c r="B72">
        <v>5.9249999999999998</v>
      </c>
      <c r="C72">
        <v>6.5010000000000003</v>
      </c>
      <c r="D72">
        <v>5.72</v>
      </c>
      <c r="E72">
        <v>5.8529999999999998</v>
      </c>
      <c r="F72">
        <v>357107.4</v>
      </c>
      <c r="G72">
        <v>5.8529999999999998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-0.65941101152368786</v>
      </c>
      <c r="Q72">
        <f t="shared" ref="Q72" si="336">F72*P72</f>
        <v>-235480.55185659422</v>
      </c>
      <c r="R72">
        <f t="shared" ref="R72" si="337">R73+Q72</f>
        <v>-28017749.414917421</v>
      </c>
      <c r="S72">
        <f t="shared" ref="S72" si="338">R72/100000</f>
        <v>-280.17749414917421</v>
      </c>
      <c r="T72">
        <f t="shared" ref="T72" si="339">S72/1000</f>
        <v>-0.2801774941491742</v>
      </c>
    </row>
    <row r="73" spans="1:20" x14ac:dyDescent="0.25">
      <c r="A73" s="5">
        <v>44520</v>
      </c>
      <c r="B73">
        <v>5.82</v>
      </c>
      <c r="C73">
        <v>5.9640000000000004</v>
      </c>
      <c r="D73">
        <v>5.5940000000000003</v>
      </c>
      <c r="E73">
        <v>5.915</v>
      </c>
      <c r="F73">
        <v>231282.2</v>
      </c>
      <c r="G73">
        <v>5.915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0.73513513513513318</v>
      </c>
      <c r="Q73">
        <f t="shared" ref="Q73" si="341">F73*P73</f>
        <v>170023.6713513509</v>
      </c>
      <c r="R73">
        <f t="shared" ref="R73" si="342">R74+Q73</f>
        <v>-27782268.863060825</v>
      </c>
      <c r="S73">
        <f t="shared" ref="S73" si="343">R73/100000</f>
        <v>-277.82268863060824</v>
      </c>
      <c r="T73">
        <f t="shared" ref="T73" si="344">S73/1000</f>
        <v>-0.27782268863060822</v>
      </c>
    </row>
    <row r="74" spans="1:20" x14ac:dyDescent="0.25">
      <c r="A74" s="5">
        <v>44519</v>
      </c>
      <c r="B74">
        <v>5.569</v>
      </c>
      <c r="C74">
        <v>5.9009999999999998</v>
      </c>
      <c r="D74">
        <v>5.5</v>
      </c>
      <c r="E74">
        <v>5.8049999999999997</v>
      </c>
      <c r="F74">
        <v>139411</v>
      </c>
      <c r="G74">
        <v>5.8049999999999997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0.52119700748129605</v>
      </c>
      <c r="Q74">
        <f t="shared" ref="Q74" si="346">F74*P74</f>
        <v>72660.596009974965</v>
      </c>
      <c r="R74">
        <f t="shared" ref="R74" si="347">R75+Q74</f>
        <v>-27952292.534412175</v>
      </c>
      <c r="S74">
        <f t="shared" ref="S74" si="348">R74/100000</f>
        <v>-279.52292534412175</v>
      </c>
      <c r="T74">
        <f t="shared" ref="T74" si="349">S74/1000</f>
        <v>-0.27952292534412176</v>
      </c>
    </row>
    <row r="75" spans="1:20" x14ac:dyDescent="0.25">
      <c r="A75" s="5">
        <v>44518</v>
      </c>
      <c r="B75">
        <v>5.859</v>
      </c>
      <c r="C75">
        <v>5.9989999999999997</v>
      </c>
      <c r="D75">
        <v>5.5279999999999996</v>
      </c>
      <c r="E75">
        <v>5.58</v>
      </c>
      <c r="F75">
        <v>865044.5</v>
      </c>
      <c r="G75">
        <v>5.58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-0.77919320594479624</v>
      </c>
      <c r="Q75">
        <f t="shared" ref="Q75" si="351">F75*P75</f>
        <v>-674036.79723991326</v>
      </c>
      <c r="R75">
        <f t="shared" ref="R75" si="352">R76+Q75</f>
        <v>-28024953.130422149</v>
      </c>
      <c r="S75">
        <f t="shared" ref="S75" si="353">R75/100000</f>
        <v>-280.24953130422148</v>
      </c>
      <c r="T75">
        <f t="shared" ref="T75" si="354">S75/1000</f>
        <v>-0.28024953130422148</v>
      </c>
    </row>
    <row r="76" spans="1:20" x14ac:dyDescent="0.25">
      <c r="A76" s="5">
        <v>44517</v>
      </c>
      <c r="B76">
        <v>5.9020000000000001</v>
      </c>
      <c r="C76">
        <v>5.9580000000000002</v>
      </c>
      <c r="D76">
        <v>5.6159999999999997</v>
      </c>
      <c r="E76">
        <v>5.843</v>
      </c>
      <c r="F76">
        <v>179218.9</v>
      </c>
      <c r="G76">
        <v>5.843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0.32748538011695882</v>
      </c>
      <c r="Q76">
        <f t="shared" ref="Q76" si="356">F76*P76</f>
        <v>58691.56959064323</v>
      </c>
      <c r="R76">
        <f t="shared" ref="R76" si="357">R77+Q76</f>
        <v>-27350916.333182234</v>
      </c>
      <c r="S76">
        <f t="shared" ref="S76" si="358">R76/100000</f>
        <v>-273.50916333182232</v>
      </c>
      <c r="T76">
        <f t="shared" ref="T76" si="359">S76/1000</f>
        <v>-0.27350916333182235</v>
      </c>
    </row>
    <row r="77" spans="1:20" x14ac:dyDescent="0.25">
      <c r="A77" s="5">
        <v>44516</v>
      </c>
      <c r="B77">
        <v>6.5890000000000004</v>
      </c>
      <c r="C77">
        <v>6.59</v>
      </c>
      <c r="D77">
        <v>5.8049999999999997</v>
      </c>
      <c r="E77">
        <v>5.8959999999999999</v>
      </c>
      <c r="F77">
        <v>252978.3</v>
      </c>
      <c r="G77">
        <v>5.8959999999999999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-0.76815286624203782</v>
      </c>
      <c r="Q77">
        <f t="shared" ref="Q77" si="361">F77*P77</f>
        <v>-194326.0062420381</v>
      </c>
      <c r="R77">
        <f t="shared" ref="R77" si="362">R78+Q77</f>
        <v>-27409607.902772877</v>
      </c>
      <c r="S77">
        <f t="shared" ref="S77" si="363">R77/100000</f>
        <v>-274.09607902772876</v>
      </c>
      <c r="T77">
        <f t="shared" ref="T77" si="364">S77/1000</f>
        <v>-0.27409607902772876</v>
      </c>
    </row>
    <row r="78" spans="1:20" x14ac:dyDescent="0.25">
      <c r="A78" s="5">
        <v>44515</v>
      </c>
      <c r="B78">
        <v>6.7060000000000004</v>
      </c>
      <c r="C78">
        <v>6.7759999999999998</v>
      </c>
      <c r="D78">
        <v>6.5030000000000001</v>
      </c>
      <c r="E78">
        <v>6.59</v>
      </c>
      <c r="F78">
        <v>111363.7</v>
      </c>
      <c r="G78">
        <v>6.59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-0.36263736263736379</v>
      </c>
      <c r="Q78">
        <f t="shared" ref="Q78" si="366">F78*P78</f>
        <v>-40384.63846153859</v>
      </c>
      <c r="R78">
        <f t="shared" ref="R78" si="367">R79+Q78</f>
        <v>-27215281.896530841</v>
      </c>
      <c r="S78">
        <f t="shared" ref="S78" si="368">R78/100000</f>
        <v>-272.15281896530843</v>
      </c>
      <c r="T78">
        <f t="shared" ref="T78" si="369">S78/1000</f>
        <v>-0.27215281896530841</v>
      </c>
    </row>
    <row r="79" spans="1:20" x14ac:dyDescent="0.25">
      <c r="A79" s="5">
        <v>44514</v>
      </c>
      <c r="B79">
        <v>6.742</v>
      </c>
      <c r="C79">
        <v>6.7759999999999998</v>
      </c>
      <c r="D79">
        <v>6.5620000000000003</v>
      </c>
      <c r="E79">
        <v>6.6890000000000001</v>
      </c>
      <c r="F79">
        <v>124255.6</v>
      </c>
      <c r="G79">
        <v>6.6890000000000001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0.18691588785046787</v>
      </c>
      <c r="Q79">
        <f t="shared" ref="Q79" si="371">F79*P79</f>
        <v>23225.345794392597</v>
      </c>
      <c r="R79">
        <f t="shared" ref="R79" si="372">R80+Q79</f>
        <v>-27174897.258069303</v>
      </c>
      <c r="S79">
        <f t="shared" ref="S79" si="373">R79/100000</f>
        <v>-271.74897258069302</v>
      </c>
      <c r="T79">
        <f t="shared" ref="T79" si="374">S79/1000</f>
        <v>-0.27174897258069303</v>
      </c>
    </row>
    <row r="80" spans="1:20" x14ac:dyDescent="0.25">
      <c r="A80" s="5">
        <v>44513</v>
      </c>
      <c r="B80">
        <v>6.9820000000000002</v>
      </c>
      <c r="C80">
        <v>7.1120000000000001</v>
      </c>
      <c r="D80">
        <v>6.5289999999999999</v>
      </c>
      <c r="E80">
        <v>6.742</v>
      </c>
      <c r="F80">
        <v>536855.80000000005</v>
      </c>
      <c r="G80">
        <v>6.742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-0.26929674099485418</v>
      </c>
      <c r="Q80">
        <f t="shared" ref="Q80" si="376">F80*P80</f>
        <v>-144573.51732418526</v>
      </c>
      <c r="R80">
        <f t="shared" ref="R80" si="377">R81+Q80</f>
        <v>-27198122.603863694</v>
      </c>
      <c r="S80">
        <f t="shared" ref="S80" si="378">R80/100000</f>
        <v>-271.98122603863692</v>
      </c>
      <c r="T80">
        <f t="shared" ref="T80" si="379">S80/1000</f>
        <v>-0.27198122603863689</v>
      </c>
    </row>
    <row r="81" spans="1:20" x14ac:dyDescent="0.25">
      <c r="A81" s="5">
        <v>44512</v>
      </c>
      <c r="B81">
        <v>7.65</v>
      </c>
      <c r="C81">
        <v>7.6749999999999998</v>
      </c>
      <c r="D81">
        <v>6.9359999999999999</v>
      </c>
      <c r="E81">
        <v>6.984</v>
      </c>
      <c r="F81">
        <v>257219</v>
      </c>
      <c r="G81">
        <v>6.984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-0.87009472259810539</v>
      </c>
      <c r="Q81">
        <f t="shared" ref="Q81" si="381">F81*P81</f>
        <v>-223804.89445196206</v>
      </c>
      <c r="R81">
        <f t="shared" ref="R81" si="382">R82+Q81</f>
        <v>-27053549.086539507</v>
      </c>
      <c r="S81">
        <f t="shared" ref="S81" si="383">R81/100000</f>
        <v>-270.53549086539505</v>
      </c>
      <c r="T81">
        <f t="shared" ref="T81" si="384">S81/1000</f>
        <v>-0.27053549086539502</v>
      </c>
    </row>
    <row r="82" spans="1:20" x14ac:dyDescent="0.25">
      <c r="A82" s="5">
        <v>44511</v>
      </c>
      <c r="B82">
        <v>7.024</v>
      </c>
      <c r="C82">
        <v>8</v>
      </c>
      <c r="D82">
        <v>6.9790000000000001</v>
      </c>
      <c r="E82">
        <v>7.6509999999999998</v>
      </c>
      <c r="F82">
        <v>282910.7</v>
      </c>
      <c r="G82">
        <v>7.6509999999999998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0.3163565132223306</v>
      </c>
      <c r="Q82">
        <f t="shared" ref="Q82" si="386">F82*P82</f>
        <v>89500.642605288813</v>
      </c>
      <c r="R82">
        <f t="shared" ref="R82" si="387">R83+Q82</f>
        <v>-26829744.192087546</v>
      </c>
      <c r="S82">
        <f t="shared" ref="S82" si="388">R82/100000</f>
        <v>-268.29744192087549</v>
      </c>
      <c r="T82">
        <f t="shared" ref="T82" si="389">S82/1000</f>
        <v>-0.26829744192087551</v>
      </c>
    </row>
    <row r="83" spans="1:20" x14ac:dyDescent="0.25">
      <c r="A83" s="5">
        <v>44510</v>
      </c>
      <c r="B83">
        <v>6.8289999999999997</v>
      </c>
      <c r="C83">
        <v>8.2789999999999999</v>
      </c>
      <c r="D83">
        <v>6.8010000000000002</v>
      </c>
      <c r="E83">
        <v>7.024</v>
      </c>
      <c r="F83">
        <v>583527.80000000005</v>
      </c>
      <c r="G83">
        <v>7.024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-0.69824086603518276</v>
      </c>
      <c r="Q83">
        <f t="shared" ref="Q83" si="391">F83*P83</f>
        <v>-407442.95642760495</v>
      </c>
      <c r="R83">
        <f t="shared" ref="R83" si="392">R84+Q83</f>
        <v>-26919244.834692836</v>
      </c>
      <c r="S83">
        <f t="shared" ref="S83" si="393">R83/100000</f>
        <v>-269.19244834692836</v>
      </c>
      <c r="T83">
        <f t="shared" ref="T83" si="394">S83/1000</f>
        <v>-0.26919244834692835</v>
      </c>
    </row>
    <row r="84" spans="1:20" x14ac:dyDescent="0.25">
      <c r="A84" s="5">
        <v>44509</v>
      </c>
      <c r="B84">
        <v>6.9980000000000002</v>
      </c>
      <c r="C84">
        <v>7.32</v>
      </c>
      <c r="D84">
        <v>6.7370000000000001</v>
      </c>
      <c r="E84">
        <v>6.8380000000000001</v>
      </c>
      <c r="F84">
        <v>263837.8</v>
      </c>
      <c r="G84">
        <v>6.8380000000000001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-0.65351629502572917</v>
      </c>
      <c r="Q84">
        <f t="shared" ref="Q84" si="396">F84*P84</f>
        <v>-172422.30154373933</v>
      </c>
      <c r="R84">
        <f t="shared" ref="R84" si="397">R85+Q84</f>
        <v>-26511801.878265232</v>
      </c>
      <c r="S84">
        <f t="shared" ref="S84" si="398">R84/100000</f>
        <v>-265.11801878265231</v>
      </c>
      <c r="T84">
        <f t="shared" ref="T84" si="399">S84/1000</f>
        <v>-0.26511801878265229</v>
      </c>
    </row>
    <row r="85" spans="1:20" x14ac:dyDescent="0.25">
      <c r="A85" s="5">
        <v>44508</v>
      </c>
      <c r="B85">
        <v>7.41</v>
      </c>
      <c r="C85">
        <v>7.6459999999999999</v>
      </c>
      <c r="D85">
        <v>6.8840000000000003</v>
      </c>
      <c r="E85">
        <v>7.01</v>
      </c>
      <c r="F85">
        <v>258598</v>
      </c>
      <c r="G85">
        <v>7.01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-0.66929133858267842</v>
      </c>
      <c r="Q85">
        <f t="shared" ref="Q85" si="401">F85*P85</f>
        <v>-173077.40157480349</v>
      </c>
      <c r="R85">
        <f t="shared" ref="R85" si="402">R86+Q85</f>
        <v>-26339379.576721493</v>
      </c>
      <c r="S85">
        <f t="shared" ref="S85" si="403">R85/100000</f>
        <v>-263.39379576721495</v>
      </c>
      <c r="T85">
        <f t="shared" ref="T85" si="404">S85/1000</f>
        <v>-0.26339379576721494</v>
      </c>
    </row>
    <row r="86" spans="1:20" x14ac:dyDescent="0.25">
      <c r="A86" s="5">
        <v>44507</v>
      </c>
      <c r="B86">
        <v>6.59</v>
      </c>
      <c r="C86">
        <v>7.8140000000000001</v>
      </c>
      <c r="D86">
        <v>6.5</v>
      </c>
      <c r="E86">
        <v>7.3970000000000002</v>
      </c>
      <c r="F86">
        <v>552057.30000000005</v>
      </c>
      <c r="G86">
        <v>7.3970000000000002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0.36529680365296835</v>
      </c>
      <c r="Q86">
        <f t="shared" ref="Q86" si="406">F86*P86</f>
        <v>201664.76712328786</v>
      </c>
      <c r="R86">
        <f t="shared" ref="R86" si="407">R87+Q86</f>
        <v>-26166302.175146692</v>
      </c>
      <c r="S86">
        <f t="shared" ref="S86" si="408">R86/100000</f>
        <v>-261.66302175146694</v>
      </c>
      <c r="T86">
        <f t="shared" ref="T86" si="409">S86/1000</f>
        <v>-0.26166302175146694</v>
      </c>
    </row>
    <row r="87" spans="1:20" x14ac:dyDescent="0.25">
      <c r="A87" s="5">
        <v>44506</v>
      </c>
      <c r="B87">
        <v>6.7729999999999997</v>
      </c>
      <c r="C87">
        <v>7.1829999999999998</v>
      </c>
      <c r="D87">
        <v>6.46</v>
      </c>
      <c r="E87">
        <v>6.5750000000000002</v>
      </c>
      <c r="F87">
        <v>209213.3</v>
      </c>
      <c r="G87">
        <v>6.5750000000000002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-0.68188105117565634</v>
      </c>
      <c r="Q87">
        <f t="shared" ref="Q87" si="411">F87*P87</f>
        <v>-142658.58492392793</v>
      </c>
      <c r="R87">
        <f t="shared" ref="R87" si="412">R88+Q87</f>
        <v>-26367966.942269981</v>
      </c>
      <c r="S87">
        <f t="shared" ref="S87" si="413">R87/100000</f>
        <v>-263.67966942269982</v>
      </c>
      <c r="T87">
        <f t="shared" ref="T87" si="414">S87/1000</f>
        <v>-0.26367966942269982</v>
      </c>
    </row>
    <row r="88" spans="1:20" x14ac:dyDescent="0.25">
      <c r="A88" s="5">
        <v>44505</v>
      </c>
      <c r="B88">
        <v>6.6760000000000002</v>
      </c>
      <c r="C88">
        <v>7.4</v>
      </c>
      <c r="D88">
        <v>6.5640000000000001</v>
      </c>
      <c r="E88">
        <v>6.7709999999999999</v>
      </c>
      <c r="F88">
        <v>402594.1</v>
      </c>
      <c r="G88">
        <v>6.7709999999999999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-0.50478468899521589</v>
      </c>
      <c r="Q88">
        <f t="shared" ref="Q88" si="416">F88*P88</f>
        <v>-203223.33755980883</v>
      </c>
      <c r="R88">
        <f t="shared" ref="R88" si="417">R89+Q88</f>
        <v>-26225308.357346054</v>
      </c>
      <c r="S88">
        <f t="shared" ref="S88" si="418">R88/100000</f>
        <v>-262.25308357346051</v>
      </c>
      <c r="T88">
        <f t="shared" ref="T88" si="419">S88/1000</f>
        <v>-0.2622530835734605</v>
      </c>
    </row>
    <row r="89" spans="1:20" x14ac:dyDescent="0.25">
      <c r="A89" s="5">
        <v>44504</v>
      </c>
      <c r="B89">
        <v>6.56</v>
      </c>
      <c r="C89">
        <v>6.77</v>
      </c>
      <c r="D89">
        <v>6.4740000000000002</v>
      </c>
      <c r="E89">
        <v>6.6760000000000002</v>
      </c>
      <c r="F89">
        <v>132662.70000000001</v>
      </c>
      <c r="G89">
        <v>6.6760000000000002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0.36486486486486747</v>
      </c>
      <c r="Q89">
        <f t="shared" ref="Q89" si="421">F89*P89</f>
        <v>48403.958108108454</v>
      </c>
      <c r="R89">
        <f t="shared" ref="R89" si="422">R90+Q89</f>
        <v>-26022085.019786246</v>
      </c>
      <c r="S89">
        <f t="shared" ref="S89" si="423">R89/100000</f>
        <v>-260.22085019786249</v>
      </c>
      <c r="T89">
        <f t="shared" ref="T89" si="424">S89/1000</f>
        <v>-0.26022085019786251</v>
      </c>
    </row>
    <row r="90" spans="1:20" x14ac:dyDescent="0.25">
      <c r="A90" s="5">
        <v>44503</v>
      </c>
      <c r="B90">
        <v>6.6989999999999998</v>
      </c>
      <c r="C90">
        <v>6.72</v>
      </c>
      <c r="D90">
        <v>6.2370000000000001</v>
      </c>
      <c r="E90">
        <v>6.56</v>
      </c>
      <c r="F90">
        <v>152044.5</v>
      </c>
      <c r="G90">
        <v>6.56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0.33747412008281469</v>
      </c>
      <c r="Q90">
        <f t="shared" ref="Q90" si="426">F90*P90</f>
        <v>51311.083850931514</v>
      </c>
      <c r="R90">
        <f t="shared" ref="R90" si="427">R91+Q90</f>
        <v>-26070488.977894355</v>
      </c>
      <c r="S90">
        <f t="shared" ref="S90" si="428">R90/100000</f>
        <v>-260.70488977894354</v>
      </c>
      <c r="T90">
        <f t="shared" ref="T90" si="429">S90/1000</f>
        <v>-0.26070488977894352</v>
      </c>
    </row>
    <row r="91" spans="1:20" x14ac:dyDescent="0.25">
      <c r="A91" s="5">
        <v>44502</v>
      </c>
      <c r="B91">
        <v>6.2519999999999998</v>
      </c>
      <c r="C91">
        <v>6.95</v>
      </c>
      <c r="D91">
        <v>6.1890000000000001</v>
      </c>
      <c r="E91">
        <v>6.6980000000000004</v>
      </c>
      <c r="F91">
        <v>337828</v>
      </c>
      <c r="G91">
        <v>6.6980000000000004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0.33771353482260252</v>
      </c>
      <c r="Q91">
        <f t="shared" ref="Q91" si="431">F91*P91</f>
        <v>114089.08804205016</v>
      </c>
      <c r="R91">
        <f t="shared" ref="R91" si="432">R92+Q91</f>
        <v>-26121800.061745286</v>
      </c>
      <c r="S91">
        <f t="shared" ref="S91" si="433">R91/100000</f>
        <v>-261.21800061745284</v>
      </c>
      <c r="T91">
        <f t="shared" ref="T91" si="434">S91/1000</f>
        <v>-0.26121800061745282</v>
      </c>
    </row>
    <row r="92" spans="1:20" x14ac:dyDescent="0.25">
      <c r="A92" s="5">
        <v>44501</v>
      </c>
      <c r="B92">
        <v>6.3010000000000002</v>
      </c>
      <c r="C92">
        <v>6.35</v>
      </c>
      <c r="D92">
        <v>6.0369999999999999</v>
      </c>
      <c r="E92">
        <v>6.2450000000000001</v>
      </c>
      <c r="F92">
        <v>129743.2</v>
      </c>
      <c r="G92">
        <v>6.2450000000000001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0.32907348242811735</v>
      </c>
      <c r="Q92">
        <f t="shared" ref="Q92" si="436">F92*P92</f>
        <v>42695.046645367715</v>
      </c>
      <c r="R92">
        <f t="shared" ref="R92" si="437">R93+Q92</f>
        <v>-26235889.149787337</v>
      </c>
      <c r="S92">
        <f t="shared" ref="S92" si="438">R92/100000</f>
        <v>-262.35889149787334</v>
      </c>
      <c r="T92">
        <f t="shared" ref="T92" si="439">S92/1000</f>
        <v>-0.26235889149787334</v>
      </c>
    </row>
    <row r="93" spans="1:20" x14ac:dyDescent="0.25">
      <c r="A93" s="5">
        <v>44500</v>
      </c>
      <c r="B93">
        <v>6.4420000000000002</v>
      </c>
      <c r="C93">
        <v>6.5949999999999998</v>
      </c>
      <c r="D93">
        <v>6.1639999999999997</v>
      </c>
      <c r="E93">
        <v>6.3010000000000002</v>
      </c>
      <c r="F93">
        <v>177808.6</v>
      </c>
      <c r="G93">
        <v>6.3010000000000002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-0.36426914153132045</v>
      </c>
      <c r="Q93">
        <f t="shared" ref="Q93" si="441">F93*P93</f>
        <v>-64770.186078885949</v>
      </c>
      <c r="R93">
        <f t="shared" ref="R93" si="442">R94+Q93</f>
        <v>-26278584.196432706</v>
      </c>
      <c r="S93">
        <f t="shared" ref="S93" si="443">R93/100000</f>
        <v>-262.78584196432706</v>
      </c>
      <c r="T93">
        <f t="shared" ref="T93" si="444">S93/1000</f>
        <v>-0.26278584196432708</v>
      </c>
    </row>
    <row r="94" spans="1:20" x14ac:dyDescent="0.25">
      <c r="A94" s="5">
        <v>44499</v>
      </c>
      <c r="B94">
        <v>6.5469999999999997</v>
      </c>
      <c r="C94">
        <v>6.7</v>
      </c>
      <c r="D94">
        <v>6.2919999999999998</v>
      </c>
      <c r="E94">
        <v>6.444</v>
      </c>
      <c r="F94">
        <v>173081.9</v>
      </c>
      <c r="G94">
        <v>6.444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-0.25490196078431371</v>
      </c>
      <c r="Q94">
        <f t="shared" ref="Q94" si="446">F94*P94</f>
        <v>-44118.915686274508</v>
      </c>
      <c r="R94">
        <f t="shared" ref="R94" si="447">R95+Q94</f>
        <v>-26213814.010353819</v>
      </c>
      <c r="S94">
        <f t="shared" ref="S94" si="448">R94/100000</f>
        <v>-262.13814010353821</v>
      </c>
      <c r="T94">
        <f t="shared" ref="T94" si="449">S94/1000</f>
        <v>-0.2621381401035382</v>
      </c>
    </row>
    <row r="95" spans="1:20" x14ac:dyDescent="0.25">
      <c r="A95" s="5">
        <v>44498</v>
      </c>
      <c r="B95">
        <v>6.2119999999999997</v>
      </c>
      <c r="C95">
        <v>6.5979999999999999</v>
      </c>
      <c r="D95">
        <v>6.1660000000000004</v>
      </c>
      <c r="E95">
        <v>6.5519999999999996</v>
      </c>
      <c r="F95">
        <v>115141.5</v>
      </c>
      <c r="G95">
        <v>6.5519999999999996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0.78703703703703554</v>
      </c>
      <c r="Q95">
        <f t="shared" ref="Q95" si="451">F95*P95</f>
        <v>90620.624999999825</v>
      </c>
      <c r="R95">
        <f t="shared" ref="R95" si="452">R96+Q95</f>
        <v>-26169695.094667543</v>
      </c>
      <c r="S95">
        <f t="shared" ref="S95" si="453">R95/100000</f>
        <v>-261.69695094667543</v>
      </c>
      <c r="T95">
        <f t="shared" ref="T95" si="454">S95/1000</f>
        <v>-0.26169695094667544</v>
      </c>
    </row>
    <row r="96" spans="1:20" x14ac:dyDescent="0.25">
      <c r="A96" s="5">
        <v>44497</v>
      </c>
      <c r="B96">
        <v>6.2119999999999997</v>
      </c>
      <c r="C96">
        <v>6.415</v>
      </c>
      <c r="D96">
        <v>6.03</v>
      </c>
      <c r="E96">
        <v>6.2119999999999997</v>
      </c>
      <c r="F96">
        <v>126413.4</v>
      </c>
      <c r="G96">
        <v>6.2119999999999997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-5.4545454545456645E-2</v>
      </c>
      <c r="Q96">
        <f t="shared" ref="Q96" si="456">F96*P96</f>
        <v>-6895.276363636629</v>
      </c>
      <c r="R96">
        <f t="shared" ref="R96" si="457">R97+Q96</f>
        <v>-26260315.719667543</v>
      </c>
      <c r="S96">
        <f t="shared" ref="S96" si="458">R96/100000</f>
        <v>-262.60315719667545</v>
      </c>
      <c r="T96">
        <f t="shared" ref="T96" si="459">S96/1000</f>
        <v>-0.26260315719667543</v>
      </c>
    </row>
    <row r="97" spans="1:20" x14ac:dyDescent="0.25">
      <c r="A97" s="5">
        <v>44496</v>
      </c>
      <c r="B97">
        <v>6.8</v>
      </c>
      <c r="C97">
        <v>6.9260000000000002</v>
      </c>
      <c r="D97">
        <v>5.9710000000000001</v>
      </c>
      <c r="E97">
        <v>6.2220000000000004</v>
      </c>
      <c r="F97">
        <v>229426.5</v>
      </c>
      <c r="G97">
        <v>6.2220000000000004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-0.47434554973821924</v>
      </c>
      <c r="Q97">
        <f t="shared" ref="Q97" si="461">F97*P97</f>
        <v>-108827.43926701555</v>
      </c>
      <c r="R97">
        <f t="shared" ref="R97" si="462">R98+Q97</f>
        <v>-26253420.443303905</v>
      </c>
      <c r="S97">
        <f t="shared" ref="S97" si="463">R97/100000</f>
        <v>-262.53420443303906</v>
      </c>
      <c r="T97">
        <f t="shared" ref="T97" si="464">S97/1000</f>
        <v>-0.26253420443303904</v>
      </c>
    </row>
    <row r="98" spans="1:20" x14ac:dyDescent="0.25">
      <c r="A98" s="5">
        <v>44495</v>
      </c>
      <c r="B98">
        <v>7.1130000000000004</v>
      </c>
      <c r="C98">
        <v>7.1319999999999997</v>
      </c>
      <c r="D98">
        <v>6.7690000000000001</v>
      </c>
      <c r="E98">
        <v>6.8310000000000004</v>
      </c>
      <c r="F98">
        <v>215626.5</v>
      </c>
      <c r="G98">
        <v>6.8310000000000004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-0.6584022038567473</v>
      </c>
      <c r="Q98">
        <f t="shared" ref="Q98" si="466">F98*P98</f>
        <v>-141968.96280991693</v>
      </c>
      <c r="R98">
        <f t="shared" ref="R98" si="467">R99+Q98</f>
        <v>-26144593.004036888</v>
      </c>
      <c r="S98">
        <f t="shared" ref="S98" si="468">R98/100000</f>
        <v>-261.44593004036886</v>
      </c>
      <c r="T98">
        <f t="shared" ref="T98" si="469">S98/1000</f>
        <v>-0.26144593004036887</v>
      </c>
    </row>
    <row r="99" spans="1:20" x14ac:dyDescent="0.25">
      <c r="A99" s="5">
        <v>44494</v>
      </c>
      <c r="B99">
        <v>7.03</v>
      </c>
      <c r="C99">
        <v>7.2649999999999997</v>
      </c>
      <c r="D99">
        <v>6.9870000000000001</v>
      </c>
      <c r="E99">
        <v>7.1109999999999998</v>
      </c>
      <c r="F99">
        <v>178581</v>
      </c>
      <c r="G99">
        <v>7.1109999999999998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-0.10791366906474927</v>
      </c>
      <c r="Q99">
        <f t="shared" ref="Q99" si="471">F99*P99</f>
        <v>-19271.33093525199</v>
      </c>
      <c r="R99">
        <f t="shared" ref="R99" si="472">R100+Q99</f>
        <v>-26002624.041226972</v>
      </c>
      <c r="S99">
        <f t="shared" ref="S99" si="473">R99/100000</f>
        <v>-260.02624041226971</v>
      </c>
      <c r="T99">
        <f t="shared" ref="T99" si="474">S99/1000</f>
        <v>-0.26002624041226974</v>
      </c>
    </row>
    <row r="100" spans="1:20" x14ac:dyDescent="0.25">
      <c r="A100" s="5">
        <v>44493</v>
      </c>
      <c r="B100">
        <v>7.0720000000000001</v>
      </c>
      <c r="C100">
        <v>7.49</v>
      </c>
      <c r="D100">
        <v>6.9390000000000001</v>
      </c>
      <c r="E100">
        <v>7.0369999999999999</v>
      </c>
      <c r="F100">
        <v>528908.4</v>
      </c>
      <c r="G100">
        <v>7.0369999999999999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-0.64428312159709678</v>
      </c>
      <c r="Q100">
        <f t="shared" ref="Q100" si="476">F100*P100</f>
        <v>-340766.7549909259</v>
      </c>
      <c r="R100">
        <f t="shared" ref="R100" si="477">R101+Q100</f>
        <v>-25983352.710291721</v>
      </c>
      <c r="S100">
        <f t="shared" ref="S100" si="478">R100/100000</f>
        <v>-259.83352710291723</v>
      </c>
      <c r="T100">
        <f t="shared" ref="T100" si="479">S100/1000</f>
        <v>-0.25983352710291724</v>
      </c>
    </row>
    <row r="101" spans="1:20" x14ac:dyDescent="0.25">
      <c r="A101" s="5">
        <v>44492</v>
      </c>
      <c r="B101">
        <v>7.0979999999999999</v>
      </c>
      <c r="C101">
        <v>7.2789999999999999</v>
      </c>
      <c r="D101">
        <v>7.01</v>
      </c>
      <c r="E101">
        <v>7.077</v>
      </c>
      <c r="F101">
        <v>94294.399999999994</v>
      </c>
      <c r="G101">
        <v>7.077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-0.50185873605947851</v>
      </c>
      <c r="Q101">
        <f t="shared" ref="Q101" si="481">F101*P101</f>
        <v>-47322.468401486884</v>
      </c>
      <c r="R101">
        <f t="shared" ref="R101" si="482">R102+Q101</f>
        <v>-25642585.955300797</v>
      </c>
      <c r="S101">
        <f t="shared" ref="S101" si="483">R101/100000</f>
        <v>-256.42585955300797</v>
      </c>
      <c r="T101">
        <f t="shared" ref="T101" si="484">S101/1000</f>
        <v>-0.25642585955300795</v>
      </c>
    </row>
    <row r="102" spans="1:20" x14ac:dyDescent="0.25">
      <c r="A102" s="5">
        <v>44491</v>
      </c>
      <c r="B102">
        <v>7.1280000000000001</v>
      </c>
      <c r="C102">
        <v>7.3630000000000004</v>
      </c>
      <c r="D102">
        <v>7.01</v>
      </c>
      <c r="E102">
        <v>7.0979999999999999</v>
      </c>
      <c r="F102">
        <v>543479.4</v>
      </c>
      <c r="G102">
        <v>7.0979999999999999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-0.50141643059490137</v>
      </c>
      <c r="Q102">
        <f t="shared" ref="Q102" si="486">F102*P102</f>
        <v>-272509.50084985862</v>
      </c>
      <c r="R102">
        <f t="shared" ref="R102" si="487">R103+Q102</f>
        <v>-25595263.486899309</v>
      </c>
      <c r="S102">
        <f t="shared" ref="S102" si="488">R102/100000</f>
        <v>-255.9526348689931</v>
      </c>
      <c r="T102">
        <f t="shared" ref="T102" si="489">S102/1000</f>
        <v>-0.25595263486899311</v>
      </c>
    </row>
    <row r="103" spans="1:20" x14ac:dyDescent="0.25">
      <c r="A103" s="5">
        <v>44490</v>
      </c>
      <c r="B103">
        <v>7.31</v>
      </c>
      <c r="C103">
        <v>7.7039999999999997</v>
      </c>
      <c r="D103">
        <v>7.0110000000000001</v>
      </c>
      <c r="E103">
        <v>7.1180000000000003</v>
      </c>
      <c r="F103">
        <v>937840.5</v>
      </c>
      <c r="G103">
        <v>7.1180000000000003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-0.69119769119769048</v>
      </c>
      <c r="Q103">
        <f t="shared" ref="Q103" si="491">F103*P103</f>
        <v>-648233.18831168767</v>
      </c>
      <c r="R103">
        <f t="shared" ref="R103" si="492">R104+Q103</f>
        <v>-25322753.986049451</v>
      </c>
      <c r="S103">
        <f t="shared" ref="S103" si="493">R103/100000</f>
        <v>-253.22753986049452</v>
      </c>
      <c r="T103">
        <f t="shared" ref="T103" si="494">S103/1000</f>
        <v>-0.25322753986049451</v>
      </c>
    </row>
    <row r="104" spans="1:20" x14ac:dyDescent="0.25">
      <c r="A104" s="5">
        <v>44489</v>
      </c>
      <c r="B104">
        <v>7.1929999999999996</v>
      </c>
      <c r="C104">
        <v>7.6740000000000004</v>
      </c>
      <c r="D104">
        <v>7.13</v>
      </c>
      <c r="E104">
        <v>7.3209999999999997</v>
      </c>
      <c r="F104">
        <v>803320.4</v>
      </c>
      <c r="G104">
        <v>7.3209999999999997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-0.29779411764706004</v>
      </c>
      <c r="Q104">
        <f t="shared" ref="Q104" si="496">F104*P104</f>
        <v>-239224.08970588335</v>
      </c>
      <c r="R104">
        <f t="shared" ref="R104" si="497">R105+Q104</f>
        <v>-24674520.797737762</v>
      </c>
      <c r="S104">
        <f t="shared" ref="S104" si="498">R104/100000</f>
        <v>-246.74520797737762</v>
      </c>
      <c r="T104">
        <f t="shared" ref="T104" si="499">S104/1000</f>
        <v>-0.24674520797737762</v>
      </c>
    </row>
    <row r="105" spans="1:20" x14ac:dyDescent="0.25">
      <c r="A105" s="5">
        <v>44488</v>
      </c>
      <c r="B105">
        <v>7.1130000000000004</v>
      </c>
      <c r="C105">
        <v>7.4589999999999996</v>
      </c>
      <c r="D105">
        <v>7</v>
      </c>
      <c r="E105">
        <v>7.1710000000000003</v>
      </c>
      <c r="F105">
        <v>130930.6</v>
      </c>
      <c r="G105">
        <v>7.1710000000000003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-0.25490196078431199</v>
      </c>
      <c r="Q105">
        <f t="shared" ref="Q105" si="501">F105*P105</f>
        <v>-33374.466666666442</v>
      </c>
      <c r="R105">
        <f t="shared" ref="R105" si="502">R106+Q105</f>
        <v>-24435296.708031878</v>
      </c>
      <c r="S105">
        <f t="shared" ref="S105" si="503">R105/100000</f>
        <v>-244.35296708031879</v>
      </c>
      <c r="T105">
        <f t="shared" ref="T105" si="504">S105/1000</f>
        <v>-0.24435296708031878</v>
      </c>
    </row>
    <row r="106" spans="1:20" x14ac:dyDescent="0.25">
      <c r="A106" s="5">
        <v>44487</v>
      </c>
      <c r="B106">
        <v>7.4610000000000003</v>
      </c>
      <c r="C106">
        <v>7.5119999999999996</v>
      </c>
      <c r="D106">
        <v>7</v>
      </c>
      <c r="E106">
        <v>7.11</v>
      </c>
      <c r="F106">
        <v>163542</v>
      </c>
      <c r="G106">
        <v>7.11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-0.57031249999999833</v>
      </c>
      <c r="Q106">
        <f t="shared" ref="Q106" si="506">F106*P106</f>
        <v>-93270.046874999724</v>
      </c>
      <c r="R106">
        <f t="shared" ref="R106" si="507">R107+Q106</f>
        <v>-24401922.241365213</v>
      </c>
      <c r="S106">
        <f t="shared" ref="S106" si="508">R106/100000</f>
        <v>-244.01922241365213</v>
      </c>
      <c r="T106">
        <f t="shared" ref="T106" si="509">S106/1000</f>
        <v>-0.24401922241365212</v>
      </c>
    </row>
    <row r="107" spans="1:20" x14ac:dyDescent="0.25">
      <c r="A107" s="5">
        <v>44486</v>
      </c>
      <c r="B107">
        <v>7.4160000000000004</v>
      </c>
      <c r="C107">
        <v>7.851</v>
      </c>
      <c r="D107">
        <v>7.2510000000000003</v>
      </c>
      <c r="E107">
        <v>7.4359999999999999</v>
      </c>
      <c r="F107">
        <v>159748</v>
      </c>
      <c r="G107">
        <v>7.4359999999999999</v>
      </c>
      <c r="L107" t="s">
        <v>8</v>
      </c>
      <c r="M107" t="s">
        <v>7</v>
      </c>
      <c r="N107" t="s">
        <v>7</v>
      </c>
      <c r="P107">
        <f t="shared" ref="P107" si="510">IF(C107=D107,0,((E107-D107)-(C107-E107))/(C107-D107))</f>
        <v>-0.38333333333333425</v>
      </c>
      <c r="Q107">
        <f t="shared" ref="Q107" si="511">F107*P107</f>
        <v>-61236.733333333483</v>
      </c>
      <c r="R107">
        <f t="shared" ref="R107" si="512">R108+Q107</f>
        <v>-24308652.194490213</v>
      </c>
      <c r="S107">
        <f t="shared" ref="S107" si="513">R107/100000</f>
        <v>-243.08652194490213</v>
      </c>
      <c r="T107">
        <f t="shared" ref="T107" si="514">S107/1000</f>
        <v>-0.24308652194490213</v>
      </c>
    </row>
    <row r="108" spans="1:20" x14ac:dyDescent="0.25">
      <c r="A108" s="5">
        <v>44485</v>
      </c>
      <c r="B108">
        <v>7.4020000000000001</v>
      </c>
      <c r="C108">
        <v>7.6630000000000003</v>
      </c>
      <c r="D108">
        <v>7.306</v>
      </c>
      <c r="E108">
        <v>7.415</v>
      </c>
      <c r="F108">
        <v>159774.39999999999</v>
      </c>
      <c r="G108">
        <v>7.415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-0.38935574229691922</v>
      </c>
      <c r="Q108">
        <f t="shared" ref="Q108" si="516">F108*P108</f>
        <v>-62209.080112044889</v>
      </c>
      <c r="R108">
        <f t="shared" ref="R108" si="517">R109+Q108</f>
        <v>-24247415.461156879</v>
      </c>
      <c r="S108">
        <f t="shared" ref="S108" si="518">R108/100000</f>
        <v>-242.47415461156879</v>
      </c>
      <c r="T108">
        <f t="shared" ref="T108" si="519">S108/1000</f>
        <v>-0.24247415461156879</v>
      </c>
    </row>
    <row r="109" spans="1:20" x14ac:dyDescent="0.25">
      <c r="A109" s="5">
        <v>44484</v>
      </c>
      <c r="B109">
        <v>7.9740000000000002</v>
      </c>
      <c r="C109">
        <v>7.9740000000000002</v>
      </c>
      <c r="D109">
        <v>7.202</v>
      </c>
      <c r="E109">
        <v>7.4189999999999996</v>
      </c>
      <c r="F109">
        <v>246000.6</v>
      </c>
      <c r="G109">
        <v>7.4189999999999996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-0.4378238341968923</v>
      </c>
      <c r="Q109">
        <f t="shared" ref="Q109" si="521">F109*P109</f>
        <v>-107704.92590673603</v>
      </c>
      <c r="R109">
        <f t="shared" ref="R109" si="522">R110+Q109</f>
        <v>-24185206.381044835</v>
      </c>
      <c r="S109">
        <f t="shared" ref="S109" si="523">R109/100000</f>
        <v>-241.85206381044836</v>
      </c>
      <c r="T109">
        <f t="shared" ref="T109" si="524">S109/1000</f>
        <v>-0.24185206381044835</v>
      </c>
    </row>
    <row r="110" spans="1:20" x14ac:dyDescent="0.25">
      <c r="A110" s="5">
        <v>44483</v>
      </c>
      <c r="B110">
        <v>7.4989999999999997</v>
      </c>
      <c r="C110">
        <v>8.2200000000000006</v>
      </c>
      <c r="D110">
        <v>7.3330000000000002</v>
      </c>
      <c r="E110">
        <v>7.9740000000000002</v>
      </c>
      <c r="F110">
        <v>332418.59999999998</v>
      </c>
      <c r="G110">
        <v>7.9740000000000002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0.44532130777902973</v>
      </c>
      <c r="Q110">
        <f t="shared" ref="Q110" si="526">F110*P110</f>
        <v>148033.08568207416</v>
      </c>
      <c r="R110">
        <f t="shared" ref="R110" si="527">R111+Q110</f>
        <v>-24077501.455138098</v>
      </c>
      <c r="S110">
        <f t="shared" ref="S110" si="528">R110/100000</f>
        <v>-240.77501455138099</v>
      </c>
      <c r="T110">
        <f t="shared" ref="T110" si="529">S110/1000</f>
        <v>-0.24077501455138098</v>
      </c>
    </row>
    <row r="111" spans="1:20" x14ac:dyDescent="0.25">
      <c r="A111" s="5">
        <v>44482</v>
      </c>
      <c r="B111">
        <v>7.5709999999999997</v>
      </c>
      <c r="C111">
        <v>7.9029999999999996</v>
      </c>
      <c r="D111">
        <v>7.274</v>
      </c>
      <c r="E111">
        <v>7.4989999999999997</v>
      </c>
      <c r="F111">
        <v>157411.6</v>
      </c>
      <c r="G111">
        <v>7.4989999999999997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-0.28457869634340288</v>
      </c>
      <c r="Q111">
        <f t="shared" ref="Q111" si="531">F111*P111</f>
        <v>-44795.987917329199</v>
      </c>
      <c r="R111">
        <f t="shared" ref="R111" si="532">R112+Q111</f>
        <v>-24225534.540820174</v>
      </c>
      <c r="S111">
        <f t="shared" ref="S111" si="533">R111/100000</f>
        <v>-242.25534540820175</v>
      </c>
      <c r="T111">
        <f t="shared" ref="T111" si="534">S111/1000</f>
        <v>-0.24225534540820176</v>
      </c>
    </row>
    <row r="112" spans="1:20" x14ac:dyDescent="0.25">
      <c r="A112" s="5">
        <v>44481</v>
      </c>
      <c r="B112">
        <v>7.88</v>
      </c>
      <c r="C112">
        <v>7.9180000000000001</v>
      </c>
      <c r="D112">
        <v>7.391</v>
      </c>
      <c r="E112">
        <v>7.5670000000000002</v>
      </c>
      <c r="F112">
        <v>146367.70000000001</v>
      </c>
      <c r="G112">
        <v>7.5670000000000002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-0.3320683111954455</v>
      </c>
      <c r="Q112">
        <f t="shared" ref="Q112" si="536">F112*P112</f>
        <v>-48604.074952561612</v>
      </c>
      <c r="R112">
        <f t="shared" ref="R112" si="537">R113+Q112</f>
        <v>-24180738.552902844</v>
      </c>
      <c r="S112">
        <f t="shared" ref="S112" si="538">R112/100000</f>
        <v>-241.80738552902844</v>
      </c>
      <c r="T112">
        <f t="shared" ref="T112" si="539">S112/1000</f>
        <v>-0.24180738552902845</v>
      </c>
    </row>
    <row r="113" spans="1:20" x14ac:dyDescent="0.25">
      <c r="A113" s="5">
        <v>44480</v>
      </c>
      <c r="B113">
        <v>7.69</v>
      </c>
      <c r="C113">
        <v>8.3870000000000005</v>
      </c>
      <c r="D113">
        <v>7.6210000000000004</v>
      </c>
      <c r="E113">
        <v>7.899</v>
      </c>
      <c r="F113">
        <v>195443.1</v>
      </c>
      <c r="G113">
        <v>7.899</v>
      </c>
      <c r="L113" t="s">
        <v>8</v>
      </c>
      <c r="M113" t="s">
        <v>7</v>
      </c>
      <c r="N113" t="s">
        <v>7</v>
      </c>
      <c r="P113">
        <f t="shared" ref="P113" si="540">IF(C113=D113,0,((E113-D113)-(C113-E113))/(C113-D113))</f>
        <v>-0.27415143603133268</v>
      </c>
      <c r="Q113">
        <f t="shared" ref="Q113" si="541">F113*P113</f>
        <v>-53581.00652741536</v>
      </c>
      <c r="R113">
        <f t="shared" ref="R113" si="542">R114+Q113</f>
        <v>-24132134.477950282</v>
      </c>
      <c r="S113">
        <f t="shared" ref="S113" si="543">R113/100000</f>
        <v>-241.32134477950282</v>
      </c>
      <c r="T113">
        <f t="shared" ref="T113" si="544">S113/1000</f>
        <v>-0.24132134477950282</v>
      </c>
    </row>
    <row r="114" spans="1:20" x14ac:dyDescent="0.25">
      <c r="A114" s="5">
        <v>44479</v>
      </c>
      <c r="B114">
        <v>8.1270000000000007</v>
      </c>
      <c r="C114">
        <v>8.1790000000000003</v>
      </c>
      <c r="D114">
        <v>7.6</v>
      </c>
      <c r="E114">
        <v>7.69</v>
      </c>
      <c r="F114">
        <v>148970.79999999999</v>
      </c>
      <c r="G114">
        <v>7.69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-0.68911917098445374</v>
      </c>
      <c r="Q114">
        <f t="shared" ref="Q114" si="546">F114*P114</f>
        <v>-102658.63419689085</v>
      </c>
      <c r="R114">
        <f t="shared" ref="R114" si="547">R115+Q114</f>
        <v>-24078553.471422866</v>
      </c>
      <c r="S114">
        <f t="shared" ref="S114" si="548">R114/100000</f>
        <v>-240.78553471422865</v>
      </c>
      <c r="T114">
        <f t="shared" ref="T114" si="549">S114/1000</f>
        <v>-0.24078553471422864</v>
      </c>
    </row>
    <row r="115" spans="1:20" x14ac:dyDescent="0.25">
      <c r="A115" s="5">
        <v>44478</v>
      </c>
      <c r="B115">
        <v>8.3710000000000004</v>
      </c>
      <c r="C115">
        <v>8.516</v>
      </c>
      <c r="D115">
        <v>8.0500000000000007</v>
      </c>
      <c r="E115">
        <v>8.14</v>
      </c>
      <c r="F115">
        <v>177881.3</v>
      </c>
      <c r="G115">
        <v>8.14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-0.61373390557939922</v>
      </c>
      <c r="Q115">
        <f t="shared" ref="Q115" si="551">F115*P115</f>
        <v>-109171.78497854077</v>
      </c>
      <c r="R115">
        <f t="shared" ref="R115" si="552">R116+Q115</f>
        <v>-23975894.837225974</v>
      </c>
      <c r="S115">
        <f t="shared" ref="S115" si="553">R115/100000</f>
        <v>-239.75894837225974</v>
      </c>
      <c r="T115">
        <f t="shared" ref="T115" si="554">S115/1000</f>
        <v>-0.23975894837225975</v>
      </c>
    </row>
    <row r="116" spans="1:20" x14ac:dyDescent="0.25">
      <c r="A116" s="5">
        <v>44477</v>
      </c>
      <c r="B116">
        <v>8.7720000000000002</v>
      </c>
      <c r="C116">
        <v>8.8879999999999999</v>
      </c>
      <c r="D116">
        <v>8.3379999999999992</v>
      </c>
      <c r="E116">
        <v>8.3710000000000004</v>
      </c>
      <c r="F116">
        <v>176371.7</v>
      </c>
      <c r="G116">
        <v>8.3710000000000004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-0.87999999999999556</v>
      </c>
      <c r="Q116">
        <f t="shared" ref="Q116" si="556">F116*P116</f>
        <v>-155207.09599999923</v>
      </c>
      <c r="R116">
        <f t="shared" ref="R116" si="557">R117+Q116</f>
        <v>-23866723.052247431</v>
      </c>
      <c r="S116">
        <f t="shared" ref="S116" si="558">R116/100000</f>
        <v>-238.66723052247431</v>
      </c>
      <c r="T116">
        <f t="shared" ref="T116" si="559">S116/1000</f>
        <v>-0.23866723052247432</v>
      </c>
    </row>
    <row r="117" spans="1:20" x14ac:dyDescent="0.25">
      <c r="A117" s="5">
        <v>44476</v>
      </c>
      <c r="B117">
        <v>8.9179999999999993</v>
      </c>
      <c r="C117">
        <v>9.0969999999999995</v>
      </c>
      <c r="D117">
        <v>8.65</v>
      </c>
      <c r="E117">
        <v>8.7430000000000003</v>
      </c>
      <c r="F117">
        <v>273875.90000000002</v>
      </c>
      <c r="G117">
        <v>8.7430000000000003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-0.58389261744966381</v>
      </c>
      <c r="Q117">
        <f t="shared" ref="Q117" si="561">F117*P117</f>
        <v>-159914.1161073824</v>
      </c>
      <c r="R117">
        <f t="shared" ref="R117" si="562">R118+Q117</f>
        <v>-23711515.95624743</v>
      </c>
      <c r="S117">
        <f t="shared" ref="S117" si="563">R117/100000</f>
        <v>-237.1151595624743</v>
      </c>
      <c r="T117">
        <f t="shared" ref="T117" si="564">S117/1000</f>
        <v>-0.23711515956247431</v>
      </c>
    </row>
    <row r="118" spans="1:20" x14ac:dyDescent="0.25">
      <c r="A118" s="5">
        <v>44475</v>
      </c>
      <c r="B118">
        <v>9.3379999999999992</v>
      </c>
      <c r="C118">
        <v>11.2</v>
      </c>
      <c r="D118">
        <v>8.6159999999999997</v>
      </c>
      <c r="E118">
        <v>8.9239999999999995</v>
      </c>
      <c r="F118">
        <v>990793</v>
      </c>
      <c r="G118">
        <v>8.9239999999999995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-0.76160990712074317</v>
      </c>
      <c r="Q118">
        <f t="shared" ref="Q118" si="566">F118*P118</f>
        <v>-754597.76470588252</v>
      </c>
      <c r="R118">
        <f t="shared" ref="R118" si="567">R119+Q118</f>
        <v>-23551601.840140048</v>
      </c>
      <c r="S118">
        <f t="shared" ref="S118" si="568">R118/100000</f>
        <v>-235.51601840140049</v>
      </c>
      <c r="T118">
        <f t="shared" ref="T118" si="569">S118/1000</f>
        <v>-0.23551601840140049</v>
      </c>
    </row>
    <row r="119" spans="1:20" x14ac:dyDescent="0.25">
      <c r="A119" s="5">
        <v>44474</v>
      </c>
      <c r="B119">
        <v>8.7810000000000006</v>
      </c>
      <c r="C119">
        <v>9.75</v>
      </c>
      <c r="D119">
        <v>8.7070000000000007</v>
      </c>
      <c r="E119">
        <v>9.3580000000000005</v>
      </c>
      <c r="F119">
        <v>1864692.7</v>
      </c>
      <c r="G119">
        <v>9.3580000000000005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0.24832214765100721</v>
      </c>
      <c r="Q119">
        <f t="shared" ref="Q119" si="571">F119*P119</f>
        <v>463044.49597315531</v>
      </c>
      <c r="R119">
        <f t="shared" ref="R119" si="572">R120+Q119</f>
        <v>-22797004.075434167</v>
      </c>
      <c r="S119">
        <f t="shared" ref="S119" si="573">R119/100000</f>
        <v>-227.97004075434168</v>
      </c>
      <c r="T119">
        <f t="shared" ref="T119" si="574">S119/1000</f>
        <v>-0.22797004075434169</v>
      </c>
    </row>
    <row r="120" spans="1:20" x14ac:dyDescent="0.25">
      <c r="A120" s="5">
        <v>44473</v>
      </c>
      <c r="B120">
        <v>8.89</v>
      </c>
      <c r="C120">
        <v>9.6</v>
      </c>
      <c r="D120">
        <v>8.3930000000000007</v>
      </c>
      <c r="E120">
        <v>8.7750000000000004</v>
      </c>
      <c r="F120">
        <v>761337.1</v>
      </c>
      <c r="G120">
        <v>8.7750000000000004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-0.36702568351284176</v>
      </c>
      <c r="Q120">
        <f t="shared" ref="Q120" si="576">F120*P120</f>
        <v>-279430.26951118477</v>
      </c>
      <c r="R120">
        <f t="shared" ref="R120" si="577">R121+Q120</f>
        <v>-23260048.571407322</v>
      </c>
      <c r="S120">
        <f t="shared" ref="S120" si="578">R120/100000</f>
        <v>-232.60048571407322</v>
      </c>
      <c r="T120">
        <f t="shared" ref="T120" si="579">S120/1000</f>
        <v>-0.23260048571407321</v>
      </c>
    </row>
    <row r="121" spans="1:20" x14ac:dyDescent="0.25">
      <c r="A121" s="5">
        <v>44472</v>
      </c>
      <c r="B121">
        <v>8.3759999999999994</v>
      </c>
      <c r="C121">
        <v>9.8409999999999993</v>
      </c>
      <c r="D121">
        <v>8.1620000000000008</v>
      </c>
      <c r="E121">
        <v>8.8840000000000003</v>
      </c>
      <c r="F121">
        <v>1293364.3</v>
      </c>
      <c r="G121">
        <v>8.8840000000000003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-0.13996426444312068</v>
      </c>
      <c r="Q121">
        <f t="shared" ref="Q121" si="581">F121*P121</f>
        <v>-181024.78290649169</v>
      </c>
      <c r="R121">
        <f t="shared" ref="R121" si="582">R122+Q121</f>
        <v>-22980618.301896136</v>
      </c>
      <c r="S121">
        <f t="shared" ref="S121" si="583">R121/100000</f>
        <v>-229.80618301896135</v>
      </c>
      <c r="T121">
        <f t="shared" ref="T121" si="584">S121/1000</f>
        <v>-0.22980618301896136</v>
      </c>
    </row>
    <row r="122" spans="1:20" x14ac:dyDescent="0.25">
      <c r="A122" s="5">
        <v>44471</v>
      </c>
      <c r="B122">
        <v>8.1039999999999992</v>
      </c>
      <c r="C122">
        <v>8.8699999999999992</v>
      </c>
      <c r="D122">
        <v>7.7030000000000003</v>
      </c>
      <c r="E122">
        <v>8.3230000000000004</v>
      </c>
      <c r="F122">
        <v>1063469.5</v>
      </c>
      <c r="G122">
        <v>8.3230000000000004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6.2553556126822063E-2</v>
      </c>
      <c r="Q122">
        <f t="shared" ref="Q122" si="586">F122*P122</f>
        <v>66523.799057413402</v>
      </c>
      <c r="R122">
        <f t="shared" ref="R122" si="587">R123+Q122</f>
        <v>-22799593.518989645</v>
      </c>
      <c r="S122">
        <f t="shared" ref="S122" si="588">R122/100000</f>
        <v>-227.99593518989644</v>
      </c>
      <c r="T122">
        <f t="shared" ref="T122" si="589">S122/1000</f>
        <v>-0.22799593518989644</v>
      </c>
    </row>
    <row r="123" spans="1:20" x14ac:dyDescent="0.25">
      <c r="A123" s="5">
        <v>44470</v>
      </c>
      <c r="B123">
        <v>7.383</v>
      </c>
      <c r="C123">
        <v>8.6850000000000005</v>
      </c>
      <c r="D123">
        <v>7.22</v>
      </c>
      <c r="E123">
        <v>8.1310000000000002</v>
      </c>
      <c r="F123">
        <v>510638.9</v>
      </c>
      <c r="G123">
        <v>8.1310000000000002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0.24368600682593858</v>
      </c>
      <c r="Q123">
        <f t="shared" ref="Q123" si="591">F123*P123</f>
        <v>124435.55447098977</v>
      </c>
      <c r="R123">
        <f t="shared" ref="R123" si="592">R124+Q123</f>
        <v>-22866117.318047058</v>
      </c>
      <c r="S123">
        <f t="shared" ref="S123" si="593">R123/100000</f>
        <v>-228.66117318047057</v>
      </c>
      <c r="T123">
        <f t="shared" ref="T123" si="594">S123/1000</f>
        <v>-0.22866117318047058</v>
      </c>
    </row>
    <row r="124" spans="1:20" x14ac:dyDescent="0.25">
      <c r="A124" s="5">
        <v>44469</v>
      </c>
      <c r="B124">
        <v>7.2670000000000003</v>
      </c>
      <c r="C124">
        <v>7.915</v>
      </c>
      <c r="D124">
        <v>7.2</v>
      </c>
      <c r="E124">
        <v>7.383</v>
      </c>
      <c r="F124">
        <v>213911.9</v>
      </c>
      <c r="G124">
        <v>7.383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-0.48811188811188849</v>
      </c>
      <c r="Q124">
        <f t="shared" ref="Q124" si="596">F124*P124</f>
        <v>-104412.94139860148</v>
      </c>
      <c r="R124">
        <f t="shared" ref="R124" si="597">R125+Q124</f>
        <v>-22990552.872518048</v>
      </c>
      <c r="S124">
        <f t="shared" ref="S124" si="598">R124/100000</f>
        <v>-229.90552872518049</v>
      </c>
      <c r="T124">
        <f t="shared" ref="T124" si="599">S124/1000</f>
        <v>-0.2299055287251805</v>
      </c>
    </row>
    <row r="125" spans="1:20" x14ac:dyDescent="0.25">
      <c r="A125" s="5">
        <v>44468</v>
      </c>
      <c r="B125">
        <v>7.181</v>
      </c>
      <c r="C125">
        <v>7.8879999999999999</v>
      </c>
      <c r="D125">
        <v>7.0960000000000001</v>
      </c>
      <c r="E125">
        <v>7.2640000000000002</v>
      </c>
      <c r="F125">
        <v>141726.29999999999</v>
      </c>
      <c r="G125">
        <v>7.2640000000000002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-0.57575757575757525</v>
      </c>
      <c r="Q125">
        <f t="shared" ref="Q125" si="601">F125*P125</f>
        <v>-81599.990909090833</v>
      </c>
      <c r="R125">
        <f t="shared" ref="R125" si="602">R126+Q125</f>
        <v>-22886139.931119446</v>
      </c>
      <c r="S125">
        <f t="shared" ref="S125" si="603">R125/100000</f>
        <v>-228.86139931119445</v>
      </c>
      <c r="T125">
        <f t="shared" ref="T125" si="604">S125/1000</f>
        <v>-0.22886139931119445</v>
      </c>
    </row>
    <row r="126" spans="1:20" x14ac:dyDescent="0.25">
      <c r="A126" s="5">
        <v>44467</v>
      </c>
      <c r="B126">
        <v>7.468</v>
      </c>
      <c r="C126">
        <v>7.5</v>
      </c>
      <c r="D126">
        <v>6.9</v>
      </c>
      <c r="E126">
        <v>7.1529999999999996</v>
      </c>
      <c r="F126">
        <v>300909.90000000002</v>
      </c>
      <c r="G126">
        <v>7.1529999999999996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-0.15666666666666876</v>
      </c>
      <c r="Q126">
        <f t="shared" ref="Q126" si="606">F126*P126</f>
        <v>-47142.551000000632</v>
      </c>
      <c r="R126">
        <f t="shared" ref="R126" si="607">R127+Q126</f>
        <v>-22804539.940210354</v>
      </c>
      <c r="S126">
        <f t="shared" ref="S126" si="608">R126/100000</f>
        <v>-228.04539940210353</v>
      </c>
      <c r="T126">
        <f t="shared" ref="T126" si="609">S126/1000</f>
        <v>-0.22804539940210353</v>
      </c>
    </row>
    <row r="127" spans="1:20" x14ac:dyDescent="0.25">
      <c r="A127" s="5">
        <v>44466</v>
      </c>
      <c r="B127">
        <v>8.1159999999999997</v>
      </c>
      <c r="C127">
        <v>8.4250000000000007</v>
      </c>
      <c r="D127">
        <v>7.468</v>
      </c>
      <c r="E127">
        <v>7.4749999999999996</v>
      </c>
      <c r="F127">
        <v>291294.59999999998</v>
      </c>
      <c r="G127">
        <v>7.4749999999999996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-0.98537095088819293</v>
      </c>
      <c r="Q127">
        <f t="shared" ref="Q127" si="611">F127*P127</f>
        <v>-287033.23699059576</v>
      </c>
      <c r="R127">
        <f t="shared" ref="R127" si="612">R128+Q127</f>
        <v>-22757397.389210355</v>
      </c>
      <c r="S127">
        <f t="shared" ref="S127" si="613">R127/100000</f>
        <v>-227.57397389210354</v>
      </c>
      <c r="T127">
        <f t="shared" ref="T127" si="614">S127/1000</f>
        <v>-0.22757397389210354</v>
      </c>
    </row>
    <row r="128" spans="1:20" x14ac:dyDescent="0.25">
      <c r="A128" s="5">
        <v>44465</v>
      </c>
      <c r="B128">
        <v>8.18</v>
      </c>
      <c r="C128">
        <v>8.4209999999999994</v>
      </c>
      <c r="D128">
        <v>7.5010000000000003</v>
      </c>
      <c r="E128">
        <v>8.1519999999999992</v>
      </c>
      <c r="F128">
        <v>182109.2</v>
      </c>
      <c r="G128">
        <v>8.1519999999999992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0.41521739130434693</v>
      </c>
      <c r="Q128">
        <f t="shared" ref="Q128" si="616">F128*P128</f>
        <v>75614.906956521576</v>
      </c>
      <c r="R128">
        <f t="shared" ref="R128" si="617">R129+Q128</f>
        <v>-22470364.152219757</v>
      </c>
      <c r="S128">
        <f t="shared" ref="S128" si="618">R128/100000</f>
        <v>-224.70364152219759</v>
      </c>
      <c r="T128">
        <f t="shared" ref="T128" si="619">S128/1000</f>
        <v>-0.22470364152219757</v>
      </c>
    </row>
    <row r="129" spans="1:20" x14ac:dyDescent="0.25">
      <c r="A129" s="5">
        <v>44464</v>
      </c>
      <c r="B129">
        <v>8.6180000000000003</v>
      </c>
      <c r="C129">
        <v>9.19</v>
      </c>
      <c r="D129">
        <v>7.9</v>
      </c>
      <c r="E129">
        <v>8.1839999999999993</v>
      </c>
      <c r="F129">
        <v>314248.59999999998</v>
      </c>
      <c r="G129">
        <v>8.1839999999999993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-0.55968992248062155</v>
      </c>
      <c r="Q129">
        <f t="shared" ref="Q129" si="621">F129*P129</f>
        <v>-175881.77457364384</v>
      </c>
      <c r="R129">
        <f t="shared" ref="R129" si="622">R130+Q129</f>
        <v>-22545979.059176277</v>
      </c>
      <c r="S129">
        <f t="shared" ref="S129" si="623">R129/100000</f>
        <v>-225.45979059176278</v>
      </c>
      <c r="T129">
        <f t="shared" ref="T129" si="624">S129/1000</f>
        <v>-0.22545979059176277</v>
      </c>
    </row>
    <row r="130" spans="1:20" x14ac:dyDescent="0.25">
      <c r="A130" s="5">
        <v>44463</v>
      </c>
      <c r="B130">
        <v>8.6120000000000001</v>
      </c>
      <c r="C130">
        <v>9.1</v>
      </c>
      <c r="D130">
        <v>7.9</v>
      </c>
      <c r="E130">
        <v>8.6319999999999997</v>
      </c>
      <c r="F130">
        <v>443433.4</v>
      </c>
      <c r="G130">
        <v>8.6319999999999997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0.21999999999999958</v>
      </c>
      <c r="Q130">
        <f t="shared" ref="Q130" si="626">F130*P130</f>
        <v>97555.347999999824</v>
      </c>
      <c r="R130">
        <f t="shared" ref="R130" si="627">R131+Q130</f>
        <v>-22370097.284602635</v>
      </c>
      <c r="S130">
        <f t="shared" ref="S130" si="628">R130/100000</f>
        <v>-223.70097284602636</v>
      </c>
      <c r="T130">
        <f t="shared" ref="T130" si="629">S130/1000</f>
        <v>-0.22370097284602636</v>
      </c>
    </row>
    <row r="131" spans="1:20" x14ac:dyDescent="0.25">
      <c r="A131" s="5">
        <v>44462</v>
      </c>
      <c r="B131">
        <v>8.5039999999999996</v>
      </c>
      <c r="C131">
        <v>8.984</v>
      </c>
      <c r="D131">
        <v>8.3369999999999997</v>
      </c>
      <c r="E131">
        <v>8.6509999999999998</v>
      </c>
      <c r="F131">
        <v>181641</v>
      </c>
      <c r="G131">
        <v>8.6509999999999998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-2.9366306027820897E-2</v>
      </c>
      <c r="Q131">
        <f t="shared" ref="Q131" si="631">F131*P131</f>
        <v>-5334.1251931994157</v>
      </c>
      <c r="R131">
        <f t="shared" ref="R131" si="632">R132+Q131</f>
        <v>-22467652.632602636</v>
      </c>
      <c r="S131">
        <f t="shared" ref="S131" si="633">R131/100000</f>
        <v>-224.67652632602636</v>
      </c>
      <c r="T131">
        <f t="shared" ref="T131" si="634">S131/1000</f>
        <v>-0.22467652632602636</v>
      </c>
    </row>
    <row r="132" spans="1:20" x14ac:dyDescent="0.25">
      <c r="A132" s="5">
        <v>44461</v>
      </c>
      <c r="B132">
        <v>7.8250000000000002</v>
      </c>
      <c r="C132">
        <v>8.9160000000000004</v>
      </c>
      <c r="D132">
        <v>7.6189999999999998</v>
      </c>
      <c r="E132">
        <v>8.516</v>
      </c>
      <c r="F132">
        <v>1026210.2</v>
      </c>
      <c r="G132">
        <v>8.516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0.38319198149575917</v>
      </c>
      <c r="Q132">
        <f t="shared" ref="Q132" si="636">F132*P132</f>
        <v>393235.51996915927</v>
      </c>
      <c r="R132">
        <f t="shared" ref="R132" si="637">R133+Q132</f>
        <v>-22462318.507409435</v>
      </c>
      <c r="S132">
        <f t="shared" ref="S132" si="638">R132/100000</f>
        <v>-224.62318507409435</v>
      </c>
      <c r="T132">
        <f t="shared" ref="T132" si="639">S132/1000</f>
        <v>-0.22462318507409434</v>
      </c>
    </row>
    <row r="133" spans="1:20" x14ac:dyDescent="0.25">
      <c r="A133" s="5">
        <v>44460</v>
      </c>
      <c r="B133">
        <v>8.0890000000000004</v>
      </c>
      <c r="C133">
        <v>9.1980000000000004</v>
      </c>
      <c r="D133">
        <v>7.2</v>
      </c>
      <c r="E133">
        <v>7.851</v>
      </c>
      <c r="F133">
        <v>367024.3</v>
      </c>
      <c r="G133">
        <v>7.851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-0.3483483483483486</v>
      </c>
      <c r="Q133">
        <f t="shared" ref="Q133" si="641">F133*P133</f>
        <v>-127852.30870870879</v>
      </c>
      <c r="R133">
        <f t="shared" ref="R133" si="642">R134+Q133</f>
        <v>-22855554.027378593</v>
      </c>
      <c r="S133">
        <f t="shared" ref="S133" si="643">R133/100000</f>
        <v>-228.55554027378594</v>
      </c>
      <c r="T133">
        <f t="shared" ref="T133" si="644">S133/1000</f>
        <v>-0.22855554027378594</v>
      </c>
    </row>
    <row r="134" spans="1:20" x14ac:dyDescent="0.25">
      <c r="A134" s="5">
        <v>44459</v>
      </c>
      <c r="B134">
        <v>9.3789999999999996</v>
      </c>
      <c r="C134">
        <v>9.4030000000000005</v>
      </c>
      <c r="D134">
        <v>8.3000000000000007</v>
      </c>
      <c r="E134">
        <v>8.6999999999999993</v>
      </c>
      <c r="F134">
        <v>153883.1</v>
      </c>
      <c r="G134">
        <v>8.6999999999999993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-0.27470534904805322</v>
      </c>
      <c r="Q134">
        <f t="shared" ref="Q134" si="646">F134*P134</f>
        <v>-42272.510698096477</v>
      </c>
      <c r="R134">
        <f t="shared" ref="R134" si="647">R135+Q134</f>
        <v>-22727701.718669884</v>
      </c>
      <c r="S134">
        <f t="shared" ref="S134" si="648">R134/100000</f>
        <v>-227.27701718669883</v>
      </c>
      <c r="T134">
        <f t="shared" ref="T134" si="649">S134/1000</f>
        <v>-0.22727701718669882</v>
      </c>
    </row>
    <row r="135" spans="1:20" x14ac:dyDescent="0.25">
      <c r="A135" s="5">
        <v>44458</v>
      </c>
      <c r="B135">
        <v>10.484999999999999</v>
      </c>
      <c r="C135">
        <v>10.52</v>
      </c>
      <c r="D135">
        <v>9.2590000000000003</v>
      </c>
      <c r="E135">
        <v>9.3759999999999994</v>
      </c>
      <c r="F135">
        <v>273332.40000000002</v>
      </c>
      <c r="G135">
        <v>9.3759999999999994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-0.81443298969072297</v>
      </c>
      <c r="Q135">
        <f t="shared" ref="Q135" si="651">F135*P135</f>
        <v>-222610.92371134058</v>
      </c>
      <c r="R135">
        <f t="shared" ref="R135" si="652">R136+Q135</f>
        <v>-22685429.207971789</v>
      </c>
      <c r="S135">
        <f t="shared" ref="S135" si="653">R135/100000</f>
        <v>-226.85429207971788</v>
      </c>
      <c r="T135">
        <f t="shared" ref="T135" si="654">S135/1000</f>
        <v>-0.22685429207971788</v>
      </c>
    </row>
    <row r="136" spans="1:20" x14ac:dyDescent="0.25">
      <c r="A136" s="5">
        <v>44457</v>
      </c>
      <c r="B136">
        <v>10.82</v>
      </c>
      <c r="C136">
        <v>11.65</v>
      </c>
      <c r="D136">
        <v>10.000999999999999</v>
      </c>
      <c r="E136">
        <v>10.488</v>
      </c>
      <c r="F136">
        <v>602129.04599999997</v>
      </c>
      <c r="G136">
        <v>10.488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-0.40933899332929069</v>
      </c>
      <c r="Q136">
        <f t="shared" ref="Q136" si="656">F136*P136</f>
        <v>-246474.89754396616</v>
      </c>
      <c r="R136">
        <f t="shared" ref="R136" si="657">R137+Q136</f>
        <v>-22462818.284260448</v>
      </c>
      <c r="S136">
        <f t="shared" ref="S136" si="658">R136/100000</f>
        <v>-224.62818284260447</v>
      </c>
      <c r="T136">
        <f t="shared" ref="T136" si="659">S136/1000</f>
        <v>-0.22462818284260447</v>
      </c>
    </row>
    <row r="137" spans="1:20" x14ac:dyDescent="0.25">
      <c r="A137" s="5">
        <v>44456</v>
      </c>
      <c r="B137">
        <v>9.0850000000000009</v>
      </c>
      <c r="C137">
        <v>11.5</v>
      </c>
      <c r="D137">
        <v>8.9440000000000008</v>
      </c>
      <c r="E137">
        <v>10.816000000000001</v>
      </c>
      <c r="F137">
        <v>1079655.5619999999</v>
      </c>
      <c r="G137">
        <v>10.816000000000001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0.46478873239436658</v>
      </c>
      <c r="Q137">
        <f t="shared" ref="Q137" si="661">F137*P137</f>
        <v>501811.74008450739</v>
      </c>
      <c r="R137">
        <f t="shared" ref="R137" si="662">R138+Q137</f>
        <v>-22216343.386716481</v>
      </c>
      <c r="S137">
        <f t="shared" ref="S137" si="663">R137/100000</f>
        <v>-222.16343386716483</v>
      </c>
      <c r="T137">
        <f t="shared" ref="T137" si="664">S137/1000</f>
        <v>-0.22216343386716483</v>
      </c>
    </row>
    <row r="138" spans="1:20" x14ac:dyDescent="0.25">
      <c r="A138" s="5">
        <v>44455</v>
      </c>
      <c r="B138">
        <v>9.6449999999999996</v>
      </c>
      <c r="C138">
        <v>10.183</v>
      </c>
      <c r="D138">
        <v>8.8160000000000007</v>
      </c>
      <c r="E138">
        <v>9.0939999999999994</v>
      </c>
      <c r="F138">
        <v>625164.9</v>
      </c>
      <c r="G138">
        <v>9.0939999999999994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-0.59326993416240104</v>
      </c>
      <c r="Q138">
        <f t="shared" ref="Q138" si="666">F138*P138</f>
        <v>-370891.53906364401</v>
      </c>
      <c r="R138">
        <f t="shared" ref="R138" si="667">R139+Q138</f>
        <v>-22718155.126800988</v>
      </c>
      <c r="S138">
        <f t="shared" ref="S138" si="668">R138/100000</f>
        <v>-227.18155126800988</v>
      </c>
      <c r="T138">
        <f t="shared" ref="T138" si="669">S138/1000</f>
        <v>-0.22718155126800987</v>
      </c>
    </row>
    <row r="139" spans="1:20" x14ac:dyDescent="0.25">
      <c r="A139" s="5">
        <v>44454</v>
      </c>
      <c r="B139">
        <v>7.4790000000000001</v>
      </c>
      <c r="C139">
        <v>10.36</v>
      </c>
      <c r="D139">
        <v>7.407</v>
      </c>
      <c r="E139">
        <v>9.6590000000000007</v>
      </c>
      <c r="F139">
        <v>2159101.9</v>
      </c>
      <c r="G139">
        <v>9.6590000000000007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0.52522858110396287</v>
      </c>
      <c r="Q139">
        <f t="shared" ref="Q139" si="671">F139*P139</f>
        <v>1134022.0273958703</v>
      </c>
      <c r="R139">
        <f t="shared" ref="R139" si="672">R140+Q139</f>
        <v>-22347263.587737344</v>
      </c>
      <c r="S139">
        <f t="shared" ref="S139" si="673">R139/100000</f>
        <v>-223.47263587737345</v>
      </c>
      <c r="T139">
        <f t="shared" ref="T139" si="674">S139/1000</f>
        <v>-0.22347263587737345</v>
      </c>
    </row>
    <row r="140" spans="1:20" x14ac:dyDescent="0.25">
      <c r="A140" s="5">
        <v>44453</v>
      </c>
      <c r="B140">
        <v>7.0940000000000003</v>
      </c>
      <c r="C140">
        <v>9.36</v>
      </c>
      <c r="D140">
        <v>6.77</v>
      </c>
      <c r="E140">
        <v>7.4640000000000004</v>
      </c>
      <c r="F140">
        <v>1884658.9</v>
      </c>
      <c r="G140">
        <v>7.4640000000000004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-0.46409266409266342</v>
      </c>
      <c r="Q140">
        <f t="shared" ref="Q140" si="676">F140*P140</f>
        <v>-874656.36980694847</v>
      </c>
      <c r="R140">
        <f t="shared" ref="R140" si="677">R141+Q140</f>
        <v>-23481285.615133215</v>
      </c>
      <c r="S140">
        <f t="shared" ref="S140" si="678">R140/100000</f>
        <v>-234.81285615133214</v>
      </c>
      <c r="T140">
        <f t="shared" ref="T140" si="679">S140/1000</f>
        <v>-0.23481285615133213</v>
      </c>
    </row>
    <row r="141" spans="1:20" x14ac:dyDescent="0.25">
      <c r="A141" s="5">
        <v>44452</v>
      </c>
      <c r="B141">
        <v>6.9020000000000001</v>
      </c>
      <c r="C141">
        <v>7.95</v>
      </c>
      <c r="D141">
        <v>6.65</v>
      </c>
      <c r="E141">
        <v>7.085</v>
      </c>
      <c r="F141">
        <v>671218.4</v>
      </c>
      <c r="G141">
        <v>7.085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-0.33076923076923126</v>
      </c>
      <c r="Q141">
        <f t="shared" ref="Q141" si="681">F141*P141</f>
        <v>-222018.39384615418</v>
      </c>
      <c r="R141">
        <f t="shared" ref="R141" si="682">R142+Q141</f>
        <v>-22606629.245326266</v>
      </c>
      <c r="S141">
        <f t="shared" ref="S141" si="683">R141/100000</f>
        <v>-226.06629245326266</v>
      </c>
      <c r="T141">
        <f t="shared" ref="T141" si="684">S141/1000</f>
        <v>-0.22606629245326265</v>
      </c>
    </row>
    <row r="142" spans="1:20" x14ac:dyDescent="0.25">
      <c r="A142" s="5">
        <v>44451</v>
      </c>
      <c r="B142">
        <v>6.7720000000000002</v>
      </c>
      <c r="C142">
        <v>7.54</v>
      </c>
      <c r="D142">
        <v>6.64</v>
      </c>
      <c r="E142">
        <v>6.9240000000000004</v>
      </c>
      <c r="F142">
        <v>400712.2</v>
      </c>
      <c r="G142">
        <v>6.9240000000000004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-0.3688888888888876</v>
      </c>
      <c r="Q142">
        <f t="shared" ref="Q142" si="686">F142*P142</f>
        <v>-147818.27822222171</v>
      </c>
      <c r="R142">
        <f t="shared" ref="R142" si="687">R143+Q142</f>
        <v>-22384610.851480111</v>
      </c>
      <c r="S142">
        <f t="shared" ref="S142" si="688">R142/100000</f>
        <v>-223.8461085148011</v>
      </c>
      <c r="T142">
        <f t="shared" ref="T142" si="689">S142/1000</f>
        <v>-0.22384610851480111</v>
      </c>
    </row>
    <row r="143" spans="1:20" x14ac:dyDescent="0.25">
      <c r="A143" s="5">
        <v>44450</v>
      </c>
      <c r="B143">
        <v>7.1989999999999998</v>
      </c>
      <c r="C143">
        <v>7.3710000000000004</v>
      </c>
      <c r="D143">
        <v>6.4550000000000001</v>
      </c>
      <c r="E143">
        <v>6.77</v>
      </c>
      <c r="F143">
        <v>631935.4</v>
      </c>
      <c r="G143">
        <v>6.77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-0.3122270742358092</v>
      </c>
      <c r="Q143">
        <f t="shared" ref="Q143" si="691">F143*P143</f>
        <v>-197307.3410480358</v>
      </c>
      <c r="R143">
        <f t="shared" ref="R143" si="692">R144+Q143</f>
        <v>-22236792.57325789</v>
      </c>
      <c r="S143">
        <f t="shared" ref="S143" si="693">R143/100000</f>
        <v>-222.3679257325789</v>
      </c>
      <c r="T143">
        <f t="shared" ref="T143" si="694">S143/1000</f>
        <v>-0.22236792573257891</v>
      </c>
    </row>
    <row r="144" spans="1:20" x14ac:dyDescent="0.25">
      <c r="A144" s="5">
        <v>44449</v>
      </c>
      <c r="B144">
        <v>6.4290000000000003</v>
      </c>
      <c r="C144">
        <v>7.9690000000000003</v>
      </c>
      <c r="D144">
        <v>6.27</v>
      </c>
      <c r="E144">
        <v>7.1989999999999998</v>
      </c>
      <c r="F144">
        <v>1138233.7</v>
      </c>
      <c r="G144">
        <v>7.1989999999999998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9.3584461447910383E-2</v>
      </c>
      <c r="Q144">
        <f t="shared" ref="Q144" si="696">F144*P144</f>
        <v>106520.98781636239</v>
      </c>
      <c r="R144">
        <f t="shared" ref="R144" si="697">R145+Q144</f>
        <v>-22039485.232209854</v>
      </c>
      <c r="S144">
        <f t="shared" ref="S144" si="698">R144/100000</f>
        <v>-220.39485232209853</v>
      </c>
      <c r="T144">
        <f t="shared" ref="T144" si="699">S144/1000</f>
        <v>-0.22039485232209852</v>
      </c>
    </row>
    <row r="145" spans="1:20" x14ac:dyDescent="0.25">
      <c r="A145" s="5">
        <v>44448</v>
      </c>
      <c r="B145">
        <v>6.4020000000000001</v>
      </c>
      <c r="C145">
        <v>8</v>
      </c>
      <c r="D145">
        <v>6.3</v>
      </c>
      <c r="E145">
        <v>6.431</v>
      </c>
      <c r="F145">
        <v>803980.3</v>
      </c>
      <c r="G145">
        <v>6.431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-0.8458823529411762</v>
      </c>
      <c r="Q145">
        <f t="shared" ref="Q145" si="701">F145*P145</f>
        <v>-680072.74788235279</v>
      </c>
      <c r="R145">
        <f t="shared" ref="R145" si="702">R146+Q145</f>
        <v>-22146006.220026217</v>
      </c>
      <c r="S145">
        <f t="shared" ref="S145" si="703">R145/100000</f>
        <v>-221.46006220026217</v>
      </c>
      <c r="T145">
        <f t="shared" ref="T145" si="704">S145/1000</f>
        <v>-0.22146006220026218</v>
      </c>
    </row>
    <row r="146" spans="1:20" x14ac:dyDescent="0.25">
      <c r="A146" s="5">
        <v>44447</v>
      </c>
      <c r="B146">
        <v>6.5439999999999996</v>
      </c>
      <c r="C146">
        <v>6.6710000000000003</v>
      </c>
      <c r="D146">
        <v>5.7080000000000002</v>
      </c>
      <c r="E146">
        <v>6.4050000000000002</v>
      </c>
      <c r="F146">
        <v>268481.3</v>
      </c>
      <c r="G146">
        <v>6.4050000000000002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0.44755970924195226</v>
      </c>
      <c r="Q146">
        <f t="shared" ref="Q146" si="706">F146*P146</f>
        <v>120161.41256490136</v>
      </c>
      <c r="R146">
        <f t="shared" ref="R146" si="707">R147+Q146</f>
        <v>-21465933.472143866</v>
      </c>
      <c r="S146">
        <f t="shared" ref="S146" si="708">R146/100000</f>
        <v>-214.65933472143865</v>
      </c>
      <c r="T146">
        <f t="shared" ref="T146" si="709">S146/1000</f>
        <v>-0.21465933472143867</v>
      </c>
    </row>
    <row r="147" spans="1:20" x14ac:dyDescent="0.25">
      <c r="A147" s="5">
        <v>44446</v>
      </c>
      <c r="B147">
        <v>7.7080000000000002</v>
      </c>
      <c r="C147">
        <v>7.7279999999999998</v>
      </c>
      <c r="D147">
        <v>6.2119999999999997</v>
      </c>
      <c r="E147">
        <v>6.5209999999999999</v>
      </c>
      <c r="F147">
        <v>423889.9</v>
      </c>
      <c r="G147">
        <v>6.5209999999999999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-0.59234828496042191</v>
      </c>
      <c r="Q147">
        <f t="shared" ref="Q147" si="711">F147*P147</f>
        <v>-251090.45527704476</v>
      </c>
      <c r="R147">
        <f t="shared" ref="R147" si="712">R148+Q147</f>
        <v>-21586094.884708766</v>
      </c>
      <c r="S147">
        <f t="shared" ref="S147" si="713">R147/100000</f>
        <v>-215.86094884708766</v>
      </c>
      <c r="T147">
        <f t="shared" ref="T147" si="714">S147/1000</f>
        <v>-0.21586094884708765</v>
      </c>
    </row>
    <row r="148" spans="1:20" x14ac:dyDescent="0.25">
      <c r="A148" s="5">
        <v>44445</v>
      </c>
      <c r="B148">
        <v>8.2929999999999993</v>
      </c>
      <c r="C148">
        <v>8.4949999999999992</v>
      </c>
      <c r="D148">
        <v>7.141</v>
      </c>
      <c r="E148">
        <v>7.7039999999999997</v>
      </c>
      <c r="F148">
        <v>1697456.7</v>
      </c>
      <c r="G148">
        <v>7.7039999999999997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-0.16838995568685369</v>
      </c>
      <c r="Q148">
        <f t="shared" ref="Q148" si="716">F148*P148</f>
        <v>-285834.65849335288</v>
      </c>
      <c r="R148">
        <f t="shared" ref="R148" si="717">R149+Q148</f>
        <v>-21335004.429431722</v>
      </c>
      <c r="S148">
        <f t="shared" ref="S148" si="718">R148/100000</f>
        <v>-213.35004429431723</v>
      </c>
      <c r="T148">
        <f t="shared" ref="T148" si="719">S148/1000</f>
        <v>-0.21335004429431723</v>
      </c>
    </row>
    <row r="149" spans="1:20" x14ac:dyDescent="0.25">
      <c r="A149" s="5">
        <v>44444</v>
      </c>
      <c r="B149">
        <v>6.2679999999999998</v>
      </c>
      <c r="C149">
        <v>11.39</v>
      </c>
      <c r="D149">
        <v>5.9770000000000003</v>
      </c>
      <c r="E149">
        <v>8.2859999999999996</v>
      </c>
      <c r="F149">
        <v>3478017.2579999999</v>
      </c>
      <c r="G149">
        <v>8.2859999999999996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-0.14686864954738624</v>
      </c>
      <c r="Q149">
        <f t="shared" ref="Q149" si="721">F149*P149</f>
        <v>-510811.69778496324</v>
      </c>
      <c r="R149">
        <f t="shared" ref="R149" si="722">R150+Q149</f>
        <v>-21049169.77093837</v>
      </c>
      <c r="S149">
        <f t="shared" ref="S149" si="723">R149/100000</f>
        <v>-210.49169770938371</v>
      </c>
      <c r="T149">
        <f t="shared" ref="T149" si="724">S149/1000</f>
        <v>-0.21049169770938372</v>
      </c>
    </row>
    <row r="150" spans="1:20" x14ac:dyDescent="0.25">
      <c r="A150" s="5">
        <v>44443</v>
      </c>
      <c r="B150">
        <v>5.9809999999999999</v>
      </c>
      <c r="C150">
        <v>6.7850000000000001</v>
      </c>
      <c r="D150">
        <v>5.9130000000000003</v>
      </c>
      <c r="E150">
        <v>6.266</v>
      </c>
      <c r="F150">
        <v>237349.7</v>
      </c>
      <c r="G150">
        <v>6.266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-0.19036697247706466</v>
      </c>
      <c r="Q150">
        <f t="shared" ref="Q150" si="726">F150*P150</f>
        <v>-45183.543807339556</v>
      </c>
      <c r="R150">
        <f t="shared" ref="R150" si="727">R151+Q150</f>
        <v>-20538358.073153406</v>
      </c>
      <c r="S150">
        <f t="shared" ref="S150" si="728">R150/100000</f>
        <v>-205.38358073153407</v>
      </c>
      <c r="T150">
        <f t="shared" ref="T150" si="729">S150/1000</f>
        <v>-0.20538358073153407</v>
      </c>
    </row>
    <row r="151" spans="1:20" x14ac:dyDescent="0.25">
      <c r="A151" s="5">
        <v>44442</v>
      </c>
      <c r="B151">
        <v>5.835</v>
      </c>
      <c r="C151">
        <v>6.18</v>
      </c>
      <c r="D151">
        <v>5.7439999999999998</v>
      </c>
      <c r="E151">
        <v>6.0039999999999996</v>
      </c>
      <c r="F151">
        <v>178286.9</v>
      </c>
      <c r="G151">
        <v>6.0039999999999996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0.19266055045871477</v>
      </c>
      <c r="Q151">
        <f t="shared" ref="Q151" si="731">F151*P151</f>
        <v>34348.852293577831</v>
      </c>
      <c r="R151">
        <f t="shared" ref="R151" si="732">R152+Q151</f>
        <v>-20493174.529346067</v>
      </c>
      <c r="S151">
        <f t="shared" ref="S151" si="733">R151/100000</f>
        <v>-204.93174529346066</v>
      </c>
      <c r="T151">
        <f t="shared" ref="T151" si="734">S151/1000</f>
        <v>-0.20493174529346067</v>
      </c>
    </row>
    <row r="152" spans="1:20" x14ac:dyDescent="0.25">
      <c r="A152" s="5">
        <v>44441</v>
      </c>
      <c r="B152">
        <v>5.9160000000000004</v>
      </c>
      <c r="C152">
        <v>5.9390000000000001</v>
      </c>
      <c r="D152">
        <v>5.75</v>
      </c>
      <c r="E152">
        <v>5.835</v>
      </c>
      <c r="F152">
        <v>148520.1</v>
      </c>
      <c r="G152">
        <v>5.835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-0.10052910052910118</v>
      </c>
      <c r="Q152">
        <f t="shared" ref="Q152" si="736">F152*P152</f>
        <v>-14930.59206349216</v>
      </c>
      <c r="R152">
        <f t="shared" ref="R152" si="737">R153+Q152</f>
        <v>-20527523.381639645</v>
      </c>
      <c r="S152">
        <f t="shared" ref="S152" si="738">R152/100000</f>
        <v>-205.27523381639645</v>
      </c>
      <c r="T152">
        <f t="shared" ref="T152" si="739">S152/1000</f>
        <v>-0.20527523381639645</v>
      </c>
    </row>
    <row r="153" spans="1:20" x14ac:dyDescent="0.25">
      <c r="A153" s="5">
        <v>44440</v>
      </c>
      <c r="B153">
        <v>5.6230000000000002</v>
      </c>
      <c r="C153">
        <v>6.0369999999999999</v>
      </c>
      <c r="D153">
        <v>5.5179999999999998</v>
      </c>
      <c r="E153">
        <v>5.8940000000000001</v>
      </c>
      <c r="F153">
        <v>174518.11799999999</v>
      </c>
      <c r="G153">
        <v>5.8940000000000001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0.44894026974951923</v>
      </c>
      <c r="Q153">
        <f t="shared" ref="Q153" si="741">F153*P153</f>
        <v>78348.210971098422</v>
      </c>
      <c r="R153">
        <f t="shared" ref="R153" si="742">R154+Q153</f>
        <v>-20512592.789576154</v>
      </c>
      <c r="S153">
        <f t="shared" ref="S153" si="743">R153/100000</f>
        <v>-205.12592789576155</v>
      </c>
      <c r="T153">
        <f t="shared" ref="T153" si="744">S153/1000</f>
        <v>-0.20512592789576156</v>
      </c>
    </row>
    <row r="154" spans="1:20" x14ac:dyDescent="0.25">
      <c r="A154" s="5">
        <v>44439</v>
      </c>
      <c r="B154">
        <v>5.702</v>
      </c>
      <c r="C154">
        <v>5.819</v>
      </c>
      <c r="D154">
        <v>5.5709999999999997</v>
      </c>
      <c r="E154">
        <v>5.6269999999999998</v>
      </c>
      <c r="F154">
        <v>162199.54699999999</v>
      </c>
      <c r="G154">
        <v>5.6269999999999998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-0.54838709677419351</v>
      </c>
      <c r="Q154">
        <f t="shared" ref="Q154" si="746">F154*P154</f>
        <v>-88948.138677419338</v>
      </c>
      <c r="R154">
        <f t="shared" ref="R154" si="747">R155+Q154</f>
        <v>-20590941.000547253</v>
      </c>
      <c r="S154">
        <f t="shared" ref="S154" si="748">R154/100000</f>
        <v>-205.90941000547252</v>
      </c>
      <c r="T154">
        <f t="shared" ref="T154" si="749">S154/1000</f>
        <v>-0.20590941000547253</v>
      </c>
    </row>
    <row r="155" spans="1:20" x14ac:dyDescent="0.25">
      <c r="A155" s="5">
        <v>44438</v>
      </c>
      <c r="B155">
        <v>5.9870000000000001</v>
      </c>
      <c r="C155">
        <v>6.0880000000000001</v>
      </c>
      <c r="D155">
        <v>5.67</v>
      </c>
      <c r="E155">
        <v>5.7060000000000004</v>
      </c>
      <c r="F155">
        <v>172575.4</v>
      </c>
      <c r="G155">
        <v>5.7060000000000004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-0.82775119617224657</v>
      </c>
      <c r="Q155">
        <f t="shared" ref="Q155" si="751">F155*P155</f>
        <v>-142849.49377990392</v>
      </c>
      <c r="R155">
        <f t="shared" ref="R155" si="752">R156+Q155</f>
        <v>-20501992.861869834</v>
      </c>
      <c r="S155">
        <f t="shared" ref="S155" si="753">R155/100000</f>
        <v>-205.01992861869834</v>
      </c>
      <c r="T155">
        <f t="shared" ref="T155" si="754">S155/1000</f>
        <v>-0.20501992861869833</v>
      </c>
    </row>
    <row r="156" spans="1:20" x14ac:dyDescent="0.25">
      <c r="A156" s="5">
        <v>44437</v>
      </c>
      <c r="B156">
        <v>5.9509999999999996</v>
      </c>
      <c r="C156">
        <v>6.1580000000000004</v>
      </c>
      <c r="D156">
        <v>5.87</v>
      </c>
      <c r="E156">
        <v>5.9870000000000001</v>
      </c>
      <c r="F156">
        <v>142511.1</v>
      </c>
      <c r="G156">
        <v>5.9870000000000001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-0.18750000000000078</v>
      </c>
      <c r="Q156">
        <f t="shared" ref="Q156" si="756">F156*P156</f>
        <v>-26720.831250000112</v>
      </c>
      <c r="R156">
        <f t="shared" ref="R156" si="757">R157+Q156</f>
        <v>-20359143.368089929</v>
      </c>
      <c r="S156">
        <f t="shared" ref="S156" si="758">R156/100000</f>
        <v>-203.59143368089929</v>
      </c>
      <c r="T156">
        <f t="shared" ref="T156" si="759">S156/1000</f>
        <v>-0.2035914336808993</v>
      </c>
    </row>
    <row r="157" spans="1:20" x14ac:dyDescent="0.25">
      <c r="A157" s="5">
        <v>44436</v>
      </c>
      <c r="B157">
        <v>6.1710000000000003</v>
      </c>
      <c r="C157">
        <v>6.2329999999999997</v>
      </c>
      <c r="D157">
        <v>5.88</v>
      </c>
      <c r="E157">
        <v>5.9509999999999996</v>
      </c>
      <c r="F157">
        <v>123547.8</v>
      </c>
      <c r="G157">
        <v>5.9509999999999996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-0.59773371104815987</v>
      </c>
      <c r="Q157">
        <f t="shared" ref="Q157" si="761">F157*P157</f>
        <v>-73848.684985835847</v>
      </c>
      <c r="R157">
        <f t="shared" ref="R157" si="762">R158+Q157</f>
        <v>-20332422.536839928</v>
      </c>
      <c r="S157">
        <f t="shared" ref="S157" si="763">R157/100000</f>
        <v>-203.32422536839928</v>
      </c>
      <c r="T157">
        <f t="shared" ref="T157" si="764">S157/1000</f>
        <v>-0.20332422536839928</v>
      </c>
    </row>
    <row r="158" spans="1:20" x14ac:dyDescent="0.25">
      <c r="A158" s="5">
        <v>44435</v>
      </c>
      <c r="B158">
        <v>5.8920000000000003</v>
      </c>
      <c r="C158">
        <v>6.22</v>
      </c>
      <c r="D158">
        <v>5.7</v>
      </c>
      <c r="E158">
        <v>6.1710000000000003</v>
      </c>
      <c r="F158">
        <v>207476.62899999999</v>
      </c>
      <c r="G158">
        <v>6.1710000000000003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0.81153846153846332</v>
      </c>
      <c r="Q158">
        <f t="shared" ref="Q158" si="766">F158*P158</f>
        <v>168375.26430384652</v>
      </c>
      <c r="R158">
        <f t="shared" ref="R158" si="767">R159+Q158</f>
        <v>-20258573.851854093</v>
      </c>
      <c r="S158">
        <f t="shared" ref="S158" si="768">R158/100000</f>
        <v>-202.58573851854092</v>
      </c>
      <c r="T158">
        <f t="shared" ref="T158" si="769">S158/1000</f>
        <v>-0.20258573851854092</v>
      </c>
    </row>
    <row r="159" spans="1:20" x14ac:dyDescent="0.25">
      <c r="A159" s="5">
        <v>44434</v>
      </c>
      <c r="B159">
        <v>6.0460000000000003</v>
      </c>
      <c r="C159">
        <v>6.26</v>
      </c>
      <c r="D159">
        <v>5.7069999999999999</v>
      </c>
      <c r="E159">
        <v>5.8940000000000001</v>
      </c>
      <c r="F159">
        <v>274391.38199999998</v>
      </c>
      <c r="G159">
        <v>5.8940000000000001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-0.32368896925858842</v>
      </c>
      <c r="Q159">
        <f t="shared" ref="Q159" si="771">F159*P159</f>
        <v>-88817.463613019587</v>
      </c>
      <c r="R159">
        <f t="shared" ref="R159" si="772">R160+Q159</f>
        <v>-20426949.116157942</v>
      </c>
      <c r="S159">
        <f t="shared" ref="S159" si="773">R159/100000</f>
        <v>-204.26949116157942</v>
      </c>
      <c r="T159">
        <f t="shared" ref="T159" si="774">S159/1000</f>
        <v>-0.20426949116157941</v>
      </c>
    </row>
    <row r="160" spans="1:20" x14ac:dyDescent="0.25">
      <c r="A160" s="5">
        <v>44433</v>
      </c>
      <c r="B160">
        <v>5.9180000000000001</v>
      </c>
      <c r="C160">
        <v>6.1769999999999996</v>
      </c>
      <c r="D160">
        <v>5.649</v>
      </c>
      <c r="E160">
        <v>6.0460000000000003</v>
      </c>
      <c r="F160">
        <v>251506.11799999999</v>
      </c>
      <c r="G160">
        <v>6.0460000000000003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0.50378787878788089</v>
      </c>
      <c r="Q160">
        <f t="shared" ref="Q160" si="776">F160*P160</f>
        <v>126705.73368939446</v>
      </c>
      <c r="R160">
        <f t="shared" ref="R160" si="777">R161+Q160</f>
        <v>-20338131.652544923</v>
      </c>
      <c r="S160">
        <f t="shared" ref="S160" si="778">R160/100000</f>
        <v>-203.38131652544922</v>
      </c>
      <c r="T160">
        <f t="shared" ref="T160" si="779">S160/1000</f>
        <v>-0.20338131652544922</v>
      </c>
    </row>
    <row r="161" spans="1:20" x14ac:dyDescent="0.25">
      <c r="A161" s="5">
        <v>44432</v>
      </c>
      <c r="B161">
        <v>6.3490000000000002</v>
      </c>
      <c r="C161">
        <v>6.952</v>
      </c>
      <c r="D161">
        <v>5.8550000000000004</v>
      </c>
      <c r="E161">
        <v>5.9249999999999998</v>
      </c>
      <c r="F161">
        <v>558509.02399999998</v>
      </c>
      <c r="G161">
        <v>5.9249999999999998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-0.87237921604375679</v>
      </c>
      <c r="Q161">
        <f t="shared" ref="Q161" si="781">F161*P161</f>
        <v>-487231.66451048374</v>
      </c>
      <c r="R161">
        <f t="shared" ref="R161" si="782">R162+Q161</f>
        <v>-20464837.386234317</v>
      </c>
      <c r="S161">
        <f t="shared" ref="S161" si="783">R161/100000</f>
        <v>-204.64837386234316</v>
      </c>
      <c r="T161">
        <f t="shared" ref="T161" si="784">S161/1000</f>
        <v>-0.20464837386234316</v>
      </c>
    </row>
    <row r="162" spans="1:20" x14ac:dyDescent="0.25">
      <c r="A162" s="5">
        <v>44431</v>
      </c>
      <c r="B162">
        <v>5.9089999999999998</v>
      </c>
      <c r="C162">
        <v>6.49</v>
      </c>
      <c r="D162">
        <v>5.87</v>
      </c>
      <c r="E162">
        <v>6.3479999999999999</v>
      </c>
      <c r="F162">
        <v>447487.32299999997</v>
      </c>
      <c r="G162">
        <v>6.3479999999999999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0.54193548387096668</v>
      </c>
      <c r="Q162">
        <f t="shared" ref="Q162" si="786">F162*P162</f>
        <v>242509.25891612854</v>
      </c>
      <c r="R162">
        <f t="shared" ref="R162" si="787">R163+Q162</f>
        <v>-19977605.721723832</v>
      </c>
      <c r="S162">
        <f t="shared" ref="S162" si="788">R162/100000</f>
        <v>-199.77605721723833</v>
      </c>
      <c r="T162">
        <f t="shared" ref="T162" si="789">S162/1000</f>
        <v>-0.19977605721723835</v>
      </c>
    </row>
    <row r="163" spans="1:20" x14ac:dyDescent="0.25">
      <c r="A163" s="5">
        <v>44430</v>
      </c>
      <c r="B163">
        <v>5.8559999999999999</v>
      </c>
      <c r="C163">
        <v>5.931</v>
      </c>
      <c r="D163">
        <v>5.774</v>
      </c>
      <c r="E163">
        <v>5.8460000000000001</v>
      </c>
      <c r="F163">
        <v>36337.980000000003</v>
      </c>
      <c r="G163">
        <v>5.8460000000000001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-8.2802547770699994E-2</v>
      </c>
      <c r="Q163">
        <f t="shared" ref="Q163" si="791">F163*P163</f>
        <v>-3008.877324840741</v>
      </c>
      <c r="R163">
        <f t="shared" ref="R163" si="792">R164+Q163</f>
        <v>-20220114.980639961</v>
      </c>
      <c r="S163">
        <f t="shared" ref="S163" si="793">R163/100000</f>
        <v>-202.2011498063996</v>
      </c>
      <c r="T163">
        <f t="shared" ref="T163" si="794">S163/1000</f>
        <v>-0.20220114980639961</v>
      </c>
    </row>
    <row r="164" spans="1:20" x14ac:dyDescent="0.25">
      <c r="A164" s="5">
        <v>44429</v>
      </c>
      <c r="B164">
        <v>6.0439999999999996</v>
      </c>
      <c r="C164">
        <v>6.2839999999999998</v>
      </c>
      <c r="D164">
        <v>5.8049999999999997</v>
      </c>
      <c r="E164">
        <v>5.8659999999999997</v>
      </c>
      <c r="F164">
        <v>279550.90500000003</v>
      </c>
      <c r="G164">
        <v>5.8659999999999997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-0.74530271398747416</v>
      </c>
      <c r="Q164">
        <f t="shared" ref="Q164" si="796">F164*P164</f>
        <v>-208350.04819415457</v>
      </c>
      <c r="R164">
        <f t="shared" ref="R164" si="797">R165+Q164</f>
        <v>-20217106.103315119</v>
      </c>
      <c r="S164">
        <f t="shared" ref="S164" si="798">R164/100000</f>
        <v>-202.17106103315118</v>
      </c>
      <c r="T164">
        <f t="shared" ref="T164" si="799">S164/1000</f>
        <v>-0.20217106103315119</v>
      </c>
    </row>
    <row r="165" spans="1:20" x14ac:dyDescent="0.25">
      <c r="A165" s="5">
        <v>44428</v>
      </c>
      <c r="B165">
        <v>5.9989999999999997</v>
      </c>
      <c r="C165">
        <v>6.1289999999999996</v>
      </c>
      <c r="D165">
        <v>5.9290000000000003</v>
      </c>
      <c r="E165">
        <v>6.0460000000000003</v>
      </c>
      <c r="F165">
        <v>175532.989</v>
      </c>
      <c r="G165">
        <v>6.0460000000000003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0.17000000000000409</v>
      </c>
      <c r="Q165">
        <f t="shared" ref="Q165" si="801">F165*P165</f>
        <v>29840.608130000717</v>
      </c>
      <c r="R165">
        <f t="shared" ref="R165" si="802">R166+Q165</f>
        <v>-20008756.055120964</v>
      </c>
      <c r="S165">
        <f t="shared" ref="S165" si="803">R165/100000</f>
        <v>-200.08756055120963</v>
      </c>
      <c r="T165">
        <f t="shared" ref="T165" si="804">S165/1000</f>
        <v>-0.20008756055120963</v>
      </c>
    </row>
    <row r="166" spans="1:20" x14ac:dyDescent="0.25">
      <c r="A166" s="5">
        <v>44427</v>
      </c>
      <c r="B166">
        <v>5.7850000000000001</v>
      </c>
      <c r="C166">
        <v>6.06</v>
      </c>
      <c r="D166">
        <v>5.6310000000000002</v>
      </c>
      <c r="E166">
        <v>6.0110000000000001</v>
      </c>
      <c r="F166">
        <v>135190.66</v>
      </c>
      <c r="G166">
        <v>6.0110000000000001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0.77156177156177363</v>
      </c>
      <c r="Q166">
        <f t="shared" ref="Q166" si="806">F166*P166</f>
        <v>104307.94512820541</v>
      </c>
      <c r="R166">
        <f t="shared" ref="R166" si="807">R167+Q166</f>
        <v>-20038596.663250964</v>
      </c>
      <c r="S166">
        <f t="shared" ref="S166" si="808">R166/100000</f>
        <v>-200.38596663250965</v>
      </c>
      <c r="T166">
        <f t="shared" ref="T166" si="809">S166/1000</f>
        <v>-0.20038596663250965</v>
      </c>
    </row>
    <row r="167" spans="1:20" x14ac:dyDescent="0.25">
      <c r="A167" s="5">
        <v>44426</v>
      </c>
      <c r="B167">
        <v>5.665</v>
      </c>
      <c r="C167">
        <v>5.9669999999999996</v>
      </c>
      <c r="D167">
        <v>5.5819999999999999</v>
      </c>
      <c r="E167">
        <v>5.8280000000000003</v>
      </c>
      <c r="F167">
        <v>167383.755</v>
      </c>
      <c r="G167">
        <v>5.8280000000000003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0.2779220779220809</v>
      </c>
      <c r="Q167">
        <f t="shared" ref="Q167" si="811">F167*P167</f>
        <v>46519.641000000498</v>
      </c>
      <c r="R167">
        <f t="shared" ref="R167" si="812">R168+Q167</f>
        <v>-20142904.60837917</v>
      </c>
      <c r="S167">
        <f t="shared" ref="S167" si="813">R167/100000</f>
        <v>-201.42904608379169</v>
      </c>
      <c r="T167">
        <f t="shared" ref="T167" si="814">S167/1000</f>
        <v>-0.2014290460837917</v>
      </c>
    </row>
    <row r="168" spans="1:20" x14ac:dyDescent="0.25">
      <c r="A168" s="5">
        <v>44425</v>
      </c>
      <c r="B168">
        <v>6.0469999999999997</v>
      </c>
      <c r="C168">
        <v>6.22</v>
      </c>
      <c r="D168">
        <v>5.649</v>
      </c>
      <c r="E168">
        <v>5.6740000000000004</v>
      </c>
      <c r="F168">
        <v>235850.25899999999</v>
      </c>
      <c r="G168">
        <v>5.6740000000000004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-0.91243432574430694</v>
      </c>
      <c r="Q168">
        <f t="shared" ref="Q168" si="816">F168*P168</f>
        <v>-215197.87204728514</v>
      </c>
      <c r="R168">
        <f t="shared" ref="R168" si="817">R169+Q168</f>
        <v>-20189424.249379169</v>
      </c>
      <c r="S168">
        <f t="shared" ref="S168" si="818">R168/100000</f>
        <v>-201.89424249379169</v>
      </c>
      <c r="T168">
        <f t="shared" ref="T168" si="819">S168/1000</f>
        <v>-0.2018942424937917</v>
      </c>
    </row>
    <row r="169" spans="1:20" x14ac:dyDescent="0.25">
      <c r="A169" s="5">
        <v>44424</v>
      </c>
      <c r="B169">
        <v>6.5519999999999996</v>
      </c>
      <c r="C169">
        <v>6.5890000000000004</v>
      </c>
      <c r="D169">
        <v>6</v>
      </c>
      <c r="E169">
        <v>6.04</v>
      </c>
      <c r="F169">
        <v>284898.27899999998</v>
      </c>
      <c r="G169">
        <v>6.04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-0.86417657045840401</v>
      </c>
      <c r="Q169">
        <f t="shared" ref="Q169" si="821">F169*P169</f>
        <v>-246202.41767572152</v>
      </c>
      <c r="R169">
        <f t="shared" ref="R169" si="822">R170+Q169</f>
        <v>-19974226.377331883</v>
      </c>
      <c r="S169">
        <f t="shared" ref="S169" si="823">R169/100000</f>
        <v>-199.74226377331883</v>
      </c>
      <c r="T169">
        <f t="shared" ref="T169" si="824">S169/1000</f>
        <v>-0.19974226377331883</v>
      </c>
    </row>
    <row r="170" spans="1:20" x14ac:dyDescent="0.25">
      <c r="A170" s="5">
        <v>44423</v>
      </c>
      <c r="B170">
        <v>6.1470000000000002</v>
      </c>
      <c r="C170">
        <v>6.7</v>
      </c>
      <c r="D170">
        <v>6</v>
      </c>
      <c r="E170">
        <v>6.5410000000000004</v>
      </c>
      <c r="F170">
        <v>381193.87699999998</v>
      </c>
      <c r="G170">
        <v>6.5410000000000004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0.54571428571428637</v>
      </c>
      <c r="Q170">
        <f t="shared" ref="Q170" si="826">F170*P170</f>
        <v>208022.94430571451</v>
      </c>
      <c r="R170">
        <f t="shared" ref="R170" si="827">R171+Q170</f>
        <v>-19728023.95965616</v>
      </c>
      <c r="S170">
        <f t="shared" ref="S170" si="828">R170/100000</f>
        <v>-197.28023959656161</v>
      </c>
      <c r="T170">
        <f t="shared" ref="T170" si="829">S170/1000</f>
        <v>-0.1972802395965616</v>
      </c>
    </row>
    <row r="171" spans="1:20" x14ac:dyDescent="0.25">
      <c r="A171" s="5">
        <v>44422</v>
      </c>
      <c r="B171">
        <v>6.2320000000000002</v>
      </c>
      <c r="C171">
        <v>6.28</v>
      </c>
      <c r="D171">
        <v>5.8609999999999998</v>
      </c>
      <c r="E171">
        <v>6.1470000000000002</v>
      </c>
      <c r="F171">
        <v>198033.67800000001</v>
      </c>
      <c r="G171">
        <v>6.1470000000000002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0.36515513126491717</v>
      </c>
      <c r="Q171">
        <f t="shared" ref="Q171" si="831">F171*P171</f>
        <v>72313.013684964346</v>
      </c>
      <c r="R171">
        <f t="shared" ref="R171" si="832">R172+Q171</f>
        <v>-19936046.903961875</v>
      </c>
      <c r="S171">
        <f t="shared" ref="S171" si="833">R171/100000</f>
        <v>-199.36046903961875</v>
      </c>
      <c r="T171">
        <f t="shared" ref="T171" si="834">S171/1000</f>
        <v>-0.19936046903961874</v>
      </c>
    </row>
    <row r="172" spans="1:20" x14ac:dyDescent="0.25">
      <c r="A172" s="5">
        <v>44421</v>
      </c>
      <c r="B172">
        <v>5.8090000000000002</v>
      </c>
      <c r="C172">
        <v>6.5</v>
      </c>
      <c r="D172">
        <v>5.7809999999999997</v>
      </c>
      <c r="E172">
        <v>6.2779999999999996</v>
      </c>
      <c r="F172">
        <v>380584.24200000003</v>
      </c>
      <c r="G172">
        <v>6.2779999999999996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0.38247566063977656</v>
      </c>
      <c r="Q172">
        <f t="shared" ref="Q172" si="836">F172*P172</f>
        <v>145564.20938803861</v>
      </c>
      <c r="R172">
        <f t="shared" ref="R172" si="837">R173+Q172</f>
        <v>-20008359.91764684</v>
      </c>
      <c r="S172">
        <f t="shared" ref="S172" si="838">R172/100000</f>
        <v>-200.0835991764684</v>
      </c>
      <c r="T172">
        <f t="shared" ref="T172" si="839">S172/1000</f>
        <v>-0.2000835991764684</v>
      </c>
    </row>
    <row r="173" spans="1:20" x14ac:dyDescent="0.25">
      <c r="A173" s="5">
        <v>44420</v>
      </c>
      <c r="B173">
        <v>5.9390000000000001</v>
      </c>
      <c r="C173">
        <v>6.15</v>
      </c>
      <c r="D173">
        <v>5.7</v>
      </c>
      <c r="E173">
        <v>5.8010000000000002</v>
      </c>
      <c r="F173">
        <v>355750.25</v>
      </c>
      <c r="G173">
        <v>5.8010000000000002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-0.55111111111111133</v>
      </c>
      <c r="Q173">
        <f t="shared" ref="Q173" si="841">F173*P173</f>
        <v>-196057.91555555564</v>
      </c>
      <c r="R173">
        <f t="shared" ref="R173" si="842">R174+Q173</f>
        <v>-20153924.12703488</v>
      </c>
      <c r="S173">
        <f t="shared" ref="S173" si="843">R173/100000</f>
        <v>-201.53924127034881</v>
      </c>
      <c r="T173">
        <f t="shared" ref="T173" si="844">S173/1000</f>
        <v>-0.20153924127034881</v>
      </c>
    </row>
    <row r="174" spans="1:20" x14ac:dyDescent="0.25">
      <c r="A174" s="5">
        <v>44419</v>
      </c>
      <c r="B174">
        <v>6.1230000000000002</v>
      </c>
      <c r="C174">
        <v>6.5019999999999998</v>
      </c>
      <c r="D174">
        <v>5.8860000000000001</v>
      </c>
      <c r="E174">
        <v>5.9390000000000001</v>
      </c>
      <c r="F174">
        <v>476022.43099999998</v>
      </c>
      <c r="G174">
        <v>5.9390000000000001</v>
      </c>
      <c r="L174" t="s">
        <v>7</v>
      </c>
      <c r="M174" t="s">
        <v>7</v>
      </c>
      <c r="N174" t="s">
        <v>8</v>
      </c>
      <c r="P174">
        <f t="shared" ref="P174" si="845">IF(C174=D174,0,((E174-D174)-(C174-E174))/(C174-D174))</f>
        <v>-0.82792207792207806</v>
      </c>
      <c r="Q174">
        <f t="shared" ref="Q174" si="846">F174*P174</f>
        <v>-394109.48021103902</v>
      </c>
      <c r="R174">
        <f t="shared" ref="R174" si="847">R175+Q174</f>
        <v>-19957866.211479325</v>
      </c>
      <c r="S174">
        <f t="shared" ref="S174" si="848">R174/100000</f>
        <v>-199.57866211479325</v>
      </c>
      <c r="T174">
        <f t="shared" ref="T174" si="849">S174/1000</f>
        <v>-0.19957866211479325</v>
      </c>
    </row>
    <row r="175" spans="1:20" x14ac:dyDescent="0.25">
      <c r="A175" s="5">
        <v>44418</v>
      </c>
      <c r="B175">
        <v>6.5570000000000004</v>
      </c>
      <c r="C175">
        <v>6.7519999999999998</v>
      </c>
      <c r="D175">
        <v>6.0110000000000001</v>
      </c>
      <c r="E175">
        <v>6.1219999999999999</v>
      </c>
      <c r="F175">
        <v>801359.09699999995</v>
      </c>
      <c r="G175">
        <v>6.1219999999999999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-0.70040485829959565</v>
      </c>
      <c r="Q175">
        <f t="shared" ref="Q175" si="851">F175*P175</f>
        <v>-561275.80478137685</v>
      </c>
      <c r="R175">
        <f t="shared" ref="R175" si="852">R176+Q175</f>
        <v>-19563756.731268287</v>
      </c>
      <c r="S175">
        <f t="shared" ref="S175" si="853">R175/100000</f>
        <v>-195.63756731268288</v>
      </c>
      <c r="T175">
        <f t="shared" ref="T175" si="854">S175/1000</f>
        <v>-0.19563756731268286</v>
      </c>
    </row>
    <row r="176" spans="1:20" x14ac:dyDescent="0.25">
      <c r="A176" s="5">
        <v>44417</v>
      </c>
      <c r="B176">
        <v>4.9889999999999999</v>
      </c>
      <c r="C176">
        <v>7.95</v>
      </c>
      <c r="D176">
        <v>4.8959999999999999</v>
      </c>
      <c r="E176">
        <v>6.57</v>
      </c>
      <c r="F176">
        <v>4556941.0860000001</v>
      </c>
      <c r="G176">
        <v>6.57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9.6267190569744754E-2</v>
      </c>
      <c r="Q176">
        <f t="shared" ref="Q176" si="856">F176*P176</f>
        <v>438683.91594106163</v>
      </c>
      <c r="R176">
        <f t="shared" ref="R176" si="857">R177+Q176</f>
        <v>-19002480.926486909</v>
      </c>
      <c r="S176">
        <f t="shared" ref="S176" si="858">R176/100000</f>
        <v>-190.02480926486911</v>
      </c>
      <c r="T176">
        <f t="shared" ref="T176" si="859">S176/1000</f>
        <v>-0.19002480926486912</v>
      </c>
    </row>
    <row r="177" spans="1:20" x14ac:dyDescent="0.25">
      <c r="A177" s="5">
        <v>44416</v>
      </c>
      <c r="B177">
        <v>5.0990000000000002</v>
      </c>
      <c r="C177">
        <v>5.2880000000000003</v>
      </c>
      <c r="D177">
        <v>4.851</v>
      </c>
      <c r="E177">
        <v>4.9770000000000003</v>
      </c>
      <c r="F177">
        <v>414075.99400000001</v>
      </c>
      <c r="G177">
        <v>4.9770000000000003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-0.42334096109839703</v>
      </c>
      <c r="Q177">
        <f t="shared" ref="Q177" si="861">F177*P177</f>
        <v>-175295.32926773408</v>
      </c>
      <c r="R177">
        <f t="shared" ref="R177" si="862">R178+Q177</f>
        <v>-19441164.842427973</v>
      </c>
      <c r="S177">
        <f t="shared" ref="S177" si="863">R177/100000</f>
        <v>-194.41164842427972</v>
      </c>
      <c r="T177">
        <f t="shared" ref="T177" si="864">S177/1000</f>
        <v>-0.19441164842427971</v>
      </c>
    </row>
    <row r="178" spans="1:20" x14ac:dyDescent="0.25">
      <c r="A178" s="5">
        <v>44415</v>
      </c>
      <c r="B178">
        <v>5.2549999999999999</v>
      </c>
      <c r="C178">
        <v>5.4470000000000001</v>
      </c>
      <c r="D178">
        <v>5.0030000000000001</v>
      </c>
      <c r="E178">
        <v>5.0990000000000002</v>
      </c>
      <c r="F178">
        <v>1254896.4909999999</v>
      </c>
      <c r="G178">
        <v>5.0990000000000002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-0.5675675675675671</v>
      </c>
      <c r="Q178">
        <f t="shared" ref="Q178" si="866">F178*P178</f>
        <v>-712238.54894594534</v>
      </c>
      <c r="R178">
        <f t="shared" ref="R178" si="867">R179+Q178</f>
        <v>-19265869.51316024</v>
      </c>
      <c r="S178">
        <f t="shared" ref="S178" si="868">R178/100000</f>
        <v>-192.6586951316024</v>
      </c>
      <c r="T178">
        <f t="shared" ref="T178" si="869">S178/1000</f>
        <v>-0.19265869513160239</v>
      </c>
    </row>
    <row r="179" spans="1:20" x14ac:dyDescent="0.25">
      <c r="A179" s="5">
        <v>44414</v>
      </c>
      <c r="B179">
        <v>5.0629999999999997</v>
      </c>
      <c r="C179">
        <v>5.32</v>
      </c>
      <c r="D179">
        <v>4.7839999999999998</v>
      </c>
      <c r="E179">
        <v>5.2549999999999999</v>
      </c>
      <c r="F179">
        <v>505076.41700000002</v>
      </c>
      <c r="G179">
        <v>5.2549999999999999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0.75746268656716298</v>
      </c>
      <c r="Q179">
        <f t="shared" ref="Q179" si="871">F179*P179</f>
        <v>382576.53974253673</v>
      </c>
      <c r="R179">
        <f t="shared" ref="R179" si="872">R180+Q179</f>
        <v>-18553630.964214295</v>
      </c>
      <c r="S179">
        <f t="shared" ref="S179" si="873">R179/100000</f>
        <v>-185.53630964214295</v>
      </c>
      <c r="T179">
        <f t="shared" ref="T179" si="874">S179/1000</f>
        <v>-0.18553630964214296</v>
      </c>
    </row>
    <row r="180" spans="1:20" x14ac:dyDescent="0.25">
      <c r="A180" s="5">
        <v>44413</v>
      </c>
      <c r="B180">
        <v>4.5090000000000003</v>
      </c>
      <c r="C180">
        <v>5.3330000000000002</v>
      </c>
      <c r="D180">
        <v>4.4370000000000003</v>
      </c>
      <c r="E180">
        <v>5.0540000000000003</v>
      </c>
      <c r="F180">
        <v>801192.80599999998</v>
      </c>
      <c r="G180">
        <v>5.0540000000000003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0.37723214285714296</v>
      </c>
      <c r="Q180">
        <f t="shared" ref="Q180" si="876">F180*P180</f>
        <v>302235.67904910725</v>
      </c>
      <c r="R180">
        <f t="shared" ref="R180" si="877">R181+Q180</f>
        <v>-18936207.503956832</v>
      </c>
      <c r="S180">
        <f t="shared" ref="S180" si="878">R180/100000</f>
        <v>-189.36207503956831</v>
      </c>
      <c r="T180">
        <f t="shared" ref="T180" si="879">S180/1000</f>
        <v>-0.18936207503956831</v>
      </c>
    </row>
    <row r="181" spans="1:20" x14ac:dyDescent="0.25">
      <c r="A181" s="5">
        <v>44412</v>
      </c>
      <c r="B181">
        <v>4.4480000000000004</v>
      </c>
      <c r="C181">
        <v>4.59</v>
      </c>
      <c r="D181">
        <v>4.2889999999999997</v>
      </c>
      <c r="E181">
        <v>4.5049999999999999</v>
      </c>
      <c r="F181">
        <v>259819.685</v>
      </c>
      <c r="G181">
        <v>4.5049999999999999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0.43521594684385434</v>
      </c>
      <c r="Q181">
        <f t="shared" ref="Q181" si="881">F181*P181</f>
        <v>113077.67021594697</v>
      </c>
      <c r="R181">
        <f t="shared" ref="R181" si="882">R182+Q181</f>
        <v>-19238443.18300594</v>
      </c>
      <c r="S181">
        <f t="shared" ref="S181" si="883">R181/100000</f>
        <v>-192.38443183005941</v>
      </c>
      <c r="T181">
        <f t="shared" ref="T181" si="884">S181/1000</f>
        <v>-0.1923844318300594</v>
      </c>
    </row>
    <row r="182" spans="1:20" x14ac:dyDescent="0.25">
      <c r="A182" s="5">
        <v>44411</v>
      </c>
      <c r="B182">
        <v>4.4429999999999996</v>
      </c>
      <c r="C182">
        <v>4.7</v>
      </c>
      <c r="D182">
        <v>4.3129999999999997</v>
      </c>
      <c r="E182">
        <v>4.4610000000000003</v>
      </c>
      <c r="F182">
        <v>385209.62099999998</v>
      </c>
      <c r="G182">
        <v>4.4610000000000003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-0.23514211886304703</v>
      </c>
      <c r="Q182">
        <f t="shared" ref="Q182" si="886">F182*P182</f>
        <v>-90579.006488371291</v>
      </c>
      <c r="R182">
        <f t="shared" ref="R182" si="887">R183+Q182</f>
        <v>-19351520.853221886</v>
      </c>
      <c r="S182">
        <f t="shared" ref="S182" si="888">R182/100000</f>
        <v>-193.51520853221885</v>
      </c>
      <c r="T182">
        <f t="shared" ref="T182" si="889">S182/1000</f>
        <v>-0.19351520853221885</v>
      </c>
    </row>
    <row r="183" spans="1:20" x14ac:dyDescent="0.25">
      <c r="A183" s="5">
        <v>44410</v>
      </c>
      <c r="B183">
        <v>4.2439999999999998</v>
      </c>
      <c r="C183">
        <v>4.49</v>
      </c>
      <c r="D183">
        <v>4.1749999999999998</v>
      </c>
      <c r="E183">
        <v>4.4429999999999996</v>
      </c>
      <c r="F183">
        <v>185495.93299999999</v>
      </c>
      <c r="G183">
        <v>4.4429999999999996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0.70158730158729821</v>
      </c>
      <c r="Q183">
        <f t="shared" ref="Q183" si="891">F183*P183</f>
        <v>130141.59108888825</v>
      </c>
      <c r="R183">
        <f t="shared" ref="R183" si="892">R184+Q183</f>
        <v>-19260941.846733514</v>
      </c>
      <c r="S183">
        <f t="shared" ref="S183" si="893">R183/100000</f>
        <v>-192.60941846733513</v>
      </c>
      <c r="T183">
        <f t="shared" ref="T183" si="894">S183/1000</f>
        <v>-0.19260941846733512</v>
      </c>
    </row>
    <row r="184" spans="1:20" x14ac:dyDescent="0.25">
      <c r="A184" s="5">
        <v>44409</v>
      </c>
      <c r="B184">
        <v>4.3579999999999997</v>
      </c>
      <c r="C184">
        <v>4.5</v>
      </c>
      <c r="D184">
        <v>4.2039999999999997</v>
      </c>
      <c r="E184">
        <v>4.2380000000000004</v>
      </c>
      <c r="F184">
        <v>208476.01500000001</v>
      </c>
      <c r="G184">
        <v>4.2380000000000004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-0.77027027027026573</v>
      </c>
      <c r="Q184">
        <f t="shared" ref="Q184" si="896">F184*P184</f>
        <v>-160582.87641891799</v>
      </c>
      <c r="R184">
        <f t="shared" ref="R184" si="897">R185+Q184</f>
        <v>-19391083.437822402</v>
      </c>
      <c r="S184">
        <f t="shared" ref="S184" si="898">R184/100000</f>
        <v>-193.91083437822402</v>
      </c>
      <c r="T184">
        <f t="shared" ref="T184" si="899">S184/1000</f>
        <v>-0.19391083437822401</v>
      </c>
    </row>
    <row r="185" spans="1:20" x14ac:dyDescent="0.25">
      <c r="A185" s="5">
        <v>44408</v>
      </c>
      <c r="B185">
        <v>4.2549999999999999</v>
      </c>
      <c r="C185">
        <v>4.5999999999999996</v>
      </c>
      <c r="D185">
        <v>4.0819999999999999</v>
      </c>
      <c r="E185">
        <v>4.3620000000000001</v>
      </c>
      <c r="F185">
        <v>358028.78899999999</v>
      </c>
      <c r="G185">
        <v>4.3620000000000001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8.1081081081082473E-2</v>
      </c>
      <c r="Q185">
        <f t="shared" ref="Q185" si="901">F185*P185</f>
        <v>29029.361270270769</v>
      </c>
      <c r="R185">
        <f t="shared" ref="R185" si="902">R186+Q185</f>
        <v>-19230500.561403483</v>
      </c>
      <c r="S185">
        <f t="shared" ref="S185" si="903">R185/100000</f>
        <v>-192.30500561403483</v>
      </c>
      <c r="T185">
        <f t="shared" ref="T185" si="904">S185/1000</f>
        <v>-0.19230500561403482</v>
      </c>
    </row>
    <row r="186" spans="1:20" x14ac:dyDescent="0.25">
      <c r="A186" s="5">
        <v>44407</v>
      </c>
      <c r="B186">
        <v>4.1870000000000003</v>
      </c>
      <c r="C186">
        <v>4.3289999999999997</v>
      </c>
      <c r="D186">
        <v>4.0140000000000002</v>
      </c>
      <c r="E186">
        <v>4.2389999999999999</v>
      </c>
      <c r="F186">
        <v>209415.193</v>
      </c>
      <c r="G186">
        <v>4.2389999999999999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0.42857142857142855</v>
      </c>
      <c r="Q186">
        <f t="shared" ref="Q186" si="906">F186*P186</f>
        <v>89749.368428571426</v>
      </c>
      <c r="R186">
        <f t="shared" ref="R186" si="907">R187+Q186</f>
        <v>-19259529.922673754</v>
      </c>
      <c r="S186">
        <f t="shared" ref="S186" si="908">R186/100000</f>
        <v>-192.59529922673755</v>
      </c>
      <c r="T186">
        <f t="shared" ref="T186" si="909">S186/1000</f>
        <v>-0.19259529922673754</v>
      </c>
    </row>
    <row r="187" spans="1:20" x14ac:dyDescent="0.25">
      <c r="A187" s="5">
        <v>44406</v>
      </c>
      <c r="B187">
        <v>4.2270000000000003</v>
      </c>
      <c r="C187">
        <v>4.2690000000000001</v>
      </c>
      <c r="D187">
        <v>4.1120000000000001</v>
      </c>
      <c r="E187">
        <v>4.1980000000000004</v>
      </c>
      <c r="F187">
        <v>153295.28</v>
      </c>
      <c r="G187">
        <v>4.1980000000000004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9.5541401273888951E-2</v>
      </c>
      <c r="Q187">
        <f t="shared" ref="Q187" si="911">F187*P187</f>
        <v>14646.045859873164</v>
      </c>
      <c r="R187">
        <f t="shared" ref="R187" si="912">R188+Q187</f>
        <v>-19349279.291102327</v>
      </c>
      <c r="S187">
        <f t="shared" ref="S187" si="913">R187/100000</f>
        <v>-193.49279291102329</v>
      </c>
      <c r="T187">
        <f t="shared" ref="T187" si="914">S187/1000</f>
        <v>-0.19349279291102328</v>
      </c>
    </row>
    <row r="188" spans="1:20" x14ac:dyDescent="0.25">
      <c r="A188" s="5">
        <v>44405</v>
      </c>
      <c r="B188">
        <v>4.2</v>
      </c>
      <c r="C188">
        <v>4.3</v>
      </c>
      <c r="D188">
        <v>4.0730000000000004</v>
      </c>
      <c r="E188">
        <v>4.2220000000000004</v>
      </c>
      <c r="F188">
        <v>146460.976</v>
      </c>
      <c r="G188">
        <v>4.2220000000000004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0.31277533039647931</v>
      </c>
      <c r="Q188">
        <f t="shared" ref="Q188" si="916">F188*P188</f>
        <v>45809.380158590822</v>
      </c>
      <c r="R188">
        <f t="shared" ref="R188" si="917">R189+Q188</f>
        <v>-19363925.336962201</v>
      </c>
      <c r="S188">
        <f t="shared" ref="S188" si="918">R188/100000</f>
        <v>-193.639253369622</v>
      </c>
      <c r="T188">
        <f t="shared" ref="T188" si="919">S188/1000</f>
        <v>-0.19363925336962201</v>
      </c>
    </row>
    <row r="189" spans="1:20" x14ac:dyDescent="0.25">
      <c r="A189" s="5">
        <v>44404</v>
      </c>
      <c r="B189">
        <v>4.1929999999999996</v>
      </c>
      <c r="C189">
        <v>4.2759999999999998</v>
      </c>
      <c r="D189">
        <v>4</v>
      </c>
      <c r="E189">
        <v>4.2</v>
      </c>
      <c r="F189">
        <v>282092.75300000003</v>
      </c>
      <c r="G189">
        <v>4.2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0.44927536231884291</v>
      </c>
      <c r="Q189">
        <f t="shared" ref="Q189" si="921">F189*P189</f>
        <v>126737.32381159488</v>
      </c>
      <c r="R189">
        <f t="shared" ref="R189" si="922">R190+Q189</f>
        <v>-19409734.717120793</v>
      </c>
      <c r="S189">
        <f t="shared" ref="S189" si="923">R189/100000</f>
        <v>-194.09734717120793</v>
      </c>
      <c r="T189">
        <f t="shared" ref="T189" si="924">S189/1000</f>
        <v>-0.19409734717120794</v>
      </c>
    </row>
    <row r="190" spans="1:20" x14ac:dyDescent="0.25">
      <c r="A190" s="5">
        <v>44403</v>
      </c>
      <c r="B190">
        <v>4.4530000000000003</v>
      </c>
      <c r="C190">
        <v>4.694</v>
      </c>
      <c r="D190">
        <v>4.0949999999999998</v>
      </c>
      <c r="E190">
        <v>4.2</v>
      </c>
      <c r="F190">
        <v>443229.674</v>
      </c>
      <c r="G190">
        <v>4.2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-0.64941569282136768</v>
      </c>
      <c r="Q190">
        <f t="shared" ref="Q190" si="926">F190*P190</f>
        <v>-287840.30581969896</v>
      </c>
      <c r="R190">
        <f t="shared" ref="R190" si="927">R191+Q190</f>
        <v>-19536472.040932387</v>
      </c>
      <c r="S190">
        <f t="shared" ref="S190" si="928">R190/100000</f>
        <v>-195.36472040932387</v>
      </c>
      <c r="T190">
        <f t="shared" ref="T190" si="929">S190/1000</f>
        <v>-0.19536472040932387</v>
      </c>
    </row>
    <row r="191" spans="1:20" x14ac:dyDescent="0.25">
      <c r="A191" s="5">
        <v>44402</v>
      </c>
      <c r="B191">
        <v>4.4160000000000004</v>
      </c>
      <c r="C191">
        <v>4.4809999999999999</v>
      </c>
      <c r="D191">
        <v>4.0140000000000002</v>
      </c>
      <c r="E191">
        <v>4.45</v>
      </c>
      <c r="F191">
        <v>507577.18</v>
      </c>
      <c r="G191">
        <v>4.45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0.86723768736616824</v>
      </c>
      <c r="Q191">
        <f t="shared" ref="Q191" si="931">F191*P191</f>
        <v>440190.05974304129</v>
      </c>
      <c r="R191">
        <f t="shared" ref="R191" si="932">R192+Q191</f>
        <v>-19248631.735112689</v>
      </c>
      <c r="S191">
        <f t="shared" ref="S191" si="933">R191/100000</f>
        <v>-192.4863173511269</v>
      </c>
      <c r="T191">
        <f t="shared" ref="T191:T197" si="934">S191/1000</f>
        <v>-0.1924863173511269</v>
      </c>
    </row>
    <row r="192" spans="1:20" x14ac:dyDescent="0.25">
      <c r="A192" s="5">
        <v>44401</v>
      </c>
      <c r="B192">
        <v>4.3230000000000004</v>
      </c>
      <c r="C192">
        <v>4.6399999999999997</v>
      </c>
      <c r="D192">
        <v>4.242</v>
      </c>
      <c r="E192">
        <v>4.4160000000000004</v>
      </c>
      <c r="F192">
        <v>332243.39199999999</v>
      </c>
      <c r="G192">
        <v>4.4160000000000004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-0.125628140703515</v>
      </c>
      <c r="Q192">
        <f t="shared" ref="Q192" si="936">F192*P192</f>
        <v>-41739.119597989091</v>
      </c>
      <c r="R192">
        <f t="shared" ref="R192" si="937">R193+Q192</f>
        <v>-19688821.794855732</v>
      </c>
      <c r="S192">
        <f t="shared" ref="S192" si="938">R192/100000</f>
        <v>-196.88821794855733</v>
      </c>
      <c r="T192">
        <f t="shared" si="934"/>
        <v>-0.19688821794855732</v>
      </c>
    </row>
    <row r="193" spans="1:20" x14ac:dyDescent="0.25">
      <c r="A193" s="5">
        <v>44400</v>
      </c>
      <c r="B193">
        <v>4.2919999999999998</v>
      </c>
      <c r="C193">
        <v>4.38</v>
      </c>
      <c r="D193">
        <v>3.964</v>
      </c>
      <c r="E193">
        <v>4.3230000000000004</v>
      </c>
      <c r="F193">
        <v>321601.59899999999</v>
      </c>
      <c r="G193">
        <v>4.3230000000000004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0.72596153846154088</v>
      </c>
      <c r="Q193">
        <f t="shared" ref="Q193" si="940">F193*P193</f>
        <v>233470.39158173153</v>
      </c>
      <c r="R193">
        <f t="shared" ref="R193" si="941">R194+Q193</f>
        <v>-19647082.675257742</v>
      </c>
      <c r="S193">
        <f t="shared" ref="S193" si="942">R193/100000</f>
        <v>-196.47082675257744</v>
      </c>
      <c r="T193">
        <f t="shared" si="934"/>
        <v>-0.19647082675257743</v>
      </c>
    </row>
    <row r="194" spans="1:20" x14ac:dyDescent="0.25">
      <c r="A194" s="5">
        <v>44399</v>
      </c>
      <c r="B194">
        <v>3.85</v>
      </c>
      <c r="C194">
        <v>4.3079999999999998</v>
      </c>
      <c r="D194">
        <v>3.8180000000000001</v>
      </c>
      <c r="E194">
        <v>4.29</v>
      </c>
      <c r="F194">
        <v>428612.88400000002</v>
      </c>
      <c r="G194">
        <v>4.29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0.92653061224489874</v>
      </c>
      <c r="Q194">
        <f t="shared" ref="Q194" si="944">F194*P194</f>
        <v>397122.95782857179</v>
      </c>
      <c r="R194">
        <f t="shared" ref="R194" si="945">R195+Q194</f>
        <v>-19880553.066839475</v>
      </c>
      <c r="S194">
        <f t="shared" ref="S194" si="946">R194/100000</f>
        <v>-198.80553066839474</v>
      </c>
      <c r="T194">
        <f t="shared" si="934"/>
        <v>-0.19880553066839474</v>
      </c>
    </row>
    <row r="195" spans="1:20" x14ac:dyDescent="0.25">
      <c r="A195" s="5">
        <v>44398</v>
      </c>
      <c r="B195">
        <v>3.47</v>
      </c>
      <c r="C195">
        <v>4.05</v>
      </c>
      <c r="D195">
        <v>3.4</v>
      </c>
      <c r="E195">
        <v>3.84</v>
      </c>
      <c r="F195">
        <v>424624.83899999998</v>
      </c>
      <c r="G195">
        <v>3.84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0.35384615384615387</v>
      </c>
      <c r="Q195">
        <f t="shared" ref="Q195" si="948">F195*P195</f>
        <v>150251.8661076923</v>
      </c>
      <c r="R195">
        <f t="shared" ref="R195" si="949">R196+Q195</f>
        <v>-20277676.024668045</v>
      </c>
      <c r="S195">
        <f t="shared" ref="S195" si="950">R195/100000</f>
        <v>-202.77676024668045</v>
      </c>
      <c r="T195">
        <f t="shared" si="934"/>
        <v>-0.20277676024668045</v>
      </c>
    </row>
    <row r="196" spans="1:20" x14ac:dyDescent="0.25">
      <c r="A196" s="5">
        <v>44397</v>
      </c>
      <c r="B196">
        <v>3.839</v>
      </c>
      <c r="C196">
        <v>3.984</v>
      </c>
      <c r="D196">
        <v>3.4159999999999999</v>
      </c>
      <c r="E196">
        <v>3.48</v>
      </c>
      <c r="F196">
        <v>251725.81</v>
      </c>
      <c r="G196">
        <v>3.48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-0.77464788732394352</v>
      </c>
      <c r="Q196">
        <f t="shared" ref="Q196" si="952">F196*P196</f>
        <v>-194998.86690140842</v>
      </c>
      <c r="R196">
        <f t="shared" ref="R196" si="953">R197+Q196</f>
        <v>-20427927.890775736</v>
      </c>
      <c r="S196">
        <f t="shared" ref="S196" si="954">R196/100000</f>
        <v>-204.27927890775737</v>
      </c>
      <c r="T196">
        <f t="shared" si="934"/>
        <v>-0.20427927890775738</v>
      </c>
    </row>
    <row r="197" spans="1:20" x14ac:dyDescent="0.25">
      <c r="A197" s="5">
        <v>44396</v>
      </c>
      <c r="B197">
        <v>3.9140000000000001</v>
      </c>
      <c r="C197">
        <v>4.0960000000000001</v>
      </c>
      <c r="D197">
        <v>3.7410000000000001</v>
      </c>
      <c r="E197">
        <v>3.83</v>
      </c>
      <c r="F197">
        <v>312681.37099999998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-0.49859154929577482</v>
      </c>
      <c r="Q197">
        <f t="shared" ref="Q197" si="956">F197*P197</f>
        <v>-155900.28920281696</v>
      </c>
      <c r="R197">
        <f t="shared" ref="R197" si="957">R198+Q197</f>
        <v>-20232929.023874328</v>
      </c>
      <c r="S197">
        <f t="shared" ref="S197" si="958">R197/100000</f>
        <v>-202.32929023874328</v>
      </c>
      <c r="T197">
        <f t="shared" si="934"/>
        <v>-0.20232929023874327</v>
      </c>
    </row>
    <row r="198" spans="1:20" x14ac:dyDescent="0.25">
      <c r="A198" s="5">
        <v>44395</v>
      </c>
      <c r="B198">
        <v>3.9079999999999999</v>
      </c>
      <c r="C198">
        <v>4.1680000000000001</v>
      </c>
      <c r="D198">
        <v>3.7309999999999999</v>
      </c>
      <c r="E198">
        <v>3.915</v>
      </c>
      <c r="F198">
        <v>292583.39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-0.15789473684210506</v>
      </c>
      <c r="Q198">
        <f t="shared" ref="Q198:Q261" si="960">F198*P198</f>
        <v>-46197.377368420995</v>
      </c>
      <c r="R198">
        <f t="shared" ref="R198:R261" si="961">R199+Q198</f>
        <v>-20077028.734671511</v>
      </c>
      <c r="S198">
        <f t="shared" ref="S198:S261" si="962">R198/100000</f>
        <v>-200.77028734671509</v>
      </c>
      <c r="T198">
        <f t="shared" ref="T198:T261" si="963">S198/1000</f>
        <v>-0.20077028734671509</v>
      </c>
    </row>
    <row r="199" spans="1:20" x14ac:dyDescent="0.25">
      <c r="A199" s="5">
        <v>44394</v>
      </c>
      <c r="B199">
        <v>3.9249999999999998</v>
      </c>
      <c r="C199">
        <v>4.117</v>
      </c>
      <c r="D199">
        <v>3.8</v>
      </c>
      <c r="E199">
        <v>3.9089999999999998</v>
      </c>
      <c r="F199">
        <v>175050.26</v>
      </c>
      <c r="G199">
        <v>0</v>
      </c>
      <c r="L199" t="s">
        <v>8</v>
      </c>
      <c r="M199" t="s">
        <v>7</v>
      </c>
      <c r="N199" t="s">
        <v>8</v>
      </c>
      <c r="P199">
        <f t="shared" si="959"/>
        <v>-0.31230283911671969</v>
      </c>
      <c r="Q199">
        <f t="shared" si="960"/>
        <v>-54668.693186119955</v>
      </c>
      <c r="R199">
        <f t="shared" si="961"/>
        <v>-20030831.35730309</v>
      </c>
      <c r="S199">
        <f t="shared" si="962"/>
        <v>-200.30831357303092</v>
      </c>
      <c r="T199">
        <f t="shared" si="963"/>
        <v>-0.20030831357303092</v>
      </c>
    </row>
    <row r="200" spans="1:20" x14ac:dyDescent="0.25">
      <c r="A200" s="5">
        <v>44393</v>
      </c>
      <c r="B200">
        <v>4.1189999999999998</v>
      </c>
      <c r="C200">
        <v>4.3879999999999999</v>
      </c>
      <c r="D200">
        <v>3.843</v>
      </c>
      <c r="E200">
        <v>3.911</v>
      </c>
      <c r="F200">
        <v>408849.17499999999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-0.75045871559633004</v>
      </c>
      <c r="Q200">
        <f t="shared" si="960"/>
        <v>-306824.42674311914</v>
      </c>
      <c r="R200">
        <f t="shared" si="961"/>
        <v>-19976162.664116971</v>
      </c>
      <c r="S200">
        <f t="shared" si="962"/>
        <v>-199.7616266411697</v>
      </c>
      <c r="T200">
        <f t="shared" si="963"/>
        <v>-0.1997616266411697</v>
      </c>
    </row>
    <row r="201" spans="1:20" x14ac:dyDescent="0.25">
      <c r="A201" s="5">
        <v>44392</v>
      </c>
      <c r="B201">
        <v>4.3680000000000003</v>
      </c>
      <c r="C201">
        <v>4.9859999999999998</v>
      </c>
      <c r="D201">
        <v>4.05</v>
      </c>
      <c r="E201">
        <v>4.1139999999999999</v>
      </c>
      <c r="F201">
        <v>678759.10499999998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-0.86324786324786307</v>
      </c>
      <c r="Q201">
        <f t="shared" si="960"/>
        <v>-585937.34705128195</v>
      </c>
      <c r="R201">
        <f t="shared" si="961"/>
        <v>-19669338.237373851</v>
      </c>
      <c r="S201">
        <f t="shared" si="962"/>
        <v>-196.6933823737385</v>
      </c>
      <c r="T201">
        <f t="shared" si="963"/>
        <v>-0.19669338237373851</v>
      </c>
    </row>
    <row r="202" spans="1:20" x14ac:dyDescent="0.25">
      <c r="A202" s="5">
        <v>44391</v>
      </c>
      <c r="B202">
        <v>4.0659999999999998</v>
      </c>
      <c r="C202">
        <v>4.7320000000000002</v>
      </c>
      <c r="D202">
        <v>3.78</v>
      </c>
      <c r="E202">
        <v>4.359</v>
      </c>
      <c r="F202">
        <v>669365.54299999995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0.21638655462184861</v>
      </c>
      <c r="Q202">
        <f t="shared" si="960"/>
        <v>144841.70363235284</v>
      </c>
      <c r="R202">
        <f t="shared" si="961"/>
        <v>-19083400.89032257</v>
      </c>
      <c r="S202">
        <f t="shared" si="962"/>
        <v>-190.83400890322571</v>
      </c>
      <c r="T202">
        <f t="shared" si="963"/>
        <v>-0.19083400890322572</v>
      </c>
    </row>
    <row r="203" spans="1:20" x14ac:dyDescent="0.25">
      <c r="A203" s="5">
        <v>44390</v>
      </c>
      <c r="B203">
        <v>3.9460000000000002</v>
      </c>
      <c r="C203">
        <v>4.2889999999999997</v>
      </c>
      <c r="D203">
        <v>3.823</v>
      </c>
      <c r="E203">
        <v>4.0599999999999996</v>
      </c>
      <c r="F203">
        <v>314008.56300000002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1.7167381974247997E-2</v>
      </c>
      <c r="Q203">
        <f t="shared" si="960"/>
        <v>5390.7049442057169</v>
      </c>
      <c r="R203">
        <f t="shared" si="961"/>
        <v>-19228242.593954921</v>
      </c>
      <c r="S203">
        <f t="shared" si="962"/>
        <v>-192.2824259395492</v>
      </c>
      <c r="T203">
        <f t="shared" si="963"/>
        <v>-0.1922824259395492</v>
      </c>
    </row>
    <row r="204" spans="1:20" x14ac:dyDescent="0.25">
      <c r="A204" s="5">
        <v>44389</v>
      </c>
      <c r="B204">
        <v>3.9489999999999998</v>
      </c>
      <c r="C204">
        <v>4.1779999999999999</v>
      </c>
      <c r="D204">
        <v>3.7810000000000001</v>
      </c>
      <c r="E204">
        <v>3.9460000000000002</v>
      </c>
      <c r="F204">
        <v>398626.44500000001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-0.16876574307304726</v>
      </c>
      <c r="Q204">
        <f t="shared" si="960"/>
        <v>-67274.4881989922</v>
      </c>
      <c r="R204">
        <f t="shared" si="961"/>
        <v>-19233633.298899125</v>
      </c>
      <c r="S204">
        <f t="shared" si="962"/>
        <v>-192.33633298899124</v>
      </c>
      <c r="T204">
        <f t="shared" si="963"/>
        <v>-0.19233633298899125</v>
      </c>
    </row>
    <row r="205" spans="1:20" x14ac:dyDescent="0.25">
      <c r="A205" s="5">
        <v>44388</v>
      </c>
      <c r="B205">
        <v>3.988</v>
      </c>
      <c r="C205">
        <v>4.3739999999999997</v>
      </c>
      <c r="D205">
        <v>3.92</v>
      </c>
      <c r="E205">
        <v>3.9489999999999998</v>
      </c>
      <c r="F205">
        <v>500181.234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-0.87224669603524263</v>
      </c>
      <c r="Q205">
        <f t="shared" si="960"/>
        <v>-436281.42877533054</v>
      </c>
      <c r="R205">
        <f t="shared" si="961"/>
        <v>-19166358.810700133</v>
      </c>
      <c r="S205">
        <f t="shared" si="962"/>
        <v>-191.66358810700135</v>
      </c>
      <c r="T205">
        <f t="shared" si="963"/>
        <v>-0.19166358810700135</v>
      </c>
    </row>
    <row r="206" spans="1:20" x14ac:dyDescent="0.25">
      <c r="A206" s="5">
        <v>44387</v>
      </c>
      <c r="B206">
        <v>3.79</v>
      </c>
      <c r="C206">
        <v>4.0999999999999996</v>
      </c>
      <c r="D206">
        <v>3.6869999999999998</v>
      </c>
      <c r="E206">
        <v>3.98</v>
      </c>
      <c r="F206">
        <v>347059.42099999997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0.41888619854721687</v>
      </c>
      <c r="Q206">
        <f t="shared" si="960"/>
        <v>145378.40153268812</v>
      </c>
      <c r="R206">
        <f t="shared" si="961"/>
        <v>-18730077.381924804</v>
      </c>
      <c r="S206">
        <f t="shared" si="962"/>
        <v>-187.30077381924804</v>
      </c>
      <c r="T206">
        <f t="shared" si="963"/>
        <v>-0.18730077381924803</v>
      </c>
    </row>
    <row r="207" spans="1:20" x14ac:dyDescent="0.25">
      <c r="A207" s="5">
        <v>44386</v>
      </c>
      <c r="B207">
        <v>3.8130000000000002</v>
      </c>
      <c r="C207">
        <v>3.8820000000000001</v>
      </c>
      <c r="D207">
        <v>3.617</v>
      </c>
      <c r="E207">
        <v>3.7930000000000001</v>
      </c>
      <c r="F207">
        <v>210307.152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0.32830188679245337</v>
      </c>
      <c r="Q207">
        <f t="shared" si="960"/>
        <v>69044.234807547284</v>
      </c>
      <c r="R207">
        <f t="shared" si="961"/>
        <v>-18875455.783457492</v>
      </c>
      <c r="S207">
        <f t="shared" si="962"/>
        <v>-188.75455783457491</v>
      </c>
      <c r="T207">
        <f t="shared" si="963"/>
        <v>-0.1887545578345749</v>
      </c>
    </row>
    <row r="208" spans="1:20" x14ac:dyDescent="0.25">
      <c r="A208" s="5">
        <v>44385</v>
      </c>
      <c r="B208">
        <v>4.0579999999999998</v>
      </c>
      <c r="C208">
        <v>4.0579999999999998</v>
      </c>
      <c r="D208">
        <v>3.7250000000000001</v>
      </c>
      <c r="E208">
        <v>3.8149999999999999</v>
      </c>
      <c r="F208">
        <v>240709.72399999999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-0.45945945945945987</v>
      </c>
      <c r="Q208">
        <f t="shared" si="960"/>
        <v>-110596.35967567578</v>
      </c>
      <c r="R208">
        <f t="shared" si="961"/>
        <v>-18944500.018265039</v>
      </c>
      <c r="S208">
        <f t="shared" si="962"/>
        <v>-189.44500018265038</v>
      </c>
      <c r="T208">
        <f t="shared" si="963"/>
        <v>-0.18944500018265037</v>
      </c>
    </row>
    <row r="209" spans="1:20" x14ac:dyDescent="0.25">
      <c r="A209" s="5">
        <v>44384</v>
      </c>
      <c r="B209">
        <v>3.9089999999999998</v>
      </c>
      <c r="C209">
        <v>4.22</v>
      </c>
      <c r="D209">
        <v>3.9089999999999998</v>
      </c>
      <c r="E209">
        <v>4.0579999999999998</v>
      </c>
      <c r="F209">
        <v>314187.07500000001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-4.1800643086816407E-2</v>
      </c>
      <c r="Q209">
        <f t="shared" si="960"/>
        <v>-13133.221784565818</v>
      </c>
      <c r="R209">
        <f t="shared" si="961"/>
        <v>-18833903.658589363</v>
      </c>
      <c r="S209">
        <f t="shared" si="962"/>
        <v>-188.33903658589364</v>
      </c>
      <c r="T209">
        <f t="shared" si="963"/>
        <v>-0.18833903658589363</v>
      </c>
    </row>
    <row r="210" spans="1:20" x14ac:dyDescent="0.25">
      <c r="A210" s="5">
        <v>44383</v>
      </c>
      <c r="B210">
        <v>3.8479999999999999</v>
      </c>
      <c r="C210">
        <v>4.0999999999999996</v>
      </c>
      <c r="D210">
        <v>3.835</v>
      </c>
      <c r="E210">
        <v>3.9119999999999999</v>
      </c>
      <c r="F210">
        <v>385420.50599999999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-0.41886792452830152</v>
      </c>
      <c r="Q210">
        <f t="shared" si="960"/>
        <v>-161440.28741886778</v>
      </c>
      <c r="R210">
        <f t="shared" si="961"/>
        <v>-18820770.436804798</v>
      </c>
      <c r="S210">
        <f t="shared" si="962"/>
        <v>-188.20770436804798</v>
      </c>
      <c r="T210">
        <f t="shared" si="963"/>
        <v>-0.18820770436804798</v>
      </c>
    </row>
    <row r="211" spans="1:20" x14ac:dyDescent="0.25">
      <c r="A211" s="5">
        <v>44382</v>
      </c>
      <c r="B211">
        <v>4.008</v>
      </c>
      <c r="C211">
        <v>4.0439999999999996</v>
      </c>
      <c r="D211">
        <v>3.7450000000000001</v>
      </c>
      <c r="E211">
        <v>3.859</v>
      </c>
      <c r="F211">
        <v>485719.92200000002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-0.23745819397993262</v>
      </c>
      <c r="Q211">
        <f t="shared" si="960"/>
        <v>-115338.17545819374</v>
      </c>
      <c r="R211">
        <f t="shared" si="961"/>
        <v>-18659330.149385929</v>
      </c>
      <c r="S211">
        <f t="shared" si="962"/>
        <v>-186.59330149385929</v>
      </c>
      <c r="T211">
        <f t="shared" si="963"/>
        <v>-0.18659330149385928</v>
      </c>
    </row>
    <row r="212" spans="1:20" x14ac:dyDescent="0.25">
      <c r="A212" s="5">
        <v>44381</v>
      </c>
      <c r="B212">
        <v>3.8460000000000001</v>
      </c>
      <c r="C212">
        <v>4.1840000000000002</v>
      </c>
      <c r="D212">
        <v>3.802</v>
      </c>
      <c r="E212">
        <v>4.0069999999999997</v>
      </c>
      <c r="F212">
        <v>261494.67300000001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7.3298429319369446E-2</v>
      </c>
      <c r="Q212">
        <f t="shared" si="960"/>
        <v>19167.148806282126</v>
      </c>
      <c r="R212">
        <f t="shared" si="961"/>
        <v>-18543991.973927736</v>
      </c>
      <c r="S212">
        <f t="shared" si="962"/>
        <v>-185.43991973927737</v>
      </c>
      <c r="T212">
        <f t="shared" si="963"/>
        <v>-0.18543991973927737</v>
      </c>
    </row>
    <row r="213" spans="1:20" x14ac:dyDescent="0.25">
      <c r="A213" s="5">
        <v>44380</v>
      </c>
      <c r="B213">
        <v>3.7890000000000001</v>
      </c>
      <c r="C213">
        <v>4.0990000000000002</v>
      </c>
      <c r="D213">
        <v>3.738</v>
      </c>
      <c r="E213">
        <v>3.8460000000000001</v>
      </c>
      <c r="F213">
        <v>240769.429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-0.40166204986149567</v>
      </c>
      <c r="Q213">
        <f t="shared" si="960"/>
        <v>-96707.942396121842</v>
      </c>
      <c r="R213">
        <f t="shared" si="961"/>
        <v>-18563159.122734018</v>
      </c>
      <c r="S213">
        <f t="shared" si="962"/>
        <v>-185.63159122734018</v>
      </c>
      <c r="T213">
        <f t="shared" si="963"/>
        <v>-0.18563159122734019</v>
      </c>
    </row>
    <row r="214" spans="1:20" x14ac:dyDescent="0.25">
      <c r="A214" s="5">
        <v>44379</v>
      </c>
      <c r="B214">
        <v>3.9009999999999998</v>
      </c>
      <c r="C214">
        <v>4.032</v>
      </c>
      <c r="D214">
        <v>3.714</v>
      </c>
      <c r="E214">
        <v>3.7890000000000001</v>
      </c>
      <c r="F214">
        <v>163536.88200000001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-0.52830188679245182</v>
      </c>
      <c r="Q214">
        <f t="shared" si="960"/>
        <v>-86396.84332075456</v>
      </c>
      <c r="R214">
        <f t="shared" si="961"/>
        <v>-18466451.180337895</v>
      </c>
      <c r="S214">
        <f t="shared" si="962"/>
        <v>-184.66451180337896</v>
      </c>
      <c r="T214">
        <f t="shared" si="963"/>
        <v>-0.18466451180337895</v>
      </c>
    </row>
    <row r="215" spans="1:20" x14ac:dyDescent="0.25">
      <c r="A215" s="5">
        <v>44378</v>
      </c>
      <c r="B215">
        <v>3.931</v>
      </c>
      <c r="C215">
        <v>4.4000000000000004</v>
      </c>
      <c r="D215">
        <v>3.6989999999999998</v>
      </c>
      <c r="E215">
        <v>3.891</v>
      </c>
      <c r="F215">
        <v>670663.68799999997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-0.45221112696148352</v>
      </c>
      <c r="Q215">
        <f t="shared" si="960"/>
        <v>-303281.58216262475</v>
      </c>
      <c r="R215">
        <f t="shared" si="961"/>
        <v>-18380054.337017141</v>
      </c>
      <c r="S215">
        <f t="shared" si="962"/>
        <v>-183.80054337017143</v>
      </c>
      <c r="T215">
        <f t="shared" si="963"/>
        <v>-0.18380054337017143</v>
      </c>
    </row>
    <row r="216" spans="1:20" x14ac:dyDescent="0.25">
      <c r="A216" s="5">
        <v>44377</v>
      </c>
      <c r="B216">
        <v>3.9769999999999999</v>
      </c>
      <c r="C216">
        <v>4.0250000000000004</v>
      </c>
      <c r="D216">
        <v>3.75</v>
      </c>
      <c r="E216">
        <v>3.9350000000000001</v>
      </c>
      <c r="F216">
        <v>241590.13500000001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0.34545454545454413</v>
      </c>
      <c r="Q216">
        <f t="shared" si="960"/>
        <v>83458.410272726949</v>
      </c>
      <c r="R216">
        <f t="shared" si="961"/>
        <v>-18076772.754854515</v>
      </c>
      <c r="S216">
        <f t="shared" si="962"/>
        <v>-180.76772754854514</v>
      </c>
      <c r="T216">
        <f t="shared" si="963"/>
        <v>-0.18076772754854514</v>
      </c>
    </row>
    <row r="217" spans="1:20" x14ac:dyDescent="0.25">
      <c r="A217" s="5">
        <v>44376</v>
      </c>
      <c r="B217">
        <v>3.9409999999999998</v>
      </c>
      <c r="C217">
        <v>4.2270000000000003</v>
      </c>
      <c r="D217">
        <v>3.9180000000000001</v>
      </c>
      <c r="E217">
        <v>3.9740000000000002</v>
      </c>
      <c r="F217">
        <v>388077.79100000003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-0.63754045307443352</v>
      </c>
      <c r="Q217">
        <f t="shared" si="960"/>
        <v>-247415.29070226534</v>
      </c>
      <c r="R217">
        <f t="shared" si="961"/>
        <v>-18160231.165127244</v>
      </c>
      <c r="S217">
        <f t="shared" si="962"/>
        <v>-181.60231165127243</v>
      </c>
      <c r="T217">
        <f t="shared" si="963"/>
        <v>-0.18160231165127244</v>
      </c>
    </row>
    <row r="218" spans="1:20" x14ac:dyDescent="0.25">
      <c r="A218" s="5">
        <v>44375</v>
      </c>
      <c r="B218">
        <v>3.9249999999999998</v>
      </c>
      <c r="C218">
        <v>4.109</v>
      </c>
      <c r="D218">
        <v>3.7389999999999999</v>
      </c>
      <c r="E218">
        <v>3.915</v>
      </c>
      <c r="F218">
        <v>420451.18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-4.8648648648648075E-2</v>
      </c>
      <c r="Q218">
        <f t="shared" si="960"/>
        <v>-20454.381729729488</v>
      </c>
      <c r="R218">
        <f t="shared" si="961"/>
        <v>-17912815.874424979</v>
      </c>
      <c r="S218">
        <f t="shared" si="962"/>
        <v>-179.12815874424979</v>
      </c>
      <c r="T218">
        <f t="shared" si="963"/>
        <v>-0.17912815874424978</v>
      </c>
    </row>
    <row r="219" spans="1:20" x14ac:dyDescent="0.25">
      <c r="A219" s="5">
        <v>44374</v>
      </c>
      <c r="B219">
        <v>3.7759999999999998</v>
      </c>
      <c r="C219">
        <v>3.9649999999999999</v>
      </c>
      <c r="D219">
        <v>3.6760000000000002</v>
      </c>
      <c r="E219">
        <v>3.9249999999999998</v>
      </c>
      <c r="F219">
        <v>158906.22899999999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0.72318339100345963</v>
      </c>
      <c r="Q219">
        <f t="shared" si="960"/>
        <v>114918.3455397923</v>
      </c>
      <c r="R219">
        <f t="shared" si="961"/>
        <v>-17892361.49269525</v>
      </c>
      <c r="S219">
        <f t="shared" si="962"/>
        <v>-178.9236149269525</v>
      </c>
      <c r="T219">
        <f t="shared" si="963"/>
        <v>-0.1789236149269525</v>
      </c>
    </row>
    <row r="220" spans="1:20" x14ac:dyDescent="0.25">
      <c r="A220" s="5">
        <v>44373</v>
      </c>
      <c r="B220">
        <v>3.6739999999999999</v>
      </c>
      <c r="C220">
        <v>4.4290000000000003</v>
      </c>
      <c r="D220">
        <v>3.3929999999999998</v>
      </c>
      <c r="E220">
        <v>3.7770000000000001</v>
      </c>
      <c r="F220">
        <v>746883.79</v>
      </c>
      <c r="G220">
        <v>0</v>
      </c>
      <c r="L220" t="s">
        <v>7</v>
      </c>
      <c r="M220" t="s">
        <v>8</v>
      </c>
      <c r="N220" t="s">
        <v>8</v>
      </c>
      <c r="P220">
        <f t="shared" si="959"/>
        <v>-0.25868725868725839</v>
      </c>
      <c r="Q220">
        <f t="shared" si="960"/>
        <v>-193209.32019304999</v>
      </c>
      <c r="R220">
        <f t="shared" si="961"/>
        <v>-18007279.838235043</v>
      </c>
      <c r="S220">
        <f t="shared" si="962"/>
        <v>-180.07279838235044</v>
      </c>
      <c r="T220">
        <f t="shared" si="963"/>
        <v>-0.18007279838235044</v>
      </c>
    </row>
    <row r="221" spans="1:20" x14ac:dyDescent="0.25">
      <c r="A221" s="5">
        <v>44372</v>
      </c>
      <c r="B221">
        <v>3.9140000000000001</v>
      </c>
      <c r="C221">
        <v>4.0110000000000001</v>
      </c>
      <c r="D221">
        <v>3.4449999999999998</v>
      </c>
      <c r="E221">
        <v>3.6760000000000002</v>
      </c>
      <c r="F221">
        <v>157618.685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-0.18374558303886854</v>
      </c>
      <c r="Q221">
        <f t="shared" si="960"/>
        <v>-28961.737173144764</v>
      </c>
      <c r="R221">
        <f t="shared" si="961"/>
        <v>-17814070.518041994</v>
      </c>
      <c r="S221">
        <f t="shared" si="962"/>
        <v>-178.14070518041996</v>
      </c>
      <c r="T221">
        <f t="shared" si="963"/>
        <v>-0.17814070518041997</v>
      </c>
    </row>
    <row r="222" spans="1:20" x14ac:dyDescent="0.25">
      <c r="A222" s="5">
        <v>44371</v>
      </c>
      <c r="B222">
        <v>4.0890000000000004</v>
      </c>
      <c r="C222">
        <v>4.2069999999999999</v>
      </c>
      <c r="D222">
        <v>3.7709999999999999</v>
      </c>
      <c r="E222">
        <v>3.9140000000000001</v>
      </c>
      <c r="F222">
        <v>137065.826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-0.34403669724770525</v>
      </c>
      <c r="Q222">
        <f t="shared" si="960"/>
        <v>-47155.67408256865</v>
      </c>
      <c r="R222">
        <f t="shared" si="961"/>
        <v>-17785108.780868851</v>
      </c>
      <c r="S222">
        <f t="shared" si="962"/>
        <v>-177.8510878086885</v>
      </c>
      <c r="T222">
        <f t="shared" si="963"/>
        <v>-0.1778510878086885</v>
      </c>
    </row>
    <row r="223" spans="1:20" x14ac:dyDescent="0.25">
      <c r="A223" s="5">
        <v>44370</v>
      </c>
      <c r="B223">
        <v>3.7519999999999998</v>
      </c>
      <c r="C223">
        <v>4.1970000000000001</v>
      </c>
      <c r="D223">
        <v>3.6859999999999999</v>
      </c>
      <c r="E223">
        <v>4.0839999999999996</v>
      </c>
      <c r="F223">
        <v>225033.68100000001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0.55772994129158349</v>
      </c>
      <c r="Q223">
        <f t="shared" si="960"/>
        <v>125508.02169275894</v>
      </c>
      <c r="R223">
        <f t="shared" si="961"/>
        <v>-17737953.106786281</v>
      </c>
      <c r="S223">
        <f t="shared" si="962"/>
        <v>-177.37953106786281</v>
      </c>
      <c r="T223">
        <f t="shared" si="963"/>
        <v>-0.17737953106786281</v>
      </c>
    </row>
    <row r="224" spans="1:20" x14ac:dyDescent="0.25">
      <c r="A224" s="5">
        <v>44369</v>
      </c>
      <c r="B224">
        <v>4</v>
      </c>
      <c r="C224">
        <v>4.1449999999999996</v>
      </c>
      <c r="D224">
        <v>3.1</v>
      </c>
      <c r="E224">
        <v>3.7519999999999998</v>
      </c>
      <c r="F224">
        <v>344024.39500000002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0.24784688995215312</v>
      </c>
      <c r="Q224">
        <f t="shared" si="960"/>
        <v>85265.376368421057</v>
      </c>
      <c r="R224">
        <f t="shared" si="961"/>
        <v>-17863461.128479041</v>
      </c>
      <c r="S224">
        <f t="shared" si="962"/>
        <v>-178.63461128479042</v>
      </c>
      <c r="T224">
        <f t="shared" si="963"/>
        <v>-0.17863461128479041</v>
      </c>
    </row>
    <row r="225" spans="1:20" x14ac:dyDescent="0.25">
      <c r="A225" s="5">
        <v>44368</v>
      </c>
      <c r="B225">
        <v>5.1609999999999996</v>
      </c>
      <c r="C225">
        <v>5.1719999999999997</v>
      </c>
      <c r="D225">
        <v>3.9990000000000001</v>
      </c>
      <c r="E225">
        <v>4.016</v>
      </c>
      <c r="F225">
        <v>255427.95199999999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-0.97101449275362339</v>
      </c>
      <c r="Q225">
        <f t="shared" si="960"/>
        <v>-248024.24324637686</v>
      </c>
      <c r="R225">
        <f t="shared" si="961"/>
        <v>-17948726.504847463</v>
      </c>
      <c r="S225">
        <f t="shared" si="962"/>
        <v>-179.48726504847463</v>
      </c>
      <c r="T225">
        <f t="shared" si="963"/>
        <v>-0.17948726504847462</v>
      </c>
    </row>
    <row r="226" spans="1:20" x14ac:dyDescent="0.25">
      <c r="A226" s="5">
        <v>44367</v>
      </c>
      <c r="B226">
        <v>5.2910000000000004</v>
      </c>
      <c r="C226">
        <v>5.4420000000000002</v>
      </c>
      <c r="D226">
        <v>4.9000000000000004</v>
      </c>
      <c r="E226">
        <v>5.1429999999999998</v>
      </c>
      <c r="F226">
        <v>181464.258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-0.10332103321033387</v>
      </c>
      <c r="Q226">
        <f t="shared" si="960"/>
        <v>-18749.074627306592</v>
      </c>
      <c r="R226">
        <f t="shared" si="961"/>
        <v>-17700702.261601087</v>
      </c>
      <c r="S226">
        <f t="shared" si="962"/>
        <v>-177.00702261601086</v>
      </c>
      <c r="T226">
        <f t="shared" si="963"/>
        <v>-0.17700702261601087</v>
      </c>
    </row>
    <row r="227" spans="1:20" x14ac:dyDescent="0.25">
      <c r="A227" s="5">
        <v>44366</v>
      </c>
      <c r="B227">
        <v>5.2009999999999996</v>
      </c>
      <c r="C227">
        <v>5.7</v>
      </c>
      <c r="D227">
        <v>5.0599999999999996</v>
      </c>
      <c r="E227">
        <v>5.3239999999999998</v>
      </c>
      <c r="F227">
        <v>214829.32399999999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-0.17499999999999999</v>
      </c>
      <c r="Q227">
        <f t="shared" si="960"/>
        <v>-37595.131699999998</v>
      </c>
      <c r="R227">
        <f t="shared" si="961"/>
        <v>-17681953.18697378</v>
      </c>
      <c r="S227">
        <f t="shared" si="962"/>
        <v>-176.8195318697378</v>
      </c>
      <c r="T227">
        <f t="shared" si="963"/>
        <v>-0.17681953186973781</v>
      </c>
    </row>
    <row r="228" spans="1:20" x14ac:dyDescent="0.25">
      <c r="A228" s="5">
        <v>44365</v>
      </c>
      <c r="B228">
        <v>5.758</v>
      </c>
      <c r="C228">
        <v>5.899</v>
      </c>
      <c r="D228">
        <v>5.0949999999999998</v>
      </c>
      <c r="E228">
        <v>5.2119999999999997</v>
      </c>
      <c r="F228">
        <v>277798.00799999997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-0.70895522388059717</v>
      </c>
      <c r="Q228">
        <f t="shared" si="960"/>
        <v>-196946.34895522392</v>
      </c>
      <c r="R228">
        <f t="shared" si="961"/>
        <v>-17644358.055273779</v>
      </c>
      <c r="S228">
        <f t="shared" si="962"/>
        <v>-176.44358055273779</v>
      </c>
      <c r="T228">
        <f t="shared" si="963"/>
        <v>-0.17644358055273779</v>
      </c>
    </row>
    <row r="229" spans="1:20" x14ac:dyDescent="0.25">
      <c r="A229" s="5">
        <v>44364</v>
      </c>
      <c r="B229">
        <v>5.3719999999999999</v>
      </c>
      <c r="C229">
        <v>6.26</v>
      </c>
      <c r="D229">
        <v>5.3470000000000004</v>
      </c>
      <c r="E229">
        <v>5.7480000000000002</v>
      </c>
      <c r="F229">
        <v>444583.40899999999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-0.12157721796275996</v>
      </c>
      <c r="Q229">
        <f t="shared" si="960"/>
        <v>-54051.214018619852</v>
      </c>
      <c r="R229">
        <f t="shared" si="961"/>
        <v>-17447411.706318554</v>
      </c>
      <c r="S229">
        <f t="shared" si="962"/>
        <v>-174.47411706318553</v>
      </c>
      <c r="T229">
        <f t="shared" si="963"/>
        <v>-0.17447411706318552</v>
      </c>
    </row>
    <row r="230" spans="1:20" x14ac:dyDescent="0.25">
      <c r="A230" s="5">
        <v>44363</v>
      </c>
      <c r="B230">
        <v>5.7919999999999998</v>
      </c>
      <c r="C230">
        <v>5.9409999999999998</v>
      </c>
      <c r="D230">
        <v>5.33</v>
      </c>
      <c r="E230">
        <v>5.3529999999999998</v>
      </c>
      <c r="F230">
        <v>211731.06700000001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-0.92471358428805339</v>
      </c>
      <c r="Q230">
        <f t="shared" si="960"/>
        <v>-195790.59387070397</v>
      </c>
      <c r="R230">
        <f t="shared" si="961"/>
        <v>-17393360.492299933</v>
      </c>
      <c r="S230">
        <f t="shared" si="962"/>
        <v>-173.93360492299934</v>
      </c>
      <c r="T230">
        <f t="shared" si="963"/>
        <v>-0.17393360492299934</v>
      </c>
    </row>
    <row r="231" spans="1:20" x14ac:dyDescent="0.25">
      <c r="A231" s="5">
        <v>44362</v>
      </c>
      <c r="B231">
        <v>5.7130000000000001</v>
      </c>
      <c r="C231">
        <v>6.2759999999999998</v>
      </c>
      <c r="D231">
        <v>5.5609999999999999</v>
      </c>
      <c r="E231">
        <v>5.7939999999999996</v>
      </c>
      <c r="F231">
        <v>370242.02600000001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-0.34825174825174909</v>
      </c>
      <c r="Q231">
        <f t="shared" si="960"/>
        <v>-128937.43283076954</v>
      </c>
      <c r="R231">
        <f t="shared" si="961"/>
        <v>-17197569.89842923</v>
      </c>
      <c r="S231">
        <f t="shared" si="962"/>
        <v>-171.97569898429231</v>
      </c>
      <c r="T231">
        <f t="shared" si="963"/>
        <v>-0.1719756989842923</v>
      </c>
    </row>
    <row r="232" spans="1:20" x14ac:dyDescent="0.25">
      <c r="A232" s="5">
        <v>44361</v>
      </c>
      <c r="B232">
        <v>5.532</v>
      </c>
      <c r="C232">
        <v>5.9349999999999996</v>
      </c>
      <c r="D232">
        <v>5.4720000000000004</v>
      </c>
      <c r="E232">
        <v>5.7140000000000004</v>
      </c>
      <c r="F232">
        <v>189621.33600000001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4.5356371490282578E-2</v>
      </c>
      <c r="Q232">
        <f t="shared" si="960"/>
        <v>8600.5357580996933</v>
      </c>
      <c r="R232">
        <f t="shared" si="961"/>
        <v>-17068632.46559846</v>
      </c>
      <c r="S232">
        <f t="shared" si="962"/>
        <v>-170.68632465598461</v>
      </c>
      <c r="T232">
        <f t="shared" si="963"/>
        <v>-0.1706863246559846</v>
      </c>
    </row>
    <row r="233" spans="1:20" x14ac:dyDescent="0.25">
      <c r="A233" s="5">
        <v>44360</v>
      </c>
      <c r="B233">
        <v>5.5869999999999997</v>
      </c>
      <c r="C233">
        <v>5.6989999999999998</v>
      </c>
      <c r="D233">
        <v>5.0650000000000004</v>
      </c>
      <c r="E233">
        <v>5.532</v>
      </c>
      <c r="F233">
        <v>247453.815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0.47318611987381715</v>
      </c>
      <c r="Q233">
        <f t="shared" si="960"/>
        <v>117091.71056782338</v>
      </c>
      <c r="R233">
        <f t="shared" si="961"/>
        <v>-17077233.001356561</v>
      </c>
      <c r="S233">
        <f t="shared" si="962"/>
        <v>-170.77233001356561</v>
      </c>
      <c r="T233">
        <f t="shared" si="963"/>
        <v>-0.17077233001356562</v>
      </c>
    </row>
    <row r="234" spans="1:20" x14ac:dyDescent="0.25">
      <c r="A234" s="5">
        <v>44359</v>
      </c>
      <c r="B234">
        <v>5.76</v>
      </c>
      <c r="C234">
        <v>6.2809999999999997</v>
      </c>
      <c r="D234">
        <v>5.282</v>
      </c>
      <c r="E234">
        <v>5.5709999999999997</v>
      </c>
      <c r="F234">
        <v>317429.57900000003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-0.4214214214214218</v>
      </c>
      <c r="Q234">
        <f t="shared" si="960"/>
        <v>-133771.62438338352</v>
      </c>
      <c r="R234">
        <f t="shared" si="961"/>
        <v>-17194324.711924385</v>
      </c>
      <c r="S234">
        <f t="shared" si="962"/>
        <v>-171.94324711924386</v>
      </c>
      <c r="T234">
        <f t="shared" si="963"/>
        <v>-0.17194324711924386</v>
      </c>
    </row>
    <row r="235" spans="1:20" x14ac:dyDescent="0.25">
      <c r="A235" s="5">
        <v>44358</v>
      </c>
      <c r="B235">
        <v>6.0389999999999997</v>
      </c>
      <c r="C235">
        <v>7.7679999999999998</v>
      </c>
      <c r="D235">
        <v>5.492</v>
      </c>
      <c r="E235">
        <v>5.734</v>
      </c>
      <c r="F235">
        <v>1689521.7039999999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-0.78734622144112476</v>
      </c>
      <c r="Q235">
        <f t="shared" si="960"/>
        <v>-1330238.5296871704</v>
      </c>
      <c r="R235">
        <f t="shared" si="961"/>
        <v>-17060553.087541003</v>
      </c>
      <c r="S235">
        <f t="shared" si="962"/>
        <v>-170.60553087541004</v>
      </c>
      <c r="T235">
        <f t="shared" si="963"/>
        <v>-0.17060553087541003</v>
      </c>
    </row>
    <row r="236" spans="1:20" x14ac:dyDescent="0.25">
      <c r="A236" s="5">
        <v>44357</v>
      </c>
      <c r="B236">
        <v>5.2329999999999997</v>
      </c>
      <c r="C236">
        <v>6.2270000000000003</v>
      </c>
      <c r="D236">
        <v>5.0289999999999999</v>
      </c>
      <c r="E236">
        <v>6.0540000000000003</v>
      </c>
      <c r="F236">
        <v>448973.99699999997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0.71118530884808018</v>
      </c>
      <c r="Q236">
        <f t="shared" si="960"/>
        <v>319303.71072120202</v>
      </c>
      <c r="R236">
        <f t="shared" si="961"/>
        <v>-15730314.557853831</v>
      </c>
      <c r="S236">
        <f t="shared" si="962"/>
        <v>-157.30314557853831</v>
      </c>
      <c r="T236">
        <f t="shared" si="963"/>
        <v>-0.15730314557853831</v>
      </c>
    </row>
    <row r="237" spans="1:20" x14ac:dyDescent="0.25">
      <c r="A237" s="5">
        <v>44356</v>
      </c>
      <c r="B237">
        <v>4.992</v>
      </c>
      <c r="C237">
        <v>5.3840000000000003</v>
      </c>
      <c r="D237">
        <v>4.5</v>
      </c>
      <c r="E237">
        <v>5.2359999999999998</v>
      </c>
      <c r="F237">
        <v>299232.88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0.66515837104072284</v>
      </c>
      <c r="Q237">
        <f t="shared" si="960"/>
        <v>199037.2550226241</v>
      </c>
      <c r="R237">
        <f t="shared" si="961"/>
        <v>-16049618.268575033</v>
      </c>
      <c r="S237">
        <f t="shared" si="962"/>
        <v>-160.49618268575034</v>
      </c>
      <c r="T237">
        <f t="shared" si="963"/>
        <v>-0.16049618268575033</v>
      </c>
    </row>
    <row r="238" spans="1:20" x14ac:dyDescent="0.25">
      <c r="A238" s="5">
        <v>44355</v>
      </c>
      <c r="B238">
        <v>5.3109999999999999</v>
      </c>
      <c r="C238">
        <v>5.3789999999999996</v>
      </c>
      <c r="D238">
        <v>4.4800000000000004</v>
      </c>
      <c r="E238">
        <v>5.0010000000000003</v>
      </c>
      <c r="F238">
        <v>221951.62100000001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0.15906562847608546</v>
      </c>
      <c r="Q238">
        <f t="shared" si="960"/>
        <v>35304.874085650932</v>
      </c>
      <c r="R238">
        <f t="shared" si="961"/>
        <v>-16248655.523597658</v>
      </c>
      <c r="S238">
        <f t="shared" si="962"/>
        <v>-162.48655523597657</v>
      </c>
      <c r="T238">
        <f t="shared" si="963"/>
        <v>-0.16248655523597658</v>
      </c>
    </row>
    <row r="239" spans="1:20" x14ac:dyDescent="0.25">
      <c r="A239" s="5">
        <v>44354</v>
      </c>
      <c r="B239">
        <v>5.6520000000000001</v>
      </c>
      <c r="C239">
        <v>6.3</v>
      </c>
      <c r="D239">
        <v>5.298</v>
      </c>
      <c r="E239">
        <v>5.31</v>
      </c>
      <c r="F239">
        <v>284897.89299999998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-0.97604790419161758</v>
      </c>
      <c r="Q239">
        <f t="shared" si="960"/>
        <v>-278073.9913712577</v>
      </c>
      <c r="R239">
        <f t="shared" si="961"/>
        <v>-16283960.397683309</v>
      </c>
      <c r="S239">
        <f t="shared" si="962"/>
        <v>-162.8396039768331</v>
      </c>
      <c r="T239">
        <f t="shared" si="963"/>
        <v>-0.16283960397683311</v>
      </c>
    </row>
    <row r="240" spans="1:20" x14ac:dyDescent="0.25">
      <c r="A240" s="5">
        <v>44353</v>
      </c>
      <c r="B240">
        <v>5.7489999999999997</v>
      </c>
      <c r="C240">
        <v>5.91</v>
      </c>
      <c r="D240">
        <v>5.5220000000000002</v>
      </c>
      <c r="E240">
        <v>5.649</v>
      </c>
      <c r="F240">
        <v>129925.501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-0.34536082474226903</v>
      </c>
      <c r="Q240">
        <f t="shared" si="960"/>
        <v>-44871.178180412498</v>
      </c>
      <c r="R240">
        <f t="shared" si="961"/>
        <v>-16005886.406312052</v>
      </c>
      <c r="S240">
        <f t="shared" si="962"/>
        <v>-160.05886406312052</v>
      </c>
      <c r="T240">
        <f t="shared" si="963"/>
        <v>-0.16005886406312053</v>
      </c>
    </row>
    <row r="241" spans="1:20" x14ac:dyDescent="0.25">
      <c r="A241" s="5">
        <v>44352</v>
      </c>
      <c r="B241">
        <v>5.7480000000000002</v>
      </c>
      <c r="C241">
        <v>5.96</v>
      </c>
      <c r="D241">
        <v>5.52</v>
      </c>
      <c r="E241">
        <v>5.7489999999999997</v>
      </c>
      <c r="F241">
        <v>163526.986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4.0909090909090402E-2</v>
      </c>
      <c r="Q241">
        <f t="shared" si="960"/>
        <v>6689.740336363554</v>
      </c>
      <c r="R241">
        <f t="shared" si="961"/>
        <v>-15961015.228131639</v>
      </c>
      <c r="S241">
        <f t="shared" si="962"/>
        <v>-159.6101522813164</v>
      </c>
      <c r="T241">
        <f t="shared" si="963"/>
        <v>-0.15961015228131639</v>
      </c>
    </row>
    <row r="242" spans="1:20" x14ac:dyDescent="0.25">
      <c r="A242" s="5">
        <v>44351</v>
      </c>
      <c r="B242">
        <v>6.2969999999999997</v>
      </c>
      <c r="C242">
        <v>6.35</v>
      </c>
      <c r="D242">
        <v>5.641</v>
      </c>
      <c r="E242">
        <v>5.7460000000000004</v>
      </c>
      <c r="F242">
        <v>238644.71100000001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-0.70380818053596483</v>
      </c>
      <c r="Q242">
        <f t="shared" si="960"/>
        <v>-167960.09984344116</v>
      </c>
      <c r="R242">
        <f t="shared" si="961"/>
        <v>-15967704.968468003</v>
      </c>
      <c r="S242">
        <f t="shared" si="962"/>
        <v>-159.67704968468004</v>
      </c>
      <c r="T242">
        <f t="shared" si="963"/>
        <v>-0.15967704968468005</v>
      </c>
    </row>
    <row r="243" spans="1:20" x14ac:dyDescent="0.25">
      <c r="A243" s="5">
        <v>44350</v>
      </c>
      <c r="B243">
        <v>6.0570000000000004</v>
      </c>
      <c r="C243">
        <v>6.4269999999999996</v>
      </c>
      <c r="D243">
        <v>5.9710000000000001</v>
      </c>
      <c r="E243">
        <v>6.2969999999999997</v>
      </c>
      <c r="F243">
        <v>186725.43400000001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0.42982456140350861</v>
      </c>
      <c r="Q243">
        <f t="shared" si="960"/>
        <v>80259.177771929797</v>
      </c>
      <c r="R243">
        <f t="shared" si="961"/>
        <v>-15799744.868624562</v>
      </c>
      <c r="S243">
        <f t="shared" si="962"/>
        <v>-157.99744868624563</v>
      </c>
      <c r="T243">
        <f t="shared" si="963"/>
        <v>-0.15799744868624563</v>
      </c>
    </row>
    <row r="244" spans="1:20" x14ac:dyDescent="0.25">
      <c r="A244" s="5">
        <v>44349</v>
      </c>
      <c r="B244">
        <v>5.88</v>
      </c>
      <c r="C244">
        <v>6.3840000000000003</v>
      </c>
      <c r="D244">
        <v>5.7409999999999997</v>
      </c>
      <c r="E244">
        <v>6.0640000000000001</v>
      </c>
      <c r="F244">
        <v>203989.37700000001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4.6656298600312764E-3</v>
      </c>
      <c r="Q244">
        <f t="shared" si="960"/>
        <v>951.73892846037734</v>
      </c>
      <c r="R244">
        <f t="shared" si="961"/>
        <v>-15880004.046396492</v>
      </c>
      <c r="S244">
        <f t="shared" si="962"/>
        <v>-158.80004046396493</v>
      </c>
      <c r="T244">
        <f t="shared" si="963"/>
        <v>-0.15880004046396493</v>
      </c>
    </row>
    <row r="245" spans="1:20" x14ac:dyDescent="0.25">
      <c r="A245" s="5">
        <v>44348</v>
      </c>
      <c r="B245">
        <v>6.1180000000000003</v>
      </c>
      <c r="C245">
        <v>6.2350000000000003</v>
      </c>
      <c r="D245">
        <v>5.7</v>
      </c>
      <c r="E245">
        <v>5.8789999999999996</v>
      </c>
      <c r="F245">
        <v>177143.94099999999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-0.33084112149532957</v>
      </c>
      <c r="Q245">
        <f t="shared" si="960"/>
        <v>-58606.500106542488</v>
      </c>
      <c r="R245">
        <f t="shared" si="961"/>
        <v>-15880955.785324952</v>
      </c>
      <c r="S245">
        <f t="shared" si="962"/>
        <v>-158.80955785324952</v>
      </c>
      <c r="T245">
        <f t="shared" si="963"/>
        <v>-0.15880955785324952</v>
      </c>
    </row>
    <row r="246" spans="1:20" x14ac:dyDescent="0.25">
      <c r="A246" s="5">
        <v>44347</v>
      </c>
      <c r="B246">
        <v>5.8810000000000002</v>
      </c>
      <c r="C246">
        <v>6.4450000000000003</v>
      </c>
      <c r="D246">
        <v>5.5510000000000002</v>
      </c>
      <c r="E246">
        <v>6.1189999999999998</v>
      </c>
      <c r="F246">
        <v>369009.31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0.27069351230424954</v>
      </c>
      <c r="Q246">
        <f t="shared" si="960"/>
        <v>99888.426196867629</v>
      </c>
      <c r="R246">
        <f t="shared" si="961"/>
        <v>-15822349.285218408</v>
      </c>
      <c r="S246">
        <f t="shared" si="962"/>
        <v>-158.22349285218408</v>
      </c>
      <c r="T246">
        <f t="shared" si="963"/>
        <v>-0.15822349285218407</v>
      </c>
    </row>
    <row r="247" spans="1:20" x14ac:dyDescent="0.25">
      <c r="A247" s="5">
        <v>44346</v>
      </c>
      <c r="B247">
        <v>5.9560000000000004</v>
      </c>
      <c r="C247">
        <v>6.3049999999999997</v>
      </c>
      <c r="D247">
        <v>5.5030000000000001</v>
      </c>
      <c r="E247">
        <v>5.8810000000000002</v>
      </c>
      <c r="F247">
        <v>1022909.648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-5.7356608478802244E-2</v>
      </c>
      <c r="Q247">
        <f t="shared" si="960"/>
        <v>-58670.628189525421</v>
      </c>
      <c r="R247">
        <f t="shared" si="961"/>
        <v>-15922237.711415276</v>
      </c>
      <c r="S247">
        <f t="shared" si="962"/>
        <v>-159.22237711415275</v>
      </c>
      <c r="T247">
        <f t="shared" si="963"/>
        <v>-0.15922237711415274</v>
      </c>
    </row>
    <row r="248" spans="1:20" x14ac:dyDescent="0.25">
      <c r="A248" s="5">
        <v>44345</v>
      </c>
      <c r="B248">
        <v>5.92</v>
      </c>
      <c r="C248">
        <v>6.2770000000000001</v>
      </c>
      <c r="D248">
        <v>5.1859999999999999</v>
      </c>
      <c r="E248">
        <v>5.9560000000000004</v>
      </c>
      <c r="F248">
        <v>1351429.872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0.41154903758020223</v>
      </c>
      <c r="Q248">
        <f t="shared" si="960"/>
        <v>556179.66317873588</v>
      </c>
      <c r="R248">
        <f t="shared" si="961"/>
        <v>-15863567.083225751</v>
      </c>
      <c r="S248">
        <f t="shared" si="962"/>
        <v>-158.63567083225752</v>
      </c>
      <c r="T248">
        <f t="shared" si="963"/>
        <v>-0.15863567083225752</v>
      </c>
    </row>
    <row r="249" spans="1:20" x14ac:dyDescent="0.25">
      <c r="A249" s="5">
        <v>44344</v>
      </c>
      <c r="B249">
        <v>6.883</v>
      </c>
      <c r="C249">
        <v>7.1459999999999999</v>
      </c>
      <c r="D249">
        <v>5.7</v>
      </c>
      <c r="E249">
        <v>5.92</v>
      </c>
      <c r="F249">
        <v>485612.21899999998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-0.69571230982019394</v>
      </c>
      <c r="Q249">
        <f t="shared" si="960"/>
        <v>-337846.39855739987</v>
      </c>
      <c r="R249">
        <f t="shared" si="961"/>
        <v>-16419746.746404488</v>
      </c>
      <c r="S249">
        <f t="shared" si="962"/>
        <v>-164.19746746404488</v>
      </c>
      <c r="T249">
        <f t="shared" si="963"/>
        <v>-0.16419746746404487</v>
      </c>
    </row>
    <row r="250" spans="1:20" x14ac:dyDescent="0.25">
      <c r="A250" s="5">
        <v>44343</v>
      </c>
      <c r="B250">
        <v>6.2149999999999999</v>
      </c>
      <c r="C250">
        <v>7.2930000000000001</v>
      </c>
      <c r="D250">
        <v>5.5549999999999997</v>
      </c>
      <c r="E250">
        <v>6.9160000000000004</v>
      </c>
      <c r="F250">
        <v>855348.85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0.5661680092059842</v>
      </c>
      <c r="Q250">
        <f t="shared" si="960"/>
        <v>484271.15558112797</v>
      </c>
      <c r="R250">
        <f t="shared" si="961"/>
        <v>-16081900.347847087</v>
      </c>
      <c r="S250">
        <f t="shared" si="962"/>
        <v>-160.81900347847088</v>
      </c>
      <c r="T250">
        <f t="shared" si="963"/>
        <v>-0.16081900347847086</v>
      </c>
    </row>
    <row r="251" spans="1:20" x14ac:dyDescent="0.25">
      <c r="A251" s="5">
        <v>44342</v>
      </c>
      <c r="B251">
        <v>5.7</v>
      </c>
      <c r="C251">
        <v>6.4249999999999998</v>
      </c>
      <c r="D251">
        <v>5.5350000000000001</v>
      </c>
      <c r="E251">
        <v>6.2380000000000004</v>
      </c>
      <c r="F251">
        <v>449338.39500000002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0.57977528089887764</v>
      </c>
      <c r="Q251">
        <f t="shared" si="960"/>
        <v>260515.29417977584</v>
      </c>
      <c r="R251">
        <f t="shared" si="961"/>
        <v>-16566171.503428215</v>
      </c>
      <c r="S251">
        <f t="shared" si="962"/>
        <v>-165.66171503428214</v>
      </c>
      <c r="T251">
        <f t="shared" si="963"/>
        <v>-0.16566171503428215</v>
      </c>
    </row>
    <row r="252" spans="1:20" x14ac:dyDescent="0.25">
      <c r="A252" s="5">
        <v>44341</v>
      </c>
      <c r="B252">
        <v>6.1509999999999998</v>
      </c>
      <c r="C252">
        <v>6.4480000000000004</v>
      </c>
      <c r="D252">
        <v>5.1260000000000003</v>
      </c>
      <c r="E252">
        <v>5.7050000000000001</v>
      </c>
      <c r="F252">
        <v>444034.66499999998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-0.12405446293494748</v>
      </c>
      <c r="Q252">
        <f t="shared" si="960"/>
        <v>-55084.48189107432</v>
      </c>
      <c r="R252">
        <f t="shared" si="961"/>
        <v>-16826686.797607992</v>
      </c>
      <c r="S252">
        <f t="shared" si="962"/>
        <v>-168.26686797607991</v>
      </c>
      <c r="T252">
        <f t="shared" si="963"/>
        <v>-0.1682668679760799</v>
      </c>
    </row>
    <row r="253" spans="1:20" x14ac:dyDescent="0.25">
      <c r="A253" s="5">
        <v>44340</v>
      </c>
      <c r="B253">
        <v>5.4290000000000003</v>
      </c>
      <c r="C253">
        <v>6.29</v>
      </c>
      <c r="D253">
        <v>4.9960000000000004</v>
      </c>
      <c r="E253">
        <v>6.1509999999999998</v>
      </c>
      <c r="F253">
        <v>699956.12600000005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0.78516228748067962</v>
      </c>
      <c r="Q253">
        <f t="shared" si="960"/>
        <v>549579.15302627487</v>
      </c>
      <c r="R253">
        <f t="shared" si="961"/>
        <v>-16771602.315716919</v>
      </c>
      <c r="S253">
        <f t="shared" si="962"/>
        <v>-167.71602315716919</v>
      </c>
      <c r="T253">
        <f t="shared" si="963"/>
        <v>-0.16771602315716919</v>
      </c>
    </row>
    <row r="254" spans="1:20" x14ac:dyDescent="0.25">
      <c r="A254" s="5">
        <v>44339</v>
      </c>
      <c r="B254">
        <v>7.53</v>
      </c>
      <c r="C254">
        <v>7.6820000000000004</v>
      </c>
      <c r="D254">
        <v>4.5</v>
      </c>
      <c r="E254">
        <v>5.4290000000000003</v>
      </c>
      <c r="F254">
        <v>848678.74899999995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-0.41609050911376483</v>
      </c>
      <c r="Q254">
        <f t="shared" si="960"/>
        <v>-353127.17274544301</v>
      </c>
      <c r="R254">
        <f t="shared" si="961"/>
        <v>-17321181.468743194</v>
      </c>
      <c r="S254">
        <f t="shared" si="962"/>
        <v>-173.21181468743194</v>
      </c>
      <c r="T254">
        <f t="shared" si="963"/>
        <v>-0.17321181468743194</v>
      </c>
    </row>
    <row r="255" spans="1:20" x14ac:dyDescent="0.25">
      <c r="A255" s="5">
        <v>44338</v>
      </c>
      <c r="B255">
        <v>9.0109999999999992</v>
      </c>
      <c r="C255">
        <v>9.8000000000000007</v>
      </c>
      <c r="D255">
        <v>7.1539999999999999</v>
      </c>
      <c r="E255">
        <v>7.55</v>
      </c>
      <c r="F255">
        <v>632725.58400000003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-0.70068027210884365</v>
      </c>
      <c r="Q255">
        <f t="shared" si="960"/>
        <v>-443338.33436734701</v>
      </c>
      <c r="R255">
        <f t="shared" si="961"/>
        <v>-16968054.29599775</v>
      </c>
      <c r="S255">
        <f t="shared" si="962"/>
        <v>-169.68054295997749</v>
      </c>
      <c r="T255">
        <f t="shared" si="963"/>
        <v>-0.16968054295997748</v>
      </c>
    </row>
    <row r="256" spans="1:20" x14ac:dyDescent="0.25">
      <c r="A256" s="5">
        <v>44337</v>
      </c>
      <c r="B256">
        <v>8.6110000000000007</v>
      </c>
      <c r="C256">
        <v>10.848000000000001</v>
      </c>
      <c r="D256">
        <v>7.3710000000000004</v>
      </c>
      <c r="E256">
        <v>9.0389999999999997</v>
      </c>
      <c r="F256">
        <v>1313913.051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-4.0552200172563065E-2</v>
      </c>
      <c r="Q256">
        <f t="shared" si="960"/>
        <v>-53282.065053495062</v>
      </c>
      <c r="R256">
        <f t="shared" si="961"/>
        <v>-16524715.961630402</v>
      </c>
      <c r="S256">
        <f t="shared" si="962"/>
        <v>-165.24715961630403</v>
      </c>
      <c r="T256">
        <f t="shared" si="963"/>
        <v>-0.16524715961630404</v>
      </c>
    </row>
    <row r="257" spans="1:20" x14ac:dyDescent="0.25">
      <c r="A257" s="5">
        <v>44336</v>
      </c>
      <c r="B257">
        <v>7.7009999999999996</v>
      </c>
      <c r="C257">
        <v>9.3819999999999997</v>
      </c>
      <c r="D257">
        <v>6.9</v>
      </c>
      <c r="E257">
        <v>8.5909999999999993</v>
      </c>
      <c r="F257">
        <v>816425.04399999999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0.36261079774375454</v>
      </c>
      <c r="Q257">
        <f t="shared" si="960"/>
        <v>296044.53650281992</v>
      </c>
      <c r="R257">
        <f t="shared" si="961"/>
        <v>-16471433.896576907</v>
      </c>
      <c r="S257">
        <f t="shared" si="962"/>
        <v>-164.71433896576909</v>
      </c>
      <c r="T257">
        <f t="shared" si="963"/>
        <v>-0.16471433896576909</v>
      </c>
    </row>
    <row r="258" spans="1:20" x14ac:dyDescent="0.25">
      <c r="A258" s="5">
        <v>44335</v>
      </c>
      <c r="B258">
        <v>12.835000000000001</v>
      </c>
      <c r="C258">
        <v>13.250999999999999</v>
      </c>
      <c r="D258">
        <v>6.6429999999999998</v>
      </c>
      <c r="E258">
        <v>7.7009999999999996</v>
      </c>
      <c r="F258">
        <v>1322142.669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-0.67978208232445525</v>
      </c>
      <c r="Q258">
        <f t="shared" si="960"/>
        <v>-898768.89666283294</v>
      </c>
      <c r="R258">
        <f t="shared" si="961"/>
        <v>-16767478.433079727</v>
      </c>
      <c r="S258">
        <f t="shared" si="962"/>
        <v>-167.67478433079728</v>
      </c>
      <c r="T258">
        <f t="shared" si="963"/>
        <v>-0.16767478433079727</v>
      </c>
    </row>
    <row r="259" spans="1:20" x14ac:dyDescent="0.25">
      <c r="A259" s="5">
        <v>44334</v>
      </c>
      <c r="B259">
        <v>10.122999999999999</v>
      </c>
      <c r="C259">
        <v>14.45</v>
      </c>
      <c r="D259">
        <v>10.06</v>
      </c>
      <c r="E259">
        <v>12.882999999999999</v>
      </c>
      <c r="F259">
        <v>2019595.34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0.28610478359908859</v>
      </c>
      <c r="Q259">
        <f t="shared" si="960"/>
        <v>577815.88770842773</v>
      </c>
      <c r="R259">
        <f t="shared" si="961"/>
        <v>-15868709.536416894</v>
      </c>
      <c r="S259">
        <f t="shared" si="962"/>
        <v>-158.68709536416893</v>
      </c>
      <c r="T259">
        <f t="shared" si="963"/>
        <v>-0.15868709536416892</v>
      </c>
    </row>
    <row r="260" spans="1:20" x14ac:dyDescent="0.25">
      <c r="A260" s="5">
        <v>44333</v>
      </c>
      <c r="B260">
        <v>12.117000000000001</v>
      </c>
      <c r="C260">
        <v>13.763999999999999</v>
      </c>
      <c r="D260">
        <v>10.044</v>
      </c>
      <c r="E260">
        <v>10.106</v>
      </c>
      <c r="F260">
        <v>1716986.814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-0.96666666666666701</v>
      </c>
      <c r="Q260">
        <f t="shared" si="960"/>
        <v>-1659753.9202000005</v>
      </c>
      <c r="R260">
        <f t="shared" si="961"/>
        <v>-16446525.424125321</v>
      </c>
      <c r="S260">
        <f t="shared" si="962"/>
        <v>-164.46525424125321</v>
      </c>
      <c r="T260">
        <f t="shared" si="963"/>
        <v>-0.16446525424125322</v>
      </c>
    </row>
    <row r="261" spans="1:20" x14ac:dyDescent="0.25">
      <c r="A261" s="5">
        <v>44332</v>
      </c>
      <c r="B261">
        <v>11.647</v>
      </c>
      <c r="C261">
        <v>16.5</v>
      </c>
      <c r="D261">
        <v>11.2</v>
      </c>
      <c r="E261">
        <v>12.116</v>
      </c>
      <c r="F261">
        <v>4316569.4709999999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-0.65433962264150936</v>
      </c>
      <c r="Q261">
        <f t="shared" si="960"/>
        <v>-2824502.4387599998</v>
      </c>
      <c r="R261">
        <f t="shared" si="961"/>
        <v>-14786771.50392532</v>
      </c>
      <c r="S261">
        <f t="shared" si="962"/>
        <v>-147.8677150392532</v>
      </c>
      <c r="T261">
        <f t="shared" si="963"/>
        <v>-0.14786771503925319</v>
      </c>
    </row>
    <row r="262" spans="1:20" x14ac:dyDescent="0.25">
      <c r="A262" s="5">
        <v>44331</v>
      </c>
      <c r="B262">
        <v>8.7249999999999996</v>
      </c>
      <c r="C262">
        <v>12.98</v>
      </c>
      <c r="D262">
        <v>8.6980000000000004</v>
      </c>
      <c r="E262">
        <v>11.646000000000001</v>
      </c>
      <c r="F262">
        <v>2676067.7940000002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0.37692666978047656</v>
      </c>
      <c r="Q262">
        <f t="shared" ref="Q262:Q325" si="965">F262*P262</f>
        <v>1008681.3216992065</v>
      </c>
      <c r="R262">
        <f t="shared" ref="R262:R325" si="966">R263+Q262</f>
        <v>-11962269.06516532</v>
      </c>
      <c r="S262">
        <f t="shared" ref="S262:S325" si="967">R262/100000</f>
        <v>-119.6226906516532</v>
      </c>
      <c r="T262">
        <f t="shared" ref="T262:T325" si="968">S262/1000</f>
        <v>-0.11962269065165321</v>
      </c>
    </row>
    <row r="263" spans="1:20" x14ac:dyDescent="0.25">
      <c r="A263" s="5">
        <v>44330</v>
      </c>
      <c r="B263">
        <v>8.282</v>
      </c>
      <c r="C263">
        <v>9.2360000000000007</v>
      </c>
      <c r="D263">
        <v>8.0809999999999995</v>
      </c>
      <c r="E263">
        <v>8.7249999999999996</v>
      </c>
      <c r="F263">
        <v>517927.02899999998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0.11515151515151427</v>
      </c>
      <c r="Q263">
        <f t="shared" si="965"/>
        <v>59640.082127272268</v>
      </c>
      <c r="R263">
        <f t="shared" si="966"/>
        <v>-12970950.386864526</v>
      </c>
      <c r="S263">
        <f t="shared" si="967"/>
        <v>-129.70950386864527</v>
      </c>
      <c r="T263">
        <f t="shared" si="968"/>
        <v>-0.12970950386864527</v>
      </c>
    </row>
    <row r="264" spans="1:20" x14ac:dyDescent="0.25">
      <c r="A264" s="5">
        <v>44329</v>
      </c>
      <c r="B264">
        <v>8.2840000000000007</v>
      </c>
      <c r="C264">
        <v>10.95</v>
      </c>
      <c r="D264">
        <v>7.7</v>
      </c>
      <c r="E264">
        <v>8.282</v>
      </c>
      <c r="F264">
        <v>1800861.659</v>
      </c>
      <c r="G264">
        <v>0</v>
      </c>
      <c r="L264" t="s">
        <v>7</v>
      </c>
      <c r="M264" t="s">
        <v>8</v>
      </c>
      <c r="N264" t="s">
        <v>7</v>
      </c>
      <c r="P264">
        <f t="shared" si="964"/>
        <v>-0.64184615384615384</v>
      </c>
      <c r="Q264">
        <f t="shared" si="965"/>
        <v>-1155876.1294381539</v>
      </c>
      <c r="R264">
        <f t="shared" si="966"/>
        <v>-13030590.468991799</v>
      </c>
      <c r="S264">
        <f t="shared" si="967"/>
        <v>-130.30590468991798</v>
      </c>
      <c r="T264">
        <f t="shared" si="968"/>
        <v>-0.13030590468991798</v>
      </c>
    </row>
    <row r="265" spans="1:20" x14ac:dyDescent="0.25">
      <c r="A265" s="5">
        <v>44328</v>
      </c>
      <c r="B265">
        <v>7.9370000000000003</v>
      </c>
      <c r="C265">
        <v>10.862</v>
      </c>
      <c r="D265">
        <v>7.4359999999999999</v>
      </c>
      <c r="E265">
        <v>8.3979999999999997</v>
      </c>
      <c r="F265">
        <v>1235320.406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-0.43841214244016363</v>
      </c>
      <c r="Q265">
        <f t="shared" si="965"/>
        <v>-541579.46579451277</v>
      </c>
      <c r="R265">
        <f t="shared" si="966"/>
        <v>-11874714.339553645</v>
      </c>
      <c r="S265">
        <f t="shared" si="967"/>
        <v>-118.74714339553645</v>
      </c>
      <c r="T265">
        <f t="shared" si="968"/>
        <v>-0.11874714339553645</v>
      </c>
    </row>
    <row r="266" spans="1:20" x14ac:dyDescent="0.25">
      <c r="A266" s="5">
        <v>44327</v>
      </c>
      <c r="B266">
        <v>7.8339999999999996</v>
      </c>
      <c r="C266">
        <v>7.9909999999999997</v>
      </c>
      <c r="D266">
        <v>7.5</v>
      </c>
      <c r="E266">
        <v>7.9320000000000004</v>
      </c>
      <c r="F266">
        <v>180263.05100000001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0.75967413441955467</v>
      </c>
      <c r="Q266">
        <f t="shared" si="965"/>
        <v>136941.17723625305</v>
      </c>
      <c r="R266">
        <f t="shared" si="966"/>
        <v>-11333134.873759132</v>
      </c>
      <c r="S266">
        <f t="shared" si="967"/>
        <v>-113.33134873759131</v>
      </c>
      <c r="T266">
        <f t="shared" si="968"/>
        <v>-0.11333134873759131</v>
      </c>
    </row>
    <row r="267" spans="1:20" x14ac:dyDescent="0.25">
      <c r="A267" s="5">
        <v>44326</v>
      </c>
      <c r="B267">
        <v>8.6150000000000002</v>
      </c>
      <c r="C267">
        <v>8.92</v>
      </c>
      <c r="D267">
        <v>7.694</v>
      </c>
      <c r="E267">
        <v>7.84</v>
      </c>
      <c r="F267">
        <v>195204.9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-0.7618270799347473</v>
      </c>
      <c r="Q267">
        <f t="shared" si="965"/>
        <v>-148712.37895595434</v>
      </c>
      <c r="R267">
        <f t="shared" si="966"/>
        <v>-11470076.050995385</v>
      </c>
      <c r="S267">
        <f t="shared" si="967"/>
        <v>-114.70076050995385</v>
      </c>
      <c r="T267">
        <f t="shared" si="968"/>
        <v>-0.11470076050995386</v>
      </c>
    </row>
    <row r="268" spans="1:20" x14ac:dyDescent="0.25">
      <c r="A268" s="5">
        <v>44325</v>
      </c>
      <c r="B268">
        <v>9.3360000000000003</v>
      </c>
      <c r="C268">
        <v>9.359</v>
      </c>
      <c r="D268">
        <v>8.3759999999999994</v>
      </c>
      <c r="E268">
        <v>8.5950000000000006</v>
      </c>
      <c r="F268">
        <v>211764.728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-0.55442522889114731</v>
      </c>
      <c r="Q268">
        <f t="shared" si="965"/>
        <v>-117407.70779247156</v>
      </c>
      <c r="R268">
        <f t="shared" si="966"/>
        <v>-11321363.672039431</v>
      </c>
      <c r="S268">
        <f t="shared" si="967"/>
        <v>-113.21363672039431</v>
      </c>
      <c r="T268">
        <f t="shared" si="968"/>
        <v>-0.11321363672039431</v>
      </c>
    </row>
    <row r="269" spans="1:20" x14ac:dyDescent="0.25">
      <c r="A269" s="5">
        <v>44324</v>
      </c>
      <c r="B269">
        <v>8.8420000000000005</v>
      </c>
      <c r="C269">
        <v>9.9600000000000009</v>
      </c>
      <c r="D269">
        <v>8.7710000000000008</v>
      </c>
      <c r="E269">
        <v>9.3339999999999996</v>
      </c>
      <c r="F269">
        <v>334833.52100000001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-5.2985702270817815E-2</v>
      </c>
      <c r="Q269">
        <f t="shared" si="965"/>
        <v>-17741.389253995625</v>
      </c>
      <c r="R269">
        <f t="shared" si="966"/>
        <v>-11203955.964246958</v>
      </c>
      <c r="S269">
        <f t="shared" si="967"/>
        <v>-112.03955964246958</v>
      </c>
      <c r="T269">
        <f t="shared" si="968"/>
        <v>-0.11203955964246959</v>
      </c>
    </row>
    <row r="270" spans="1:20" x14ac:dyDescent="0.25">
      <c r="A270" s="5">
        <v>44323</v>
      </c>
      <c r="B270">
        <v>8.8949999999999996</v>
      </c>
      <c r="C270">
        <v>9.2189999999999994</v>
      </c>
      <c r="D270">
        <v>8.3670000000000009</v>
      </c>
      <c r="E270">
        <v>8.8439999999999994</v>
      </c>
      <c r="F270">
        <v>207564.114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0.11971830985915342</v>
      </c>
      <c r="Q270">
        <f t="shared" si="965"/>
        <v>24849.224915492647</v>
      </c>
      <c r="R270">
        <f t="shared" si="966"/>
        <v>-11186214.574992962</v>
      </c>
      <c r="S270">
        <f t="shared" si="967"/>
        <v>-111.86214574992962</v>
      </c>
      <c r="T270">
        <f t="shared" si="968"/>
        <v>-0.11186214574992963</v>
      </c>
    </row>
    <row r="271" spans="1:20" x14ac:dyDescent="0.25">
      <c r="A271" s="5">
        <v>44322</v>
      </c>
      <c r="B271">
        <v>9.1129999999999995</v>
      </c>
      <c r="C271">
        <v>9.1850000000000005</v>
      </c>
      <c r="D271">
        <v>8.641</v>
      </c>
      <c r="E271">
        <v>8.9</v>
      </c>
      <c r="F271">
        <v>151370.872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-4.7794117647058418E-2</v>
      </c>
      <c r="Q271">
        <f t="shared" si="965"/>
        <v>-7234.6372647058215</v>
      </c>
      <c r="R271">
        <f t="shared" si="966"/>
        <v>-11211063.799908455</v>
      </c>
      <c r="S271">
        <f t="shared" si="967"/>
        <v>-112.11063799908456</v>
      </c>
      <c r="T271">
        <f t="shared" si="968"/>
        <v>-0.11211063799908456</v>
      </c>
    </row>
    <row r="272" spans="1:20" x14ac:dyDescent="0.25">
      <c r="A272" s="5">
        <v>44321</v>
      </c>
      <c r="B272">
        <v>8.6310000000000002</v>
      </c>
      <c r="C272">
        <v>9.2490000000000006</v>
      </c>
      <c r="D272">
        <v>8.593</v>
      </c>
      <c r="E272">
        <v>9.109</v>
      </c>
      <c r="F272">
        <v>250887.32800000001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0.57317073170731569</v>
      </c>
      <c r="Q272">
        <f t="shared" si="965"/>
        <v>143801.27336585333</v>
      </c>
      <c r="R272">
        <f t="shared" si="966"/>
        <v>-11203829.162643749</v>
      </c>
      <c r="S272">
        <f t="shared" si="967"/>
        <v>-112.0382916264375</v>
      </c>
      <c r="T272">
        <f t="shared" si="968"/>
        <v>-0.1120382916264375</v>
      </c>
    </row>
    <row r="273" spans="1:20" x14ac:dyDescent="0.25">
      <c r="A273" s="5">
        <v>44320</v>
      </c>
      <c r="B273">
        <v>9.9710000000000001</v>
      </c>
      <c r="C273">
        <v>9.9710000000000001</v>
      </c>
      <c r="D273">
        <v>8.6069999999999993</v>
      </c>
      <c r="E273">
        <v>8.6300000000000008</v>
      </c>
      <c r="F273">
        <v>300069.05499999999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-0.96627565982404484</v>
      </c>
      <c r="Q273">
        <f t="shared" si="965"/>
        <v>-289949.4241129026</v>
      </c>
      <c r="R273">
        <f t="shared" si="966"/>
        <v>-11347630.436009603</v>
      </c>
      <c r="S273">
        <f t="shared" si="967"/>
        <v>-113.47630436009602</v>
      </c>
      <c r="T273">
        <f t="shared" si="968"/>
        <v>-0.11347630436009602</v>
      </c>
    </row>
    <row r="274" spans="1:20" x14ac:dyDescent="0.25">
      <c r="A274" s="5">
        <v>44319</v>
      </c>
      <c r="B274">
        <v>9.8209999999999997</v>
      </c>
      <c r="C274">
        <v>10.589</v>
      </c>
      <c r="D274">
        <v>9.7609999999999992</v>
      </c>
      <c r="E274">
        <v>9.9450000000000003</v>
      </c>
      <c r="F274">
        <v>326821.44900000002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-0.55555555555555369</v>
      </c>
      <c r="Q274">
        <f t="shared" si="965"/>
        <v>-181567.47166666607</v>
      </c>
      <c r="R274">
        <f t="shared" si="966"/>
        <v>-11057681.0118967</v>
      </c>
      <c r="S274">
        <f t="shared" si="967"/>
        <v>-110.576810118967</v>
      </c>
      <c r="T274">
        <f t="shared" si="968"/>
        <v>-0.110576810118967</v>
      </c>
    </row>
    <row r="275" spans="1:20" x14ac:dyDescent="0.25">
      <c r="A275" s="5">
        <v>44318</v>
      </c>
      <c r="B275">
        <v>10.137</v>
      </c>
      <c r="C275">
        <v>10.17</v>
      </c>
      <c r="D275">
        <v>9.266</v>
      </c>
      <c r="E275">
        <v>9.85</v>
      </c>
      <c r="F275">
        <v>327318.03499999997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0.29203539823008778</v>
      </c>
      <c r="Q275">
        <f t="shared" si="965"/>
        <v>95588.452699114801</v>
      </c>
      <c r="R275">
        <f t="shared" si="966"/>
        <v>-10876113.540230034</v>
      </c>
      <c r="S275">
        <f t="shared" si="967"/>
        <v>-108.76113540230034</v>
      </c>
      <c r="T275">
        <f t="shared" si="968"/>
        <v>-0.10876113540230034</v>
      </c>
    </row>
    <row r="276" spans="1:20" x14ac:dyDescent="0.25">
      <c r="A276" s="5">
        <v>44317</v>
      </c>
      <c r="B276">
        <v>10.489000000000001</v>
      </c>
      <c r="C276">
        <v>10.599</v>
      </c>
      <c r="D276">
        <v>9.7240000000000002</v>
      </c>
      <c r="E276">
        <v>10.113</v>
      </c>
      <c r="F276">
        <v>241848.56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-0.11085714285714435</v>
      </c>
      <c r="Q276">
        <f t="shared" si="965"/>
        <v>-26810.640365714647</v>
      </c>
      <c r="R276">
        <f t="shared" si="966"/>
        <v>-10971701.992929149</v>
      </c>
      <c r="S276">
        <f t="shared" si="967"/>
        <v>-109.7170199292915</v>
      </c>
      <c r="T276">
        <f t="shared" si="968"/>
        <v>-0.10971701992929149</v>
      </c>
    </row>
    <row r="277" spans="1:20" x14ac:dyDescent="0.25">
      <c r="A277" s="5">
        <v>44316</v>
      </c>
      <c r="B277">
        <v>9.4160000000000004</v>
      </c>
      <c r="C277">
        <v>10.999000000000001</v>
      </c>
      <c r="D277">
        <v>9.2710000000000008</v>
      </c>
      <c r="E277">
        <v>10.462999999999999</v>
      </c>
      <c r="F277">
        <v>343171.799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0.37962962962962798</v>
      </c>
      <c r="Q277">
        <f t="shared" si="965"/>
        <v>130278.18295370314</v>
      </c>
      <c r="R277">
        <f t="shared" si="966"/>
        <v>-10944891.352563435</v>
      </c>
      <c r="S277">
        <f t="shared" si="967"/>
        <v>-109.44891352563435</v>
      </c>
      <c r="T277">
        <f t="shared" si="968"/>
        <v>-0.10944891352563435</v>
      </c>
    </row>
    <row r="278" spans="1:20" x14ac:dyDescent="0.25">
      <c r="A278" s="5">
        <v>44315</v>
      </c>
      <c r="B278">
        <v>9.2560000000000002</v>
      </c>
      <c r="C278">
        <v>9.9990000000000006</v>
      </c>
      <c r="D278">
        <v>9</v>
      </c>
      <c r="E278">
        <v>9.4</v>
      </c>
      <c r="F278">
        <v>287572.495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-0.19919919919919893</v>
      </c>
      <c r="Q278">
        <f t="shared" si="965"/>
        <v>-57284.210715715635</v>
      </c>
      <c r="R278">
        <f t="shared" si="966"/>
        <v>-11075169.535517137</v>
      </c>
      <c r="S278">
        <f t="shared" si="967"/>
        <v>-110.75169535517138</v>
      </c>
      <c r="T278">
        <f t="shared" si="968"/>
        <v>-0.11075169535517138</v>
      </c>
    </row>
    <row r="279" spans="1:20" x14ac:dyDescent="0.25">
      <c r="A279" s="5">
        <v>44314</v>
      </c>
      <c r="B279">
        <v>9.7189999999999994</v>
      </c>
      <c r="C279">
        <v>9.9849999999999994</v>
      </c>
      <c r="D279">
        <v>8.8680000000000003</v>
      </c>
      <c r="E279">
        <v>9.218</v>
      </c>
      <c r="F279">
        <v>165573.622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-0.3733213965980306</v>
      </c>
      <c r="Q279">
        <f t="shared" si="965"/>
        <v>-61812.175804834405</v>
      </c>
      <c r="R279">
        <f t="shared" si="966"/>
        <v>-11017885.324801423</v>
      </c>
      <c r="S279">
        <f t="shared" si="967"/>
        <v>-110.17885324801422</v>
      </c>
      <c r="T279">
        <f t="shared" si="968"/>
        <v>-0.11017885324801423</v>
      </c>
    </row>
    <row r="280" spans="1:20" x14ac:dyDescent="0.25">
      <c r="A280" s="5">
        <v>44313</v>
      </c>
      <c r="B280">
        <v>9.0250000000000004</v>
      </c>
      <c r="C280">
        <v>9.85</v>
      </c>
      <c r="D280">
        <v>8.9499999999999993</v>
      </c>
      <c r="E280">
        <v>9.7469999999999999</v>
      </c>
      <c r="F280">
        <v>214187.39799999999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0.77111111111111175</v>
      </c>
      <c r="Q280">
        <f t="shared" si="965"/>
        <v>165162.28245777791</v>
      </c>
      <c r="R280">
        <f t="shared" si="966"/>
        <v>-10956073.148996588</v>
      </c>
      <c r="S280">
        <f t="shared" si="967"/>
        <v>-109.56073148996587</v>
      </c>
      <c r="T280">
        <f t="shared" si="968"/>
        <v>-0.10956073148996587</v>
      </c>
    </row>
    <row r="281" spans="1:20" x14ac:dyDescent="0.25">
      <c r="A281" s="5">
        <v>44312</v>
      </c>
      <c r="B281">
        <v>7.8719999999999999</v>
      </c>
      <c r="C281">
        <v>9.1</v>
      </c>
      <c r="D281">
        <v>7.8079999999999998</v>
      </c>
      <c r="E281">
        <v>9.0269999999999992</v>
      </c>
      <c r="F281">
        <v>234160.48800000001</v>
      </c>
      <c r="G281">
        <v>0</v>
      </c>
      <c r="L281" t="s">
        <v>7</v>
      </c>
      <c r="M281" t="s">
        <v>8</v>
      </c>
      <c r="N281" t="s">
        <v>7</v>
      </c>
      <c r="P281">
        <f t="shared" si="964"/>
        <v>0.88699690402476716</v>
      </c>
      <c r="Q281">
        <f t="shared" si="965"/>
        <v>207699.62790092867</v>
      </c>
      <c r="R281">
        <f t="shared" si="966"/>
        <v>-11121235.431454366</v>
      </c>
      <c r="S281">
        <f t="shared" si="967"/>
        <v>-111.21235431454366</v>
      </c>
      <c r="T281">
        <f t="shared" si="968"/>
        <v>-0.11121235431454365</v>
      </c>
    </row>
    <row r="282" spans="1:20" x14ac:dyDescent="0.25">
      <c r="A282" s="5">
        <v>44311</v>
      </c>
      <c r="B282">
        <v>7.9569999999999999</v>
      </c>
      <c r="C282">
        <v>9.1280000000000001</v>
      </c>
      <c r="D282">
        <v>7.3609999999999998</v>
      </c>
      <c r="E282">
        <v>7.8739999999999997</v>
      </c>
      <c r="F282">
        <v>226187.054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-0.41935483870967766</v>
      </c>
      <c r="Q282">
        <f t="shared" si="965"/>
        <v>-94852.635548387159</v>
      </c>
      <c r="R282">
        <f t="shared" si="966"/>
        <v>-11328935.059355294</v>
      </c>
      <c r="S282">
        <f t="shared" si="967"/>
        <v>-113.28935059355294</v>
      </c>
      <c r="T282">
        <f t="shared" si="968"/>
        <v>-0.11328935059355294</v>
      </c>
    </row>
    <row r="283" spans="1:20" x14ac:dyDescent="0.25">
      <c r="A283" s="5">
        <v>44310</v>
      </c>
      <c r="B283">
        <v>8.3960000000000008</v>
      </c>
      <c r="C283">
        <v>8.59</v>
      </c>
      <c r="D283">
        <v>7.6660000000000004</v>
      </c>
      <c r="E283">
        <v>7.9580000000000002</v>
      </c>
      <c r="F283">
        <v>153377.995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-0.367965367965368</v>
      </c>
      <c r="Q283">
        <f t="shared" si="965"/>
        <v>-56437.790367965368</v>
      </c>
      <c r="R283">
        <f t="shared" si="966"/>
        <v>-11234082.423806908</v>
      </c>
      <c r="S283">
        <f t="shared" si="967"/>
        <v>-112.34082423806908</v>
      </c>
      <c r="T283">
        <f t="shared" si="968"/>
        <v>-0.11234082423806907</v>
      </c>
    </row>
    <row r="284" spans="1:20" x14ac:dyDescent="0.25">
      <c r="A284" s="5">
        <v>44309</v>
      </c>
      <c r="B284">
        <v>8.9610000000000003</v>
      </c>
      <c r="C284">
        <v>9.1579999999999995</v>
      </c>
      <c r="D284">
        <v>7.3</v>
      </c>
      <c r="E284">
        <v>8.3840000000000003</v>
      </c>
      <c r="F284">
        <v>290296.05599999998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0.16684607104413426</v>
      </c>
      <c r="Q284">
        <f t="shared" si="965"/>
        <v>48434.756383207976</v>
      </c>
      <c r="R284">
        <f t="shared" si="966"/>
        <v>-11177644.633438943</v>
      </c>
      <c r="S284">
        <f t="shared" si="967"/>
        <v>-111.77644633438943</v>
      </c>
      <c r="T284">
        <f t="shared" si="968"/>
        <v>-0.11177644633438943</v>
      </c>
    </row>
    <row r="285" spans="1:20" x14ac:dyDescent="0.25">
      <c r="A285" s="5">
        <v>44308</v>
      </c>
      <c r="B285">
        <v>9.5299999999999994</v>
      </c>
      <c r="C285">
        <v>9.7750000000000004</v>
      </c>
      <c r="D285">
        <v>8.7010000000000005</v>
      </c>
      <c r="E285">
        <v>8.9610000000000003</v>
      </c>
      <c r="F285">
        <v>261331.32500000001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-0.51582867783985131</v>
      </c>
      <c r="Q285">
        <f t="shared" si="965"/>
        <v>-134802.19185288649</v>
      </c>
      <c r="R285">
        <f t="shared" si="966"/>
        <v>-11226079.389822152</v>
      </c>
      <c r="S285">
        <f t="shared" si="967"/>
        <v>-112.26079389822152</v>
      </c>
      <c r="T285">
        <f t="shared" si="968"/>
        <v>-0.11226079389822152</v>
      </c>
    </row>
    <row r="286" spans="1:20" x14ac:dyDescent="0.25">
      <c r="A286" s="5">
        <v>44307</v>
      </c>
      <c r="B286">
        <v>9.9120000000000008</v>
      </c>
      <c r="C286">
        <v>10.589</v>
      </c>
      <c r="D286">
        <v>9.2569999999999997</v>
      </c>
      <c r="E286">
        <v>9.5229999999999997</v>
      </c>
      <c r="F286">
        <v>243383.101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-0.60060060060060083</v>
      </c>
      <c r="Q286">
        <f t="shared" si="965"/>
        <v>-146176.03663663668</v>
      </c>
      <c r="R286">
        <f t="shared" si="966"/>
        <v>-11091277.197969265</v>
      </c>
      <c r="S286">
        <f t="shared" si="967"/>
        <v>-110.91277197969265</v>
      </c>
      <c r="T286">
        <f t="shared" si="968"/>
        <v>-0.11091277197969265</v>
      </c>
    </row>
    <row r="287" spans="1:20" x14ac:dyDescent="0.25">
      <c r="A287" s="5">
        <v>44306</v>
      </c>
      <c r="B287">
        <v>9.7289999999999992</v>
      </c>
      <c r="C287">
        <v>10.3</v>
      </c>
      <c r="D287">
        <v>8.2149999999999999</v>
      </c>
      <c r="E287">
        <v>9.923</v>
      </c>
      <c r="F287">
        <v>267678.08100000001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0.63836930455635443</v>
      </c>
      <c r="Q287">
        <f t="shared" si="965"/>
        <v>170877.47041294951</v>
      </c>
      <c r="R287">
        <f t="shared" si="966"/>
        <v>-10945101.161332628</v>
      </c>
      <c r="S287">
        <f t="shared" si="967"/>
        <v>-109.45101161332627</v>
      </c>
      <c r="T287">
        <f t="shared" si="968"/>
        <v>-0.10945101161332628</v>
      </c>
    </row>
    <row r="288" spans="1:20" x14ac:dyDescent="0.25">
      <c r="A288" s="5">
        <v>44305</v>
      </c>
      <c r="B288">
        <v>10.08</v>
      </c>
      <c r="C288">
        <v>11.427</v>
      </c>
      <c r="D288">
        <v>9.2309999999999999</v>
      </c>
      <c r="E288">
        <v>9.7309999999999999</v>
      </c>
      <c r="F288">
        <v>358196.80800000002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-0.54462659380692158</v>
      </c>
      <c r="Q288">
        <f t="shared" si="965"/>
        <v>-195083.50745355189</v>
      </c>
      <c r="R288">
        <f t="shared" si="966"/>
        <v>-11115978.631745577</v>
      </c>
      <c r="S288">
        <f t="shared" si="967"/>
        <v>-111.15978631745577</v>
      </c>
      <c r="T288">
        <f t="shared" si="968"/>
        <v>-0.11115978631745577</v>
      </c>
    </row>
    <row r="289" spans="1:20" x14ac:dyDescent="0.25">
      <c r="A289" s="5">
        <v>44304</v>
      </c>
      <c r="B289">
        <v>11.847</v>
      </c>
      <c r="C289">
        <v>12.5</v>
      </c>
      <c r="D289">
        <v>9.5860000000000003</v>
      </c>
      <c r="E289">
        <v>10.055</v>
      </c>
      <c r="F289">
        <v>471332.70699999999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-0.67810569663692555</v>
      </c>
      <c r="Q289">
        <f t="shared" si="965"/>
        <v>-319613.3936280029</v>
      </c>
      <c r="R289">
        <f t="shared" si="966"/>
        <v>-10920895.124292025</v>
      </c>
      <c r="S289">
        <f t="shared" si="967"/>
        <v>-109.20895124292025</v>
      </c>
      <c r="T289">
        <f t="shared" si="968"/>
        <v>-0.10920895124292025</v>
      </c>
    </row>
    <row r="290" spans="1:20" x14ac:dyDescent="0.25">
      <c r="A290" s="5">
        <v>44303</v>
      </c>
      <c r="B290">
        <v>11.986000000000001</v>
      </c>
      <c r="C290">
        <v>14.808</v>
      </c>
      <c r="D290">
        <v>11.739000000000001</v>
      </c>
      <c r="E290">
        <v>11.847</v>
      </c>
      <c r="F290">
        <v>786011.33400000003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-0.92961876832844659</v>
      </c>
      <c r="Q290">
        <f t="shared" si="965"/>
        <v>-730690.88820527925</v>
      </c>
      <c r="R290">
        <f t="shared" si="966"/>
        <v>-10601281.730664022</v>
      </c>
      <c r="S290">
        <f t="shared" si="967"/>
        <v>-106.01281730664023</v>
      </c>
      <c r="T290">
        <f t="shared" si="968"/>
        <v>-0.10601281730664024</v>
      </c>
    </row>
    <row r="291" spans="1:20" x14ac:dyDescent="0.25">
      <c r="A291" s="5">
        <v>44302</v>
      </c>
      <c r="B291">
        <v>12.925000000000001</v>
      </c>
      <c r="C291">
        <v>12.939</v>
      </c>
      <c r="D291">
        <v>11.53</v>
      </c>
      <c r="E291">
        <v>11.993</v>
      </c>
      <c r="F291">
        <v>285951.43699999998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-0.3427963094393176</v>
      </c>
      <c r="Q291">
        <f t="shared" si="965"/>
        <v>-98023.09728246952</v>
      </c>
      <c r="R291">
        <f t="shared" si="966"/>
        <v>-9870590.8424587436</v>
      </c>
      <c r="S291">
        <f t="shared" si="967"/>
        <v>-98.705908424587435</v>
      </c>
      <c r="T291">
        <f t="shared" si="968"/>
        <v>-9.870590842458743E-2</v>
      </c>
    </row>
    <row r="292" spans="1:20" x14ac:dyDescent="0.25">
      <c r="A292" s="5">
        <v>44301</v>
      </c>
      <c r="B292">
        <v>13.311999999999999</v>
      </c>
      <c r="C292">
        <v>13.334</v>
      </c>
      <c r="D292">
        <v>12.36</v>
      </c>
      <c r="E292">
        <v>12.94</v>
      </c>
      <c r="F292">
        <v>243785.948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0.19096509240246398</v>
      </c>
      <c r="Q292">
        <f t="shared" si="965"/>
        <v>46554.606086242282</v>
      </c>
      <c r="R292">
        <f t="shared" si="966"/>
        <v>-9772567.7451762743</v>
      </c>
      <c r="S292">
        <f t="shared" si="967"/>
        <v>-97.725677451762749</v>
      </c>
      <c r="T292">
        <f t="shared" si="968"/>
        <v>-9.7725677451762749E-2</v>
      </c>
    </row>
    <row r="293" spans="1:20" x14ac:dyDescent="0.25">
      <c r="A293" s="5">
        <v>44300</v>
      </c>
      <c r="B293">
        <v>12.569000000000001</v>
      </c>
      <c r="C293">
        <v>13.853</v>
      </c>
      <c r="D293">
        <v>12.095000000000001</v>
      </c>
      <c r="E293">
        <v>13.279</v>
      </c>
      <c r="F293">
        <v>411638.946</v>
      </c>
      <c r="G293">
        <v>0</v>
      </c>
      <c r="L293" t="s">
        <v>7</v>
      </c>
      <c r="M293" t="s">
        <v>8</v>
      </c>
      <c r="N293" t="s">
        <v>7</v>
      </c>
      <c r="P293">
        <f t="shared" si="964"/>
        <v>0.34698521046643899</v>
      </c>
      <c r="Q293">
        <f t="shared" si="965"/>
        <v>142832.62631399313</v>
      </c>
      <c r="R293">
        <f t="shared" si="966"/>
        <v>-9819122.3512625173</v>
      </c>
      <c r="S293">
        <f t="shared" si="967"/>
        <v>-98.191223512625172</v>
      </c>
      <c r="T293">
        <f t="shared" si="968"/>
        <v>-9.8191223512625173E-2</v>
      </c>
    </row>
    <row r="294" spans="1:20" x14ac:dyDescent="0.25">
      <c r="A294" s="5">
        <v>44299</v>
      </c>
      <c r="B294">
        <v>13.013</v>
      </c>
      <c r="C294">
        <v>13.6</v>
      </c>
      <c r="D294">
        <v>12.167999999999999</v>
      </c>
      <c r="E294">
        <v>12.567</v>
      </c>
      <c r="F294">
        <v>392459.47200000001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-0.44273743016759665</v>
      </c>
      <c r="Q294">
        <f t="shared" si="965"/>
        <v>-173756.49807821185</v>
      </c>
      <c r="R294">
        <f t="shared" si="966"/>
        <v>-9961954.977576511</v>
      </c>
      <c r="S294">
        <f t="shared" si="967"/>
        <v>-99.619549775765108</v>
      </c>
      <c r="T294">
        <f t="shared" si="968"/>
        <v>-9.9619549775765107E-2</v>
      </c>
    </row>
    <row r="295" spans="1:20" x14ac:dyDescent="0.25">
      <c r="A295" s="5">
        <v>44298</v>
      </c>
      <c r="B295">
        <v>12.337</v>
      </c>
      <c r="C295">
        <v>14.4</v>
      </c>
      <c r="D295">
        <v>11.96</v>
      </c>
      <c r="E295">
        <v>13.063000000000001</v>
      </c>
      <c r="F295">
        <v>976102.37800000003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-9.590163934426231E-2</v>
      </c>
      <c r="Q295">
        <f t="shared" si="965"/>
        <v>-93609.8182180328</v>
      </c>
      <c r="R295">
        <f t="shared" si="966"/>
        <v>-9788198.4794982988</v>
      </c>
      <c r="S295">
        <f t="shared" si="967"/>
        <v>-97.881984794982984</v>
      </c>
      <c r="T295">
        <f t="shared" si="968"/>
        <v>-9.7881984794982987E-2</v>
      </c>
    </row>
    <row r="296" spans="1:20" x14ac:dyDescent="0.25">
      <c r="A296" s="5">
        <v>44297</v>
      </c>
      <c r="B296">
        <v>12.898</v>
      </c>
      <c r="C296">
        <v>13.010999999999999</v>
      </c>
      <c r="D296">
        <v>11.853999999999999</v>
      </c>
      <c r="E296">
        <v>12.336</v>
      </c>
      <c r="F296">
        <v>446094.08100000001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-0.16681071737251327</v>
      </c>
      <c r="Q296">
        <f t="shared" si="965"/>
        <v>-74413.273667242043</v>
      </c>
      <c r="R296">
        <f t="shared" si="966"/>
        <v>-9694588.6612802669</v>
      </c>
      <c r="S296">
        <f t="shared" si="967"/>
        <v>-96.945886612802667</v>
      </c>
      <c r="T296">
        <f t="shared" si="968"/>
        <v>-9.6945886612802665E-2</v>
      </c>
    </row>
    <row r="297" spans="1:20" x14ac:dyDescent="0.25">
      <c r="A297" s="5">
        <v>44296</v>
      </c>
      <c r="B297">
        <v>16.065000000000001</v>
      </c>
      <c r="C297">
        <v>16.202999999999999</v>
      </c>
      <c r="D297">
        <v>12.465</v>
      </c>
      <c r="E297">
        <v>12.893000000000001</v>
      </c>
      <c r="F297">
        <v>758777.02599999995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-0.77100053504547839</v>
      </c>
      <c r="Q297">
        <f t="shared" si="965"/>
        <v>-585017.49302621686</v>
      </c>
      <c r="R297">
        <f t="shared" si="966"/>
        <v>-9620175.3876130246</v>
      </c>
      <c r="S297">
        <f t="shared" si="967"/>
        <v>-96.20175387613024</v>
      </c>
      <c r="T297">
        <f t="shared" si="968"/>
        <v>-9.6201753876130239E-2</v>
      </c>
    </row>
    <row r="298" spans="1:20" x14ac:dyDescent="0.25">
      <c r="A298" s="5">
        <v>44295</v>
      </c>
      <c r="B298">
        <v>13.143000000000001</v>
      </c>
      <c r="C298">
        <v>17</v>
      </c>
      <c r="D298">
        <v>12.406000000000001</v>
      </c>
      <c r="E298">
        <v>16.048999999999999</v>
      </c>
      <c r="F298">
        <v>849272.21100000001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0.58598171528080079</v>
      </c>
      <c r="Q298">
        <f t="shared" si="965"/>
        <v>497657.98694209818</v>
      </c>
      <c r="R298">
        <f t="shared" si="966"/>
        <v>-9035157.8945868071</v>
      </c>
      <c r="S298">
        <f t="shared" si="967"/>
        <v>-90.35157894586807</v>
      </c>
      <c r="T298">
        <f t="shared" si="968"/>
        <v>-9.0351578945868066E-2</v>
      </c>
    </row>
    <row r="299" spans="1:20" x14ac:dyDescent="0.25">
      <c r="A299" s="5">
        <v>44294</v>
      </c>
      <c r="B299">
        <v>11.632</v>
      </c>
      <c r="C299">
        <v>15.4</v>
      </c>
      <c r="D299">
        <v>11.236000000000001</v>
      </c>
      <c r="E299">
        <v>13.143000000000001</v>
      </c>
      <c r="F299">
        <v>1226493.1100000001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-8.4053794428434123E-2</v>
      </c>
      <c r="Q299">
        <f t="shared" si="965"/>
        <v>-103091.39973583086</v>
      </c>
      <c r="R299">
        <f t="shared" si="966"/>
        <v>-9532815.8815289047</v>
      </c>
      <c r="S299">
        <f t="shared" si="967"/>
        <v>-95.328158815289044</v>
      </c>
      <c r="T299">
        <f t="shared" si="968"/>
        <v>-9.5328158815289041E-2</v>
      </c>
    </row>
    <row r="300" spans="1:20" x14ac:dyDescent="0.25">
      <c r="A300" s="5">
        <v>44293</v>
      </c>
      <c r="B300">
        <v>11.115</v>
      </c>
      <c r="C300">
        <v>14.2</v>
      </c>
      <c r="D300">
        <v>9.6999999999999993</v>
      </c>
      <c r="E300">
        <v>11.676</v>
      </c>
      <c r="F300">
        <v>1597719.8149999999</v>
      </c>
      <c r="G300">
        <v>0</v>
      </c>
      <c r="L300" t="s">
        <v>8</v>
      </c>
      <c r="M300" t="s">
        <v>8</v>
      </c>
      <c r="N300" t="s">
        <v>7</v>
      </c>
      <c r="P300">
        <f t="shared" si="964"/>
        <v>-0.12177777777777739</v>
      </c>
      <c r="Q300">
        <f t="shared" si="965"/>
        <v>-194566.76858222159</v>
      </c>
      <c r="R300">
        <f t="shared" si="966"/>
        <v>-9429724.4817930739</v>
      </c>
      <c r="S300">
        <f t="shared" si="967"/>
        <v>-94.297244817930746</v>
      </c>
      <c r="T300">
        <f t="shared" si="968"/>
        <v>-9.4297244817930753E-2</v>
      </c>
    </row>
    <row r="301" spans="1:20" x14ac:dyDescent="0.25">
      <c r="A301" s="5">
        <v>44292</v>
      </c>
      <c r="B301">
        <v>10.353999999999999</v>
      </c>
      <c r="C301">
        <v>11.465999999999999</v>
      </c>
      <c r="D301">
        <v>10.206</v>
      </c>
      <c r="E301">
        <v>11.157999999999999</v>
      </c>
      <c r="F301">
        <v>323693.20699999999</v>
      </c>
      <c r="G301">
        <v>0</v>
      </c>
      <c r="L301" t="s">
        <v>8</v>
      </c>
      <c r="M301" t="s">
        <v>7</v>
      </c>
      <c r="N301" t="s">
        <v>8</v>
      </c>
      <c r="P301">
        <f t="shared" si="964"/>
        <v>0.51111111111111129</v>
      </c>
      <c r="Q301">
        <f t="shared" si="965"/>
        <v>165443.19468888894</v>
      </c>
      <c r="R301">
        <f t="shared" si="966"/>
        <v>-9235157.7132108528</v>
      </c>
      <c r="S301">
        <f t="shared" si="967"/>
        <v>-92.351577132108531</v>
      </c>
      <c r="T301">
        <f t="shared" si="968"/>
        <v>-9.2351577132108537E-2</v>
      </c>
    </row>
    <row r="302" spans="1:20" x14ac:dyDescent="0.25">
      <c r="A302" s="5">
        <v>44291</v>
      </c>
      <c r="B302">
        <v>10.4</v>
      </c>
      <c r="C302">
        <v>11</v>
      </c>
      <c r="D302">
        <v>10.018000000000001</v>
      </c>
      <c r="E302">
        <v>10.352</v>
      </c>
      <c r="F302">
        <v>223422.73300000001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-0.31975560081466425</v>
      </c>
      <c r="Q302">
        <f t="shared" si="965"/>
        <v>-71440.670226069313</v>
      </c>
      <c r="R302">
        <f t="shared" si="966"/>
        <v>-9400600.9078997411</v>
      </c>
      <c r="S302">
        <f t="shared" si="967"/>
        <v>-94.006009078997408</v>
      </c>
      <c r="T302">
        <f t="shared" si="968"/>
        <v>-9.4006009078997407E-2</v>
      </c>
    </row>
    <row r="303" spans="1:20" x14ac:dyDescent="0.25">
      <c r="A303" s="5">
        <v>44290</v>
      </c>
      <c r="B303">
        <v>9.99</v>
      </c>
      <c r="C303">
        <v>10.87</v>
      </c>
      <c r="D303">
        <v>9.8770000000000007</v>
      </c>
      <c r="E303">
        <v>10.4</v>
      </c>
      <c r="F303">
        <v>175861.03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5.3373615307150957E-2</v>
      </c>
      <c r="Q303">
        <f t="shared" si="965"/>
        <v>9386.3389627393335</v>
      </c>
      <c r="R303">
        <f t="shared" si="966"/>
        <v>-9329160.2376736719</v>
      </c>
      <c r="S303">
        <f t="shared" si="967"/>
        <v>-93.291602376736719</v>
      </c>
      <c r="T303">
        <f t="shared" si="968"/>
        <v>-9.3291602376736713E-2</v>
      </c>
    </row>
    <row r="304" spans="1:20" x14ac:dyDescent="0.25">
      <c r="A304" s="5">
        <v>44289</v>
      </c>
      <c r="B304">
        <v>10.217000000000001</v>
      </c>
      <c r="C304">
        <v>10.798999999999999</v>
      </c>
      <c r="D304">
        <v>9.9629999999999992</v>
      </c>
      <c r="E304">
        <v>9.9809999999999999</v>
      </c>
      <c r="F304">
        <v>215698.29699999999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-0.95693779904306053</v>
      </c>
      <c r="Q304">
        <f t="shared" si="965"/>
        <v>-206409.85358851639</v>
      </c>
      <c r="R304">
        <f t="shared" si="966"/>
        <v>-9338546.5766364112</v>
      </c>
      <c r="S304">
        <f t="shared" si="967"/>
        <v>-93.385465766364106</v>
      </c>
      <c r="T304">
        <f t="shared" si="968"/>
        <v>-9.3385465766364112E-2</v>
      </c>
    </row>
    <row r="305" spans="1:20" x14ac:dyDescent="0.25">
      <c r="A305" s="5">
        <v>44288</v>
      </c>
      <c r="B305">
        <v>10.422000000000001</v>
      </c>
      <c r="C305">
        <v>10.872</v>
      </c>
      <c r="D305">
        <v>10.173</v>
      </c>
      <c r="E305">
        <v>10.217000000000001</v>
      </c>
      <c r="F305">
        <v>142746.06400000001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-0.87410586552217318</v>
      </c>
      <c r="Q305">
        <f t="shared" si="965"/>
        <v>-124775.17182260353</v>
      </c>
      <c r="R305">
        <f t="shared" si="966"/>
        <v>-9132136.7230478954</v>
      </c>
      <c r="S305">
        <f t="shared" si="967"/>
        <v>-91.321367230478955</v>
      </c>
      <c r="T305">
        <f t="shared" si="968"/>
        <v>-9.1321367230478956E-2</v>
      </c>
    </row>
    <row r="306" spans="1:20" x14ac:dyDescent="0.25">
      <c r="A306" s="5">
        <v>44287</v>
      </c>
      <c r="B306">
        <v>10.973000000000001</v>
      </c>
      <c r="C306">
        <v>11.262</v>
      </c>
      <c r="D306">
        <v>10.199999999999999</v>
      </c>
      <c r="E306">
        <v>10.429</v>
      </c>
      <c r="F306">
        <v>292172.783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-0.56873822975517752</v>
      </c>
      <c r="Q306">
        <f t="shared" si="965"/>
        <v>-166169.83138606363</v>
      </c>
      <c r="R306">
        <f t="shared" si="966"/>
        <v>-9007361.5512252916</v>
      </c>
      <c r="S306">
        <f t="shared" si="967"/>
        <v>-90.073615512252914</v>
      </c>
      <c r="T306">
        <f t="shared" si="968"/>
        <v>-9.0073615512252916E-2</v>
      </c>
    </row>
    <row r="307" spans="1:20" x14ac:dyDescent="0.25">
      <c r="A307" s="5">
        <v>44286</v>
      </c>
      <c r="B307">
        <v>11.305999999999999</v>
      </c>
      <c r="C307">
        <v>13.5</v>
      </c>
      <c r="D307">
        <v>10.83</v>
      </c>
      <c r="E307">
        <v>10.94</v>
      </c>
      <c r="F307">
        <v>629594.88800000004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-0.91760299625468211</v>
      </c>
      <c r="Q307">
        <f t="shared" si="965"/>
        <v>-577718.15565543098</v>
      </c>
      <c r="R307">
        <f t="shared" si="966"/>
        <v>-8841191.7198392283</v>
      </c>
      <c r="S307">
        <f t="shared" si="967"/>
        <v>-88.411917198392288</v>
      </c>
      <c r="T307">
        <f t="shared" si="968"/>
        <v>-8.8411917198392281E-2</v>
      </c>
    </row>
    <row r="308" spans="1:20" x14ac:dyDescent="0.25">
      <c r="A308" s="5">
        <v>44285</v>
      </c>
      <c r="B308">
        <v>10.326000000000001</v>
      </c>
      <c r="C308">
        <v>11.78</v>
      </c>
      <c r="D308">
        <v>10.157999999999999</v>
      </c>
      <c r="E308">
        <v>11.298999999999999</v>
      </c>
      <c r="F308">
        <v>329440.30099999998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0.40690505548705314</v>
      </c>
      <c r="Q308">
        <f t="shared" si="965"/>
        <v>134050.92395807648</v>
      </c>
      <c r="R308">
        <f t="shared" si="966"/>
        <v>-8263473.5641837977</v>
      </c>
      <c r="S308">
        <f t="shared" si="967"/>
        <v>-82.634735641837977</v>
      </c>
      <c r="T308">
        <f t="shared" si="968"/>
        <v>-8.2634735641837972E-2</v>
      </c>
    </row>
    <row r="309" spans="1:20" x14ac:dyDescent="0.25">
      <c r="A309" s="5">
        <v>44284</v>
      </c>
      <c r="B309">
        <v>9.9190000000000005</v>
      </c>
      <c r="C309">
        <v>11.068</v>
      </c>
      <c r="D309">
        <v>9.718</v>
      </c>
      <c r="E309">
        <v>10.327</v>
      </c>
      <c r="F309">
        <v>359382.73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-9.7777777777777561E-2</v>
      </c>
      <c r="Q309">
        <f t="shared" si="965"/>
        <v>-35139.644711111032</v>
      </c>
      <c r="R309">
        <f t="shared" si="966"/>
        <v>-8397524.4881418739</v>
      </c>
      <c r="S309">
        <f t="shared" si="967"/>
        <v>-83.975244881418732</v>
      </c>
      <c r="T309">
        <f t="shared" si="968"/>
        <v>-8.3975244881418734E-2</v>
      </c>
    </row>
    <row r="310" spans="1:20" x14ac:dyDescent="0.25">
      <c r="A310" s="5">
        <v>44283</v>
      </c>
      <c r="B310">
        <v>9.9149999999999991</v>
      </c>
      <c r="C310">
        <v>10.413</v>
      </c>
      <c r="D310">
        <v>9.4019999999999992</v>
      </c>
      <c r="E310">
        <v>9.9090000000000007</v>
      </c>
      <c r="F310">
        <v>342620.94</v>
      </c>
      <c r="G310">
        <v>0</v>
      </c>
      <c r="L310" t="s">
        <v>7</v>
      </c>
      <c r="M310" t="s">
        <v>7</v>
      </c>
      <c r="N310" t="s">
        <v>8</v>
      </c>
      <c r="P310">
        <f t="shared" si="964"/>
        <v>2.9673590504469705E-3</v>
      </c>
      <c r="Q310">
        <f t="shared" si="965"/>
        <v>1016.6793471816485</v>
      </c>
      <c r="R310">
        <f t="shared" si="966"/>
        <v>-8362384.8434307631</v>
      </c>
      <c r="S310">
        <f t="shared" si="967"/>
        <v>-83.623848434307632</v>
      </c>
      <c r="T310">
        <f t="shared" si="968"/>
        <v>-8.3623848434307632E-2</v>
      </c>
    </row>
    <row r="311" spans="1:20" x14ac:dyDescent="0.25">
      <c r="A311" s="5">
        <v>44282</v>
      </c>
      <c r="B311">
        <v>10.114000000000001</v>
      </c>
      <c r="C311">
        <v>10.965</v>
      </c>
      <c r="D311">
        <v>9.7550000000000008</v>
      </c>
      <c r="E311">
        <v>9.891</v>
      </c>
      <c r="F311">
        <v>515043.989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-0.77520661157024906</v>
      </c>
      <c r="Q311">
        <f t="shared" si="965"/>
        <v>-399265.50552231463</v>
      </c>
      <c r="R311">
        <f t="shared" si="966"/>
        <v>-8363401.5227779448</v>
      </c>
      <c r="S311">
        <f t="shared" si="967"/>
        <v>-83.634015227779443</v>
      </c>
      <c r="T311">
        <f t="shared" si="968"/>
        <v>-8.363401522777944E-2</v>
      </c>
    </row>
    <row r="312" spans="1:20" x14ac:dyDescent="0.25">
      <c r="A312" s="5">
        <v>44281</v>
      </c>
      <c r="B312">
        <v>11.138999999999999</v>
      </c>
      <c r="C312">
        <v>12</v>
      </c>
      <c r="D312">
        <v>9.5869999999999997</v>
      </c>
      <c r="E312">
        <v>10.11</v>
      </c>
      <c r="F312">
        <v>2142187.7969999998</v>
      </c>
      <c r="G312">
        <v>0</v>
      </c>
      <c r="L312" t="s">
        <v>7</v>
      </c>
      <c r="M312" t="s">
        <v>7</v>
      </c>
      <c r="N312" t="s">
        <v>8</v>
      </c>
      <c r="P312">
        <f t="shared" si="964"/>
        <v>-0.56651471197679271</v>
      </c>
      <c r="Q312">
        <f t="shared" si="965"/>
        <v>-1213580.9028176549</v>
      </c>
      <c r="R312">
        <f t="shared" si="966"/>
        <v>-7964136.0172556303</v>
      </c>
      <c r="S312">
        <f t="shared" si="967"/>
        <v>-79.641360172556304</v>
      </c>
      <c r="T312">
        <f t="shared" si="968"/>
        <v>-7.9641360172556311E-2</v>
      </c>
    </row>
    <row r="313" spans="1:20" x14ac:dyDescent="0.25">
      <c r="A313" s="5">
        <v>44280</v>
      </c>
      <c r="B313">
        <v>7.9729999999999999</v>
      </c>
      <c r="C313">
        <v>12.25</v>
      </c>
      <c r="D313">
        <v>7.4</v>
      </c>
      <c r="E313">
        <v>11.177</v>
      </c>
      <c r="F313">
        <v>4109529.53</v>
      </c>
      <c r="G313">
        <v>0</v>
      </c>
      <c r="L313" t="s">
        <v>8</v>
      </c>
      <c r="M313" t="s">
        <v>8</v>
      </c>
      <c r="N313" t="s">
        <v>8</v>
      </c>
      <c r="P313">
        <f t="shared" si="964"/>
        <v>0.55752577319587604</v>
      </c>
      <c r="Q313">
        <f t="shared" si="965"/>
        <v>2291168.6286845352</v>
      </c>
      <c r="R313">
        <f t="shared" si="966"/>
        <v>-6750555.114437975</v>
      </c>
      <c r="S313">
        <f t="shared" si="967"/>
        <v>-67.505551144379751</v>
      </c>
      <c r="T313">
        <f t="shared" si="968"/>
        <v>-6.7505551144379755E-2</v>
      </c>
    </row>
    <row r="314" spans="1:20" x14ac:dyDescent="0.25">
      <c r="A314" s="5">
        <v>44279</v>
      </c>
      <c r="B314">
        <v>8.0649999999999995</v>
      </c>
      <c r="C314">
        <v>8.8610000000000007</v>
      </c>
      <c r="D314">
        <v>7.68</v>
      </c>
      <c r="E314">
        <v>7.9329999999999998</v>
      </c>
      <c r="F314">
        <v>178208.12599999999</v>
      </c>
      <c r="G314">
        <v>0</v>
      </c>
      <c r="L314" t="s">
        <v>8</v>
      </c>
      <c r="M314" t="s">
        <v>7</v>
      </c>
      <c r="N314" t="s">
        <v>7</v>
      </c>
      <c r="P314">
        <f t="shared" si="964"/>
        <v>-0.57154953429297217</v>
      </c>
      <c r="Q314">
        <f t="shared" si="965"/>
        <v>-101854.77142252331</v>
      </c>
      <c r="R314">
        <f t="shared" si="966"/>
        <v>-9041723.7431225106</v>
      </c>
      <c r="S314">
        <f t="shared" si="967"/>
        <v>-90.417237431225104</v>
      </c>
      <c r="T314">
        <f t="shared" si="968"/>
        <v>-9.0417237431225109E-2</v>
      </c>
    </row>
    <row r="315" spans="1:20" x14ac:dyDescent="0.25">
      <c r="A315" s="5">
        <v>44278</v>
      </c>
      <c r="B315">
        <v>8.2200000000000006</v>
      </c>
      <c r="C315">
        <v>8.6869999999999994</v>
      </c>
      <c r="D315">
        <v>7.4</v>
      </c>
      <c r="E315">
        <v>8.0719999999999992</v>
      </c>
      <c r="F315">
        <v>204475.995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4.428904428904324E-2</v>
      </c>
      <c r="Q315">
        <f t="shared" si="965"/>
        <v>9056.0463986011837</v>
      </c>
      <c r="R315">
        <f t="shared" si="966"/>
        <v>-8939868.9716999866</v>
      </c>
      <c r="S315">
        <f t="shared" si="967"/>
        <v>-89.398689716999868</v>
      </c>
      <c r="T315">
        <f t="shared" si="968"/>
        <v>-8.9398689716999866E-2</v>
      </c>
    </row>
    <row r="316" spans="1:20" x14ac:dyDescent="0.25">
      <c r="A316" s="5">
        <v>44277</v>
      </c>
      <c r="B316">
        <v>8.2840000000000007</v>
      </c>
      <c r="C316">
        <v>9.08</v>
      </c>
      <c r="D316">
        <v>8.0500000000000007</v>
      </c>
      <c r="E316">
        <v>8.2249999999999996</v>
      </c>
      <c r="F316">
        <v>222232.927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-0.66019417475728337</v>
      </c>
      <c r="Q316">
        <f t="shared" si="965"/>
        <v>-146716.8838446606</v>
      </c>
      <c r="R316">
        <f t="shared" si="966"/>
        <v>-8948925.0180985872</v>
      </c>
      <c r="S316">
        <f t="shared" si="967"/>
        <v>-89.489250180985877</v>
      </c>
      <c r="T316">
        <f t="shared" si="968"/>
        <v>-8.9489250180985871E-2</v>
      </c>
    </row>
    <row r="317" spans="1:20" x14ac:dyDescent="0.25">
      <c r="A317" s="5">
        <v>44276</v>
      </c>
      <c r="B317">
        <v>8.4749999999999996</v>
      </c>
      <c r="C317">
        <v>9.1549999999999994</v>
      </c>
      <c r="D317">
        <v>8.0129999999999999</v>
      </c>
      <c r="E317">
        <v>8.2949999999999999</v>
      </c>
      <c r="F317">
        <v>229307.72700000001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-0.50612959719789818</v>
      </c>
      <c r="Q317">
        <f t="shared" si="965"/>
        <v>-116059.42750087561</v>
      </c>
      <c r="R317">
        <f t="shared" si="966"/>
        <v>-8802208.1342539266</v>
      </c>
      <c r="S317">
        <f t="shared" si="967"/>
        <v>-88.022081342539266</v>
      </c>
      <c r="T317">
        <f t="shared" si="968"/>
        <v>-8.8022081342539263E-2</v>
      </c>
    </row>
    <row r="318" spans="1:20" x14ac:dyDescent="0.25">
      <c r="A318" s="5">
        <v>44275</v>
      </c>
      <c r="B318">
        <v>9.0060000000000002</v>
      </c>
      <c r="C318">
        <v>9.3580000000000005</v>
      </c>
      <c r="D318">
        <v>8.4740000000000002</v>
      </c>
      <c r="E318">
        <v>8.4760000000000009</v>
      </c>
      <c r="F318">
        <v>211527.31700000001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-0.99547511312217041</v>
      </c>
      <c r="Q318">
        <f t="shared" si="965"/>
        <v>-210570.1798190042</v>
      </c>
      <c r="R318">
        <f t="shared" si="966"/>
        <v>-8686148.7067530509</v>
      </c>
      <c r="S318">
        <f t="shared" si="967"/>
        <v>-86.861487067530504</v>
      </c>
      <c r="T318">
        <f t="shared" si="968"/>
        <v>-8.686148706753051E-2</v>
      </c>
    </row>
    <row r="319" spans="1:20" x14ac:dyDescent="0.25">
      <c r="A319" s="5">
        <v>44274</v>
      </c>
      <c r="B319">
        <v>9.423</v>
      </c>
      <c r="C319">
        <v>9.5879999999999992</v>
      </c>
      <c r="D319">
        <v>8.8800000000000008</v>
      </c>
      <c r="E319">
        <v>9.0050000000000008</v>
      </c>
      <c r="F319">
        <v>220686.965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-0.64689265536723084</v>
      </c>
      <c r="Q319">
        <f t="shared" si="965"/>
        <v>-142760.77679378513</v>
      </c>
      <c r="R319">
        <f t="shared" si="966"/>
        <v>-8475578.5269340463</v>
      </c>
      <c r="S319">
        <f t="shared" si="967"/>
        <v>-84.755785269340464</v>
      </c>
      <c r="T319">
        <f t="shared" si="968"/>
        <v>-8.4755785269340467E-2</v>
      </c>
    </row>
    <row r="320" spans="1:20" x14ac:dyDescent="0.25">
      <c r="A320" s="5">
        <v>44273</v>
      </c>
      <c r="B320">
        <v>10.061999999999999</v>
      </c>
      <c r="C320">
        <v>10.286</v>
      </c>
      <c r="D320">
        <v>9.3070000000000004</v>
      </c>
      <c r="E320">
        <v>9.4209999999999994</v>
      </c>
      <c r="F320">
        <v>234692.087</v>
      </c>
      <c r="G320">
        <v>0</v>
      </c>
      <c r="L320" t="s">
        <v>7</v>
      </c>
      <c r="M320" t="s">
        <v>8</v>
      </c>
      <c r="N320" t="s">
        <v>7</v>
      </c>
      <c r="P320">
        <f t="shared" si="964"/>
        <v>-0.76710929519918469</v>
      </c>
      <c r="Q320">
        <f t="shared" si="965"/>
        <v>-180034.48144739572</v>
      </c>
      <c r="R320">
        <f t="shared" si="966"/>
        <v>-8332817.7501402618</v>
      </c>
      <c r="S320">
        <f t="shared" si="967"/>
        <v>-83.328177501402621</v>
      </c>
      <c r="T320">
        <f t="shared" si="968"/>
        <v>-8.3328177501402617E-2</v>
      </c>
    </row>
    <row r="321" spans="1:20" x14ac:dyDescent="0.25">
      <c r="A321" s="5">
        <v>44272</v>
      </c>
      <c r="B321">
        <v>9.9359999999999999</v>
      </c>
      <c r="C321">
        <v>10.811999999999999</v>
      </c>
      <c r="D321">
        <v>9.2750000000000004</v>
      </c>
      <c r="E321">
        <v>10.026</v>
      </c>
      <c r="F321">
        <v>329307.777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-2.2771633051398937E-2</v>
      </c>
      <c r="Q321">
        <f t="shared" si="965"/>
        <v>-7498.8758588159108</v>
      </c>
      <c r="R321">
        <f t="shared" si="966"/>
        <v>-8152783.268692866</v>
      </c>
      <c r="S321">
        <f t="shared" si="967"/>
        <v>-81.527832686928662</v>
      </c>
      <c r="T321">
        <f t="shared" si="968"/>
        <v>-8.1527832686928661E-2</v>
      </c>
    </row>
    <row r="322" spans="1:20" x14ac:dyDescent="0.25">
      <c r="A322" s="5">
        <v>44271</v>
      </c>
      <c r="B322">
        <v>9.6609999999999996</v>
      </c>
      <c r="C322">
        <v>9.9990000000000006</v>
      </c>
      <c r="D322">
        <v>8.6189999999999998</v>
      </c>
      <c r="E322">
        <v>9.9290000000000003</v>
      </c>
      <c r="F322">
        <v>458857.76799999998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0.89855072463768082</v>
      </c>
      <c r="Q322">
        <f t="shared" si="965"/>
        <v>412306.97994202882</v>
      </c>
      <c r="R322">
        <f t="shared" si="966"/>
        <v>-8145284.3928340496</v>
      </c>
      <c r="S322">
        <f t="shared" si="967"/>
        <v>-81.452843928340499</v>
      </c>
      <c r="T322">
        <f t="shared" si="968"/>
        <v>-8.1452843928340499E-2</v>
      </c>
    </row>
    <row r="323" spans="1:20" x14ac:dyDescent="0.25">
      <c r="A323" s="5">
        <v>44270</v>
      </c>
      <c r="B323">
        <v>10.672000000000001</v>
      </c>
      <c r="C323">
        <v>11.28</v>
      </c>
      <c r="D323">
        <v>9.4499999999999993</v>
      </c>
      <c r="E323">
        <v>9.66</v>
      </c>
      <c r="F323">
        <v>503217.13199999998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-0.7704918032786876</v>
      </c>
      <c r="Q323">
        <f t="shared" si="965"/>
        <v>-387724.67547540937</v>
      </c>
      <c r="R323">
        <f t="shared" si="966"/>
        <v>-8557591.3727760781</v>
      </c>
      <c r="S323">
        <f t="shared" si="967"/>
        <v>-85.575913727760778</v>
      </c>
      <c r="T323">
        <f t="shared" si="968"/>
        <v>-8.5575913727760772E-2</v>
      </c>
    </row>
    <row r="324" spans="1:20" x14ac:dyDescent="0.25">
      <c r="A324" s="5">
        <v>44269</v>
      </c>
      <c r="B324">
        <v>10.766</v>
      </c>
      <c r="C324">
        <v>11.766999999999999</v>
      </c>
      <c r="D324">
        <v>10.041</v>
      </c>
      <c r="E324">
        <v>10.662000000000001</v>
      </c>
      <c r="F324">
        <v>612596.41399999999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-0.28041714947856228</v>
      </c>
      <c r="Q324">
        <f t="shared" si="965"/>
        <v>-171782.54019466921</v>
      </c>
      <c r="R324">
        <f t="shared" si="966"/>
        <v>-8169866.6973006679</v>
      </c>
      <c r="S324">
        <f t="shared" si="967"/>
        <v>-81.698666973006681</v>
      </c>
      <c r="T324">
        <f t="shared" si="968"/>
        <v>-8.1698666973006678E-2</v>
      </c>
    </row>
    <row r="325" spans="1:20" x14ac:dyDescent="0.25">
      <c r="A325" s="5">
        <v>44268</v>
      </c>
      <c r="B325">
        <v>9.2729999999999997</v>
      </c>
      <c r="C325">
        <v>12.752000000000001</v>
      </c>
      <c r="D325">
        <v>8.6989999999999998</v>
      </c>
      <c r="E325">
        <v>10.766</v>
      </c>
      <c r="F325">
        <v>1360423.675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1.9985196150999137E-2</v>
      </c>
      <c r="Q325">
        <f t="shared" si="965"/>
        <v>27188.333993338103</v>
      </c>
      <c r="R325">
        <f t="shared" si="966"/>
        <v>-7998084.1571059991</v>
      </c>
      <c r="S325">
        <f t="shared" si="967"/>
        <v>-79.980841571059997</v>
      </c>
      <c r="T325">
        <f t="shared" si="968"/>
        <v>-7.9980841571060002E-2</v>
      </c>
    </row>
    <row r="326" spans="1:20" x14ac:dyDescent="0.25">
      <c r="A326" s="5">
        <v>44267</v>
      </c>
      <c r="B326">
        <v>8.8019999999999996</v>
      </c>
      <c r="C326">
        <v>10.92</v>
      </c>
      <c r="D326">
        <v>8.1679999999999993</v>
      </c>
      <c r="E326">
        <v>9.2729999999999997</v>
      </c>
      <c r="F326">
        <v>1389847.24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-0.19694767441860453</v>
      </c>
      <c r="Q326">
        <f t="shared" ref="Q326:Q389" si="970">F326*P326</f>
        <v>-273727.18171511608</v>
      </c>
      <c r="R326">
        <f t="shared" ref="R326:R389" si="971">R327+Q326</f>
        <v>-8025272.4910993371</v>
      </c>
      <c r="S326">
        <f t="shared" ref="S326:S389" si="972">R326/100000</f>
        <v>-80.252724910993365</v>
      </c>
      <c r="T326">
        <f t="shared" ref="T326:T389" si="973">S326/1000</f>
        <v>-8.0252724910993362E-2</v>
      </c>
    </row>
    <row r="327" spans="1:20" x14ac:dyDescent="0.25">
      <c r="A327" s="5">
        <v>44266</v>
      </c>
      <c r="B327">
        <v>6.9480000000000004</v>
      </c>
      <c r="C327">
        <v>11.46</v>
      </c>
      <c r="D327">
        <v>6.8</v>
      </c>
      <c r="E327">
        <v>8.8179999999999996</v>
      </c>
      <c r="F327">
        <v>3282735.57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-0.13390557939914191</v>
      </c>
      <c r="Q327">
        <f t="shared" si="970"/>
        <v>-439576.60851502238</v>
      </c>
      <c r="R327">
        <f t="shared" si="971"/>
        <v>-7751545.3093842212</v>
      </c>
      <c r="S327">
        <f t="shared" si="972"/>
        <v>-77.515453093842211</v>
      </c>
      <c r="T327">
        <f t="shared" si="973"/>
        <v>-7.751545309384221E-2</v>
      </c>
    </row>
    <row r="328" spans="1:20" x14ac:dyDescent="0.25">
      <c r="A328" s="5">
        <v>44265</v>
      </c>
      <c r="B328">
        <v>6.4050000000000002</v>
      </c>
      <c r="C328">
        <v>8.2260000000000009</v>
      </c>
      <c r="D328">
        <v>5.9349999999999996</v>
      </c>
      <c r="E328">
        <v>6.9909999999999997</v>
      </c>
      <c r="F328">
        <v>1355831.2009999999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-7.8131820165866894E-2</v>
      </c>
      <c r="Q328">
        <f t="shared" si="970"/>
        <v>-105933.55957180331</v>
      </c>
      <c r="R328">
        <f t="shared" si="971"/>
        <v>-7311968.7008691989</v>
      </c>
      <c r="S328">
        <f t="shared" si="972"/>
        <v>-73.119687008691983</v>
      </c>
      <c r="T328">
        <f t="shared" si="973"/>
        <v>-7.311968700869198E-2</v>
      </c>
    </row>
    <row r="329" spans="1:20" x14ac:dyDescent="0.25">
      <c r="A329" s="5">
        <v>44264</v>
      </c>
      <c r="B329">
        <v>6.2919999999999998</v>
      </c>
      <c r="C329">
        <v>6.7</v>
      </c>
      <c r="D329">
        <v>6.0449999999999999</v>
      </c>
      <c r="E329">
        <v>6.4050000000000002</v>
      </c>
      <c r="F329">
        <v>542774.81299999997</v>
      </c>
      <c r="G329">
        <v>0</v>
      </c>
      <c r="L329" t="s">
        <v>8</v>
      </c>
      <c r="M329" t="s">
        <v>7</v>
      </c>
      <c r="N329" t="s">
        <v>7</v>
      </c>
      <c r="P329">
        <f t="shared" si="969"/>
        <v>9.92366412213746E-2</v>
      </c>
      <c r="Q329">
        <f t="shared" si="970"/>
        <v>53863.149381679686</v>
      </c>
      <c r="R329">
        <f t="shared" si="971"/>
        <v>-7206035.1412973953</v>
      </c>
      <c r="S329">
        <f t="shared" si="972"/>
        <v>-72.060351412973958</v>
      </c>
      <c r="T329">
        <f t="shared" si="973"/>
        <v>-7.2060351412973955E-2</v>
      </c>
    </row>
    <row r="330" spans="1:20" x14ac:dyDescent="0.25">
      <c r="A330" s="5">
        <v>44263</v>
      </c>
      <c r="B330">
        <v>6.274</v>
      </c>
      <c r="C330">
        <v>6.87</v>
      </c>
      <c r="D330">
        <v>5.88</v>
      </c>
      <c r="E330">
        <v>6.28</v>
      </c>
      <c r="F330">
        <v>1199416.567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-0.19191919191919138</v>
      </c>
      <c r="Q330">
        <f t="shared" si="970"/>
        <v>-230191.05831313066</v>
      </c>
      <c r="R330">
        <f t="shared" si="971"/>
        <v>-7259898.2906790748</v>
      </c>
      <c r="S330">
        <f t="shared" si="972"/>
        <v>-72.598982906790752</v>
      </c>
      <c r="T330">
        <f t="shared" si="973"/>
        <v>-7.2598982906790746E-2</v>
      </c>
    </row>
    <row r="331" spans="1:20" x14ac:dyDescent="0.25">
      <c r="A331" s="5">
        <v>44262</v>
      </c>
      <c r="B331">
        <v>5.8559999999999999</v>
      </c>
      <c r="C331">
        <v>8.3330000000000002</v>
      </c>
      <c r="D331">
        <v>5.851</v>
      </c>
      <c r="E331">
        <v>6.3780000000000001</v>
      </c>
      <c r="F331">
        <v>3877658.1660000002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-0.57534246575342463</v>
      </c>
      <c r="Q331">
        <f t="shared" si="970"/>
        <v>-2230981.4105753424</v>
      </c>
      <c r="R331">
        <f t="shared" si="971"/>
        <v>-7029707.2323659444</v>
      </c>
      <c r="S331">
        <f t="shared" si="972"/>
        <v>-70.297072323659449</v>
      </c>
      <c r="T331">
        <f t="shared" si="973"/>
        <v>-7.0297072323659449E-2</v>
      </c>
    </row>
    <row r="332" spans="1:20" x14ac:dyDescent="0.25">
      <c r="A332" s="5">
        <v>44261</v>
      </c>
      <c r="B332">
        <v>4.6710000000000003</v>
      </c>
      <c r="C332">
        <v>7.351</v>
      </c>
      <c r="D332">
        <v>4.4610000000000003</v>
      </c>
      <c r="E332">
        <v>5.8470000000000004</v>
      </c>
      <c r="F332">
        <v>2249374.165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-4.0830449826989433E-2</v>
      </c>
      <c r="Q332">
        <f t="shared" si="970"/>
        <v>-91842.958986158759</v>
      </c>
      <c r="R332">
        <f t="shared" si="971"/>
        <v>-4798725.8217906021</v>
      </c>
      <c r="S332">
        <f t="shared" si="972"/>
        <v>-47.987258217906017</v>
      </c>
      <c r="T332">
        <f t="shared" si="973"/>
        <v>-4.7987258217906018E-2</v>
      </c>
    </row>
    <row r="333" spans="1:20" x14ac:dyDescent="0.25">
      <c r="A333" s="5">
        <v>44260</v>
      </c>
      <c r="B333">
        <v>4.633</v>
      </c>
      <c r="C333">
        <v>4.8600000000000003</v>
      </c>
      <c r="D333">
        <v>4.2699999999999996</v>
      </c>
      <c r="E333">
        <v>4.6870000000000003</v>
      </c>
      <c r="F333">
        <v>155529.462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0.41355932203389889</v>
      </c>
      <c r="Q333">
        <f t="shared" si="970"/>
        <v>64320.658861017037</v>
      </c>
      <c r="R333">
        <f t="shared" si="971"/>
        <v>-4706882.8628044436</v>
      </c>
      <c r="S333">
        <f t="shared" si="972"/>
        <v>-47.068828628044436</v>
      </c>
      <c r="T333">
        <f t="shared" si="973"/>
        <v>-4.7068828628044436E-2</v>
      </c>
    </row>
    <row r="334" spans="1:20" x14ac:dyDescent="0.25">
      <c r="A334" s="5">
        <v>44259</v>
      </c>
      <c r="B334">
        <v>5.0999999999999996</v>
      </c>
      <c r="C334">
        <v>5.2</v>
      </c>
      <c r="D334">
        <v>4.5110000000000001</v>
      </c>
      <c r="E334">
        <v>4.6379999999999999</v>
      </c>
      <c r="F334">
        <v>244816.51699999999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-0.63134978229317917</v>
      </c>
      <c r="Q334">
        <f t="shared" si="970"/>
        <v>-154564.8547097244</v>
      </c>
      <c r="R334">
        <f t="shared" si="971"/>
        <v>-4771203.5216654604</v>
      </c>
      <c r="S334">
        <f t="shared" si="972"/>
        <v>-47.712035216654606</v>
      </c>
      <c r="T334">
        <f t="shared" si="973"/>
        <v>-4.7712035216654604E-2</v>
      </c>
    </row>
    <row r="335" spans="1:20" x14ac:dyDescent="0.25">
      <c r="A335" s="5">
        <v>44258</v>
      </c>
      <c r="B335">
        <v>4.66</v>
      </c>
      <c r="C335">
        <v>5.2</v>
      </c>
      <c r="D335">
        <v>4.6260000000000003</v>
      </c>
      <c r="E335">
        <v>5.0999999999999996</v>
      </c>
      <c r="F335">
        <v>198673.38399999999</v>
      </c>
      <c r="G335">
        <v>0</v>
      </c>
      <c r="L335" t="s">
        <v>7</v>
      </c>
      <c r="M335" t="s">
        <v>7</v>
      </c>
      <c r="N335" t="s">
        <v>7</v>
      </c>
      <c r="P335">
        <f t="shared" si="969"/>
        <v>0.65156794425086917</v>
      </c>
      <c r="Q335">
        <f t="shared" si="970"/>
        <v>129449.20839024351</v>
      </c>
      <c r="R335">
        <f t="shared" si="971"/>
        <v>-4616638.6669557365</v>
      </c>
      <c r="S335">
        <f t="shared" si="972"/>
        <v>-46.166386669557362</v>
      </c>
      <c r="T335">
        <f t="shared" si="973"/>
        <v>-4.6166386669557365E-2</v>
      </c>
    </row>
    <row r="336" spans="1:20" x14ac:dyDescent="0.25">
      <c r="A336" s="5">
        <v>44257</v>
      </c>
      <c r="B336">
        <v>5.0890000000000004</v>
      </c>
      <c r="C336">
        <v>5.2190000000000003</v>
      </c>
      <c r="D336">
        <v>4.5069999999999997</v>
      </c>
      <c r="E336">
        <v>4.665</v>
      </c>
      <c r="F336">
        <v>173853.47399999999</v>
      </c>
      <c r="G336">
        <v>0</v>
      </c>
      <c r="L336" t="s">
        <v>8</v>
      </c>
      <c r="M336" t="s">
        <v>7</v>
      </c>
      <c r="N336" t="s">
        <v>7</v>
      </c>
      <c r="P336">
        <f t="shared" si="969"/>
        <v>-0.55617977528089824</v>
      </c>
      <c r="Q336">
        <f t="shared" si="970"/>
        <v>-96693.786101123478</v>
      </c>
      <c r="R336">
        <f t="shared" si="971"/>
        <v>-4746087.8753459798</v>
      </c>
      <c r="S336">
        <f t="shared" si="972"/>
        <v>-47.460878753459795</v>
      </c>
      <c r="T336">
        <f t="shared" si="973"/>
        <v>-4.7460878753459793E-2</v>
      </c>
    </row>
    <row r="337" spans="1:20" x14ac:dyDescent="0.25">
      <c r="A337" s="5">
        <v>44256</v>
      </c>
      <c r="B337">
        <v>4.6210000000000004</v>
      </c>
      <c r="C337">
        <v>5.1349999999999998</v>
      </c>
      <c r="D337">
        <v>4.4249999999999998</v>
      </c>
      <c r="E337">
        <v>5.0890000000000004</v>
      </c>
      <c r="F337">
        <v>245823.46599999999</v>
      </c>
      <c r="G337">
        <v>0</v>
      </c>
      <c r="L337" t="s">
        <v>7</v>
      </c>
      <c r="M337" t="s">
        <v>7</v>
      </c>
      <c r="N337" t="s">
        <v>7</v>
      </c>
      <c r="P337">
        <f t="shared" si="969"/>
        <v>0.87042253521126933</v>
      </c>
      <c r="Q337">
        <f t="shared" si="970"/>
        <v>213970.28449014126</v>
      </c>
      <c r="R337">
        <f t="shared" si="971"/>
        <v>-4649394.0892448565</v>
      </c>
      <c r="S337">
        <f t="shared" si="972"/>
        <v>-46.493940892448563</v>
      </c>
      <c r="T337">
        <f t="shared" si="973"/>
        <v>-4.6493940892448564E-2</v>
      </c>
    </row>
    <row r="338" spans="1:20" x14ac:dyDescent="0.25">
      <c r="A338" s="5">
        <v>44255</v>
      </c>
      <c r="B338">
        <v>4.625</v>
      </c>
      <c r="C338">
        <v>5.359</v>
      </c>
      <c r="D338">
        <v>4.0010000000000003</v>
      </c>
      <c r="E338">
        <v>4.6159999999999997</v>
      </c>
      <c r="F338">
        <v>526284.23</v>
      </c>
      <c r="G338">
        <v>0</v>
      </c>
      <c r="L338" t="s">
        <v>8</v>
      </c>
      <c r="M338" t="s">
        <v>8</v>
      </c>
      <c r="N338" t="s">
        <v>7</v>
      </c>
      <c r="P338">
        <f t="shared" si="969"/>
        <v>-9.4256259204713574E-2</v>
      </c>
      <c r="Q338">
        <f t="shared" si="970"/>
        <v>-49605.582798233096</v>
      </c>
      <c r="R338">
        <f t="shared" si="971"/>
        <v>-4863364.3737349976</v>
      </c>
      <c r="S338">
        <f t="shared" si="972"/>
        <v>-48.633643737349978</v>
      </c>
      <c r="T338">
        <f t="shared" si="973"/>
        <v>-4.8633643737349977E-2</v>
      </c>
    </row>
    <row r="339" spans="1:20" x14ac:dyDescent="0.25">
      <c r="A339" s="5">
        <v>44254</v>
      </c>
      <c r="B339">
        <v>4.3120000000000003</v>
      </c>
      <c r="C339">
        <v>4.9400000000000004</v>
      </c>
      <c r="D339">
        <v>4.2530000000000001</v>
      </c>
      <c r="E339">
        <v>4.6100000000000003</v>
      </c>
      <c r="F339">
        <v>173004.815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3.9301310043668304E-2</v>
      </c>
      <c r="Q339">
        <f t="shared" si="970"/>
        <v>6799.3158733624769</v>
      </c>
      <c r="R339">
        <f t="shared" si="971"/>
        <v>-4813758.7909367643</v>
      </c>
      <c r="S339">
        <f t="shared" si="972"/>
        <v>-48.137587909367646</v>
      </c>
      <c r="T339">
        <f t="shared" si="973"/>
        <v>-4.8137587909367646E-2</v>
      </c>
    </row>
    <row r="340" spans="1:20" x14ac:dyDescent="0.25">
      <c r="A340" s="5">
        <v>44253</v>
      </c>
      <c r="B340">
        <v>4.6429999999999998</v>
      </c>
      <c r="C340">
        <v>4.6769999999999996</v>
      </c>
      <c r="D340">
        <v>4</v>
      </c>
      <c r="E340">
        <v>4.2990000000000004</v>
      </c>
      <c r="F340">
        <v>192978.84700000001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-0.11669128508123913</v>
      </c>
      <c r="Q340">
        <f t="shared" si="970"/>
        <v>-22518.949649925831</v>
      </c>
      <c r="R340">
        <f t="shared" si="971"/>
        <v>-4820558.1068101265</v>
      </c>
      <c r="S340">
        <f t="shared" si="972"/>
        <v>-48.205581068101267</v>
      </c>
      <c r="T340">
        <f t="shared" si="973"/>
        <v>-4.8205581068101265E-2</v>
      </c>
    </row>
    <row r="341" spans="1:20" x14ac:dyDescent="0.25">
      <c r="A341" s="5">
        <v>44252</v>
      </c>
      <c r="B341">
        <v>4.9329999999999998</v>
      </c>
      <c r="C341">
        <v>5.4279999999999999</v>
      </c>
      <c r="D341">
        <v>4.6210000000000004</v>
      </c>
      <c r="E341">
        <v>4.6210000000000004</v>
      </c>
      <c r="F341">
        <v>216067.774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-1</v>
      </c>
      <c r="Q341">
        <f t="shared" si="970"/>
        <v>-216067.774</v>
      </c>
      <c r="R341">
        <f t="shared" si="971"/>
        <v>-4798039.1571602002</v>
      </c>
      <c r="S341">
        <f t="shared" si="972"/>
        <v>-47.980391571601999</v>
      </c>
      <c r="T341">
        <f t="shared" si="973"/>
        <v>-4.7980391571601999E-2</v>
      </c>
    </row>
    <row r="342" spans="1:20" x14ac:dyDescent="0.25">
      <c r="A342" s="5">
        <v>44251</v>
      </c>
      <c r="B342">
        <v>4.8390000000000004</v>
      </c>
      <c r="C342">
        <v>5.7640000000000002</v>
      </c>
      <c r="D342">
        <v>4.5510000000000002</v>
      </c>
      <c r="E342">
        <v>4.8840000000000003</v>
      </c>
      <c r="F342">
        <v>265523.701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-0.45094806265457515</v>
      </c>
      <c r="Q342">
        <f t="shared" si="970"/>
        <v>-119737.39855482268</v>
      </c>
      <c r="R342">
        <f t="shared" si="971"/>
        <v>-4581971.3831602</v>
      </c>
      <c r="S342">
        <f t="shared" si="972"/>
        <v>-45.819713831602002</v>
      </c>
      <c r="T342">
        <f t="shared" si="973"/>
        <v>-4.5819713831602001E-2</v>
      </c>
    </row>
    <row r="343" spans="1:20" x14ac:dyDescent="0.25">
      <c r="A343" s="5">
        <v>44250</v>
      </c>
      <c r="B343">
        <v>6.0519999999999996</v>
      </c>
      <c r="C343">
        <v>6.0519999999999996</v>
      </c>
      <c r="D343">
        <v>4</v>
      </c>
      <c r="E343">
        <v>4.843</v>
      </c>
      <c r="F343">
        <v>325242.26899999997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-0.17836257309941508</v>
      </c>
      <c r="Q343">
        <f t="shared" si="970"/>
        <v>-58011.047979532123</v>
      </c>
      <c r="R343">
        <f t="shared" si="971"/>
        <v>-4462233.9846053775</v>
      </c>
      <c r="S343">
        <f t="shared" si="972"/>
        <v>-44.622339846053777</v>
      </c>
      <c r="T343">
        <f t="shared" si="973"/>
        <v>-4.462233984605378E-2</v>
      </c>
    </row>
    <row r="344" spans="1:20" x14ac:dyDescent="0.25">
      <c r="A344" s="5">
        <v>44249</v>
      </c>
      <c r="B344">
        <v>6.9989999999999997</v>
      </c>
      <c r="C344">
        <v>7.0270000000000001</v>
      </c>
      <c r="D344">
        <v>5.3</v>
      </c>
      <c r="E344">
        <v>5.9820000000000002</v>
      </c>
      <c r="F344">
        <v>381327.61800000002</v>
      </c>
      <c r="G344">
        <v>0</v>
      </c>
      <c r="L344" t="s">
        <v>8</v>
      </c>
      <c r="M344" t="s">
        <v>8</v>
      </c>
      <c r="N344" t="s">
        <v>7</v>
      </c>
      <c r="P344">
        <f t="shared" si="969"/>
        <v>-0.21019108280254747</v>
      </c>
      <c r="Q344">
        <f t="shared" si="970"/>
        <v>-80151.664929936203</v>
      </c>
      <c r="R344">
        <f t="shared" si="971"/>
        <v>-4404222.9366258457</v>
      </c>
      <c r="S344">
        <f t="shared" si="972"/>
        <v>-44.042229366258461</v>
      </c>
      <c r="T344">
        <f t="shared" si="973"/>
        <v>-4.4042229366258463E-2</v>
      </c>
    </row>
    <row r="345" spans="1:20" x14ac:dyDescent="0.25">
      <c r="A345" s="5">
        <v>44248</v>
      </c>
      <c r="B345">
        <v>6.9459999999999997</v>
      </c>
      <c r="C345">
        <v>7.92</v>
      </c>
      <c r="D345">
        <v>5.3040000000000003</v>
      </c>
      <c r="E345">
        <v>6.9630000000000001</v>
      </c>
      <c r="F345">
        <v>268761.82400000002</v>
      </c>
      <c r="G345">
        <v>0</v>
      </c>
      <c r="L345" t="s">
        <v>7</v>
      </c>
      <c r="M345" t="s">
        <v>7</v>
      </c>
      <c r="N345" t="s">
        <v>7</v>
      </c>
      <c r="P345">
        <f t="shared" si="969"/>
        <v>0.26834862385321101</v>
      </c>
      <c r="Q345">
        <f t="shared" si="970"/>
        <v>72121.8656146789</v>
      </c>
      <c r="R345">
        <f t="shared" si="971"/>
        <v>-4324071.2716959091</v>
      </c>
      <c r="S345">
        <f t="shared" si="972"/>
        <v>-43.240712716959088</v>
      </c>
      <c r="T345">
        <f t="shared" si="973"/>
        <v>-4.324071271695909E-2</v>
      </c>
    </row>
    <row r="346" spans="1:20" x14ac:dyDescent="0.25">
      <c r="A346" s="5">
        <v>44247</v>
      </c>
      <c r="B346">
        <v>7.9619999999999997</v>
      </c>
      <c r="C346">
        <v>7.99</v>
      </c>
      <c r="D346">
        <v>6.6310000000000002</v>
      </c>
      <c r="E346">
        <v>6.8869999999999996</v>
      </c>
      <c r="F346">
        <v>360668.58199999999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-0.62325239146431299</v>
      </c>
      <c r="Q346">
        <f t="shared" si="970"/>
        <v>-224787.55625754266</v>
      </c>
      <c r="R346">
        <f t="shared" si="971"/>
        <v>-4396193.1373105878</v>
      </c>
      <c r="S346">
        <f t="shared" si="972"/>
        <v>-43.961931373105877</v>
      </c>
      <c r="T346">
        <f t="shared" si="973"/>
        <v>-4.3961931373105875E-2</v>
      </c>
    </row>
    <row r="347" spans="1:20" x14ac:dyDescent="0.25">
      <c r="A347" s="5">
        <v>44246</v>
      </c>
      <c r="B347">
        <v>8.1419999999999995</v>
      </c>
      <c r="C347">
        <v>8.68</v>
      </c>
      <c r="D347">
        <v>7.6070000000000002</v>
      </c>
      <c r="E347">
        <v>7.9610000000000003</v>
      </c>
      <c r="F347">
        <v>362847.92200000002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-0.34016775396085691</v>
      </c>
      <c r="Q347">
        <f t="shared" si="970"/>
        <v>-123429.16265610421</v>
      </c>
      <c r="R347">
        <f t="shared" si="971"/>
        <v>-4171405.5810530456</v>
      </c>
      <c r="S347">
        <f t="shared" si="972"/>
        <v>-41.714055810530454</v>
      </c>
      <c r="T347">
        <f t="shared" si="973"/>
        <v>-4.1714055810530455E-2</v>
      </c>
    </row>
    <row r="348" spans="1:20" x14ac:dyDescent="0.25">
      <c r="A348" s="5">
        <v>44245</v>
      </c>
      <c r="B348">
        <v>7.6</v>
      </c>
      <c r="C348">
        <v>8.8800000000000008</v>
      </c>
      <c r="D348">
        <v>7.48</v>
      </c>
      <c r="E348">
        <v>8.1449999999999996</v>
      </c>
      <c r="F348">
        <v>502061.01699999999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-5.000000000000146E-2</v>
      </c>
      <c r="Q348">
        <f t="shared" si="970"/>
        <v>-25103.050850000731</v>
      </c>
      <c r="R348">
        <f t="shared" si="971"/>
        <v>-4047976.4183969414</v>
      </c>
      <c r="S348">
        <f t="shared" si="972"/>
        <v>-40.479764183969415</v>
      </c>
      <c r="T348">
        <f t="shared" si="973"/>
        <v>-4.0479764183969418E-2</v>
      </c>
    </row>
    <row r="349" spans="1:20" x14ac:dyDescent="0.25">
      <c r="A349" s="5">
        <v>44244</v>
      </c>
      <c r="B349">
        <v>6.6269999999999998</v>
      </c>
      <c r="C349">
        <v>7.79</v>
      </c>
      <c r="D349">
        <v>6.34</v>
      </c>
      <c r="E349">
        <v>7.601</v>
      </c>
      <c r="F349">
        <v>299847.42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0.73931034482758617</v>
      </c>
      <c r="Q349">
        <f t="shared" si="970"/>
        <v>221680.29947586203</v>
      </c>
      <c r="R349">
        <f t="shared" si="971"/>
        <v>-4022873.3675469407</v>
      </c>
      <c r="S349">
        <f t="shared" si="972"/>
        <v>-40.228733675469407</v>
      </c>
      <c r="T349">
        <f t="shared" si="973"/>
        <v>-4.0228733675469405E-2</v>
      </c>
    </row>
    <row r="350" spans="1:20" x14ac:dyDescent="0.25">
      <c r="A350" s="5">
        <v>44243</v>
      </c>
      <c r="B350">
        <v>6.1719999999999997</v>
      </c>
      <c r="C350">
        <v>7.0750000000000002</v>
      </c>
      <c r="D350">
        <v>5.9539999999999997</v>
      </c>
      <c r="E350">
        <v>6.6429999999999998</v>
      </c>
      <c r="F350">
        <v>239092.40400000001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0.22925958965209597</v>
      </c>
      <c r="Q350">
        <f t="shared" si="970"/>
        <v>54814.226429973154</v>
      </c>
      <c r="R350">
        <f t="shared" si="971"/>
        <v>-4244553.6670228029</v>
      </c>
      <c r="S350">
        <f t="shared" si="972"/>
        <v>-42.44553667022803</v>
      </c>
      <c r="T350">
        <f t="shared" si="973"/>
        <v>-4.2445536670228032E-2</v>
      </c>
    </row>
    <row r="351" spans="1:20" x14ac:dyDescent="0.25">
      <c r="A351" s="5">
        <v>44242</v>
      </c>
      <c r="B351">
        <v>6.7489999999999997</v>
      </c>
      <c r="C351">
        <v>7</v>
      </c>
      <c r="D351">
        <v>5.1210000000000004</v>
      </c>
      <c r="E351">
        <v>6.2270000000000003</v>
      </c>
      <c r="F351">
        <v>314979.71799999999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0.17722192655667923</v>
      </c>
      <c r="Q351">
        <f t="shared" si="970"/>
        <v>55821.312450239537</v>
      </c>
      <c r="R351">
        <f t="shared" si="971"/>
        <v>-4299367.8934527757</v>
      </c>
      <c r="S351">
        <f t="shared" si="972"/>
        <v>-42.993678934527757</v>
      </c>
      <c r="T351">
        <f t="shared" si="973"/>
        <v>-4.2993678934527754E-2</v>
      </c>
    </row>
    <row r="352" spans="1:20" x14ac:dyDescent="0.25">
      <c r="A352" s="5">
        <v>44241</v>
      </c>
      <c r="B352">
        <v>7.1360000000000001</v>
      </c>
      <c r="C352">
        <v>7.2489999999999997</v>
      </c>
      <c r="D352">
        <v>6.484</v>
      </c>
      <c r="E352">
        <v>6.7619999999999996</v>
      </c>
      <c r="F352">
        <v>267759.09000000003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-0.27320261437908577</v>
      </c>
      <c r="Q352">
        <f t="shared" si="970"/>
        <v>-73152.48341176493</v>
      </c>
      <c r="R352">
        <f t="shared" si="971"/>
        <v>-4355189.2059030151</v>
      </c>
      <c r="S352">
        <f t="shared" si="972"/>
        <v>-43.551892059030152</v>
      </c>
      <c r="T352">
        <f t="shared" si="973"/>
        <v>-4.3551892059030151E-2</v>
      </c>
    </row>
    <row r="353" spans="1:20" x14ac:dyDescent="0.25">
      <c r="A353" s="5">
        <v>44240</v>
      </c>
      <c r="B353">
        <v>6.85</v>
      </c>
      <c r="C353">
        <v>7.9</v>
      </c>
      <c r="D353">
        <v>6.5910000000000002</v>
      </c>
      <c r="E353">
        <v>7.1349999999999998</v>
      </c>
      <c r="F353">
        <v>543846.78500000003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-0.16883116883116955</v>
      </c>
      <c r="Q353">
        <f t="shared" si="970"/>
        <v>-91818.288376623779</v>
      </c>
      <c r="R353">
        <f t="shared" si="971"/>
        <v>-4282036.7224912504</v>
      </c>
      <c r="S353">
        <f t="shared" si="972"/>
        <v>-42.820367224912502</v>
      </c>
      <c r="T353">
        <f t="shared" si="973"/>
        <v>-4.2820367224912503E-2</v>
      </c>
    </row>
    <row r="354" spans="1:20" x14ac:dyDescent="0.25">
      <c r="A354" s="5">
        <v>44239</v>
      </c>
      <c r="B354">
        <v>5.7469999999999999</v>
      </c>
      <c r="C354">
        <v>8.49</v>
      </c>
      <c r="D354">
        <v>5.7190000000000003</v>
      </c>
      <c r="E354">
        <v>6.85</v>
      </c>
      <c r="F354">
        <v>1069531.088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-0.18368819920606325</v>
      </c>
      <c r="Q354">
        <f t="shared" si="970"/>
        <v>-196460.23954962156</v>
      </c>
      <c r="R354">
        <f t="shared" si="971"/>
        <v>-4190218.4341146266</v>
      </c>
      <c r="S354">
        <f t="shared" si="972"/>
        <v>-41.902184341146267</v>
      </c>
      <c r="T354">
        <f t="shared" si="973"/>
        <v>-4.1902184341146266E-2</v>
      </c>
    </row>
    <row r="355" spans="1:20" x14ac:dyDescent="0.25">
      <c r="A355" s="5">
        <v>44238</v>
      </c>
      <c r="B355">
        <v>5.4080000000000004</v>
      </c>
      <c r="C355">
        <v>6.9989999999999997</v>
      </c>
      <c r="D355">
        <v>5.1580000000000004</v>
      </c>
      <c r="E355">
        <v>5.7430000000000003</v>
      </c>
      <c r="F355">
        <v>631990.86100000003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-0.36447582835415515</v>
      </c>
      <c r="Q355">
        <f t="shared" si="970"/>
        <v>-230345.39257523074</v>
      </c>
      <c r="R355">
        <f t="shared" si="971"/>
        <v>-3993758.1945650051</v>
      </c>
      <c r="S355">
        <f t="shared" si="972"/>
        <v>-39.937581945650052</v>
      </c>
      <c r="T355">
        <f t="shared" si="973"/>
        <v>-3.9937581945650051E-2</v>
      </c>
    </row>
    <row r="356" spans="1:20" x14ac:dyDescent="0.25">
      <c r="A356" s="5">
        <v>44237</v>
      </c>
      <c r="B356">
        <v>4.8929999999999998</v>
      </c>
      <c r="C356">
        <v>5.4210000000000003</v>
      </c>
      <c r="D356">
        <v>4.5</v>
      </c>
      <c r="E356">
        <v>5.3840000000000003</v>
      </c>
      <c r="F356">
        <v>482807.92499999999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0.91965255157437586</v>
      </c>
      <c r="Q356">
        <f t="shared" si="970"/>
        <v>444015.54014657991</v>
      </c>
      <c r="R356">
        <f t="shared" si="971"/>
        <v>-3763412.8019897742</v>
      </c>
      <c r="S356">
        <f t="shared" si="972"/>
        <v>-37.634128019897744</v>
      </c>
      <c r="T356">
        <f t="shared" si="973"/>
        <v>-3.7634128019897746E-2</v>
      </c>
    </row>
    <row r="357" spans="1:20" x14ac:dyDescent="0.25">
      <c r="A357" s="5">
        <v>44236</v>
      </c>
      <c r="B357">
        <v>4.5419999999999998</v>
      </c>
      <c r="C357">
        <v>4.9809999999999999</v>
      </c>
      <c r="D357">
        <v>4.3869999999999996</v>
      </c>
      <c r="E357">
        <v>4.8929999999999998</v>
      </c>
      <c r="F357">
        <v>352010.64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0.70370370370370361</v>
      </c>
      <c r="Q357">
        <f t="shared" si="970"/>
        <v>247711.19111111108</v>
      </c>
      <c r="R357">
        <f t="shared" si="971"/>
        <v>-4207428.3421363542</v>
      </c>
      <c r="S357">
        <f t="shared" si="972"/>
        <v>-42.074283421363539</v>
      </c>
      <c r="T357">
        <f t="shared" si="973"/>
        <v>-4.2074283421363538E-2</v>
      </c>
    </row>
    <row r="358" spans="1:20" x14ac:dyDescent="0.25">
      <c r="A358" s="5">
        <v>44235</v>
      </c>
      <c r="B358">
        <v>4.1079999999999997</v>
      </c>
      <c r="C358">
        <v>4.8840000000000003</v>
      </c>
      <c r="D358">
        <v>4.1029999999999998</v>
      </c>
      <c r="E358">
        <v>4.5599999999999996</v>
      </c>
      <c r="F358">
        <v>343310.45799999998</v>
      </c>
      <c r="G358">
        <v>0</v>
      </c>
      <c r="L358" t="s">
        <v>7</v>
      </c>
      <c r="M358" t="s">
        <v>7</v>
      </c>
      <c r="N358" t="s">
        <v>8</v>
      </c>
      <c r="P358">
        <f t="shared" si="969"/>
        <v>0.17029449423815496</v>
      </c>
      <c r="Q358">
        <f t="shared" si="970"/>
        <v>58463.880811779338</v>
      </c>
      <c r="R358">
        <f t="shared" si="971"/>
        <v>-4455139.5332474653</v>
      </c>
      <c r="S358">
        <f t="shared" si="972"/>
        <v>-44.551395332474655</v>
      </c>
      <c r="T358">
        <f t="shared" si="973"/>
        <v>-4.4551395332474653E-2</v>
      </c>
    </row>
    <row r="359" spans="1:20" x14ac:dyDescent="0.25">
      <c r="A359" s="5">
        <v>44234</v>
      </c>
      <c r="B359">
        <v>4.3220000000000001</v>
      </c>
      <c r="C359">
        <v>5</v>
      </c>
      <c r="D359">
        <v>3.9039999999999999</v>
      </c>
      <c r="E359">
        <v>4.1079999999999997</v>
      </c>
      <c r="F359">
        <v>348849.30300000001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-0.62773722627737272</v>
      </c>
      <c r="Q359">
        <f t="shared" si="970"/>
        <v>-218985.69385401477</v>
      </c>
      <c r="R359">
        <f t="shared" si="971"/>
        <v>-4513603.414059245</v>
      </c>
      <c r="S359">
        <f t="shared" si="972"/>
        <v>-45.13603414059245</v>
      </c>
      <c r="T359">
        <f t="shared" si="973"/>
        <v>-4.5136034140592453E-2</v>
      </c>
    </row>
    <row r="360" spans="1:20" x14ac:dyDescent="0.25">
      <c r="A360" s="5">
        <v>44233</v>
      </c>
      <c r="B360">
        <v>4.32</v>
      </c>
      <c r="C360">
        <v>4.68</v>
      </c>
      <c r="D360">
        <v>3.91</v>
      </c>
      <c r="E360">
        <v>4.3209999999999997</v>
      </c>
      <c r="F360">
        <v>331155.30300000001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6.7532467532467055E-2</v>
      </c>
      <c r="Q360">
        <f t="shared" si="970"/>
        <v>22363.734748051793</v>
      </c>
      <c r="R360">
        <f t="shared" si="971"/>
        <v>-4294617.7202052306</v>
      </c>
      <c r="S360">
        <f t="shared" si="972"/>
        <v>-42.946177202052304</v>
      </c>
      <c r="T360">
        <f t="shared" si="973"/>
        <v>-4.2946177202052307E-2</v>
      </c>
    </row>
    <row r="361" spans="1:20" x14ac:dyDescent="0.25">
      <c r="A361" s="5">
        <v>44232</v>
      </c>
      <c r="B361">
        <v>4.0759999999999996</v>
      </c>
      <c r="C361">
        <v>4.4820000000000002</v>
      </c>
      <c r="D361">
        <v>4.0250000000000004</v>
      </c>
      <c r="E361">
        <v>4.3170000000000002</v>
      </c>
      <c r="F361">
        <v>157982.13500000001</v>
      </c>
      <c r="G361">
        <v>0</v>
      </c>
      <c r="L361" t="s">
        <v>8</v>
      </c>
      <c r="M361" t="s">
        <v>7</v>
      </c>
      <c r="N361" t="s">
        <v>7</v>
      </c>
      <c r="P361">
        <f t="shared" si="969"/>
        <v>0.2778993435448574</v>
      </c>
      <c r="Q361">
        <f t="shared" si="970"/>
        <v>43903.131608315045</v>
      </c>
      <c r="R361">
        <f t="shared" si="971"/>
        <v>-4316981.4549532821</v>
      </c>
      <c r="S361">
        <f t="shared" si="972"/>
        <v>-43.169814549532823</v>
      </c>
      <c r="T361">
        <f t="shared" si="973"/>
        <v>-4.3169814549532823E-2</v>
      </c>
    </row>
    <row r="362" spans="1:20" x14ac:dyDescent="0.25">
      <c r="A362" s="5">
        <v>44231</v>
      </c>
      <c r="B362">
        <v>4.1719999999999997</v>
      </c>
      <c r="C362">
        <v>4.3220000000000001</v>
      </c>
      <c r="D362">
        <v>3.839</v>
      </c>
      <c r="E362">
        <v>4.0759999999999996</v>
      </c>
      <c r="F362">
        <v>195179.05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-1.8633540372672428E-2</v>
      </c>
      <c r="Q362">
        <f t="shared" si="970"/>
        <v>-3636.8767080748503</v>
      </c>
      <c r="R362">
        <f t="shared" si="971"/>
        <v>-4360884.586561597</v>
      </c>
      <c r="S362">
        <f t="shared" si="972"/>
        <v>-43.608845865615969</v>
      </c>
      <c r="T362">
        <f t="shared" si="973"/>
        <v>-4.3608845865615968E-2</v>
      </c>
    </row>
    <row r="363" spans="1:20" x14ac:dyDescent="0.25">
      <c r="A363" s="5">
        <v>44230</v>
      </c>
      <c r="B363">
        <v>3.899</v>
      </c>
      <c r="C363">
        <v>4.55</v>
      </c>
      <c r="D363">
        <v>3.8410000000000002</v>
      </c>
      <c r="E363">
        <v>4.16</v>
      </c>
      <c r="F363">
        <v>261259.682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-0.10014104372355398</v>
      </c>
      <c r="Q363">
        <f t="shared" si="970"/>
        <v>-26162.817238363808</v>
      </c>
      <c r="R363">
        <f t="shared" si="971"/>
        <v>-4357247.7098535225</v>
      </c>
      <c r="S363">
        <f t="shared" si="972"/>
        <v>-43.572477098535224</v>
      </c>
      <c r="T363">
        <f t="shared" si="973"/>
        <v>-4.3572477098535227E-2</v>
      </c>
    </row>
    <row r="364" spans="1:20" x14ac:dyDescent="0.25">
      <c r="A364" s="5">
        <v>44229</v>
      </c>
      <c r="B364">
        <v>3.6539999999999999</v>
      </c>
      <c r="C364">
        <v>4</v>
      </c>
      <c r="D364">
        <v>3.6160000000000001</v>
      </c>
      <c r="E364">
        <v>3.8889999999999998</v>
      </c>
      <c r="F364">
        <v>333404.67800000001</v>
      </c>
      <c r="G364">
        <v>0</v>
      </c>
      <c r="L364" t="s">
        <v>7</v>
      </c>
      <c r="M364" t="s">
        <v>8</v>
      </c>
      <c r="N364" t="s">
        <v>7</v>
      </c>
      <c r="P364">
        <f t="shared" si="969"/>
        <v>0.42187499999999878</v>
      </c>
      <c r="Q364">
        <f t="shared" si="970"/>
        <v>140655.09853124959</v>
      </c>
      <c r="R364">
        <f t="shared" si="971"/>
        <v>-4331084.892615159</v>
      </c>
      <c r="S364">
        <f t="shared" si="972"/>
        <v>-43.310848926151593</v>
      </c>
      <c r="T364">
        <f t="shared" si="973"/>
        <v>-4.3310848926151592E-2</v>
      </c>
    </row>
    <row r="365" spans="1:20" x14ac:dyDescent="0.25">
      <c r="A365" s="5">
        <v>44228</v>
      </c>
      <c r="B365">
        <v>3.4790000000000001</v>
      </c>
      <c r="C365">
        <v>4.0010000000000003</v>
      </c>
      <c r="D365">
        <v>3.3450000000000002</v>
      </c>
      <c r="E365">
        <v>3.637</v>
      </c>
      <c r="F365">
        <v>178808.42800000001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-0.10975609756097636</v>
      </c>
      <c r="Q365">
        <f t="shared" si="970"/>
        <v>-19625.315268292819</v>
      </c>
      <c r="R365">
        <f t="shared" si="971"/>
        <v>-4471739.991146409</v>
      </c>
      <c r="S365">
        <f t="shared" si="972"/>
        <v>-44.717399911464092</v>
      </c>
      <c r="T365">
        <f t="shared" si="973"/>
        <v>-4.471739991146409E-2</v>
      </c>
    </row>
    <row r="366" spans="1:20" x14ac:dyDescent="0.25">
      <c r="A366" s="5">
        <v>44227</v>
      </c>
      <c r="B366">
        <v>3.4209999999999998</v>
      </c>
      <c r="C366">
        <v>3.75</v>
      </c>
      <c r="D366">
        <v>3.3570000000000002</v>
      </c>
      <c r="E366">
        <v>3.4790000000000001</v>
      </c>
      <c r="F366">
        <v>278200.283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-0.37913486005089087</v>
      </c>
      <c r="Q366">
        <f t="shared" si="970"/>
        <v>-105475.42536132323</v>
      </c>
      <c r="R366">
        <f t="shared" si="971"/>
        <v>-4452114.6758781159</v>
      </c>
      <c r="S366">
        <f t="shared" si="972"/>
        <v>-44.521146758781157</v>
      </c>
      <c r="T366">
        <f t="shared" si="973"/>
        <v>-4.4521146758781154E-2</v>
      </c>
    </row>
    <row r="367" spans="1:20" x14ac:dyDescent="0.25">
      <c r="A367" s="5">
        <v>44226</v>
      </c>
      <c r="B367">
        <v>3.3210000000000002</v>
      </c>
      <c r="C367">
        <v>3.4790000000000001</v>
      </c>
      <c r="D367">
        <v>3.2109999999999999</v>
      </c>
      <c r="E367">
        <v>3.448</v>
      </c>
      <c r="F367">
        <v>95336.796000000002</v>
      </c>
      <c r="G367">
        <v>0</v>
      </c>
      <c r="L367" t="s">
        <v>8</v>
      </c>
      <c r="M367" t="s">
        <v>7</v>
      </c>
      <c r="N367" t="s">
        <v>7</v>
      </c>
      <c r="P367">
        <f t="shared" si="969"/>
        <v>0.76865671641790967</v>
      </c>
      <c r="Q367">
        <f t="shared" si="970"/>
        <v>73281.268567164108</v>
      </c>
      <c r="R367">
        <f t="shared" si="971"/>
        <v>-4346639.2505167928</v>
      </c>
      <c r="S367">
        <f t="shared" si="972"/>
        <v>-43.466392505167924</v>
      </c>
      <c r="T367">
        <f t="shared" si="973"/>
        <v>-4.3466392505167921E-2</v>
      </c>
    </row>
    <row r="368" spans="1:20" x14ac:dyDescent="0.25">
      <c r="A368" s="5">
        <v>44225</v>
      </c>
      <c r="B368">
        <v>3.5790000000000002</v>
      </c>
      <c r="C368">
        <v>3.6110000000000002</v>
      </c>
      <c r="D368">
        <v>3.21</v>
      </c>
      <c r="E368">
        <v>3.3210000000000002</v>
      </c>
      <c r="F368">
        <v>208546.21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-0.44638403990024866</v>
      </c>
      <c r="Q368">
        <f t="shared" si="970"/>
        <v>-93091.699725685627</v>
      </c>
      <c r="R368">
        <f t="shared" si="971"/>
        <v>-4419920.5190839572</v>
      </c>
      <c r="S368">
        <f t="shared" si="972"/>
        <v>-44.199205190839571</v>
      </c>
      <c r="T368">
        <f t="shared" si="973"/>
        <v>-4.4199205190839572E-2</v>
      </c>
    </row>
    <row r="369" spans="1:20" x14ac:dyDescent="0.25">
      <c r="A369" s="5">
        <v>44224</v>
      </c>
      <c r="B369">
        <v>3.2930000000000001</v>
      </c>
      <c r="C369">
        <v>4.1500000000000004</v>
      </c>
      <c r="D369">
        <v>3.2509999999999999</v>
      </c>
      <c r="E369">
        <v>3.581</v>
      </c>
      <c r="F369">
        <v>261052.67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-0.26585094549499466</v>
      </c>
      <c r="Q369">
        <f t="shared" si="970"/>
        <v>-69401.099143492829</v>
      </c>
      <c r="R369">
        <f t="shared" si="971"/>
        <v>-4326828.8193582715</v>
      </c>
      <c r="S369">
        <f t="shared" si="972"/>
        <v>-43.268288193582713</v>
      </c>
      <c r="T369">
        <f t="shared" si="973"/>
        <v>-4.3268288193582714E-2</v>
      </c>
    </row>
    <row r="370" spans="1:20" x14ac:dyDescent="0.25">
      <c r="A370" s="5">
        <v>44223</v>
      </c>
      <c r="B370">
        <v>3.6880000000000002</v>
      </c>
      <c r="C370">
        <v>3.8220000000000001</v>
      </c>
      <c r="D370">
        <v>3.2</v>
      </c>
      <c r="E370">
        <v>3.3180000000000001</v>
      </c>
      <c r="F370">
        <v>177287.511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-0.62057877813504858</v>
      </c>
      <c r="Q370">
        <f t="shared" si="970"/>
        <v>-110020.86695498398</v>
      </c>
      <c r="R370">
        <f t="shared" si="971"/>
        <v>-4257427.7202147786</v>
      </c>
      <c r="S370">
        <f t="shared" si="972"/>
        <v>-42.574277202147783</v>
      </c>
      <c r="T370">
        <f t="shared" si="973"/>
        <v>-4.2574277202147785E-2</v>
      </c>
    </row>
    <row r="371" spans="1:20" x14ac:dyDescent="0.25">
      <c r="A371" s="5">
        <v>44222</v>
      </c>
      <c r="B371">
        <v>3.5870000000000002</v>
      </c>
      <c r="C371">
        <v>3.7709999999999999</v>
      </c>
      <c r="D371">
        <v>3.3719999999999999</v>
      </c>
      <c r="E371">
        <v>3.6909999999999998</v>
      </c>
      <c r="F371">
        <v>151450.478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0.59899749373433553</v>
      </c>
      <c r="Q371">
        <f t="shared" si="970"/>
        <v>90718.456746867116</v>
      </c>
      <c r="R371">
        <f t="shared" si="971"/>
        <v>-4147406.8532597944</v>
      </c>
      <c r="S371">
        <f t="shared" si="972"/>
        <v>-41.474068532597947</v>
      </c>
      <c r="T371">
        <f t="shared" si="973"/>
        <v>-4.1474068532597948E-2</v>
      </c>
    </row>
    <row r="372" spans="1:20" x14ac:dyDescent="0.25">
      <c r="A372" s="5">
        <v>44221</v>
      </c>
      <c r="B372">
        <v>3.78</v>
      </c>
      <c r="C372">
        <v>3.867</v>
      </c>
      <c r="D372">
        <v>3.55</v>
      </c>
      <c r="E372">
        <v>3.5870000000000002</v>
      </c>
      <c r="F372">
        <v>96264.448000000004</v>
      </c>
      <c r="G372">
        <v>0</v>
      </c>
      <c r="L372" t="s">
        <v>7</v>
      </c>
      <c r="M372" t="s">
        <v>7</v>
      </c>
      <c r="N372" t="s">
        <v>7</v>
      </c>
      <c r="P372">
        <f t="shared" si="969"/>
        <v>-0.76656151419558138</v>
      </c>
      <c r="Q372">
        <f t="shared" si="970"/>
        <v>-73792.621022081803</v>
      </c>
      <c r="R372">
        <f t="shared" si="971"/>
        <v>-4238125.3100066613</v>
      </c>
      <c r="S372">
        <f t="shared" si="972"/>
        <v>-42.381253100066616</v>
      </c>
      <c r="T372">
        <f t="shared" si="973"/>
        <v>-4.2381253100066615E-2</v>
      </c>
    </row>
    <row r="373" spans="1:20" x14ac:dyDescent="0.25">
      <c r="A373" s="5">
        <v>44220</v>
      </c>
      <c r="B373">
        <v>3.9180000000000001</v>
      </c>
      <c r="C373">
        <v>3.9249999999999998</v>
      </c>
      <c r="D373">
        <v>3.7149999999999999</v>
      </c>
      <c r="E373">
        <v>3.78</v>
      </c>
      <c r="F373">
        <v>59693.995000000003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-0.38095238095238138</v>
      </c>
      <c r="Q373">
        <f t="shared" si="970"/>
        <v>-22740.56952380955</v>
      </c>
      <c r="R373">
        <f t="shared" si="971"/>
        <v>-4164332.6889845799</v>
      </c>
      <c r="S373">
        <f t="shared" si="972"/>
        <v>-41.643326889845795</v>
      </c>
      <c r="T373">
        <f t="shared" si="973"/>
        <v>-4.1643326889845796E-2</v>
      </c>
    </row>
    <row r="374" spans="1:20" x14ac:dyDescent="0.25">
      <c r="A374" s="5">
        <v>44219</v>
      </c>
      <c r="B374">
        <v>3.8330000000000002</v>
      </c>
      <c r="C374">
        <v>3.9359999999999999</v>
      </c>
      <c r="D374">
        <v>3.7029999999999998</v>
      </c>
      <c r="E374">
        <v>3.895</v>
      </c>
      <c r="F374">
        <v>75720.896999999997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0.64806866952789777</v>
      </c>
      <c r="Q374">
        <f t="shared" si="970"/>
        <v>49072.340974248982</v>
      </c>
      <c r="R374">
        <f t="shared" si="971"/>
        <v>-4141592.1194607704</v>
      </c>
      <c r="S374">
        <f t="shared" si="972"/>
        <v>-41.415921194607705</v>
      </c>
      <c r="T374">
        <f t="shared" si="973"/>
        <v>-4.1415921194607706E-2</v>
      </c>
    </row>
    <row r="375" spans="1:20" x14ac:dyDescent="0.25">
      <c r="A375" s="5">
        <v>44218</v>
      </c>
      <c r="B375">
        <v>3.911</v>
      </c>
      <c r="C375">
        <v>4.0549999999999997</v>
      </c>
      <c r="D375">
        <v>3.6360000000000001</v>
      </c>
      <c r="E375">
        <v>3.9180000000000001</v>
      </c>
      <c r="F375">
        <v>71898.138000000006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0.346062052505968</v>
      </c>
      <c r="Q375">
        <f t="shared" si="970"/>
        <v>24881.217207637335</v>
      </c>
      <c r="R375">
        <f t="shared" si="971"/>
        <v>-4190664.4604350193</v>
      </c>
      <c r="S375">
        <f t="shared" si="972"/>
        <v>-41.906644604350191</v>
      </c>
      <c r="T375">
        <f t="shared" si="973"/>
        <v>-4.1906644604350188E-2</v>
      </c>
    </row>
    <row r="376" spans="1:20" x14ac:dyDescent="0.25">
      <c r="A376" s="5">
        <v>44217</v>
      </c>
      <c r="B376">
        <v>4.2869999999999999</v>
      </c>
      <c r="C376">
        <v>4.335</v>
      </c>
      <c r="D376">
        <v>3.81</v>
      </c>
      <c r="E376">
        <v>3.91</v>
      </c>
      <c r="F376">
        <v>170629.41500000001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-0.61904761904761862</v>
      </c>
      <c r="Q376">
        <f t="shared" si="970"/>
        <v>-105627.73309523803</v>
      </c>
      <c r="R376">
        <f t="shared" si="971"/>
        <v>-4215545.6776426565</v>
      </c>
      <c r="S376">
        <f t="shared" si="972"/>
        <v>-42.155456776426568</v>
      </c>
      <c r="T376">
        <f t="shared" si="973"/>
        <v>-4.215545677642657E-2</v>
      </c>
    </row>
    <row r="377" spans="1:20" x14ac:dyDescent="0.25">
      <c r="A377" s="5">
        <v>44216</v>
      </c>
      <c r="B377">
        <v>4.077</v>
      </c>
      <c r="C377">
        <v>4.99</v>
      </c>
      <c r="D377">
        <v>3.8820000000000001</v>
      </c>
      <c r="E377">
        <v>4.2489999999999997</v>
      </c>
      <c r="F377">
        <v>422065.19099999999</v>
      </c>
      <c r="G377">
        <v>0</v>
      </c>
      <c r="L377" t="s">
        <v>8</v>
      </c>
      <c r="M377" t="s">
        <v>8</v>
      </c>
      <c r="N377" t="s">
        <v>7</v>
      </c>
      <c r="P377">
        <f t="shared" si="969"/>
        <v>-0.33754512635379147</v>
      </c>
      <c r="Q377">
        <f t="shared" si="970"/>
        <v>-142466.04822563214</v>
      </c>
      <c r="R377">
        <f t="shared" si="971"/>
        <v>-4109917.944547418</v>
      </c>
      <c r="S377">
        <f t="shared" si="972"/>
        <v>-41.099179445474178</v>
      </c>
      <c r="T377">
        <f t="shared" si="973"/>
        <v>-4.1099179445474178E-2</v>
      </c>
    </row>
    <row r="378" spans="1:20" x14ac:dyDescent="0.25">
      <c r="A378" s="5">
        <v>44215</v>
      </c>
      <c r="B378">
        <v>4.1130000000000004</v>
      </c>
      <c r="C378">
        <v>4.1689999999999996</v>
      </c>
      <c r="D378">
        <v>3.9079999999999999</v>
      </c>
      <c r="E378">
        <v>4.0819999999999999</v>
      </c>
      <c r="F378">
        <v>162518.68400000001</v>
      </c>
      <c r="G378">
        <v>0</v>
      </c>
      <c r="L378" t="s">
        <v>7</v>
      </c>
      <c r="M378" t="s">
        <v>7</v>
      </c>
      <c r="N378" t="s">
        <v>7</v>
      </c>
      <c r="P378">
        <f t="shared" si="969"/>
        <v>0.33333333333333448</v>
      </c>
      <c r="Q378">
        <f t="shared" si="970"/>
        <v>54172.894666666856</v>
      </c>
      <c r="R378">
        <f t="shared" si="971"/>
        <v>-3967451.8963217861</v>
      </c>
      <c r="S378">
        <f t="shared" si="972"/>
        <v>-39.674518963217864</v>
      </c>
      <c r="T378">
        <f t="shared" si="973"/>
        <v>-3.9674518963217865E-2</v>
      </c>
    </row>
    <row r="379" spans="1:20" x14ac:dyDescent="0.25">
      <c r="A379" s="5">
        <v>44214</v>
      </c>
      <c r="B379">
        <v>4.2110000000000003</v>
      </c>
      <c r="C379">
        <v>4.4000000000000004</v>
      </c>
      <c r="D379">
        <v>4.0599999999999996</v>
      </c>
      <c r="E379">
        <v>4.1040000000000001</v>
      </c>
      <c r="F379">
        <v>212766.31899999999</v>
      </c>
      <c r="G379">
        <v>0</v>
      </c>
      <c r="L379" t="s">
        <v>8</v>
      </c>
      <c r="M379" t="s">
        <v>7</v>
      </c>
      <c r="N379" t="s">
        <v>7</v>
      </c>
      <c r="P379">
        <f t="shared" si="969"/>
        <v>-0.74117647058823299</v>
      </c>
      <c r="Q379">
        <f t="shared" si="970"/>
        <v>-157697.38937647009</v>
      </c>
      <c r="R379">
        <f t="shared" si="971"/>
        <v>-4021624.7909884527</v>
      </c>
      <c r="S379">
        <f t="shared" si="972"/>
        <v>-40.21624790988453</v>
      </c>
      <c r="T379">
        <f t="shared" si="973"/>
        <v>-4.0216247909884532E-2</v>
      </c>
    </row>
    <row r="380" spans="1:20" x14ac:dyDescent="0.25">
      <c r="A380" s="5">
        <v>44213</v>
      </c>
      <c r="B380">
        <v>4.4009999999999998</v>
      </c>
      <c r="C380">
        <v>4.4119999999999999</v>
      </c>
      <c r="D380">
        <v>3.9</v>
      </c>
      <c r="E380">
        <v>4.2089999999999996</v>
      </c>
      <c r="F380">
        <v>267362.26899999997</v>
      </c>
      <c r="G380">
        <v>0</v>
      </c>
      <c r="L380" t="s">
        <v>7</v>
      </c>
      <c r="M380" t="s">
        <v>7</v>
      </c>
      <c r="N380" t="s">
        <v>7</v>
      </c>
      <c r="P380">
        <f t="shared" si="969"/>
        <v>0.20703124999999889</v>
      </c>
      <c r="Q380">
        <f t="shared" si="970"/>
        <v>55352.344753905949</v>
      </c>
      <c r="R380">
        <f t="shared" si="971"/>
        <v>-3863927.4016119828</v>
      </c>
      <c r="S380">
        <f t="shared" si="972"/>
        <v>-38.639274016119828</v>
      </c>
      <c r="T380">
        <f t="shared" si="973"/>
        <v>-3.8639274016119829E-2</v>
      </c>
    </row>
    <row r="381" spans="1:20" x14ac:dyDescent="0.25">
      <c r="A381" s="5">
        <v>44212</v>
      </c>
      <c r="B381">
        <v>4.3280000000000003</v>
      </c>
      <c r="C381">
        <v>5.0999999999999996</v>
      </c>
      <c r="D381">
        <v>4.117</v>
      </c>
      <c r="E381">
        <v>4.3949999999999996</v>
      </c>
      <c r="F381">
        <v>645494.68200000003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-0.4343845371312316</v>
      </c>
      <c r="Q381">
        <f t="shared" si="970"/>
        <v>-280392.90866124153</v>
      </c>
      <c r="R381">
        <f t="shared" si="971"/>
        <v>-3919279.746365889</v>
      </c>
      <c r="S381">
        <f t="shared" si="972"/>
        <v>-39.192797463658891</v>
      </c>
      <c r="T381">
        <f t="shared" si="973"/>
        <v>-3.919279746365889E-2</v>
      </c>
    </row>
    <row r="382" spans="1:20" x14ac:dyDescent="0.25">
      <c r="A382" s="5">
        <v>44211</v>
      </c>
      <c r="B382">
        <v>4.5549999999999997</v>
      </c>
      <c r="C382">
        <v>5.101</v>
      </c>
      <c r="D382">
        <v>4.0010000000000003</v>
      </c>
      <c r="E382">
        <v>4.33</v>
      </c>
      <c r="F382">
        <v>777019.31099999999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-0.40181818181818213</v>
      </c>
      <c r="Q382">
        <f t="shared" si="970"/>
        <v>-312220.48678363662</v>
      </c>
      <c r="R382">
        <f t="shared" si="971"/>
        <v>-3638886.8377046473</v>
      </c>
      <c r="S382">
        <f t="shared" si="972"/>
        <v>-36.388868377046471</v>
      </c>
      <c r="T382">
        <f t="shared" si="973"/>
        <v>-3.6388868377046468E-2</v>
      </c>
    </row>
    <row r="383" spans="1:20" x14ac:dyDescent="0.25">
      <c r="A383" s="5">
        <v>44210</v>
      </c>
      <c r="B383">
        <v>5.34</v>
      </c>
      <c r="C383">
        <v>6</v>
      </c>
      <c r="D383">
        <v>4.3559999999999999</v>
      </c>
      <c r="E383">
        <v>4.57</v>
      </c>
      <c r="F383">
        <v>1535285.078</v>
      </c>
      <c r="G383">
        <v>0</v>
      </c>
      <c r="L383" t="s">
        <v>7</v>
      </c>
      <c r="M383" t="s">
        <v>7</v>
      </c>
      <c r="N383" t="s">
        <v>7</v>
      </c>
      <c r="P383">
        <f t="shared" si="969"/>
        <v>-0.73965936739659321</v>
      </c>
      <c r="Q383">
        <f t="shared" si="970"/>
        <v>-1135587.9895669091</v>
      </c>
      <c r="R383">
        <f t="shared" si="971"/>
        <v>-3326666.3509210106</v>
      </c>
      <c r="S383">
        <f t="shared" si="972"/>
        <v>-33.266663509210105</v>
      </c>
      <c r="T383">
        <f t="shared" si="973"/>
        <v>-3.3266663509210107E-2</v>
      </c>
    </row>
    <row r="384" spans="1:20" x14ac:dyDescent="0.25">
      <c r="A384" s="5">
        <v>44209</v>
      </c>
      <c r="B384">
        <v>2.5910000000000002</v>
      </c>
      <c r="C384">
        <v>7.14</v>
      </c>
      <c r="D384">
        <v>2.5</v>
      </c>
      <c r="E384">
        <v>5.34</v>
      </c>
      <c r="F384">
        <v>1872290.186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0.22413793103448279</v>
      </c>
      <c r="Q384">
        <f t="shared" si="970"/>
        <v>419651.24858620693</v>
      </c>
      <c r="R384">
        <f t="shared" si="971"/>
        <v>-2191078.3613541014</v>
      </c>
      <c r="S384">
        <f t="shared" si="972"/>
        <v>-21.910783613541014</v>
      </c>
      <c r="T384">
        <f t="shared" si="973"/>
        <v>-2.1910783613541013E-2</v>
      </c>
    </row>
    <row r="385" spans="1:20" x14ac:dyDescent="0.25">
      <c r="A385" s="5">
        <v>44208</v>
      </c>
      <c r="B385">
        <v>2.7909999999999999</v>
      </c>
      <c r="C385">
        <v>2.9390000000000001</v>
      </c>
      <c r="D385">
        <v>2.4940000000000002</v>
      </c>
      <c r="E385">
        <v>2.5910000000000002</v>
      </c>
      <c r="F385">
        <v>48094.794999999998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-0.56404494382022463</v>
      </c>
      <c r="Q385">
        <f t="shared" si="970"/>
        <v>-27127.625943820218</v>
      </c>
      <c r="R385">
        <f t="shared" si="971"/>
        <v>-2610729.6099403086</v>
      </c>
      <c r="S385">
        <f t="shared" si="972"/>
        <v>-26.107296099403086</v>
      </c>
      <c r="T385">
        <f t="shared" si="973"/>
        <v>-2.6107296099403085E-2</v>
      </c>
    </row>
    <row r="386" spans="1:20" x14ac:dyDescent="0.25">
      <c r="A386" s="5">
        <v>44207</v>
      </c>
      <c r="B386">
        <v>3.4</v>
      </c>
      <c r="C386">
        <v>3.4</v>
      </c>
      <c r="D386">
        <v>2.3679999999999999</v>
      </c>
      <c r="E386">
        <v>2.806</v>
      </c>
      <c r="F386">
        <v>133360.84299999999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-0.15116279069767413</v>
      </c>
      <c r="Q386">
        <f t="shared" si="970"/>
        <v>-20159.197197674381</v>
      </c>
      <c r="R386">
        <f t="shared" si="971"/>
        <v>-2583601.9839964886</v>
      </c>
      <c r="S386">
        <f t="shared" si="972"/>
        <v>-25.836019839964887</v>
      </c>
      <c r="T386">
        <f t="shared" si="973"/>
        <v>-2.5836019839964888E-2</v>
      </c>
    </row>
    <row r="387" spans="1:20" x14ac:dyDescent="0.25">
      <c r="A387" s="5">
        <v>44206</v>
      </c>
      <c r="B387">
        <v>3.4540000000000002</v>
      </c>
      <c r="C387">
        <v>3.6629999999999998</v>
      </c>
      <c r="D387">
        <v>3.113</v>
      </c>
      <c r="E387">
        <v>3.4159999999999999</v>
      </c>
      <c r="F387">
        <v>80627.444000000003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0.10181818181818195</v>
      </c>
      <c r="Q387">
        <f t="shared" si="970"/>
        <v>8209.3397527272828</v>
      </c>
      <c r="R387">
        <f t="shared" si="971"/>
        <v>-2563442.7867988143</v>
      </c>
      <c r="S387">
        <f t="shared" si="972"/>
        <v>-25.634427867988144</v>
      </c>
      <c r="T387">
        <f t="shared" si="973"/>
        <v>-2.5634427867988144E-2</v>
      </c>
    </row>
    <row r="388" spans="1:20" x14ac:dyDescent="0.25">
      <c r="A388" s="5">
        <v>44205</v>
      </c>
      <c r="B388">
        <v>3.5630000000000002</v>
      </c>
      <c r="C388">
        <v>3.6</v>
      </c>
      <c r="D388">
        <v>3.41</v>
      </c>
      <c r="E388">
        <v>3.4540000000000002</v>
      </c>
      <c r="F388">
        <v>69911.399000000005</v>
      </c>
      <c r="G388">
        <v>0</v>
      </c>
      <c r="L388" t="s">
        <v>7</v>
      </c>
      <c r="M388" t="s">
        <v>7</v>
      </c>
      <c r="N388" t="s">
        <v>7</v>
      </c>
      <c r="P388">
        <f t="shared" si="969"/>
        <v>-0.53684210526315734</v>
      </c>
      <c r="Q388">
        <f t="shared" si="970"/>
        <v>-37531.382621052595</v>
      </c>
      <c r="R388">
        <f t="shared" si="971"/>
        <v>-2571652.1265515415</v>
      </c>
      <c r="S388">
        <f t="shared" si="972"/>
        <v>-25.716521265515414</v>
      </c>
      <c r="T388">
        <f t="shared" si="973"/>
        <v>-2.5716521265515414E-2</v>
      </c>
    </row>
    <row r="389" spans="1:20" x14ac:dyDescent="0.25">
      <c r="A389" s="5">
        <v>44204</v>
      </c>
      <c r="B389">
        <v>3.62</v>
      </c>
      <c r="C389">
        <v>4.3120000000000003</v>
      </c>
      <c r="D389">
        <v>3.4449999999999998</v>
      </c>
      <c r="E389">
        <v>3.5409999999999999</v>
      </c>
      <c r="F389">
        <v>189515.07800000001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-0.7785467128027681</v>
      </c>
      <c r="Q389">
        <f t="shared" si="970"/>
        <v>-147546.3410034602</v>
      </c>
      <c r="R389">
        <f t="shared" si="971"/>
        <v>-2534120.7439304888</v>
      </c>
      <c r="S389">
        <f t="shared" si="972"/>
        <v>-25.341207439304888</v>
      </c>
      <c r="T389">
        <f t="shared" si="973"/>
        <v>-2.5341207439304889E-2</v>
      </c>
    </row>
    <row r="390" spans="1:20" x14ac:dyDescent="0.25">
      <c r="A390" s="5">
        <v>44203</v>
      </c>
      <c r="B390">
        <v>3.931</v>
      </c>
      <c r="C390">
        <v>4.085</v>
      </c>
      <c r="D390">
        <v>3.62</v>
      </c>
      <c r="E390">
        <v>3.62</v>
      </c>
      <c r="F390">
        <v>131899.64000000001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-1</v>
      </c>
      <c r="Q390">
        <f t="shared" ref="Q390:Q453" si="975">F390*P390</f>
        <v>-131899.64000000001</v>
      </c>
      <c r="R390">
        <f t="shared" ref="R390:R453" si="976">R391+Q390</f>
        <v>-2386574.4029270285</v>
      </c>
      <c r="S390">
        <f t="shared" ref="S390:S453" si="977">R390/100000</f>
        <v>-23.865744029270285</v>
      </c>
      <c r="T390">
        <f t="shared" ref="T390:T453" si="978">S390/1000</f>
        <v>-2.3865744029270285E-2</v>
      </c>
    </row>
    <row r="391" spans="1:20" x14ac:dyDescent="0.25">
      <c r="A391" s="5">
        <v>44202</v>
      </c>
      <c r="B391">
        <v>4.0010000000000003</v>
      </c>
      <c r="C391">
        <v>4.3289999999999997</v>
      </c>
      <c r="D391">
        <v>3.8559999999999999</v>
      </c>
      <c r="E391">
        <v>3.9</v>
      </c>
      <c r="F391">
        <v>160570.23800000001</v>
      </c>
      <c r="G391">
        <v>0</v>
      </c>
      <c r="L391" t="s">
        <v>7</v>
      </c>
      <c r="M391" t="s">
        <v>7</v>
      </c>
      <c r="N391" t="s">
        <v>7</v>
      </c>
      <c r="P391">
        <f t="shared" si="974"/>
        <v>-0.8139534883720928</v>
      </c>
      <c r="Q391">
        <f t="shared" si="975"/>
        <v>-130696.70534883719</v>
      </c>
      <c r="R391">
        <f t="shared" si="976"/>
        <v>-2254674.7629270284</v>
      </c>
      <c r="S391">
        <f t="shared" si="977"/>
        <v>-22.546747629270282</v>
      </c>
      <c r="T391">
        <f t="shared" si="978"/>
        <v>-2.2546747629270281E-2</v>
      </c>
    </row>
    <row r="392" spans="1:20" x14ac:dyDescent="0.25">
      <c r="A392" s="5">
        <v>44201</v>
      </c>
      <c r="B392">
        <v>4.45</v>
      </c>
      <c r="C392">
        <v>4.6689999999999996</v>
      </c>
      <c r="D392">
        <v>4</v>
      </c>
      <c r="E392">
        <v>4</v>
      </c>
      <c r="F392">
        <v>123029.92600000001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-1</v>
      </c>
      <c r="Q392">
        <f t="shared" si="975"/>
        <v>-123029.92600000001</v>
      </c>
      <c r="R392">
        <f t="shared" si="976"/>
        <v>-2123978.0575781912</v>
      </c>
      <c r="S392">
        <f t="shared" si="977"/>
        <v>-21.239780575781911</v>
      </c>
      <c r="T392">
        <f t="shared" si="978"/>
        <v>-2.1239780575781912E-2</v>
      </c>
    </row>
    <row r="393" spans="1:20" x14ac:dyDescent="0.25">
      <c r="A393" s="5">
        <v>44200</v>
      </c>
      <c r="B393">
        <v>4.7</v>
      </c>
      <c r="C393">
        <v>5.22</v>
      </c>
      <c r="D393">
        <v>4</v>
      </c>
      <c r="E393">
        <v>4.4509999999999996</v>
      </c>
      <c r="F393">
        <v>175943.81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-0.26065573770491851</v>
      </c>
      <c r="Q393">
        <f t="shared" si="975"/>
        <v>-45860.763590164017</v>
      </c>
      <c r="R393">
        <f t="shared" si="976"/>
        <v>-2000948.1315781912</v>
      </c>
      <c r="S393">
        <f t="shared" si="977"/>
        <v>-20.009481315781912</v>
      </c>
      <c r="T393">
        <f t="shared" si="978"/>
        <v>-2.000948131578191E-2</v>
      </c>
    </row>
    <row r="394" spans="1:20" x14ac:dyDescent="0.25">
      <c r="A394" s="5">
        <v>44199</v>
      </c>
      <c r="B394">
        <v>5.6189999999999998</v>
      </c>
      <c r="C394">
        <v>5.91</v>
      </c>
      <c r="D394">
        <v>4.6829999999999998</v>
      </c>
      <c r="E394">
        <v>4.7</v>
      </c>
      <c r="F394">
        <v>147846.946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-0.97229013854930668</v>
      </c>
      <c r="Q394">
        <f t="shared" si="975"/>
        <v>-143750.12761043187</v>
      </c>
      <c r="R394">
        <f t="shared" si="976"/>
        <v>-1955087.3679880272</v>
      </c>
      <c r="S394">
        <f t="shared" si="977"/>
        <v>-19.550873679880272</v>
      </c>
      <c r="T394">
        <f t="shared" si="978"/>
        <v>-1.9550873679880273E-2</v>
      </c>
    </row>
    <row r="395" spans="1:20" x14ac:dyDescent="0.25">
      <c r="A395" s="5">
        <v>44198</v>
      </c>
      <c r="B395">
        <v>6.2930000000000001</v>
      </c>
      <c r="C395">
        <v>6.9989999999999997</v>
      </c>
      <c r="D395">
        <v>5.4</v>
      </c>
      <c r="E395">
        <v>5.6280000000000001</v>
      </c>
      <c r="F395">
        <v>360938.90500000003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-0.71482176360225158</v>
      </c>
      <c r="Q395">
        <f t="shared" si="975"/>
        <v>-258006.98462476555</v>
      </c>
      <c r="R395">
        <f t="shared" si="976"/>
        <v>-1811337.2403775954</v>
      </c>
      <c r="S395">
        <f t="shared" si="977"/>
        <v>-18.113372403775955</v>
      </c>
      <c r="T395">
        <f t="shared" si="978"/>
        <v>-1.8113372403775956E-2</v>
      </c>
    </row>
    <row r="396" spans="1:20" x14ac:dyDescent="0.25">
      <c r="A396" s="5">
        <v>44197</v>
      </c>
      <c r="B396">
        <v>6.2759999999999998</v>
      </c>
      <c r="C396">
        <v>6.97</v>
      </c>
      <c r="D396">
        <v>5.0999999999999996</v>
      </c>
      <c r="E396">
        <v>6.27</v>
      </c>
      <c r="F396">
        <v>434821.17700000003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0.25133689839572176</v>
      </c>
      <c r="Q396">
        <f t="shared" si="975"/>
        <v>109286.60598395715</v>
      </c>
      <c r="R396">
        <f t="shared" si="976"/>
        <v>-1553330.2557528298</v>
      </c>
      <c r="S396">
        <f t="shared" si="977"/>
        <v>-15.533302557528298</v>
      </c>
      <c r="T396">
        <f t="shared" si="978"/>
        <v>-1.5533302557528298E-2</v>
      </c>
    </row>
    <row r="397" spans="1:20" x14ac:dyDescent="0.25">
      <c r="A397" s="5">
        <v>44196</v>
      </c>
      <c r="B397">
        <v>8.9220000000000006</v>
      </c>
      <c r="C397">
        <v>8.9269999999999996</v>
      </c>
      <c r="D397">
        <v>6.26</v>
      </c>
      <c r="E397">
        <v>6.274</v>
      </c>
      <c r="F397">
        <v>341244.91100000002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-0.98950131233595784</v>
      </c>
      <c r="Q397">
        <f t="shared" si="975"/>
        <v>-337662.28726246714</v>
      </c>
      <c r="R397">
        <f t="shared" si="976"/>
        <v>-1662616.861736787</v>
      </c>
      <c r="S397">
        <f t="shared" si="977"/>
        <v>-16.62616861736787</v>
      </c>
      <c r="T397">
        <f t="shared" si="978"/>
        <v>-1.6626168617367869E-2</v>
      </c>
    </row>
    <row r="398" spans="1:20" x14ac:dyDescent="0.25">
      <c r="A398" s="5">
        <v>44195</v>
      </c>
      <c r="B398">
        <v>13.88</v>
      </c>
      <c r="C398">
        <v>31.414999999999999</v>
      </c>
      <c r="D398">
        <v>6.1619999999999999</v>
      </c>
      <c r="E398">
        <v>8.9260000000000002</v>
      </c>
      <c r="F398">
        <v>1696277.7120000001</v>
      </c>
      <c r="G398">
        <v>0</v>
      </c>
      <c r="P398">
        <f t="shared" si="974"/>
        <v>-0.7810953154080702</v>
      </c>
      <c r="Q398">
        <f t="shared" si="975"/>
        <v>-1324954.5744743198</v>
      </c>
      <c r="R398">
        <f t="shared" si="976"/>
        <v>-1324954.5744743198</v>
      </c>
      <c r="S398">
        <f t="shared" si="977"/>
        <v>-13.249545744743198</v>
      </c>
      <c r="T398">
        <f t="shared" si="978"/>
        <v>-1.3249545744743197E-2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HD531" sqref="HD53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$A$530</v>
      </c>
      <c r="D111" s="1" t="str">
        <f>ADDRESS(C121-1,D121,1,1)</f>
        <v>$HD$530</v>
      </c>
      <c r="E111"/>
    </row>
    <row r="112" spans="1:5" x14ac:dyDescent="0.25">
      <c r="A112" s="7">
        <v>12164.144957890772</v>
      </c>
      <c r="C112" s="1" t="str">
        <f>ADDRESS(C121,1,1,1)</f>
        <v>$A$531</v>
      </c>
      <c r="D112" s="1" t="str">
        <f>ADDRESS(C121,D121-1,1,1)</f>
        <v>$HC$531</v>
      </c>
      <c r="E112"/>
    </row>
    <row r="113" spans="1:5" x14ac:dyDescent="0.25">
      <c r="A113" s="7">
        <v>11925.63231165762</v>
      </c>
      <c r="C113" s="1" t="str">
        <f>ADDRESS(C121+1,1,1,1)</f>
        <v>$A$532</v>
      </c>
      <c r="D113" s="1" t="str">
        <f>ADDRESS(C121-1,D121+1,1,1)</f>
        <v>$HE$530</v>
      </c>
    </row>
    <row r="114" spans="1:5" x14ac:dyDescent="0.25">
      <c r="A114" s="7">
        <v>11691.796383978059</v>
      </c>
      <c r="C114" s="1" t="str">
        <f>ADDRESS(C121,D121,1,1)</f>
        <v>$HD$531</v>
      </c>
      <c r="D114" s="1" t="str">
        <f>ADDRESS(C121+1,D121+1,1,1)</f>
        <v>$HE$532</v>
      </c>
    </row>
    <row r="115" spans="1:5" x14ac:dyDescent="0.25">
      <c r="A115" s="7">
        <v>11462.545474488292</v>
      </c>
      <c r="C115" s="1" t="str">
        <f>ADDRESS(C121+1,D121,1,1)</f>
        <v>$HD$532</v>
      </c>
    </row>
    <row r="116" spans="1:5" x14ac:dyDescent="0.25">
      <c r="A116" s="7">
        <v>11237.789680870874</v>
      </c>
      <c r="C116" s="1">
        <f>C117-1</f>
        <v>530</v>
      </c>
    </row>
    <row r="117" spans="1:5" x14ac:dyDescent="0.25">
      <c r="A117" s="7">
        <v>11017.440863598895</v>
      </c>
      <c r="C117" s="1">
        <f>C121</f>
        <v>531</v>
      </c>
      <c r="D117" s="1">
        <f>D121</f>
        <v>212</v>
      </c>
    </row>
    <row r="118" spans="1:5" x14ac:dyDescent="0.25">
      <c r="A118" s="7">
        <v>10801.412611371465</v>
      </c>
      <c r="C118" s="1">
        <f>C117+1</f>
        <v>532</v>
      </c>
      <c r="D118" s="1">
        <f>D117+1</f>
        <v>213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531</v>
      </c>
      <c r="D121" s="19">
        <v>212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R531</v>
      </c>
      <c r="D123" s="1" t="str">
        <f>"C"&amp;D121</f>
        <v>C212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3.0311652864835552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82" x14ac:dyDescent="0.25">
      <c r="A433" s="7">
        <v>21.106997141968804</v>
      </c>
      <c r="B433"/>
      <c r="C433"/>
      <c r="D433"/>
      <c r="E433"/>
    </row>
    <row r="434" spans="1:82" x14ac:dyDescent="0.25">
      <c r="A434" s="7">
        <v>20.693134452910591</v>
      </c>
      <c r="B434"/>
      <c r="C434"/>
      <c r="D434"/>
      <c r="E434"/>
    </row>
    <row r="435" spans="1:82" x14ac:dyDescent="0.25">
      <c r="A435" s="7">
        <v>20.287386718539796</v>
      </c>
      <c r="B435"/>
      <c r="C435"/>
      <c r="D435"/>
      <c r="E435"/>
    </row>
    <row r="436" spans="1:82" x14ac:dyDescent="0.25">
      <c r="A436" s="7">
        <v>19.889594822097838</v>
      </c>
      <c r="B436"/>
      <c r="C436"/>
      <c r="D436"/>
      <c r="E436"/>
    </row>
    <row r="437" spans="1:82" x14ac:dyDescent="0.25">
      <c r="A437" s="7">
        <v>19.499602766762585</v>
      </c>
      <c r="B437"/>
      <c r="C437"/>
      <c r="D437"/>
      <c r="E437"/>
    </row>
    <row r="438" spans="1:82" x14ac:dyDescent="0.25">
      <c r="A438" s="7">
        <v>19.117257614473122</v>
      </c>
      <c r="B438"/>
      <c r="C438"/>
      <c r="D438"/>
      <c r="E438"/>
    </row>
    <row r="439" spans="1:82" x14ac:dyDescent="0.25">
      <c r="A439" s="7">
        <v>18.74240942595404</v>
      </c>
      <c r="B439"/>
      <c r="C439"/>
      <c r="D439"/>
      <c r="E439"/>
    </row>
    <row r="440" spans="1:82" x14ac:dyDescent="0.25">
      <c r="A440" s="7">
        <v>18.374911201915726</v>
      </c>
      <c r="B440"/>
      <c r="C440"/>
      <c r="D440"/>
      <c r="E440"/>
    </row>
    <row r="441" spans="1:82" x14ac:dyDescent="0.25">
      <c r="A441" s="7">
        <v>18.014618825407574</v>
      </c>
      <c r="B441"/>
      <c r="C441"/>
      <c r="D441"/>
      <c r="E441"/>
    </row>
    <row r="442" spans="1:82" x14ac:dyDescent="0.25">
      <c r="A442" s="7">
        <v>17.661391005301542</v>
      </c>
      <c r="B442"/>
      <c r="C442"/>
      <c r="D442"/>
      <c r="E442"/>
    </row>
    <row r="443" spans="1:82" x14ac:dyDescent="0.25">
      <c r="A443" s="7">
        <v>17.315089220883866</v>
      </c>
      <c r="B443"/>
      <c r="C443"/>
      <c r="D443"/>
      <c r="E443"/>
    </row>
    <row r="444" spans="1:82" x14ac:dyDescent="0.25">
      <c r="A444" s="7">
        <v>16.975577667533202</v>
      </c>
      <c r="B444"/>
      <c r="C444"/>
      <c r="D444"/>
      <c r="E444"/>
      <c r="BE444" s="27" t="s">
        <v>8</v>
      </c>
    </row>
    <row r="445" spans="1:82" x14ac:dyDescent="0.25">
      <c r="A445" s="7">
        <v>16.642723203463923</v>
      </c>
      <c r="B445"/>
      <c r="C445"/>
      <c r="D445"/>
      <c r="E445"/>
      <c r="BE445" s="27" t="s">
        <v>8</v>
      </c>
      <c r="BF445" s="27" t="s">
        <v>7</v>
      </c>
    </row>
    <row r="446" spans="1:82" x14ac:dyDescent="0.25">
      <c r="A446" s="7">
        <v>16.316395297513651</v>
      </c>
      <c r="B446"/>
      <c r="C446"/>
      <c r="D446"/>
      <c r="E446"/>
      <c r="BE446" s="27" t="s">
        <v>8</v>
      </c>
      <c r="BF446" s="27" t="s">
        <v>7</v>
      </c>
      <c r="CC446" s="27" t="s">
        <v>8</v>
      </c>
    </row>
    <row r="447" spans="1:82" x14ac:dyDescent="0.25">
      <c r="A447" s="7">
        <v>15.996465977954561</v>
      </c>
      <c r="B447"/>
      <c r="C447"/>
      <c r="D447"/>
      <c r="E447"/>
      <c r="BE447" s="27" t="s">
        <v>8</v>
      </c>
      <c r="BF447" s="27" t="s">
        <v>7</v>
      </c>
      <c r="CC447" s="27" t="s">
        <v>8</v>
      </c>
      <c r="CD447" s="27" t="s">
        <v>7</v>
      </c>
    </row>
    <row r="448" spans="1:82" x14ac:dyDescent="0.25">
      <c r="A448" s="7">
        <v>15.682809782308393</v>
      </c>
      <c r="B448"/>
      <c r="C448"/>
      <c r="D448"/>
      <c r="E448"/>
      <c r="BE448" s="27" t="s">
        <v>8</v>
      </c>
      <c r="BF448" s="27" t="s">
        <v>7</v>
      </c>
      <c r="CC448" s="27" t="s">
        <v>8</v>
      </c>
      <c r="CD448" s="27" t="s">
        <v>7</v>
      </c>
    </row>
    <row r="449" spans="1:149" x14ac:dyDescent="0.25">
      <c r="A449" s="7">
        <v>15.375303708145482</v>
      </c>
      <c r="B449"/>
      <c r="C449"/>
      <c r="D449"/>
      <c r="E449"/>
      <c r="BE449" s="27" t="s">
        <v>8</v>
      </c>
      <c r="BF449" s="27" t="s">
        <v>7</v>
      </c>
      <c r="CC449" s="27" t="s">
        <v>8</v>
      </c>
      <c r="CD449" s="27" t="s">
        <v>7</v>
      </c>
    </row>
    <row r="450" spans="1:149" x14ac:dyDescent="0.25">
      <c r="A450" s="7">
        <v>15.073827164848511</v>
      </c>
      <c r="B450"/>
      <c r="C450"/>
      <c r="D450"/>
      <c r="E450"/>
      <c r="BE450" s="27" t="s">
        <v>8</v>
      </c>
      <c r="BF450" s="27" t="s">
        <v>7</v>
      </c>
      <c r="CC450" s="27" t="s">
        <v>8</v>
      </c>
      <c r="CD450" s="27" t="s">
        <v>7</v>
      </c>
    </row>
    <row r="451" spans="1:149" x14ac:dyDescent="0.25">
      <c r="A451" s="7">
        <v>14.77826192632207</v>
      </c>
      <c r="B451"/>
      <c r="C451"/>
      <c r="D451"/>
      <c r="E451"/>
      <c r="BE451" s="27" t="s">
        <v>8</v>
      </c>
      <c r="BF451" s="27" t="s">
        <v>7</v>
      </c>
      <c r="BK451" s="27" t="s">
        <v>8</v>
      </c>
      <c r="CC451" s="27" t="s">
        <v>8</v>
      </c>
      <c r="CD451" s="27" t="s">
        <v>7</v>
      </c>
    </row>
    <row r="452" spans="1:149" x14ac:dyDescent="0.25">
      <c r="A452" s="7">
        <v>14.488492084629481</v>
      </c>
      <c r="B452"/>
      <c r="C452"/>
      <c r="D452"/>
      <c r="E452"/>
      <c r="BE452" s="27" t="s">
        <v>8</v>
      </c>
      <c r="BF452" s="27" t="s">
        <v>7</v>
      </c>
      <c r="BK452" s="27" t="s">
        <v>8</v>
      </c>
      <c r="BL452" s="27" t="s">
        <v>7</v>
      </c>
      <c r="CC452" s="27" t="s">
        <v>8</v>
      </c>
      <c r="CD452" s="27" t="s">
        <v>7</v>
      </c>
    </row>
    <row r="453" spans="1:149" x14ac:dyDescent="0.25">
      <c r="A453" s="7">
        <v>14.204404004538707</v>
      </c>
      <c r="B453"/>
      <c r="C453"/>
      <c r="D453"/>
      <c r="E453"/>
      <c r="BE453" s="27" t="s">
        <v>8</v>
      </c>
      <c r="BF453" s="27" t="s">
        <v>7</v>
      </c>
      <c r="BG453" s="27" t="s">
        <v>8</v>
      </c>
      <c r="BK453" s="27" t="s">
        <v>8</v>
      </c>
      <c r="BL453" s="27" t="s">
        <v>7</v>
      </c>
      <c r="CC453" s="27" t="s">
        <v>8</v>
      </c>
      <c r="CD453" s="27" t="s">
        <v>7</v>
      </c>
      <c r="CE453" s="27" t="s">
        <v>8</v>
      </c>
    </row>
    <row r="454" spans="1:149" x14ac:dyDescent="0.25">
      <c r="A454" s="7">
        <v>13.925886278959517</v>
      </c>
      <c r="B454"/>
      <c r="C454"/>
      <c r="D454"/>
      <c r="E454"/>
      <c r="BE454" s="27" t="s">
        <v>8</v>
      </c>
      <c r="BF454" s="27" t="s">
        <v>7</v>
      </c>
      <c r="BG454" s="27" t="s">
        <v>8</v>
      </c>
      <c r="BH454" s="27" t="s">
        <v>7</v>
      </c>
      <c r="BK454" s="27" t="s">
        <v>8</v>
      </c>
      <c r="BL454" s="27" t="s">
        <v>7</v>
      </c>
      <c r="CC454" s="27" t="s">
        <v>8</v>
      </c>
      <c r="CD454" s="27" t="s">
        <v>7</v>
      </c>
      <c r="CE454" s="27" t="s">
        <v>8</v>
      </c>
      <c r="CF454" s="27" t="s">
        <v>7</v>
      </c>
    </row>
    <row r="455" spans="1:149" x14ac:dyDescent="0.25">
      <c r="A455" s="7">
        <v>13.652829685254428</v>
      </c>
      <c r="B455"/>
      <c r="C455"/>
      <c r="D455"/>
      <c r="E455"/>
      <c r="BE455" s="27" t="s">
        <v>8</v>
      </c>
      <c r="BF455" s="27" t="s">
        <v>7</v>
      </c>
      <c r="BG455" s="27" t="s">
        <v>8</v>
      </c>
      <c r="BH455" s="27" t="s">
        <v>7</v>
      </c>
      <c r="BK455" s="27" t="s">
        <v>8</v>
      </c>
      <c r="BL455" s="27" t="s">
        <v>7</v>
      </c>
      <c r="CC455" s="27" t="s">
        <v>8</v>
      </c>
      <c r="CD455" s="27" t="s">
        <v>7</v>
      </c>
      <c r="CE455" s="27" t="s">
        <v>8</v>
      </c>
      <c r="CF455" s="27" t="s">
        <v>7</v>
      </c>
    </row>
    <row r="456" spans="1:149" x14ac:dyDescent="0.25">
      <c r="A456" s="7">
        <v>13.385127142406303</v>
      </c>
      <c r="B456"/>
      <c r="C456"/>
      <c r="D456"/>
      <c r="E456"/>
      <c r="BC456" s="27" t="s">
        <v>8</v>
      </c>
      <c r="BE456" s="27" t="s">
        <v>8</v>
      </c>
      <c r="BF456" s="27" t="s">
        <v>7</v>
      </c>
      <c r="BG456" s="27" t="s">
        <v>8</v>
      </c>
      <c r="BH456" s="27" t="s">
        <v>7</v>
      </c>
      <c r="BK456" s="27" t="s">
        <v>8</v>
      </c>
      <c r="BL456" s="27" t="s">
        <v>7</v>
      </c>
      <c r="CC456" s="27" t="s">
        <v>8</v>
      </c>
      <c r="CD456" s="27" t="s">
        <v>7</v>
      </c>
      <c r="CE456" s="27" t="s">
        <v>8</v>
      </c>
      <c r="CF456" s="27" t="s">
        <v>7</v>
      </c>
    </row>
    <row r="457" spans="1:149" x14ac:dyDescent="0.25">
      <c r="A457" s="7">
        <v>13.122673669025787</v>
      </c>
      <c r="B457"/>
      <c r="C457"/>
      <c r="D457"/>
      <c r="E457"/>
      <c r="BC457" s="27" t="s">
        <v>8</v>
      </c>
      <c r="BD457" s="27" t="s">
        <v>7</v>
      </c>
      <c r="BE457" s="27" t="s">
        <v>8</v>
      </c>
      <c r="BF457" s="27" t="s">
        <v>7</v>
      </c>
      <c r="BG457" s="27" t="s">
        <v>8</v>
      </c>
      <c r="BH457" s="27" t="s">
        <v>7</v>
      </c>
      <c r="BI457" s="27" t="s">
        <v>8</v>
      </c>
      <c r="BK457" s="27" t="s">
        <v>8</v>
      </c>
      <c r="BL457" s="27" t="s">
        <v>7</v>
      </c>
      <c r="CC457" s="27" t="s">
        <v>8</v>
      </c>
      <c r="CD457" s="27" t="s">
        <v>7</v>
      </c>
      <c r="CE457" s="27" t="s">
        <v>8</v>
      </c>
      <c r="CF457" s="27" t="s">
        <v>7</v>
      </c>
    </row>
    <row r="458" spans="1:149" x14ac:dyDescent="0.25">
      <c r="A458" s="7">
        <v>12.865366342182144</v>
      </c>
      <c r="B458"/>
      <c r="C458"/>
      <c r="D458"/>
      <c r="E458"/>
      <c r="BC458" s="27" t="s">
        <v>8</v>
      </c>
      <c r="BD458" s="27" t="s">
        <v>7</v>
      </c>
      <c r="BE458" s="27" t="s">
        <v>8</v>
      </c>
      <c r="BF458" s="27" t="s">
        <v>7</v>
      </c>
      <c r="BG458" s="27" t="s">
        <v>8</v>
      </c>
      <c r="BH458" s="27" t="s">
        <v>7</v>
      </c>
      <c r="BI458" s="27" t="s">
        <v>8</v>
      </c>
      <c r="BJ458" s="27" t="s">
        <v>7</v>
      </c>
      <c r="BK458" s="27" t="s">
        <v>8</v>
      </c>
      <c r="BL458" s="27" t="s">
        <v>7</v>
      </c>
      <c r="CC458" s="27" t="s">
        <v>8</v>
      </c>
      <c r="CD458" s="27" t="s">
        <v>7</v>
      </c>
      <c r="CE458" s="27" t="s">
        <v>8</v>
      </c>
      <c r="CF458" s="27" t="s">
        <v>7</v>
      </c>
    </row>
    <row r="459" spans="1:149" x14ac:dyDescent="0.25">
      <c r="A459" s="7">
        <v>12.613104257041318</v>
      </c>
      <c r="B459"/>
      <c r="C459"/>
      <c r="D459"/>
      <c r="E459"/>
      <c r="AS459" s="27" t="s">
        <v>8</v>
      </c>
      <c r="BC459" s="27" t="s">
        <v>8</v>
      </c>
      <c r="BD459" s="27" t="s">
        <v>7</v>
      </c>
      <c r="BE459" s="27" t="s">
        <v>8</v>
      </c>
      <c r="BF459" s="27" t="s">
        <v>7</v>
      </c>
      <c r="BG459" s="27" t="s">
        <v>8</v>
      </c>
      <c r="BH459" s="27" t="s">
        <v>7</v>
      </c>
      <c r="BI459" s="27" t="s">
        <v>8</v>
      </c>
      <c r="BJ459" s="27" t="s">
        <v>7</v>
      </c>
      <c r="BK459" s="27" t="s">
        <v>8</v>
      </c>
      <c r="BL459" s="27" t="s">
        <v>7</v>
      </c>
      <c r="CC459" s="27" t="s">
        <v>8</v>
      </c>
      <c r="CD459" s="27" t="s">
        <v>7</v>
      </c>
      <c r="CE459" s="27" t="s">
        <v>8</v>
      </c>
      <c r="CF459" s="27" t="s">
        <v>7</v>
      </c>
    </row>
    <row r="460" spans="1:149" x14ac:dyDescent="0.25">
      <c r="A460" s="7">
        <v>12.36578848729541</v>
      </c>
      <c r="B460"/>
      <c r="C460"/>
      <c r="D460"/>
      <c r="E460"/>
      <c r="AS460" s="27" t="s">
        <v>8</v>
      </c>
      <c r="AT460" s="27" t="s">
        <v>7</v>
      </c>
      <c r="BC460" s="27" t="s">
        <v>8</v>
      </c>
      <c r="BD460" s="27" t="s">
        <v>7</v>
      </c>
      <c r="BE460" s="27" t="s">
        <v>8</v>
      </c>
      <c r="BF460" s="27" t="s">
        <v>7</v>
      </c>
      <c r="BG460" s="27" t="s">
        <v>8</v>
      </c>
      <c r="BH460" s="27" t="s">
        <v>7</v>
      </c>
      <c r="BI460" s="27" t="s">
        <v>8</v>
      </c>
      <c r="BJ460" s="27" t="s">
        <v>7</v>
      </c>
      <c r="BK460" s="27" t="s">
        <v>8</v>
      </c>
      <c r="BL460" s="27" t="s">
        <v>7</v>
      </c>
      <c r="CC460" s="27" t="s">
        <v>8</v>
      </c>
      <c r="CD460" s="27" t="s">
        <v>7</v>
      </c>
      <c r="CE460" s="27" t="s">
        <v>8</v>
      </c>
      <c r="CF460" s="27" t="s">
        <v>7</v>
      </c>
    </row>
    <row r="461" spans="1:149" x14ac:dyDescent="0.25">
      <c r="A461" s="7">
        <v>12.123322046368049</v>
      </c>
      <c r="B461"/>
      <c r="C461"/>
      <c r="D461"/>
      <c r="E461"/>
      <c r="AS461" s="27" t="s">
        <v>8</v>
      </c>
      <c r="AT461" s="27" t="s">
        <v>7</v>
      </c>
      <c r="AY461" s="27" t="s">
        <v>8</v>
      </c>
      <c r="BC461" s="27" t="s">
        <v>8</v>
      </c>
      <c r="BD461" s="27" t="s">
        <v>7</v>
      </c>
      <c r="BE461" s="27" t="s">
        <v>8</v>
      </c>
      <c r="BF461" s="27" t="s">
        <v>7</v>
      </c>
      <c r="BG461" s="27" t="s">
        <v>8</v>
      </c>
      <c r="BH461" s="27" t="s">
        <v>7</v>
      </c>
      <c r="BJ461" s="27" t="s">
        <v>7</v>
      </c>
      <c r="BK461" s="27" t="s">
        <v>8</v>
      </c>
      <c r="BL461" s="27" t="s">
        <v>7</v>
      </c>
      <c r="CC461" s="27" t="s">
        <v>8</v>
      </c>
      <c r="CD461" s="27" t="s">
        <v>7</v>
      </c>
      <c r="CE461" s="27" t="s">
        <v>8</v>
      </c>
      <c r="CF461" s="27" t="s">
        <v>7</v>
      </c>
    </row>
    <row r="462" spans="1:149" x14ac:dyDescent="0.25">
      <c r="A462" s="7">
        <v>11.88560984938044</v>
      </c>
      <c r="B462"/>
      <c r="C462"/>
      <c r="D462"/>
      <c r="E462"/>
      <c r="AS462" s="27" t="s">
        <v>8</v>
      </c>
      <c r="AT462" s="27" t="s">
        <v>7</v>
      </c>
      <c r="AY462" s="27" t="s">
        <v>8</v>
      </c>
      <c r="AZ462" s="27" t="s">
        <v>7</v>
      </c>
      <c r="BC462" s="27" t="s">
        <v>8</v>
      </c>
      <c r="BD462" s="27" t="s">
        <v>7</v>
      </c>
      <c r="BE462" s="27" t="s">
        <v>8</v>
      </c>
      <c r="BF462" s="27" t="s">
        <v>7</v>
      </c>
      <c r="BJ462" s="27" t="s">
        <v>7</v>
      </c>
      <c r="BK462" s="27" t="s">
        <v>8</v>
      </c>
      <c r="BL462" s="27" t="s">
        <v>7</v>
      </c>
      <c r="CC462" s="27" t="s">
        <v>8</v>
      </c>
      <c r="CD462" s="27" t="s">
        <v>7</v>
      </c>
      <c r="CE462" s="27" t="s">
        <v>8</v>
      </c>
      <c r="CF462" s="27" t="s">
        <v>7</v>
      </c>
    </row>
    <row r="463" spans="1:149" x14ac:dyDescent="0.25">
      <c r="A463" s="7">
        <v>11.652558675863176</v>
      </c>
      <c r="B463"/>
      <c r="C463"/>
      <c r="D463"/>
      <c r="E463"/>
      <c r="AS463" s="27" t="s">
        <v>8</v>
      </c>
      <c r="AT463" s="27" t="s">
        <v>7</v>
      </c>
      <c r="AY463" s="27" t="s">
        <v>8</v>
      </c>
      <c r="AZ463" s="27" t="s">
        <v>7</v>
      </c>
      <c r="BC463" s="27" t="s">
        <v>8</v>
      </c>
      <c r="BD463" s="27" t="s">
        <v>7</v>
      </c>
      <c r="BE463" s="27" t="s">
        <v>8</v>
      </c>
      <c r="BJ463" s="27" t="s">
        <v>7</v>
      </c>
      <c r="BL463" s="27" t="s">
        <v>7</v>
      </c>
      <c r="CC463" s="27" t="s">
        <v>8</v>
      </c>
      <c r="CD463" s="27" t="s">
        <v>7</v>
      </c>
      <c r="CE463" s="27" t="s">
        <v>8</v>
      </c>
      <c r="CF463" s="27" t="s">
        <v>7</v>
      </c>
    </row>
    <row r="464" spans="1:149" x14ac:dyDescent="0.25">
      <c r="A464" s="7">
        <v>11.424077133199193</v>
      </c>
      <c r="B464"/>
      <c r="C464"/>
      <c r="D464"/>
      <c r="E464"/>
      <c r="AQ464" s="27" t="s">
        <v>8</v>
      </c>
      <c r="AS464" s="27" t="s">
        <v>8</v>
      </c>
      <c r="AT464" s="27" t="s">
        <v>7</v>
      </c>
      <c r="AY464" s="27" t="s">
        <v>8</v>
      </c>
      <c r="AZ464" s="27" t="s">
        <v>7</v>
      </c>
      <c r="BC464" s="27" t="s">
        <v>8</v>
      </c>
      <c r="BD464" s="27" t="s">
        <v>7</v>
      </c>
      <c r="BE464" s="27" t="s">
        <v>8</v>
      </c>
      <c r="BL464" s="27" t="s">
        <v>7</v>
      </c>
      <c r="CC464" s="27" t="s">
        <v>8</v>
      </c>
      <c r="CD464" s="27" t="s">
        <v>7</v>
      </c>
      <c r="CE464" s="27" t="s">
        <v>8</v>
      </c>
      <c r="CF464" s="27" t="s">
        <v>7</v>
      </c>
      <c r="ES464" s="27" t="s">
        <v>8</v>
      </c>
    </row>
    <row r="465" spans="1:161" x14ac:dyDescent="0.25">
      <c r="A465" s="7">
        <v>11.200075620783522</v>
      </c>
      <c r="B465"/>
      <c r="C465"/>
      <c r="D465"/>
      <c r="E465"/>
      <c r="AQ465" s="27" t="s">
        <v>8</v>
      </c>
      <c r="AR465" s="27" t="s">
        <v>7</v>
      </c>
      <c r="AS465" s="27" t="s">
        <v>8</v>
      </c>
      <c r="AT465" s="27" t="s">
        <v>7</v>
      </c>
      <c r="AY465" s="27" t="s">
        <v>8</v>
      </c>
      <c r="AZ465" s="27" t="s">
        <v>7</v>
      </c>
      <c r="BC465" s="27" t="s">
        <v>8</v>
      </c>
      <c r="BD465" s="27" t="s">
        <v>7</v>
      </c>
      <c r="BE465" s="27" t="s">
        <v>8</v>
      </c>
      <c r="BL465" s="27" t="s">
        <v>7</v>
      </c>
      <c r="CC465" s="27" t="s">
        <v>8</v>
      </c>
      <c r="CD465" s="27" t="s">
        <v>7</v>
      </c>
      <c r="CE465" s="27" t="s">
        <v>8</v>
      </c>
      <c r="CF465" s="27" t="s">
        <v>7</v>
      </c>
      <c r="EM465" s="27" t="s">
        <v>8</v>
      </c>
      <c r="ES465" s="27" t="s">
        <v>8</v>
      </c>
      <c r="ET465" s="27" t="s">
        <v>7</v>
      </c>
    </row>
    <row r="466" spans="1:161" x14ac:dyDescent="0.25">
      <c r="A466" s="7">
        <v>10.980466294885806</v>
      </c>
      <c r="B466"/>
      <c r="C466"/>
      <c r="D466"/>
      <c r="E466"/>
      <c r="AQ466" s="27" t="s">
        <v>8</v>
      </c>
      <c r="AR466" s="27" t="s">
        <v>7</v>
      </c>
      <c r="AS466" s="27" t="s">
        <v>8</v>
      </c>
      <c r="AT466" s="27" t="s">
        <v>7</v>
      </c>
      <c r="AY466" s="27" t="s">
        <v>8</v>
      </c>
      <c r="AZ466" s="27" t="s">
        <v>7</v>
      </c>
      <c r="BC466" s="27" t="s">
        <v>8</v>
      </c>
      <c r="BD466" s="27" t="s">
        <v>7</v>
      </c>
      <c r="BE466" s="27" t="s">
        <v>8</v>
      </c>
      <c r="BL466" s="27" t="s">
        <v>7</v>
      </c>
      <c r="BS466" s="27" t="s">
        <v>8</v>
      </c>
      <c r="CC466" s="27" t="s">
        <v>8</v>
      </c>
      <c r="CD466" s="27" t="s">
        <v>7</v>
      </c>
      <c r="CE466" s="27" t="s">
        <v>8</v>
      </c>
      <c r="CF466" s="27" t="s">
        <v>7</v>
      </c>
      <c r="EM466" s="27" t="s">
        <v>8</v>
      </c>
      <c r="EN466" s="27" t="s">
        <v>7</v>
      </c>
      <c r="ES466" s="27" t="s">
        <v>8</v>
      </c>
      <c r="ET466" s="27" t="s">
        <v>7</v>
      </c>
      <c r="FC466" s="27" t="s">
        <v>8</v>
      </c>
    </row>
    <row r="467" spans="1:161" x14ac:dyDescent="0.25">
      <c r="A467" s="7">
        <v>10.765163034201771</v>
      </c>
      <c r="B467"/>
      <c r="C467"/>
      <c r="D467"/>
      <c r="E467"/>
      <c r="AQ467" s="27" t="s">
        <v>8</v>
      </c>
      <c r="AR467" s="27" t="s">
        <v>7</v>
      </c>
      <c r="AS467" s="27" t="s">
        <v>8</v>
      </c>
      <c r="AT467" s="27" t="s">
        <v>7</v>
      </c>
      <c r="AU467" s="27" t="s">
        <v>8</v>
      </c>
      <c r="AY467" s="27" t="s">
        <v>8</v>
      </c>
      <c r="AZ467" s="27" t="s">
        <v>7</v>
      </c>
      <c r="BA467" s="27" t="s">
        <v>8</v>
      </c>
      <c r="BC467" s="27" t="s">
        <v>8</v>
      </c>
      <c r="BD467" s="27" t="s">
        <v>7</v>
      </c>
      <c r="BE467" s="27" t="s">
        <v>8</v>
      </c>
      <c r="BL467" s="27" t="s">
        <v>7</v>
      </c>
      <c r="BS467" s="27" t="s">
        <v>8</v>
      </c>
      <c r="BT467" s="27" t="s">
        <v>7</v>
      </c>
      <c r="CA467" s="27" t="s">
        <v>8</v>
      </c>
      <c r="CC467" s="27" t="s">
        <v>8</v>
      </c>
      <c r="CD467" s="27" t="s">
        <v>7</v>
      </c>
      <c r="CE467" s="27" t="s">
        <v>8</v>
      </c>
      <c r="CF467" s="27" t="s">
        <v>7</v>
      </c>
      <c r="CG467" s="27" t="s">
        <v>8</v>
      </c>
      <c r="EM467" s="27" t="s">
        <v>8</v>
      </c>
      <c r="EN467" s="27" t="s">
        <v>7</v>
      </c>
      <c r="ES467" s="27" t="s">
        <v>8</v>
      </c>
      <c r="ET467" s="27" t="s">
        <v>7</v>
      </c>
      <c r="FC467" s="27" t="s">
        <v>8</v>
      </c>
      <c r="FD467" s="27" t="s">
        <v>7</v>
      </c>
    </row>
    <row r="468" spans="1:161" x14ac:dyDescent="0.25">
      <c r="A468" s="7">
        <v>10.554081406080169</v>
      </c>
      <c r="B468"/>
      <c r="C468"/>
      <c r="D468"/>
      <c r="E468"/>
      <c r="AQ468" s="27" t="s">
        <v>8</v>
      </c>
      <c r="AR468" s="27" t="s">
        <v>7</v>
      </c>
      <c r="AS468" s="27" t="s">
        <v>8</v>
      </c>
      <c r="AT468" s="27" t="s">
        <v>7</v>
      </c>
      <c r="AU468" s="27" t="s">
        <v>8</v>
      </c>
      <c r="AV468" s="27" t="s">
        <v>7</v>
      </c>
      <c r="AY468" s="27" t="s">
        <v>8</v>
      </c>
      <c r="AZ468" s="27" t="s">
        <v>7</v>
      </c>
      <c r="BA468" s="27" t="s">
        <v>8</v>
      </c>
      <c r="BB468" s="27" t="s">
        <v>7</v>
      </c>
      <c r="BC468" s="27" t="s">
        <v>8</v>
      </c>
      <c r="BD468" s="27" t="s">
        <v>7</v>
      </c>
      <c r="BE468" s="27" t="s">
        <v>8</v>
      </c>
      <c r="BL468" s="27" t="s">
        <v>7</v>
      </c>
      <c r="BM468" s="27" t="s">
        <v>8</v>
      </c>
      <c r="BS468" s="27" t="s">
        <v>8</v>
      </c>
      <c r="BT468" s="27" t="s">
        <v>7</v>
      </c>
      <c r="BU468" s="27" t="s">
        <v>8</v>
      </c>
      <c r="CA468" s="27" t="s">
        <v>8</v>
      </c>
      <c r="CB468" s="27" t="s">
        <v>7</v>
      </c>
      <c r="CC468" s="27" t="s">
        <v>8</v>
      </c>
      <c r="CD468" s="27" t="s">
        <v>7</v>
      </c>
      <c r="CE468" s="27" t="s">
        <v>8</v>
      </c>
      <c r="CF468" s="27" t="s">
        <v>7</v>
      </c>
      <c r="CG468" s="27" t="s">
        <v>8</v>
      </c>
      <c r="CH468" s="27" t="s">
        <v>7</v>
      </c>
      <c r="EM468" s="27" t="s">
        <v>8</v>
      </c>
      <c r="EN468" s="27" t="s">
        <v>7</v>
      </c>
      <c r="ES468" s="27" t="s">
        <v>8</v>
      </c>
      <c r="ET468" s="27" t="s">
        <v>7</v>
      </c>
      <c r="FC468" s="27" t="s">
        <v>8</v>
      </c>
      <c r="FD468" s="27" t="s">
        <v>7</v>
      </c>
    </row>
    <row r="469" spans="1:161" x14ac:dyDescent="0.25">
      <c r="A469" s="7">
        <v>10.34713863341193</v>
      </c>
      <c r="B469"/>
      <c r="C469"/>
      <c r="D469"/>
      <c r="E469"/>
      <c r="AQ469" s="27" t="s">
        <v>8</v>
      </c>
      <c r="AR469" s="27" t="s">
        <v>7</v>
      </c>
      <c r="AS469" s="27" t="s">
        <v>8</v>
      </c>
      <c r="AT469" s="27" t="s">
        <v>7</v>
      </c>
      <c r="AU469" s="27" t="s">
        <v>8</v>
      </c>
      <c r="AV469" s="27" t="s">
        <v>7</v>
      </c>
      <c r="AY469" s="27" t="s">
        <v>8</v>
      </c>
      <c r="AZ469" s="27" t="s">
        <v>7</v>
      </c>
      <c r="BA469" s="27" t="s">
        <v>8</v>
      </c>
      <c r="BB469" s="27" t="s">
        <v>7</v>
      </c>
      <c r="BC469" s="27" t="s">
        <v>8</v>
      </c>
      <c r="BD469" s="27" t="s">
        <v>7</v>
      </c>
      <c r="BE469" s="27" t="s">
        <v>8</v>
      </c>
      <c r="BL469" s="27" t="s">
        <v>7</v>
      </c>
      <c r="BM469" s="27" t="s">
        <v>8</v>
      </c>
      <c r="BN469" s="27" t="s">
        <v>7</v>
      </c>
      <c r="BS469" s="27" t="s">
        <v>8</v>
      </c>
      <c r="BT469" s="27" t="s">
        <v>7</v>
      </c>
      <c r="BU469" s="27" t="s">
        <v>8</v>
      </c>
      <c r="BV469" s="27" t="s">
        <v>7</v>
      </c>
      <c r="CA469" s="27" t="s">
        <v>8</v>
      </c>
      <c r="CB469" s="27" t="s">
        <v>7</v>
      </c>
      <c r="CC469" s="27" t="s">
        <v>8</v>
      </c>
      <c r="CD469" s="27" t="s">
        <v>7</v>
      </c>
      <c r="CE469" s="27" t="s">
        <v>8</v>
      </c>
      <c r="CF469" s="27" t="s">
        <v>7</v>
      </c>
      <c r="CG469" s="27" t="s">
        <v>8</v>
      </c>
      <c r="CH469" s="27" t="s">
        <v>7</v>
      </c>
      <c r="EM469" s="27" t="s">
        <v>8</v>
      </c>
      <c r="EN469" s="27" t="s">
        <v>7</v>
      </c>
      <c r="EQ469" s="27" t="s">
        <v>8</v>
      </c>
      <c r="ES469" s="27" t="s">
        <v>8</v>
      </c>
      <c r="ET469" s="27" t="s">
        <v>7</v>
      </c>
      <c r="FC469" s="27" t="s">
        <v>8</v>
      </c>
      <c r="FD469" s="27" t="s">
        <v>7</v>
      </c>
    </row>
    <row r="470" spans="1:161" x14ac:dyDescent="0.25">
      <c r="A470" s="7">
        <v>10.14425356216856</v>
      </c>
      <c r="B470"/>
      <c r="C470"/>
      <c r="D470"/>
      <c r="E470"/>
      <c r="AQ470" s="27" t="s">
        <v>8</v>
      </c>
      <c r="AR470" s="27" t="s">
        <v>7</v>
      </c>
      <c r="AS470" s="27" t="s">
        <v>8</v>
      </c>
      <c r="AT470" s="27" t="s">
        <v>7</v>
      </c>
      <c r="AU470" s="27" t="s">
        <v>8</v>
      </c>
      <c r="AV470" s="27" t="s">
        <v>7</v>
      </c>
      <c r="AY470" s="27" t="s">
        <v>8</v>
      </c>
      <c r="AZ470" s="27" t="s">
        <v>7</v>
      </c>
      <c r="BA470" s="27" t="s">
        <v>8</v>
      </c>
      <c r="BB470" s="27" t="s">
        <v>7</v>
      </c>
      <c r="BC470" s="27" t="s">
        <v>8</v>
      </c>
      <c r="BD470" s="27" t="s">
        <v>7</v>
      </c>
      <c r="BE470" s="27" t="s">
        <v>8</v>
      </c>
      <c r="BL470" s="27" t="s">
        <v>7</v>
      </c>
      <c r="BM470" s="27" t="s">
        <v>8</v>
      </c>
      <c r="BN470" s="27" t="s">
        <v>7</v>
      </c>
      <c r="BS470" s="27" t="s">
        <v>8</v>
      </c>
      <c r="BT470" s="27" t="s">
        <v>7</v>
      </c>
      <c r="BU470" s="27" t="s">
        <v>8</v>
      </c>
      <c r="BV470" s="27" t="s">
        <v>7</v>
      </c>
      <c r="CA470" s="27" t="s">
        <v>8</v>
      </c>
      <c r="CB470" s="27" t="s">
        <v>7</v>
      </c>
      <c r="CC470" s="27" t="s">
        <v>8</v>
      </c>
      <c r="CD470" s="27" t="s">
        <v>7</v>
      </c>
      <c r="CF470" s="27" t="s">
        <v>7</v>
      </c>
      <c r="CG470" s="27" t="s">
        <v>8</v>
      </c>
      <c r="CH470" s="27" t="s">
        <v>7</v>
      </c>
      <c r="EM470" s="27" t="s">
        <v>8</v>
      </c>
      <c r="EN470" s="27" t="s">
        <v>7</v>
      </c>
      <c r="EQ470" s="27" t="s">
        <v>8</v>
      </c>
      <c r="ER470" s="27" t="s">
        <v>7</v>
      </c>
      <c r="ES470" s="27" t="s">
        <v>8</v>
      </c>
      <c r="ET470" s="27" t="s">
        <v>7</v>
      </c>
      <c r="FC470" s="27" t="s">
        <v>8</v>
      </c>
      <c r="FD470" s="27" t="s">
        <v>7</v>
      </c>
    </row>
    <row r="471" spans="1:161" x14ac:dyDescent="0.25">
      <c r="A471" s="7">
        <v>9.9453466295770188</v>
      </c>
      <c r="B471"/>
      <c r="C471"/>
      <c r="D471"/>
      <c r="E471"/>
      <c r="AQ471" s="27" t="s">
        <v>8</v>
      </c>
      <c r="AR471" s="27" t="s">
        <v>7</v>
      </c>
      <c r="AS471" s="27" t="s">
        <v>8</v>
      </c>
      <c r="AT471" s="27" t="s">
        <v>7</v>
      </c>
      <c r="AU471" s="27" t="s">
        <v>8</v>
      </c>
      <c r="AV471" s="27" t="s">
        <v>7</v>
      </c>
      <c r="AY471" s="27" t="s">
        <v>8</v>
      </c>
      <c r="AZ471" s="27" t="s">
        <v>7</v>
      </c>
      <c r="BA471" s="27" t="s">
        <v>8</v>
      </c>
      <c r="BB471" s="27" t="s">
        <v>7</v>
      </c>
      <c r="BC471" s="27" t="s">
        <v>8</v>
      </c>
      <c r="BD471" s="27" t="s">
        <v>7</v>
      </c>
      <c r="BL471" s="27" t="s">
        <v>7</v>
      </c>
      <c r="BM471" s="27" t="s">
        <v>8</v>
      </c>
      <c r="BN471" s="27" t="s">
        <v>7</v>
      </c>
      <c r="BQ471" s="27" t="s">
        <v>8</v>
      </c>
      <c r="BS471" s="27" t="s">
        <v>8</v>
      </c>
      <c r="BT471" s="27" t="s">
        <v>7</v>
      </c>
      <c r="BU471" s="27" t="s">
        <v>8</v>
      </c>
      <c r="BV471" s="27" t="s">
        <v>7</v>
      </c>
      <c r="BY471" s="27" t="s">
        <v>8</v>
      </c>
      <c r="CA471" s="27" t="s">
        <v>8</v>
      </c>
      <c r="CB471" s="27" t="s">
        <v>7</v>
      </c>
      <c r="CC471" s="27" t="s">
        <v>8</v>
      </c>
      <c r="CF471" s="27" t="s">
        <v>7</v>
      </c>
      <c r="CG471" s="27" t="s">
        <v>8</v>
      </c>
      <c r="CH471" s="27" t="s">
        <v>7</v>
      </c>
      <c r="EM471" s="27" t="s">
        <v>8</v>
      </c>
      <c r="EN471" s="27" t="s">
        <v>7</v>
      </c>
      <c r="EQ471" s="27" t="s">
        <v>8</v>
      </c>
      <c r="ER471" s="27" t="s">
        <v>7</v>
      </c>
      <c r="ES471" s="27" t="s">
        <v>8</v>
      </c>
      <c r="ET471" s="27" t="s">
        <v>7</v>
      </c>
      <c r="FC471" s="27" t="s">
        <v>8</v>
      </c>
      <c r="FD471" s="27" t="s">
        <v>7</v>
      </c>
    </row>
    <row r="472" spans="1:161" x14ac:dyDescent="0.25">
      <c r="A472" s="7">
        <v>9.7503398329186464</v>
      </c>
      <c r="B472"/>
      <c r="C472"/>
      <c r="D472"/>
      <c r="E472"/>
      <c r="AQ472" s="27" t="s">
        <v>8</v>
      </c>
      <c r="AR472" s="27" t="s">
        <v>7</v>
      </c>
      <c r="AS472" s="27" t="s">
        <v>8</v>
      </c>
      <c r="AT472" s="27" t="s">
        <v>7</v>
      </c>
      <c r="AU472" s="27" t="s">
        <v>8</v>
      </c>
      <c r="AV472" s="27" t="s">
        <v>7</v>
      </c>
      <c r="AY472" s="27" t="s">
        <v>8</v>
      </c>
      <c r="AZ472" s="27" t="s">
        <v>7</v>
      </c>
      <c r="BB472" s="27" t="s">
        <v>7</v>
      </c>
      <c r="BC472" s="27" t="s">
        <v>8</v>
      </c>
      <c r="BL472" s="27" t="s">
        <v>7</v>
      </c>
      <c r="BM472" s="27" t="s">
        <v>8</v>
      </c>
      <c r="BN472" s="27" t="s">
        <v>7</v>
      </c>
      <c r="BQ472" s="27" t="s">
        <v>8</v>
      </c>
      <c r="BR472" s="27" t="s">
        <v>7</v>
      </c>
      <c r="BS472" s="27" t="s">
        <v>8</v>
      </c>
      <c r="BT472" s="27" t="s">
        <v>7</v>
      </c>
      <c r="BU472" s="27" t="s">
        <v>8</v>
      </c>
      <c r="BV472" s="27" t="s">
        <v>7</v>
      </c>
      <c r="BY472" s="27" t="s">
        <v>8</v>
      </c>
      <c r="BZ472" s="27" t="s">
        <v>7</v>
      </c>
      <c r="CA472" s="27" t="s">
        <v>8</v>
      </c>
      <c r="CB472" s="27" t="s">
        <v>7</v>
      </c>
      <c r="CC472" s="27" t="s">
        <v>8</v>
      </c>
      <c r="CF472" s="27" t="s">
        <v>7</v>
      </c>
      <c r="CG472" s="27" t="s">
        <v>8</v>
      </c>
      <c r="CH472" s="27" t="s">
        <v>7</v>
      </c>
      <c r="EM472" s="27" t="s">
        <v>8</v>
      </c>
      <c r="EN472" s="27" t="s">
        <v>7</v>
      </c>
      <c r="EQ472" s="27" t="s">
        <v>8</v>
      </c>
      <c r="ER472" s="27" t="s">
        <v>7</v>
      </c>
      <c r="ES472" s="27" t="s">
        <v>8</v>
      </c>
      <c r="ET472" s="27" t="s">
        <v>7</v>
      </c>
      <c r="FA472" s="27" t="s">
        <v>8</v>
      </c>
      <c r="FC472" s="27" t="s">
        <v>8</v>
      </c>
      <c r="FD472" s="27" t="s">
        <v>7</v>
      </c>
    </row>
    <row r="473" spans="1:161" x14ac:dyDescent="0.25">
      <c r="A473" s="7">
        <v>9.5591566989398498</v>
      </c>
      <c r="B473"/>
      <c r="C473"/>
      <c r="D473"/>
      <c r="E473"/>
      <c r="AQ473" s="27" t="s">
        <v>8</v>
      </c>
      <c r="AR473" s="27" t="s">
        <v>7</v>
      </c>
      <c r="AS473" s="27" t="s">
        <v>8</v>
      </c>
      <c r="AT473" s="27" t="s">
        <v>7</v>
      </c>
      <c r="AU473" s="27" t="s">
        <v>8</v>
      </c>
      <c r="AV473" s="27" t="s">
        <v>7</v>
      </c>
      <c r="AY473" s="27" t="s">
        <v>8</v>
      </c>
      <c r="BB473" s="27" t="s">
        <v>7</v>
      </c>
      <c r="BL473" s="27" t="s">
        <v>7</v>
      </c>
      <c r="BM473" s="27" t="s">
        <v>8</v>
      </c>
      <c r="BN473" s="27" t="s">
        <v>7</v>
      </c>
      <c r="BQ473" s="27" t="s">
        <v>8</v>
      </c>
      <c r="BR473" s="27" t="s">
        <v>7</v>
      </c>
      <c r="BS473" s="27" t="s">
        <v>8</v>
      </c>
      <c r="BT473" s="27" t="s">
        <v>7</v>
      </c>
      <c r="BU473" s="27" t="s">
        <v>8</v>
      </c>
      <c r="BV473" s="27" t="s">
        <v>7</v>
      </c>
      <c r="BY473" s="27" t="s">
        <v>8</v>
      </c>
      <c r="BZ473" s="27" t="s">
        <v>7</v>
      </c>
      <c r="CA473" s="27" t="s">
        <v>8</v>
      </c>
      <c r="CB473" s="27" t="s">
        <v>7</v>
      </c>
      <c r="CC473" s="27" t="s">
        <v>8</v>
      </c>
      <c r="CF473" s="27" t="s">
        <v>7</v>
      </c>
      <c r="CG473" s="27" t="s">
        <v>8</v>
      </c>
      <c r="CH473" s="27" t="s">
        <v>7</v>
      </c>
      <c r="EM473" s="27" t="s">
        <v>8</v>
      </c>
      <c r="EN473" s="27" t="s">
        <v>7</v>
      </c>
      <c r="EQ473" s="27" t="s">
        <v>8</v>
      </c>
      <c r="ER473" s="27" t="s">
        <v>7</v>
      </c>
      <c r="ES473" s="27" t="s">
        <v>8</v>
      </c>
      <c r="ET473" s="27" t="s">
        <v>7</v>
      </c>
      <c r="FA473" s="27" t="s">
        <v>8</v>
      </c>
      <c r="FB473" s="27" t="s">
        <v>7</v>
      </c>
      <c r="FC473" s="27" t="s">
        <v>8</v>
      </c>
      <c r="FD473" s="27" t="s">
        <v>7</v>
      </c>
    </row>
    <row r="474" spans="1:161" x14ac:dyDescent="0.25">
      <c r="A474" s="7">
        <v>9.3717222538625968</v>
      </c>
      <c r="B474"/>
      <c r="C474"/>
      <c r="D474"/>
      <c r="E474"/>
      <c r="AQ474" s="27" t="s">
        <v>8</v>
      </c>
      <c r="AR474" s="27" t="s">
        <v>7</v>
      </c>
      <c r="AS474" s="27" t="s">
        <v>8</v>
      </c>
      <c r="AT474" s="27" t="s">
        <v>7</v>
      </c>
      <c r="AU474" s="27" t="s">
        <v>8</v>
      </c>
      <c r="AV474" s="27" t="s">
        <v>7</v>
      </c>
      <c r="AY474" s="27" t="s">
        <v>8</v>
      </c>
      <c r="BL474" s="27" t="s">
        <v>7</v>
      </c>
      <c r="BM474" s="27" t="s">
        <v>8</v>
      </c>
      <c r="BN474" s="27" t="s">
        <v>7</v>
      </c>
      <c r="BQ474" s="27" t="s">
        <v>8</v>
      </c>
      <c r="BR474" s="27" t="s">
        <v>7</v>
      </c>
      <c r="BS474" s="27" t="s">
        <v>8</v>
      </c>
      <c r="BT474" s="27" t="s">
        <v>7</v>
      </c>
      <c r="BV474" s="27" t="s">
        <v>7</v>
      </c>
      <c r="BY474" s="27" t="s">
        <v>8</v>
      </c>
      <c r="BZ474" s="27" t="s">
        <v>7</v>
      </c>
      <c r="CA474" s="27" t="s">
        <v>8</v>
      </c>
      <c r="CB474" s="27" t="s">
        <v>7</v>
      </c>
      <c r="CC474" s="27" t="s">
        <v>8</v>
      </c>
      <c r="CF474" s="27" t="s">
        <v>7</v>
      </c>
      <c r="CG474" s="27" t="s">
        <v>8</v>
      </c>
      <c r="CH474" s="27" t="s">
        <v>7</v>
      </c>
      <c r="EM474" s="27" t="s">
        <v>8</v>
      </c>
      <c r="EN474" s="27" t="s">
        <v>7</v>
      </c>
      <c r="EQ474" s="27" t="s">
        <v>8</v>
      </c>
      <c r="ER474" s="27" t="s">
        <v>7</v>
      </c>
      <c r="ES474" s="27" t="s">
        <v>8</v>
      </c>
      <c r="ET474" s="27" t="s">
        <v>7</v>
      </c>
      <c r="FA474" s="27" t="s">
        <v>8</v>
      </c>
      <c r="FB474" s="27" t="s">
        <v>7</v>
      </c>
      <c r="FC474" s="27" t="s">
        <v>8</v>
      </c>
      <c r="FD474" s="27" t="s">
        <v>7</v>
      </c>
    </row>
    <row r="475" spans="1:161" x14ac:dyDescent="0.25">
      <c r="A475" s="7">
        <v>9.1879629939829375</v>
      </c>
      <c r="B475"/>
      <c r="C475"/>
      <c r="D475"/>
      <c r="E475"/>
      <c r="AQ475" s="27" t="s">
        <v>8</v>
      </c>
      <c r="AR475" s="27" t="s">
        <v>7</v>
      </c>
      <c r="AS475" s="27" t="s">
        <v>8</v>
      </c>
      <c r="AT475" s="27" t="s">
        <v>7</v>
      </c>
      <c r="AU475" s="27" t="s">
        <v>8</v>
      </c>
      <c r="AV475" s="27" t="s">
        <v>7</v>
      </c>
      <c r="AY475" s="27" t="s">
        <v>8</v>
      </c>
      <c r="BL475" s="27" t="s">
        <v>7</v>
      </c>
      <c r="BM475" s="27" t="s">
        <v>8</v>
      </c>
      <c r="BN475" s="27" t="s">
        <v>7</v>
      </c>
      <c r="BQ475" s="27" t="s">
        <v>8</v>
      </c>
      <c r="BR475" s="27" t="s">
        <v>7</v>
      </c>
      <c r="BS475" s="27" t="s">
        <v>8</v>
      </c>
      <c r="BV475" s="27" t="s">
        <v>7</v>
      </c>
      <c r="BW475" s="27" t="s">
        <v>8</v>
      </c>
      <c r="BY475" s="27" t="s">
        <v>8</v>
      </c>
      <c r="BZ475" s="27" t="s">
        <v>7</v>
      </c>
      <c r="CA475" s="27" t="s">
        <v>8</v>
      </c>
      <c r="CB475" s="27" t="s">
        <v>7</v>
      </c>
      <c r="CC475" s="27" t="s">
        <v>8</v>
      </c>
      <c r="CF475" s="27" t="s">
        <v>7</v>
      </c>
      <c r="CG475" s="27" t="s">
        <v>8</v>
      </c>
      <c r="CH475" s="27" t="s">
        <v>7</v>
      </c>
      <c r="EM475" s="27" t="s">
        <v>8</v>
      </c>
      <c r="EN475" s="27" t="s">
        <v>7</v>
      </c>
      <c r="EQ475" s="27" t="s">
        <v>8</v>
      </c>
      <c r="ER475" s="27" t="s">
        <v>7</v>
      </c>
      <c r="ES475" s="27" t="s">
        <v>8</v>
      </c>
      <c r="ET475" s="27" t="s">
        <v>7</v>
      </c>
      <c r="EU475" s="27" t="s">
        <v>8</v>
      </c>
      <c r="FA475" s="27" t="s">
        <v>8</v>
      </c>
      <c r="FB475" s="27" t="s">
        <v>7</v>
      </c>
      <c r="FC475" s="27" t="s">
        <v>8</v>
      </c>
      <c r="FD475" s="27" t="s">
        <v>7</v>
      </c>
    </row>
    <row r="476" spans="1:161" x14ac:dyDescent="0.25">
      <c r="A476" s="7">
        <v>9.0078068568460168</v>
      </c>
      <c r="B476"/>
      <c r="C476"/>
      <c r="D476"/>
      <c r="E476"/>
      <c r="AQ476" s="27" t="s">
        <v>8</v>
      </c>
      <c r="AR476" s="27" t="s">
        <v>7</v>
      </c>
      <c r="AS476" s="27" t="s">
        <v>8</v>
      </c>
      <c r="AT476" s="27" t="s">
        <v>7</v>
      </c>
      <c r="AU476" s="27" t="s">
        <v>8</v>
      </c>
      <c r="AV476" s="27" t="s">
        <v>7</v>
      </c>
      <c r="AW476" s="27" t="s">
        <v>8</v>
      </c>
      <c r="AY476" s="27" t="s">
        <v>8</v>
      </c>
      <c r="BL476" s="27" t="s">
        <v>7</v>
      </c>
      <c r="BM476" s="27" t="s">
        <v>8</v>
      </c>
      <c r="BN476" s="27" t="s">
        <v>7</v>
      </c>
      <c r="BO476" s="27" t="s">
        <v>8</v>
      </c>
      <c r="BQ476" s="27" t="s">
        <v>8</v>
      </c>
      <c r="BR476" s="27" t="s">
        <v>7</v>
      </c>
      <c r="BV476" s="27" t="s">
        <v>7</v>
      </c>
      <c r="BW476" s="27" t="s">
        <v>8</v>
      </c>
      <c r="BX476" s="27" t="s">
        <v>7</v>
      </c>
      <c r="BY476" s="27" t="s">
        <v>8</v>
      </c>
      <c r="BZ476" s="27" t="s">
        <v>7</v>
      </c>
      <c r="CA476" s="27" t="s">
        <v>8</v>
      </c>
      <c r="CB476" s="27" t="s">
        <v>7</v>
      </c>
      <c r="CC476" s="27" t="s">
        <v>8</v>
      </c>
      <c r="CF476" s="27" t="s">
        <v>7</v>
      </c>
      <c r="CG476" s="27" t="s">
        <v>8</v>
      </c>
      <c r="CH476" s="27" t="s">
        <v>7</v>
      </c>
      <c r="EM476" s="27" t="s">
        <v>8</v>
      </c>
      <c r="EN476" s="27" t="s">
        <v>7</v>
      </c>
      <c r="EQ476" s="27" t="s">
        <v>8</v>
      </c>
      <c r="ER476" s="27" t="s">
        <v>7</v>
      </c>
      <c r="ES476" s="27" t="s">
        <v>8</v>
      </c>
      <c r="ET476" s="27" t="s">
        <v>7</v>
      </c>
      <c r="EU476" s="27" t="s">
        <v>8</v>
      </c>
      <c r="EV476" s="27" t="s">
        <v>7</v>
      </c>
      <c r="FA476" s="27" t="s">
        <v>8</v>
      </c>
      <c r="FB476" s="27" t="s">
        <v>7</v>
      </c>
      <c r="FC476" s="27" t="s">
        <v>8</v>
      </c>
      <c r="FD476" s="27" t="s">
        <v>7</v>
      </c>
    </row>
    <row r="477" spans="1:161" x14ac:dyDescent="0.25">
      <c r="A477" s="7">
        <v>8.8311831929862912</v>
      </c>
      <c r="B477"/>
      <c r="C477"/>
      <c r="D477"/>
      <c r="E477" t="s">
        <v>8</v>
      </c>
      <c r="AE477" s="27" t="s">
        <v>8</v>
      </c>
      <c r="AQ477" s="27" t="s">
        <v>8</v>
      </c>
      <c r="AR477" s="27" t="s">
        <v>7</v>
      </c>
      <c r="AS477" s="27" t="s">
        <v>8</v>
      </c>
      <c r="AT477" s="27" t="s">
        <v>7</v>
      </c>
      <c r="AU477" s="27" t="s">
        <v>8</v>
      </c>
      <c r="AV477" s="27" t="s">
        <v>7</v>
      </c>
      <c r="AW477" s="27" t="s">
        <v>8</v>
      </c>
      <c r="AX477" s="27" t="s">
        <v>7</v>
      </c>
      <c r="AY477" s="27" t="s">
        <v>8</v>
      </c>
      <c r="BL477" s="27" t="s">
        <v>7</v>
      </c>
      <c r="BM477" s="27" t="s">
        <v>8</v>
      </c>
      <c r="BN477" s="27" t="s">
        <v>7</v>
      </c>
      <c r="BO477" s="27" t="s">
        <v>8</v>
      </c>
      <c r="BP477" s="27" t="s">
        <v>7</v>
      </c>
      <c r="BQ477" s="27" t="s">
        <v>8</v>
      </c>
      <c r="BV477" s="27" t="s">
        <v>7</v>
      </c>
      <c r="BW477" s="27" t="s">
        <v>8</v>
      </c>
      <c r="BX477" s="27" t="s">
        <v>7</v>
      </c>
      <c r="BY477" s="27" t="s">
        <v>8</v>
      </c>
      <c r="BZ477" s="27" t="s">
        <v>7</v>
      </c>
      <c r="CA477" s="27" t="s">
        <v>8</v>
      </c>
      <c r="CB477" s="27" t="s">
        <v>7</v>
      </c>
      <c r="CC477" s="27" t="s">
        <v>8</v>
      </c>
      <c r="CF477" s="27" t="s">
        <v>7</v>
      </c>
      <c r="CG477" s="27" t="s">
        <v>8</v>
      </c>
      <c r="CH477" s="27" t="s">
        <v>7</v>
      </c>
      <c r="EM477" s="27" t="s">
        <v>8</v>
      </c>
      <c r="EN477" s="27" t="s">
        <v>7</v>
      </c>
      <c r="EQ477" s="27" t="s">
        <v>8</v>
      </c>
      <c r="ER477" s="27" t="s">
        <v>7</v>
      </c>
      <c r="ET477" s="27" t="s">
        <v>7</v>
      </c>
      <c r="EU477" s="27" t="s">
        <v>8</v>
      </c>
      <c r="EV477" s="27" t="s">
        <v>7</v>
      </c>
      <c r="FA477" s="27" t="s">
        <v>8</v>
      </c>
      <c r="FB477" s="27" t="s">
        <v>7</v>
      </c>
      <c r="FC477" s="27" t="s">
        <v>8</v>
      </c>
      <c r="FD477" s="27" t="s">
        <v>7</v>
      </c>
    </row>
    <row r="478" spans="1:161" x14ac:dyDescent="0.25">
      <c r="A478" s="7">
        <v>8.6580227382218542</v>
      </c>
      <c r="B478"/>
      <c r="C478"/>
      <c r="D478"/>
      <c r="E478" t="s">
        <v>8</v>
      </c>
      <c r="F478" s="27" t="s">
        <v>7</v>
      </c>
      <c r="AE478" s="27" t="s">
        <v>8</v>
      </c>
      <c r="AF478" s="27" t="s">
        <v>7</v>
      </c>
      <c r="AQ478" s="27" t="s">
        <v>8</v>
      </c>
      <c r="AR478" s="27" t="s">
        <v>7</v>
      </c>
      <c r="AS478" s="27" t="s">
        <v>8</v>
      </c>
      <c r="AT478" s="27" t="s">
        <v>7</v>
      </c>
      <c r="AV478" s="27" t="s">
        <v>7</v>
      </c>
      <c r="AW478" s="27" t="s">
        <v>8</v>
      </c>
      <c r="AX478" s="27" t="s">
        <v>7</v>
      </c>
      <c r="AY478" s="27" t="s">
        <v>8</v>
      </c>
      <c r="BL478" s="27" t="s">
        <v>7</v>
      </c>
      <c r="BM478" s="27" t="s">
        <v>8</v>
      </c>
      <c r="BN478" s="27" t="s">
        <v>7</v>
      </c>
      <c r="BO478" s="27" t="s">
        <v>8</v>
      </c>
      <c r="BP478" s="27" t="s">
        <v>7</v>
      </c>
      <c r="BQ478" s="27" t="s">
        <v>8</v>
      </c>
      <c r="BV478" s="27" t="s">
        <v>7</v>
      </c>
      <c r="BX478" s="27" t="s">
        <v>7</v>
      </c>
      <c r="BY478" s="27" t="s">
        <v>8</v>
      </c>
      <c r="BZ478" s="27" t="s">
        <v>7</v>
      </c>
      <c r="CA478" s="27" t="s">
        <v>8</v>
      </c>
      <c r="CB478" s="27" t="s">
        <v>7</v>
      </c>
      <c r="CC478" s="27" t="s">
        <v>8</v>
      </c>
      <c r="CF478" s="27" t="s">
        <v>7</v>
      </c>
      <c r="CG478" s="27" t="s">
        <v>8</v>
      </c>
      <c r="CH478" s="27" t="s">
        <v>7</v>
      </c>
      <c r="EM478" s="27" t="s">
        <v>8</v>
      </c>
      <c r="EN478" s="27" t="s">
        <v>7</v>
      </c>
      <c r="EQ478" s="27" t="s">
        <v>8</v>
      </c>
      <c r="ET478" s="27" t="s">
        <v>7</v>
      </c>
      <c r="EU478" s="27" t="s">
        <v>8</v>
      </c>
      <c r="EV478" s="27" t="s">
        <v>7</v>
      </c>
      <c r="FA478" s="27" t="s">
        <v>8</v>
      </c>
      <c r="FB478" s="27" t="s">
        <v>7</v>
      </c>
      <c r="FC478" s="27" t="s">
        <v>8</v>
      </c>
      <c r="FD478" s="27" t="s">
        <v>7</v>
      </c>
    </row>
    <row r="479" spans="1:161" x14ac:dyDescent="0.25">
      <c r="A479" s="7">
        <v>8.4882575864920131</v>
      </c>
      <c r="B479"/>
      <c r="C479"/>
      <c r="D479"/>
      <c r="E479" t="s">
        <v>8</v>
      </c>
      <c r="F479" s="27" t="s">
        <v>7</v>
      </c>
      <c r="AC479" s="27" t="s">
        <v>8</v>
      </c>
      <c r="AE479" s="27" t="s">
        <v>8</v>
      </c>
      <c r="AF479" s="27" t="s">
        <v>7</v>
      </c>
      <c r="AQ479" s="27" t="s">
        <v>8</v>
      </c>
      <c r="AR479" s="27" t="s">
        <v>7</v>
      </c>
      <c r="AS479" s="27" t="s">
        <v>8</v>
      </c>
      <c r="AV479" s="27" t="s">
        <v>7</v>
      </c>
      <c r="AW479" s="27" t="s">
        <v>8</v>
      </c>
      <c r="AX479" s="27" t="s">
        <v>7</v>
      </c>
      <c r="AY479" s="27" t="s">
        <v>8</v>
      </c>
      <c r="BL479" s="27" t="s">
        <v>7</v>
      </c>
      <c r="BM479" s="27" t="s">
        <v>8</v>
      </c>
      <c r="BN479" s="27" t="s">
        <v>7</v>
      </c>
      <c r="BO479" s="27" t="s">
        <v>8</v>
      </c>
      <c r="BP479" s="27" t="s">
        <v>7</v>
      </c>
      <c r="BQ479" s="27" t="s">
        <v>8</v>
      </c>
      <c r="BX479" s="27" t="s">
        <v>7</v>
      </c>
      <c r="BZ479" s="27" t="s">
        <v>7</v>
      </c>
      <c r="CA479" s="27" t="s">
        <v>8</v>
      </c>
      <c r="CB479" s="27" t="s">
        <v>7</v>
      </c>
      <c r="CC479" s="27" t="s">
        <v>8</v>
      </c>
      <c r="CF479" s="27" t="s">
        <v>7</v>
      </c>
      <c r="CG479" s="27" t="s">
        <v>8</v>
      </c>
      <c r="CH479" s="27" t="s">
        <v>7</v>
      </c>
      <c r="EM479" s="27" t="s">
        <v>8</v>
      </c>
      <c r="EN479" s="27" t="s">
        <v>7</v>
      </c>
      <c r="EQ479" s="27" t="s">
        <v>8</v>
      </c>
      <c r="ET479" s="27" t="s">
        <v>7</v>
      </c>
      <c r="EU479" s="27" t="s">
        <v>8</v>
      </c>
      <c r="EV479" s="27" t="s">
        <v>7</v>
      </c>
      <c r="FA479" s="27" t="s">
        <v>8</v>
      </c>
      <c r="FB479" s="27" t="s">
        <v>7</v>
      </c>
      <c r="FD479" s="27" t="s">
        <v>7</v>
      </c>
    </row>
    <row r="480" spans="1:161" x14ac:dyDescent="0.25">
      <c r="A480" s="7">
        <v>8.3218211632274635</v>
      </c>
      <c r="B480"/>
      <c r="C480"/>
      <c r="D480"/>
      <c r="E480" t="s">
        <v>8</v>
      </c>
      <c r="F480" s="27" t="s">
        <v>7</v>
      </c>
      <c r="AC480" s="27" t="s">
        <v>8</v>
      </c>
      <c r="AD480" s="27" t="s">
        <v>7</v>
      </c>
      <c r="AE480" s="27" t="s">
        <v>8</v>
      </c>
      <c r="AF480" s="27" t="s">
        <v>7</v>
      </c>
      <c r="AO480" s="27" t="s">
        <v>8</v>
      </c>
      <c r="AQ480" s="27" t="s">
        <v>8</v>
      </c>
      <c r="AR480" s="27" t="s">
        <v>7</v>
      </c>
      <c r="AV480" s="27" t="s">
        <v>7</v>
      </c>
      <c r="AW480" s="27" t="s">
        <v>8</v>
      </c>
      <c r="AX480" s="27" t="s">
        <v>7</v>
      </c>
      <c r="AY480" s="27" t="s">
        <v>8</v>
      </c>
      <c r="BL480" s="27" t="s">
        <v>7</v>
      </c>
      <c r="BN480" s="27" t="s">
        <v>7</v>
      </c>
      <c r="BO480" s="27" t="s">
        <v>8</v>
      </c>
      <c r="BP480" s="27" t="s">
        <v>7</v>
      </c>
      <c r="BQ480" s="27" t="s">
        <v>8</v>
      </c>
      <c r="BZ480" s="27" t="s">
        <v>7</v>
      </c>
      <c r="CA480" s="27" t="s">
        <v>8</v>
      </c>
      <c r="CB480" s="27" t="s">
        <v>7</v>
      </c>
      <c r="CC480" s="27" t="s">
        <v>8</v>
      </c>
      <c r="CF480" s="27" t="s">
        <v>7</v>
      </c>
      <c r="CG480" s="27" t="s">
        <v>8</v>
      </c>
      <c r="CH480" s="27" t="s">
        <v>7</v>
      </c>
      <c r="EM480" s="27" t="s">
        <v>8</v>
      </c>
      <c r="EN480" s="27" t="s">
        <v>7</v>
      </c>
      <c r="EQ480" s="27" t="s">
        <v>8</v>
      </c>
      <c r="ET480" s="27" t="s">
        <v>7</v>
      </c>
      <c r="EU480" s="27" t="s">
        <v>8</v>
      </c>
      <c r="EV480" s="27" t="s">
        <v>7</v>
      </c>
      <c r="EW480" s="27" t="s">
        <v>8</v>
      </c>
      <c r="FA480" s="27" t="s">
        <v>8</v>
      </c>
      <c r="FD480" s="27" t="s">
        <v>7</v>
      </c>
      <c r="FE480" s="27" t="s">
        <v>8</v>
      </c>
    </row>
    <row r="481" spans="1:200" x14ac:dyDescent="0.25">
      <c r="A481" s="7">
        <v>8.1586481992426112</v>
      </c>
      <c r="B481"/>
      <c r="C481"/>
      <c r="D481"/>
      <c r="E481" t="s">
        <v>8</v>
      </c>
      <c r="F481" s="27" t="s">
        <v>7</v>
      </c>
      <c r="AC481" s="27" t="s">
        <v>8</v>
      </c>
      <c r="AD481" s="27" t="s">
        <v>7</v>
      </c>
      <c r="AE481" s="27" t="s">
        <v>8</v>
      </c>
      <c r="AF481" s="27" t="s">
        <v>7</v>
      </c>
      <c r="AO481" s="27" t="s">
        <v>8</v>
      </c>
      <c r="AP481" s="27" t="s">
        <v>7</v>
      </c>
      <c r="AQ481" s="27" t="s">
        <v>8</v>
      </c>
      <c r="AV481" s="27" t="s">
        <v>7</v>
      </c>
      <c r="AX481" s="27" t="s">
        <v>7</v>
      </c>
      <c r="AY481" s="27" t="s">
        <v>8</v>
      </c>
      <c r="BN481" s="27" t="s">
        <v>7</v>
      </c>
      <c r="BO481" s="27" t="s">
        <v>8</v>
      </c>
      <c r="BP481" s="27" t="s">
        <v>7</v>
      </c>
      <c r="BQ481" s="27" t="s">
        <v>8</v>
      </c>
      <c r="BZ481" s="27" t="s">
        <v>7</v>
      </c>
      <c r="CA481" s="27" t="s">
        <v>8</v>
      </c>
      <c r="CB481" s="27" t="s">
        <v>7</v>
      </c>
      <c r="CC481" s="27" t="s">
        <v>8</v>
      </c>
      <c r="CF481" s="27" t="s">
        <v>7</v>
      </c>
      <c r="CG481" s="27" t="s">
        <v>8</v>
      </c>
      <c r="CH481" s="27" t="s">
        <v>7</v>
      </c>
      <c r="EM481" s="27" t="s">
        <v>8</v>
      </c>
      <c r="EN481" s="27" t="s">
        <v>7</v>
      </c>
      <c r="EQ481" s="27" t="s">
        <v>8</v>
      </c>
      <c r="ET481" s="27" t="s">
        <v>7</v>
      </c>
      <c r="EU481" s="27" t="s">
        <v>8</v>
      </c>
      <c r="EV481" s="27" t="s">
        <v>7</v>
      </c>
      <c r="EW481" s="27" t="s">
        <v>8</v>
      </c>
      <c r="EX481" s="27" t="s">
        <v>7</v>
      </c>
      <c r="FA481" s="27" t="s">
        <v>8</v>
      </c>
      <c r="FD481" s="27" t="s">
        <v>7</v>
      </c>
      <c r="FE481" s="27" t="s">
        <v>8</v>
      </c>
      <c r="FF481" s="27" t="s">
        <v>7</v>
      </c>
      <c r="FG481" s="27" t="s">
        <v>8</v>
      </c>
      <c r="FU481" s="27" t="s">
        <v>8</v>
      </c>
    </row>
    <row r="482" spans="1:200" x14ac:dyDescent="0.25">
      <c r="A482" s="7">
        <v>7.9986747051398144</v>
      </c>
      <c r="B482"/>
      <c r="C482"/>
      <c r="D482"/>
      <c r="E482" t="s">
        <v>8</v>
      </c>
      <c r="F482" s="27" t="s">
        <v>7</v>
      </c>
      <c r="AC482" s="27" t="s">
        <v>8</v>
      </c>
      <c r="AD482" s="27" t="s">
        <v>7</v>
      </c>
      <c r="AE482" s="27" t="s">
        <v>8</v>
      </c>
      <c r="AF482" s="27" t="s">
        <v>7</v>
      </c>
      <c r="AO482" s="27" t="s">
        <v>8</v>
      </c>
      <c r="AP482" s="27" t="s">
        <v>7</v>
      </c>
      <c r="AQ482" s="27" t="s">
        <v>8</v>
      </c>
      <c r="AX482" s="27" t="s">
        <v>7</v>
      </c>
      <c r="AY482" s="27" t="s">
        <v>8</v>
      </c>
      <c r="BN482" s="27" t="s">
        <v>7</v>
      </c>
      <c r="BO482" s="27" t="s">
        <v>8</v>
      </c>
      <c r="BP482" s="27" t="s">
        <v>7</v>
      </c>
      <c r="BQ482" s="27" t="s">
        <v>8</v>
      </c>
      <c r="BZ482" s="27" t="s">
        <v>7</v>
      </c>
      <c r="CA482" s="27" t="s">
        <v>8</v>
      </c>
      <c r="CB482" s="27" t="s">
        <v>7</v>
      </c>
      <c r="CC482" s="27" t="s">
        <v>8</v>
      </c>
      <c r="CF482" s="27" t="s">
        <v>7</v>
      </c>
      <c r="CG482" s="27" t="s">
        <v>8</v>
      </c>
      <c r="CH482" s="27" t="s">
        <v>7</v>
      </c>
      <c r="EM482" s="27" t="s">
        <v>8</v>
      </c>
      <c r="EN482" s="27" t="s">
        <v>7</v>
      </c>
      <c r="EO482" s="27" t="s">
        <v>8</v>
      </c>
      <c r="EQ482" s="27" t="s">
        <v>8</v>
      </c>
      <c r="ET482" s="27" t="s">
        <v>7</v>
      </c>
      <c r="EU482" s="27" t="s">
        <v>8</v>
      </c>
      <c r="EV482" s="27" t="s">
        <v>7</v>
      </c>
      <c r="EW482" s="27" t="s">
        <v>8</v>
      </c>
      <c r="EX482" s="27" t="s">
        <v>7</v>
      </c>
      <c r="FA482" s="27" t="s">
        <v>8</v>
      </c>
      <c r="FD482" s="27" t="s">
        <v>7</v>
      </c>
      <c r="FE482" s="27" t="s">
        <v>8</v>
      </c>
      <c r="FF482" s="27" t="s">
        <v>7</v>
      </c>
      <c r="FG482" s="27" t="s">
        <v>8</v>
      </c>
      <c r="FH482" s="27" t="s">
        <v>7</v>
      </c>
      <c r="FU482" s="27" t="s">
        <v>8</v>
      </c>
      <c r="FV482" s="27" t="s">
        <v>7</v>
      </c>
    </row>
    <row r="483" spans="1:200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AC483" s="27" t="s">
        <v>8</v>
      </c>
      <c r="AD483" s="27" t="s">
        <v>7</v>
      </c>
      <c r="AE483" s="27" t="s">
        <v>8</v>
      </c>
      <c r="AF483" s="27" t="s">
        <v>7</v>
      </c>
      <c r="AO483" s="27" t="s">
        <v>8</v>
      </c>
      <c r="AP483" s="27" t="s">
        <v>7</v>
      </c>
      <c r="AQ483" s="27" t="s">
        <v>8</v>
      </c>
      <c r="AX483" s="27" t="s">
        <v>7</v>
      </c>
      <c r="AY483" s="27" t="s">
        <v>8</v>
      </c>
      <c r="BN483" s="27" t="s">
        <v>7</v>
      </c>
      <c r="BO483" s="27" t="s">
        <v>8</v>
      </c>
      <c r="BP483" s="27" t="s">
        <v>7</v>
      </c>
      <c r="BZ483" s="27" t="s">
        <v>7</v>
      </c>
      <c r="CA483" s="27" t="s">
        <v>8</v>
      </c>
      <c r="CB483" s="27" t="s">
        <v>7</v>
      </c>
      <c r="CF483" s="27" t="s">
        <v>7</v>
      </c>
      <c r="CG483" s="27" t="s">
        <v>8</v>
      </c>
      <c r="CH483" s="27" t="s">
        <v>7</v>
      </c>
      <c r="DY483" s="27" t="s">
        <v>8</v>
      </c>
      <c r="EM483" s="27" t="s">
        <v>8</v>
      </c>
      <c r="EN483" s="27" t="s">
        <v>7</v>
      </c>
      <c r="EO483" s="27" t="s">
        <v>8</v>
      </c>
      <c r="EP483" s="27" t="s">
        <v>7</v>
      </c>
      <c r="EQ483" s="27" t="s">
        <v>8</v>
      </c>
      <c r="ET483" s="27" t="s">
        <v>7</v>
      </c>
      <c r="EU483" s="27" t="s">
        <v>8</v>
      </c>
      <c r="EV483" s="27" t="s">
        <v>7</v>
      </c>
      <c r="EW483" s="27" t="s">
        <v>8</v>
      </c>
      <c r="EX483" s="27" t="s">
        <v>7</v>
      </c>
      <c r="EY483" s="27" t="s">
        <v>8</v>
      </c>
      <c r="FA483" s="27" t="s">
        <v>8</v>
      </c>
      <c r="FD483" s="27" t="s">
        <v>7</v>
      </c>
      <c r="FE483" s="27" t="s">
        <v>8</v>
      </c>
      <c r="FF483" s="27" t="s">
        <v>7</v>
      </c>
      <c r="FG483" s="27" t="s">
        <v>8</v>
      </c>
      <c r="FH483" s="27" t="s">
        <v>7</v>
      </c>
      <c r="FI483" s="27" t="s">
        <v>8</v>
      </c>
      <c r="FU483" s="27" t="s">
        <v>8</v>
      </c>
      <c r="FV483" s="27" t="s">
        <v>7</v>
      </c>
    </row>
    <row r="484" spans="1:200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AC484" s="27" t="s">
        <v>8</v>
      </c>
      <c r="AD484" s="27" t="s">
        <v>7</v>
      </c>
      <c r="AE484" s="27" t="s">
        <v>8</v>
      </c>
      <c r="AF484" s="27" t="s">
        <v>7</v>
      </c>
      <c r="AO484" s="27" t="s">
        <v>8</v>
      </c>
      <c r="AP484" s="27" t="s">
        <v>7</v>
      </c>
      <c r="AQ484" s="27" t="s">
        <v>8</v>
      </c>
      <c r="AX484" s="27" t="s">
        <v>7</v>
      </c>
      <c r="AY484" s="27" t="s">
        <v>8</v>
      </c>
      <c r="BN484" s="27" t="s">
        <v>7</v>
      </c>
      <c r="BO484" s="27" t="s">
        <v>8</v>
      </c>
      <c r="BZ484" s="27" t="s">
        <v>7</v>
      </c>
      <c r="CA484" s="27" t="s">
        <v>8</v>
      </c>
      <c r="CF484" s="27" t="s">
        <v>7</v>
      </c>
      <c r="CG484" s="27" t="s">
        <v>8</v>
      </c>
      <c r="CH484" s="27" t="s">
        <v>7</v>
      </c>
      <c r="CQ484" s="27" t="s">
        <v>8</v>
      </c>
      <c r="DY484" s="27" t="s">
        <v>8</v>
      </c>
      <c r="DZ484" s="27" t="s">
        <v>7</v>
      </c>
      <c r="EM484" s="27" t="s">
        <v>8</v>
      </c>
      <c r="EN484" s="27" t="s">
        <v>7</v>
      </c>
      <c r="EO484" s="27" t="s">
        <v>8</v>
      </c>
      <c r="EP484" s="27" t="s">
        <v>7</v>
      </c>
      <c r="EQ484" s="27" t="s">
        <v>8</v>
      </c>
      <c r="ET484" s="27" t="s">
        <v>7</v>
      </c>
      <c r="EU484" s="27" t="s">
        <v>8</v>
      </c>
      <c r="EV484" s="27" t="s">
        <v>7</v>
      </c>
      <c r="EW484" s="27" t="s">
        <v>8</v>
      </c>
      <c r="EX484" s="27" t="s">
        <v>7</v>
      </c>
      <c r="EY484" s="27" t="s">
        <v>8</v>
      </c>
      <c r="EZ484" s="27" t="s">
        <v>7</v>
      </c>
      <c r="FA484" s="27" t="s">
        <v>8</v>
      </c>
      <c r="FD484" s="27" t="s">
        <v>7</v>
      </c>
      <c r="FF484" s="27" t="s">
        <v>7</v>
      </c>
      <c r="FG484" s="27" t="s">
        <v>8</v>
      </c>
      <c r="FH484" s="27" t="s">
        <v>7</v>
      </c>
      <c r="FI484" s="27" t="s">
        <v>8</v>
      </c>
      <c r="FJ484" s="27" t="s">
        <v>7</v>
      </c>
      <c r="FK484" s="27" t="s">
        <v>8</v>
      </c>
      <c r="FS484" s="27" t="s">
        <v>8</v>
      </c>
      <c r="FU484" s="27" t="s">
        <v>8</v>
      </c>
      <c r="FV484" s="27" t="s">
        <v>7</v>
      </c>
    </row>
    <row r="485" spans="1:200" x14ac:dyDescent="0.25">
      <c r="A485" s="7">
        <v>7.5373298214297417</v>
      </c>
      <c r="B485"/>
      <c r="C485"/>
      <c r="D485"/>
      <c r="E485" t="s">
        <v>8</v>
      </c>
      <c r="F485" s="27" t="s">
        <v>7</v>
      </c>
      <c r="AC485" s="27" t="s">
        <v>8</v>
      </c>
      <c r="AD485" s="27" t="s">
        <v>7</v>
      </c>
      <c r="AE485" s="27" t="s">
        <v>8</v>
      </c>
      <c r="AF485" s="27" t="s">
        <v>7</v>
      </c>
      <c r="AO485" s="27" t="s">
        <v>8</v>
      </c>
      <c r="AP485" s="27" t="s">
        <v>7</v>
      </c>
      <c r="AQ485" s="27" t="s">
        <v>8</v>
      </c>
      <c r="AX485" s="27" t="s">
        <v>7</v>
      </c>
      <c r="BN485" s="27" t="s">
        <v>7</v>
      </c>
      <c r="BO485" s="27" t="s">
        <v>8</v>
      </c>
      <c r="BZ485" s="27" t="s">
        <v>7</v>
      </c>
      <c r="CF485" s="27" t="s">
        <v>7</v>
      </c>
      <c r="CG485" s="27" t="s">
        <v>8</v>
      </c>
      <c r="CH485" s="27" t="s">
        <v>7</v>
      </c>
      <c r="CQ485" s="27" t="s">
        <v>8</v>
      </c>
      <c r="CR485" s="27" t="s">
        <v>7</v>
      </c>
      <c r="DY485" s="27" t="s">
        <v>8</v>
      </c>
      <c r="DZ485" s="27" t="s">
        <v>7</v>
      </c>
      <c r="EM485" s="27" t="s">
        <v>8</v>
      </c>
      <c r="EN485" s="27" t="s">
        <v>7</v>
      </c>
      <c r="EO485" s="27" t="s">
        <v>8</v>
      </c>
      <c r="EP485" s="27" t="s">
        <v>7</v>
      </c>
      <c r="EQ485" s="27" t="s">
        <v>8</v>
      </c>
      <c r="ET485" s="27" t="s">
        <v>7</v>
      </c>
      <c r="EU485" s="27" t="s">
        <v>8</v>
      </c>
      <c r="EV485" s="27" t="s">
        <v>7</v>
      </c>
      <c r="EX485" s="27" t="s">
        <v>7</v>
      </c>
      <c r="EY485" s="27" t="s">
        <v>8</v>
      </c>
      <c r="EZ485" s="27" t="s">
        <v>7</v>
      </c>
      <c r="FA485" s="27" t="s">
        <v>8</v>
      </c>
      <c r="FF485" s="27" t="s">
        <v>7</v>
      </c>
      <c r="FG485" s="27" t="s">
        <v>8</v>
      </c>
      <c r="FH485" s="27" t="s">
        <v>7</v>
      </c>
      <c r="FI485" s="27" t="s">
        <v>8</v>
      </c>
      <c r="FJ485" s="27" t="s">
        <v>7</v>
      </c>
      <c r="FK485" s="27" t="s">
        <v>8</v>
      </c>
      <c r="FL485" s="27" t="s">
        <v>7</v>
      </c>
      <c r="FS485" s="27" t="s">
        <v>8</v>
      </c>
      <c r="FT485" s="27" t="s">
        <v>7</v>
      </c>
      <c r="FU485" s="27" t="s">
        <v>8</v>
      </c>
      <c r="FV485" s="27" t="s">
        <v>7</v>
      </c>
      <c r="GQ485" s="27" t="s">
        <v>8</v>
      </c>
    </row>
    <row r="486" spans="1:200" x14ac:dyDescent="0.25">
      <c r="A486" s="7">
        <v>7.389539040617394</v>
      </c>
      <c r="B486"/>
      <c r="C486"/>
      <c r="D486"/>
      <c r="E486" t="s">
        <v>8</v>
      </c>
      <c r="F486" s="27" t="s">
        <v>7</v>
      </c>
      <c r="AC486" s="27" t="s">
        <v>8</v>
      </c>
      <c r="AD486" s="27" t="s">
        <v>7</v>
      </c>
      <c r="AE486" s="27" t="s">
        <v>8</v>
      </c>
      <c r="AF486" s="27" t="s">
        <v>7</v>
      </c>
      <c r="AO486" s="27" t="s">
        <v>8</v>
      </c>
      <c r="AP486" s="27" t="s">
        <v>7</v>
      </c>
      <c r="AQ486" s="27" t="s">
        <v>8</v>
      </c>
      <c r="BN486" s="27" t="s">
        <v>7</v>
      </c>
      <c r="CF486" s="27" t="s">
        <v>7</v>
      </c>
      <c r="CG486" s="27" t="s">
        <v>8</v>
      </c>
      <c r="CH486" s="27" t="s">
        <v>7</v>
      </c>
      <c r="CQ486" s="27" t="s">
        <v>8</v>
      </c>
      <c r="CR486" s="27" t="s">
        <v>7</v>
      </c>
      <c r="DY486" s="27" t="s">
        <v>8</v>
      </c>
      <c r="DZ486" s="27" t="s">
        <v>7</v>
      </c>
      <c r="EM486" s="27" t="s">
        <v>8</v>
      </c>
      <c r="EN486" s="27" t="s">
        <v>7</v>
      </c>
      <c r="EO486" s="27" t="s">
        <v>8</v>
      </c>
      <c r="EP486" s="27" t="s">
        <v>7</v>
      </c>
      <c r="EQ486" s="27" t="s">
        <v>8</v>
      </c>
      <c r="ET486" s="27" t="s">
        <v>7</v>
      </c>
      <c r="EU486" s="27" t="s">
        <v>8</v>
      </c>
      <c r="EX486" s="27" t="s">
        <v>7</v>
      </c>
      <c r="EY486" s="27" t="s">
        <v>8</v>
      </c>
      <c r="EZ486" s="27" t="s">
        <v>7</v>
      </c>
      <c r="FA486" s="27" t="s">
        <v>8</v>
      </c>
      <c r="FF486" s="27" t="s">
        <v>7</v>
      </c>
      <c r="FH486" s="27" t="s">
        <v>7</v>
      </c>
      <c r="FI486" s="27" t="s">
        <v>8</v>
      </c>
      <c r="FJ486" s="27" t="s">
        <v>7</v>
      </c>
      <c r="FK486" s="27" t="s">
        <v>8</v>
      </c>
      <c r="FL486" s="27" t="s">
        <v>7</v>
      </c>
      <c r="FQ486" s="27" t="s">
        <v>8</v>
      </c>
      <c r="FS486" s="27" t="s">
        <v>8</v>
      </c>
      <c r="FT486" s="27" t="s">
        <v>7</v>
      </c>
      <c r="FU486" s="27" t="s">
        <v>8</v>
      </c>
      <c r="FV486" s="27" t="s">
        <v>7</v>
      </c>
      <c r="GQ486" s="27" t="s">
        <v>8</v>
      </c>
      <c r="GR486" s="27" t="s">
        <v>7</v>
      </c>
    </row>
    <row r="487" spans="1:200" x14ac:dyDescent="0.25">
      <c r="A487" s="7">
        <v>7.2446461182523469</v>
      </c>
      <c r="B487"/>
      <c r="C487"/>
      <c r="D487"/>
      <c r="E487" t="s">
        <v>8</v>
      </c>
      <c r="F487" s="27" t="s">
        <v>7</v>
      </c>
      <c r="AC487" s="27" t="s">
        <v>8</v>
      </c>
      <c r="AD487" s="27" t="s">
        <v>7</v>
      </c>
      <c r="AE487" s="27" t="s">
        <v>8</v>
      </c>
      <c r="AF487" s="27" t="s">
        <v>7</v>
      </c>
      <c r="AO487" s="27" t="s">
        <v>8</v>
      </c>
      <c r="AP487" s="27" t="s">
        <v>7</v>
      </c>
      <c r="AQ487" s="27" t="s">
        <v>8</v>
      </c>
      <c r="CF487" s="27" t="s">
        <v>7</v>
      </c>
      <c r="CG487" s="27" t="s">
        <v>8</v>
      </c>
      <c r="CH487" s="27" t="s">
        <v>7</v>
      </c>
      <c r="CK487" s="27" t="s">
        <v>8</v>
      </c>
      <c r="CQ487" s="27" t="s">
        <v>8</v>
      </c>
      <c r="CR487" s="27" t="s">
        <v>7</v>
      </c>
      <c r="DY487" s="27" t="s">
        <v>8</v>
      </c>
      <c r="DZ487" s="27" t="s">
        <v>7</v>
      </c>
      <c r="EM487" s="27" t="s">
        <v>8</v>
      </c>
      <c r="EN487" s="27" t="s">
        <v>7</v>
      </c>
      <c r="EO487" s="27" t="s">
        <v>8</v>
      </c>
      <c r="EP487" s="27" t="s">
        <v>7</v>
      </c>
      <c r="EQ487" s="27" t="s">
        <v>8</v>
      </c>
      <c r="ET487" s="27" t="s">
        <v>7</v>
      </c>
      <c r="EX487" s="27" t="s">
        <v>7</v>
      </c>
      <c r="EY487" s="27" t="s">
        <v>8</v>
      </c>
      <c r="EZ487" s="27" t="s">
        <v>7</v>
      </c>
      <c r="FH487" s="27" t="s">
        <v>7</v>
      </c>
      <c r="FJ487" s="27" t="s">
        <v>7</v>
      </c>
      <c r="FK487" s="27" t="s">
        <v>8</v>
      </c>
      <c r="FL487" s="27" t="s">
        <v>7</v>
      </c>
      <c r="FQ487" s="27" t="s">
        <v>8</v>
      </c>
      <c r="FR487" s="27" t="s">
        <v>7</v>
      </c>
      <c r="FS487" s="27" t="s">
        <v>8</v>
      </c>
      <c r="FT487" s="27" t="s">
        <v>7</v>
      </c>
      <c r="FU487" s="27" t="s">
        <v>8</v>
      </c>
      <c r="FV487" s="27" t="s">
        <v>7</v>
      </c>
      <c r="GQ487" s="27" t="s">
        <v>8</v>
      </c>
      <c r="GR487" s="27" t="s">
        <v>7</v>
      </c>
    </row>
    <row r="488" spans="1:200" x14ac:dyDescent="0.25">
      <c r="A488" s="7">
        <v>7.1025942335807324</v>
      </c>
      <c r="B488"/>
      <c r="C488"/>
      <c r="D488"/>
      <c r="E488" t="s">
        <v>8</v>
      </c>
      <c r="F488" s="27" t="s">
        <v>7</v>
      </c>
      <c r="K488" s="27" t="s">
        <v>8</v>
      </c>
      <c r="AC488" s="27" t="s">
        <v>8</v>
      </c>
      <c r="AD488" s="27" t="s">
        <v>7</v>
      </c>
      <c r="AE488" s="27" t="s">
        <v>8</v>
      </c>
      <c r="AF488" s="27" t="s">
        <v>7</v>
      </c>
      <c r="AO488" s="27" t="s">
        <v>8</v>
      </c>
      <c r="AP488" s="27" t="s">
        <v>7</v>
      </c>
      <c r="AQ488" s="27" t="s">
        <v>8</v>
      </c>
      <c r="CF488" s="27" t="s">
        <v>7</v>
      </c>
      <c r="CG488" s="27" t="s">
        <v>8</v>
      </c>
      <c r="CH488" s="27" t="s">
        <v>7</v>
      </c>
      <c r="CK488" s="27" t="s">
        <v>8</v>
      </c>
      <c r="CL488" s="27" t="s">
        <v>7</v>
      </c>
      <c r="CQ488" s="27" t="s">
        <v>8</v>
      </c>
      <c r="CR488" s="27" t="s">
        <v>7</v>
      </c>
      <c r="DY488" s="27" t="s">
        <v>8</v>
      </c>
      <c r="DZ488" s="27" t="s">
        <v>7</v>
      </c>
      <c r="EM488" s="27" t="s">
        <v>8</v>
      </c>
      <c r="EN488" s="27" t="s">
        <v>7</v>
      </c>
      <c r="EO488" s="27" t="s">
        <v>8</v>
      </c>
      <c r="EP488" s="27" t="s">
        <v>7</v>
      </c>
      <c r="EQ488" s="27" t="s">
        <v>8</v>
      </c>
      <c r="EX488" s="27" t="s">
        <v>7</v>
      </c>
      <c r="EY488" s="27" t="s">
        <v>8</v>
      </c>
      <c r="FJ488" s="27" t="s">
        <v>7</v>
      </c>
      <c r="FL488" s="27" t="s">
        <v>7</v>
      </c>
      <c r="FQ488" s="27" t="s">
        <v>8</v>
      </c>
      <c r="FR488" s="27" t="s">
        <v>7</v>
      </c>
      <c r="FS488" s="27" t="s">
        <v>8</v>
      </c>
      <c r="FT488" s="27" t="s">
        <v>7</v>
      </c>
      <c r="FU488" s="27" t="s">
        <v>8</v>
      </c>
      <c r="FV488" s="27" t="s">
        <v>7</v>
      </c>
      <c r="GQ488" s="27" t="s">
        <v>8</v>
      </c>
      <c r="GR488" s="27" t="s">
        <v>7</v>
      </c>
    </row>
    <row r="489" spans="1:200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G489" s="27" t="s">
        <v>8</v>
      </c>
      <c r="K489" s="27" t="s">
        <v>8</v>
      </c>
      <c r="L489" s="27" t="s">
        <v>7</v>
      </c>
      <c r="AC489" s="27" t="s">
        <v>8</v>
      </c>
      <c r="AD489" s="27" t="s">
        <v>7</v>
      </c>
      <c r="AE489" s="27" t="s">
        <v>8</v>
      </c>
      <c r="AF489" s="27" t="s">
        <v>7</v>
      </c>
      <c r="AG489" s="27" t="s">
        <v>8</v>
      </c>
      <c r="AO489" s="27" t="s">
        <v>8</v>
      </c>
      <c r="AP489" s="27" t="s">
        <v>7</v>
      </c>
      <c r="AQ489" s="27" t="s">
        <v>8</v>
      </c>
      <c r="CF489" s="27" t="s">
        <v>7</v>
      </c>
      <c r="CG489" s="27" t="s">
        <v>8</v>
      </c>
      <c r="CH489" s="27" t="s">
        <v>7</v>
      </c>
      <c r="CK489" s="27" t="s">
        <v>8</v>
      </c>
      <c r="CL489" s="27" t="s">
        <v>7</v>
      </c>
      <c r="CQ489" s="27" t="s">
        <v>8</v>
      </c>
      <c r="CR489" s="27" t="s">
        <v>7</v>
      </c>
      <c r="DY489" s="27" t="s">
        <v>8</v>
      </c>
      <c r="DZ489" s="27" t="s">
        <v>7</v>
      </c>
      <c r="EM489" s="27" t="s">
        <v>8</v>
      </c>
      <c r="EN489" s="27" t="s">
        <v>7</v>
      </c>
      <c r="EO489" s="27" t="s">
        <v>8</v>
      </c>
      <c r="EP489" s="27" t="s">
        <v>7</v>
      </c>
      <c r="EQ489" s="27" t="s">
        <v>8</v>
      </c>
      <c r="EX489" s="27" t="s">
        <v>7</v>
      </c>
      <c r="FL489" s="27" t="s">
        <v>7</v>
      </c>
      <c r="FQ489" s="27" t="s">
        <v>8</v>
      </c>
      <c r="FR489" s="27" t="s">
        <v>7</v>
      </c>
      <c r="FS489" s="27" t="s">
        <v>8</v>
      </c>
      <c r="FT489" s="27" t="s">
        <v>7</v>
      </c>
      <c r="FU489" s="27" t="s">
        <v>8</v>
      </c>
      <c r="FV489" s="27" t="s">
        <v>7</v>
      </c>
      <c r="GQ489" s="27" t="s">
        <v>8</v>
      </c>
      <c r="GR489" s="27" t="s">
        <v>7</v>
      </c>
    </row>
    <row r="490" spans="1:200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G490" s="27" t="s">
        <v>8</v>
      </c>
      <c r="H490" s="27" t="s">
        <v>7</v>
      </c>
      <c r="K490" s="27" t="s">
        <v>8</v>
      </c>
      <c r="L490" s="27" t="s">
        <v>7</v>
      </c>
      <c r="AC490" s="27" t="s">
        <v>8</v>
      </c>
      <c r="AD490" s="27" t="s">
        <v>7</v>
      </c>
      <c r="AE490" s="27" t="s">
        <v>8</v>
      </c>
      <c r="AF490" s="27" t="s">
        <v>7</v>
      </c>
      <c r="AG490" s="27" t="s">
        <v>8</v>
      </c>
      <c r="AH490" s="27" t="s">
        <v>7</v>
      </c>
      <c r="AO490" s="27" t="s">
        <v>8</v>
      </c>
      <c r="AP490" s="27" t="s">
        <v>7</v>
      </c>
      <c r="AQ490" s="27" t="s">
        <v>8</v>
      </c>
      <c r="CF490" s="27" t="s">
        <v>7</v>
      </c>
      <c r="CG490" s="27" t="s">
        <v>8</v>
      </c>
      <c r="CH490" s="27" t="s">
        <v>7</v>
      </c>
      <c r="CK490" s="27" t="s">
        <v>8</v>
      </c>
      <c r="CL490" s="27" t="s">
        <v>7</v>
      </c>
      <c r="CQ490" s="27" t="s">
        <v>8</v>
      </c>
      <c r="CR490" s="27" t="s">
        <v>7</v>
      </c>
      <c r="DY490" s="27" t="s">
        <v>8</v>
      </c>
      <c r="DZ490" s="27" t="s">
        <v>7</v>
      </c>
      <c r="EG490" s="27" t="s">
        <v>8</v>
      </c>
      <c r="EM490" s="27" t="s">
        <v>8</v>
      </c>
      <c r="EN490" s="27" t="s">
        <v>7</v>
      </c>
      <c r="EO490" s="27" t="s">
        <v>8</v>
      </c>
      <c r="EP490" s="27" t="s">
        <v>7</v>
      </c>
      <c r="EQ490" s="27" t="s">
        <v>8</v>
      </c>
      <c r="FL490" s="27" t="s">
        <v>7</v>
      </c>
      <c r="FO490" s="27" t="s">
        <v>8</v>
      </c>
      <c r="FQ490" s="27" t="s">
        <v>8</v>
      </c>
      <c r="FR490" s="27" t="s">
        <v>7</v>
      </c>
      <c r="FS490" s="27" t="s">
        <v>8</v>
      </c>
      <c r="FT490" s="27" t="s">
        <v>7</v>
      </c>
      <c r="FV490" s="27" t="s">
        <v>7</v>
      </c>
      <c r="GC490" s="27" t="s">
        <v>8</v>
      </c>
      <c r="GQ490" s="27" t="s">
        <v>8</v>
      </c>
      <c r="GR490" s="27" t="s">
        <v>7</v>
      </c>
    </row>
    <row r="491" spans="1:200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G491" s="27" t="s">
        <v>8</v>
      </c>
      <c r="H491" s="27" t="s">
        <v>7</v>
      </c>
      <c r="K491" s="27" t="s">
        <v>8</v>
      </c>
      <c r="L491" s="27" t="s">
        <v>7</v>
      </c>
      <c r="AC491" s="27" t="s">
        <v>8</v>
      </c>
      <c r="AD491" s="27" t="s">
        <v>7</v>
      </c>
      <c r="AE491" s="27" t="s">
        <v>8</v>
      </c>
      <c r="AF491" s="27" t="s">
        <v>7</v>
      </c>
      <c r="AG491" s="27" t="s">
        <v>8</v>
      </c>
      <c r="AH491" s="27" t="s">
        <v>7</v>
      </c>
      <c r="AO491" s="27" t="s">
        <v>8</v>
      </c>
      <c r="AP491" s="27" t="s">
        <v>7</v>
      </c>
      <c r="AQ491" s="27" t="s">
        <v>8</v>
      </c>
      <c r="CF491" s="27" t="s">
        <v>7</v>
      </c>
      <c r="CH491" s="27" t="s">
        <v>7</v>
      </c>
      <c r="CK491" s="27" t="s">
        <v>8</v>
      </c>
      <c r="CL491" s="27" t="s">
        <v>7</v>
      </c>
      <c r="CQ491" s="27" t="s">
        <v>8</v>
      </c>
      <c r="CR491" s="27" t="s">
        <v>7</v>
      </c>
      <c r="DY491" s="27" t="s">
        <v>8</v>
      </c>
      <c r="DZ491" s="27" t="s">
        <v>7</v>
      </c>
      <c r="EC491" s="27" t="s">
        <v>8</v>
      </c>
      <c r="EG491" s="27" t="s">
        <v>8</v>
      </c>
      <c r="EH491" s="27" t="s">
        <v>7</v>
      </c>
      <c r="EM491" s="27" t="s">
        <v>8</v>
      </c>
      <c r="EN491" s="27" t="s">
        <v>7</v>
      </c>
      <c r="EO491" s="27" t="s">
        <v>8</v>
      </c>
      <c r="EP491" s="27" t="s">
        <v>7</v>
      </c>
      <c r="EQ491" s="27" t="s">
        <v>8</v>
      </c>
      <c r="FL491" s="27" t="s">
        <v>7</v>
      </c>
      <c r="FM491" s="27" t="s">
        <v>8</v>
      </c>
      <c r="FO491" s="27" t="s">
        <v>8</v>
      </c>
      <c r="FP491" s="27" t="s">
        <v>7</v>
      </c>
      <c r="FQ491" s="27" t="s">
        <v>8</v>
      </c>
      <c r="FR491" s="27" t="s">
        <v>7</v>
      </c>
      <c r="FS491" s="27" t="s">
        <v>8</v>
      </c>
      <c r="FV491" s="27" t="s">
        <v>7</v>
      </c>
      <c r="GC491" s="27" t="s">
        <v>8</v>
      </c>
      <c r="GD491" s="27" t="s">
        <v>7</v>
      </c>
      <c r="GQ491" s="27" t="s">
        <v>8</v>
      </c>
      <c r="GR491" s="27" t="s">
        <v>7</v>
      </c>
    </row>
    <row r="492" spans="1:200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G492" s="27" t="s">
        <v>8</v>
      </c>
      <c r="H492" s="27" t="s">
        <v>7</v>
      </c>
      <c r="K492" s="27" t="s">
        <v>8</v>
      </c>
      <c r="L492" s="27" t="s">
        <v>7</v>
      </c>
      <c r="AC492" s="27" t="s">
        <v>8</v>
      </c>
      <c r="AD492" s="27" t="s">
        <v>7</v>
      </c>
      <c r="AE492" s="27" t="s">
        <v>8</v>
      </c>
      <c r="AF492" s="27" t="s">
        <v>7</v>
      </c>
      <c r="AG492" s="27" t="s">
        <v>8</v>
      </c>
      <c r="AH492" s="27" t="s">
        <v>7</v>
      </c>
      <c r="AO492" s="27" t="s">
        <v>8</v>
      </c>
      <c r="AP492" s="27" t="s">
        <v>7</v>
      </c>
      <c r="AQ492" s="27" t="s">
        <v>8</v>
      </c>
      <c r="CH492" s="27" t="s">
        <v>7</v>
      </c>
      <c r="CK492" s="27" t="s">
        <v>8</v>
      </c>
      <c r="CL492" s="27" t="s">
        <v>7</v>
      </c>
      <c r="CQ492" s="27" t="s">
        <v>8</v>
      </c>
      <c r="CR492" s="27" t="s">
        <v>7</v>
      </c>
      <c r="DY492" s="27" t="s">
        <v>8</v>
      </c>
      <c r="DZ492" s="27" t="s">
        <v>7</v>
      </c>
      <c r="EC492" s="27" t="s">
        <v>8</v>
      </c>
      <c r="ED492" s="27" t="s">
        <v>7</v>
      </c>
      <c r="EG492" s="27" t="s">
        <v>8</v>
      </c>
      <c r="EH492" s="27" t="s">
        <v>7</v>
      </c>
      <c r="EM492" s="27" t="s">
        <v>8</v>
      </c>
      <c r="EN492" s="27" t="s">
        <v>7</v>
      </c>
      <c r="EO492" s="27" t="s">
        <v>8</v>
      </c>
      <c r="EP492" s="27" t="s">
        <v>7</v>
      </c>
      <c r="EQ492" s="27" t="s">
        <v>8</v>
      </c>
      <c r="FL492" s="27" t="s">
        <v>7</v>
      </c>
      <c r="FM492" s="27" t="s">
        <v>8</v>
      </c>
      <c r="FN492" s="27" t="s">
        <v>7</v>
      </c>
      <c r="FO492" s="27" t="s">
        <v>8</v>
      </c>
      <c r="FP492" s="27" t="s">
        <v>7</v>
      </c>
      <c r="FQ492" s="27" t="s">
        <v>8</v>
      </c>
      <c r="FR492" s="27" t="s">
        <v>7</v>
      </c>
      <c r="FV492" s="27" t="s">
        <v>7</v>
      </c>
      <c r="GC492" s="27" t="s">
        <v>8</v>
      </c>
      <c r="GD492" s="27" t="s">
        <v>7</v>
      </c>
      <c r="GQ492" s="27" t="s">
        <v>8</v>
      </c>
      <c r="GR492" s="27" t="s">
        <v>7</v>
      </c>
    </row>
    <row r="493" spans="1:200" x14ac:dyDescent="0.25">
      <c r="A493" s="7">
        <v>6.4330384270743668</v>
      </c>
      <c r="B493"/>
      <c r="C493"/>
      <c r="D493"/>
      <c r="E493" t="s">
        <v>8</v>
      </c>
      <c r="F493" s="27" t="s">
        <v>7</v>
      </c>
      <c r="G493" s="27" t="s">
        <v>8</v>
      </c>
      <c r="H493" s="27" t="s">
        <v>7</v>
      </c>
      <c r="K493" s="27" t="s">
        <v>8</v>
      </c>
      <c r="L493" s="27" t="s">
        <v>7</v>
      </c>
      <c r="AC493" s="27" t="s">
        <v>8</v>
      </c>
      <c r="AD493" s="27" t="s">
        <v>7</v>
      </c>
      <c r="AE493" s="27" t="s">
        <v>8</v>
      </c>
      <c r="AF493" s="27" t="s">
        <v>7</v>
      </c>
      <c r="AG493" s="27" t="s">
        <v>8</v>
      </c>
      <c r="AH493" s="27" t="s">
        <v>7</v>
      </c>
      <c r="AO493" s="27" t="s">
        <v>8</v>
      </c>
      <c r="AP493" s="27" t="s">
        <v>7</v>
      </c>
      <c r="AQ493" s="27" t="s">
        <v>8</v>
      </c>
      <c r="CH493" s="27" t="s">
        <v>7</v>
      </c>
      <c r="CI493" s="27" t="s">
        <v>8</v>
      </c>
      <c r="CK493" s="27" t="s">
        <v>8</v>
      </c>
      <c r="CL493" s="27" t="s">
        <v>7</v>
      </c>
      <c r="CM493" s="27" t="s">
        <v>8</v>
      </c>
      <c r="CQ493" s="27" t="s">
        <v>8</v>
      </c>
      <c r="CR493" s="27" t="s">
        <v>7</v>
      </c>
      <c r="DY493" s="27" t="s">
        <v>8</v>
      </c>
      <c r="DZ493" s="27" t="s">
        <v>7</v>
      </c>
      <c r="EA493" s="27" t="s">
        <v>8</v>
      </c>
      <c r="EC493" s="27" t="s">
        <v>8</v>
      </c>
      <c r="ED493" s="27" t="s">
        <v>7</v>
      </c>
      <c r="EG493" s="27" t="s">
        <v>8</v>
      </c>
      <c r="EH493" s="27" t="s">
        <v>7</v>
      </c>
      <c r="EM493" s="27" t="s">
        <v>8</v>
      </c>
      <c r="EN493" s="27" t="s">
        <v>7</v>
      </c>
      <c r="EO493" s="27" t="s">
        <v>8</v>
      </c>
      <c r="EP493" s="27" t="s">
        <v>7</v>
      </c>
      <c r="EQ493" s="27" t="s">
        <v>8</v>
      </c>
      <c r="FL493" s="27" t="s">
        <v>7</v>
      </c>
      <c r="FM493" s="27" t="s">
        <v>8</v>
      </c>
      <c r="FN493" s="27" t="s">
        <v>7</v>
      </c>
      <c r="FO493" s="27" t="s">
        <v>8</v>
      </c>
      <c r="FP493" s="27" t="s">
        <v>7</v>
      </c>
      <c r="FQ493" s="27" t="s">
        <v>8</v>
      </c>
      <c r="FV493" s="27" t="s">
        <v>7</v>
      </c>
      <c r="FW493" s="27" t="s">
        <v>8</v>
      </c>
      <c r="GC493" s="27" t="s">
        <v>8</v>
      </c>
      <c r="GD493" s="27" t="s">
        <v>7</v>
      </c>
      <c r="GE493" s="27" t="s">
        <v>8</v>
      </c>
      <c r="GQ493" s="27" t="s">
        <v>8</v>
      </c>
      <c r="GR493" s="27" t="s">
        <v>7</v>
      </c>
    </row>
    <row r="494" spans="1:200" x14ac:dyDescent="0.25">
      <c r="A494" s="7">
        <v>6.3069004187003594</v>
      </c>
      <c r="B494"/>
      <c r="C494"/>
      <c r="D494"/>
      <c r="E494" t="s">
        <v>8</v>
      </c>
      <c r="F494" s="27" t="s">
        <v>7</v>
      </c>
      <c r="G494" s="27" t="s">
        <v>8</v>
      </c>
      <c r="H494" s="27" t="s">
        <v>7</v>
      </c>
      <c r="K494" s="27" t="s">
        <v>8</v>
      </c>
      <c r="L494" s="27" t="s">
        <v>7</v>
      </c>
      <c r="AC494" s="27" t="s">
        <v>8</v>
      </c>
      <c r="AD494" s="27" t="s">
        <v>7</v>
      </c>
      <c r="AE494" s="27" t="s">
        <v>8</v>
      </c>
      <c r="AF494" s="27" t="s">
        <v>7</v>
      </c>
      <c r="AG494" s="27" t="s">
        <v>8</v>
      </c>
      <c r="AH494" s="27" t="s">
        <v>7</v>
      </c>
      <c r="AO494" s="27" t="s">
        <v>8</v>
      </c>
      <c r="AP494" s="27" t="s">
        <v>7</v>
      </c>
      <c r="AQ494" s="27" t="s">
        <v>8</v>
      </c>
      <c r="CH494" s="27" t="s">
        <v>7</v>
      </c>
      <c r="CI494" s="27" t="s">
        <v>8</v>
      </c>
      <c r="CJ494" s="27" t="s">
        <v>7</v>
      </c>
      <c r="CK494" s="27" t="s">
        <v>8</v>
      </c>
      <c r="CL494" s="27" t="s">
        <v>7</v>
      </c>
      <c r="CM494" s="27" t="s">
        <v>8</v>
      </c>
      <c r="CN494" s="27" t="s">
        <v>7</v>
      </c>
      <c r="CO494" s="27" t="s">
        <v>8</v>
      </c>
      <c r="CQ494" s="27" t="s">
        <v>8</v>
      </c>
      <c r="CR494" s="27" t="s">
        <v>7</v>
      </c>
      <c r="DY494" s="27" t="s">
        <v>8</v>
      </c>
      <c r="DZ494" s="27" t="s">
        <v>7</v>
      </c>
      <c r="EA494" s="27" t="s">
        <v>8</v>
      </c>
      <c r="EB494" s="27" t="s">
        <v>7</v>
      </c>
      <c r="EC494" s="27" t="s">
        <v>8</v>
      </c>
      <c r="ED494" s="27" t="s">
        <v>7</v>
      </c>
      <c r="EG494" s="27" t="s">
        <v>8</v>
      </c>
      <c r="EH494" s="27" t="s">
        <v>7</v>
      </c>
      <c r="EM494" s="27" t="s">
        <v>8</v>
      </c>
      <c r="EN494" s="27" t="s">
        <v>7</v>
      </c>
      <c r="EO494" s="27" t="s">
        <v>8</v>
      </c>
      <c r="EP494" s="27" t="s">
        <v>7</v>
      </c>
      <c r="FL494" s="27" t="s">
        <v>7</v>
      </c>
      <c r="FM494" s="27" t="s">
        <v>8</v>
      </c>
      <c r="FN494" s="27" t="s">
        <v>7</v>
      </c>
      <c r="FO494" s="27" t="s">
        <v>8</v>
      </c>
      <c r="FP494" s="27" t="s">
        <v>7</v>
      </c>
      <c r="FV494" s="27" t="s">
        <v>7</v>
      </c>
      <c r="FW494" s="27" t="s">
        <v>8</v>
      </c>
      <c r="FX494" s="27" t="s">
        <v>7</v>
      </c>
      <c r="GC494" s="27" t="s">
        <v>8</v>
      </c>
      <c r="GD494" s="27" t="s">
        <v>7</v>
      </c>
      <c r="GE494" s="27" t="s">
        <v>8</v>
      </c>
      <c r="GF494" s="27" t="s">
        <v>7</v>
      </c>
      <c r="GQ494" s="27" t="s">
        <v>8</v>
      </c>
      <c r="GR494" s="27" t="s">
        <v>7</v>
      </c>
    </row>
    <row r="495" spans="1:200" x14ac:dyDescent="0.25">
      <c r="A495" s="7">
        <v>6.1832357046081956</v>
      </c>
      <c r="B495"/>
      <c r="C495"/>
      <c r="D495"/>
      <c r="E495" t="s">
        <v>8</v>
      </c>
      <c r="F495" s="27" t="s">
        <v>7</v>
      </c>
      <c r="G495" s="27" t="s">
        <v>8</v>
      </c>
      <c r="H495" s="27" t="s">
        <v>7</v>
      </c>
      <c r="K495" s="27" t="s">
        <v>8</v>
      </c>
      <c r="L495" s="27" t="s">
        <v>7</v>
      </c>
      <c r="AC495" s="27" t="s">
        <v>8</v>
      </c>
      <c r="AD495" s="27" t="s">
        <v>7</v>
      </c>
      <c r="AE495" s="27" t="s">
        <v>8</v>
      </c>
      <c r="AF495" s="27" t="s">
        <v>7</v>
      </c>
      <c r="AG495" s="27" t="s">
        <v>8</v>
      </c>
      <c r="AH495" s="27" t="s">
        <v>7</v>
      </c>
      <c r="AO495" s="27" t="s">
        <v>8</v>
      </c>
      <c r="AP495" s="27" t="s">
        <v>7</v>
      </c>
      <c r="AQ495" s="27" t="s">
        <v>8</v>
      </c>
      <c r="CH495" s="27" t="s">
        <v>7</v>
      </c>
      <c r="CI495" s="27" t="s">
        <v>8</v>
      </c>
      <c r="CJ495" s="27" t="s">
        <v>7</v>
      </c>
      <c r="CK495" s="27" t="s">
        <v>8</v>
      </c>
      <c r="CL495" s="27" t="s">
        <v>7</v>
      </c>
      <c r="CM495" s="27" t="s">
        <v>8</v>
      </c>
      <c r="CN495" s="27" t="s">
        <v>7</v>
      </c>
      <c r="CO495" s="27" t="s">
        <v>8</v>
      </c>
      <c r="CP495" s="27" t="s">
        <v>7</v>
      </c>
      <c r="CQ495" s="27" t="s">
        <v>8</v>
      </c>
      <c r="CR495" s="27" t="s">
        <v>7</v>
      </c>
      <c r="CS495" s="27" t="s">
        <v>8</v>
      </c>
      <c r="CU495" s="27" t="s">
        <v>8</v>
      </c>
      <c r="DY495" s="27" t="s">
        <v>8</v>
      </c>
      <c r="DZ495" s="27" t="s">
        <v>7</v>
      </c>
      <c r="EA495" s="27" t="s">
        <v>8</v>
      </c>
      <c r="EB495" s="27" t="s">
        <v>7</v>
      </c>
      <c r="EC495" s="27" t="s">
        <v>8</v>
      </c>
      <c r="ED495" s="27" t="s">
        <v>7</v>
      </c>
      <c r="EE495" s="27" t="s">
        <v>8</v>
      </c>
      <c r="EG495" s="27" t="s">
        <v>8</v>
      </c>
      <c r="EH495" s="27" t="s">
        <v>7</v>
      </c>
      <c r="EI495" s="27" t="s">
        <v>8</v>
      </c>
      <c r="EK495" s="27" t="s">
        <v>8</v>
      </c>
      <c r="EM495" s="27" t="s">
        <v>8</v>
      </c>
      <c r="EN495" s="27" t="s">
        <v>7</v>
      </c>
      <c r="EO495" s="27" t="s">
        <v>8</v>
      </c>
      <c r="FL495" s="27" t="s">
        <v>7</v>
      </c>
      <c r="FM495" s="27" t="s">
        <v>8</v>
      </c>
      <c r="FN495" s="27" t="s">
        <v>7</v>
      </c>
      <c r="FO495" s="27" t="s">
        <v>8</v>
      </c>
      <c r="FV495" s="27" t="s">
        <v>7</v>
      </c>
      <c r="FW495" s="27" t="s">
        <v>8</v>
      </c>
      <c r="FX495" s="27" t="s">
        <v>7</v>
      </c>
      <c r="GC495" s="27" t="s">
        <v>8</v>
      </c>
      <c r="GD495" s="27" t="s">
        <v>7</v>
      </c>
      <c r="GE495" s="27" t="s">
        <v>8</v>
      </c>
      <c r="GF495" s="27" t="s">
        <v>7</v>
      </c>
      <c r="GQ495" s="27" t="s">
        <v>8</v>
      </c>
      <c r="GR495" s="27" t="s">
        <v>7</v>
      </c>
    </row>
    <row r="496" spans="1:200" x14ac:dyDescent="0.25">
      <c r="A496" s="7">
        <v>6.0619957888315641</v>
      </c>
      <c r="B496"/>
      <c r="C496"/>
      <c r="D496"/>
      <c r="E496" t="s">
        <v>8</v>
      </c>
      <c r="F496" s="27" t="s">
        <v>7</v>
      </c>
      <c r="G496" s="27" t="s">
        <v>8</v>
      </c>
      <c r="H496" s="27" t="s">
        <v>7</v>
      </c>
      <c r="K496" s="27" t="s">
        <v>8</v>
      </c>
      <c r="L496" s="27" t="s">
        <v>7</v>
      </c>
      <c r="AC496" s="27" t="s">
        <v>8</v>
      </c>
      <c r="AD496" s="27" t="s">
        <v>7</v>
      </c>
      <c r="AE496" s="27" t="s">
        <v>8</v>
      </c>
      <c r="AF496" s="27" t="s">
        <v>7</v>
      </c>
      <c r="AG496" s="27" t="s">
        <v>8</v>
      </c>
      <c r="AH496" s="27" t="s">
        <v>7</v>
      </c>
      <c r="AO496" s="27" t="s">
        <v>8</v>
      </c>
      <c r="AP496" s="27" t="s">
        <v>7</v>
      </c>
      <c r="AQ496" s="27" t="s">
        <v>8</v>
      </c>
      <c r="CH496" s="27" t="s">
        <v>7</v>
      </c>
      <c r="CI496" s="27" t="s">
        <v>8</v>
      </c>
      <c r="CJ496" s="27" t="s">
        <v>7</v>
      </c>
      <c r="CK496" s="27" t="s">
        <v>8</v>
      </c>
      <c r="CL496" s="27" t="s">
        <v>7</v>
      </c>
      <c r="CM496" s="27" t="s">
        <v>8</v>
      </c>
      <c r="CN496" s="27" t="s">
        <v>7</v>
      </c>
      <c r="CO496" s="27" t="s">
        <v>8</v>
      </c>
      <c r="CP496" s="27" t="s">
        <v>7</v>
      </c>
      <c r="CQ496" s="27" t="s">
        <v>8</v>
      </c>
      <c r="CR496" s="27" t="s">
        <v>7</v>
      </c>
      <c r="CS496" s="27" t="s">
        <v>8</v>
      </c>
      <c r="CT496" s="27" t="s">
        <v>7</v>
      </c>
      <c r="CU496" s="27" t="s">
        <v>8</v>
      </c>
      <c r="CV496" s="27" t="s">
        <v>7</v>
      </c>
      <c r="DY496" s="27" t="s">
        <v>8</v>
      </c>
      <c r="DZ496" s="27" t="s">
        <v>7</v>
      </c>
      <c r="EA496" s="27" t="s">
        <v>8</v>
      </c>
      <c r="EB496" s="27" t="s">
        <v>7</v>
      </c>
      <c r="EC496" s="27" t="s">
        <v>8</v>
      </c>
      <c r="ED496" s="27" t="s">
        <v>7</v>
      </c>
      <c r="EE496" s="27" t="s">
        <v>8</v>
      </c>
      <c r="EF496" s="27" t="s">
        <v>7</v>
      </c>
      <c r="EG496" s="27" t="s">
        <v>8</v>
      </c>
      <c r="EH496" s="27" t="s">
        <v>7</v>
      </c>
      <c r="EI496" s="27" t="s">
        <v>8</v>
      </c>
      <c r="EJ496" s="27" t="s">
        <v>7</v>
      </c>
      <c r="EK496" s="27" t="s">
        <v>8</v>
      </c>
      <c r="EL496" s="27" t="s">
        <v>7</v>
      </c>
      <c r="EM496" s="27" t="s">
        <v>8</v>
      </c>
      <c r="EN496" s="27" t="s">
        <v>7</v>
      </c>
      <c r="EO496" s="27" t="s">
        <v>8</v>
      </c>
      <c r="FL496" s="27" t="s">
        <v>7</v>
      </c>
      <c r="FN496" s="27" t="s">
        <v>7</v>
      </c>
      <c r="FV496" s="27" t="s">
        <v>7</v>
      </c>
      <c r="FW496" s="27" t="s">
        <v>8</v>
      </c>
      <c r="FX496" s="27" t="s">
        <v>7</v>
      </c>
      <c r="GC496" s="27" t="s">
        <v>8</v>
      </c>
      <c r="GD496" s="27" t="s">
        <v>7</v>
      </c>
      <c r="GE496" s="27" t="s">
        <v>8</v>
      </c>
      <c r="GF496" s="27" t="s">
        <v>7</v>
      </c>
      <c r="GQ496" s="27" t="s">
        <v>8</v>
      </c>
      <c r="GR496" s="27" t="s">
        <v>7</v>
      </c>
    </row>
    <row r="497" spans="1:208" x14ac:dyDescent="0.25">
      <c r="A497" s="7">
        <v>5.9431331263054545</v>
      </c>
      <c r="B497"/>
      <c r="C497"/>
      <c r="D497"/>
      <c r="E497" t="s">
        <v>8</v>
      </c>
      <c r="F497" s="27" t="s">
        <v>7</v>
      </c>
      <c r="G497" s="27" t="s">
        <v>8</v>
      </c>
      <c r="H497" s="27" t="s">
        <v>7</v>
      </c>
      <c r="K497" s="27" t="s">
        <v>8</v>
      </c>
      <c r="L497" s="27" t="s">
        <v>7</v>
      </c>
      <c r="AC497" s="27" t="s">
        <v>8</v>
      </c>
      <c r="AD497" s="27" t="s">
        <v>7</v>
      </c>
      <c r="AE497" s="27" t="s">
        <v>8</v>
      </c>
      <c r="AF497" s="27" t="s">
        <v>7</v>
      </c>
      <c r="AG497" s="27" t="s">
        <v>8</v>
      </c>
      <c r="AH497" s="27" t="s">
        <v>7</v>
      </c>
      <c r="AO497" s="27" t="s">
        <v>8</v>
      </c>
      <c r="AP497" s="27" t="s">
        <v>7</v>
      </c>
      <c r="CH497" s="27" t="s">
        <v>7</v>
      </c>
      <c r="CI497" s="27" t="s">
        <v>8</v>
      </c>
      <c r="CJ497" s="27" t="s">
        <v>7</v>
      </c>
      <c r="CK497" s="27" t="s">
        <v>8</v>
      </c>
      <c r="CL497" s="27" t="s">
        <v>7</v>
      </c>
      <c r="CM497" s="27" t="s">
        <v>8</v>
      </c>
      <c r="CN497" s="27" t="s">
        <v>7</v>
      </c>
      <c r="CO497" s="27" t="s">
        <v>8</v>
      </c>
      <c r="CP497" s="27" t="s">
        <v>7</v>
      </c>
      <c r="CQ497" s="27" t="s">
        <v>8</v>
      </c>
      <c r="CR497" s="27" t="s">
        <v>7</v>
      </c>
      <c r="CS497" s="27" t="s">
        <v>8</v>
      </c>
      <c r="CT497" s="27" t="s">
        <v>7</v>
      </c>
      <c r="CU497" s="27" t="s">
        <v>8</v>
      </c>
      <c r="CV497" s="27" t="s">
        <v>7</v>
      </c>
      <c r="DY497" s="27" t="s">
        <v>8</v>
      </c>
      <c r="DZ497" s="27" t="s">
        <v>7</v>
      </c>
      <c r="EA497" s="27" t="s">
        <v>8</v>
      </c>
      <c r="EB497" s="27" t="s">
        <v>7</v>
      </c>
      <c r="ED497" s="27" t="s">
        <v>7</v>
      </c>
      <c r="EE497" s="27" t="s">
        <v>8</v>
      </c>
      <c r="EF497" s="27" t="s">
        <v>7</v>
      </c>
      <c r="EG497" s="27" t="s">
        <v>8</v>
      </c>
      <c r="EH497" s="27" t="s">
        <v>7</v>
      </c>
      <c r="EI497" s="27" t="s">
        <v>8</v>
      </c>
      <c r="EJ497" s="27" t="s">
        <v>7</v>
      </c>
      <c r="EK497" s="27" t="s">
        <v>8</v>
      </c>
      <c r="EL497" s="27" t="s">
        <v>7</v>
      </c>
      <c r="EM497" s="27" t="s">
        <v>8</v>
      </c>
      <c r="EN497" s="27" t="s">
        <v>7</v>
      </c>
      <c r="EO497" s="27" t="s">
        <v>8</v>
      </c>
      <c r="FV497" s="27" t="s">
        <v>7</v>
      </c>
      <c r="FW497" s="27" t="s">
        <v>8</v>
      </c>
      <c r="FX497" s="27" t="s">
        <v>7</v>
      </c>
      <c r="GC497" s="27" t="s">
        <v>8</v>
      </c>
      <c r="GD497" s="27" t="s">
        <v>7</v>
      </c>
      <c r="GE497" s="27" t="s">
        <v>8</v>
      </c>
      <c r="GF497" s="27" t="s">
        <v>7</v>
      </c>
      <c r="GQ497" s="27" t="s">
        <v>8</v>
      </c>
      <c r="GR497" s="27" t="s">
        <v>7</v>
      </c>
      <c r="GS497" s="27" t="s">
        <v>8</v>
      </c>
    </row>
    <row r="498" spans="1:208" x14ac:dyDescent="0.25">
      <c r="A498" s="7">
        <v>5.8266011042210337</v>
      </c>
      <c r="B498"/>
      <c r="C498"/>
      <c r="D498"/>
      <c r="E498" t="s">
        <v>8</v>
      </c>
      <c r="F498" s="27" t="s">
        <v>7</v>
      </c>
      <c r="G498" s="27" t="s">
        <v>8</v>
      </c>
      <c r="H498" s="27" t="s">
        <v>7</v>
      </c>
      <c r="K498" s="27" t="s">
        <v>8</v>
      </c>
      <c r="L498" s="27" t="s">
        <v>7</v>
      </c>
      <c r="AC498" s="27" t="s">
        <v>8</v>
      </c>
      <c r="AD498" s="27" t="s">
        <v>7</v>
      </c>
      <c r="AE498" s="27" t="s">
        <v>8</v>
      </c>
      <c r="AF498" s="27" t="s">
        <v>7</v>
      </c>
      <c r="AG498" s="27" t="s">
        <v>8</v>
      </c>
      <c r="AH498" s="27" t="s">
        <v>7</v>
      </c>
      <c r="AO498" s="27" t="s">
        <v>8</v>
      </c>
      <c r="CH498" s="27" t="s">
        <v>7</v>
      </c>
      <c r="CI498" s="27" t="s">
        <v>8</v>
      </c>
      <c r="CJ498" s="27" t="s">
        <v>7</v>
      </c>
      <c r="CK498" s="27" t="s">
        <v>8</v>
      </c>
      <c r="CL498" s="27" t="s">
        <v>7</v>
      </c>
      <c r="CM498" s="27" t="s">
        <v>8</v>
      </c>
      <c r="CN498" s="27" t="s">
        <v>7</v>
      </c>
      <c r="CO498" s="27" t="s">
        <v>8</v>
      </c>
      <c r="CP498" s="27" t="s">
        <v>7</v>
      </c>
      <c r="CQ498" s="27" t="s">
        <v>8</v>
      </c>
      <c r="CR498" s="27" t="s">
        <v>7</v>
      </c>
      <c r="CS498" s="27" t="s">
        <v>8</v>
      </c>
      <c r="CT498" s="27" t="s">
        <v>7</v>
      </c>
      <c r="CU498" s="27" t="s">
        <v>8</v>
      </c>
      <c r="CV498" s="27" t="s">
        <v>7</v>
      </c>
      <c r="DY498" s="27" t="s">
        <v>8</v>
      </c>
      <c r="DZ498" s="27" t="s">
        <v>7</v>
      </c>
      <c r="EA498" s="27" t="s">
        <v>8</v>
      </c>
      <c r="ED498" s="27" t="s">
        <v>7</v>
      </c>
      <c r="EE498" s="27" t="s">
        <v>8</v>
      </c>
      <c r="EF498" s="27" t="s">
        <v>7</v>
      </c>
      <c r="EH498" s="27" t="s">
        <v>7</v>
      </c>
      <c r="EI498" s="27" t="s">
        <v>8</v>
      </c>
      <c r="EJ498" s="27" t="s">
        <v>7</v>
      </c>
      <c r="EK498" s="27" t="s">
        <v>8</v>
      </c>
      <c r="EL498" s="27" t="s">
        <v>7</v>
      </c>
      <c r="EM498" s="27" t="s">
        <v>8</v>
      </c>
      <c r="EN498" s="27" t="s">
        <v>7</v>
      </c>
      <c r="EO498" s="27" t="s">
        <v>8</v>
      </c>
      <c r="FV498" s="27" t="s">
        <v>7</v>
      </c>
      <c r="FW498" s="27" t="s">
        <v>8</v>
      </c>
      <c r="FX498" s="27" t="s">
        <v>7</v>
      </c>
      <c r="GC498" s="27" t="s">
        <v>8</v>
      </c>
      <c r="GD498" s="27" t="s">
        <v>7</v>
      </c>
      <c r="GE498" s="27" t="s">
        <v>8</v>
      </c>
      <c r="GF498" s="27" t="s">
        <v>7</v>
      </c>
      <c r="GQ498" s="27" t="s">
        <v>8</v>
      </c>
      <c r="GR498" s="27" t="s">
        <v>7</v>
      </c>
      <c r="GS498" s="27" t="s">
        <v>8</v>
      </c>
      <c r="GT498" s="27" t="s">
        <v>7</v>
      </c>
    </row>
    <row r="499" spans="1:208" x14ac:dyDescent="0.25">
      <c r="A499" s="7">
        <v>5.7123540237461112</v>
      </c>
      <c r="B499"/>
      <c r="C499"/>
      <c r="D499"/>
      <c r="E499" t="s">
        <v>8</v>
      </c>
      <c r="F499" s="27" t="s">
        <v>7</v>
      </c>
      <c r="G499" s="27" t="s">
        <v>8</v>
      </c>
      <c r="H499" s="27" t="s">
        <v>7</v>
      </c>
      <c r="K499" s="27" t="s">
        <v>8</v>
      </c>
      <c r="L499" s="27" t="s">
        <v>7</v>
      </c>
      <c r="AC499" s="27" t="s">
        <v>8</v>
      </c>
      <c r="AD499" s="27" t="s">
        <v>7</v>
      </c>
      <c r="AE499" s="27" t="s">
        <v>8</v>
      </c>
      <c r="AF499" s="27" t="s">
        <v>7</v>
      </c>
      <c r="AG499" s="27" t="s">
        <v>8</v>
      </c>
      <c r="AH499" s="27" t="s">
        <v>7</v>
      </c>
      <c r="AI499" s="27" t="s">
        <v>8</v>
      </c>
      <c r="AO499" s="27" t="s">
        <v>8</v>
      </c>
      <c r="CH499" s="27" t="s">
        <v>7</v>
      </c>
      <c r="CI499" s="27" t="s">
        <v>8</v>
      </c>
      <c r="CJ499" s="27" t="s">
        <v>7</v>
      </c>
      <c r="CK499" s="27" t="s">
        <v>8</v>
      </c>
      <c r="CL499" s="27" t="s">
        <v>7</v>
      </c>
      <c r="CM499" s="27" t="s">
        <v>8</v>
      </c>
      <c r="CN499" s="27" t="s">
        <v>7</v>
      </c>
      <c r="CP499" s="27" t="s">
        <v>7</v>
      </c>
      <c r="CQ499" s="27" t="s">
        <v>8</v>
      </c>
      <c r="CR499" s="27" t="s">
        <v>7</v>
      </c>
      <c r="CS499" s="27" t="s">
        <v>8</v>
      </c>
      <c r="CT499" s="27" t="s">
        <v>7</v>
      </c>
      <c r="CU499" s="27" t="s">
        <v>8</v>
      </c>
      <c r="CV499" s="27" t="s">
        <v>7</v>
      </c>
      <c r="DY499" s="27" t="s">
        <v>8</v>
      </c>
      <c r="DZ499" s="27" t="s">
        <v>7</v>
      </c>
      <c r="ED499" s="27" t="s">
        <v>7</v>
      </c>
      <c r="EE499" s="27" t="s">
        <v>8</v>
      </c>
      <c r="EH499" s="27" t="s">
        <v>7</v>
      </c>
      <c r="EJ499" s="27" t="s">
        <v>7</v>
      </c>
      <c r="EL499" s="27" t="s">
        <v>7</v>
      </c>
      <c r="EM499" s="27" t="s">
        <v>8</v>
      </c>
      <c r="EN499" s="27" t="s">
        <v>7</v>
      </c>
      <c r="FV499" s="27" t="s">
        <v>7</v>
      </c>
      <c r="FW499" s="27" t="s">
        <v>8</v>
      </c>
      <c r="FX499" s="27" t="s">
        <v>7</v>
      </c>
      <c r="GC499" s="27" t="s">
        <v>8</v>
      </c>
      <c r="GD499" s="27" t="s">
        <v>7</v>
      </c>
      <c r="GE499" s="27" t="s">
        <v>8</v>
      </c>
      <c r="GF499" s="27" t="s">
        <v>7</v>
      </c>
      <c r="GQ499" s="27" t="s">
        <v>8</v>
      </c>
      <c r="GR499" s="27" t="s">
        <v>7</v>
      </c>
      <c r="GS499" s="27" t="s">
        <v>8</v>
      </c>
      <c r="GT499" s="27" t="s">
        <v>7</v>
      </c>
    </row>
    <row r="500" spans="1:208" x14ac:dyDescent="0.25">
      <c r="A500" s="7">
        <v>5.6003470821040304</v>
      </c>
      <c r="B500"/>
      <c r="C500"/>
      <c r="D500"/>
      <c r="E500" t="s">
        <v>8</v>
      </c>
      <c r="F500" s="27" t="s">
        <v>7</v>
      </c>
      <c r="G500" s="27" t="s">
        <v>8</v>
      </c>
      <c r="H500" s="27" t="s">
        <v>7</v>
      </c>
      <c r="K500" s="27" t="s">
        <v>8</v>
      </c>
      <c r="L500" s="27" t="s">
        <v>7</v>
      </c>
      <c r="AC500" s="27" t="s">
        <v>8</v>
      </c>
      <c r="AD500" s="27" t="s">
        <v>7</v>
      </c>
      <c r="AE500" s="27" t="s">
        <v>8</v>
      </c>
      <c r="AF500" s="27" t="s">
        <v>7</v>
      </c>
      <c r="AG500" s="27" t="s">
        <v>8</v>
      </c>
      <c r="AH500" s="27" t="s">
        <v>7</v>
      </c>
      <c r="AI500" s="27" t="s">
        <v>8</v>
      </c>
      <c r="AJ500" s="27" t="s">
        <v>7</v>
      </c>
      <c r="AO500" s="27" t="s">
        <v>8</v>
      </c>
      <c r="CH500" s="27" t="s">
        <v>7</v>
      </c>
      <c r="CI500" s="27" t="s">
        <v>8</v>
      </c>
      <c r="CJ500" s="27" t="s">
        <v>7</v>
      </c>
      <c r="CL500" s="27" t="s">
        <v>7</v>
      </c>
      <c r="CM500" s="27" t="s">
        <v>8</v>
      </c>
      <c r="CP500" s="27" t="s">
        <v>7</v>
      </c>
      <c r="CQ500" s="27" t="s">
        <v>8</v>
      </c>
      <c r="CR500" s="27" t="s">
        <v>7</v>
      </c>
      <c r="CS500" s="27" t="s">
        <v>8</v>
      </c>
      <c r="CT500" s="27" t="s">
        <v>7</v>
      </c>
      <c r="CU500" s="27" t="s">
        <v>8</v>
      </c>
      <c r="CV500" s="27" t="s">
        <v>7</v>
      </c>
      <c r="DY500" s="27" t="s">
        <v>8</v>
      </c>
      <c r="ED500" s="27" t="s">
        <v>7</v>
      </c>
      <c r="EL500" s="27" t="s">
        <v>7</v>
      </c>
      <c r="FV500" s="27" t="s">
        <v>7</v>
      </c>
      <c r="FX500" s="27" t="s">
        <v>7</v>
      </c>
      <c r="GC500" s="27" t="s">
        <v>8</v>
      </c>
      <c r="GD500" s="27" t="s">
        <v>7</v>
      </c>
      <c r="GE500" s="27" t="s">
        <v>8</v>
      </c>
      <c r="GF500" s="27" t="s">
        <v>7</v>
      </c>
      <c r="GQ500" s="27" t="s">
        <v>8</v>
      </c>
      <c r="GR500" s="27" t="s">
        <v>7</v>
      </c>
      <c r="GS500" s="27" t="s">
        <v>8</v>
      </c>
      <c r="GT500" s="27" t="s">
        <v>7</v>
      </c>
    </row>
    <row r="501" spans="1:208" x14ac:dyDescent="0.25">
      <c r="A501" s="7">
        <v>5.4905363550039512</v>
      </c>
      <c r="B501"/>
      <c r="C501"/>
      <c r="D501"/>
      <c r="E501" t="s">
        <v>8</v>
      </c>
      <c r="F501" s="27" t="s">
        <v>7</v>
      </c>
      <c r="G501" s="27" t="s">
        <v>8</v>
      </c>
      <c r="H501" s="27" t="s">
        <v>7</v>
      </c>
      <c r="K501" s="27" t="s">
        <v>8</v>
      </c>
      <c r="L501" s="27" t="s">
        <v>7</v>
      </c>
      <c r="AC501" s="27" t="s">
        <v>8</v>
      </c>
      <c r="AD501" s="27" t="s">
        <v>7</v>
      </c>
      <c r="AE501" s="27" t="s">
        <v>8</v>
      </c>
      <c r="AF501" s="27" t="s">
        <v>7</v>
      </c>
      <c r="AG501" s="27" t="s">
        <v>8</v>
      </c>
      <c r="AH501" s="27" t="s">
        <v>7</v>
      </c>
      <c r="AI501" s="27" t="s">
        <v>8</v>
      </c>
      <c r="AJ501" s="27" t="s">
        <v>7</v>
      </c>
      <c r="AO501" s="27" t="s">
        <v>8</v>
      </c>
      <c r="CH501" s="27" t="s">
        <v>7</v>
      </c>
      <c r="CI501" s="27" t="s">
        <v>8</v>
      </c>
      <c r="CL501" s="27" t="s">
        <v>7</v>
      </c>
      <c r="CM501" s="27" t="s">
        <v>8</v>
      </c>
      <c r="CP501" s="27" t="s">
        <v>7</v>
      </c>
      <c r="CQ501" s="27" t="s">
        <v>8</v>
      </c>
      <c r="CR501" s="27" t="s">
        <v>7</v>
      </c>
      <c r="CS501" s="27" t="s">
        <v>8</v>
      </c>
      <c r="CT501" s="27" t="s">
        <v>7</v>
      </c>
      <c r="CU501" s="27" t="s">
        <v>8</v>
      </c>
      <c r="CV501" s="27" t="s">
        <v>7</v>
      </c>
      <c r="DY501" s="27" t="s">
        <v>8</v>
      </c>
      <c r="FX501" s="27" t="s">
        <v>7</v>
      </c>
      <c r="FY501" s="27" t="s">
        <v>8</v>
      </c>
      <c r="GC501" s="27" t="s">
        <v>8</v>
      </c>
      <c r="GD501" s="27" t="s">
        <v>7</v>
      </c>
      <c r="GE501" s="27" t="s">
        <v>8</v>
      </c>
      <c r="GF501" s="27" t="s">
        <v>7</v>
      </c>
      <c r="GQ501" s="27" t="s">
        <v>8</v>
      </c>
      <c r="GR501" s="27" t="s">
        <v>7</v>
      </c>
      <c r="GS501" s="27" t="s">
        <v>8</v>
      </c>
      <c r="GT501" s="27" t="s">
        <v>7</v>
      </c>
    </row>
    <row r="502" spans="1:208" x14ac:dyDescent="0.25">
      <c r="A502" s="7">
        <v>5.3828787794156385</v>
      </c>
      <c r="B502"/>
      <c r="C502"/>
      <c r="D502"/>
      <c r="E502" t="s">
        <v>8</v>
      </c>
      <c r="F502" s="27" t="s">
        <v>7</v>
      </c>
      <c r="G502" s="27" t="s">
        <v>8</v>
      </c>
      <c r="H502" s="27" t="s">
        <v>7</v>
      </c>
      <c r="K502" s="27" t="s">
        <v>8</v>
      </c>
      <c r="L502" s="27" t="s">
        <v>7</v>
      </c>
      <c r="AC502" s="27" t="s">
        <v>8</v>
      </c>
      <c r="AD502" s="27" t="s">
        <v>7</v>
      </c>
      <c r="AE502" s="27" t="s">
        <v>8</v>
      </c>
      <c r="AF502" s="27" t="s">
        <v>7</v>
      </c>
      <c r="AH502" s="27" t="s">
        <v>7</v>
      </c>
      <c r="AI502" s="27" t="s">
        <v>8</v>
      </c>
      <c r="AJ502" s="27" t="s">
        <v>7</v>
      </c>
      <c r="AO502" s="27" t="s">
        <v>8</v>
      </c>
      <c r="CH502" s="27" t="s">
        <v>7</v>
      </c>
      <c r="CI502" s="27" t="s">
        <v>8</v>
      </c>
      <c r="CL502" s="27" t="s">
        <v>7</v>
      </c>
      <c r="CM502" s="27" t="s">
        <v>8</v>
      </c>
      <c r="CP502" s="27" t="s">
        <v>7</v>
      </c>
      <c r="CQ502" s="27" t="s">
        <v>8</v>
      </c>
      <c r="CR502" s="27" t="s">
        <v>7</v>
      </c>
      <c r="CS502" s="27" t="s">
        <v>8</v>
      </c>
      <c r="CT502" s="27" t="s">
        <v>7</v>
      </c>
      <c r="CV502" s="27" t="s">
        <v>7</v>
      </c>
      <c r="DW502" s="27" t="s">
        <v>8</v>
      </c>
      <c r="DY502" s="27" t="s">
        <v>8</v>
      </c>
      <c r="FX502" s="27" t="s">
        <v>7</v>
      </c>
      <c r="FY502" s="27" t="s">
        <v>8</v>
      </c>
      <c r="FZ502" s="27" t="s">
        <v>7</v>
      </c>
      <c r="GC502" s="27" t="s">
        <v>8</v>
      </c>
      <c r="GD502" s="27" t="s">
        <v>7</v>
      </c>
      <c r="GE502" s="27" t="s">
        <v>8</v>
      </c>
      <c r="GF502" s="27" t="s">
        <v>7</v>
      </c>
      <c r="GQ502" s="27" t="s">
        <v>8</v>
      </c>
      <c r="GR502" s="27" t="s">
        <v>7</v>
      </c>
      <c r="GS502" s="27" t="s">
        <v>8</v>
      </c>
      <c r="GT502" s="27" t="s">
        <v>7</v>
      </c>
    </row>
    <row r="503" spans="1:208" x14ac:dyDescent="0.25">
      <c r="A503" s="7">
        <v>5.2773321366819985</v>
      </c>
      <c r="B503"/>
      <c r="C503"/>
      <c r="D503"/>
      <c r="E503" t="s">
        <v>8</v>
      </c>
      <c r="F503" s="27" t="s">
        <v>7</v>
      </c>
      <c r="G503" s="27" t="s">
        <v>8</v>
      </c>
      <c r="H503" s="27" t="s">
        <v>7</v>
      </c>
      <c r="K503" s="27" t="s">
        <v>8</v>
      </c>
      <c r="L503" s="27" t="s">
        <v>7</v>
      </c>
      <c r="AC503" s="27" t="s">
        <v>8</v>
      </c>
      <c r="AD503" s="27" t="s">
        <v>7</v>
      </c>
      <c r="AE503" s="27" t="s">
        <v>8</v>
      </c>
      <c r="AH503" s="27" t="s">
        <v>7</v>
      </c>
      <c r="AI503" s="27" t="s">
        <v>8</v>
      </c>
      <c r="AJ503" s="27" t="s">
        <v>7</v>
      </c>
      <c r="AK503" s="27" t="s">
        <v>8</v>
      </c>
      <c r="AO503" s="27" t="s">
        <v>8</v>
      </c>
      <c r="CH503" s="27" t="s">
        <v>7</v>
      </c>
      <c r="CI503" s="27" t="s">
        <v>8</v>
      </c>
      <c r="CL503" s="27" t="s">
        <v>7</v>
      </c>
      <c r="CP503" s="27" t="s">
        <v>7</v>
      </c>
      <c r="CQ503" s="27" t="s">
        <v>8</v>
      </c>
      <c r="CR503" s="27" t="s">
        <v>7</v>
      </c>
      <c r="CS503" s="27" t="s">
        <v>8</v>
      </c>
      <c r="CV503" s="27" t="s">
        <v>7</v>
      </c>
      <c r="DU503" s="27" t="s">
        <v>8</v>
      </c>
      <c r="DW503" s="27" t="s">
        <v>8</v>
      </c>
      <c r="DX503" s="27" t="s">
        <v>7</v>
      </c>
      <c r="DY503" s="27" t="s">
        <v>8</v>
      </c>
      <c r="FX503" s="27" t="s">
        <v>7</v>
      </c>
      <c r="FY503" s="27" t="s">
        <v>8</v>
      </c>
      <c r="FZ503" s="27" t="s">
        <v>7</v>
      </c>
      <c r="GA503" s="27" t="s">
        <v>8</v>
      </c>
      <c r="GC503" s="27" t="s">
        <v>8</v>
      </c>
      <c r="GD503" s="27" t="s">
        <v>7</v>
      </c>
      <c r="GE503" s="27" t="s">
        <v>8</v>
      </c>
      <c r="GF503" s="27" t="s">
        <v>7</v>
      </c>
      <c r="GQ503" s="27" t="s">
        <v>8</v>
      </c>
      <c r="GR503" s="27" t="s">
        <v>7</v>
      </c>
      <c r="GS503" s="27" t="s">
        <v>8</v>
      </c>
      <c r="GT503" s="27" t="s">
        <v>7</v>
      </c>
    </row>
    <row r="504" spans="1:208" x14ac:dyDescent="0.25">
      <c r="A504" s="7">
        <v>5.1738550359627435</v>
      </c>
      <c r="B504"/>
      <c r="C504"/>
      <c r="D504"/>
      <c r="E504" t="s">
        <v>8</v>
      </c>
      <c r="F504" s="27" t="s">
        <v>7</v>
      </c>
      <c r="H504" s="27" t="s">
        <v>7</v>
      </c>
      <c r="K504" s="27" t="s">
        <v>8</v>
      </c>
      <c r="L504" s="27" t="s">
        <v>7</v>
      </c>
      <c r="AC504" s="27" t="s">
        <v>8</v>
      </c>
      <c r="AD504" s="27" t="s">
        <v>7</v>
      </c>
      <c r="AH504" s="27" t="s">
        <v>7</v>
      </c>
      <c r="AI504" s="27" t="s">
        <v>8</v>
      </c>
      <c r="AJ504" s="27" t="s">
        <v>7</v>
      </c>
      <c r="AK504" s="27" t="s">
        <v>8</v>
      </c>
      <c r="AL504" s="27" t="s">
        <v>7</v>
      </c>
      <c r="AM504" s="27" t="s">
        <v>8</v>
      </c>
      <c r="AO504" s="27" t="s">
        <v>8</v>
      </c>
      <c r="CH504" s="27" t="s">
        <v>7</v>
      </c>
      <c r="CI504" s="27" t="s">
        <v>8</v>
      </c>
      <c r="CP504" s="27" t="s">
        <v>7</v>
      </c>
      <c r="CQ504" s="27" t="s">
        <v>8</v>
      </c>
      <c r="CR504" s="27" t="s">
        <v>7</v>
      </c>
      <c r="CS504" s="27" t="s">
        <v>8</v>
      </c>
      <c r="CV504" s="27" t="s">
        <v>7</v>
      </c>
      <c r="DU504" s="27" t="s">
        <v>8</v>
      </c>
      <c r="DV504" s="27" t="s">
        <v>7</v>
      </c>
      <c r="DW504" s="27" t="s">
        <v>8</v>
      </c>
      <c r="DX504" s="27" t="s">
        <v>7</v>
      </c>
      <c r="DY504" s="27" t="s">
        <v>8</v>
      </c>
      <c r="FX504" s="27" t="s">
        <v>7</v>
      </c>
      <c r="FY504" s="27" t="s">
        <v>8</v>
      </c>
      <c r="FZ504" s="27" t="s">
        <v>7</v>
      </c>
      <c r="GA504" s="27" t="s">
        <v>8</v>
      </c>
      <c r="GB504" s="27" t="s">
        <v>7</v>
      </c>
      <c r="GC504" s="27" t="s">
        <v>8</v>
      </c>
      <c r="GD504" s="27" t="s">
        <v>7</v>
      </c>
      <c r="GE504" s="27" t="s">
        <v>8</v>
      </c>
      <c r="GF504" s="27" t="s">
        <v>7</v>
      </c>
      <c r="GQ504" s="27" t="s">
        <v>8</v>
      </c>
      <c r="GR504" s="27" t="s">
        <v>7</v>
      </c>
      <c r="GS504" s="27" t="s">
        <v>8</v>
      </c>
      <c r="GT504" s="27" t="s">
        <v>7</v>
      </c>
    </row>
    <row r="505" spans="1:208" x14ac:dyDescent="0.25">
      <c r="A505" s="7">
        <v>5.07240689800269</v>
      </c>
      <c r="B505"/>
      <c r="C505"/>
      <c r="D505"/>
      <c r="E505" t="s">
        <v>8</v>
      </c>
      <c r="H505" s="27" t="s">
        <v>7</v>
      </c>
      <c r="K505" s="27" t="s">
        <v>8</v>
      </c>
      <c r="L505" s="27" t="s">
        <v>7</v>
      </c>
      <c r="M505" s="27" t="s">
        <v>8</v>
      </c>
      <c r="AC505" s="27" t="s">
        <v>8</v>
      </c>
      <c r="AH505" s="27" t="s">
        <v>7</v>
      </c>
      <c r="AI505" s="27" t="s">
        <v>8</v>
      </c>
      <c r="AJ505" s="27" t="s">
        <v>7</v>
      </c>
      <c r="AK505" s="27" t="s">
        <v>8</v>
      </c>
      <c r="AL505" s="27" t="s">
        <v>7</v>
      </c>
      <c r="AM505" s="27" t="s">
        <v>8</v>
      </c>
      <c r="AN505" s="27" t="s">
        <v>7</v>
      </c>
      <c r="AO505" s="27" t="s">
        <v>8</v>
      </c>
      <c r="CH505" s="27" t="s">
        <v>7</v>
      </c>
      <c r="CI505" s="27" t="s">
        <v>8</v>
      </c>
      <c r="CP505" s="27" t="s">
        <v>7</v>
      </c>
      <c r="CQ505" s="27" t="s">
        <v>8</v>
      </c>
      <c r="CR505" s="27" t="s">
        <v>7</v>
      </c>
      <c r="CV505" s="27" t="s">
        <v>7</v>
      </c>
      <c r="DU505" s="27" t="s">
        <v>8</v>
      </c>
      <c r="DV505" s="27" t="s">
        <v>7</v>
      </c>
      <c r="DW505" s="27" t="s">
        <v>8</v>
      </c>
      <c r="DX505" s="27" t="s">
        <v>7</v>
      </c>
      <c r="DY505" s="27" t="s">
        <v>8</v>
      </c>
      <c r="FX505" s="27" t="s">
        <v>7</v>
      </c>
      <c r="FY505" s="27" t="s">
        <v>8</v>
      </c>
      <c r="FZ505" s="27" t="s">
        <v>7</v>
      </c>
      <c r="GA505" s="27" t="s">
        <v>8</v>
      </c>
      <c r="GB505" s="27" t="s">
        <v>7</v>
      </c>
      <c r="GC505" s="27" t="s">
        <v>8</v>
      </c>
      <c r="GD505" s="27" t="s">
        <v>7</v>
      </c>
      <c r="GE505" s="27" t="s">
        <v>8</v>
      </c>
      <c r="GF505" s="27" t="s">
        <v>7</v>
      </c>
      <c r="GQ505" s="27" t="s">
        <v>8</v>
      </c>
      <c r="GR505" s="27" t="s">
        <v>7</v>
      </c>
      <c r="GS505" s="27" t="s">
        <v>8</v>
      </c>
      <c r="GT505" s="27" t="s">
        <v>7</v>
      </c>
    </row>
    <row r="506" spans="1:208" x14ac:dyDescent="0.25">
      <c r="A506" s="7">
        <v>4.9729479392183231</v>
      </c>
      <c r="B506"/>
      <c r="C506"/>
      <c r="D506"/>
      <c r="E506" t="s">
        <v>8</v>
      </c>
      <c r="H506" s="27" t="s">
        <v>7</v>
      </c>
      <c r="K506" s="27" t="s">
        <v>8</v>
      </c>
      <c r="L506" s="27" t="s">
        <v>7</v>
      </c>
      <c r="M506" s="27" t="s">
        <v>8</v>
      </c>
      <c r="N506" s="27" t="s">
        <v>7</v>
      </c>
      <c r="Q506" s="27" t="s">
        <v>8</v>
      </c>
      <c r="AA506" s="27" t="s">
        <v>8</v>
      </c>
      <c r="AC506" s="27" t="s">
        <v>8</v>
      </c>
      <c r="AH506" s="27" t="s">
        <v>7</v>
      </c>
      <c r="AI506" s="27" t="s">
        <v>8</v>
      </c>
      <c r="AJ506" s="27" t="s">
        <v>7</v>
      </c>
      <c r="AK506" s="27" t="s">
        <v>8</v>
      </c>
      <c r="AL506" s="27" t="s">
        <v>7</v>
      </c>
      <c r="AM506" s="27" t="s">
        <v>8</v>
      </c>
      <c r="AN506" s="27" t="s">
        <v>7</v>
      </c>
      <c r="AO506" s="27" t="s">
        <v>8</v>
      </c>
      <c r="CH506" s="27" t="s">
        <v>7</v>
      </c>
      <c r="CI506" s="27" t="s">
        <v>8</v>
      </c>
      <c r="CP506" s="27" t="s">
        <v>7</v>
      </c>
      <c r="CQ506" s="27" t="s">
        <v>8</v>
      </c>
      <c r="CV506" s="27" t="s">
        <v>7</v>
      </c>
      <c r="DI506" s="27" t="s">
        <v>8</v>
      </c>
      <c r="DU506" s="27" t="s">
        <v>8</v>
      </c>
      <c r="DV506" s="27" t="s">
        <v>7</v>
      </c>
      <c r="DW506" s="27" t="s">
        <v>8</v>
      </c>
      <c r="DX506" s="27" t="s">
        <v>7</v>
      </c>
      <c r="DY506" s="27" t="s">
        <v>8</v>
      </c>
      <c r="FX506" s="27" t="s">
        <v>7</v>
      </c>
      <c r="FZ506" s="27" t="s">
        <v>7</v>
      </c>
      <c r="GB506" s="27" t="s">
        <v>7</v>
      </c>
      <c r="GD506" s="27" t="s">
        <v>7</v>
      </c>
      <c r="GE506" s="27" t="s">
        <v>8</v>
      </c>
      <c r="GF506" s="27" t="s">
        <v>7</v>
      </c>
      <c r="GI506" s="27" t="s">
        <v>8</v>
      </c>
      <c r="GO506" s="27" t="s">
        <v>8</v>
      </c>
      <c r="GQ506" s="27" t="s">
        <v>8</v>
      </c>
      <c r="GR506" s="27" t="s">
        <v>7</v>
      </c>
      <c r="GS506" s="27" t="s">
        <v>8</v>
      </c>
      <c r="GT506" s="27" t="s">
        <v>7</v>
      </c>
      <c r="GU506" s="27" t="s">
        <v>8</v>
      </c>
    </row>
    <row r="507" spans="1:208" x14ac:dyDescent="0.25">
      <c r="A507" s="7">
        <v>4.8754391560963954</v>
      </c>
      <c r="B507"/>
      <c r="C507"/>
      <c r="D507"/>
      <c r="E507" t="s">
        <v>8</v>
      </c>
      <c r="H507" s="27" t="s">
        <v>7</v>
      </c>
      <c r="K507" s="27" t="s">
        <v>8</v>
      </c>
      <c r="L507" s="27" t="s">
        <v>7</v>
      </c>
      <c r="M507" s="27" t="s">
        <v>8</v>
      </c>
      <c r="N507" s="27" t="s">
        <v>7</v>
      </c>
      <c r="Q507" s="27" t="s">
        <v>8</v>
      </c>
      <c r="R507" s="27" t="s">
        <v>7</v>
      </c>
      <c r="AA507" s="27" t="s">
        <v>8</v>
      </c>
      <c r="AB507" s="27" t="s">
        <v>7</v>
      </c>
      <c r="AC507" s="27" t="s">
        <v>8</v>
      </c>
      <c r="AH507" s="27" t="s">
        <v>7</v>
      </c>
      <c r="AI507" s="27" t="s">
        <v>8</v>
      </c>
      <c r="AJ507" s="27" t="s">
        <v>7</v>
      </c>
      <c r="AK507" s="27" t="s">
        <v>8</v>
      </c>
      <c r="AL507" s="27" t="s">
        <v>7</v>
      </c>
      <c r="AM507" s="27" t="s">
        <v>8</v>
      </c>
      <c r="AN507" s="27" t="s">
        <v>7</v>
      </c>
      <c r="AO507" s="27" t="s">
        <v>8</v>
      </c>
      <c r="CH507" s="27" t="s">
        <v>7</v>
      </c>
      <c r="CI507" s="27" t="s">
        <v>8</v>
      </c>
      <c r="CP507" s="27" t="s">
        <v>7</v>
      </c>
      <c r="CQ507" s="27" t="s">
        <v>8</v>
      </c>
      <c r="CV507" s="27" t="s">
        <v>7</v>
      </c>
      <c r="DI507" s="27" t="s">
        <v>8</v>
      </c>
      <c r="DJ507" s="27" t="s">
        <v>7</v>
      </c>
      <c r="DU507" s="27" t="s">
        <v>8</v>
      </c>
      <c r="DV507" s="27" t="s">
        <v>7</v>
      </c>
      <c r="DX507" s="27" t="s">
        <v>7</v>
      </c>
      <c r="GD507" s="27" t="s">
        <v>7</v>
      </c>
      <c r="GE507" s="27" t="s">
        <v>8</v>
      </c>
      <c r="GF507" s="27" t="s">
        <v>7</v>
      </c>
      <c r="GI507" s="27" t="s">
        <v>8</v>
      </c>
      <c r="GJ507" s="27" t="s">
        <v>7</v>
      </c>
      <c r="GO507" s="27" t="s">
        <v>8</v>
      </c>
      <c r="GP507" s="27" t="s">
        <v>7</v>
      </c>
      <c r="GQ507" s="27" t="s">
        <v>8</v>
      </c>
      <c r="GR507" s="27" t="s">
        <v>7</v>
      </c>
      <c r="GS507" s="27" t="s">
        <v>8</v>
      </c>
      <c r="GT507" s="27" t="s">
        <v>7</v>
      </c>
      <c r="GU507" s="27" t="s">
        <v>8</v>
      </c>
      <c r="GV507" s="27" t="s">
        <v>7</v>
      </c>
    </row>
    <row r="508" spans="1:208" x14ac:dyDescent="0.25">
      <c r="A508" s="7">
        <v>4.7798423098984264</v>
      </c>
      <c r="B508"/>
      <c r="C508"/>
      <c r="D508"/>
      <c r="E508" t="s">
        <v>8</v>
      </c>
      <c r="H508" s="27" t="s">
        <v>7</v>
      </c>
      <c r="K508" s="27" t="s">
        <v>8</v>
      </c>
      <c r="L508" s="27" t="s">
        <v>7</v>
      </c>
      <c r="M508" s="27" t="s">
        <v>8</v>
      </c>
      <c r="N508" s="27" t="s">
        <v>7</v>
      </c>
      <c r="Q508" s="27" t="s">
        <v>8</v>
      </c>
      <c r="R508" s="27" t="s">
        <v>7</v>
      </c>
      <c r="AA508" s="27" t="s">
        <v>8</v>
      </c>
      <c r="AB508" s="27" t="s">
        <v>7</v>
      </c>
      <c r="AC508" s="27" t="s">
        <v>8</v>
      </c>
      <c r="AH508" s="27" t="s">
        <v>7</v>
      </c>
      <c r="AI508" s="27" t="s">
        <v>8</v>
      </c>
      <c r="AJ508" s="27" t="s">
        <v>7</v>
      </c>
      <c r="AK508" s="27" t="s">
        <v>8</v>
      </c>
      <c r="AL508" s="27" t="s">
        <v>7</v>
      </c>
      <c r="AM508" s="27" t="s">
        <v>8</v>
      </c>
      <c r="AN508" s="27" t="s">
        <v>7</v>
      </c>
      <c r="AO508" s="27" t="s">
        <v>8</v>
      </c>
      <c r="CH508" s="27" t="s">
        <v>7</v>
      </c>
      <c r="CI508" s="27" t="s">
        <v>8</v>
      </c>
      <c r="CP508" s="27" t="s">
        <v>7</v>
      </c>
      <c r="CQ508" s="27" t="s">
        <v>8</v>
      </c>
      <c r="CV508" s="27" t="s">
        <v>7</v>
      </c>
      <c r="DI508" s="27" t="s">
        <v>8</v>
      </c>
      <c r="DJ508" s="27" t="s">
        <v>7</v>
      </c>
      <c r="DU508" s="27" t="s">
        <v>8</v>
      </c>
      <c r="GD508" s="27" t="s">
        <v>7</v>
      </c>
      <c r="GE508" s="27" t="s">
        <v>8</v>
      </c>
      <c r="GF508" s="27" t="s">
        <v>7</v>
      </c>
      <c r="GI508" s="27" t="s">
        <v>8</v>
      </c>
      <c r="GJ508" s="27" t="s">
        <v>7</v>
      </c>
      <c r="GO508" s="27" t="s">
        <v>8</v>
      </c>
      <c r="GP508" s="27" t="s">
        <v>7</v>
      </c>
      <c r="GQ508" s="27" t="s">
        <v>8</v>
      </c>
      <c r="GR508" s="27" t="s">
        <v>7</v>
      </c>
      <c r="GS508" s="27" t="s">
        <v>8</v>
      </c>
      <c r="GT508" s="27" t="s">
        <v>7</v>
      </c>
      <c r="GU508" s="27" t="s">
        <v>8</v>
      </c>
      <c r="GV508" s="27" t="s">
        <v>7</v>
      </c>
    </row>
    <row r="509" spans="1:208" x14ac:dyDescent="0.25">
      <c r="A509" s="7">
        <v>4.6861199116651235</v>
      </c>
      <c r="B509"/>
      <c r="C509"/>
      <c r="D509"/>
      <c r="E509" t="s">
        <v>8</v>
      </c>
      <c r="H509" s="27" t="s">
        <v>7</v>
      </c>
      <c r="K509" s="27" t="s">
        <v>8</v>
      </c>
      <c r="L509" s="27" t="s">
        <v>7</v>
      </c>
      <c r="M509" s="27" t="s">
        <v>8</v>
      </c>
      <c r="N509" s="27" t="s">
        <v>7</v>
      </c>
      <c r="Q509" s="27" t="s">
        <v>8</v>
      </c>
      <c r="R509" s="27" t="s">
        <v>7</v>
      </c>
      <c r="AA509" s="27" t="s">
        <v>8</v>
      </c>
      <c r="AB509" s="27" t="s">
        <v>7</v>
      </c>
      <c r="AC509" s="27" t="s">
        <v>8</v>
      </c>
      <c r="AH509" s="27" t="s">
        <v>7</v>
      </c>
      <c r="AI509" s="27" t="s">
        <v>8</v>
      </c>
      <c r="AJ509" s="27" t="s">
        <v>7</v>
      </c>
      <c r="AK509" s="27" t="s">
        <v>8</v>
      </c>
      <c r="AL509" s="27" t="s">
        <v>7</v>
      </c>
      <c r="AM509" s="27" t="s">
        <v>8</v>
      </c>
      <c r="AN509" s="27" t="s">
        <v>7</v>
      </c>
      <c r="AO509" s="27" t="s">
        <v>8</v>
      </c>
      <c r="CH509" s="27" t="s">
        <v>7</v>
      </c>
      <c r="CI509" s="27" t="s">
        <v>8</v>
      </c>
      <c r="CP509" s="27" t="s">
        <v>7</v>
      </c>
      <c r="CQ509" s="27" t="s">
        <v>8</v>
      </c>
      <c r="CV509" s="27" t="s">
        <v>7</v>
      </c>
      <c r="DI509" s="27" t="s">
        <v>8</v>
      </c>
      <c r="DJ509" s="27" t="s">
        <v>7</v>
      </c>
      <c r="DO509" s="27" t="s">
        <v>8</v>
      </c>
      <c r="DS509" s="27" t="s">
        <v>8</v>
      </c>
      <c r="DU509" s="27" t="s">
        <v>8</v>
      </c>
      <c r="GD509" s="27" t="s">
        <v>7</v>
      </c>
      <c r="GE509" s="27" t="s">
        <v>8</v>
      </c>
      <c r="GF509" s="27" t="s">
        <v>7</v>
      </c>
      <c r="GG509" s="27" t="s">
        <v>8</v>
      </c>
      <c r="GI509" s="27" t="s">
        <v>8</v>
      </c>
      <c r="GJ509" s="27" t="s">
        <v>7</v>
      </c>
      <c r="GO509" s="27" t="s">
        <v>8</v>
      </c>
      <c r="GP509" s="27" t="s">
        <v>7</v>
      </c>
      <c r="GQ509" s="27" t="s">
        <v>8</v>
      </c>
      <c r="GR509" s="27" t="s">
        <v>7</v>
      </c>
      <c r="GS509" s="27" t="s">
        <v>8</v>
      </c>
      <c r="GT509" s="27" t="s">
        <v>7</v>
      </c>
      <c r="GV509" s="27" t="s">
        <v>7</v>
      </c>
    </row>
    <row r="510" spans="1:208" x14ac:dyDescent="0.25">
      <c r="A510" s="7">
        <v>4.5942352075148269</v>
      </c>
      <c r="B510"/>
      <c r="C510"/>
      <c r="D510"/>
      <c r="E510" t="s">
        <v>8</v>
      </c>
      <c r="H510" s="27" t="s">
        <v>7</v>
      </c>
      <c r="I510" s="27" t="s">
        <v>8</v>
      </c>
      <c r="K510" s="27" t="s">
        <v>8</v>
      </c>
      <c r="L510" s="27" t="s">
        <v>7</v>
      </c>
      <c r="M510" s="27" t="s">
        <v>8</v>
      </c>
      <c r="N510" s="27" t="s">
        <v>7</v>
      </c>
      <c r="Q510" s="27" t="s">
        <v>8</v>
      </c>
      <c r="R510" s="27" t="s">
        <v>7</v>
      </c>
      <c r="AA510" s="27" t="s">
        <v>8</v>
      </c>
      <c r="AB510" s="27" t="s">
        <v>7</v>
      </c>
      <c r="AC510" s="27" t="s">
        <v>8</v>
      </c>
      <c r="AH510" s="27" t="s">
        <v>7</v>
      </c>
      <c r="AI510" s="27" t="s">
        <v>8</v>
      </c>
      <c r="AJ510" s="27" t="s">
        <v>7</v>
      </c>
      <c r="AK510" s="27" t="s">
        <v>8</v>
      </c>
      <c r="AL510" s="27" t="s">
        <v>7</v>
      </c>
      <c r="AM510" s="27" t="s">
        <v>8</v>
      </c>
      <c r="AN510" s="27" t="s">
        <v>7</v>
      </c>
      <c r="AO510" s="27" t="s">
        <v>8</v>
      </c>
      <c r="CH510" s="27" t="s">
        <v>7</v>
      </c>
      <c r="CI510" s="27" t="s">
        <v>8</v>
      </c>
      <c r="CP510" s="27" t="s">
        <v>7</v>
      </c>
      <c r="CQ510" s="27" t="s">
        <v>8</v>
      </c>
      <c r="CV510" s="27" t="s">
        <v>7</v>
      </c>
      <c r="DI510" s="27" t="s">
        <v>8</v>
      </c>
      <c r="DJ510" s="27" t="s">
        <v>7</v>
      </c>
      <c r="DM510" s="27" t="s">
        <v>8</v>
      </c>
      <c r="DO510" s="27" t="s">
        <v>8</v>
      </c>
      <c r="DP510" s="27" t="s">
        <v>7</v>
      </c>
      <c r="DQ510" s="27" t="s">
        <v>8</v>
      </c>
      <c r="DS510" s="27" t="s">
        <v>8</v>
      </c>
      <c r="DT510" s="27" t="s">
        <v>7</v>
      </c>
      <c r="DU510" s="27" t="s">
        <v>8</v>
      </c>
      <c r="GD510" s="27" t="s">
        <v>7</v>
      </c>
      <c r="GE510" s="27" t="s">
        <v>8</v>
      </c>
      <c r="GF510" s="27" t="s">
        <v>7</v>
      </c>
      <c r="GG510" s="27" t="s">
        <v>8</v>
      </c>
      <c r="GH510" s="27" t="s">
        <v>7</v>
      </c>
      <c r="GI510" s="27" t="s">
        <v>8</v>
      </c>
      <c r="GJ510" s="27" t="s">
        <v>7</v>
      </c>
      <c r="GO510" s="27" t="s">
        <v>8</v>
      </c>
      <c r="GP510" s="27" t="s">
        <v>7</v>
      </c>
      <c r="GQ510" s="27" t="s">
        <v>8</v>
      </c>
      <c r="GR510" s="27" t="s">
        <v>7</v>
      </c>
      <c r="GS510" s="27" t="s">
        <v>8</v>
      </c>
      <c r="GV510" s="27" t="s">
        <v>7</v>
      </c>
      <c r="GW510" s="27" t="s">
        <v>8</v>
      </c>
    </row>
    <row r="511" spans="1:208" x14ac:dyDescent="0.25">
      <c r="A511" s="7">
        <v>4.5041521642302227</v>
      </c>
      <c r="B511"/>
      <c r="C511"/>
      <c r="D511"/>
      <c r="E511" t="s">
        <v>8</v>
      </c>
      <c r="H511" s="27" t="s">
        <v>7</v>
      </c>
      <c r="I511" s="27" t="s">
        <v>8</v>
      </c>
      <c r="J511" s="27" t="s">
        <v>7</v>
      </c>
      <c r="K511" s="27" t="s">
        <v>8</v>
      </c>
      <c r="L511" s="27" t="s">
        <v>7</v>
      </c>
      <c r="M511" s="27" t="s">
        <v>8</v>
      </c>
      <c r="N511" s="27" t="s">
        <v>7</v>
      </c>
      <c r="Q511" s="27" t="s">
        <v>8</v>
      </c>
      <c r="R511" s="27" t="s">
        <v>7</v>
      </c>
      <c r="Y511" s="27" t="s">
        <v>8</v>
      </c>
      <c r="AA511" s="27" t="s">
        <v>8</v>
      </c>
      <c r="AB511" s="27" t="s">
        <v>7</v>
      </c>
      <c r="AC511" s="27" t="s">
        <v>8</v>
      </c>
      <c r="AH511" s="27" t="s">
        <v>7</v>
      </c>
      <c r="AI511" s="27" t="s">
        <v>8</v>
      </c>
      <c r="AJ511" s="27" t="s">
        <v>7</v>
      </c>
      <c r="AK511" s="27" t="s">
        <v>8</v>
      </c>
      <c r="AL511" s="27" t="s">
        <v>7</v>
      </c>
      <c r="AN511" s="27" t="s">
        <v>7</v>
      </c>
      <c r="AO511" s="27" t="s">
        <v>8</v>
      </c>
      <c r="CH511" s="27" t="s">
        <v>7</v>
      </c>
      <c r="CP511" s="27" t="s">
        <v>7</v>
      </c>
      <c r="CV511" s="27" t="s">
        <v>7</v>
      </c>
      <c r="DI511" s="27" t="s">
        <v>8</v>
      </c>
      <c r="DJ511" s="27" t="s">
        <v>7</v>
      </c>
      <c r="DM511" s="27" t="s">
        <v>8</v>
      </c>
      <c r="DN511" s="27" t="s">
        <v>7</v>
      </c>
      <c r="DO511" s="27" t="s">
        <v>8</v>
      </c>
      <c r="DP511" s="27" t="s">
        <v>7</v>
      </c>
      <c r="DQ511" s="27" t="s">
        <v>8</v>
      </c>
      <c r="DR511" s="27" t="s">
        <v>7</v>
      </c>
      <c r="DS511" s="27" t="s">
        <v>8</v>
      </c>
      <c r="DT511" s="27" t="s">
        <v>7</v>
      </c>
      <c r="DU511" s="27" t="s">
        <v>8</v>
      </c>
      <c r="GD511" s="27" t="s">
        <v>7</v>
      </c>
      <c r="GE511" s="27" t="s">
        <v>8</v>
      </c>
      <c r="GF511" s="27" t="s">
        <v>7</v>
      </c>
      <c r="GG511" s="27" t="s">
        <v>8</v>
      </c>
      <c r="GH511" s="27" t="s">
        <v>7</v>
      </c>
      <c r="GI511" s="27" t="s">
        <v>8</v>
      </c>
      <c r="GJ511" s="27" t="s">
        <v>7</v>
      </c>
      <c r="GO511" s="27" t="s">
        <v>8</v>
      </c>
      <c r="GP511" s="27" t="s">
        <v>7</v>
      </c>
      <c r="GQ511" s="27" t="s">
        <v>8</v>
      </c>
      <c r="GR511" s="27" t="s">
        <v>7</v>
      </c>
      <c r="GV511" s="27" t="s">
        <v>7</v>
      </c>
      <c r="GW511" s="27" t="s">
        <v>8</v>
      </c>
      <c r="GX511" s="27" t="s">
        <v>7</v>
      </c>
      <c r="GY511" s="27" t="s">
        <v>8</v>
      </c>
    </row>
    <row r="512" spans="1:208" x14ac:dyDescent="0.25">
      <c r="A512" s="7">
        <v>4.4158354551276693</v>
      </c>
      <c r="B512"/>
      <c r="C512"/>
      <c r="D512"/>
      <c r="E512" t="s">
        <v>8</v>
      </c>
      <c r="H512" s="27" t="s">
        <v>7</v>
      </c>
      <c r="I512" s="27" t="s">
        <v>8</v>
      </c>
      <c r="J512" s="27" t="s">
        <v>7</v>
      </c>
      <c r="K512" s="27" t="s">
        <v>8</v>
      </c>
      <c r="L512" s="27" t="s">
        <v>7</v>
      </c>
      <c r="M512" s="27" t="s">
        <v>8</v>
      </c>
      <c r="N512" s="27" t="s">
        <v>7</v>
      </c>
      <c r="Q512" s="27" t="s">
        <v>8</v>
      </c>
      <c r="R512" s="27" t="s">
        <v>7</v>
      </c>
      <c r="Y512" s="27" t="s">
        <v>8</v>
      </c>
      <c r="Z512" s="27" t="s">
        <v>7</v>
      </c>
      <c r="AA512" s="27" t="s">
        <v>8</v>
      </c>
      <c r="AB512" s="27" t="s">
        <v>7</v>
      </c>
      <c r="AC512" s="27" t="s">
        <v>8</v>
      </c>
      <c r="AH512" s="27" t="s">
        <v>7</v>
      </c>
      <c r="AI512" s="27" t="s">
        <v>8</v>
      </c>
      <c r="AJ512" s="27" t="s">
        <v>7</v>
      </c>
      <c r="AK512" s="27" t="s">
        <v>8</v>
      </c>
      <c r="AN512" s="27" t="s">
        <v>7</v>
      </c>
      <c r="AO512" s="27" t="s">
        <v>8</v>
      </c>
      <c r="CV512" s="27" t="s">
        <v>7</v>
      </c>
      <c r="DI512" s="27" t="s">
        <v>8</v>
      </c>
      <c r="DJ512" s="27" t="s">
        <v>7</v>
      </c>
      <c r="DM512" s="27" t="s">
        <v>8</v>
      </c>
      <c r="DN512" s="27" t="s">
        <v>7</v>
      </c>
      <c r="DO512" s="27" t="s">
        <v>8</v>
      </c>
      <c r="DP512" s="27" t="s">
        <v>7</v>
      </c>
      <c r="DQ512" s="27" t="s">
        <v>8</v>
      </c>
      <c r="DR512" s="27" t="s">
        <v>7</v>
      </c>
      <c r="DS512" s="27" t="s">
        <v>8</v>
      </c>
      <c r="DT512" s="27" t="s">
        <v>7</v>
      </c>
      <c r="DU512" s="27" t="s">
        <v>8</v>
      </c>
      <c r="GD512" s="27" t="s">
        <v>7</v>
      </c>
      <c r="GE512" s="27" t="s">
        <v>8</v>
      </c>
      <c r="GF512" s="27" t="s">
        <v>7</v>
      </c>
      <c r="GG512" s="27" t="s">
        <v>8</v>
      </c>
      <c r="GH512" s="27" t="s">
        <v>7</v>
      </c>
      <c r="GI512" s="27" t="s">
        <v>8</v>
      </c>
      <c r="GJ512" s="27" t="s">
        <v>7</v>
      </c>
      <c r="GK512" s="27" t="s">
        <v>8</v>
      </c>
      <c r="GM512" s="27" t="s">
        <v>8</v>
      </c>
      <c r="GO512" s="27" t="s">
        <v>8</v>
      </c>
      <c r="GP512" s="27" t="s">
        <v>7</v>
      </c>
      <c r="GQ512" s="27" t="s">
        <v>8</v>
      </c>
      <c r="GV512" s="27" t="s">
        <v>7</v>
      </c>
      <c r="GW512" s="27" t="s">
        <v>8</v>
      </c>
      <c r="GX512" s="27" t="s">
        <v>7</v>
      </c>
      <c r="GY512" s="27" t="s">
        <v>8</v>
      </c>
      <c r="GZ512" s="27" t="s">
        <v>7</v>
      </c>
    </row>
    <row r="513" spans="1:212" x14ac:dyDescent="0.25">
      <c r="A513" s="7">
        <v>4.3292504462035977</v>
      </c>
      <c r="B513"/>
      <c r="C513"/>
      <c r="D513"/>
      <c r="E513" t="s">
        <v>8</v>
      </c>
      <c r="H513" s="27" t="s">
        <v>7</v>
      </c>
      <c r="I513" s="27" t="s">
        <v>8</v>
      </c>
      <c r="J513" s="27" t="s">
        <v>7</v>
      </c>
      <c r="K513" s="27" t="s">
        <v>8</v>
      </c>
      <c r="L513" s="27" t="s">
        <v>7</v>
      </c>
      <c r="M513" s="27" t="s">
        <v>8</v>
      </c>
      <c r="N513" s="27" t="s">
        <v>7</v>
      </c>
      <c r="O513" s="27" t="s">
        <v>8</v>
      </c>
      <c r="Q513" s="27" t="s">
        <v>8</v>
      </c>
      <c r="R513" s="27" t="s">
        <v>7</v>
      </c>
      <c r="Y513" s="27" t="s">
        <v>8</v>
      </c>
      <c r="Z513" s="27" t="s">
        <v>7</v>
      </c>
      <c r="AA513" s="27" t="s">
        <v>8</v>
      </c>
      <c r="AB513" s="27" t="s">
        <v>7</v>
      </c>
      <c r="AC513" s="27" t="s">
        <v>8</v>
      </c>
      <c r="AH513" s="27" t="s">
        <v>7</v>
      </c>
      <c r="AI513" s="27" t="s">
        <v>8</v>
      </c>
      <c r="AJ513" s="27" t="s">
        <v>7</v>
      </c>
      <c r="AK513" s="27" t="s">
        <v>8</v>
      </c>
      <c r="AN513" s="27" t="s">
        <v>7</v>
      </c>
      <c r="CV513" s="27" t="s">
        <v>7</v>
      </c>
      <c r="DA513" s="27" t="s">
        <v>8</v>
      </c>
      <c r="DG513" s="27" t="s">
        <v>8</v>
      </c>
      <c r="DI513" s="27" t="s">
        <v>8</v>
      </c>
      <c r="DJ513" s="27" t="s">
        <v>7</v>
      </c>
      <c r="DM513" s="27" t="s">
        <v>8</v>
      </c>
      <c r="DN513" s="27" t="s">
        <v>7</v>
      </c>
      <c r="DO513" s="27" t="s">
        <v>8</v>
      </c>
      <c r="DP513" s="27" t="s">
        <v>7</v>
      </c>
      <c r="DQ513" s="27" t="s">
        <v>8</v>
      </c>
      <c r="DR513" s="27" t="s">
        <v>7</v>
      </c>
      <c r="DS513" s="27" t="s">
        <v>8</v>
      </c>
      <c r="DT513" s="27" t="s">
        <v>7</v>
      </c>
      <c r="GD513" s="27" t="s">
        <v>7</v>
      </c>
      <c r="GE513" s="27" t="s">
        <v>8</v>
      </c>
      <c r="GF513" s="27" t="s">
        <v>7</v>
      </c>
      <c r="GH513" s="27" t="s">
        <v>7</v>
      </c>
      <c r="GJ513" s="27" t="s">
        <v>7</v>
      </c>
      <c r="GK513" s="27" t="s">
        <v>8</v>
      </c>
      <c r="GL513" s="27" t="s">
        <v>7</v>
      </c>
      <c r="GM513" s="27" t="s">
        <v>8</v>
      </c>
      <c r="GN513" s="27" t="s">
        <v>7</v>
      </c>
      <c r="GO513" s="27" t="s">
        <v>8</v>
      </c>
      <c r="GP513" s="27" t="s">
        <v>7</v>
      </c>
      <c r="GQ513" s="27" t="s">
        <v>8</v>
      </c>
      <c r="GV513" s="27" t="s">
        <v>7</v>
      </c>
      <c r="GW513" s="27" t="s">
        <v>8</v>
      </c>
      <c r="GX513" s="27" t="s">
        <v>7</v>
      </c>
      <c r="GY513" s="27" t="s">
        <v>8</v>
      </c>
      <c r="GZ513" s="27" t="s">
        <v>7</v>
      </c>
    </row>
    <row r="514" spans="1:212" x14ac:dyDescent="0.25">
      <c r="A514" s="7">
        <v>4.2443631825525463</v>
      </c>
      <c r="B514"/>
      <c r="C514"/>
      <c r="D514"/>
      <c r="E514" t="s">
        <v>8</v>
      </c>
      <c r="H514" s="27" t="s">
        <v>7</v>
      </c>
      <c r="I514" s="27" t="s">
        <v>8</v>
      </c>
      <c r="J514" s="27" t="s">
        <v>7</v>
      </c>
      <c r="K514" s="27" t="s">
        <v>8</v>
      </c>
      <c r="L514" s="27" t="s">
        <v>7</v>
      </c>
      <c r="M514" s="27" t="s">
        <v>8</v>
      </c>
      <c r="N514" s="27" t="s">
        <v>7</v>
      </c>
      <c r="O514" s="27" t="s">
        <v>8</v>
      </c>
      <c r="P514" s="27" t="s">
        <v>7</v>
      </c>
      <c r="Q514" s="27" t="s">
        <v>8</v>
      </c>
      <c r="R514" s="27" t="s">
        <v>7</v>
      </c>
      <c r="Y514" s="27" t="s">
        <v>8</v>
      </c>
      <c r="Z514" s="27" t="s">
        <v>7</v>
      </c>
      <c r="AA514" s="27" t="s">
        <v>8</v>
      </c>
      <c r="AB514" s="27" t="s">
        <v>7</v>
      </c>
      <c r="AC514" s="27" t="s">
        <v>8</v>
      </c>
      <c r="AH514" s="27" t="s">
        <v>7</v>
      </c>
      <c r="AI514" s="27" t="s">
        <v>8</v>
      </c>
      <c r="AJ514" s="27" t="s">
        <v>7</v>
      </c>
      <c r="AK514" s="27" t="s">
        <v>8</v>
      </c>
      <c r="CV514" s="27" t="s">
        <v>7</v>
      </c>
      <c r="DA514" s="27" t="s">
        <v>8</v>
      </c>
      <c r="DB514" s="27" t="s">
        <v>7</v>
      </c>
      <c r="DG514" s="27" t="s">
        <v>8</v>
      </c>
      <c r="DH514" s="27" t="s">
        <v>7</v>
      </c>
      <c r="DI514" s="27" t="s">
        <v>8</v>
      </c>
      <c r="DJ514" s="27" t="s">
        <v>7</v>
      </c>
      <c r="DM514" s="27" t="s">
        <v>8</v>
      </c>
      <c r="DN514" s="27" t="s">
        <v>7</v>
      </c>
      <c r="DO514" s="27" t="s">
        <v>8</v>
      </c>
      <c r="DP514" s="27" t="s">
        <v>7</v>
      </c>
      <c r="DQ514" s="27" t="s">
        <v>8</v>
      </c>
      <c r="DR514" s="27" t="s">
        <v>7</v>
      </c>
      <c r="GD514" s="27" t="s">
        <v>7</v>
      </c>
      <c r="GJ514" s="27" t="s">
        <v>7</v>
      </c>
      <c r="GK514" s="27" t="s">
        <v>8</v>
      </c>
      <c r="GL514" s="27" t="s">
        <v>7</v>
      </c>
      <c r="GM514" s="27" t="s">
        <v>8</v>
      </c>
      <c r="GN514" s="27" t="s">
        <v>7</v>
      </c>
      <c r="GO514" s="27" t="s">
        <v>8</v>
      </c>
      <c r="GP514" s="27" t="s">
        <v>7</v>
      </c>
      <c r="GQ514" s="27" t="s">
        <v>8</v>
      </c>
      <c r="GV514" s="27" t="s">
        <v>7</v>
      </c>
      <c r="GW514" s="27" t="s">
        <v>8</v>
      </c>
      <c r="GX514" s="27" t="s">
        <v>7</v>
      </c>
      <c r="GY514" s="27" t="s">
        <v>8</v>
      </c>
      <c r="GZ514" s="27" t="s">
        <v>7</v>
      </c>
    </row>
    <row r="515" spans="1:212" x14ac:dyDescent="0.25">
      <c r="A515" s="7">
        <v>4.1611403750515157</v>
      </c>
      <c r="B515"/>
      <c r="C515"/>
      <c r="D515"/>
      <c r="E515" t="s">
        <v>8</v>
      </c>
      <c r="H515" s="27" t="s">
        <v>7</v>
      </c>
      <c r="I515" s="27" t="s">
        <v>8</v>
      </c>
      <c r="J515" s="27" t="s">
        <v>7</v>
      </c>
      <c r="K515" s="27" t="s">
        <v>8</v>
      </c>
      <c r="L515" s="27" t="s">
        <v>7</v>
      </c>
      <c r="M515" s="27" t="s">
        <v>8</v>
      </c>
      <c r="N515" s="27" t="s">
        <v>7</v>
      </c>
      <c r="O515" s="27" t="s">
        <v>8</v>
      </c>
      <c r="P515" s="27" t="s">
        <v>7</v>
      </c>
      <c r="Q515" s="27" t="s">
        <v>8</v>
      </c>
      <c r="R515" s="27" t="s">
        <v>7</v>
      </c>
      <c r="Y515" s="27" t="s">
        <v>8</v>
      </c>
      <c r="Z515" s="27" t="s">
        <v>7</v>
      </c>
      <c r="AA515" s="27" t="s">
        <v>8</v>
      </c>
      <c r="AB515" s="27" t="s">
        <v>7</v>
      </c>
      <c r="AH515" s="27" t="s">
        <v>7</v>
      </c>
      <c r="AI515" s="27" t="s">
        <v>8</v>
      </c>
      <c r="AJ515" s="27" t="s">
        <v>7</v>
      </c>
      <c r="AK515" s="27" t="s">
        <v>8</v>
      </c>
      <c r="CV515" s="27" t="s">
        <v>7</v>
      </c>
      <c r="CW515" s="27" t="s">
        <v>8</v>
      </c>
      <c r="CY515" s="27" t="s">
        <v>8</v>
      </c>
      <c r="DA515" s="27" t="s">
        <v>8</v>
      </c>
      <c r="DB515" s="27" t="s">
        <v>7</v>
      </c>
      <c r="DC515" s="27" t="s">
        <v>8</v>
      </c>
      <c r="DE515" s="27" t="s">
        <v>8</v>
      </c>
      <c r="DG515" s="27" t="s">
        <v>8</v>
      </c>
      <c r="DH515" s="27" t="s">
        <v>7</v>
      </c>
      <c r="DI515" s="27" t="s">
        <v>8</v>
      </c>
      <c r="DJ515" s="27" t="s">
        <v>7</v>
      </c>
      <c r="DK515" s="27" t="s">
        <v>8</v>
      </c>
      <c r="DM515" s="27" t="s">
        <v>8</v>
      </c>
      <c r="DN515" s="27" t="s">
        <v>7</v>
      </c>
      <c r="DO515" s="27" t="s">
        <v>8</v>
      </c>
      <c r="DP515" s="27" t="s">
        <v>7</v>
      </c>
      <c r="DQ515" s="27" t="s">
        <v>8</v>
      </c>
      <c r="GJ515" s="27" t="s">
        <v>7</v>
      </c>
      <c r="GL515" s="27" t="s">
        <v>7</v>
      </c>
      <c r="GM515" s="27" t="s">
        <v>8</v>
      </c>
      <c r="GN515" s="27" t="s">
        <v>7</v>
      </c>
      <c r="GO515" s="27" t="s">
        <v>8</v>
      </c>
      <c r="GP515" s="27" t="s">
        <v>7</v>
      </c>
      <c r="GV515" s="27" t="s">
        <v>7</v>
      </c>
      <c r="GW515" s="27" t="s">
        <v>8</v>
      </c>
      <c r="GX515" s="27" t="s">
        <v>7</v>
      </c>
      <c r="GY515" s="27" t="s">
        <v>8</v>
      </c>
      <c r="GZ515" s="27" t="s">
        <v>7</v>
      </c>
    </row>
    <row r="516" spans="1:212" x14ac:dyDescent="0.25">
      <c r="A516" s="7">
        <v>4.0795493873054074</v>
      </c>
      <c r="B516"/>
      <c r="C516"/>
      <c r="D516"/>
      <c r="E516" t="s">
        <v>8</v>
      </c>
      <c r="H516" s="27" t="s">
        <v>7</v>
      </c>
      <c r="J516" s="27" t="s">
        <v>7</v>
      </c>
      <c r="K516" s="27" t="s">
        <v>8</v>
      </c>
      <c r="L516" s="27" t="s">
        <v>7</v>
      </c>
      <c r="N516" s="27" t="s">
        <v>7</v>
      </c>
      <c r="O516" s="27" t="s">
        <v>8</v>
      </c>
      <c r="P516" s="27" t="s">
        <v>7</v>
      </c>
      <c r="Q516" s="27" t="s">
        <v>8</v>
      </c>
      <c r="R516" s="27" t="s">
        <v>7</v>
      </c>
      <c r="U516" s="27" t="s">
        <v>8</v>
      </c>
      <c r="Y516" s="27" t="s">
        <v>8</v>
      </c>
      <c r="Z516" s="27" t="s">
        <v>7</v>
      </c>
      <c r="AA516" s="27" t="s">
        <v>8</v>
      </c>
      <c r="AH516" s="27" t="s">
        <v>7</v>
      </c>
      <c r="AJ516" s="27" t="s">
        <v>7</v>
      </c>
      <c r="CV516" s="27" t="s">
        <v>7</v>
      </c>
      <c r="CW516" s="27" t="s">
        <v>8</v>
      </c>
      <c r="CX516" s="27" t="s">
        <v>7</v>
      </c>
      <c r="CY516" s="27" t="s">
        <v>8</v>
      </c>
      <c r="CZ516" s="27" t="s">
        <v>7</v>
      </c>
      <c r="DA516" s="27" t="s">
        <v>8</v>
      </c>
      <c r="DB516" s="27" t="s">
        <v>7</v>
      </c>
      <c r="DC516" s="27" t="s">
        <v>8</v>
      </c>
      <c r="DD516" s="27" t="s">
        <v>7</v>
      </c>
      <c r="DE516" s="27" t="s">
        <v>8</v>
      </c>
      <c r="DF516" s="27" t="s">
        <v>7</v>
      </c>
      <c r="DG516" s="27" t="s">
        <v>8</v>
      </c>
      <c r="DH516" s="27" t="s">
        <v>7</v>
      </c>
      <c r="DI516" s="27" t="s">
        <v>8</v>
      </c>
      <c r="DJ516" s="27" t="s">
        <v>7</v>
      </c>
      <c r="DK516" s="27" t="s">
        <v>8</v>
      </c>
      <c r="DL516" s="27" t="s">
        <v>7</v>
      </c>
      <c r="DM516" s="27" t="s">
        <v>8</v>
      </c>
      <c r="DN516" s="27" t="s">
        <v>7</v>
      </c>
      <c r="DP516" s="27" t="s">
        <v>7</v>
      </c>
      <c r="GL516" s="27" t="s">
        <v>7</v>
      </c>
      <c r="GM516" s="27" t="s">
        <v>8</v>
      </c>
      <c r="GN516" s="27" t="s">
        <v>7</v>
      </c>
      <c r="GO516" s="27" t="s">
        <v>8</v>
      </c>
      <c r="GV516" s="27" t="s">
        <v>7</v>
      </c>
      <c r="GW516" s="27" t="s">
        <v>8</v>
      </c>
      <c r="GX516" s="27" t="s">
        <v>7</v>
      </c>
      <c r="GY516" s="27" t="s">
        <v>8</v>
      </c>
      <c r="GZ516" s="27" t="s">
        <v>7</v>
      </c>
    </row>
    <row r="517" spans="1:212" x14ac:dyDescent="0.25">
      <c r="A517" s="7">
        <v>3.9995582228484383</v>
      </c>
      <c r="B517"/>
      <c r="C517"/>
      <c r="D517"/>
      <c r="E517" t="s">
        <v>8</v>
      </c>
      <c r="J517" s="27" t="s">
        <v>7</v>
      </c>
      <c r="K517" s="27" t="s">
        <v>8</v>
      </c>
      <c r="N517" s="27" t="s">
        <v>7</v>
      </c>
      <c r="O517" s="27" t="s">
        <v>8</v>
      </c>
      <c r="P517" s="27" t="s">
        <v>7</v>
      </c>
      <c r="Q517" s="27" t="s">
        <v>8</v>
      </c>
      <c r="R517" s="27" t="s">
        <v>7</v>
      </c>
      <c r="U517" s="27" t="s">
        <v>8</v>
      </c>
      <c r="V517" s="27" t="s">
        <v>7</v>
      </c>
      <c r="W517" s="27" t="s">
        <v>8</v>
      </c>
      <c r="Y517" s="27" t="s">
        <v>8</v>
      </c>
      <c r="Z517" s="27" t="s">
        <v>7</v>
      </c>
      <c r="AA517" s="27" t="s">
        <v>8</v>
      </c>
      <c r="CV517" s="27" t="s">
        <v>7</v>
      </c>
      <c r="CW517" s="27" t="s">
        <v>8</v>
      </c>
      <c r="CX517" s="27" t="s">
        <v>7</v>
      </c>
      <c r="CY517" s="27" t="s">
        <v>8</v>
      </c>
      <c r="CZ517" s="27" t="s">
        <v>7</v>
      </c>
      <c r="DA517" s="27" t="s">
        <v>8</v>
      </c>
      <c r="DB517" s="27" t="s">
        <v>7</v>
      </c>
      <c r="DC517" s="27" t="s">
        <v>8</v>
      </c>
      <c r="DD517" s="27" t="s">
        <v>7</v>
      </c>
      <c r="DE517" s="27" t="s">
        <v>8</v>
      </c>
      <c r="DF517" s="27" t="s">
        <v>7</v>
      </c>
      <c r="DG517" s="27" t="s">
        <v>8</v>
      </c>
      <c r="DH517" s="27" t="s">
        <v>7</v>
      </c>
      <c r="DI517" s="27" t="s">
        <v>8</v>
      </c>
      <c r="DJ517" s="27" t="s">
        <v>7</v>
      </c>
      <c r="DK517" s="27" t="s">
        <v>8</v>
      </c>
      <c r="DL517" s="27" t="s">
        <v>7</v>
      </c>
      <c r="DM517" s="27" t="s">
        <v>8</v>
      </c>
      <c r="GL517" s="27" t="s">
        <v>7</v>
      </c>
      <c r="GM517" s="27" t="s">
        <v>8</v>
      </c>
      <c r="GN517" s="27" t="s">
        <v>7</v>
      </c>
      <c r="GO517" s="27" t="s">
        <v>8</v>
      </c>
      <c r="GV517" s="27" t="s">
        <v>7</v>
      </c>
      <c r="GW517" s="27" t="s">
        <v>8</v>
      </c>
      <c r="GX517" s="27" t="s">
        <v>7</v>
      </c>
      <c r="GY517" s="27" t="s">
        <v>8</v>
      </c>
      <c r="GZ517" s="27" t="s">
        <v>7</v>
      </c>
    </row>
    <row r="518" spans="1:212" x14ac:dyDescent="0.25">
      <c r="A518" s="7">
        <v>3.9211355125965079</v>
      </c>
      <c r="B518"/>
      <c r="C518"/>
      <c r="D518"/>
      <c r="E518" t="s">
        <v>8</v>
      </c>
      <c r="J518" s="27" t="s">
        <v>7</v>
      </c>
      <c r="K518" s="27" t="s">
        <v>8</v>
      </c>
      <c r="N518" s="27" t="s">
        <v>7</v>
      </c>
      <c r="P518" s="27" t="s">
        <v>7</v>
      </c>
      <c r="R518" s="27" t="s">
        <v>7</v>
      </c>
      <c r="S518" s="27" t="s">
        <v>8</v>
      </c>
      <c r="U518" s="27" t="s">
        <v>8</v>
      </c>
      <c r="V518" s="27" t="s">
        <v>7</v>
      </c>
      <c r="W518" s="27" t="s">
        <v>8</v>
      </c>
      <c r="X518" s="27" t="s">
        <v>7</v>
      </c>
      <c r="Y518" s="27" t="s">
        <v>8</v>
      </c>
      <c r="Z518" s="27" t="s">
        <v>7</v>
      </c>
      <c r="AA518" s="27" t="s">
        <v>8</v>
      </c>
      <c r="CV518" s="27" t="s">
        <v>7</v>
      </c>
      <c r="CW518" s="27" t="s">
        <v>8</v>
      </c>
      <c r="CX518" s="27" t="s">
        <v>7</v>
      </c>
      <c r="CY518" s="27" t="s">
        <v>8</v>
      </c>
      <c r="CZ518" s="27" t="s">
        <v>7</v>
      </c>
      <c r="DA518" s="27" t="s">
        <v>8</v>
      </c>
      <c r="DB518" s="27" t="s">
        <v>7</v>
      </c>
      <c r="DC518" s="27" t="s">
        <v>8</v>
      </c>
      <c r="DD518" s="27" t="s">
        <v>7</v>
      </c>
      <c r="DE518" s="27" t="s">
        <v>8</v>
      </c>
      <c r="DF518" s="27" t="s">
        <v>7</v>
      </c>
      <c r="DG518" s="27" t="s">
        <v>8</v>
      </c>
      <c r="DH518" s="27" t="s">
        <v>7</v>
      </c>
      <c r="DI518" s="27" t="s">
        <v>8</v>
      </c>
      <c r="DJ518" s="27" t="s">
        <v>7</v>
      </c>
      <c r="DK518" s="27" t="s">
        <v>8</v>
      </c>
      <c r="DL518" s="27" t="s">
        <v>7</v>
      </c>
      <c r="DM518" s="27" t="s">
        <v>8</v>
      </c>
      <c r="GL518" s="27" t="s">
        <v>7</v>
      </c>
      <c r="GN518" s="27" t="s">
        <v>7</v>
      </c>
      <c r="GO518" s="27" t="s">
        <v>8</v>
      </c>
      <c r="GV518" s="27" t="s">
        <v>7</v>
      </c>
      <c r="GX518" s="27" t="s">
        <v>7</v>
      </c>
      <c r="GZ518" s="27" t="s">
        <v>7</v>
      </c>
    </row>
    <row r="519" spans="1:212" x14ac:dyDescent="0.25">
      <c r="A519" s="7">
        <v>3.844250502545596</v>
      </c>
      <c r="B519"/>
      <c r="C519"/>
      <c r="D519"/>
      <c r="E519" t="s">
        <v>8</v>
      </c>
      <c r="J519" s="27" t="s">
        <v>7</v>
      </c>
      <c r="K519" s="27" t="s">
        <v>8</v>
      </c>
      <c r="R519" s="27" t="s">
        <v>7</v>
      </c>
      <c r="S519" s="27" t="s">
        <v>8</v>
      </c>
      <c r="T519" s="27" t="s">
        <v>7</v>
      </c>
      <c r="U519" s="27" t="s">
        <v>8</v>
      </c>
      <c r="V519" s="27" t="s">
        <v>7</v>
      </c>
      <c r="W519" s="27" t="s">
        <v>8</v>
      </c>
      <c r="X519" s="27" t="s">
        <v>7</v>
      </c>
      <c r="Y519" s="27" t="s">
        <v>8</v>
      </c>
      <c r="Z519" s="27" t="s">
        <v>7</v>
      </c>
      <c r="CV519" s="27" t="s">
        <v>7</v>
      </c>
      <c r="CW519" s="27" t="s">
        <v>8</v>
      </c>
      <c r="CX519" s="27" t="s">
        <v>7</v>
      </c>
      <c r="CY519" s="27" t="s">
        <v>8</v>
      </c>
      <c r="CZ519" s="27" t="s">
        <v>7</v>
      </c>
      <c r="DA519" s="27" t="s">
        <v>8</v>
      </c>
      <c r="DB519" s="27" t="s">
        <v>7</v>
      </c>
      <c r="DC519" s="27" t="s">
        <v>8</v>
      </c>
      <c r="DD519" s="27" t="s">
        <v>7</v>
      </c>
      <c r="DE519" s="27" t="s">
        <v>8</v>
      </c>
      <c r="DF519" s="27" t="s">
        <v>7</v>
      </c>
      <c r="DG519" s="27" t="s">
        <v>8</v>
      </c>
      <c r="DH519" s="27" t="s">
        <v>7</v>
      </c>
      <c r="DJ519" s="27" t="s">
        <v>7</v>
      </c>
      <c r="DL519" s="27" t="s">
        <v>7</v>
      </c>
      <c r="DM519" s="27" t="s">
        <v>8</v>
      </c>
      <c r="GN519" s="27" t="s">
        <v>7</v>
      </c>
      <c r="GO519" s="27" t="s">
        <v>8</v>
      </c>
      <c r="GZ519" s="27" t="s">
        <v>7</v>
      </c>
    </row>
    <row r="520" spans="1:212" x14ac:dyDescent="0.25">
      <c r="A520" s="7">
        <v>3.7688730417113687</v>
      </c>
      <c r="B520"/>
      <c r="C520"/>
      <c r="D520"/>
      <c r="E520" t="s">
        <v>8</v>
      </c>
      <c r="J520" s="27" t="s">
        <v>7</v>
      </c>
      <c r="K520" s="27" t="s">
        <v>8</v>
      </c>
      <c r="R520" s="27" t="s">
        <v>7</v>
      </c>
      <c r="S520" s="27" t="s">
        <v>8</v>
      </c>
      <c r="T520" s="27" t="s">
        <v>7</v>
      </c>
      <c r="U520" s="27" t="s">
        <v>8</v>
      </c>
      <c r="V520" s="27" t="s">
        <v>7</v>
      </c>
      <c r="W520" s="27" t="s">
        <v>8</v>
      </c>
      <c r="X520" s="27" t="s">
        <v>7</v>
      </c>
      <c r="Y520" s="27" t="s">
        <v>8</v>
      </c>
      <c r="CV520" s="27" t="s">
        <v>7</v>
      </c>
      <c r="CW520" s="27" t="s">
        <v>8</v>
      </c>
      <c r="CX520" s="27" t="s">
        <v>7</v>
      </c>
      <c r="CY520" s="27" t="s">
        <v>8</v>
      </c>
      <c r="CZ520" s="27" t="s">
        <v>7</v>
      </c>
      <c r="DB520" s="27" t="s">
        <v>7</v>
      </c>
      <c r="DD520" s="27" t="s">
        <v>7</v>
      </c>
      <c r="DF520" s="27" t="s">
        <v>7</v>
      </c>
      <c r="DG520" s="27" t="s">
        <v>8</v>
      </c>
      <c r="DL520" s="18" t="s">
        <v>7</v>
      </c>
      <c r="DM520" s="27" t="s">
        <v>8</v>
      </c>
      <c r="GN520" s="27" t="s">
        <v>7</v>
      </c>
      <c r="GO520" s="27" t="s">
        <v>8</v>
      </c>
      <c r="GZ520" s="27" t="s">
        <v>7</v>
      </c>
    </row>
    <row r="521" spans="1:212" x14ac:dyDescent="0.25">
      <c r="A521" s="7">
        <v>3.6949735703052635</v>
      </c>
      <c r="B521"/>
      <c r="C521"/>
      <c r="D521"/>
      <c r="E521" t="s">
        <v>8</v>
      </c>
      <c r="J521" s="27" t="s">
        <v>7</v>
      </c>
      <c r="K521" s="27" t="s">
        <v>8</v>
      </c>
      <c r="R521" s="27" t="s">
        <v>7</v>
      </c>
      <c r="T521" s="27" t="s">
        <v>7</v>
      </c>
      <c r="U521" s="27" t="s">
        <v>8</v>
      </c>
      <c r="V521" s="27" t="s">
        <v>7</v>
      </c>
      <c r="W521" s="27" t="s">
        <v>8</v>
      </c>
      <c r="X521" s="27" t="s">
        <v>7</v>
      </c>
      <c r="Y521" s="27" t="s">
        <v>8</v>
      </c>
      <c r="CV521" s="27" t="s">
        <v>7</v>
      </c>
      <c r="CW521" s="27" t="s">
        <v>8</v>
      </c>
      <c r="CX521" s="27" t="s">
        <v>7</v>
      </c>
      <c r="CY521" s="27" t="s">
        <v>8</v>
      </c>
      <c r="DF521" s="27" t="s">
        <v>7</v>
      </c>
      <c r="DG521" s="27" t="s">
        <v>8</v>
      </c>
      <c r="DL521" s="27" t="s">
        <v>7</v>
      </c>
      <c r="DM521" s="27" t="s">
        <v>8</v>
      </c>
      <c r="GN521" s="27" t="s">
        <v>7</v>
      </c>
      <c r="GZ521" s="27" t="s">
        <v>7</v>
      </c>
    </row>
    <row r="522" spans="1:212" x14ac:dyDescent="0.25">
      <c r="A522" s="7">
        <v>3.6225231081424152</v>
      </c>
      <c r="B522"/>
      <c r="C522"/>
      <c r="D522"/>
      <c r="E522" t="s">
        <v>8</v>
      </c>
      <c r="J522" s="27" t="s">
        <v>7</v>
      </c>
      <c r="K522" s="27" t="s">
        <v>8</v>
      </c>
      <c r="T522" s="27" t="s">
        <v>7</v>
      </c>
      <c r="U522" s="27" t="s">
        <v>8</v>
      </c>
      <c r="V522" s="27" t="s">
        <v>7</v>
      </c>
      <c r="W522" s="27" t="s">
        <v>8</v>
      </c>
      <c r="X522" s="27" t="s">
        <v>7</v>
      </c>
      <c r="CV522" s="27" t="s">
        <v>7</v>
      </c>
      <c r="CW522" s="27" t="s">
        <v>8</v>
      </c>
      <c r="CX522" s="27" t="s">
        <v>7</v>
      </c>
      <c r="CY522" s="27" t="s">
        <v>8</v>
      </c>
      <c r="DF522" s="27" t="s">
        <v>7</v>
      </c>
      <c r="DL522" s="27" t="s">
        <v>7</v>
      </c>
      <c r="DM522" s="27" t="s">
        <v>8</v>
      </c>
      <c r="GZ522" s="27" t="s">
        <v>7</v>
      </c>
    </row>
    <row r="523" spans="1:212" x14ac:dyDescent="0.25">
      <c r="A523" s="7">
        <v>3.5514932432768775</v>
      </c>
      <c r="B523"/>
      <c r="C523"/>
      <c r="D523"/>
      <c r="E523" t="s">
        <v>8</v>
      </c>
      <c r="J523" s="27" t="s">
        <v>7</v>
      </c>
      <c r="K523" s="27" t="s">
        <v>8</v>
      </c>
      <c r="T523" s="27" t="s">
        <v>7</v>
      </c>
      <c r="U523" s="27" t="s">
        <v>8</v>
      </c>
      <c r="V523" s="27" t="s">
        <v>7</v>
      </c>
      <c r="W523" s="27" t="s">
        <v>8</v>
      </c>
      <c r="CV523" s="27" t="s">
        <v>7</v>
      </c>
      <c r="CW523" s="27" t="s">
        <v>8</v>
      </c>
      <c r="CX523" s="27" t="s">
        <v>7</v>
      </c>
      <c r="CY523" s="27" t="s">
        <v>8</v>
      </c>
      <c r="DL523" s="27" t="s">
        <v>7</v>
      </c>
      <c r="DM523" s="27" t="s">
        <v>8</v>
      </c>
      <c r="GZ523" s="27" t="s">
        <v>7</v>
      </c>
    </row>
    <row r="524" spans="1:212" x14ac:dyDescent="0.25">
      <c r="A524" s="7">
        <v>3.4818561208596837</v>
      </c>
      <c r="B524"/>
      <c r="C524"/>
      <c r="D524"/>
      <c r="E524" t="s">
        <v>8</v>
      </c>
      <c r="J524" s="27" t="s">
        <v>7</v>
      </c>
      <c r="K524" s="27" t="s">
        <v>8</v>
      </c>
      <c r="T524" s="27" t="s">
        <v>7</v>
      </c>
      <c r="U524" s="27" t="s">
        <v>8</v>
      </c>
      <c r="V524" s="27" t="s">
        <v>7</v>
      </c>
      <c r="W524" s="27" t="s">
        <v>8</v>
      </c>
      <c r="CV524" s="27" t="s">
        <v>7</v>
      </c>
      <c r="CW524" s="27" t="s">
        <v>8</v>
      </c>
      <c r="CX524" s="27" t="s">
        <v>7</v>
      </c>
      <c r="CY524" s="27" t="s">
        <v>8</v>
      </c>
      <c r="DL524" s="27" t="s">
        <v>7</v>
      </c>
      <c r="DM524" s="27" t="s">
        <v>8</v>
      </c>
      <c r="GZ524" s="27" t="s">
        <v>7</v>
      </c>
    </row>
    <row r="525" spans="1:212" x14ac:dyDescent="0.25">
      <c r="A525" s="7">
        <v>3.4135844322153761</v>
      </c>
      <c r="B525"/>
      <c r="C525"/>
      <c r="D525"/>
      <c r="E525" t="s">
        <v>8</v>
      </c>
      <c r="J525" s="27" t="s">
        <v>7</v>
      </c>
      <c r="K525" s="27" t="s">
        <v>8</v>
      </c>
      <c r="T525" s="27" t="s">
        <v>7</v>
      </c>
      <c r="U525" s="27" t="s">
        <v>8</v>
      </c>
      <c r="V525" s="27" t="s">
        <v>7</v>
      </c>
      <c r="W525" s="27" t="s">
        <v>8</v>
      </c>
      <c r="CV525" s="27" t="s">
        <v>7</v>
      </c>
      <c r="CW525" s="27" t="s">
        <v>8</v>
      </c>
      <c r="CX525" s="27" t="s">
        <v>7</v>
      </c>
      <c r="DL525" s="27" t="s">
        <v>7</v>
      </c>
      <c r="GZ525" s="27" t="s">
        <v>7</v>
      </c>
    </row>
    <row r="526" spans="1:212" x14ac:dyDescent="0.25">
      <c r="A526" s="7">
        <v>3.3466514041327216</v>
      </c>
      <c r="B526"/>
      <c r="C526"/>
      <c r="D526"/>
      <c r="E526" t="s">
        <v>8</v>
      </c>
      <c r="J526" s="27" t="s">
        <v>7</v>
      </c>
      <c r="K526" s="27" t="s">
        <v>8</v>
      </c>
      <c r="T526" s="27" t="s">
        <v>7</v>
      </c>
      <c r="U526" s="27" t="s">
        <v>8</v>
      </c>
      <c r="V526" s="27" t="s">
        <v>7</v>
      </c>
      <c r="W526" s="27" t="s">
        <v>8</v>
      </c>
      <c r="CV526" s="27" t="s">
        <v>7</v>
      </c>
      <c r="CW526" s="27" t="s">
        <v>8</v>
      </c>
      <c r="GZ526" s="27" t="s">
        <v>7</v>
      </c>
    </row>
    <row r="527" spans="1:212" x14ac:dyDescent="0.25">
      <c r="A527" s="7">
        <v>3.2810307883654133</v>
      </c>
      <c r="B527"/>
      <c r="C527"/>
      <c r="D527"/>
      <c r="E527" t="s">
        <v>8</v>
      </c>
      <c r="J527" s="27" t="s">
        <v>7</v>
      </c>
      <c r="K527" s="27" t="s">
        <v>8</v>
      </c>
      <c r="T527" s="27" t="s">
        <v>7</v>
      </c>
      <c r="U527" s="27" t="s">
        <v>8</v>
      </c>
      <c r="V527" s="27" t="s">
        <v>7</v>
      </c>
      <c r="W527" s="27" t="s">
        <v>8</v>
      </c>
      <c r="CV527" s="27" t="s">
        <v>7</v>
      </c>
      <c r="CW527" s="27" t="s">
        <v>8</v>
      </c>
      <c r="GZ527" s="27" t="s">
        <v>7</v>
      </c>
      <c r="HC527" s="27" t="s">
        <v>8</v>
      </c>
    </row>
    <row r="528" spans="1:212" x14ac:dyDescent="0.25">
      <c r="A528" s="7">
        <v>3.2166968513386403</v>
      </c>
      <c r="B528"/>
      <c r="C528"/>
      <c r="D528"/>
      <c r="E528" t="s">
        <v>8</v>
      </c>
      <c r="J528" s="27" t="s">
        <v>7</v>
      </c>
      <c r="K528" s="27" t="s">
        <v>8</v>
      </c>
      <c r="T528" s="27" t="s">
        <v>7</v>
      </c>
      <c r="V528" s="27" t="s">
        <v>7</v>
      </c>
      <c r="CV528" s="27" t="s">
        <v>7</v>
      </c>
      <c r="CW528" s="27" t="s">
        <v>8</v>
      </c>
      <c r="GZ528" s="27" t="s">
        <v>7</v>
      </c>
      <c r="HA528" s="27" t="s">
        <v>8</v>
      </c>
      <c r="HC528" s="27" t="s">
        <v>8</v>
      </c>
      <c r="HD528" s="27" t="s">
        <v>7</v>
      </c>
    </row>
    <row r="529" spans="1:212" x14ac:dyDescent="0.25">
      <c r="A529" s="7">
        <v>3.1536243640574906</v>
      </c>
      <c r="B529"/>
      <c r="C529"/>
      <c r="D529"/>
      <c r="E529" t="s">
        <v>8</v>
      </c>
      <c r="J529" s="27" t="s">
        <v>7</v>
      </c>
      <c r="K529" s="27" t="s">
        <v>8</v>
      </c>
      <c r="CV529" s="27" t="s">
        <v>7</v>
      </c>
      <c r="GZ529" s="27" t="s">
        <v>7</v>
      </c>
      <c r="HA529" s="27" t="s">
        <v>8</v>
      </c>
      <c r="HB529" s="27" t="s">
        <v>7</v>
      </c>
      <c r="HC529" s="27" t="s">
        <v>8</v>
      </c>
      <c r="HD529" s="27" t="s">
        <v>7</v>
      </c>
    </row>
    <row r="530" spans="1:212" x14ac:dyDescent="0.25">
      <c r="A530" s="7">
        <v>3.0917885922132262</v>
      </c>
      <c r="B530"/>
      <c r="C530"/>
      <c r="D530"/>
      <c r="E530" t="s">
        <v>8</v>
      </c>
      <c r="J530" s="27" t="s">
        <v>7</v>
      </c>
      <c r="K530" s="27" t="s">
        <v>8</v>
      </c>
      <c r="GZ530" s="27" t="s">
        <v>7</v>
      </c>
      <c r="HA530" s="27" t="s">
        <v>8</v>
      </c>
      <c r="HB530" s="27" t="s">
        <v>7</v>
      </c>
      <c r="HC530" s="27" t="s">
        <v>8</v>
      </c>
      <c r="HD530" s="27" t="s">
        <v>7</v>
      </c>
    </row>
    <row r="531" spans="1:212" x14ac:dyDescent="0.25">
      <c r="A531" s="7">
        <v>3.0311652864835552</v>
      </c>
      <c r="B531"/>
      <c r="C531"/>
      <c r="D531"/>
      <c r="E531" t="s">
        <v>8</v>
      </c>
      <c r="J531" s="27" t="s">
        <v>7</v>
      </c>
      <c r="K531" s="27" t="s">
        <v>8</v>
      </c>
      <c r="GZ531" s="27" t="s">
        <v>7</v>
      </c>
      <c r="HA531" s="27" t="s">
        <v>8</v>
      </c>
      <c r="HB531" s="27" t="s">
        <v>7</v>
      </c>
      <c r="HC531" s="27" t="s">
        <v>8</v>
      </c>
      <c r="HD531" s="27" t="s">
        <v>7</v>
      </c>
    </row>
    <row r="532" spans="1:212" x14ac:dyDescent="0.25">
      <c r="A532" s="7">
        <v>2.9717306730230932</v>
      </c>
      <c r="B532"/>
      <c r="C532"/>
      <c r="D532"/>
      <c r="E532" t="s">
        <v>8</v>
      </c>
      <c r="J532" s="27" t="s">
        <v>7</v>
      </c>
      <c r="K532" s="27" t="s">
        <v>8</v>
      </c>
      <c r="GZ532" s="27" t="s">
        <v>7</v>
      </c>
      <c r="HB532" s="27" t="s">
        <v>7</v>
      </c>
      <c r="HC532" s="27" t="s">
        <v>8</v>
      </c>
    </row>
    <row r="533" spans="1:212" x14ac:dyDescent="0.25">
      <c r="A533" s="7">
        <v>2.9134614441402875</v>
      </c>
      <c r="B533"/>
      <c r="C533"/>
      <c r="D533"/>
      <c r="E533" t="s">
        <v>8</v>
      </c>
      <c r="J533" s="27" t="s">
        <v>7</v>
      </c>
      <c r="K533" s="27" t="s">
        <v>8</v>
      </c>
      <c r="HB533" s="27" t="s">
        <v>7</v>
      </c>
      <c r="HC533" s="27" t="s">
        <v>8</v>
      </c>
    </row>
    <row r="534" spans="1:212" x14ac:dyDescent="0.25">
      <c r="A534" s="7">
        <v>2.8563347491571447</v>
      </c>
      <c r="B534"/>
      <c r="C534"/>
      <c r="D534"/>
      <c r="E534" t="s">
        <v>8</v>
      </c>
      <c r="J534" s="27" t="s">
        <v>7</v>
      </c>
      <c r="K534" s="27" t="s">
        <v>8</v>
      </c>
      <c r="HB534" s="27" t="s">
        <v>7</v>
      </c>
      <c r="HC534" s="27" t="s">
        <v>8</v>
      </c>
    </row>
    <row r="535" spans="1:212" x14ac:dyDescent="0.25">
      <c r="A535" s="7">
        <v>2.8003281854481812</v>
      </c>
      <c r="B535"/>
      <c r="C535"/>
      <c r="D535"/>
      <c r="E535" t="s">
        <v>8</v>
      </c>
      <c r="J535" s="27" t="s">
        <v>7</v>
      </c>
      <c r="K535" s="27" t="s">
        <v>8</v>
      </c>
      <c r="HB535" s="27" t="s">
        <v>7</v>
      </c>
      <c r="HC535" s="27" t="s">
        <v>8</v>
      </c>
    </row>
    <row r="536" spans="1:212" x14ac:dyDescent="0.25">
      <c r="A536" s="7">
        <v>2.7454197896550796</v>
      </c>
      <c r="B536"/>
      <c r="C536"/>
      <c r="D536"/>
      <c r="E536" t="s">
        <v>8</v>
      </c>
      <c r="J536" s="27" t="s">
        <v>7</v>
      </c>
      <c r="K536" s="27" t="s">
        <v>8</v>
      </c>
      <c r="HB536" s="27" t="s">
        <v>7</v>
      </c>
    </row>
    <row r="537" spans="1:212" x14ac:dyDescent="0.25">
      <c r="A537" s="7">
        <v>2.6915880290736074</v>
      </c>
      <c r="B537"/>
      <c r="C537"/>
      <c r="D537"/>
      <c r="E537" t="s">
        <v>8</v>
      </c>
      <c r="J537" s="27" t="s">
        <v>7</v>
      </c>
      <c r="K537" s="27" t="s">
        <v>8</v>
      </c>
    </row>
    <row r="538" spans="1:212" x14ac:dyDescent="0.25">
      <c r="A538" s="7">
        <v>2.6388117932094191</v>
      </c>
      <c r="B538"/>
      <c r="C538"/>
      <c r="D538"/>
      <c r="E538" t="s">
        <v>8</v>
      </c>
      <c r="J538" s="27" t="s">
        <v>7</v>
      </c>
      <c r="K538" s="27" t="s">
        <v>8</v>
      </c>
    </row>
    <row r="539" spans="1:212" x14ac:dyDescent="0.25">
      <c r="A539" s="7">
        <v>2.5870703854994304</v>
      </c>
      <c r="B539"/>
      <c r="C539"/>
      <c r="D539"/>
      <c r="E539" t="s">
        <v>8</v>
      </c>
      <c r="J539" s="27" t="s">
        <v>7</v>
      </c>
      <c r="K539" s="27" t="s">
        <v>8</v>
      </c>
    </row>
    <row r="540" spans="1:212" x14ac:dyDescent="0.25">
      <c r="A540" s="7">
        <v>2.53634351519552</v>
      </c>
      <c r="B540"/>
      <c r="C540"/>
      <c r="D540"/>
      <c r="E540" t="s">
        <v>8</v>
      </c>
      <c r="J540" s="27" t="s">
        <v>7</v>
      </c>
      <c r="K540" s="27" t="s">
        <v>8</v>
      </c>
    </row>
    <row r="541" spans="1:212" x14ac:dyDescent="0.25">
      <c r="A541" s="7">
        <v>2.4866112894073726</v>
      </c>
      <c r="B541"/>
      <c r="C541"/>
      <c r="D541"/>
      <c r="E541" t="s">
        <v>8</v>
      </c>
      <c r="J541" s="27" t="s">
        <v>7</v>
      </c>
      <c r="K541" s="27" t="s">
        <v>8</v>
      </c>
    </row>
    <row r="542" spans="1:212" x14ac:dyDescent="0.25">
      <c r="A542" s="7">
        <v>2.4378542053013459</v>
      </c>
      <c r="B542"/>
      <c r="C542"/>
      <c r="D542"/>
      <c r="E542" t="s">
        <v>8</v>
      </c>
      <c r="J542" s="27" t="s">
        <v>7</v>
      </c>
      <c r="K542" s="27" t="s">
        <v>8</v>
      </c>
    </row>
    <row r="543" spans="1:212" x14ac:dyDescent="0.25">
      <c r="A543" s="7">
        <v>2.3900531424522997</v>
      </c>
      <c r="B543"/>
      <c r="C543"/>
      <c r="D543"/>
      <c r="E543" t="s">
        <v>8</v>
      </c>
      <c r="J543" s="27" t="s">
        <v>7</v>
      </c>
    </row>
    <row r="544" spans="1:212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99" operator="equal">
      <formula>$U$1</formula>
    </cfRule>
    <cfRule type="cellIs" dxfId="89" priority="800" operator="equal">
      <formula>$S$1</formula>
    </cfRule>
  </conditionalFormatting>
  <conditionalFormatting sqref="D27">
    <cfRule type="cellIs" dxfId="88" priority="797" operator="equal">
      <formula>$S$1</formula>
    </cfRule>
    <cfRule type="cellIs" dxfId="87" priority="798" operator="equal">
      <formula>$U$1</formula>
    </cfRule>
  </conditionalFormatting>
  <conditionalFormatting sqref="C164">
    <cfRule type="cellIs" dxfId="86" priority="795" operator="equal">
      <formula>$U$1</formula>
    </cfRule>
    <cfRule type="cellIs" dxfId="85" priority="796" operator="equal">
      <formula>$S$1</formula>
    </cfRule>
  </conditionalFormatting>
  <conditionalFormatting sqref="D164">
    <cfRule type="cellIs" dxfId="84" priority="793" operator="equal">
      <formula>$S$1</formula>
    </cfRule>
    <cfRule type="cellIs" dxfId="83" priority="794" operator="equal">
      <formula>$U$1</formula>
    </cfRule>
  </conditionalFormatting>
  <conditionalFormatting sqref="C55">
    <cfRule type="cellIs" dxfId="82" priority="791" operator="equal">
      <formula>$U$1</formula>
    </cfRule>
    <cfRule type="cellIs" dxfId="81" priority="792" operator="equal">
      <formula>$S$1</formula>
    </cfRule>
  </conditionalFormatting>
  <conditionalFormatting sqref="D55">
    <cfRule type="cellIs" dxfId="80" priority="789" operator="equal">
      <formula>$S$1</formula>
    </cfRule>
    <cfRule type="cellIs" dxfId="79" priority="790" operator="equal">
      <formula>$U$1</formula>
    </cfRule>
  </conditionalFormatting>
  <conditionalFormatting sqref="C89">
    <cfRule type="cellIs" dxfId="78" priority="787" operator="equal">
      <formula>$U$1</formula>
    </cfRule>
    <cfRule type="cellIs" dxfId="77" priority="788" operator="equal">
      <formula>$S$1</formula>
    </cfRule>
  </conditionalFormatting>
  <conditionalFormatting sqref="D89">
    <cfRule type="cellIs" dxfId="76" priority="785" operator="equal">
      <formula>$S$1</formula>
    </cfRule>
    <cfRule type="cellIs" dxfId="75" priority="786" operator="equal">
      <formula>$U$1</formula>
    </cfRule>
  </conditionalFormatting>
  <conditionalFormatting sqref="C136">
    <cfRule type="cellIs" dxfId="74" priority="783" operator="equal">
      <formula>$U$1</formula>
    </cfRule>
    <cfRule type="cellIs" dxfId="73" priority="784" operator="equal">
      <formula>$S$1</formula>
    </cfRule>
  </conditionalFormatting>
  <conditionalFormatting sqref="D136">
    <cfRule type="cellIs" dxfId="72" priority="781" operator="equal">
      <formula>$S$1</formula>
    </cfRule>
    <cfRule type="cellIs" dxfId="71" priority="782" operator="equal">
      <formula>$U$1</formula>
    </cfRule>
  </conditionalFormatting>
  <conditionalFormatting sqref="C1">
    <cfRule type="cellIs" dxfId="70" priority="78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E216" sqref="DE21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$A$215</v>
      </c>
      <c r="D111" s="1" t="str">
        <f>ADDRESS(C121-1,D121,1,1)</f>
        <v>$DE$215</v>
      </c>
      <c r="E111"/>
    </row>
    <row r="112" spans="1:5" x14ac:dyDescent="0.25">
      <c r="A112" s="30">
        <v>515.50191262726139</v>
      </c>
      <c r="C112" s="1" t="str">
        <f>ADDRESS(C121,1,1,1)</f>
        <v>$A$216</v>
      </c>
      <c r="D112" s="1" t="str">
        <f>ADDRESS(C121,D121-1,1,1)</f>
        <v>$DD$216</v>
      </c>
      <c r="E112"/>
    </row>
    <row r="113" spans="1:5" x14ac:dyDescent="0.25">
      <c r="A113" s="30">
        <v>490.95420250215363</v>
      </c>
      <c r="C113" s="1" t="str">
        <f>ADDRESS(C121+1,1,1,1)</f>
        <v>$A$217</v>
      </c>
      <c r="D113" s="1" t="str">
        <f>ADDRESS(C121-1,D121+1,1,1)</f>
        <v>$DF$215</v>
      </c>
    </row>
    <row r="114" spans="1:5" x14ac:dyDescent="0.25">
      <c r="A114" s="30">
        <v>467.57543095443202</v>
      </c>
      <c r="C114" s="1" t="str">
        <f>ADDRESS(C121,D121,1,1)</f>
        <v>$DE$216</v>
      </c>
      <c r="D114" s="1" t="str">
        <f>ADDRESS(C121+1,D121+1,1,1)</f>
        <v>$DF$217</v>
      </c>
    </row>
    <row r="115" spans="1:5" x14ac:dyDescent="0.25">
      <c r="A115" s="30">
        <v>445.30993424231622</v>
      </c>
      <c r="C115" s="1" t="str">
        <f>ADDRESS(C121+1,D121,1,1)</f>
        <v>$DE$217</v>
      </c>
    </row>
    <row r="116" spans="1:5" x14ac:dyDescent="0.25">
      <c r="A116" s="30">
        <v>424.10469927839637</v>
      </c>
      <c r="C116" s="1">
        <f>C117-1</f>
        <v>215</v>
      </c>
    </row>
    <row r="117" spans="1:5" x14ac:dyDescent="0.25">
      <c r="A117" s="30">
        <v>403.9092374079965</v>
      </c>
      <c r="C117" s="1">
        <f>C121</f>
        <v>216</v>
      </c>
      <c r="D117" s="1">
        <f>D121</f>
        <v>109</v>
      </c>
    </row>
    <row r="118" spans="1:5" x14ac:dyDescent="0.25">
      <c r="A118" s="30">
        <v>384.6754641980919</v>
      </c>
      <c r="C118" s="1">
        <f>C117+1</f>
        <v>217</v>
      </c>
      <c r="D118" s="1">
        <f>D117+1</f>
        <v>110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216</v>
      </c>
      <c r="D121" s="19">
        <v>109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R216</v>
      </c>
      <c r="D123" s="1" t="str">
        <f>"C"&amp;D121</f>
        <v>C109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3.2250999437137038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92" x14ac:dyDescent="0.25">
      <c r="A177" s="30">
        <v>21.623492570684135</v>
      </c>
      <c r="E177"/>
    </row>
    <row r="178" spans="1:92" x14ac:dyDescent="0.25">
      <c r="A178" s="30">
        <v>20.593802448270605</v>
      </c>
      <c r="C178" s="7"/>
      <c r="D178"/>
      <c r="E178"/>
    </row>
    <row r="179" spans="1:92" x14ac:dyDescent="0.25">
      <c r="A179" s="30">
        <v>19.613145188829147</v>
      </c>
      <c r="E179"/>
    </row>
    <row r="180" spans="1:92" x14ac:dyDescent="0.25">
      <c r="A180" s="30">
        <v>18.679185894122998</v>
      </c>
      <c r="E180"/>
    </row>
    <row r="181" spans="1:92" x14ac:dyDescent="0.25">
      <c r="A181" s="30">
        <v>17.78970085154571</v>
      </c>
      <c r="C181"/>
      <c r="D181"/>
      <c r="E181"/>
    </row>
    <row r="182" spans="1:92" x14ac:dyDescent="0.25">
      <c r="A182" s="30">
        <v>16.942572239567344</v>
      </c>
      <c r="E182"/>
      <c r="AQ182" s="27" t="s">
        <v>8</v>
      </c>
    </row>
    <row r="183" spans="1:92" x14ac:dyDescent="0.25">
      <c r="A183" s="30">
        <v>16.135783085302233</v>
      </c>
      <c r="E183"/>
      <c r="AQ183" s="27" t="s">
        <v>8</v>
      </c>
      <c r="AR183" s="27" t="s">
        <v>7</v>
      </c>
      <c r="BE183" s="27" t="s">
        <v>8</v>
      </c>
    </row>
    <row r="184" spans="1:92" x14ac:dyDescent="0.25">
      <c r="A184" s="30">
        <v>15.367412462192602</v>
      </c>
      <c r="E184"/>
      <c r="AQ184" s="27" t="s">
        <v>8</v>
      </c>
      <c r="AR184" s="27" t="s">
        <v>7</v>
      </c>
      <c r="BE184" s="27" t="s">
        <v>8</v>
      </c>
      <c r="BF184" s="27" t="s">
        <v>7</v>
      </c>
    </row>
    <row r="185" spans="1:92" x14ac:dyDescent="0.25">
      <c r="A185" s="30">
        <v>14.635630916373906</v>
      </c>
      <c r="C185"/>
      <c r="E185"/>
      <c r="AQ185" s="27" t="s">
        <v>8</v>
      </c>
      <c r="AR185" s="27" t="s">
        <v>7</v>
      </c>
      <c r="AU185" s="27" t="s">
        <v>8</v>
      </c>
      <c r="BE185" s="27" t="s">
        <v>8</v>
      </c>
      <c r="BF185" s="27" t="s">
        <v>7</v>
      </c>
    </row>
    <row r="186" spans="1:92" x14ac:dyDescent="0.25">
      <c r="A186" s="30">
        <v>13.938696110832291</v>
      </c>
      <c r="E186"/>
      <c r="AQ186" s="27" t="s">
        <v>8</v>
      </c>
      <c r="AR186" s="27" t="s">
        <v>7</v>
      </c>
      <c r="AS186" s="27" t="s">
        <v>8</v>
      </c>
      <c r="AU186" s="27" t="s">
        <v>8</v>
      </c>
      <c r="AV186" s="27" t="s">
        <v>7</v>
      </c>
      <c r="BE186" s="27" t="s">
        <v>8</v>
      </c>
      <c r="BF186" s="27" t="s">
        <v>7</v>
      </c>
      <c r="BG186" s="27" t="s">
        <v>8</v>
      </c>
    </row>
    <row r="187" spans="1:92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O187" s="27" t="s">
        <v>8</v>
      </c>
      <c r="AQ187" s="27" t="s">
        <v>8</v>
      </c>
      <c r="AR187" s="27" t="s">
        <v>7</v>
      </c>
      <c r="AS187" s="27" t="s">
        <v>8</v>
      </c>
      <c r="AT187" s="27" t="s">
        <v>7</v>
      </c>
      <c r="AU187" s="27" t="s">
        <v>8</v>
      </c>
      <c r="AV187" s="27" t="s">
        <v>7</v>
      </c>
      <c r="BE187" s="27" t="s">
        <v>8</v>
      </c>
      <c r="BF187" s="27" t="s">
        <v>7</v>
      </c>
      <c r="BG187" s="27" t="s">
        <v>8</v>
      </c>
      <c r="BH187" s="27" t="s">
        <v>7</v>
      </c>
    </row>
    <row r="188" spans="1:92" x14ac:dyDescent="0.25">
      <c r="A188" s="30">
        <v>12.64280826379346</v>
      </c>
      <c r="E188"/>
      <c r="AI188" s="27" t="s">
        <v>8</v>
      </c>
      <c r="AO188" s="27" t="s">
        <v>8</v>
      </c>
      <c r="AP188" s="27" t="s">
        <v>7</v>
      </c>
      <c r="AQ188" s="27" t="s">
        <v>8</v>
      </c>
      <c r="AR188" s="27" t="s">
        <v>7</v>
      </c>
      <c r="AS188" s="27" t="s">
        <v>8</v>
      </c>
      <c r="AT188" s="27" t="s">
        <v>7</v>
      </c>
      <c r="AU188" s="27" t="s">
        <v>8</v>
      </c>
      <c r="AV188" s="27" t="s">
        <v>7</v>
      </c>
      <c r="BE188" s="27" t="s">
        <v>8</v>
      </c>
      <c r="BF188" s="27" t="s">
        <v>7</v>
      </c>
      <c r="BG188" s="27" t="s">
        <v>8</v>
      </c>
      <c r="BH188" s="27" t="s">
        <v>7</v>
      </c>
    </row>
    <row r="189" spans="1:92" x14ac:dyDescent="0.25">
      <c r="A189" s="30">
        <v>12.04076977504139</v>
      </c>
      <c r="E189"/>
      <c r="AI189" s="27" t="s">
        <v>8</v>
      </c>
      <c r="AJ189" s="27" t="s">
        <v>7</v>
      </c>
      <c r="AM189" s="27" t="s">
        <v>8</v>
      </c>
      <c r="AO189" s="27" t="s">
        <v>8</v>
      </c>
      <c r="AP189" s="27" t="s">
        <v>7</v>
      </c>
      <c r="AQ189" s="27" t="s">
        <v>8</v>
      </c>
      <c r="AR189" s="27" t="s">
        <v>7</v>
      </c>
      <c r="AT189" s="27" t="s">
        <v>7</v>
      </c>
      <c r="AV189" s="27" t="s">
        <v>7</v>
      </c>
      <c r="BE189" s="27" t="s">
        <v>8</v>
      </c>
      <c r="BF189" s="27" t="s">
        <v>7</v>
      </c>
      <c r="BG189" s="27" t="s">
        <v>8</v>
      </c>
      <c r="BH189" s="27" t="s">
        <v>7</v>
      </c>
    </row>
    <row r="190" spans="1:92" x14ac:dyDescent="0.25">
      <c r="A190" s="30">
        <v>11.467399785753704</v>
      </c>
      <c r="E190"/>
      <c r="AI190" s="27" t="s">
        <v>8</v>
      </c>
      <c r="AJ190" s="27" t="s">
        <v>7</v>
      </c>
      <c r="AM190" s="27" t="s">
        <v>8</v>
      </c>
      <c r="AN190" s="27" t="s">
        <v>7</v>
      </c>
      <c r="AO190" s="27" t="s">
        <v>8</v>
      </c>
      <c r="AP190" s="27" t="s">
        <v>7</v>
      </c>
      <c r="AQ190" s="27" t="s">
        <v>8</v>
      </c>
      <c r="AV190" s="27" t="s">
        <v>7</v>
      </c>
      <c r="BE190" s="27" t="s">
        <v>8</v>
      </c>
      <c r="BF190" s="27" t="s">
        <v>7</v>
      </c>
      <c r="BG190" s="27" t="s">
        <v>8</v>
      </c>
      <c r="BH190" s="27" t="s">
        <v>7</v>
      </c>
      <c r="CI190" s="27" t="s">
        <v>8</v>
      </c>
    </row>
    <row r="191" spans="1:92" x14ac:dyDescent="0.25">
      <c r="A191" s="30">
        <v>10.921333129289241</v>
      </c>
      <c r="E191"/>
      <c r="AG191" s="27" t="s">
        <v>8</v>
      </c>
      <c r="AI191" s="27" t="s">
        <v>8</v>
      </c>
      <c r="AJ191" s="27" t="s">
        <v>7</v>
      </c>
      <c r="AM191" s="27" t="s">
        <v>8</v>
      </c>
      <c r="AN191" s="27" t="s">
        <v>7</v>
      </c>
      <c r="AO191" s="27" t="s">
        <v>8</v>
      </c>
      <c r="AP191" s="27" t="s">
        <v>7</v>
      </c>
      <c r="AQ191" s="27" t="s">
        <v>8</v>
      </c>
      <c r="AV191" s="27" t="s">
        <v>7</v>
      </c>
      <c r="AY191" s="27" t="s">
        <v>8</v>
      </c>
      <c r="BC191" s="27" t="s">
        <v>8</v>
      </c>
      <c r="BE191" s="27" t="s">
        <v>8</v>
      </c>
      <c r="BF191" s="27" t="s">
        <v>7</v>
      </c>
      <c r="BG191" s="27" t="s">
        <v>8</v>
      </c>
      <c r="BH191" s="27" t="s">
        <v>7</v>
      </c>
      <c r="CE191" s="27" t="s">
        <v>8</v>
      </c>
      <c r="CI191" s="27" t="s">
        <v>8</v>
      </c>
      <c r="CJ191" s="27" t="s">
        <v>7</v>
      </c>
      <c r="CM191" s="27" t="s">
        <v>8</v>
      </c>
    </row>
    <row r="192" spans="1:92" x14ac:dyDescent="0.25">
      <c r="A192" s="30">
        <v>10.401269646942135</v>
      </c>
      <c r="E192"/>
      <c r="AG192" s="27" t="s">
        <v>8</v>
      </c>
      <c r="AH192" s="27" t="s">
        <v>7</v>
      </c>
      <c r="AI192" s="27" t="s">
        <v>8</v>
      </c>
      <c r="AJ192" s="27" t="s">
        <v>7</v>
      </c>
      <c r="AK192" s="27" t="s">
        <v>8</v>
      </c>
      <c r="AM192" s="27" t="s">
        <v>8</v>
      </c>
      <c r="AN192" s="27" t="s">
        <v>7</v>
      </c>
      <c r="AO192" s="27" t="s">
        <v>8</v>
      </c>
      <c r="AP192" s="27" t="s">
        <v>7</v>
      </c>
      <c r="AQ192" s="27" t="s">
        <v>8</v>
      </c>
      <c r="AV192" s="27" t="s">
        <v>7</v>
      </c>
      <c r="AW192" s="27" t="s">
        <v>8</v>
      </c>
      <c r="AY192" s="27" t="s">
        <v>8</v>
      </c>
      <c r="AZ192" s="27" t="s">
        <v>7</v>
      </c>
      <c r="BC192" s="27" t="s">
        <v>8</v>
      </c>
      <c r="BD192" s="27" t="s">
        <v>7</v>
      </c>
      <c r="BE192" s="27" t="s">
        <v>8</v>
      </c>
      <c r="BF192" s="27" t="s">
        <v>7</v>
      </c>
      <c r="BH192" s="27" t="s">
        <v>7</v>
      </c>
      <c r="BI192" s="27" t="s">
        <v>8</v>
      </c>
      <c r="CE192" s="27" t="s">
        <v>8</v>
      </c>
      <c r="CF192" s="27" t="s">
        <v>7</v>
      </c>
      <c r="CI192" s="27" t="s">
        <v>8</v>
      </c>
      <c r="CJ192" s="27" t="s">
        <v>7</v>
      </c>
      <c r="CM192" s="27" t="s">
        <v>8</v>
      </c>
      <c r="CN192" s="27" t="s">
        <v>7</v>
      </c>
    </row>
    <row r="193" spans="1:104" x14ac:dyDescent="0.25">
      <c r="A193" s="30">
        <v>9.9059710923258422</v>
      </c>
      <c r="E193"/>
      <c r="AG193" s="27" t="s">
        <v>8</v>
      </c>
      <c r="AH193" s="27" t="s">
        <v>7</v>
      </c>
      <c r="AI193" s="27" t="s">
        <v>8</v>
      </c>
      <c r="AJ193" s="27" t="s">
        <v>7</v>
      </c>
      <c r="AK193" s="27" t="s">
        <v>8</v>
      </c>
      <c r="AL193" s="27" t="s">
        <v>7</v>
      </c>
      <c r="AM193" s="27" t="s">
        <v>8</v>
      </c>
      <c r="AN193" s="27" t="s">
        <v>7</v>
      </c>
      <c r="AO193" s="27" t="s">
        <v>8</v>
      </c>
      <c r="AP193" s="27" t="s">
        <v>7</v>
      </c>
      <c r="AV193" s="27" t="s">
        <v>7</v>
      </c>
      <c r="AW193" s="27" t="s">
        <v>8</v>
      </c>
      <c r="AX193" s="27" t="s">
        <v>7</v>
      </c>
      <c r="AY193" s="27" t="s">
        <v>8</v>
      </c>
      <c r="AZ193" s="27" t="s">
        <v>7</v>
      </c>
      <c r="BA193" s="27" t="s">
        <v>8</v>
      </c>
      <c r="BC193" s="27" t="s">
        <v>8</v>
      </c>
      <c r="BD193" s="27" t="s">
        <v>7</v>
      </c>
      <c r="BE193" s="27" t="s">
        <v>8</v>
      </c>
      <c r="BH193" s="27" t="s">
        <v>7</v>
      </c>
      <c r="BI193" s="27" t="s">
        <v>8</v>
      </c>
      <c r="BJ193" s="27" t="s">
        <v>7</v>
      </c>
      <c r="CE193" s="27" t="s">
        <v>8</v>
      </c>
      <c r="CF193" s="27" t="s">
        <v>7</v>
      </c>
      <c r="CI193" s="27" t="s">
        <v>8</v>
      </c>
      <c r="CJ193" s="27" t="s">
        <v>7</v>
      </c>
      <c r="CM193" s="27" t="s">
        <v>8</v>
      </c>
      <c r="CN193" s="27" t="s">
        <v>7</v>
      </c>
    </row>
    <row r="194" spans="1:104" x14ac:dyDescent="0.25">
      <c r="A194" s="30">
        <v>9.4342581831674686</v>
      </c>
      <c r="E194"/>
      <c r="AG194" s="27" t="s">
        <v>8</v>
      </c>
      <c r="AH194" s="27" t="s">
        <v>7</v>
      </c>
      <c r="AI194" s="27" t="s">
        <v>8</v>
      </c>
      <c r="AJ194" s="27" t="s">
        <v>7</v>
      </c>
      <c r="AK194" s="27" t="s">
        <v>8</v>
      </c>
      <c r="AL194" s="27" t="s">
        <v>7</v>
      </c>
      <c r="AM194" s="27" t="s">
        <v>8</v>
      </c>
      <c r="AN194" s="27" t="s">
        <v>7</v>
      </c>
      <c r="AV194" s="27" t="s">
        <v>7</v>
      </c>
      <c r="AW194" s="27" t="s">
        <v>8</v>
      </c>
      <c r="AX194" s="27" t="s">
        <v>7</v>
      </c>
      <c r="AY194" s="27" t="s">
        <v>8</v>
      </c>
      <c r="AZ194" s="27" t="s">
        <v>7</v>
      </c>
      <c r="BA194" s="27" t="s">
        <v>8</v>
      </c>
      <c r="BB194" s="27" t="s">
        <v>7</v>
      </c>
      <c r="BC194" s="27" t="s">
        <v>8</v>
      </c>
      <c r="BD194" s="27" t="s">
        <v>7</v>
      </c>
      <c r="BE194" s="27" t="s">
        <v>8</v>
      </c>
      <c r="BH194" s="27" t="s">
        <v>7</v>
      </c>
      <c r="BI194" s="27" t="s">
        <v>8</v>
      </c>
      <c r="BJ194" s="27" t="s">
        <v>7</v>
      </c>
      <c r="CE194" s="27" t="s">
        <v>8</v>
      </c>
      <c r="CF194" s="27" t="s">
        <v>7</v>
      </c>
      <c r="CI194" s="27" t="s">
        <v>8</v>
      </c>
      <c r="CJ194" s="27" t="s">
        <v>7</v>
      </c>
      <c r="CM194" s="27" t="s">
        <v>8</v>
      </c>
      <c r="CN194" s="27" t="s">
        <v>7</v>
      </c>
    </row>
    <row r="195" spans="1:104" x14ac:dyDescent="0.25">
      <c r="A195" s="30">
        <v>8.9850077934928265</v>
      </c>
      <c r="E195"/>
      <c r="AG195" s="27" t="s">
        <v>8</v>
      </c>
      <c r="AH195" s="27" t="s">
        <v>7</v>
      </c>
      <c r="AI195" s="27" t="s">
        <v>8</v>
      </c>
      <c r="AJ195" s="27" t="s">
        <v>7</v>
      </c>
      <c r="AL195" s="27" t="s">
        <v>7</v>
      </c>
      <c r="AM195" s="27" t="s">
        <v>8</v>
      </c>
      <c r="AV195" s="27" t="s">
        <v>7</v>
      </c>
      <c r="AW195" s="27" t="s">
        <v>8</v>
      </c>
      <c r="AX195" s="27" t="s">
        <v>7</v>
      </c>
      <c r="AY195" s="27" t="s">
        <v>8</v>
      </c>
      <c r="AZ195" s="27" t="s">
        <v>7</v>
      </c>
      <c r="BA195" s="27" t="s">
        <v>8</v>
      </c>
      <c r="BB195" s="27" t="s">
        <v>7</v>
      </c>
      <c r="BC195" s="27" t="s">
        <v>8</v>
      </c>
      <c r="BD195" s="27" t="s">
        <v>7</v>
      </c>
      <c r="BE195" s="27" t="s">
        <v>8</v>
      </c>
      <c r="BH195" s="27" t="s">
        <v>7</v>
      </c>
      <c r="BI195" s="27" t="s">
        <v>8</v>
      </c>
      <c r="BJ195" s="27" t="s">
        <v>7</v>
      </c>
      <c r="CE195" s="27" t="s">
        <v>8</v>
      </c>
      <c r="CF195" s="27" t="s">
        <v>7</v>
      </c>
      <c r="CI195" s="27" t="s">
        <v>8</v>
      </c>
      <c r="CJ195" s="27" t="s">
        <v>7</v>
      </c>
      <c r="CK195" s="27" t="s">
        <v>8</v>
      </c>
      <c r="CM195" s="27" t="s">
        <v>8</v>
      </c>
      <c r="CN195" s="27" t="s">
        <v>7</v>
      </c>
    </row>
    <row r="196" spans="1:104" x14ac:dyDescent="0.25">
      <c r="A196" s="30">
        <v>8.5571502795169767</v>
      </c>
      <c r="E196" t="s">
        <v>8</v>
      </c>
      <c r="W196" s="27" t="s">
        <v>8</v>
      </c>
      <c r="AG196" s="27" t="s">
        <v>8</v>
      </c>
      <c r="AH196" s="27" t="s">
        <v>7</v>
      </c>
      <c r="AL196" s="27" t="s">
        <v>7</v>
      </c>
      <c r="AM196" s="27" t="s">
        <v>8</v>
      </c>
      <c r="AV196" s="27" t="s">
        <v>7</v>
      </c>
      <c r="AX196" s="27" t="s">
        <v>7</v>
      </c>
      <c r="AY196" s="27" t="s">
        <v>8</v>
      </c>
      <c r="AZ196" s="27" t="s">
        <v>7</v>
      </c>
      <c r="BB196" s="27" t="s">
        <v>7</v>
      </c>
      <c r="BC196" s="27" t="s">
        <v>8</v>
      </c>
      <c r="BD196" s="27" t="s">
        <v>7</v>
      </c>
      <c r="BE196" s="27" t="s">
        <v>8</v>
      </c>
      <c r="BH196" s="27" t="s">
        <v>7</v>
      </c>
      <c r="BI196" s="27" t="s">
        <v>8</v>
      </c>
      <c r="BJ196" s="27" t="s">
        <v>7</v>
      </c>
      <c r="CE196" s="27" t="s">
        <v>8</v>
      </c>
      <c r="CF196" s="27" t="s">
        <v>7</v>
      </c>
      <c r="CI196" s="27" t="s">
        <v>8</v>
      </c>
      <c r="CJ196" s="27" t="s">
        <v>7</v>
      </c>
      <c r="CK196" s="27" t="s">
        <v>8</v>
      </c>
      <c r="CL196" s="27" t="s">
        <v>7</v>
      </c>
      <c r="CM196" s="27" t="s">
        <v>8</v>
      </c>
      <c r="CN196" s="27" t="s">
        <v>7</v>
      </c>
    </row>
    <row r="197" spans="1:104" x14ac:dyDescent="0.25">
      <c r="A197" s="30">
        <v>8.1496669328733109</v>
      </c>
      <c r="E197" t="s">
        <v>8</v>
      </c>
      <c r="F197" s="27" t="s">
        <v>7</v>
      </c>
      <c r="U197" s="27" t="s">
        <v>8</v>
      </c>
      <c r="W197" s="27" t="s">
        <v>8</v>
      </c>
      <c r="X197" s="27" t="s">
        <v>7</v>
      </c>
      <c r="AE197" s="27" t="s">
        <v>8</v>
      </c>
      <c r="AG197" s="27" t="s">
        <v>8</v>
      </c>
      <c r="AL197" s="27" t="s">
        <v>7</v>
      </c>
      <c r="AM197" s="27" t="s">
        <v>8</v>
      </c>
      <c r="AX197" s="27" t="s">
        <v>7</v>
      </c>
      <c r="AY197" s="27" t="s">
        <v>8</v>
      </c>
      <c r="BB197" s="27" t="s">
        <v>7</v>
      </c>
      <c r="BC197" s="27" t="s">
        <v>8</v>
      </c>
      <c r="BD197" s="27" t="s">
        <v>7</v>
      </c>
      <c r="BH197" s="27" t="s">
        <v>7</v>
      </c>
      <c r="BI197" s="27" t="s">
        <v>8</v>
      </c>
      <c r="BJ197" s="27" t="s">
        <v>7</v>
      </c>
      <c r="CE197" s="27" t="s">
        <v>8</v>
      </c>
      <c r="CF197" s="27" t="s">
        <v>7</v>
      </c>
      <c r="CI197" s="27" t="s">
        <v>8</v>
      </c>
      <c r="CJ197" s="27" t="s">
        <v>7</v>
      </c>
      <c r="CK197" s="27" t="s">
        <v>8</v>
      </c>
      <c r="CL197" s="27" t="s">
        <v>7</v>
      </c>
      <c r="CM197" s="27" t="s">
        <v>8</v>
      </c>
      <c r="CN197" s="27" t="s">
        <v>7</v>
      </c>
      <c r="CO197" s="27" t="s">
        <v>8</v>
      </c>
    </row>
    <row r="198" spans="1:104" x14ac:dyDescent="0.25">
      <c r="A198" s="30">
        <v>7.7615875551174378</v>
      </c>
      <c r="E198" t="s">
        <v>8</v>
      </c>
      <c r="F198" s="27" t="s">
        <v>7</v>
      </c>
      <c r="U198" s="27" t="s">
        <v>8</v>
      </c>
      <c r="V198" s="27" t="s">
        <v>7</v>
      </c>
      <c r="W198" s="27" t="s">
        <v>8</v>
      </c>
      <c r="X198" s="27" t="s">
        <v>7</v>
      </c>
      <c r="AE198" s="27" t="s">
        <v>8</v>
      </c>
      <c r="AF198" s="27" t="s">
        <v>7</v>
      </c>
      <c r="AG198" s="27" t="s">
        <v>8</v>
      </c>
      <c r="AL198" s="27" t="s">
        <v>7</v>
      </c>
      <c r="AX198" s="27" t="s">
        <v>7</v>
      </c>
      <c r="AY198" s="27" t="s">
        <v>8</v>
      </c>
      <c r="BB198" s="27" t="s">
        <v>7</v>
      </c>
      <c r="BH198" s="27" t="s">
        <v>7</v>
      </c>
      <c r="BI198" s="27" t="s">
        <v>8</v>
      </c>
      <c r="BJ198" s="27" t="s">
        <v>7</v>
      </c>
      <c r="BO198" s="27" t="s">
        <v>8</v>
      </c>
      <c r="CA198" s="27" t="s">
        <v>8</v>
      </c>
      <c r="CE198" s="27" t="s">
        <v>8</v>
      </c>
      <c r="CF198" s="27" t="s">
        <v>7</v>
      </c>
      <c r="CG198" s="27" t="s">
        <v>8</v>
      </c>
      <c r="CI198" s="27" t="s">
        <v>8</v>
      </c>
      <c r="CJ198" s="27" t="s">
        <v>7</v>
      </c>
      <c r="CK198" s="27" t="s">
        <v>8</v>
      </c>
      <c r="CL198" s="27" t="s">
        <v>7</v>
      </c>
      <c r="CM198" s="27" t="s">
        <v>8</v>
      </c>
      <c r="CN198" s="27" t="s">
        <v>7</v>
      </c>
      <c r="CO198" s="27" t="s">
        <v>8</v>
      </c>
      <c r="CP198" s="27" t="s">
        <v>7</v>
      </c>
    </row>
    <row r="199" spans="1:104" x14ac:dyDescent="0.25">
      <c r="A199" s="30">
        <v>7.3919881477308929</v>
      </c>
      <c r="E199" t="s">
        <v>8</v>
      </c>
      <c r="F199" s="27" t="s">
        <v>7</v>
      </c>
      <c r="U199" s="27" t="s">
        <v>8</v>
      </c>
      <c r="V199" s="27" t="s">
        <v>7</v>
      </c>
      <c r="W199" s="27" t="s">
        <v>8</v>
      </c>
      <c r="X199" s="27" t="s">
        <v>7</v>
      </c>
      <c r="AE199" s="27" t="s">
        <v>8</v>
      </c>
      <c r="AF199" s="27" t="s">
        <v>7</v>
      </c>
      <c r="AG199" s="27" t="s">
        <v>8</v>
      </c>
      <c r="AX199" s="27" t="s">
        <v>7</v>
      </c>
      <c r="BH199" s="27" t="s">
        <v>7</v>
      </c>
      <c r="BI199" s="27" t="s">
        <v>8</v>
      </c>
      <c r="BJ199" s="27" t="s">
        <v>7</v>
      </c>
      <c r="BO199" s="27" t="s">
        <v>8</v>
      </c>
      <c r="BP199" s="27" t="s">
        <v>7</v>
      </c>
      <c r="CA199" s="27" t="s">
        <v>8</v>
      </c>
      <c r="CB199" s="27" t="s">
        <v>7</v>
      </c>
      <c r="CE199" s="27" t="s">
        <v>8</v>
      </c>
      <c r="CF199" s="27" t="s">
        <v>7</v>
      </c>
      <c r="CG199" s="27" t="s">
        <v>8</v>
      </c>
      <c r="CH199" s="27" t="s">
        <v>7</v>
      </c>
      <c r="CI199" s="27" t="s">
        <v>8</v>
      </c>
      <c r="CJ199" s="27" t="s">
        <v>7</v>
      </c>
      <c r="CL199" s="27" t="s">
        <v>7</v>
      </c>
      <c r="CM199" s="27" t="s">
        <v>8</v>
      </c>
      <c r="CN199" s="27" t="s">
        <v>7</v>
      </c>
      <c r="CO199" s="27" t="s">
        <v>8</v>
      </c>
      <c r="CP199" s="27" t="s">
        <v>7</v>
      </c>
      <c r="CW199" s="27" t="s">
        <v>8</v>
      </c>
    </row>
    <row r="200" spans="1:104" x14ac:dyDescent="0.25">
      <c r="A200" s="30">
        <v>7.0399887121246598</v>
      </c>
      <c r="E200" t="s">
        <v>8</v>
      </c>
      <c r="F200" s="27" t="s">
        <v>7</v>
      </c>
      <c r="I200" s="27" t="s">
        <v>8</v>
      </c>
      <c r="U200" s="27" t="s">
        <v>8</v>
      </c>
      <c r="V200" s="27" t="s">
        <v>7</v>
      </c>
      <c r="W200" s="27" t="s">
        <v>8</v>
      </c>
      <c r="X200" s="27" t="s">
        <v>7</v>
      </c>
      <c r="AE200" s="27" t="s">
        <v>8</v>
      </c>
      <c r="AF200" s="27" t="s">
        <v>7</v>
      </c>
      <c r="AG200" s="27" t="s">
        <v>8</v>
      </c>
      <c r="BH200" s="27" t="s">
        <v>7</v>
      </c>
      <c r="BI200" s="27" t="s">
        <v>8</v>
      </c>
      <c r="BJ200" s="27" t="s">
        <v>7</v>
      </c>
      <c r="BK200" s="27" t="s">
        <v>8</v>
      </c>
      <c r="BO200" s="27" t="s">
        <v>8</v>
      </c>
      <c r="BP200" s="27" t="s">
        <v>7</v>
      </c>
      <c r="CA200" s="27" t="s">
        <v>8</v>
      </c>
      <c r="CB200" s="27" t="s">
        <v>7</v>
      </c>
      <c r="CE200" s="27" t="s">
        <v>8</v>
      </c>
      <c r="CF200" s="27" t="s">
        <v>7</v>
      </c>
      <c r="CG200" s="27" t="s">
        <v>8</v>
      </c>
      <c r="CH200" s="27" t="s">
        <v>7</v>
      </c>
      <c r="CI200" s="27" t="s">
        <v>8</v>
      </c>
      <c r="CL200" s="27" t="s">
        <v>7</v>
      </c>
      <c r="CN200" s="27" t="s">
        <v>7</v>
      </c>
      <c r="CO200" s="27" t="s">
        <v>8</v>
      </c>
      <c r="CP200" s="27" t="s">
        <v>7</v>
      </c>
      <c r="CW200" s="27" t="s">
        <v>8</v>
      </c>
      <c r="CX200" s="27" t="s">
        <v>7</v>
      </c>
    </row>
    <row r="201" spans="1:104" x14ac:dyDescent="0.25">
      <c r="A201" s="30">
        <v>6.7047511544044376</v>
      </c>
      <c r="E201" t="s">
        <v>8</v>
      </c>
      <c r="F201" s="27" t="s">
        <v>7</v>
      </c>
      <c r="G201" s="27" t="s">
        <v>8</v>
      </c>
      <c r="I201" s="27" t="s">
        <v>8</v>
      </c>
      <c r="J201" s="27" t="s">
        <v>7</v>
      </c>
      <c r="U201" s="27" t="s">
        <v>8</v>
      </c>
      <c r="V201" s="27" t="s">
        <v>7</v>
      </c>
      <c r="W201" s="27" t="s">
        <v>8</v>
      </c>
      <c r="X201" s="27" t="s">
        <v>7</v>
      </c>
      <c r="Y201" s="27" t="s">
        <v>8</v>
      </c>
      <c r="AE201" s="27" t="s">
        <v>8</v>
      </c>
      <c r="AF201" s="27" t="s">
        <v>7</v>
      </c>
      <c r="AG201" s="27" t="s">
        <v>8</v>
      </c>
      <c r="BH201" s="27" t="s">
        <v>7</v>
      </c>
      <c r="BJ201" s="27" t="s">
        <v>7</v>
      </c>
      <c r="BK201" s="27" t="s">
        <v>8</v>
      </c>
      <c r="BL201" s="27" t="s">
        <v>7</v>
      </c>
      <c r="BO201" s="27" t="s">
        <v>8</v>
      </c>
      <c r="BP201" s="27" t="s">
        <v>7</v>
      </c>
      <c r="CA201" s="27" t="s">
        <v>8</v>
      </c>
      <c r="CB201" s="27" t="s">
        <v>7</v>
      </c>
      <c r="CC201" s="27" t="s">
        <v>8</v>
      </c>
      <c r="CE201" s="27" t="s">
        <v>8</v>
      </c>
      <c r="CF201" s="27" t="s">
        <v>7</v>
      </c>
      <c r="CG201" s="27" t="s">
        <v>8</v>
      </c>
      <c r="CH201" s="27" t="s">
        <v>7</v>
      </c>
      <c r="CI201" s="27" t="s">
        <v>8</v>
      </c>
      <c r="CN201" s="27" t="s">
        <v>7</v>
      </c>
      <c r="CO201" s="27" t="s">
        <v>8</v>
      </c>
      <c r="CP201" s="27" t="s">
        <v>7</v>
      </c>
      <c r="CS201" s="27" t="s">
        <v>8</v>
      </c>
      <c r="CW201" s="27" t="s">
        <v>8</v>
      </c>
      <c r="CX201" s="27" t="s">
        <v>7</v>
      </c>
    </row>
    <row r="202" spans="1:104" x14ac:dyDescent="0.25">
      <c r="A202" s="30">
        <v>6.3854772899089882</v>
      </c>
      <c r="E202" t="s">
        <v>8</v>
      </c>
      <c r="F202" s="27" t="s">
        <v>7</v>
      </c>
      <c r="G202" s="27" t="s">
        <v>8</v>
      </c>
      <c r="H202" s="27" t="s">
        <v>7</v>
      </c>
      <c r="I202" s="27" t="s">
        <v>8</v>
      </c>
      <c r="J202" s="27" t="s">
        <v>7</v>
      </c>
      <c r="U202" s="27" t="s">
        <v>8</v>
      </c>
      <c r="V202" s="27" t="s">
        <v>7</v>
      </c>
      <c r="W202" s="27" t="s">
        <v>8</v>
      </c>
      <c r="X202" s="27" t="s">
        <v>7</v>
      </c>
      <c r="Y202" s="27" t="s">
        <v>8</v>
      </c>
      <c r="Z202" s="27" t="s">
        <v>7</v>
      </c>
      <c r="AE202" s="27" t="s">
        <v>8</v>
      </c>
      <c r="AF202" s="27" t="s">
        <v>7</v>
      </c>
      <c r="AG202" s="27" t="s">
        <v>8</v>
      </c>
      <c r="BJ202" s="27" t="s">
        <v>7</v>
      </c>
      <c r="BK202" s="27" t="s">
        <v>8</v>
      </c>
      <c r="BL202" s="27" t="s">
        <v>7</v>
      </c>
      <c r="BM202" s="27" t="s">
        <v>8</v>
      </c>
      <c r="BO202" s="27" t="s">
        <v>8</v>
      </c>
      <c r="BP202" s="27" t="s">
        <v>7</v>
      </c>
      <c r="CA202" s="27" t="s">
        <v>8</v>
      </c>
      <c r="CB202" s="27" t="s">
        <v>7</v>
      </c>
      <c r="CC202" s="27" t="s">
        <v>8</v>
      </c>
      <c r="CD202" s="27" t="s">
        <v>7</v>
      </c>
      <c r="CE202" s="27" t="s">
        <v>8</v>
      </c>
      <c r="CF202" s="27" t="s">
        <v>7</v>
      </c>
      <c r="CG202" s="27" t="s">
        <v>8</v>
      </c>
      <c r="CH202" s="27" t="s">
        <v>7</v>
      </c>
      <c r="CN202" s="27" t="s">
        <v>7</v>
      </c>
      <c r="CO202" s="27" t="s">
        <v>8</v>
      </c>
      <c r="CP202" s="27" t="s">
        <v>7</v>
      </c>
      <c r="CQ202" s="27" t="s">
        <v>8</v>
      </c>
      <c r="CS202" s="27" t="s">
        <v>8</v>
      </c>
      <c r="CT202" s="27" t="s">
        <v>7</v>
      </c>
      <c r="CU202" s="27" t="s">
        <v>8</v>
      </c>
      <c r="CW202" s="27" t="s">
        <v>8</v>
      </c>
      <c r="CX202" s="27" t="s">
        <v>7</v>
      </c>
    </row>
    <row r="203" spans="1:104" x14ac:dyDescent="0.25">
      <c r="A203" s="30">
        <v>6.0814069427704647</v>
      </c>
      <c r="C203" s="7"/>
      <c r="D203"/>
      <c r="E203" t="s">
        <v>8</v>
      </c>
      <c r="F203" s="27" t="s">
        <v>7</v>
      </c>
      <c r="G203" s="27" t="s">
        <v>8</v>
      </c>
      <c r="H203" s="27" t="s">
        <v>7</v>
      </c>
      <c r="I203" s="27" t="s">
        <v>8</v>
      </c>
      <c r="J203" s="27" t="s">
        <v>7</v>
      </c>
      <c r="U203" s="27" t="s">
        <v>8</v>
      </c>
      <c r="V203" s="27" t="s">
        <v>7</v>
      </c>
      <c r="W203" s="27" t="s">
        <v>8</v>
      </c>
      <c r="X203" s="27" t="s">
        <v>7</v>
      </c>
      <c r="Y203" s="27" t="s">
        <v>8</v>
      </c>
      <c r="Z203" s="27" t="s">
        <v>7</v>
      </c>
      <c r="AE203" s="27" t="s">
        <v>8</v>
      </c>
      <c r="AF203" s="27" t="s">
        <v>7</v>
      </c>
      <c r="BJ203" s="27" t="s">
        <v>7</v>
      </c>
      <c r="BK203" s="27" t="s">
        <v>8</v>
      </c>
      <c r="BL203" s="27" t="s">
        <v>7</v>
      </c>
      <c r="BM203" s="27" t="s">
        <v>8</v>
      </c>
      <c r="BN203" s="27" t="s">
        <v>7</v>
      </c>
      <c r="BO203" s="27" t="s">
        <v>8</v>
      </c>
      <c r="BP203" s="27" t="s">
        <v>7</v>
      </c>
      <c r="BQ203" s="27" t="s">
        <v>8</v>
      </c>
      <c r="CA203" s="27" t="s">
        <v>8</v>
      </c>
      <c r="CB203" s="27" t="s">
        <v>7</v>
      </c>
      <c r="CC203" s="27" t="s">
        <v>8</v>
      </c>
      <c r="CD203" s="27" t="s">
        <v>7</v>
      </c>
      <c r="CE203" s="27" t="s">
        <v>8</v>
      </c>
      <c r="CF203" s="27" t="s">
        <v>7</v>
      </c>
      <c r="CG203" s="27" t="s">
        <v>8</v>
      </c>
      <c r="CN203" s="27" t="s">
        <v>7</v>
      </c>
      <c r="CP203" s="27" t="s">
        <v>7</v>
      </c>
      <c r="CQ203" s="27" t="s">
        <v>8</v>
      </c>
      <c r="CR203" s="27" t="s">
        <v>7</v>
      </c>
      <c r="CS203" s="27" t="s">
        <v>8</v>
      </c>
      <c r="CT203" s="27" t="s">
        <v>7</v>
      </c>
      <c r="CU203" s="27" t="s">
        <v>8</v>
      </c>
      <c r="CV203" s="27" t="s">
        <v>7</v>
      </c>
      <c r="CW203" s="27" t="s">
        <v>8</v>
      </c>
      <c r="CX203" s="27" t="s">
        <v>7</v>
      </c>
    </row>
    <row r="204" spans="1:104" x14ac:dyDescent="0.25">
      <c r="A204" s="30">
        <v>5.7918161359718709</v>
      </c>
      <c r="E204" t="s">
        <v>8</v>
      </c>
      <c r="F204" s="27" t="s">
        <v>7</v>
      </c>
      <c r="G204" s="27" t="s">
        <v>8</v>
      </c>
      <c r="H204" s="27" t="s">
        <v>7</v>
      </c>
      <c r="I204" s="27" t="s">
        <v>8</v>
      </c>
      <c r="J204" s="27" t="s">
        <v>7</v>
      </c>
      <c r="U204" s="27" t="s">
        <v>8</v>
      </c>
      <c r="V204" s="27" t="s">
        <v>7</v>
      </c>
      <c r="W204" s="27" t="s">
        <v>8</v>
      </c>
      <c r="X204" s="27" t="s">
        <v>7</v>
      </c>
      <c r="Y204" s="27" t="s">
        <v>8</v>
      </c>
      <c r="Z204" s="27" t="s">
        <v>7</v>
      </c>
      <c r="AE204" s="27" t="s">
        <v>8</v>
      </c>
      <c r="BJ204" s="27" t="s">
        <v>7</v>
      </c>
      <c r="BK204" s="27" t="s">
        <v>8</v>
      </c>
      <c r="BL204" s="27" t="s">
        <v>7</v>
      </c>
      <c r="BM204" s="27" t="s">
        <v>8</v>
      </c>
      <c r="BN204" s="27" t="s">
        <v>7</v>
      </c>
      <c r="BO204" s="27" t="s">
        <v>8</v>
      </c>
      <c r="BP204" s="27" t="s">
        <v>7</v>
      </c>
      <c r="BQ204" s="27" t="s">
        <v>8</v>
      </c>
      <c r="BR204" s="27" t="s">
        <v>7</v>
      </c>
      <c r="CA204" s="27" t="s">
        <v>8</v>
      </c>
      <c r="CB204" s="27" t="s">
        <v>7</v>
      </c>
      <c r="CD204" s="27" t="s">
        <v>7</v>
      </c>
      <c r="CF204" s="27" t="s">
        <v>7</v>
      </c>
      <c r="CP204" s="27" t="s">
        <v>7</v>
      </c>
      <c r="CQ204" s="27" t="s">
        <v>8</v>
      </c>
      <c r="CR204" s="27" t="s">
        <v>7</v>
      </c>
      <c r="CS204" s="27" t="s">
        <v>8</v>
      </c>
      <c r="CT204" s="27" t="s">
        <v>7</v>
      </c>
      <c r="CU204" s="27" t="s">
        <v>8</v>
      </c>
      <c r="CV204" s="27" t="s">
        <v>7</v>
      </c>
      <c r="CW204" s="27" t="s">
        <v>8</v>
      </c>
      <c r="CX204" s="27" t="s">
        <v>7</v>
      </c>
      <c r="CY204" s="27" t="s">
        <v>8</v>
      </c>
    </row>
    <row r="205" spans="1:104" x14ac:dyDescent="0.25">
      <c r="A205" s="30">
        <v>5.5160153675922574</v>
      </c>
      <c r="E205" t="s">
        <v>8</v>
      </c>
      <c r="F205" s="27" t="s">
        <v>7</v>
      </c>
      <c r="G205" s="27" t="s">
        <v>8</v>
      </c>
      <c r="H205" s="27" t="s">
        <v>7</v>
      </c>
      <c r="I205" s="27" t="s">
        <v>8</v>
      </c>
      <c r="J205" s="27" t="s">
        <v>7</v>
      </c>
      <c r="U205" s="27" t="s">
        <v>8</v>
      </c>
      <c r="V205" s="27" t="s">
        <v>7</v>
      </c>
      <c r="W205" s="27" t="s">
        <v>8</v>
      </c>
      <c r="X205" s="27" t="s">
        <v>7</v>
      </c>
      <c r="Z205" s="27" t="s">
        <v>7</v>
      </c>
      <c r="AA205" s="27" t="s">
        <v>8</v>
      </c>
      <c r="AE205" s="27" t="s">
        <v>8</v>
      </c>
      <c r="BJ205" s="27" t="s">
        <v>7</v>
      </c>
      <c r="BK205" s="27" t="s">
        <v>8</v>
      </c>
      <c r="BL205" s="27" t="s">
        <v>7</v>
      </c>
      <c r="BM205" s="27" t="s">
        <v>8</v>
      </c>
      <c r="BN205" s="27" t="s">
        <v>7</v>
      </c>
      <c r="BO205" s="27" t="s">
        <v>8</v>
      </c>
      <c r="BP205" s="27" t="s">
        <v>7</v>
      </c>
      <c r="BQ205" s="27" t="s">
        <v>8</v>
      </c>
      <c r="BR205" s="27" t="s">
        <v>7</v>
      </c>
      <c r="CA205" s="27" t="s">
        <v>8</v>
      </c>
      <c r="CP205" s="27" t="s">
        <v>7</v>
      </c>
      <c r="CR205" s="27" t="s">
        <v>7</v>
      </c>
      <c r="CS205" s="27" t="s">
        <v>8</v>
      </c>
      <c r="CT205" s="27" t="s">
        <v>7</v>
      </c>
      <c r="CU205" s="27" t="s">
        <v>8</v>
      </c>
      <c r="CV205" s="27" t="s">
        <v>7</v>
      </c>
      <c r="CW205" s="27" t="s">
        <v>8</v>
      </c>
      <c r="CX205" s="27" t="s">
        <v>7</v>
      </c>
      <c r="CY205" s="27" t="s">
        <v>8</v>
      </c>
      <c r="CZ205" s="27" t="s">
        <v>7</v>
      </c>
    </row>
    <row r="206" spans="1:104" x14ac:dyDescent="0.25">
      <c r="A206" s="30">
        <v>5.2533479691354827</v>
      </c>
      <c r="C206"/>
      <c r="D206"/>
      <c r="E206" t="s">
        <v>8</v>
      </c>
      <c r="F206" s="27" t="s">
        <v>7</v>
      </c>
      <c r="H206" s="27" t="s">
        <v>7</v>
      </c>
      <c r="I206" s="27" t="s">
        <v>8</v>
      </c>
      <c r="J206" s="27" t="s">
        <v>7</v>
      </c>
      <c r="U206" s="27" t="s">
        <v>8</v>
      </c>
      <c r="V206" s="27" t="s">
        <v>7</v>
      </c>
      <c r="Z206" s="27" t="s">
        <v>7</v>
      </c>
      <c r="AA206" s="27" t="s">
        <v>8</v>
      </c>
      <c r="AB206" s="27" t="s">
        <v>7</v>
      </c>
      <c r="AC206" s="27" t="s">
        <v>8</v>
      </c>
      <c r="AE206" s="27" t="s">
        <v>8</v>
      </c>
      <c r="BJ206" s="27" t="s">
        <v>7</v>
      </c>
      <c r="BK206" s="27" t="s">
        <v>8</v>
      </c>
      <c r="BL206" s="27" t="s">
        <v>7</v>
      </c>
      <c r="BN206" s="27" t="s">
        <v>7</v>
      </c>
      <c r="BO206" s="27" t="s">
        <v>8</v>
      </c>
      <c r="BP206" s="27" t="s">
        <v>7</v>
      </c>
      <c r="BR206" s="27" t="s">
        <v>7</v>
      </c>
      <c r="CA206" s="27" t="s">
        <v>8</v>
      </c>
      <c r="CR206" s="27" t="s">
        <v>7</v>
      </c>
      <c r="CS206" s="27" t="s">
        <v>8</v>
      </c>
      <c r="CT206" s="27" t="s">
        <v>7</v>
      </c>
      <c r="CU206" s="27" t="s">
        <v>8</v>
      </c>
      <c r="CV206" s="27" t="s">
        <v>7</v>
      </c>
      <c r="CW206" s="27" t="s">
        <v>8</v>
      </c>
      <c r="CX206" s="27" t="s">
        <v>7</v>
      </c>
      <c r="CY206" s="27" t="s">
        <v>8</v>
      </c>
      <c r="CZ206" s="27" t="s">
        <v>7</v>
      </c>
    </row>
    <row r="207" spans="1:104" x14ac:dyDescent="0.25">
      <c r="A207" s="30">
        <v>5.0031885420337927</v>
      </c>
      <c r="E207" t="s">
        <v>8</v>
      </c>
      <c r="H207" s="27" t="s">
        <v>7</v>
      </c>
      <c r="I207" s="27" t="s">
        <v>8</v>
      </c>
      <c r="J207" s="27" t="s">
        <v>7</v>
      </c>
      <c r="K207" s="27" t="s">
        <v>8</v>
      </c>
      <c r="U207" s="27" t="s">
        <v>8</v>
      </c>
      <c r="Z207" s="27" t="s">
        <v>7</v>
      </c>
      <c r="AA207" s="27" t="s">
        <v>8</v>
      </c>
      <c r="AB207" s="27" t="s">
        <v>7</v>
      </c>
      <c r="AC207" s="27" t="s">
        <v>8</v>
      </c>
      <c r="AD207" s="27" t="s">
        <v>7</v>
      </c>
      <c r="AE207" s="27" t="s">
        <v>8</v>
      </c>
      <c r="BJ207" s="27" t="s">
        <v>7</v>
      </c>
      <c r="BK207" s="27" t="s">
        <v>8</v>
      </c>
      <c r="BN207" s="27" t="s">
        <v>7</v>
      </c>
      <c r="BO207" s="27" t="s">
        <v>8</v>
      </c>
      <c r="BR207" s="27" t="s">
        <v>7</v>
      </c>
      <c r="CA207" s="27" t="s">
        <v>8</v>
      </c>
      <c r="CR207" s="27" t="s">
        <v>7</v>
      </c>
      <c r="CT207" s="27" t="s">
        <v>7</v>
      </c>
      <c r="CU207" s="27" t="s">
        <v>8</v>
      </c>
      <c r="CV207" s="27" t="s">
        <v>7</v>
      </c>
      <c r="CW207" s="27" t="s">
        <v>8</v>
      </c>
      <c r="CX207" s="27" t="s">
        <v>7</v>
      </c>
      <c r="CY207" s="27" t="s">
        <v>8</v>
      </c>
      <c r="CZ207" s="27" t="s">
        <v>7</v>
      </c>
    </row>
    <row r="208" spans="1:104" x14ac:dyDescent="0.25">
      <c r="A208" s="30">
        <v>4.7649414686036122</v>
      </c>
      <c r="E208" t="s">
        <v>8</v>
      </c>
      <c r="H208" s="27" t="s">
        <v>7</v>
      </c>
      <c r="I208" s="27" t="s">
        <v>8</v>
      </c>
      <c r="J208" s="27" t="s">
        <v>7</v>
      </c>
      <c r="K208" s="27" t="s">
        <v>8</v>
      </c>
      <c r="L208" s="27" t="s">
        <v>7</v>
      </c>
      <c r="M208" s="27" t="s">
        <v>8</v>
      </c>
      <c r="S208" s="27" t="s">
        <v>8</v>
      </c>
      <c r="U208" s="27" t="s">
        <v>8</v>
      </c>
      <c r="Z208" s="27" t="s">
        <v>7</v>
      </c>
      <c r="AA208" s="27" t="s">
        <v>8</v>
      </c>
      <c r="AB208" s="27" t="s">
        <v>7</v>
      </c>
      <c r="AC208" s="27" t="s">
        <v>8</v>
      </c>
      <c r="AD208" s="27" t="s">
        <v>7</v>
      </c>
      <c r="AE208" s="27" t="s">
        <v>8</v>
      </c>
      <c r="BJ208" s="27" t="s">
        <v>7</v>
      </c>
      <c r="BK208" s="27" t="s">
        <v>8</v>
      </c>
      <c r="BN208" s="27" t="s">
        <v>7</v>
      </c>
      <c r="BO208" s="27" t="s">
        <v>8</v>
      </c>
      <c r="BR208" s="27" t="s">
        <v>7</v>
      </c>
      <c r="BY208" s="27" t="s">
        <v>8</v>
      </c>
      <c r="CA208" s="27" t="s">
        <v>8</v>
      </c>
      <c r="CT208" s="27" t="s">
        <v>7</v>
      </c>
      <c r="CU208" s="27" t="s">
        <v>8</v>
      </c>
      <c r="CV208" s="27" t="s">
        <v>7</v>
      </c>
      <c r="CW208" s="27" t="s">
        <v>8</v>
      </c>
      <c r="CX208" s="27" t="s">
        <v>7</v>
      </c>
      <c r="CY208" s="27" t="s">
        <v>8</v>
      </c>
      <c r="CZ208" s="27" t="s">
        <v>7</v>
      </c>
    </row>
    <row r="209" spans="1:109" x14ac:dyDescent="0.25">
      <c r="A209" s="30">
        <v>4.5380394939082018</v>
      </c>
      <c r="E209" t="s">
        <v>8</v>
      </c>
      <c r="H209" s="27" t="s">
        <v>7</v>
      </c>
      <c r="I209" s="27" t="s">
        <v>8</v>
      </c>
      <c r="J209" s="27" t="s">
        <v>7</v>
      </c>
      <c r="K209" s="27" t="s">
        <v>8</v>
      </c>
      <c r="L209" s="27" t="s">
        <v>7</v>
      </c>
      <c r="M209" s="27" t="s">
        <v>8</v>
      </c>
      <c r="N209" s="27" t="s">
        <v>7</v>
      </c>
      <c r="Q209" s="27" t="s">
        <v>8</v>
      </c>
      <c r="S209" s="27" t="s">
        <v>8</v>
      </c>
      <c r="T209" s="27" t="s">
        <v>7</v>
      </c>
      <c r="U209" s="27" t="s">
        <v>8</v>
      </c>
      <c r="Z209" s="27" t="s">
        <v>7</v>
      </c>
      <c r="AA209" s="27" t="s">
        <v>8</v>
      </c>
      <c r="AB209" s="27" t="s">
        <v>7</v>
      </c>
      <c r="AC209" s="27" t="s">
        <v>8</v>
      </c>
      <c r="AD209" s="27" t="s">
        <v>7</v>
      </c>
      <c r="AE209" s="27" t="s">
        <v>8</v>
      </c>
      <c r="BJ209" s="27" t="s">
        <v>7</v>
      </c>
      <c r="BN209" s="27" t="s">
        <v>7</v>
      </c>
      <c r="BR209" s="27" t="s">
        <v>7</v>
      </c>
      <c r="BY209" s="27" t="s">
        <v>8</v>
      </c>
      <c r="BZ209" s="27" t="s">
        <v>7</v>
      </c>
      <c r="CA209" s="27" t="s">
        <v>8</v>
      </c>
      <c r="CT209" s="27" t="s">
        <v>7</v>
      </c>
      <c r="CU209" s="27" t="s">
        <v>8</v>
      </c>
      <c r="CV209" s="27" t="s">
        <v>7</v>
      </c>
      <c r="CW209" s="27" t="s">
        <v>8</v>
      </c>
      <c r="CX209" s="27" t="s">
        <v>7</v>
      </c>
      <c r="CZ209" s="27" t="s">
        <v>7</v>
      </c>
      <c r="DA209" s="27" t="s">
        <v>8</v>
      </c>
      <c r="DC209" s="27" t="s">
        <v>8</v>
      </c>
    </row>
    <row r="210" spans="1:109" x14ac:dyDescent="0.25">
      <c r="A210" s="30">
        <v>4.3219423751506678</v>
      </c>
      <c r="C210"/>
      <c r="E210" t="s">
        <v>8</v>
      </c>
      <c r="H210" s="27" t="s">
        <v>7</v>
      </c>
      <c r="I210" s="27" t="s">
        <v>8</v>
      </c>
      <c r="J210" s="27" t="s">
        <v>7</v>
      </c>
      <c r="K210" s="27" t="s">
        <v>8</v>
      </c>
      <c r="L210" s="27" t="s">
        <v>7</v>
      </c>
      <c r="M210" s="27" t="s">
        <v>8</v>
      </c>
      <c r="N210" s="27" t="s">
        <v>7</v>
      </c>
      <c r="Q210" s="27" t="s">
        <v>8</v>
      </c>
      <c r="R210" s="27" t="s">
        <v>7</v>
      </c>
      <c r="S210" s="27" t="s">
        <v>8</v>
      </c>
      <c r="T210" s="27" t="s">
        <v>7</v>
      </c>
      <c r="U210" s="27" t="s">
        <v>8</v>
      </c>
      <c r="Z210" s="27" t="s">
        <v>7</v>
      </c>
      <c r="AA210" s="27" t="s">
        <v>8</v>
      </c>
      <c r="AB210" s="27" t="s">
        <v>7</v>
      </c>
      <c r="AC210" s="27" t="s">
        <v>8</v>
      </c>
      <c r="AD210" s="27" t="s">
        <v>7</v>
      </c>
      <c r="BR210" s="27" t="s">
        <v>7</v>
      </c>
      <c r="BU210" s="27" t="s">
        <v>8</v>
      </c>
      <c r="BW210" s="27" t="s">
        <v>8</v>
      </c>
      <c r="BY210" s="27" t="s">
        <v>8</v>
      </c>
      <c r="BZ210" s="27" t="s">
        <v>7</v>
      </c>
      <c r="CA210" s="27" t="s">
        <v>8</v>
      </c>
      <c r="CT210" s="27" t="s">
        <v>7</v>
      </c>
      <c r="CV210" s="27" t="s">
        <v>7</v>
      </c>
      <c r="CW210" s="27" t="s">
        <v>8</v>
      </c>
      <c r="CZ210" s="27" t="s">
        <v>7</v>
      </c>
      <c r="DA210" s="27" t="s">
        <v>8</v>
      </c>
      <c r="DB210" s="27" t="s">
        <v>7</v>
      </c>
      <c r="DC210" s="27" t="s">
        <v>8</v>
      </c>
      <c r="DD210" s="27" t="s">
        <v>7</v>
      </c>
    </row>
    <row r="211" spans="1:109" x14ac:dyDescent="0.25">
      <c r="A211" s="30">
        <v>4.1161355953815884</v>
      </c>
      <c r="E211" t="s">
        <v>8</v>
      </c>
      <c r="H211" s="27" t="s">
        <v>7</v>
      </c>
      <c r="I211" s="27" t="s">
        <v>8</v>
      </c>
      <c r="J211" s="27" t="s">
        <v>7</v>
      </c>
      <c r="L211" s="27" t="s">
        <v>7</v>
      </c>
      <c r="M211" s="27" t="s">
        <v>8</v>
      </c>
      <c r="N211" s="27" t="s">
        <v>7</v>
      </c>
      <c r="O211" s="27" t="s">
        <v>8</v>
      </c>
      <c r="Q211" s="27" t="s">
        <v>8</v>
      </c>
      <c r="R211" s="27" t="s">
        <v>7</v>
      </c>
      <c r="S211" s="27" t="s">
        <v>8</v>
      </c>
      <c r="T211" s="27" t="s">
        <v>7</v>
      </c>
      <c r="Z211" s="27" t="s">
        <v>7</v>
      </c>
      <c r="AB211" s="27" t="s">
        <v>7</v>
      </c>
      <c r="BR211" s="27" t="s">
        <v>7</v>
      </c>
      <c r="BS211" s="27" t="s">
        <v>8</v>
      </c>
      <c r="BU211" s="27" t="s">
        <v>8</v>
      </c>
      <c r="BV211" s="27" t="s">
        <v>7</v>
      </c>
      <c r="BW211" s="27" t="s">
        <v>8</v>
      </c>
      <c r="BX211" s="27" t="s">
        <v>7</v>
      </c>
      <c r="BY211" s="27" t="s">
        <v>8</v>
      </c>
      <c r="BZ211" s="27" t="s">
        <v>7</v>
      </c>
      <c r="CA211" s="27" t="s">
        <v>8</v>
      </c>
      <c r="CV211" s="27" t="s">
        <v>7</v>
      </c>
      <c r="CW211" s="27" t="s">
        <v>8</v>
      </c>
      <c r="CZ211" s="27" t="s">
        <v>7</v>
      </c>
      <c r="DA211" s="27" t="s">
        <v>8</v>
      </c>
      <c r="DB211" s="27" t="s">
        <v>7</v>
      </c>
      <c r="DC211" s="27" t="s">
        <v>8</v>
      </c>
      <c r="DD211" s="27" t="s">
        <v>7</v>
      </c>
    </row>
    <row r="212" spans="1:109" x14ac:dyDescent="0.25">
      <c r="A212" s="30">
        <v>3.9201291384586554</v>
      </c>
      <c r="E212" t="s">
        <v>8</v>
      </c>
      <c r="H212" s="27" t="s">
        <v>7</v>
      </c>
      <c r="I212" s="27" t="s">
        <v>8</v>
      </c>
      <c r="L212" s="27" t="s">
        <v>7</v>
      </c>
      <c r="N212" s="27" t="s">
        <v>7</v>
      </c>
      <c r="O212" s="27" t="s">
        <v>8</v>
      </c>
      <c r="P212" s="27" t="s">
        <v>7</v>
      </c>
      <c r="Q212" s="27" t="s">
        <v>8</v>
      </c>
      <c r="R212" s="27" t="s">
        <v>7</v>
      </c>
      <c r="BR212" s="27" t="s">
        <v>7</v>
      </c>
      <c r="BS212" s="27" t="s">
        <v>8</v>
      </c>
      <c r="BT212" s="27" t="s">
        <v>7</v>
      </c>
      <c r="BU212" s="27" t="s">
        <v>8</v>
      </c>
      <c r="BV212" s="27" t="s">
        <v>7</v>
      </c>
      <c r="BW212" s="27" t="s">
        <v>8</v>
      </c>
      <c r="BX212" s="27" t="s">
        <v>7</v>
      </c>
      <c r="BY212" s="27" t="s">
        <v>8</v>
      </c>
      <c r="BZ212" s="27" t="s">
        <v>7</v>
      </c>
      <c r="CA212" s="27" t="s">
        <v>8</v>
      </c>
      <c r="CV212" s="27" t="s">
        <v>7</v>
      </c>
      <c r="CW212" s="27" t="s">
        <v>8</v>
      </c>
      <c r="CZ212" s="27" t="s">
        <v>7</v>
      </c>
      <c r="DB212" s="27" t="s">
        <v>7</v>
      </c>
      <c r="DD212" s="27" t="s">
        <v>7</v>
      </c>
    </row>
    <row r="213" spans="1:109" x14ac:dyDescent="0.25">
      <c r="A213" s="30">
        <v>3.7334563223415764</v>
      </c>
      <c r="E213" t="s">
        <v>8</v>
      </c>
      <c r="H213" s="27" t="s">
        <v>7</v>
      </c>
      <c r="I213" s="27" t="s">
        <v>8</v>
      </c>
      <c r="N213" s="27" t="s">
        <v>7</v>
      </c>
      <c r="O213" s="27" t="s">
        <v>8</v>
      </c>
      <c r="P213" s="27" t="s">
        <v>7</v>
      </c>
      <c r="Q213" s="27" t="s">
        <v>8</v>
      </c>
      <c r="BR213" s="27" t="s">
        <v>7</v>
      </c>
      <c r="BS213" s="27" t="s">
        <v>8</v>
      </c>
      <c r="BT213" s="27" t="s">
        <v>7</v>
      </c>
      <c r="BU213" s="27" t="s">
        <v>8</v>
      </c>
      <c r="BV213" s="27" t="s">
        <v>7</v>
      </c>
      <c r="BX213" s="27" t="s">
        <v>7</v>
      </c>
      <c r="BZ213" s="18" t="s">
        <v>7</v>
      </c>
      <c r="CA213" s="27" t="s">
        <v>8</v>
      </c>
      <c r="CV213" s="27" t="s">
        <v>7</v>
      </c>
      <c r="DD213" s="27" t="s">
        <v>7</v>
      </c>
    </row>
    <row r="214" spans="1:109" x14ac:dyDescent="0.25">
      <c r="A214" s="30">
        <v>3.5556726879443583</v>
      </c>
      <c r="E214" t="s">
        <v>8</v>
      </c>
      <c r="H214" s="27" t="s">
        <v>7</v>
      </c>
      <c r="I214" s="27" t="s">
        <v>8</v>
      </c>
      <c r="N214" s="27" t="s">
        <v>7</v>
      </c>
      <c r="O214" s="27" t="s">
        <v>8</v>
      </c>
      <c r="P214" s="27" t="s">
        <v>7</v>
      </c>
      <c r="Q214" s="27" t="s">
        <v>8</v>
      </c>
      <c r="BR214" s="27" t="s">
        <v>7</v>
      </c>
      <c r="BS214" s="27" t="s">
        <v>8</v>
      </c>
      <c r="BT214" s="27" t="s">
        <v>7</v>
      </c>
      <c r="BZ214" s="27" t="s">
        <v>7</v>
      </c>
      <c r="DD214" s="27" t="s">
        <v>7</v>
      </c>
    </row>
    <row r="215" spans="1:109" x14ac:dyDescent="0.25">
      <c r="A215" s="30">
        <v>3.3863549408993889</v>
      </c>
      <c r="E215" t="s">
        <v>8</v>
      </c>
      <c r="H215" s="27" t="s">
        <v>7</v>
      </c>
      <c r="I215" s="27" t="s">
        <v>8</v>
      </c>
      <c r="N215" s="27" t="s">
        <v>7</v>
      </c>
      <c r="O215" s="27" t="s">
        <v>8</v>
      </c>
      <c r="P215" s="27" t="s">
        <v>7</v>
      </c>
      <c r="Q215" s="27" t="s">
        <v>8</v>
      </c>
      <c r="BR215" s="27" t="s">
        <v>7</v>
      </c>
      <c r="BS215" s="27" t="s">
        <v>8</v>
      </c>
      <c r="DD215" s="27" t="s">
        <v>7</v>
      </c>
    </row>
    <row r="216" spans="1:109" x14ac:dyDescent="0.25">
      <c r="A216" s="30">
        <v>3.2250999437137038</v>
      </c>
      <c r="E216" t="s">
        <v>8</v>
      </c>
      <c r="H216" s="27" t="s">
        <v>7</v>
      </c>
      <c r="I216" s="27" t="s">
        <v>8</v>
      </c>
      <c r="N216" s="27" t="s">
        <v>7</v>
      </c>
      <c r="P216" s="27" t="s">
        <v>7</v>
      </c>
      <c r="BR216" s="27" t="s">
        <v>7</v>
      </c>
      <c r="DD216" s="27" t="s">
        <v>7</v>
      </c>
      <c r="DE216" s="27" t="s">
        <v>8</v>
      </c>
    </row>
    <row r="217" spans="1:109" x14ac:dyDescent="0.25">
      <c r="A217" s="30">
        <v>3.0715237559178128</v>
      </c>
      <c r="E217" t="s">
        <v>8</v>
      </c>
      <c r="H217" s="27" t="s">
        <v>7</v>
      </c>
      <c r="I217" s="27" t="s">
        <v>8</v>
      </c>
      <c r="DD217" s="27" t="s">
        <v>7</v>
      </c>
      <c r="DE217" s="27" t="s">
        <v>8</v>
      </c>
    </row>
    <row r="218" spans="1:109" x14ac:dyDescent="0.25">
      <c r="A218" s="30">
        <v>2.9252607199217264</v>
      </c>
      <c r="E218" t="s">
        <v>8</v>
      </c>
      <c r="H218" s="27" t="s">
        <v>7</v>
      </c>
      <c r="I218" s="27" t="s">
        <v>8</v>
      </c>
      <c r="DD218" s="27" t="s">
        <v>7</v>
      </c>
      <c r="DE218" s="27" t="s">
        <v>8</v>
      </c>
    </row>
    <row r="219" spans="1:109" x14ac:dyDescent="0.25">
      <c r="A219" s="30">
        <v>2.7859625904016441</v>
      </c>
      <c r="E219" t="s">
        <v>8</v>
      </c>
      <c r="H219" s="27" t="s">
        <v>7</v>
      </c>
      <c r="I219" s="27" t="s">
        <v>8</v>
      </c>
      <c r="DD219" s="27" t="s">
        <v>7</v>
      </c>
    </row>
    <row r="220" spans="1:109" x14ac:dyDescent="0.25">
      <c r="A220" s="30">
        <v>2.6532977051444226</v>
      </c>
      <c r="E220" t="s">
        <v>8</v>
      </c>
      <c r="H220" s="27" t="s">
        <v>7</v>
      </c>
      <c r="I220" s="27" t="s">
        <v>8</v>
      </c>
    </row>
    <row r="221" spans="1:109" x14ac:dyDescent="0.25">
      <c r="A221" s="30">
        <v>2.5269501953756404</v>
      </c>
      <c r="E221" t="s">
        <v>8</v>
      </c>
      <c r="H221" s="27" t="s">
        <v>7</v>
      </c>
      <c r="I221" s="27" t="s">
        <v>8</v>
      </c>
    </row>
    <row r="222" spans="1:109" x14ac:dyDescent="0.25">
      <c r="A222" s="30">
        <v>2.4066192336910861</v>
      </c>
      <c r="E222" t="s">
        <v>8</v>
      </c>
      <c r="H222" s="27" t="s">
        <v>7</v>
      </c>
    </row>
    <row r="223" spans="1:109" x14ac:dyDescent="0.25">
      <c r="A223" s="30">
        <v>2.2920183178010345</v>
      </c>
      <c r="E223" t="s">
        <v>8</v>
      </c>
    </row>
    <row r="224" spans="1:109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14" operator="equal">
      <formula>$U$1</formula>
    </cfRule>
    <cfRule type="cellIs" dxfId="67" priority="815" operator="equal">
      <formula>$S$1</formula>
    </cfRule>
  </conditionalFormatting>
  <conditionalFormatting sqref="D136">
    <cfRule type="cellIs" dxfId="66" priority="812" operator="equal">
      <formula>$S$1</formula>
    </cfRule>
    <cfRule type="cellIs" dxfId="65" priority="813" operator="equal">
      <formula>$U$1</formula>
    </cfRule>
  </conditionalFormatting>
  <conditionalFormatting sqref="C162">
    <cfRule type="cellIs" dxfId="64" priority="810" operator="equal">
      <formula>$U$1</formula>
    </cfRule>
    <cfRule type="cellIs" dxfId="63" priority="811" operator="equal">
      <formula>$S$1</formula>
    </cfRule>
  </conditionalFormatting>
  <conditionalFormatting sqref="D162">
    <cfRule type="cellIs" dxfId="62" priority="808" operator="equal">
      <formula>$S$1</formula>
    </cfRule>
    <cfRule type="cellIs" dxfId="61" priority="809" operator="equal">
      <formula>$U$1</formula>
    </cfRule>
  </conditionalFormatting>
  <conditionalFormatting sqref="C187">
    <cfRule type="cellIs" dxfId="60" priority="806" operator="equal">
      <formula>$U$1</formula>
    </cfRule>
    <cfRule type="cellIs" dxfId="59" priority="807" operator="equal">
      <formula>$S$1</formula>
    </cfRule>
  </conditionalFormatting>
  <conditionalFormatting sqref="D187">
    <cfRule type="cellIs" dxfId="58" priority="804" operator="equal">
      <formula>$S$1</formula>
    </cfRule>
    <cfRule type="cellIs" dxfId="57" priority="805" operator="equal">
      <formula>$U$1</formula>
    </cfRule>
  </conditionalFormatting>
  <conditionalFormatting sqref="C212">
    <cfRule type="cellIs" dxfId="56" priority="802" operator="equal">
      <formula>$U$1</formula>
    </cfRule>
    <cfRule type="cellIs" dxfId="55" priority="803" operator="equal">
      <formula>$S$1</formula>
    </cfRule>
  </conditionalFormatting>
  <conditionalFormatting sqref="D212">
    <cfRule type="cellIs" dxfId="54" priority="800" operator="equal">
      <formula>$S$1</formula>
    </cfRule>
    <cfRule type="cellIs" dxfId="53" priority="801" operator="equal">
      <formula>$U$1</formula>
    </cfRule>
  </conditionalFormatting>
  <conditionalFormatting sqref="C237">
    <cfRule type="cellIs" dxfId="52" priority="798" operator="equal">
      <formula>$U$1</formula>
    </cfRule>
    <cfRule type="cellIs" dxfId="51" priority="799" operator="equal">
      <formula>$S$1</formula>
    </cfRule>
  </conditionalFormatting>
  <conditionalFormatting sqref="D237">
    <cfRule type="cellIs" dxfId="50" priority="796" operator="equal">
      <formula>$S$1</formula>
    </cfRule>
    <cfRule type="cellIs" dxfId="49" priority="797" operator="equal">
      <formula>$U$1</formula>
    </cfRule>
  </conditionalFormatting>
  <conditionalFormatting sqref="C106">
    <cfRule type="cellIs" dxfId="48" priority="794" operator="equal">
      <formula>$U$1</formula>
    </cfRule>
    <cfRule type="cellIs" dxfId="47" priority="795" operator="equal">
      <formula>$S$1</formula>
    </cfRule>
  </conditionalFormatting>
  <conditionalFormatting sqref="D106">
    <cfRule type="cellIs" dxfId="46" priority="792" operator="equal">
      <formula>$S$1</formula>
    </cfRule>
    <cfRule type="cellIs" dxfId="45" priority="793" operator="equal">
      <formula>$U$1</formula>
    </cfRule>
  </conditionalFormatting>
  <conditionalFormatting sqref="C81">
    <cfRule type="cellIs" dxfId="44" priority="790" operator="equal">
      <formula>$U$1</formula>
    </cfRule>
    <cfRule type="cellIs" dxfId="43" priority="791" operator="equal">
      <formula>$S$1</formula>
    </cfRule>
  </conditionalFormatting>
  <conditionalFormatting sqref="D81">
    <cfRule type="cellIs" dxfId="42" priority="788" operator="equal">
      <formula>$S$1</formula>
    </cfRule>
    <cfRule type="cellIs" dxfId="41" priority="789" operator="equal">
      <formula>$U$1</formula>
    </cfRule>
  </conditionalFormatting>
  <conditionalFormatting sqref="C56">
    <cfRule type="cellIs" dxfId="40" priority="786" operator="equal">
      <formula>$U$1</formula>
    </cfRule>
    <cfRule type="cellIs" dxfId="39" priority="787" operator="equal">
      <formula>$S$1</formula>
    </cfRule>
  </conditionalFormatting>
  <conditionalFormatting sqref="D56">
    <cfRule type="cellIs" dxfId="38" priority="784" operator="equal">
      <formula>$S$1</formula>
    </cfRule>
    <cfRule type="cellIs" dxfId="37" priority="785" operator="equal">
      <formula>$U$1</formula>
    </cfRule>
  </conditionalFormatting>
  <conditionalFormatting sqref="C31">
    <cfRule type="cellIs" dxfId="36" priority="782" operator="equal">
      <formula>$U$1</formula>
    </cfRule>
    <cfRule type="cellIs" dxfId="35" priority="783" operator="equal">
      <formula>$S$1</formula>
    </cfRule>
  </conditionalFormatting>
  <conditionalFormatting sqref="D31">
    <cfRule type="cellIs" dxfId="34" priority="780" operator="equal">
      <formula>$S$1</formula>
    </cfRule>
    <cfRule type="cellIs" dxfId="33" priority="78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B110" sqref="BB11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5" x14ac:dyDescent="0.25">
      <c r="A81" s="30">
        <v>45.259255568176073</v>
      </c>
      <c r="E81"/>
    </row>
    <row r="82" spans="1:45" x14ac:dyDescent="0.25">
      <c r="A82" s="30">
        <v>41.144777789250973</v>
      </c>
      <c r="E82"/>
    </row>
    <row r="83" spans="1:45" x14ac:dyDescent="0.25">
      <c r="A83" s="30">
        <v>37.404343444773609</v>
      </c>
      <c r="E83"/>
    </row>
    <row r="84" spans="1:45" x14ac:dyDescent="0.25">
      <c r="A84" s="30">
        <v>34.003948586157826</v>
      </c>
      <c r="E84"/>
    </row>
    <row r="85" spans="1:45" x14ac:dyDescent="0.25">
      <c r="A85" s="30">
        <v>30.912680532870748</v>
      </c>
      <c r="E85"/>
    </row>
    <row r="86" spans="1:45" x14ac:dyDescent="0.25">
      <c r="A86" s="30">
        <v>28.102436848064315</v>
      </c>
      <c r="E86"/>
    </row>
    <row r="87" spans="1:45" x14ac:dyDescent="0.25">
      <c r="A87" s="30">
        <v>25.547669861876649</v>
      </c>
      <c r="E87"/>
    </row>
    <row r="88" spans="1:45" x14ac:dyDescent="0.25">
      <c r="A88" s="30">
        <v>23.225154419887861</v>
      </c>
      <c r="E88"/>
    </row>
    <row r="89" spans="1:45" x14ac:dyDescent="0.25">
      <c r="A89" s="30">
        <v>21.113776745352599</v>
      </c>
      <c r="E89"/>
    </row>
    <row r="90" spans="1:45" x14ac:dyDescent="0.25">
      <c r="A90" s="30">
        <v>19.194342495775089</v>
      </c>
      <c r="E90"/>
    </row>
    <row r="91" spans="1:45" x14ac:dyDescent="0.25">
      <c r="A91" s="30">
        <v>17.449402268886445</v>
      </c>
      <c r="E91"/>
    </row>
    <row r="92" spans="1:45" x14ac:dyDescent="0.25">
      <c r="A92" s="30">
        <v>15.863092971714948</v>
      </c>
      <c r="C92" s="1" t="s">
        <v>15</v>
      </c>
      <c r="E92"/>
      <c r="U92" s="27" t="s">
        <v>8</v>
      </c>
      <c r="AA92" s="27" t="s">
        <v>8</v>
      </c>
    </row>
    <row r="93" spans="1:45" x14ac:dyDescent="0.25">
      <c r="A93" s="30">
        <v>14.420993610649951</v>
      </c>
      <c r="C93" s="7">
        <v>0.11167815779424731</v>
      </c>
      <c r="D93"/>
      <c r="E93"/>
      <c r="U93" s="27" t="s">
        <v>8</v>
      </c>
      <c r="V93" s="27" t="s">
        <v>7</v>
      </c>
      <c r="AA93" s="27" t="s">
        <v>8</v>
      </c>
      <c r="AB93" s="27" t="s">
        <v>7</v>
      </c>
      <c r="AC93" s="27" t="s">
        <v>8</v>
      </c>
    </row>
    <row r="94" spans="1:45" x14ac:dyDescent="0.25">
      <c r="A94" s="30">
        <v>13.109994191499954</v>
      </c>
      <c r="E94"/>
      <c r="S94" s="27" t="s">
        <v>8</v>
      </c>
      <c r="U94" s="27" t="s">
        <v>8</v>
      </c>
      <c r="V94" s="27" t="s">
        <v>7</v>
      </c>
      <c r="AA94" s="27" t="s">
        <v>8</v>
      </c>
      <c r="AB94" s="27" t="s">
        <v>7</v>
      </c>
      <c r="AC94" s="27" t="s">
        <v>8</v>
      </c>
      <c r="AD94" s="27" t="s">
        <v>7</v>
      </c>
    </row>
    <row r="95" spans="1:45" x14ac:dyDescent="0.25">
      <c r="A95" s="30">
        <v>11.918176537727231</v>
      </c>
      <c r="C95" s="1" t="s">
        <v>11</v>
      </c>
      <c r="D95" s="1" t="s">
        <v>12</v>
      </c>
      <c r="E95"/>
      <c r="Q95" s="27" t="s">
        <v>8</v>
      </c>
      <c r="S95" s="27" t="s">
        <v>8</v>
      </c>
      <c r="T95" s="27" t="s">
        <v>7</v>
      </c>
      <c r="U95" s="27" t="s">
        <v>8</v>
      </c>
      <c r="V95" s="27" t="s">
        <v>7</v>
      </c>
      <c r="AA95" s="27" t="s">
        <v>8</v>
      </c>
      <c r="AB95" s="27" t="s">
        <v>7</v>
      </c>
      <c r="AC95" s="27" t="s">
        <v>8</v>
      </c>
      <c r="AD95" s="27" t="s">
        <v>7</v>
      </c>
    </row>
    <row r="96" spans="1:45" x14ac:dyDescent="0.25">
      <c r="A96" s="30">
        <v>10.834705943388391</v>
      </c>
      <c r="C96"/>
      <c r="D96"/>
      <c r="E96"/>
      <c r="Q96" s="27" t="s">
        <v>8</v>
      </c>
      <c r="R96" s="27" t="s">
        <v>7</v>
      </c>
      <c r="S96" s="27" t="s">
        <v>8</v>
      </c>
      <c r="T96" s="27" t="s">
        <v>7</v>
      </c>
      <c r="U96" s="27" t="s">
        <v>8</v>
      </c>
      <c r="V96" s="27" t="s">
        <v>7</v>
      </c>
      <c r="W96" s="27" t="s">
        <v>8</v>
      </c>
      <c r="Y96" s="27" t="s">
        <v>8</v>
      </c>
      <c r="AA96" s="27" t="s">
        <v>8</v>
      </c>
      <c r="AB96" s="27" t="s">
        <v>7</v>
      </c>
      <c r="AD96" s="27" t="s">
        <v>7</v>
      </c>
      <c r="AE96" s="27" t="s">
        <v>8</v>
      </c>
      <c r="AO96" s="27" t="s">
        <v>8</v>
      </c>
      <c r="AQ96" s="27" t="s">
        <v>8</v>
      </c>
      <c r="AS96" s="27" t="s">
        <v>8</v>
      </c>
    </row>
    <row r="97" spans="1:54" x14ac:dyDescent="0.25">
      <c r="A97" s="30">
        <v>9.849732675807628</v>
      </c>
      <c r="E97"/>
      <c r="Q97" s="27" t="s">
        <v>8</v>
      </c>
      <c r="R97" s="27" t="s">
        <v>7</v>
      </c>
      <c r="S97" s="27" t="s">
        <v>8</v>
      </c>
      <c r="T97" s="27" t="s">
        <v>7</v>
      </c>
      <c r="V97" s="27" t="s">
        <v>7</v>
      </c>
      <c r="W97" s="27" t="s">
        <v>8</v>
      </c>
      <c r="X97" s="27" t="s">
        <v>7</v>
      </c>
      <c r="Y97" s="27" t="s">
        <v>8</v>
      </c>
      <c r="Z97" s="27" t="s">
        <v>7</v>
      </c>
      <c r="AA97" s="27" t="s">
        <v>8</v>
      </c>
      <c r="AD97" s="27" t="s">
        <v>7</v>
      </c>
      <c r="AE97" s="27" t="s">
        <v>8</v>
      </c>
      <c r="AF97" s="27" t="s">
        <v>7</v>
      </c>
      <c r="AO97" s="27" t="s">
        <v>8</v>
      </c>
      <c r="AP97" s="27" t="s">
        <v>7</v>
      </c>
      <c r="AQ97" s="27" t="s">
        <v>8</v>
      </c>
      <c r="AR97" s="27" t="s">
        <v>7</v>
      </c>
      <c r="AS97" s="27" t="s">
        <v>8</v>
      </c>
      <c r="AT97" s="27" t="s">
        <v>7</v>
      </c>
    </row>
    <row r="98" spans="1:54" x14ac:dyDescent="0.25">
      <c r="A98" s="30">
        <v>8.9543024325523888</v>
      </c>
      <c r="C98" s="1" t="s">
        <v>13</v>
      </c>
      <c r="E98"/>
      <c r="Q98" s="27" t="s">
        <v>8</v>
      </c>
      <c r="R98" s="27" t="s">
        <v>7</v>
      </c>
      <c r="S98" s="27" t="s">
        <v>8</v>
      </c>
      <c r="V98" s="27" t="s">
        <v>7</v>
      </c>
      <c r="W98" s="27" t="s">
        <v>8</v>
      </c>
      <c r="X98" s="27" t="s">
        <v>7</v>
      </c>
      <c r="Y98" s="27" t="s">
        <v>8</v>
      </c>
      <c r="Z98" s="27" t="s">
        <v>7</v>
      </c>
      <c r="AA98" s="27" t="s">
        <v>8</v>
      </c>
      <c r="AD98" s="27" t="s">
        <v>7</v>
      </c>
      <c r="AE98" s="27" t="s">
        <v>8</v>
      </c>
      <c r="AF98" s="27" t="s">
        <v>7</v>
      </c>
      <c r="AO98" s="27" t="s">
        <v>8</v>
      </c>
      <c r="AP98" s="27" t="s">
        <v>7</v>
      </c>
      <c r="AQ98" s="27" t="s">
        <v>8</v>
      </c>
      <c r="AR98" s="27" t="s">
        <v>7</v>
      </c>
      <c r="AS98" s="27" t="s">
        <v>8</v>
      </c>
      <c r="AT98" s="27" t="s">
        <v>7</v>
      </c>
    </row>
    <row r="99" spans="1:54" x14ac:dyDescent="0.25">
      <c r="A99" s="30">
        <v>8.140274938683989</v>
      </c>
      <c r="C99" s="1">
        <f>C88</f>
        <v>0</v>
      </c>
      <c r="E99" t="s">
        <v>8</v>
      </c>
      <c r="I99" s="27" t="s">
        <v>8</v>
      </c>
      <c r="K99" s="27" t="s">
        <v>8</v>
      </c>
      <c r="O99" s="27" t="s">
        <v>8</v>
      </c>
      <c r="Q99" s="27" t="s">
        <v>8</v>
      </c>
      <c r="R99" s="27" t="s">
        <v>7</v>
      </c>
      <c r="S99" s="27" t="s">
        <v>8</v>
      </c>
      <c r="V99" s="27" t="s">
        <v>7</v>
      </c>
      <c r="W99" s="27" t="s">
        <v>8</v>
      </c>
      <c r="X99" s="27" t="s">
        <v>7</v>
      </c>
      <c r="Z99" s="27" t="s">
        <v>7</v>
      </c>
      <c r="AD99" s="27" t="s">
        <v>7</v>
      </c>
      <c r="AE99" s="27" t="s">
        <v>8</v>
      </c>
      <c r="AF99" s="27" t="s">
        <v>7</v>
      </c>
      <c r="AO99" s="27" t="s">
        <v>8</v>
      </c>
      <c r="AP99" s="27" t="s">
        <v>7</v>
      </c>
      <c r="AQ99" s="27" t="s">
        <v>8</v>
      </c>
      <c r="AR99" s="27" t="s">
        <v>7</v>
      </c>
      <c r="AS99" s="27" t="s">
        <v>8</v>
      </c>
      <c r="AT99" s="27" t="s">
        <v>7</v>
      </c>
      <c r="AU99" s="27" t="s">
        <v>8</v>
      </c>
    </row>
    <row r="100" spans="1:54" x14ac:dyDescent="0.25">
      <c r="A100" s="30">
        <v>7.4002499442581717</v>
      </c>
      <c r="C100"/>
      <c r="D100"/>
      <c r="E100" t="s">
        <v>8</v>
      </c>
      <c r="F100" s="27" t="s">
        <v>7</v>
      </c>
      <c r="I100" s="27" t="s">
        <v>8</v>
      </c>
      <c r="J100" s="27" t="s">
        <v>7</v>
      </c>
      <c r="K100" s="27" t="s">
        <v>8</v>
      </c>
      <c r="L100" s="27" t="s">
        <v>7</v>
      </c>
      <c r="O100" s="27" t="s">
        <v>8</v>
      </c>
      <c r="P100" s="27" t="s">
        <v>7</v>
      </c>
      <c r="Q100" s="27" t="s">
        <v>8</v>
      </c>
      <c r="R100" s="27" t="s">
        <v>7</v>
      </c>
      <c r="V100" s="27" t="s">
        <v>7</v>
      </c>
      <c r="AD100" s="27" t="s">
        <v>7</v>
      </c>
      <c r="AE100" s="27" t="s">
        <v>8</v>
      </c>
      <c r="AF100" s="27" t="s">
        <v>7</v>
      </c>
      <c r="AI100" s="27" t="s">
        <v>8</v>
      </c>
      <c r="AM100" s="27" t="s">
        <v>8</v>
      </c>
      <c r="AO100" s="27" t="s">
        <v>8</v>
      </c>
      <c r="AP100" s="27" t="s">
        <v>7</v>
      </c>
      <c r="AQ100" s="27" t="s">
        <v>8</v>
      </c>
      <c r="AR100" s="27" t="s">
        <v>7</v>
      </c>
      <c r="AT100" s="27" t="s">
        <v>7</v>
      </c>
      <c r="AU100" s="27" t="s">
        <v>8</v>
      </c>
      <c r="AV100" s="27" t="s">
        <v>7</v>
      </c>
      <c r="BA100" s="27" t="s">
        <v>8</v>
      </c>
    </row>
    <row r="101" spans="1:54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G101" s="27" t="s">
        <v>8</v>
      </c>
      <c r="I101" s="27" t="s">
        <v>8</v>
      </c>
      <c r="J101" s="27" t="s">
        <v>7</v>
      </c>
      <c r="K101" s="27" t="s">
        <v>8</v>
      </c>
      <c r="L101" s="27" t="s">
        <v>7</v>
      </c>
      <c r="O101" s="27" t="s">
        <v>8</v>
      </c>
      <c r="P101" s="27" t="s">
        <v>7</v>
      </c>
      <c r="Q101" s="27" t="s">
        <v>8</v>
      </c>
      <c r="AD101" s="27" t="s">
        <v>7</v>
      </c>
      <c r="AF101" s="27" t="s">
        <v>7</v>
      </c>
      <c r="AG101" s="27" t="s">
        <v>8</v>
      </c>
      <c r="AI101" s="27" t="s">
        <v>8</v>
      </c>
      <c r="AJ101" s="27" t="s">
        <v>7</v>
      </c>
      <c r="AM101" s="27" t="s">
        <v>8</v>
      </c>
      <c r="AN101" s="27" t="s">
        <v>7</v>
      </c>
      <c r="AO101" s="27" t="s">
        <v>8</v>
      </c>
      <c r="AP101" s="27" t="s">
        <v>7</v>
      </c>
      <c r="AQ101" s="27" t="s">
        <v>8</v>
      </c>
      <c r="AT101" s="27" t="s">
        <v>7</v>
      </c>
      <c r="AU101" s="27" t="s">
        <v>8</v>
      </c>
      <c r="AV101" s="27" t="s">
        <v>7</v>
      </c>
      <c r="AW101" s="27" t="s">
        <v>8</v>
      </c>
      <c r="BA101" s="27" t="s">
        <v>8</v>
      </c>
      <c r="BB101" s="27" t="s">
        <v>7</v>
      </c>
    </row>
    <row r="102" spans="1:5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G102" s="27" t="s">
        <v>8</v>
      </c>
      <c r="H102" s="27" t="s">
        <v>7</v>
      </c>
      <c r="I102" s="27" t="s">
        <v>8</v>
      </c>
      <c r="J102" s="27" t="s">
        <v>7</v>
      </c>
      <c r="K102" s="27" t="s">
        <v>8</v>
      </c>
      <c r="L102" s="27" t="s">
        <v>7</v>
      </c>
      <c r="O102" s="27" t="s">
        <v>8</v>
      </c>
      <c r="P102" s="27" t="s">
        <v>7</v>
      </c>
      <c r="AF102" s="27" t="s">
        <v>7</v>
      </c>
      <c r="AG102" s="27" t="s">
        <v>8</v>
      </c>
      <c r="AH102" s="27" t="s">
        <v>7</v>
      </c>
      <c r="AI102" s="27" t="s">
        <v>8</v>
      </c>
      <c r="AJ102" s="27" t="s">
        <v>7</v>
      </c>
      <c r="AM102" s="27" t="s">
        <v>8</v>
      </c>
      <c r="AN102" s="27" t="s">
        <v>7</v>
      </c>
      <c r="AO102" s="27" t="s">
        <v>8</v>
      </c>
      <c r="AP102" s="27" t="s">
        <v>7</v>
      </c>
      <c r="AT102" s="27" t="s">
        <v>7</v>
      </c>
      <c r="AV102" s="27" t="s">
        <v>7</v>
      </c>
      <c r="AW102" s="27" t="s">
        <v>8</v>
      </c>
      <c r="AX102" s="27" t="s">
        <v>7</v>
      </c>
      <c r="AY102" s="27" t="s">
        <v>8</v>
      </c>
      <c r="BA102" s="27" t="s">
        <v>8</v>
      </c>
      <c r="BB102" s="27" t="s">
        <v>7</v>
      </c>
    </row>
    <row r="103" spans="1:54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H103" s="27" t="s">
        <v>7</v>
      </c>
      <c r="I103" s="27" t="s">
        <v>8</v>
      </c>
      <c r="J103" s="27" t="s">
        <v>7</v>
      </c>
      <c r="L103" s="27" t="s">
        <v>7</v>
      </c>
      <c r="M103" s="27" t="s">
        <v>8</v>
      </c>
      <c r="O103" s="27" t="s">
        <v>8</v>
      </c>
      <c r="AF103" s="27" t="s">
        <v>7</v>
      </c>
      <c r="AG103" s="27" t="s">
        <v>8</v>
      </c>
      <c r="AH103" s="27" t="s">
        <v>7</v>
      </c>
      <c r="AI103" s="27" t="s">
        <v>8</v>
      </c>
      <c r="AJ103" s="27" t="s">
        <v>7</v>
      </c>
      <c r="AM103" s="27" t="s">
        <v>8</v>
      </c>
      <c r="AN103" s="27" t="s">
        <v>7</v>
      </c>
      <c r="AV103" s="27" t="s">
        <v>7</v>
      </c>
      <c r="AW103" s="27" t="s">
        <v>8</v>
      </c>
      <c r="AX103" s="27" t="s">
        <v>7</v>
      </c>
      <c r="AY103" s="27" t="s">
        <v>8</v>
      </c>
      <c r="AZ103" s="27" t="s">
        <v>7</v>
      </c>
      <c r="BA103" s="27" t="s">
        <v>8</v>
      </c>
      <c r="BB103" s="27" t="s">
        <v>7</v>
      </c>
    </row>
    <row r="104" spans="1:54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  <c r="I104" s="27" t="s">
        <v>8</v>
      </c>
      <c r="L104" s="27" t="s">
        <v>7</v>
      </c>
      <c r="M104" s="27" t="s">
        <v>8</v>
      </c>
      <c r="N104" s="27" t="s">
        <v>7</v>
      </c>
      <c r="O104" s="27" t="s">
        <v>8</v>
      </c>
      <c r="AF104" s="27" t="s">
        <v>7</v>
      </c>
      <c r="AG104" s="27" t="s">
        <v>8</v>
      </c>
      <c r="AH104" s="27" t="s">
        <v>7</v>
      </c>
      <c r="AI104" s="27" t="s">
        <v>8</v>
      </c>
      <c r="AJ104" s="27" t="s">
        <v>7</v>
      </c>
      <c r="AM104" s="27" t="s">
        <v>8</v>
      </c>
      <c r="AV104" s="27" t="s">
        <v>7</v>
      </c>
      <c r="AX104" s="27" t="s">
        <v>7</v>
      </c>
      <c r="AY104" s="27" t="s">
        <v>8</v>
      </c>
      <c r="AZ104" s="27" t="s">
        <v>7</v>
      </c>
      <c r="BA104" s="27" t="s">
        <v>8</v>
      </c>
      <c r="BB104" s="27" t="s">
        <v>7</v>
      </c>
    </row>
    <row r="105" spans="1:54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  <c r="I105" s="27" t="s">
        <v>8</v>
      </c>
      <c r="L105" s="27" t="s">
        <v>7</v>
      </c>
      <c r="M105" s="27" t="s">
        <v>8</v>
      </c>
      <c r="N105" s="27" t="s">
        <v>7</v>
      </c>
      <c r="O105" s="27" t="s">
        <v>8</v>
      </c>
      <c r="AF105" s="27" t="s">
        <v>7</v>
      </c>
      <c r="AH105" s="27" t="s">
        <v>7</v>
      </c>
      <c r="AJ105" s="27" t="s">
        <v>7</v>
      </c>
      <c r="AK105" s="18" t="s">
        <v>8</v>
      </c>
      <c r="AM105" s="27" t="s">
        <v>8</v>
      </c>
      <c r="AX105" s="27" t="s">
        <v>7</v>
      </c>
      <c r="AZ105" s="27" t="s">
        <v>7</v>
      </c>
      <c r="BA105" s="27" t="s">
        <v>8</v>
      </c>
      <c r="BB105" s="27" t="s">
        <v>7</v>
      </c>
    </row>
    <row r="106" spans="1:54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  <c r="I106" s="27" t="s">
        <v>8</v>
      </c>
      <c r="L106" s="27" t="s">
        <v>7</v>
      </c>
      <c r="N106" s="27" t="s">
        <v>7</v>
      </c>
      <c r="AJ106" s="27" t="s">
        <v>7</v>
      </c>
      <c r="AK106" s="27" t="s">
        <v>8</v>
      </c>
      <c r="AL106" s="27" t="s">
        <v>7</v>
      </c>
      <c r="AM106" s="27" t="s">
        <v>8</v>
      </c>
      <c r="AZ106" s="27" t="s">
        <v>7</v>
      </c>
      <c r="BA106" s="27" t="s">
        <v>8</v>
      </c>
      <c r="BB106" s="27" t="s">
        <v>7</v>
      </c>
    </row>
    <row r="107" spans="1:54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  <c r="I107" s="27" t="s">
        <v>8</v>
      </c>
      <c r="AJ107" s="27" t="s">
        <v>7</v>
      </c>
      <c r="AK107" s="27" t="s">
        <v>8</v>
      </c>
      <c r="AL107" s="27" t="s">
        <v>7</v>
      </c>
      <c r="AM107" s="27" t="s">
        <v>8</v>
      </c>
      <c r="AZ107" s="27" t="s">
        <v>7</v>
      </c>
      <c r="BB107" s="27" t="s">
        <v>7</v>
      </c>
    </row>
    <row r="108" spans="1:54" x14ac:dyDescent="0.25">
      <c r="A108" s="30">
        <v>3.4522712143931042</v>
      </c>
      <c r="E108" t="s">
        <v>8</v>
      </c>
      <c r="F108" s="27" t="s">
        <v>7</v>
      </c>
      <c r="G108" s="27" t="s">
        <v>8</v>
      </c>
      <c r="H108" s="27" t="s">
        <v>7</v>
      </c>
      <c r="AJ108" s="27" t="s">
        <v>7</v>
      </c>
      <c r="AK108" s="27" t="s">
        <v>8</v>
      </c>
      <c r="AL108" s="27" t="s">
        <v>7</v>
      </c>
      <c r="BB108" s="27" t="s">
        <v>7</v>
      </c>
    </row>
    <row r="109" spans="1:54" x14ac:dyDescent="0.25">
      <c r="A109" s="30">
        <v>3.1384283767210035</v>
      </c>
      <c r="E109" t="s">
        <v>8</v>
      </c>
      <c r="F109" s="27" t="s">
        <v>7</v>
      </c>
      <c r="G109" s="27" t="s">
        <v>8</v>
      </c>
      <c r="AJ109" s="27" t="s">
        <v>7</v>
      </c>
      <c r="BB109" s="27" t="s">
        <v>7</v>
      </c>
    </row>
    <row r="110" spans="1:54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BB110" s="27" t="s">
        <v>7</v>
      </c>
    </row>
    <row r="111" spans="1:54" x14ac:dyDescent="0.25">
      <c r="A111" s="30">
        <v>2.5937424601000023</v>
      </c>
      <c r="C111" s="1" t="str">
        <f>ADDRESS(C121-1,1,1,1)</f>
        <v>$A$109</v>
      </c>
      <c r="D111" s="1" t="str">
        <f>ADDRESS(C121-1,D121,1,1)</f>
        <v>$BB$109</v>
      </c>
      <c r="E111" t="s">
        <v>8</v>
      </c>
      <c r="F111" s="27" t="s">
        <v>7</v>
      </c>
    </row>
    <row r="112" spans="1:54" x14ac:dyDescent="0.25">
      <c r="A112" s="30">
        <v>2.3579476910000019</v>
      </c>
      <c r="C112" s="1" t="str">
        <f>ADDRESS(C121,1,1,1)</f>
        <v>$A$110</v>
      </c>
      <c r="D112" s="1" t="str">
        <f>ADDRESS(C121,D121-1,1,1)</f>
        <v>$BA$110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$A$111</v>
      </c>
      <c r="D113" s="1" t="str">
        <f>ADDRESS(C121-1,D121+1,1,1)</f>
        <v>$BC$109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$BB$110</v>
      </c>
      <c r="D114" s="1" t="str">
        <f>ADDRESS(C121+1,D121+1,1,1)</f>
        <v>$BC$111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$BB$111</v>
      </c>
      <c r="E115" s="1" t="s">
        <v>8</v>
      </c>
    </row>
    <row r="116" spans="1:5" x14ac:dyDescent="0.25">
      <c r="A116" s="30">
        <v>1.6105100000000008</v>
      </c>
      <c r="C116" s="1">
        <f>C117-1</f>
        <v>109</v>
      </c>
      <c r="E116" s="1" t="s">
        <v>8</v>
      </c>
    </row>
    <row r="117" spans="1:5" x14ac:dyDescent="0.25">
      <c r="A117" s="30">
        <v>1.4641000000000006</v>
      </c>
      <c r="C117" s="1">
        <f>C121</f>
        <v>110</v>
      </c>
      <c r="D117" s="1">
        <f>D121</f>
        <v>54</v>
      </c>
      <c r="E117" s="1" t="s">
        <v>8</v>
      </c>
    </row>
    <row r="118" spans="1:5" x14ac:dyDescent="0.25">
      <c r="A118" s="30">
        <v>1.3310000000000004</v>
      </c>
      <c r="C118" s="1">
        <f>C117+1</f>
        <v>111</v>
      </c>
      <c r="D118" s="1">
        <f>D117+1</f>
        <v>55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110</v>
      </c>
      <c r="D121" s="19">
        <v>54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R110</v>
      </c>
      <c r="D123" s="1" t="str">
        <f>"C"&amp;D121</f>
        <v>C54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2.8531167061100029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98" operator="equal">
      <formula>$U$1</formula>
    </cfRule>
    <cfRule type="cellIs" dxfId="30" priority="799" operator="equal">
      <formula>$S$1</formula>
    </cfRule>
  </conditionalFormatting>
  <conditionalFormatting sqref="D136">
    <cfRule type="cellIs" dxfId="29" priority="796" operator="equal">
      <formula>$S$1</formula>
    </cfRule>
    <cfRule type="cellIs" dxfId="28" priority="797" operator="equal">
      <formula>$U$1</formula>
    </cfRule>
  </conditionalFormatting>
  <conditionalFormatting sqref="C102">
    <cfRule type="cellIs" dxfId="27" priority="794" operator="equal">
      <formula>$U$1</formula>
    </cfRule>
    <cfRule type="cellIs" dxfId="26" priority="795" operator="equal">
      <formula>$S$1</formula>
    </cfRule>
  </conditionalFormatting>
  <conditionalFormatting sqref="D102">
    <cfRule type="cellIs" dxfId="25" priority="792" operator="equal">
      <formula>$S$1</formula>
    </cfRule>
    <cfRule type="cellIs" dxfId="24" priority="793" operator="equal">
      <formula>$U$1</formula>
    </cfRule>
  </conditionalFormatting>
  <conditionalFormatting sqref="C77">
    <cfRule type="cellIs" dxfId="23" priority="790" operator="equal">
      <formula>$U$1</formula>
    </cfRule>
    <cfRule type="cellIs" dxfId="22" priority="791" operator="equal">
      <formula>$S$1</formula>
    </cfRule>
  </conditionalFormatting>
  <conditionalFormatting sqref="D77">
    <cfRule type="cellIs" dxfId="21" priority="788" operator="equal">
      <formula>$S$1</formula>
    </cfRule>
    <cfRule type="cellIs" dxfId="20" priority="789" operator="equal">
      <formula>$U$1</formula>
    </cfRule>
  </conditionalFormatting>
  <conditionalFormatting sqref="C52">
    <cfRule type="cellIs" dxfId="19" priority="786" operator="equal">
      <formula>$U$1</formula>
    </cfRule>
    <cfRule type="cellIs" dxfId="18" priority="787" operator="equal">
      <formula>$S$1</formula>
    </cfRule>
  </conditionalFormatting>
  <conditionalFormatting sqref="D52">
    <cfRule type="cellIs" dxfId="17" priority="784" operator="equal">
      <formula>$S$1</formula>
    </cfRule>
    <cfRule type="cellIs" dxfId="16" priority="785" operator="equal">
      <formula>$U$1</formula>
    </cfRule>
  </conditionalFormatting>
  <conditionalFormatting sqref="C26">
    <cfRule type="cellIs" dxfId="15" priority="782" operator="equal">
      <formula>$U$1</formula>
    </cfRule>
    <cfRule type="cellIs" dxfId="14" priority="783" operator="equal">
      <formula>$S$1</formula>
    </cfRule>
  </conditionalFormatting>
  <conditionalFormatting sqref="D26">
    <cfRule type="cellIs" dxfId="13" priority="780" operator="equal">
      <formula>$S$1</formula>
    </cfRule>
    <cfRule type="cellIs" dxfId="12" priority="78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2022-01-28T01:19:40Z</dcterms:modified>
</cp:coreProperties>
</file>